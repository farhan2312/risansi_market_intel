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N:\Cosmos\risansi\design\"/>
    </mc:Choice>
  </mc:AlternateContent>
  <xr:revisionPtr revIDLastSave="0" documentId="8_{D486E885-A725-45E2-8A8B-7B2DFC4DC7DF}" xr6:coauthVersionLast="47" xr6:coauthVersionMax="47" xr10:uidLastSave="{00000000-0000-0000-0000-000000000000}"/>
  <bookViews>
    <workbookView xWindow="-120" yWindow="-120" windowWidth="29040" windowHeight="15840" xr2:uid="{6F5F34D8-0805-401F-8AC2-95D6ECC7896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464" i="1" l="1"/>
  <c r="C1464" i="1"/>
  <c r="B1464" i="1"/>
  <c r="D1463" i="1"/>
  <c r="C1463" i="1"/>
  <c r="B1463" i="1"/>
  <c r="D1462" i="1"/>
  <c r="C1462" i="1"/>
  <c r="B1462" i="1"/>
  <c r="D1461" i="1"/>
  <c r="C1461" i="1"/>
  <c r="B1461" i="1"/>
  <c r="D1460" i="1"/>
  <c r="C1460" i="1"/>
  <c r="B1460" i="1"/>
  <c r="D1459" i="1"/>
  <c r="C1459" i="1"/>
  <c r="B1459" i="1"/>
  <c r="D1458" i="1"/>
  <c r="C1458" i="1"/>
  <c r="B1458" i="1"/>
  <c r="D1457" i="1"/>
  <c r="C1457" i="1"/>
  <c r="B1457" i="1"/>
  <c r="D1456" i="1"/>
  <c r="C1456" i="1"/>
  <c r="B1456" i="1"/>
  <c r="D1455" i="1"/>
  <c r="C1455" i="1"/>
  <c r="B1455" i="1"/>
  <c r="D1454" i="1"/>
  <c r="C1454" i="1"/>
  <c r="B1454" i="1"/>
  <c r="BQ1453" i="1"/>
  <c r="D1453" i="1"/>
  <c r="C1453" i="1"/>
  <c r="B1453" i="1"/>
  <c r="BQ1452" i="1"/>
  <c r="D1452" i="1"/>
  <c r="C1452" i="1"/>
  <c r="B1452" i="1"/>
  <c r="BQ1451" i="1"/>
  <c r="D1451" i="1"/>
  <c r="C1451" i="1"/>
  <c r="B1451" i="1"/>
  <c r="BQ1450" i="1"/>
  <c r="D1450" i="1"/>
  <c r="C1450" i="1"/>
  <c r="B1450" i="1"/>
  <c r="BQ1449" i="1"/>
  <c r="D1449" i="1"/>
  <c r="C1449" i="1"/>
  <c r="B1449" i="1"/>
  <c r="BQ1448" i="1"/>
  <c r="D1448" i="1"/>
  <c r="C1448" i="1"/>
  <c r="B1448" i="1"/>
  <c r="BQ1447" i="1"/>
  <c r="D1447" i="1"/>
  <c r="C1447" i="1"/>
  <c r="B1447" i="1"/>
  <c r="BQ1446" i="1"/>
  <c r="D1446" i="1"/>
  <c r="C1446" i="1"/>
  <c r="B1446" i="1"/>
  <c r="BQ1445" i="1"/>
  <c r="D1445" i="1"/>
  <c r="C1445" i="1"/>
  <c r="B1445" i="1"/>
  <c r="BQ1444" i="1"/>
  <c r="D1444" i="1"/>
  <c r="C1444" i="1"/>
  <c r="B1444" i="1"/>
  <c r="BQ1443" i="1"/>
  <c r="D1443" i="1"/>
  <c r="C1443" i="1"/>
  <c r="B1443" i="1"/>
  <c r="BQ1442" i="1"/>
  <c r="D1442" i="1"/>
  <c r="C1442" i="1"/>
  <c r="B1442" i="1"/>
  <c r="BQ1441" i="1"/>
  <c r="D1441" i="1"/>
  <c r="C1441" i="1"/>
  <c r="B1441" i="1"/>
  <c r="BQ1440" i="1"/>
  <c r="D1440" i="1"/>
  <c r="C1440" i="1"/>
  <c r="B1440" i="1"/>
  <c r="BQ1439" i="1"/>
  <c r="D1439" i="1"/>
  <c r="C1439" i="1"/>
  <c r="B1439" i="1"/>
  <c r="BQ1438" i="1"/>
  <c r="D1438" i="1"/>
  <c r="C1438" i="1"/>
  <c r="B1438" i="1"/>
  <c r="BQ1437" i="1"/>
  <c r="D1437" i="1"/>
  <c r="C1437" i="1"/>
  <c r="B1437" i="1"/>
  <c r="BQ1436" i="1"/>
  <c r="D1436" i="1"/>
  <c r="C1436" i="1"/>
  <c r="B1436" i="1"/>
  <c r="BQ1435" i="1"/>
  <c r="D1435" i="1"/>
  <c r="C1435" i="1"/>
  <c r="B1435" i="1"/>
  <c r="BQ1434" i="1"/>
  <c r="D1434" i="1"/>
  <c r="C1434" i="1"/>
  <c r="B1434" i="1"/>
  <c r="BQ1433" i="1"/>
  <c r="D1433" i="1"/>
  <c r="C1433" i="1"/>
  <c r="B1433" i="1"/>
  <c r="BQ1432" i="1"/>
  <c r="D1432" i="1"/>
  <c r="C1432" i="1"/>
  <c r="B1432" i="1"/>
  <c r="BQ1431" i="1"/>
  <c r="D1431" i="1"/>
  <c r="C1431" i="1"/>
  <c r="B1431" i="1"/>
  <c r="BQ1430" i="1"/>
  <c r="D1430" i="1"/>
  <c r="C1430" i="1"/>
  <c r="B1430" i="1"/>
  <c r="BQ1429" i="1"/>
  <c r="D1429" i="1"/>
  <c r="C1429" i="1"/>
  <c r="B1429" i="1"/>
  <c r="BQ1428" i="1"/>
  <c r="D1428" i="1"/>
  <c r="C1428" i="1"/>
  <c r="B1428" i="1"/>
  <c r="BQ1427" i="1"/>
  <c r="D1427" i="1"/>
  <c r="C1427" i="1"/>
  <c r="B1427" i="1"/>
  <c r="BQ1426" i="1"/>
  <c r="D1426" i="1"/>
  <c r="C1426" i="1"/>
  <c r="B1426" i="1"/>
  <c r="BQ1425" i="1"/>
  <c r="D1425" i="1"/>
  <c r="C1425" i="1"/>
  <c r="B1425" i="1"/>
  <c r="BQ1424" i="1"/>
  <c r="D1424" i="1"/>
  <c r="C1424" i="1"/>
  <c r="B1424" i="1"/>
  <c r="BQ1423" i="1"/>
  <c r="D1423" i="1"/>
  <c r="C1423" i="1"/>
  <c r="B1423" i="1"/>
  <c r="BQ1422" i="1"/>
  <c r="D1422" i="1"/>
  <c r="C1422" i="1"/>
  <c r="B1422" i="1"/>
  <c r="BQ1421" i="1"/>
  <c r="D1421" i="1"/>
  <c r="C1421" i="1"/>
  <c r="B1421" i="1"/>
  <c r="BQ1420" i="1"/>
  <c r="D1420" i="1"/>
  <c r="C1420" i="1"/>
  <c r="B1420" i="1"/>
  <c r="BQ1419" i="1"/>
  <c r="D1419" i="1"/>
  <c r="C1419" i="1"/>
  <c r="B1419" i="1"/>
  <c r="BQ1418" i="1"/>
  <c r="D1418" i="1"/>
  <c r="C1418" i="1"/>
  <c r="B1418" i="1"/>
  <c r="BQ1417" i="1"/>
  <c r="D1417" i="1"/>
  <c r="C1417" i="1"/>
  <c r="B1417" i="1"/>
  <c r="BQ1416" i="1"/>
  <c r="D1416" i="1"/>
  <c r="C1416" i="1"/>
  <c r="B1416" i="1"/>
  <c r="BQ1415" i="1"/>
  <c r="D1415" i="1"/>
  <c r="C1415" i="1"/>
  <c r="B1415" i="1"/>
  <c r="BQ1414" i="1"/>
  <c r="D1414" i="1"/>
  <c r="C1414" i="1"/>
  <c r="B1414" i="1"/>
  <c r="BQ1413" i="1"/>
  <c r="D1413" i="1"/>
  <c r="C1413" i="1"/>
  <c r="B1413" i="1"/>
  <c r="BQ1412" i="1"/>
  <c r="D1412" i="1"/>
  <c r="C1412" i="1"/>
  <c r="B1412" i="1"/>
  <c r="BQ1411" i="1"/>
  <c r="D1411" i="1"/>
  <c r="C1411" i="1"/>
  <c r="B1411" i="1"/>
  <c r="BQ1410" i="1"/>
  <c r="D1410" i="1"/>
  <c r="C1410" i="1"/>
  <c r="B1410" i="1"/>
  <c r="BQ1409" i="1"/>
  <c r="D1409" i="1"/>
  <c r="C1409" i="1"/>
  <c r="B1409" i="1"/>
  <c r="BQ1408" i="1"/>
  <c r="D1408" i="1"/>
  <c r="C1408" i="1"/>
  <c r="B1408" i="1"/>
  <c r="BQ1407" i="1"/>
  <c r="D1407" i="1"/>
  <c r="C1407" i="1"/>
  <c r="B1407" i="1"/>
  <c r="BQ1406" i="1"/>
  <c r="D1406" i="1"/>
  <c r="C1406" i="1"/>
  <c r="B1406" i="1"/>
  <c r="BQ1405" i="1"/>
  <c r="D1405" i="1"/>
  <c r="C1405" i="1"/>
  <c r="B1405" i="1"/>
  <c r="BQ1404" i="1"/>
  <c r="D1404" i="1"/>
  <c r="C1404" i="1"/>
  <c r="B1404" i="1"/>
  <c r="BQ1403" i="1"/>
  <c r="D1403" i="1"/>
  <c r="C1403" i="1"/>
  <c r="B1403" i="1"/>
  <c r="BQ1402" i="1"/>
  <c r="D1402" i="1"/>
  <c r="C1402" i="1"/>
  <c r="B1402" i="1"/>
  <c r="BQ1401" i="1"/>
  <c r="D1401" i="1"/>
  <c r="C1401" i="1"/>
  <c r="B1401" i="1"/>
  <c r="BQ1400" i="1"/>
  <c r="D1400" i="1"/>
  <c r="C1400" i="1"/>
  <c r="B1400" i="1"/>
  <c r="BQ1399" i="1"/>
  <c r="D1399" i="1"/>
  <c r="C1399" i="1"/>
  <c r="B1399" i="1"/>
  <c r="BQ1398" i="1"/>
  <c r="D1398" i="1"/>
  <c r="C1398" i="1"/>
  <c r="B1398" i="1"/>
  <c r="BQ1397" i="1"/>
  <c r="D1397" i="1"/>
  <c r="C1397" i="1"/>
  <c r="B1397" i="1"/>
  <c r="BQ1396" i="1"/>
  <c r="D1396" i="1"/>
  <c r="C1396" i="1"/>
  <c r="B1396" i="1"/>
  <c r="BQ1395" i="1"/>
  <c r="D1395" i="1"/>
  <c r="C1395" i="1"/>
  <c r="B1395" i="1"/>
  <c r="BQ1394" i="1"/>
  <c r="D1394" i="1"/>
  <c r="C1394" i="1"/>
  <c r="B1394" i="1"/>
  <c r="BQ1393" i="1"/>
  <c r="D1393" i="1"/>
  <c r="C1393" i="1"/>
  <c r="B1393" i="1"/>
  <c r="BQ1392" i="1"/>
  <c r="D1392" i="1"/>
  <c r="C1392" i="1"/>
  <c r="B1392" i="1"/>
  <c r="BQ1391" i="1"/>
  <c r="D1391" i="1"/>
  <c r="C1391" i="1"/>
  <c r="B1391" i="1"/>
  <c r="BQ1390" i="1"/>
  <c r="D1390" i="1"/>
  <c r="C1390" i="1"/>
  <c r="B1390" i="1"/>
  <c r="BQ1389" i="1"/>
  <c r="D1389" i="1"/>
  <c r="C1389" i="1"/>
  <c r="B1389" i="1"/>
  <c r="BQ1388" i="1"/>
  <c r="D1388" i="1"/>
  <c r="C1388" i="1"/>
  <c r="B1388" i="1"/>
  <c r="BQ1387" i="1"/>
  <c r="D1387" i="1"/>
  <c r="C1387" i="1"/>
  <c r="B1387" i="1"/>
  <c r="BQ1386" i="1"/>
  <c r="D1386" i="1"/>
  <c r="C1386" i="1"/>
  <c r="B1386" i="1"/>
  <c r="BQ1385" i="1"/>
  <c r="D1385" i="1"/>
  <c r="C1385" i="1"/>
  <c r="B1385" i="1"/>
  <c r="BQ1384" i="1"/>
  <c r="D1384" i="1"/>
  <c r="C1384" i="1"/>
  <c r="B1384" i="1"/>
  <c r="BQ1383" i="1"/>
  <c r="D1383" i="1"/>
  <c r="C1383" i="1"/>
  <c r="B1383" i="1"/>
  <c r="BQ1382" i="1"/>
  <c r="D1382" i="1"/>
  <c r="C1382" i="1"/>
  <c r="B1382" i="1"/>
  <c r="BQ1381" i="1"/>
  <c r="D1381" i="1"/>
  <c r="C1381" i="1"/>
  <c r="B1381" i="1"/>
  <c r="BQ1380" i="1"/>
  <c r="D1380" i="1"/>
  <c r="C1380" i="1"/>
  <c r="B1380" i="1"/>
  <c r="BQ1379" i="1"/>
  <c r="D1379" i="1"/>
  <c r="C1379" i="1"/>
  <c r="B1379" i="1"/>
  <c r="BQ1378" i="1"/>
  <c r="D1378" i="1"/>
  <c r="C1378" i="1"/>
  <c r="B1378" i="1"/>
  <c r="BQ1377" i="1"/>
  <c r="D1377" i="1"/>
  <c r="C1377" i="1"/>
  <c r="B1377" i="1"/>
  <c r="BQ1376" i="1"/>
  <c r="D1376" i="1"/>
  <c r="C1376" i="1"/>
  <c r="B1376" i="1"/>
  <c r="BQ1375" i="1"/>
  <c r="D1375" i="1"/>
  <c r="C1375" i="1"/>
  <c r="B1375" i="1"/>
  <c r="BQ1374" i="1"/>
  <c r="D1374" i="1"/>
  <c r="C1374" i="1"/>
  <c r="B1374" i="1"/>
  <c r="BQ1373" i="1"/>
  <c r="D1373" i="1"/>
  <c r="C1373" i="1"/>
  <c r="B1373" i="1"/>
  <c r="BQ1372" i="1"/>
  <c r="D1372" i="1"/>
  <c r="C1372" i="1"/>
  <c r="B1372" i="1"/>
  <c r="BQ1371" i="1"/>
  <c r="D1371" i="1"/>
  <c r="C1371" i="1"/>
  <c r="B1371" i="1"/>
  <c r="BQ1370" i="1"/>
  <c r="D1370" i="1"/>
  <c r="C1370" i="1"/>
  <c r="B1370" i="1"/>
  <c r="BQ1369" i="1"/>
  <c r="D1369" i="1"/>
  <c r="C1369" i="1"/>
  <c r="B1369" i="1"/>
  <c r="BQ1368" i="1"/>
  <c r="D1368" i="1"/>
  <c r="C1368" i="1"/>
  <c r="B1368" i="1"/>
  <c r="BQ1367" i="1"/>
  <c r="D1367" i="1"/>
  <c r="C1367" i="1"/>
  <c r="B1367" i="1"/>
  <c r="BQ1366" i="1"/>
  <c r="D1366" i="1"/>
  <c r="C1366" i="1"/>
  <c r="B1366" i="1"/>
  <c r="BQ1365" i="1"/>
  <c r="D1365" i="1"/>
  <c r="C1365" i="1"/>
  <c r="B1365" i="1"/>
  <c r="BQ1364" i="1"/>
  <c r="D1364" i="1"/>
  <c r="C1364" i="1"/>
  <c r="B1364" i="1"/>
  <c r="BQ1363" i="1"/>
  <c r="D1363" i="1"/>
  <c r="C1363" i="1"/>
  <c r="B1363" i="1"/>
  <c r="BQ1362" i="1"/>
  <c r="D1362" i="1"/>
  <c r="C1362" i="1"/>
  <c r="B1362" i="1"/>
  <c r="BQ1361" i="1"/>
  <c r="D1361" i="1"/>
  <c r="C1361" i="1"/>
  <c r="B1361" i="1"/>
  <c r="BQ1360" i="1"/>
  <c r="D1360" i="1"/>
  <c r="C1360" i="1"/>
  <c r="B1360" i="1"/>
  <c r="BQ1359" i="1"/>
  <c r="D1359" i="1"/>
  <c r="C1359" i="1"/>
  <c r="B1359" i="1"/>
  <c r="BQ1358" i="1"/>
  <c r="D1358" i="1"/>
  <c r="C1358" i="1"/>
  <c r="B1358" i="1"/>
  <c r="BQ1357" i="1"/>
  <c r="D1357" i="1"/>
  <c r="C1357" i="1"/>
  <c r="B1357" i="1"/>
  <c r="BQ1356" i="1"/>
  <c r="D1356" i="1"/>
  <c r="C1356" i="1"/>
  <c r="B1356" i="1"/>
  <c r="BQ1355" i="1"/>
  <c r="D1355" i="1"/>
  <c r="C1355" i="1"/>
  <c r="B1355" i="1"/>
  <c r="BQ1354" i="1"/>
  <c r="D1354" i="1"/>
  <c r="C1354" i="1"/>
  <c r="B1354" i="1"/>
  <c r="BQ1353" i="1"/>
  <c r="D1353" i="1"/>
  <c r="C1353" i="1"/>
  <c r="B1353" i="1"/>
  <c r="BQ1352" i="1"/>
  <c r="D1352" i="1"/>
  <c r="C1352" i="1"/>
  <c r="B1352" i="1"/>
  <c r="BQ1351" i="1"/>
  <c r="D1351" i="1"/>
  <c r="C1351" i="1"/>
  <c r="B1351" i="1"/>
  <c r="BQ1350" i="1"/>
  <c r="D1350" i="1"/>
  <c r="C1350" i="1"/>
  <c r="B1350" i="1"/>
  <c r="BQ1349" i="1"/>
  <c r="D1349" i="1"/>
  <c r="C1349" i="1"/>
  <c r="B1349" i="1"/>
  <c r="BQ1348" i="1"/>
  <c r="D1348" i="1"/>
  <c r="C1348" i="1"/>
  <c r="B1348" i="1"/>
  <c r="BQ1347" i="1"/>
  <c r="D1347" i="1"/>
  <c r="C1347" i="1"/>
  <c r="B1347" i="1"/>
  <c r="BQ1346" i="1"/>
  <c r="D1346" i="1"/>
  <c r="C1346" i="1"/>
  <c r="B1346" i="1"/>
  <c r="BQ1345" i="1"/>
  <c r="D1345" i="1"/>
  <c r="C1345" i="1"/>
  <c r="B1345" i="1"/>
  <c r="BQ1344" i="1"/>
  <c r="D1344" i="1"/>
  <c r="C1344" i="1"/>
  <c r="B1344" i="1"/>
  <c r="BQ1343" i="1"/>
  <c r="D1343" i="1"/>
  <c r="C1343" i="1"/>
  <c r="B1343" i="1"/>
  <c r="BQ1342" i="1"/>
  <c r="D1342" i="1"/>
  <c r="C1342" i="1"/>
  <c r="B1342" i="1"/>
  <c r="BQ1341" i="1"/>
  <c r="D1341" i="1"/>
  <c r="C1341" i="1"/>
  <c r="B1341" i="1"/>
  <c r="BQ1340" i="1"/>
  <c r="D1340" i="1"/>
  <c r="C1340" i="1"/>
  <c r="B1340" i="1"/>
  <c r="BQ1339" i="1"/>
  <c r="D1339" i="1"/>
  <c r="C1339" i="1"/>
  <c r="B1339" i="1"/>
  <c r="BQ1338" i="1"/>
  <c r="D1338" i="1"/>
  <c r="C1338" i="1"/>
  <c r="B1338" i="1"/>
  <c r="BQ1337" i="1"/>
  <c r="D1337" i="1"/>
  <c r="C1337" i="1"/>
  <c r="B1337" i="1"/>
  <c r="BQ1336" i="1"/>
  <c r="D1336" i="1"/>
  <c r="C1336" i="1"/>
  <c r="B1336" i="1"/>
  <c r="BQ1335" i="1"/>
  <c r="D1335" i="1"/>
  <c r="C1335" i="1"/>
  <c r="B1335" i="1"/>
  <c r="BQ1334" i="1"/>
  <c r="D1334" i="1"/>
  <c r="C1334" i="1"/>
  <c r="B1334" i="1"/>
  <c r="BQ1333" i="1"/>
  <c r="D1333" i="1"/>
  <c r="C1333" i="1"/>
  <c r="B1333" i="1"/>
  <c r="BQ1332" i="1"/>
  <c r="D1332" i="1"/>
  <c r="C1332" i="1"/>
  <c r="B1332" i="1"/>
  <c r="BQ1331" i="1"/>
  <c r="D1331" i="1"/>
  <c r="C1331" i="1"/>
  <c r="B1331" i="1"/>
  <c r="BQ1330" i="1"/>
  <c r="D1330" i="1"/>
  <c r="C1330" i="1"/>
  <c r="B1330" i="1"/>
  <c r="BQ1329" i="1"/>
  <c r="D1329" i="1"/>
  <c r="C1329" i="1"/>
  <c r="B1329" i="1"/>
  <c r="BQ1328" i="1"/>
  <c r="D1328" i="1"/>
  <c r="C1328" i="1"/>
  <c r="B1328" i="1"/>
  <c r="BQ1327" i="1"/>
  <c r="D1327" i="1"/>
  <c r="C1327" i="1"/>
  <c r="B1327" i="1"/>
  <c r="BQ1326" i="1"/>
  <c r="D1326" i="1"/>
  <c r="C1326" i="1"/>
  <c r="B1326" i="1"/>
  <c r="BQ1325" i="1"/>
  <c r="D1325" i="1"/>
  <c r="C1325" i="1"/>
  <c r="B1325" i="1"/>
  <c r="BQ1324" i="1"/>
  <c r="D1324" i="1"/>
  <c r="C1324" i="1"/>
  <c r="B1324" i="1"/>
  <c r="BQ1323" i="1"/>
  <c r="D1323" i="1"/>
  <c r="C1323" i="1"/>
  <c r="B1323" i="1"/>
  <c r="BQ1322" i="1"/>
  <c r="D1322" i="1"/>
  <c r="C1322" i="1"/>
  <c r="B1322" i="1"/>
  <c r="BQ1321" i="1"/>
  <c r="D1321" i="1"/>
  <c r="C1321" i="1"/>
  <c r="B1321" i="1"/>
  <c r="BQ1320" i="1"/>
  <c r="D1320" i="1"/>
  <c r="C1320" i="1"/>
  <c r="B1320" i="1"/>
  <c r="BQ1319" i="1"/>
  <c r="D1319" i="1"/>
  <c r="C1319" i="1"/>
  <c r="B1319" i="1"/>
  <c r="BQ1318" i="1"/>
  <c r="D1318" i="1"/>
  <c r="C1318" i="1"/>
  <c r="B1318" i="1"/>
  <c r="BQ1317" i="1"/>
  <c r="D1317" i="1"/>
  <c r="C1317" i="1"/>
  <c r="B1317" i="1"/>
  <c r="BQ1316" i="1"/>
  <c r="D1316" i="1"/>
  <c r="C1316" i="1"/>
  <c r="B1316" i="1"/>
  <c r="BQ1315" i="1"/>
  <c r="D1315" i="1"/>
  <c r="C1315" i="1"/>
  <c r="B1315" i="1"/>
  <c r="BQ1314" i="1"/>
  <c r="D1314" i="1"/>
  <c r="C1314" i="1"/>
  <c r="B1314" i="1"/>
  <c r="BQ1313" i="1"/>
  <c r="D1313" i="1"/>
  <c r="C1313" i="1"/>
  <c r="B1313" i="1"/>
  <c r="BQ1312" i="1"/>
  <c r="D1312" i="1"/>
  <c r="C1312" i="1"/>
  <c r="B1312" i="1"/>
  <c r="BQ1311" i="1"/>
  <c r="D1311" i="1"/>
  <c r="C1311" i="1"/>
  <c r="B1311" i="1"/>
  <c r="BQ1310" i="1"/>
  <c r="D1310" i="1"/>
  <c r="C1310" i="1"/>
  <c r="B1310" i="1"/>
  <c r="BQ1309" i="1"/>
  <c r="D1309" i="1"/>
  <c r="C1309" i="1"/>
  <c r="B1309" i="1"/>
  <c r="BQ1308" i="1"/>
  <c r="D1308" i="1"/>
  <c r="C1308" i="1"/>
  <c r="B1308" i="1"/>
  <c r="BQ1307" i="1"/>
  <c r="D1307" i="1"/>
  <c r="C1307" i="1"/>
  <c r="B1307" i="1"/>
  <c r="BQ1306" i="1"/>
  <c r="D1306" i="1"/>
  <c r="C1306" i="1"/>
  <c r="B1306" i="1"/>
  <c r="BQ1305" i="1"/>
  <c r="D1305" i="1"/>
  <c r="C1305" i="1"/>
  <c r="B1305" i="1"/>
  <c r="BQ1304" i="1"/>
  <c r="D1304" i="1"/>
  <c r="C1304" i="1"/>
  <c r="B1304" i="1"/>
  <c r="BQ1303" i="1"/>
  <c r="D1303" i="1"/>
  <c r="C1303" i="1"/>
  <c r="B1303" i="1"/>
  <c r="BQ1302" i="1"/>
  <c r="D1302" i="1"/>
  <c r="C1302" i="1"/>
  <c r="B1302" i="1"/>
  <c r="BQ1301" i="1"/>
  <c r="D1301" i="1"/>
  <c r="C1301" i="1"/>
  <c r="B1301" i="1"/>
  <c r="BQ1300" i="1"/>
  <c r="D1300" i="1"/>
  <c r="C1300" i="1"/>
  <c r="B1300" i="1"/>
  <c r="BQ1299" i="1"/>
  <c r="D1299" i="1"/>
  <c r="C1299" i="1"/>
  <c r="B1299" i="1"/>
  <c r="BQ1298" i="1"/>
  <c r="D1298" i="1"/>
  <c r="C1298" i="1"/>
  <c r="B1298" i="1"/>
  <c r="BQ1297" i="1"/>
  <c r="D1297" i="1"/>
  <c r="C1297" i="1"/>
  <c r="B1297" i="1"/>
  <c r="BQ1296" i="1"/>
  <c r="D1296" i="1"/>
  <c r="C1296" i="1"/>
  <c r="B1296" i="1"/>
  <c r="BQ1295" i="1"/>
  <c r="D1295" i="1"/>
  <c r="C1295" i="1"/>
  <c r="B1295" i="1"/>
  <c r="BQ1294" i="1"/>
  <c r="D1294" i="1"/>
  <c r="C1294" i="1"/>
  <c r="B1294" i="1"/>
  <c r="BQ1293" i="1"/>
  <c r="D1293" i="1"/>
  <c r="C1293" i="1"/>
  <c r="B1293" i="1"/>
  <c r="BQ1292" i="1"/>
  <c r="D1292" i="1"/>
  <c r="C1292" i="1"/>
  <c r="B1292" i="1"/>
  <c r="BQ1291" i="1"/>
  <c r="D1291" i="1"/>
  <c r="C1291" i="1"/>
  <c r="B1291" i="1"/>
  <c r="BQ1290" i="1"/>
  <c r="D1290" i="1"/>
  <c r="C1290" i="1"/>
  <c r="B1290" i="1"/>
  <c r="BQ1289" i="1"/>
  <c r="D1289" i="1"/>
  <c r="C1289" i="1"/>
  <c r="B1289" i="1"/>
  <c r="BQ1288" i="1"/>
  <c r="D1288" i="1"/>
  <c r="C1288" i="1"/>
  <c r="B1288" i="1"/>
  <c r="BQ1287" i="1"/>
  <c r="D1287" i="1"/>
  <c r="C1287" i="1"/>
  <c r="B1287" i="1"/>
  <c r="BQ1286" i="1"/>
  <c r="D1286" i="1"/>
  <c r="C1286" i="1"/>
  <c r="B1286" i="1"/>
  <c r="BQ1285" i="1"/>
  <c r="D1285" i="1"/>
  <c r="C1285" i="1"/>
  <c r="B1285" i="1"/>
  <c r="BQ1284" i="1"/>
  <c r="D1284" i="1"/>
  <c r="C1284" i="1"/>
  <c r="B1284" i="1"/>
  <c r="BQ1283" i="1"/>
  <c r="D1283" i="1"/>
  <c r="C1283" i="1"/>
  <c r="B1283" i="1"/>
  <c r="BQ1282" i="1"/>
  <c r="D1282" i="1"/>
  <c r="C1282" i="1"/>
  <c r="B1282" i="1"/>
  <c r="BQ1281" i="1"/>
  <c r="D1281" i="1"/>
  <c r="C1281" i="1"/>
  <c r="B1281" i="1"/>
  <c r="BQ1280" i="1"/>
  <c r="D1280" i="1"/>
  <c r="C1280" i="1"/>
  <c r="B1280" i="1"/>
  <c r="BQ1279" i="1"/>
  <c r="D1279" i="1"/>
  <c r="C1279" i="1"/>
  <c r="B1279" i="1"/>
  <c r="BQ1278" i="1"/>
  <c r="D1278" i="1"/>
  <c r="C1278" i="1"/>
  <c r="B1278" i="1"/>
  <c r="BQ1277" i="1"/>
  <c r="D1277" i="1"/>
  <c r="C1277" i="1"/>
  <c r="B1277" i="1"/>
  <c r="BQ1276" i="1"/>
  <c r="D1276" i="1"/>
  <c r="C1276" i="1"/>
  <c r="B1276" i="1"/>
  <c r="BQ1275" i="1"/>
  <c r="D1275" i="1"/>
  <c r="C1275" i="1"/>
  <c r="B1275" i="1"/>
  <c r="BQ1274" i="1"/>
  <c r="D1274" i="1"/>
  <c r="C1274" i="1"/>
  <c r="B1274" i="1"/>
  <c r="BQ1273" i="1"/>
  <c r="D1273" i="1"/>
  <c r="C1273" i="1"/>
  <c r="B1273" i="1"/>
  <c r="BQ1272" i="1"/>
  <c r="D1272" i="1"/>
  <c r="C1272" i="1"/>
  <c r="B1272" i="1"/>
  <c r="BQ1271" i="1"/>
  <c r="D1271" i="1"/>
  <c r="C1271" i="1"/>
  <c r="B1271" i="1"/>
  <c r="BQ1270" i="1"/>
  <c r="D1270" i="1"/>
  <c r="C1270" i="1"/>
  <c r="B1270" i="1"/>
  <c r="BQ1269" i="1"/>
  <c r="D1269" i="1"/>
  <c r="C1269" i="1"/>
  <c r="B1269" i="1"/>
  <c r="BQ1268" i="1"/>
  <c r="D1268" i="1"/>
  <c r="C1268" i="1"/>
  <c r="B1268" i="1"/>
  <c r="BQ1267" i="1"/>
  <c r="D1267" i="1"/>
  <c r="C1267" i="1"/>
  <c r="B1267" i="1"/>
  <c r="BQ1266" i="1"/>
  <c r="D1266" i="1"/>
  <c r="C1266" i="1"/>
  <c r="B1266" i="1"/>
  <c r="BQ1265" i="1"/>
  <c r="D1265" i="1"/>
  <c r="C1265" i="1"/>
  <c r="B1265" i="1"/>
  <c r="BQ1264" i="1"/>
  <c r="D1264" i="1"/>
  <c r="C1264" i="1"/>
  <c r="B1264" i="1"/>
  <c r="BQ1263" i="1"/>
  <c r="D1263" i="1"/>
  <c r="C1263" i="1"/>
  <c r="B1263" i="1"/>
  <c r="BQ1262" i="1"/>
  <c r="D1262" i="1"/>
  <c r="C1262" i="1"/>
  <c r="B1262" i="1"/>
  <c r="BQ1261" i="1"/>
  <c r="D1261" i="1"/>
  <c r="C1261" i="1"/>
  <c r="B1261" i="1"/>
  <c r="BQ1260" i="1"/>
  <c r="D1260" i="1"/>
  <c r="C1260" i="1"/>
  <c r="B1260" i="1"/>
  <c r="BQ1259" i="1"/>
  <c r="D1259" i="1"/>
  <c r="C1259" i="1"/>
  <c r="B1259" i="1"/>
  <c r="BQ1258" i="1"/>
  <c r="D1258" i="1"/>
  <c r="C1258" i="1"/>
  <c r="B1258" i="1"/>
  <c r="BQ1257" i="1"/>
  <c r="D1257" i="1"/>
  <c r="C1257" i="1"/>
  <c r="B1257" i="1"/>
  <c r="BQ1256" i="1"/>
  <c r="D1256" i="1"/>
  <c r="C1256" i="1"/>
  <c r="B1256" i="1"/>
  <c r="BQ1255" i="1"/>
  <c r="D1255" i="1"/>
  <c r="C1255" i="1"/>
  <c r="B1255" i="1"/>
  <c r="BQ1254" i="1"/>
  <c r="D1254" i="1"/>
  <c r="C1254" i="1"/>
  <c r="B1254" i="1"/>
  <c r="BQ1253" i="1"/>
  <c r="D1253" i="1"/>
  <c r="C1253" i="1"/>
  <c r="B1253" i="1"/>
  <c r="BQ1252" i="1"/>
  <c r="D1252" i="1"/>
  <c r="C1252" i="1"/>
  <c r="B1252" i="1"/>
  <c r="BQ1251" i="1"/>
  <c r="D1251" i="1"/>
  <c r="C1251" i="1"/>
  <c r="B1251" i="1"/>
  <c r="BQ1250" i="1"/>
  <c r="D1250" i="1"/>
  <c r="C1250" i="1"/>
  <c r="B1250" i="1"/>
  <c r="BQ1249" i="1"/>
  <c r="D1249" i="1"/>
  <c r="C1249" i="1"/>
  <c r="B1249" i="1"/>
  <c r="BQ1248" i="1"/>
  <c r="D1248" i="1"/>
  <c r="C1248" i="1"/>
  <c r="B1248" i="1"/>
  <c r="BQ1247" i="1"/>
  <c r="D1247" i="1"/>
  <c r="C1247" i="1"/>
  <c r="B1247" i="1"/>
  <c r="BQ1246" i="1"/>
  <c r="D1246" i="1"/>
  <c r="C1246" i="1"/>
  <c r="B1246" i="1"/>
  <c r="BQ1245" i="1"/>
  <c r="D1245" i="1"/>
  <c r="C1245" i="1"/>
  <c r="B1245" i="1"/>
  <c r="BQ1244" i="1"/>
  <c r="D1244" i="1"/>
  <c r="C1244" i="1"/>
  <c r="B1244" i="1"/>
  <c r="BQ1243" i="1"/>
  <c r="D1243" i="1"/>
  <c r="C1243" i="1"/>
  <c r="B1243" i="1"/>
  <c r="BQ1242" i="1"/>
  <c r="D1242" i="1"/>
  <c r="C1242" i="1"/>
  <c r="B1242" i="1"/>
  <c r="BQ1241" i="1"/>
  <c r="D1241" i="1"/>
  <c r="C1241" i="1"/>
  <c r="B1241" i="1"/>
  <c r="BQ1240" i="1"/>
  <c r="D1240" i="1"/>
  <c r="C1240" i="1"/>
  <c r="B1240" i="1"/>
  <c r="BQ1239" i="1"/>
  <c r="D1239" i="1"/>
  <c r="C1239" i="1"/>
  <c r="B1239" i="1"/>
  <c r="BQ1238" i="1"/>
  <c r="D1238" i="1"/>
  <c r="C1238" i="1"/>
  <c r="B1238" i="1"/>
  <c r="BQ1237" i="1"/>
  <c r="D1237" i="1"/>
  <c r="C1237" i="1"/>
  <c r="B1237" i="1"/>
  <c r="BQ1236" i="1"/>
  <c r="D1236" i="1"/>
  <c r="C1236" i="1"/>
  <c r="B1236" i="1"/>
  <c r="BQ1235" i="1"/>
  <c r="D1235" i="1"/>
  <c r="C1235" i="1"/>
  <c r="B1235" i="1"/>
  <c r="BQ1234" i="1"/>
  <c r="D1234" i="1"/>
  <c r="C1234" i="1"/>
  <c r="B1234" i="1"/>
  <c r="BQ1233" i="1"/>
  <c r="D1233" i="1"/>
  <c r="C1233" i="1"/>
  <c r="B1233" i="1"/>
  <c r="BQ1232" i="1"/>
  <c r="D1232" i="1"/>
  <c r="C1232" i="1"/>
  <c r="B1232" i="1"/>
  <c r="BQ1231" i="1"/>
  <c r="D1231" i="1"/>
  <c r="C1231" i="1"/>
  <c r="B1231" i="1"/>
  <c r="BQ1230" i="1"/>
  <c r="D1230" i="1"/>
  <c r="C1230" i="1"/>
  <c r="B1230" i="1"/>
  <c r="BQ1229" i="1"/>
  <c r="D1229" i="1"/>
  <c r="C1229" i="1"/>
  <c r="B1229" i="1"/>
  <c r="BQ1228" i="1"/>
  <c r="D1228" i="1"/>
  <c r="C1228" i="1"/>
  <c r="B1228" i="1"/>
  <c r="BQ1227" i="1"/>
  <c r="D1227" i="1"/>
  <c r="C1227" i="1"/>
  <c r="B1227" i="1"/>
  <c r="BQ1226" i="1"/>
  <c r="D1226" i="1"/>
  <c r="C1226" i="1"/>
  <c r="B1226" i="1"/>
  <c r="BQ1225" i="1"/>
  <c r="D1225" i="1"/>
  <c r="C1225" i="1"/>
  <c r="B1225" i="1"/>
  <c r="BQ1224" i="1"/>
  <c r="D1224" i="1"/>
  <c r="C1224" i="1"/>
  <c r="B1224" i="1"/>
  <c r="BQ1223" i="1"/>
  <c r="D1223" i="1"/>
  <c r="C1223" i="1"/>
  <c r="B1223" i="1"/>
  <c r="BQ1222" i="1"/>
  <c r="D1222" i="1"/>
  <c r="C1222" i="1"/>
  <c r="B1222" i="1"/>
  <c r="BQ1221" i="1"/>
  <c r="D1221" i="1"/>
  <c r="C1221" i="1"/>
  <c r="B1221" i="1"/>
  <c r="BQ1220" i="1"/>
  <c r="D1220" i="1"/>
  <c r="C1220" i="1"/>
  <c r="B1220" i="1"/>
  <c r="BQ1219" i="1"/>
  <c r="D1219" i="1"/>
  <c r="C1219" i="1"/>
  <c r="B1219" i="1"/>
  <c r="BQ1218" i="1"/>
  <c r="D1218" i="1"/>
  <c r="C1218" i="1"/>
  <c r="B1218" i="1"/>
  <c r="BQ1217" i="1"/>
  <c r="D1217" i="1"/>
  <c r="C1217" i="1"/>
  <c r="B1217" i="1"/>
  <c r="BQ1216" i="1"/>
  <c r="D1216" i="1"/>
  <c r="C1216" i="1"/>
  <c r="B1216" i="1"/>
  <c r="BQ1215" i="1"/>
  <c r="D1215" i="1"/>
  <c r="C1215" i="1"/>
  <c r="B1215" i="1"/>
  <c r="BQ1214" i="1"/>
  <c r="D1214" i="1"/>
  <c r="C1214" i="1"/>
  <c r="B1214" i="1"/>
  <c r="BQ1213" i="1"/>
  <c r="D1213" i="1"/>
  <c r="C1213" i="1"/>
  <c r="B1213" i="1"/>
  <c r="BQ1212" i="1"/>
  <c r="D1212" i="1"/>
  <c r="C1212" i="1"/>
  <c r="B1212" i="1"/>
  <c r="BQ1211" i="1"/>
  <c r="D1211" i="1"/>
  <c r="C1211" i="1"/>
  <c r="B1211" i="1"/>
  <c r="BQ1210" i="1"/>
  <c r="D1210" i="1"/>
  <c r="C1210" i="1"/>
  <c r="B1210" i="1"/>
  <c r="BQ1209" i="1"/>
  <c r="D1209" i="1"/>
  <c r="C1209" i="1"/>
  <c r="B1209" i="1"/>
  <c r="BQ1208" i="1"/>
  <c r="D1208" i="1"/>
  <c r="C1208" i="1"/>
  <c r="B1208" i="1"/>
  <c r="BQ1207" i="1"/>
  <c r="D1207" i="1"/>
  <c r="C1207" i="1"/>
  <c r="B1207" i="1"/>
  <c r="BQ1206" i="1"/>
  <c r="D1206" i="1"/>
  <c r="C1206" i="1"/>
  <c r="B1206" i="1"/>
  <c r="BQ1205" i="1"/>
  <c r="D1205" i="1"/>
  <c r="C1205" i="1"/>
  <c r="B1205" i="1"/>
  <c r="BQ1204" i="1"/>
  <c r="D1204" i="1"/>
  <c r="C1204" i="1"/>
  <c r="B1204" i="1"/>
  <c r="BQ1203" i="1"/>
  <c r="D1203" i="1"/>
  <c r="C1203" i="1"/>
  <c r="B1203" i="1"/>
  <c r="BQ1202" i="1"/>
  <c r="D1202" i="1"/>
  <c r="C1202" i="1"/>
  <c r="B1202" i="1"/>
  <c r="BQ1201" i="1"/>
  <c r="D1201" i="1"/>
  <c r="C1201" i="1"/>
  <c r="B1201" i="1"/>
  <c r="BQ1200" i="1"/>
  <c r="D1200" i="1"/>
  <c r="C1200" i="1"/>
  <c r="B1200" i="1"/>
  <c r="BQ1199" i="1"/>
  <c r="D1199" i="1"/>
  <c r="C1199" i="1"/>
  <c r="B1199" i="1"/>
  <c r="BQ1198" i="1"/>
  <c r="D1198" i="1"/>
  <c r="C1198" i="1"/>
  <c r="B1198" i="1"/>
  <c r="BQ1197" i="1"/>
  <c r="D1197" i="1"/>
  <c r="C1197" i="1"/>
  <c r="B1197" i="1"/>
  <c r="BQ1196" i="1"/>
  <c r="D1196" i="1"/>
  <c r="C1196" i="1"/>
  <c r="B1196" i="1"/>
  <c r="BQ1195" i="1"/>
  <c r="D1195" i="1"/>
  <c r="C1195" i="1"/>
  <c r="B1195" i="1"/>
  <c r="BQ1194" i="1"/>
  <c r="D1194" i="1"/>
  <c r="C1194" i="1"/>
  <c r="B1194" i="1"/>
  <c r="BQ1193" i="1"/>
  <c r="D1193" i="1"/>
  <c r="C1193" i="1"/>
  <c r="B1193" i="1"/>
  <c r="BQ1192" i="1"/>
  <c r="D1192" i="1"/>
  <c r="C1192" i="1"/>
  <c r="B1192" i="1"/>
  <c r="BQ1191" i="1"/>
  <c r="D1191" i="1"/>
  <c r="C1191" i="1"/>
  <c r="B1191" i="1"/>
  <c r="BQ1190" i="1"/>
  <c r="D1190" i="1"/>
  <c r="C1190" i="1"/>
  <c r="B1190" i="1"/>
  <c r="BQ1189" i="1"/>
  <c r="D1189" i="1"/>
  <c r="C1189" i="1"/>
  <c r="B1189" i="1"/>
  <c r="BQ1188" i="1"/>
  <c r="D1188" i="1"/>
  <c r="C1188" i="1"/>
  <c r="B1188" i="1"/>
  <c r="BQ1187" i="1"/>
  <c r="D1187" i="1"/>
  <c r="C1187" i="1"/>
  <c r="B1187" i="1"/>
  <c r="BQ1186" i="1"/>
  <c r="D1186" i="1"/>
  <c r="C1186" i="1"/>
  <c r="B1186" i="1"/>
  <c r="BQ1185" i="1"/>
  <c r="D1185" i="1"/>
  <c r="C1185" i="1"/>
  <c r="B1185" i="1"/>
  <c r="BQ1184" i="1"/>
  <c r="D1184" i="1"/>
  <c r="C1184" i="1"/>
  <c r="B1184" i="1"/>
  <c r="BQ1183" i="1"/>
  <c r="D1183" i="1"/>
  <c r="C1183" i="1"/>
  <c r="B1183" i="1"/>
  <c r="BQ1182" i="1"/>
  <c r="D1182" i="1"/>
  <c r="C1182" i="1"/>
  <c r="B1182" i="1"/>
  <c r="BQ1181" i="1"/>
  <c r="D1181" i="1"/>
  <c r="C1181" i="1"/>
  <c r="B1181" i="1"/>
  <c r="BQ1180" i="1"/>
  <c r="D1180" i="1"/>
  <c r="C1180" i="1"/>
  <c r="B1180" i="1"/>
  <c r="BQ1179" i="1"/>
  <c r="D1179" i="1"/>
  <c r="C1179" i="1"/>
  <c r="B1179" i="1"/>
  <c r="BQ1178" i="1"/>
  <c r="D1178" i="1"/>
  <c r="C1178" i="1"/>
  <c r="B1178" i="1"/>
  <c r="BQ1177" i="1"/>
  <c r="D1177" i="1"/>
  <c r="C1177" i="1"/>
  <c r="B1177" i="1"/>
  <c r="BQ1176" i="1"/>
  <c r="D1176" i="1"/>
  <c r="C1176" i="1"/>
  <c r="B1176" i="1"/>
  <c r="BQ1175" i="1"/>
  <c r="D1175" i="1"/>
  <c r="C1175" i="1"/>
  <c r="B1175" i="1"/>
  <c r="BQ1174" i="1"/>
  <c r="D1174" i="1"/>
  <c r="C1174" i="1"/>
  <c r="B1174" i="1"/>
  <c r="BQ1173" i="1"/>
  <c r="D1173" i="1"/>
  <c r="C1173" i="1"/>
  <c r="B1173" i="1"/>
  <c r="BQ1172" i="1"/>
  <c r="D1172" i="1"/>
  <c r="C1172" i="1"/>
  <c r="B1172" i="1"/>
  <c r="BQ1171" i="1"/>
  <c r="D1171" i="1"/>
  <c r="C1171" i="1"/>
  <c r="B1171" i="1"/>
  <c r="BQ1170" i="1"/>
  <c r="D1170" i="1"/>
  <c r="C1170" i="1"/>
  <c r="B1170" i="1"/>
  <c r="BQ1169" i="1"/>
  <c r="D1169" i="1"/>
  <c r="C1169" i="1"/>
  <c r="B1169" i="1"/>
  <c r="BQ1168" i="1"/>
  <c r="D1168" i="1"/>
  <c r="C1168" i="1"/>
  <c r="B1168" i="1"/>
  <c r="BQ1167" i="1"/>
  <c r="D1167" i="1"/>
  <c r="C1167" i="1"/>
  <c r="B1167" i="1"/>
  <c r="BQ1166" i="1"/>
  <c r="D1166" i="1"/>
  <c r="C1166" i="1"/>
  <c r="B1166" i="1"/>
  <c r="BQ1165" i="1"/>
  <c r="D1165" i="1"/>
  <c r="C1165" i="1"/>
  <c r="B1165" i="1"/>
  <c r="BQ1164" i="1"/>
  <c r="D1164" i="1"/>
  <c r="C1164" i="1"/>
  <c r="B1164" i="1"/>
  <c r="BQ1163" i="1"/>
  <c r="D1163" i="1"/>
  <c r="C1163" i="1"/>
  <c r="B1163" i="1"/>
  <c r="BQ1162" i="1"/>
  <c r="D1162" i="1"/>
  <c r="C1162" i="1"/>
  <c r="B1162" i="1"/>
  <c r="BQ1161" i="1"/>
  <c r="D1161" i="1"/>
  <c r="C1161" i="1"/>
  <c r="B1161" i="1"/>
  <c r="BQ1160" i="1"/>
  <c r="D1160" i="1"/>
  <c r="C1160" i="1"/>
  <c r="B1160" i="1"/>
  <c r="BQ1159" i="1"/>
  <c r="D1159" i="1"/>
  <c r="C1159" i="1"/>
  <c r="B1159" i="1"/>
  <c r="BQ1158" i="1"/>
  <c r="D1158" i="1"/>
  <c r="C1158" i="1"/>
  <c r="B1158" i="1"/>
  <c r="BQ1157" i="1"/>
  <c r="D1157" i="1"/>
  <c r="C1157" i="1"/>
  <c r="B1157" i="1"/>
  <c r="BQ1156" i="1"/>
  <c r="D1156" i="1"/>
  <c r="C1156" i="1"/>
  <c r="B1156" i="1"/>
  <c r="BQ1155" i="1"/>
  <c r="D1155" i="1"/>
  <c r="C1155" i="1"/>
  <c r="B1155" i="1"/>
  <c r="BQ1154" i="1"/>
  <c r="D1154" i="1"/>
  <c r="C1154" i="1"/>
  <c r="B1154" i="1"/>
  <c r="BQ1153" i="1"/>
  <c r="D1153" i="1"/>
  <c r="C1153" i="1"/>
  <c r="B1153" i="1"/>
  <c r="BQ1152" i="1"/>
  <c r="D1152" i="1"/>
  <c r="C1152" i="1"/>
  <c r="B1152" i="1"/>
  <c r="BQ1151" i="1"/>
  <c r="D1151" i="1"/>
  <c r="C1151" i="1"/>
  <c r="B1151" i="1"/>
  <c r="BQ1150" i="1"/>
  <c r="D1150" i="1"/>
  <c r="C1150" i="1"/>
  <c r="B1150" i="1"/>
  <c r="BQ1149" i="1"/>
  <c r="D1149" i="1"/>
  <c r="C1149" i="1"/>
  <c r="B1149" i="1"/>
  <c r="BQ1148" i="1"/>
  <c r="D1148" i="1"/>
  <c r="C1148" i="1"/>
  <c r="B1148" i="1"/>
  <c r="BQ1147" i="1"/>
  <c r="D1147" i="1"/>
  <c r="C1147" i="1"/>
  <c r="B1147" i="1"/>
  <c r="BQ1146" i="1"/>
  <c r="D1146" i="1"/>
  <c r="C1146" i="1"/>
  <c r="B1146" i="1"/>
  <c r="BQ1145" i="1"/>
  <c r="D1145" i="1"/>
  <c r="C1145" i="1"/>
  <c r="B1145" i="1"/>
  <c r="BQ1144" i="1"/>
  <c r="D1144" i="1"/>
  <c r="C1144" i="1"/>
  <c r="B1144" i="1"/>
  <c r="BQ1143" i="1"/>
  <c r="D1143" i="1"/>
  <c r="C1143" i="1"/>
  <c r="B1143" i="1"/>
  <c r="BQ1142" i="1"/>
  <c r="D1142" i="1"/>
  <c r="C1142" i="1"/>
  <c r="B1142" i="1"/>
  <c r="BQ1141" i="1"/>
  <c r="D1141" i="1"/>
  <c r="C1141" i="1"/>
  <c r="B1141" i="1"/>
  <c r="BQ1140" i="1"/>
  <c r="D1140" i="1"/>
  <c r="C1140" i="1"/>
  <c r="B1140" i="1"/>
  <c r="BQ1139" i="1"/>
  <c r="D1139" i="1"/>
  <c r="C1139" i="1"/>
  <c r="B1139" i="1"/>
  <c r="BQ1138" i="1"/>
  <c r="D1138" i="1"/>
  <c r="C1138" i="1"/>
  <c r="B1138" i="1"/>
  <c r="BQ1137" i="1"/>
  <c r="D1137" i="1"/>
  <c r="C1137" i="1"/>
  <c r="B1137" i="1"/>
  <c r="BQ1136" i="1"/>
  <c r="D1136" i="1"/>
  <c r="C1136" i="1"/>
  <c r="B1136" i="1"/>
  <c r="BQ1135" i="1"/>
  <c r="D1135" i="1"/>
  <c r="C1135" i="1"/>
  <c r="B1135" i="1"/>
  <c r="BQ1134" i="1"/>
  <c r="D1134" i="1"/>
  <c r="C1134" i="1"/>
  <c r="B1134" i="1"/>
  <c r="BQ1133" i="1"/>
  <c r="D1133" i="1"/>
  <c r="C1133" i="1"/>
  <c r="B1133" i="1"/>
  <c r="BQ1132" i="1"/>
  <c r="D1132" i="1"/>
  <c r="C1132" i="1"/>
  <c r="B1132" i="1"/>
  <c r="BQ1131" i="1"/>
  <c r="D1131" i="1"/>
  <c r="C1131" i="1"/>
  <c r="B1131" i="1"/>
  <c r="BQ1130" i="1"/>
  <c r="D1130" i="1"/>
  <c r="C1130" i="1"/>
  <c r="B1130" i="1"/>
  <c r="BQ1129" i="1"/>
  <c r="D1129" i="1"/>
  <c r="C1129" i="1"/>
  <c r="B1129" i="1"/>
  <c r="BQ1128" i="1"/>
  <c r="D1128" i="1"/>
  <c r="C1128" i="1"/>
  <c r="B1128" i="1"/>
  <c r="BQ1127" i="1"/>
  <c r="D1127" i="1"/>
  <c r="C1127" i="1"/>
  <c r="B1127" i="1"/>
  <c r="BQ1126" i="1"/>
  <c r="D1126" i="1"/>
  <c r="C1126" i="1"/>
  <c r="B1126" i="1"/>
  <c r="BQ1125" i="1"/>
  <c r="D1125" i="1"/>
  <c r="C1125" i="1"/>
  <c r="B1125" i="1"/>
  <c r="BQ1124" i="1"/>
  <c r="D1124" i="1"/>
  <c r="C1124" i="1"/>
  <c r="B1124" i="1"/>
  <c r="BQ1123" i="1"/>
  <c r="D1123" i="1"/>
  <c r="C1123" i="1"/>
  <c r="B1123" i="1"/>
  <c r="BQ1122" i="1"/>
  <c r="D1122" i="1"/>
  <c r="C1122" i="1"/>
  <c r="B1122" i="1"/>
  <c r="BQ1121" i="1"/>
  <c r="D1121" i="1"/>
  <c r="C1121" i="1"/>
  <c r="B1121" i="1"/>
  <c r="BQ1120" i="1"/>
  <c r="D1120" i="1"/>
  <c r="C1120" i="1"/>
  <c r="B1120" i="1"/>
  <c r="BQ1119" i="1"/>
  <c r="D1119" i="1"/>
  <c r="C1119" i="1"/>
  <c r="B1119" i="1"/>
  <c r="BQ1118" i="1"/>
  <c r="D1118" i="1"/>
  <c r="C1118" i="1"/>
  <c r="B1118" i="1"/>
  <c r="BQ1117" i="1"/>
  <c r="D1117" i="1"/>
  <c r="C1117" i="1"/>
  <c r="B1117" i="1"/>
  <c r="BQ1116" i="1"/>
  <c r="D1116" i="1"/>
  <c r="C1116" i="1"/>
  <c r="B1116" i="1"/>
  <c r="BQ1115" i="1"/>
  <c r="D1115" i="1"/>
  <c r="C1115" i="1"/>
  <c r="B1115" i="1"/>
  <c r="BQ1114" i="1"/>
  <c r="D1114" i="1"/>
  <c r="C1114" i="1"/>
  <c r="B1114" i="1"/>
  <c r="BQ1113" i="1"/>
  <c r="D1113" i="1"/>
  <c r="C1113" i="1"/>
  <c r="B1113" i="1"/>
  <c r="BQ1112" i="1"/>
  <c r="D1112" i="1"/>
  <c r="C1112" i="1"/>
  <c r="B1112" i="1"/>
  <c r="BQ1111" i="1"/>
  <c r="D1111" i="1"/>
  <c r="C1111" i="1"/>
  <c r="B1111" i="1"/>
  <c r="BQ1110" i="1"/>
  <c r="D1110" i="1"/>
  <c r="C1110" i="1"/>
  <c r="B1110" i="1"/>
  <c r="BQ1109" i="1"/>
  <c r="D1109" i="1"/>
  <c r="C1109" i="1"/>
  <c r="B1109" i="1"/>
  <c r="BQ1108" i="1"/>
  <c r="D1108" i="1"/>
  <c r="C1108" i="1"/>
  <c r="B1108" i="1"/>
  <c r="BQ1107" i="1"/>
  <c r="D1107" i="1"/>
  <c r="C1107" i="1"/>
  <c r="B1107" i="1"/>
  <c r="BQ1106" i="1"/>
  <c r="D1106" i="1"/>
  <c r="C1106" i="1"/>
  <c r="B1106" i="1"/>
  <c r="BQ1105" i="1"/>
  <c r="D1105" i="1"/>
  <c r="C1105" i="1"/>
  <c r="B1105" i="1"/>
  <c r="BQ1104" i="1"/>
  <c r="D1104" i="1"/>
  <c r="C1104" i="1"/>
  <c r="B1104" i="1"/>
  <c r="BQ1103" i="1"/>
  <c r="D1103" i="1"/>
  <c r="C1103" i="1"/>
  <c r="B1103" i="1"/>
  <c r="BQ1102" i="1"/>
  <c r="D1102" i="1"/>
  <c r="C1102" i="1"/>
  <c r="B1102" i="1"/>
  <c r="BQ1101" i="1"/>
  <c r="D1101" i="1"/>
  <c r="C1101" i="1"/>
  <c r="B1101" i="1"/>
  <c r="BQ1100" i="1"/>
  <c r="D1100" i="1"/>
  <c r="C1100" i="1"/>
  <c r="B1100" i="1"/>
  <c r="BQ1099" i="1"/>
  <c r="D1099" i="1"/>
  <c r="C1099" i="1"/>
  <c r="B1099" i="1"/>
  <c r="BQ1098" i="1"/>
  <c r="D1098" i="1"/>
  <c r="C1098" i="1"/>
  <c r="B1098" i="1"/>
  <c r="BQ1097" i="1"/>
  <c r="D1097" i="1"/>
  <c r="C1097" i="1"/>
  <c r="B1097" i="1"/>
  <c r="BQ1096" i="1"/>
  <c r="D1096" i="1"/>
  <c r="C1096" i="1"/>
  <c r="B1096" i="1"/>
  <c r="BQ1095" i="1"/>
  <c r="D1095" i="1"/>
  <c r="C1095" i="1"/>
  <c r="B1095" i="1"/>
  <c r="BQ1094" i="1"/>
  <c r="D1094" i="1"/>
  <c r="C1094" i="1"/>
  <c r="B1094" i="1"/>
  <c r="BQ1093" i="1"/>
  <c r="D1093" i="1"/>
  <c r="C1093" i="1"/>
  <c r="B1093" i="1"/>
  <c r="BQ1092" i="1"/>
  <c r="D1092" i="1"/>
  <c r="C1092" i="1"/>
  <c r="B1092" i="1"/>
  <c r="BQ1091" i="1"/>
  <c r="D1091" i="1"/>
  <c r="C1091" i="1"/>
  <c r="B1091" i="1"/>
  <c r="BQ1090" i="1"/>
  <c r="D1090" i="1"/>
  <c r="C1090" i="1"/>
  <c r="B1090" i="1"/>
  <c r="BQ1089" i="1"/>
  <c r="D1089" i="1"/>
  <c r="C1089" i="1"/>
  <c r="B1089" i="1"/>
  <c r="BQ1088" i="1"/>
  <c r="D1088" i="1"/>
  <c r="C1088" i="1"/>
  <c r="B1088" i="1"/>
  <c r="BQ1087" i="1"/>
  <c r="D1087" i="1"/>
  <c r="C1087" i="1"/>
  <c r="B1087" i="1"/>
  <c r="BQ1086" i="1"/>
  <c r="D1086" i="1"/>
  <c r="C1086" i="1"/>
  <c r="B1086" i="1"/>
  <c r="BQ1085" i="1"/>
  <c r="D1085" i="1"/>
  <c r="C1085" i="1"/>
  <c r="B1085" i="1"/>
  <c r="BQ1084" i="1"/>
  <c r="D1084" i="1"/>
  <c r="C1084" i="1"/>
  <c r="B1084" i="1"/>
  <c r="BQ1083" i="1"/>
  <c r="D1083" i="1"/>
  <c r="C1083" i="1"/>
  <c r="B1083" i="1"/>
  <c r="BQ1082" i="1"/>
  <c r="D1082" i="1"/>
  <c r="C1082" i="1"/>
  <c r="B1082" i="1"/>
  <c r="BQ1081" i="1"/>
  <c r="D1081" i="1"/>
  <c r="C1081" i="1"/>
  <c r="B1081" i="1"/>
  <c r="BQ1080" i="1"/>
  <c r="D1080" i="1"/>
  <c r="C1080" i="1"/>
  <c r="B1080" i="1"/>
  <c r="BQ1079" i="1"/>
  <c r="D1079" i="1"/>
  <c r="C1079" i="1"/>
  <c r="B1079" i="1"/>
  <c r="BQ1078" i="1"/>
  <c r="D1078" i="1"/>
  <c r="C1078" i="1"/>
  <c r="B1078" i="1"/>
  <c r="BQ1077" i="1"/>
  <c r="D1077" i="1"/>
  <c r="C1077" i="1"/>
  <c r="B1077" i="1"/>
  <c r="BQ1076" i="1"/>
  <c r="D1076" i="1"/>
  <c r="C1076" i="1"/>
  <c r="B1076" i="1"/>
  <c r="BQ1075" i="1"/>
  <c r="D1075" i="1"/>
  <c r="C1075" i="1"/>
  <c r="B1075" i="1"/>
  <c r="BQ1074" i="1"/>
  <c r="D1074" i="1"/>
  <c r="C1074" i="1"/>
  <c r="B1074" i="1"/>
  <c r="BQ1073" i="1"/>
  <c r="D1073" i="1"/>
  <c r="C1073" i="1"/>
  <c r="B1073" i="1"/>
  <c r="BQ1072" i="1"/>
  <c r="D1072" i="1"/>
  <c r="C1072" i="1"/>
  <c r="B1072" i="1"/>
  <c r="BQ1071" i="1"/>
  <c r="D1071" i="1"/>
  <c r="C1071" i="1"/>
  <c r="B1071" i="1"/>
  <c r="BQ1070" i="1"/>
  <c r="D1070" i="1"/>
  <c r="C1070" i="1"/>
  <c r="B1070" i="1"/>
  <c r="BQ1069" i="1"/>
  <c r="D1069" i="1"/>
  <c r="C1069" i="1"/>
  <c r="B1069" i="1"/>
  <c r="BQ1068" i="1"/>
  <c r="D1068" i="1"/>
  <c r="C1068" i="1"/>
  <c r="B1068" i="1"/>
  <c r="BQ1067" i="1"/>
  <c r="D1067" i="1"/>
  <c r="C1067" i="1"/>
  <c r="B1067" i="1"/>
  <c r="BQ1066" i="1"/>
  <c r="D1066" i="1"/>
  <c r="C1066" i="1"/>
  <c r="B1066" i="1"/>
  <c r="BQ1065" i="1"/>
  <c r="D1065" i="1"/>
  <c r="C1065" i="1"/>
  <c r="B1065" i="1"/>
  <c r="BQ1064" i="1"/>
  <c r="D1064" i="1"/>
  <c r="C1064" i="1"/>
  <c r="B1064" i="1"/>
  <c r="BQ1063" i="1"/>
  <c r="D1063" i="1"/>
  <c r="C1063" i="1"/>
  <c r="B1063" i="1"/>
  <c r="BQ1062" i="1"/>
  <c r="D1062" i="1"/>
  <c r="C1062" i="1"/>
  <c r="B1062" i="1"/>
  <c r="BQ1061" i="1"/>
  <c r="D1061" i="1"/>
  <c r="C1061" i="1"/>
  <c r="B1061" i="1"/>
  <c r="BQ1060" i="1"/>
  <c r="D1060" i="1"/>
  <c r="C1060" i="1"/>
  <c r="B1060" i="1"/>
  <c r="BQ1059" i="1"/>
  <c r="D1059" i="1"/>
  <c r="C1059" i="1"/>
  <c r="B1059" i="1"/>
  <c r="BQ1058" i="1"/>
  <c r="D1058" i="1"/>
  <c r="C1058" i="1"/>
  <c r="B1058" i="1"/>
  <c r="BQ1057" i="1"/>
  <c r="D1057" i="1"/>
  <c r="C1057" i="1"/>
  <c r="B1057" i="1"/>
  <c r="BQ1056" i="1"/>
  <c r="D1056" i="1"/>
  <c r="C1056" i="1"/>
  <c r="B1056" i="1"/>
  <c r="BQ1055" i="1"/>
  <c r="D1055" i="1"/>
  <c r="C1055" i="1"/>
  <c r="B1055" i="1"/>
  <c r="BQ1054" i="1"/>
  <c r="D1054" i="1"/>
  <c r="C1054" i="1"/>
  <c r="B1054" i="1"/>
  <c r="BQ1053" i="1"/>
  <c r="D1053" i="1"/>
  <c r="C1053" i="1"/>
  <c r="B1053" i="1"/>
  <c r="BQ1052" i="1"/>
  <c r="D1052" i="1"/>
  <c r="C1052" i="1"/>
  <c r="B1052" i="1"/>
  <c r="BQ1051" i="1"/>
  <c r="D1051" i="1"/>
  <c r="C1051" i="1"/>
  <c r="B1051" i="1"/>
  <c r="BQ1050" i="1"/>
  <c r="D1050" i="1"/>
  <c r="C1050" i="1"/>
  <c r="B1050" i="1"/>
  <c r="BQ1049" i="1"/>
  <c r="D1049" i="1"/>
  <c r="C1049" i="1"/>
  <c r="B1049" i="1"/>
  <c r="BQ1048" i="1"/>
  <c r="D1048" i="1"/>
  <c r="C1048" i="1"/>
  <c r="B1048" i="1"/>
  <c r="BQ1047" i="1"/>
  <c r="D1047" i="1"/>
  <c r="C1047" i="1"/>
  <c r="B1047" i="1"/>
  <c r="BQ1046" i="1"/>
  <c r="D1046" i="1"/>
  <c r="C1046" i="1"/>
  <c r="B1046" i="1"/>
  <c r="BQ1045" i="1"/>
  <c r="D1045" i="1"/>
  <c r="C1045" i="1"/>
  <c r="B1045" i="1"/>
  <c r="BQ1044" i="1"/>
  <c r="D1044" i="1"/>
  <c r="C1044" i="1"/>
  <c r="B1044" i="1"/>
  <c r="BQ1043" i="1"/>
  <c r="D1043" i="1"/>
  <c r="C1043" i="1"/>
  <c r="B1043" i="1"/>
  <c r="BQ1042" i="1"/>
  <c r="D1042" i="1"/>
  <c r="C1042" i="1"/>
  <c r="B1042" i="1"/>
  <c r="BQ1041" i="1"/>
  <c r="D1041" i="1"/>
  <c r="C1041" i="1"/>
  <c r="B1041" i="1"/>
  <c r="BQ1040" i="1"/>
  <c r="D1040" i="1"/>
  <c r="C1040" i="1"/>
  <c r="B1040" i="1"/>
  <c r="BQ1039" i="1"/>
  <c r="D1039" i="1"/>
  <c r="C1039" i="1"/>
  <c r="B1039" i="1"/>
  <c r="BQ1038" i="1"/>
  <c r="D1038" i="1"/>
  <c r="C1038" i="1"/>
  <c r="B1038" i="1"/>
  <c r="BQ1037" i="1"/>
  <c r="D1037" i="1"/>
  <c r="C1037" i="1"/>
  <c r="B1037" i="1"/>
  <c r="BQ1036" i="1"/>
  <c r="D1036" i="1"/>
  <c r="C1036" i="1"/>
  <c r="B1036" i="1"/>
  <c r="BQ1035" i="1"/>
  <c r="D1035" i="1"/>
  <c r="C1035" i="1"/>
  <c r="B1035" i="1"/>
  <c r="BQ1034" i="1"/>
  <c r="D1034" i="1"/>
  <c r="C1034" i="1"/>
  <c r="B1034" i="1"/>
  <c r="BQ1033" i="1"/>
  <c r="D1033" i="1"/>
  <c r="C1033" i="1"/>
  <c r="B1033" i="1"/>
  <c r="BQ1032" i="1"/>
  <c r="D1032" i="1"/>
  <c r="C1032" i="1"/>
  <c r="B1032" i="1"/>
  <c r="BQ1031" i="1"/>
  <c r="D1031" i="1"/>
  <c r="C1031" i="1"/>
  <c r="B1031" i="1"/>
  <c r="BQ1030" i="1"/>
  <c r="D1030" i="1"/>
  <c r="C1030" i="1"/>
  <c r="B1030" i="1"/>
  <c r="BQ1029" i="1"/>
  <c r="D1029" i="1"/>
  <c r="C1029" i="1"/>
  <c r="B1029" i="1"/>
  <c r="BQ1028" i="1"/>
  <c r="D1028" i="1"/>
  <c r="C1028" i="1"/>
  <c r="B1028" i="1"/>
  <c r="BQ1027" i="1"/>
  <c r="D1027" i="1"/>
  <c r="C1027" i="1"/>
  <c r="B1027" i="1"/>
  <c r="BQ1026" i="1"/>
  <c r="D1026" i="1"/>
  <c r="C1026" i="1"/>
  <c r="B1026" i="1"/>
  <c r="BQ1025" i="1"/>
  <c r="D1025" i="1"/>
  <c r="C1025" i="1"/>
  <c r="B1025" i="1"/>
  <c r="BQ1024" i="1"/>
  <c r="D1024" i="1"/>
  <c r="C1024" i="1"/>
  <c r="B1024" i="1"/>
  <c r="BQ1023" i="1"/>
  <c r="D1023" i="1"/>
  <c r="C1023" i="1"/>
  <c r="B1023" i="1"/>
  <c r="BQ1022" i="1"/>
  <c r="D1022" i="1"/>
  <c r="C1022" i="1"/>
  <c r="B1022" i="1"/>
  <c r="BQ1021" i="1"/>
  <c r="D1021" i="1"/>
  <c r="C1021" i="1"/>
  <c r="B1021" i="1"/>
  <c r="BQ1020" i="1"/>
  <c r="D1020" i="1"/>
  <c r="C1020" i="1"/>
  <c r="B1020" i="1"/>
  <c r="BQ1019" i="1"/>
  <c r="D1019" i="1"/>
  <c r="C1019" i="1"/>
  <c r="B1019" i="1"/>
  <c r="BQ1018" i="1"/>
  <c r="D1018" i="1"/>
  <c r="C1018" i="1"/>
  <c r="B1018" i="1"/>
  <c r="BQ1017" i="1"/>
  <c r="D1017" i="1"/>
  <c r="C1017" i="1"/>
  <c r="B1017" i="1"/>
  <c r="BQ1016" i="1"/>
  <c r="D1016" i="1"/>
  <c r="C1016" i="1"/>
  <c r="B1016" i="1"/>
  <c r="BQ1015" i="1"/>
  <c r="D1015" i="1"/>
  <c r="C1015" i="1"/>
  <c r="B1015" i="1"/>
  <c r="BQ1014" i="1"/>
  <c r="D1014" i="1"/>
  <c r="C1014" i="1"/>
  <c r="B1014" i="1"/>
  <c r="BQ1013" i="1"/>
  <c r="D1013" i="1"/>
  <c r="C1013" i="1"/>
  <c r="B1013" i="1"/>
  <c r="BQ1012" i="1"/>
  <c r="D1012" i="1"/>
  <c r="C1012" i="1"/>
  <c r="B1012" i="1"/>
  <c r="BQ1011" i="1"/>
  <c r="D1011" i="1"/>
  <c r="C1011" i="1"/>
  <c r="B1011" i="1"/>
  <c r="BQ1010" i="1"/>
  <c r="D1010" i="1"/>
  <c r="C1010" i="1"/>
  <c r="B1010" i="1"/>
  <c r="BQ1009" i="1"/>
  <c r="D1009" i="1"/>
  <c r="C1009" i="1"/>
  <c r="B1009" i="1"/>
  <c r="BQ1008" i="1"/>
  <c r="D1008" i="1"/>
  <c r="C1008" i="1"/>
  <c r="B1008" i="1"/>
  <c r="BQ1007" i="1"/>
  <c r="D1007" i="1"/>
  <c r="C1007" i="1"/>
  <c r="B1007" i="1"/>
  <c r="BQ1006" i="1"/>
  <c r="D1006" i="1"/>
  <c r="C1006" i="1"/>
  <c r="B1006" i="1"/>
  <c r="BQ1005" i="1"/>
  <c r="D1005" i="1"/>
  <c r="C1005" i="1"/>
  <c r="B1005" i="1"/>
  <c r="BQ1004" i="1"/>
  <c r="D1004" i="1"/>
  <c r="C1004" i="1"/>
  <c r="B1004" i="1"/>
  <c r="BQ1003" i="1"/>
  <c r="D1003" i="1"/>
  <c r="C1003" i="1"/>
  <c r="B1003" i="1"/>
  <c r="BQ1002" i="1"/>
  <c r="D1002" i="1"/>
  <c r="C1002" i="1"/>
  <c r="B1002" i="1"/>
  <c r="BQ1001" i="1"/>
  <c r="D1001" i="1"/>
  <c r="C1001" i="1"/>
  <c r="B1001" i="1"/>
  <c r="BQ1000" i="1"/>
  <c r="D1000" i="1"/>
  <c r="C1000" i="1"/>
  <c r="B1000" i="1"/>
  <c r="BQ999" i="1"/>
  <c r="D999" i="1"/>
  <c r="C999" i="1"/>
  <c r="B999" i="1"/>
  <c r="BQ998" i="1"/>
  <c r="D998" i="1"/>
  <c r="C998" i="1"/>
  <c r="B998" i="1"/>
  <c r="BQ997" i="1"/>
  <c r="D997" i="1"/>
  <c r="C997" i="1"/>
  <c r="B997" i="1"/>
  <c r="BQ996" i="1"/>
  <c r="D996" i="1"/>
  <c r="C996" i="1"/>
  <c r="B996" i="1"/>
  <c r="BQ995" i="1"/>
  <c r="D995" i="1"/>
  <c r="C995" i="1"/>
  <c r="B995" i="1"/>
  <c r="BQ994" i="1"/>
  <c r="D994" i="1"/>
  <c r="C994" i="1"/>
  <c r="B994" i="1"/>
  <c r="BQ993" i="1"/>
  <c r="D993" i="1"/>
  <c r="C993" i="1"/>
  <c r="B993" i="1"/>
  <c r="BQ992" i="1"/>
  <c r="D992" i="1"/>
  <c r="C992" i="1"/>
  <c r="B992" i="1"/>
  <c r="BQ991" i="1"/>
  <c r="D991" i="1"/>
  <c r="C991" i="1"/>
  <c r="B991" i="1"/>
  <c r="BQ990" i="1"/>
  <c r="D990" i="1"/>
  <c r="C990" i="1"/>
  <c r="B990" i="1"/>
  <c r="BQ989" i="1"/>
  <c r="D989" i="1"/>
  <c r="C989" i="1"/>
  <c r="B989" i="1"/>
  <c r="BQ988" i="1"/>
  <c r="D988" i="1"/>
  <c r="C988" i="1"/>
  <c r="B988" i="1"/>
  <c r="BQ987" i="1"/>
  <c r="D987" i="1"/>
  <c r="C987" i="1"/>
  <c r="B987" i="1"/>
  <c r="BQ986" i="1"/>
  <c r="D986" i="1"/>
  <c r="C986" i="1"/>
  <c r="B986" i="1"/>
  <c r="BQ985" i="1"/>
  <c r="D985" i="1"/>
  <c r="C985" i="1"/>
  <c r="B985" i="1"/>
  <c r="BQ984" i="1"/>
  <c r="D984" i="1"/>
  <c r="C984" i="1"/>
  <c r="B984" i="1"/>
  <c r="BQ983" i="1"/>
  <c r="D983" i="1"/>
  <c r="C983" i="1"/>
  <c r="B983" i="1"/>
  <c r="BQ982" i="1"/>
  <c r="D982" i="1"/>
  <c r="C982" i="1"/>
  <c r="B982" i="1"/>
  <c r="BQ981" i="1"/>
  <c r="D981" i="1"/>
  <c r="C981" i="1"/>
  <c r="B981" i="1"/>
  <c r="BQ980" i="1"/>
  <c r="D980" i="1"/>
  <c r="C980" i="1"/>
  <c r="B980" i="1"/>
  <c r="BQ979" i="1"/>
  <c r="D979" i="1"/>
  <c r="C979" i="1"/>
  <c r="B979" i="1"/>
  <c r="BQ978" i="1"/>
  <c r="D978" i="1"/>
  <c r="C978" i="1"/>
  <c r="B978" i="1"/>
  <c r="BQ977" i="1"/>
  <c r="D977" i="1"/>
  <c r="C977" i="1"/>
  <c r="B977" i="1"/>
  <c r="BQ976" i="1"/>
  <c r="D976" i="1"/>
  <c r="C976" i="1"/>
  <c r="B976" i="1"/>
  <c r="BQ975" i="1"/>
  <c r="D975" i="1"/>
  <c r="C975" i="1"/>
  <c r="B975" i="1"/>
  <c r="BQ974" i="1"/>
  <c r="D974" i="1"/>
  <c r="C974" i="1"/>
  <c r="B974" i="1"/>
  <c r="BQ973" i="1"/>
  <c r="D973" i="1"/>
  <c r="C973" i="1"/>
  <c r="B973" i="1"/>
  <c r="BQ972" i="1"/>
  <c r="D972" i="1"/>
  <c r="C972" i="1"/>
  <c r="B972" i="1"/>
  <c r="BQ971" i="1"/>
  <c r="D971" i="1"/>
  <c r="C971" i="1"/>
  <c r="B971" i="1"/>
  <c r="BQ970" i="1"/>
  <c r="D970" i="1"/>
  <c r="C970" i="1"/>
  <c r="B970" i="1"/>
  <c r="BQ969" i="1"/>
  <c r="D969" i="1"/>
  <c r="C969" i="1"/>
  <c r="B969" i="1"/>
  <c r="BQ968" i="1"/>
  <c r="D968" i="1"/>
  <c r="C968" i="1"/>
  <c r="B968" i="1"/>
  <c r="BQ967" i="1"/>
  <c r="D967" i="1"/>
  <c r="C967" i="1"/>
  <c r="B967" i="1"/>
  <c r="BQ966" i="1"/>
  <c r="D966" i="1"/>
  <c r="C966" i="1"/>
  <c r="B966" i="1"/>
  <c r="BQ965" i="1"/>
  <c r="D965" i="1"/>
  <c r="C965" i="1"/>
  <c r="B965" i="1"/>
  <c r="BQ964" i="1"/>
  <c r="D964" i="1"/>
  <c r="C964" i="1"/>
  <c r="B964" i="1"/>
  <c r="BQ963" i="1"/>
  <c r="D963" i="1"/>
  <c r="C963" i="1"/>
  <c r="B963" i="1"/>
  <c r="BQ962" i="1"/>
  <c r="D962" i="1"/>
  <c r="C962" i="1"/>
  <c r="B962" i="1"/>
  <c r="BQ961" i="1"/>
  <c r="D961" i="1"/>
  <c r="C961" i="1"/>
  <c r="B961" i="1"/>
  <c r="BQ960" i="1"/>
  <c r="D960" i="1"/>
  <c r="C960" i="1"/>
  <c r="B960" i="1"/>
  <c r="BQ959" i="1"/>
  <c r="D959" i="1"/>
  <c r="C959" i="1"/>
  <c r="B959" i="1"/>
  <c r="BQ958" i="1"/>
  <c r="D958" i="1"/>
  <c r="C958" i="1"/>
  <c r="B958" i="1"/>
  <c r="BQ957" i="1"/>
  <c r="D957" i="1"/>
  <c r="C957" i="1"/>
  <c r="B957" i="1"/>
  <c r="BQ956" i="1"/>
  <c r="D956" i="1"/>
  <c r="C956" i="1"/>
  <c r="B956" i="1"/>
  <c r="BQ955" i="1"/>
  <c r="D955" i="1"/>
  <c r="C955" i="1"/>
  <c r="B955" i="1"/>
  <c r="BQ954" i="1"/>
  <c r="D954" i="1"/>
  <c r="C954" i="1"/>
  <c r="B954" i="1"/>
  <c r="BQ953" i="1"/>
  <c r="D953" i="1"/>
  <c r="C953" i="1"/>
  <c r="B953" i="1"/>
  <c r="BQ952" i="1"/>
  <c r="D952" i="1"/>
  <c r="C952" i="1"/>
  <c r="B952" i="1"/>
  <c r="BQ951" i="1"/>
  <c r="D951" i="1"/>
  <c r="C951" i="1"/>
  <c r="B951" i="1"/>
  <c r="BQ950" i="1"/>
  <c r="D950" i="1"/>
  <c r="C950" i="1"/>
  <c r="B950" i="1"/>
  <c r="BQ949" i="1"/>
  <c r="D949" i="1"/>
  <c r="C949" i="1"/>
  <c r="B949" i="1"/>
  <c r="BQ948" i="1"/>
  <c r="D948" i="1"/>
  <c r="C948" i="1"/>
  <c r="B948" i="1"/>
  <c r="BQ947" i="1"/>
  <c r="D947" i="1"/>
  <c r="C947" i="1"/>
  <c r="B947" i="1"/>
  <c r="BQ946" i="1"/>
  <c r="D946" i="1"/>
  <c r="C946" i="1"/>
  <c r="B946" i="1"/>
  <c r="BQ945" i="1"/>
  <c r="D945" i="1"/>
  <c r="C945" i="1"/>
  <c r="B945" i="1"/>
  <c r="BQ944" i="1"/>
  <c r="D944" i="1"/>
  <c r="C944" i="1"/>
  <c r="B944" i="1"/>
  <c r="BQ943" i="1"/>
  <c r="D943" i="1"/>
  <c r="C943" i="1"/>
  <c r="B943" i="1"/>
  <c r="BQ942" i="1"/>
  <c r="D942" i="1"/>
  <c r="C942" i="1"/>
  <c r="B942" i="1"/>
  <c r="BQ941" i="1"/>
  <c r="D941" i="1"/>
  <c r="C941" i="1"/>
  <c r="B941" i="1"/>
  <c r="BQ940" i="1"/>
  <c r="D940" i="1"/>
  <c r="C940" i="1"/>
  <c r="B940" i="1"/>
  <c r="BQ939" i="1"/>
  <c r="D939" i="1"/>
  <c r="C939" i="1"/>
  <c r="B939" i="1"/>
  <c r="BQ938" i="1"/>
  <c r="D938" i="1"/>
  <c r="C938" i="1"/>
  <c r="B938" i="1"/>
  <c r="BQ937" i="1"/>
  <c r="D937" i="1"/>
  <c r="C937" i="1"/>
  <c r="B937" i="1"/>
  <c r="BQ936" i="1"/>
  <c r="D936" i="1"/>
  <c r="C936" i="1"/>
  <c r="B936" i="1"/>
  <c r="BQ935" i="1"/>
  <c r="D935" i="1"/>
  <c r="C935" i="1"/>
  <c r="B935" i="1"/>
  <c r="BQ934" i="1"/>
  <c r="D934" i="1"/>
  <c r="C934" i="1"/>
  <c r="B934" i="1"/>
  <c r="BQ933" i="1"/>
  <c r="D933" i="1"/>
  <c r="C933" i="1"/>
  <c r="B933" i="1"/>
  <c r="BQ932" i="1"/>
  <c r="D932" i="1"/>
  <c r="C932" i="1"/>
  <c r="B932" i="1"/>
  <c r="BQ931" i="1"/>
  <c r="D931" i="1"/>
  <c r="C931" i="1"/>
  <c r="B931" i="1"/>
  <c r="BQ930" i="1"/>
  <c r="D930" i="1"/>
  <c r="C930" i="1"/>
  <c r="B930" i="1"/>
  <c r="BQ929" i="1"/>
  <c r="D929" i="1"/>
  <c r="C929" i="1"/>
  <c r="B929" i="1"/>
  <c r="BQ928" i="1"/>
  <c r="D928" i="1"/>
  <c r="C928" i="1"/>
  <c r="B928" i="1"/>
  <c r="BQ927" i="1"/>
  <c r="D927" i="1"/>
  <c r="C927" i="1"/>
  <c r="B927" i="1"/>
  <c r="BQ926" i="1"/>
  <c r="D926" i="1"/>
  <c r="C926" i="1"/>
  <c r="B926" i="1"/>
  <c r="BQ925" i="1"/>
  <c r="D925" i="1"/>
  <c r="C925" i="1"/>
  <c r="B925" i="1"/>
  <c r="BQ924" i="1"/>
  <c r="D924" i="1"/>
  <c r="C924" i="1"/>
  <c r="B924" i="1"/>
  <c r="BQ923" i="1"/>
  <c r="D923" i="1"/>
  <c r="C923" i="1"/>
  <c r="B923" i="1"/>
  <c r="BQ922" i="1"/>
  <c r="D922" i="1"/>
  <c r="C922" i="1"/>
  <c r="B922" i="1"/>
  <c r="BQ921" i="1"/>
  <c r="D921" i="1"/>
  <c r="C921" i="1"/>
  <c r="B921" i="1"/>
  <c r="BQ920" i="1"/>
  <c r="D920" i="1"/>
  <c r="C920" i="1"/>
  <c r="B920" i="1"/>
  <c r="BQ919" i="1"/>
  <c r="D919" i="1"/>
  <c r="C919" i="1"/>
  <c r="B919" i="1"/>
  <c r="BQ918" i="1"/>
  <c r="D918" i="1"/>
  <c r="C918" i="1"/>
  <c r="B918" i="1"/>
  <c r="BQ917" i="1"/>
  <c r="BP917" i="1"/>
  <c r="BM917" i="1"/>
  <c r="BL917" i="1"/>
  <c r="BK917" i="1"/>
  <c r="BJ917" i="1"/>
  <c r="BI917" i="1"/>
  <c r="D917" i="1"/>
  <c r="C917" i="1"/>
  <c r="B917" i="1"/>
  <c r="BQ916" i="1"/>
  <c r="BP916" i="1"/>
  <c r="BM916" i="1"/>
  <c r="BL916" i="1"/>
  <c r="BK916" i="1"/>
  <c r="BJ916" i="1"/>
  <c r="BI916" i="1"/>
  <c r="D916" i="1"/>
  <c r="C916" i="1"/>
  <c r="B916" i="1"/>
  <c r="BQ915" i="1"/>
  <c r="BP915" i="1"/>
  <c r="BM915" i="1"/>
  <c r="BL915" i="1"/>
  <c r="BK915" i="1"/>
  <c r="BJ915" i="1"/>
  <c r="BI915" i="1"/>
  <c r="D915" i="1"/>
  <c r="C915" i="1"/>
  <c r="B915" i="1"/>
  <c r="BQ914" i="1"/>
  <c r="BP914" i="1"/>
  <c r="BM914" i="1"/>
  <c r="BL914" i="1"/>
  <c r="BK914" i="1"/>
  <c r="BJ914" i="1"/>
  <c r="BI914" i="1"/>
  <c r="D914" i="1"/>
  <c r="C914" i="1"/>
  <c r="B914" i="1"/>
  <c r="BQ913" i="1"/>
  <c r="BP913" i="1"/>
  <c r="BM913" i="1"/>
  <c r="BL913" i="1"/>
  <c r="BK913" i="1"/>
  <c r="BJ913" i="1"/>
  <c r="BI913" i="1"/>
  <c r="D913" i="1"/>
  <c r="C913" i="1"/>
  <c r="B913" i="1"/>
  <c r="BQ912" i="1"/>
  <c r="BP912" i="1"/>
  <c r="BM912" i="1"/>
  <c r="BL912" i="1"/>
  <c r="BK912" i="1"/>
  <c r="BJ912" i="1"/>
  <c r="BI912" i="1"/>
  <c r="D912" i="1"/>
  <c r="C912" i="1"/>
  <c r="B912" i="1"/>
  <c r="BQ911" i="1"/>
  <c r="BP911" i="1"/>
  <c r="BM911" i="1"/>
  <c r="BL911" i="1"/>
  <c r="BK911" i="1"/>
  <c r="BJ911" i="1"/>
  <c r="BI911" i="1"/>
  <c r="D911" i="1"/>
  <c r="C911" i="1"/>
  <c r="B911" i="1"/>
  <c r="BQ910" i="1"/>
  <c r="BP910" i="1"/>
  <c r="BM910" i="1"/>
  <c r="BL910" i="1"/>
  <c r="BK910" i="1"/>
  <c r="BJ910" i="1"/>
  <c r="BI910" i="1"/>
  <c r="D910" i="1"/>
  <c r="C910" i="1"/>
  <c r="B910" i="1"/>
  <c r="BQ909" i="1"/>
  <c r="BP909" i="1"/>
  <c r="BM909" i="1"/>
  <c r="BL909" i="1"/>
  <c r="BK909" i="1"/>
  <c r="BJ909" i="1"/>
  <c r="BI909" i="1"/>
  <c r="D909" i="1"/>
  <c r="C909" i="1"/>
  <c r="B909" i="1"/>
  <c r="BQ908" i="1"/>
  <c r="BP908" i="1"/>
  <c r="BM908" i="1"/>
  <c r="BL908" i="1"/>
  <c r="BK908" i="1"/>
  <c r="BJ908" i="1"/>
  <c r="BI908" i="1"/>
  <c r="D908" i="1"/>
  <c r="C908" i="1"/>
  <c r="B908" i="1"/>
  <c r="BQ907" i="1"/>
  <c r="BP907" i="1"/>
  <c r="BM907" i="1"/>
  <c r="BL907" i="1"/>
  <c r="BK907" i="1"/>
  <c r="BJ907" i="1"/>
  <c r="BI907" i="1"/>
  <c r="D907" i="1"/>
  <c r="C907" i="1"/>
  <c r="B907" i="1"/>
  <c r="BQ906" i="1"/>
  <c r="BP906" i="1"/>
  <c r="BM906" i="1"/>
  <c r="BL906" i="1"/>
  <c r="BK906" i="1"/>
  <c r="BJ906" i="1"/>
  <c r="BI906" i="1"/>
  <c r="D906" i="1"/>
  <c r="C906" i="1"/>
  <c r="B906" i="1"/>
  <c r="BQ905" i="1"/>
  <c r="BP905" i="1"/>
  <c r="BM905" i="1"/>
  <c r="BL905" i="1"/>
  <c r="BK905" i="1"/>
  <c r="BJ905" i="1"/>
  <c r="BI905" i="1"/>
  <c r="D905" i="1"/>
  <c r="C905" i="1"/>
  <c r="B905" i="1"/>
  <c r="BQ904" i="1"/>
  <c r="BP904" i="1"/>
  <c r="BM904" i="1"/>
  <c r="BL904" i="1"/>
  <c r="BK904" i="1"/>
  <c r="BJ904" i="1"/>
  <c r="BI904" i="1"/>
  <c r="D904" i="1"/>
  <c r="C904" i="1"/>
  <c r="B904" i="1"/>
  <c r="BQ903" i="1"/>
  <c r="BP903" i="1"/>
  <c r="BM903" i="1"/>
  <c r="BL903" i="1"/>
  <c r="BK903" i="1"/>
  <c r="BJ903" i="1"/>
  <c r="BI903" i="1"/>
  <c r="D903" i="1"/>
  <c r="C903" i="1"/>
  <c r="B903" i="1"/>
  <c r="BQ902" i="1"/>
  <c r="BP902" i="1"/>
  <c r="BM902" i="1"/>
  <c r="BL902" i="1"/>
  <c r="BK902" i="1"/>
  <c r="BJ902" i="1"/>
  <c r="BI902" i="1"/>
  <c r="D902" i="1"/>
  <c r="C902" i="1"/>
  <c r="B902" i="1"/>
  <c r="BQ901" i="1"/>
  <c r="BP901" i="1"/>
  <c r="BM901" i="1"/>
  <c r="BL901" i="1"/>
  <c r="BK901" i="1"/>
  <c r="BJ901" i="1"/>
  <c r="BI901" i="1"/>
  <c r="D901" i="1"/>
  <c r="C901" i="1"/>
  <c r="B901" i="1"/>
  <c r="BQ900" i="1"/>
  <c r="BP900" i="1"/>
  <c r="BM900" i="1"/>
  <c r="BL900" i="1"/>
  <c r="BK900" i="1"/>
  <c r="BJ900" i="1"/>
  <c r="BI900" i="1"/>
  <c r="D900" i="1"/>
  <c r="C900" i="1"/>
  <c r="B900" i="1"/>
  <c r="BQ899" i="1"/>
  <c r="BP899" i="1"/>
  <c r="BM899" i="1"/>
  <c r="BL899" i="1"/>
  <c r="BK899" i="1"/>
  <c r="BJ899" i="1"/>
  <c r="BI899" i="1"/>
  <c r="D899" i="1"/>
  <c r="C899" i="1"/>
  <c r="B899" i="1"/>
  <c r="BQ898" i="1"/>
  <c r="BP898" i="1"/>
  <c r="BM898" i="1"/>
  <c r="BL898" i="1"/>
  <c r="BK898" i="1"/>
  <c r="BJ898" i="1"/>
  <c r="BI898" i="1"/>
  <c r="D898" i="1"/>
  <c r="C898" i="1"/>
  <c r="B898" i="1"/>
  <c r="BQ897" i="1"/>
  <c r="BP897" i="1"/>
  <c r="BM897" i="1"/>
  <c r="BL897" i="1"/>
  <c r="BK897" i="1"/>
  <c r="BJ897" i="1"/>
  <c r="BI897" i="1"/>
  <c r="D897" i="1"/>
  <c r="C897" i="1"/>
  <c r="B897" i="1"/>
  <c r="BQ896" i="1"/>
  <c r="BP896" i="1"/>
  <c r="BM896" i="1"/>
  <c r="BL896" i="1"/>
  <c r="BK896" i="1"/>
  <c r="BJ896" i="1"/>
  <c r="BI896" i="1"/>
  <c r="D896" i="1"/>
  <c r="C896" i="1"/>
  <c r="B896" i="1"/>
  <c r="BQ895" i="1"/>
  <c r="BP895" i="1"/>
  <c r="BM895" i="1"/>
  <c r="BL895" i="1"/>
  <c r="BK895" i="1"/>
  <c r="BJ895" i="1"/>
  <c r="BI895" i="1"/>
  <c r="D895" i="1"/>
  <c r="C895" i="1"/>
  <c r="B895" i="1"/>
  <c r="BQ894" i="1"/>
  <c r="BP894" i="1"/>
  <c r="BM894" i="1"/>
  <c r="BL894" i="1"/>
  <c r="BK894" i="1"/>
  <c r="BJ894" i="1"/>
  <c r="BI894" i="1"/>
  <c r="D894" i="1"/>
  <c r="C894" i="1"/>
  <c r="B894" i="1"/>
  <c r="BQ893" i="1"/>
  <c r="BP893" i="1"/>
  <c r="BM893" i="1"/>
  <c r="BL893" i="1"/>
  <c r="BK893" i="1"/>
  <c r="BJ893" i="1"/>
  <c r="BI893" i="1"/>
  <c r="D893" i="1"/>
  <c r="C893" i="1"/>
  <c r="B893" i="1"/>
  <c r="BQ892" i="1"/>
  <c r="BP892" i="1"/>
  <c r="BM892" i="1"/>
  <c r="BL892" i="1"/>
  <c r="BK892" i="1"/>
  <c r="BJ892" i="1"/>
  <c r="BI892" i="1"/>
  <c r="D892" i="1"/>
  <c r="C892" i="1"/>
  <c r="B892" i="1"/>
  <c r="BQ891" i="1"/>
  <c r="BP891" i="1"/>
  <c r="BM891" i="1"/>
  <c r="BL891" i="1"/>
  <c r="BK891" i="1"/>
  <c r="BJ891" i="1"/>
  <c r="BI891" i="1"/>
  <c r="D891" i="1"/>
  <c r="C891" i="1"/>
  <c r="B891" i="1"/>
  <c r="BQ890" i="1"/>
  <c r="BP890" i="1"/>
  <c r="BM890" i="1"/>
  <c r="BL890" i="1"/>
  <c r="BK890" i="1"/>
  <c r="BJ890" i="1"/>
  <c r="BI890" i="1"/>
  <c r="D890" i="1"/>
  <c r="C890" i="1"/>
  <c r="B890" i="1"/>
  <c r="BQ889" i="1"/>
  <c r="BP889" i="1"/>
  <c r="BM889" i="1"/>
  <c r="BL889" i="1"/>
  <c r="BK889" i="1"/>
  <c r="BJ889" i="1"/>
  <c r="BI889" i="1"/>
  <c r="D889" i="1"/>
  <c r="C889" i="1"/>
  <c r="B889" i="1"/>
  <c r="BQ888" i="1"/>
  <c r="BP888" i="1"/>
  <c r="BM888" i="1"/>
  <c r="BL888" i="1"/>
  <c r="BK888" i="1"/>
  <c r="BJ888" i="1"/>
  <c r="BI888" i="1"/>
  <c r="D888" i="1"/>
  <c r="C888" i="1"/>
  <c r="B888" i="1"/>
  <c r="BQ887" i="1"/>
  <c r="BP887" i="1"/>
  <c r="BM887" i="1"/>
  <c r="BL887" i="1"/>
  <c r="BK887" i="1"/>
  <c r="BJ887" i="1"/>
  <c r="BI887" i="1"/>
  <c r="D887" i="1"/>
  <c r="C887" i="1"/>
  <c r="B887" i="1"/>
  <c r="BQ886" i="1"/>
  <c r="BP886" i="1"/>
  <c r="BM886" i="1"/>
  <c r="BL886" i="1"/>
  <c r="BK886" i="1"/>
  <c r="BJ886" i="1"/>
  <c r="BI886" i="1"/>
  <c r="D886" i="1"/>
  <c r="C886" i="1"/>
  <c r="B886" i="1"/>
  <c r="BQ885" i="1"/>
  <c r="BP885" i="1"/>
  <c r="BM885" i="1"/>
  <c r="BL885" i="1"/>
  <c r="BK885" i="1"/>
  <c r="BJ885" i="1"/>
  <c r="BI885" i="1"/>
  <c r="D885" i="1"/>
  <c r="C885" i="1"/>
  <c r="B885" i="1"/>
  <c r="BQ884" i="1"/>
  <c r="BP884" i="1"/>
  <c r="BM884" i="1"/>
  <c r="BL884" i="1"/>
  <c r="BK884" i="1"/>
  <c r="BJ884" i="1"/>
  <c r="BI884" i="1"/>
  <c r="D884" i="1"/>
  <c r="C884" i="1"/>
  <c r="B884" i="1"/>
  <c r="BQ883" i="1"/>
  <c r="BP883" i="1"/>
  <c r="BM883" i="1"/>
  <c r="BL883" i="1"/>
  <c r="BK883" i="1"/>
  <c r="BJ883" i="1"/>
  <c r="BI883" i="1"/>
  <c r="D883" i="1"/>
  <c r="C883" i="1"/>
  <c r="B883" i="1"/>
  <c r="BQ882" i="1"/>
  <c r="BP882" i="1"/>
  <c r="BM882" i="1"/>
  <c r="BL882" i="1"/>
  <c r="BK882" i="1"/>
  <c r="BJ882" i="1"/>
  <c r="BI882" i="1"/>
  <c r="D882" i="1"/>
  <c r="C882" i="1"/>
  <c r="B882" i="1"/>
  <c r="BQ881" i="1"/>
  <c r="BP881" i="1"/>
  <c r="BO881" i="1"/>
  <c r="BM881" i="1"/>
  <c r="BL881" i="1"/>
  <c r="BK881" i="1"/>
  <c r="BJ881" i="1"/>
  <c r="BI881" i="1"/>
  <c r="D881" i="1"/>
  <c r="C881" i="1"/>
  <c r="B881" i="1"/>
  <c r="BQ880" i="1"/>
  <c r="BP880" i="1"/>
  <c r="BM880" i="1"/>
  <c r="BL880" i="1"/>
  <c r="BK880" i="1"/>
  <c r="BJ880" i="1"/>
  <c r="BI880" i="1"/>
  <c r="D880" i="1"/>
  <c r="C880" i="1"/>
  <c r="B880" i="1"/>
  <c r="BQ879" i="1"/>
  <c r="BP879" i="1"/>
  <c r="BM879" i="1"/>
  <c r="BL879" i="1"/>
  <c r="BK879" i="1"/>
  <c r="BJ879" i="1"/>
  <c r="BI879" i="1"/>
  <c r="D879" i="1"/>
  <c r="C879" i="1"/>
  <c r="B879" i="1"/>
  <c r="BQ878" i="1"/>
  <c r="BP878" i="1"/>
  <c r="BM878" i="1"/>
  <c r="BL878" i="1"/>
  <c r="BK878" i="1"/>
  <c r="BJ878" i="1"/>
  <c r="BI878" i="1"/>
  <c r="D878" i="1"/>
  <c r="C878" i="1"/>
  <c r="B878" i="1"/>
  <c r="BQ877" i="1"/>
  <c r="BP877" i="1"/>
  <c r="BM877" i="1"/>
  <c r="BL877" i="1"/>
  <c r="BK877" i="1"/>
  <c r="BJ877" i="1"/>
  <c r="BI877" i="1"/>
  <c r="D877" i="1"/>
  <c r="C877" i="1"/>
  <c r="B877" i="1"/>
  <c r="BQ876" i="1"/>
  <c r="BP876" i="1"/>
  <c r="BM876" i="1"/>
  <c r="BL876" i="1"/>
  <c r="BK876" i="1"/>
  <c r="BJ876" i="1"/>
  <c r="BI876" i="1"/>
  <c r="D876" i="1"/>
  <c r="C876" i="1"/>
  <c r="B876" i="1"/>
  <c r="BQ875" i="1"/>
  <c r="BP875" i="1"/>
  <c r="BM875" i="1"/>
  <c r="BL875" i="1"/>
  <c r="BK875" i="1"/>
  <c r="BJ875" i="1"/>
  <c r="BI875" i="1"/>
  <c r="D875" i="1"/>
  <c r="C875" i="1"/>
  <c r="B875" i="1"/>
  <c r="BQ874" i="1"/>
  <c r="BP874" i="1"/>
  <c r="BM874" i="1"/>
  <c r="BL874" i="1"/>
  <c r="BK874" i="1"/>
  <c r="BJ874" i="1"/>
  <c r="BI874" i="1"/>
  <c r="D874" i="1"/>
  <c r="C874" i="1"/>
  <c r="B874" i="1"/>
  <c r="BQ873" i="1"/>
  <c r="BP873" i="1"/>
  <c r="BM873" i="1"/>
  <c r="BL873" i="1"/>
  <c r="BK873" i="1"/>
  <c r="BJ873" i="1"/>
  <c r="BI873" i="1"/>
  <c r="D873" i="1"/>
  <c r="C873" i="1"/>
  <c r="B873" i="1"/>
  <c r="BQ872" i="1"/>
  <c r="BP872" i="1"/>
  <c r="BM872" i="1"/>
  <c r="BL872" i="1"/>
  <c r="BK872" i="1"/>
  <c r="BJ872" i="1"/>
  <c r="BI872" i="1"/>
  <c r="D872" i="1"/>
  <c r="C872" i="1"/>
  <c r="B872" i="1"/>
  <c r="BQ871" i="1"/>
  <c r="BP871" i="1"/>
  <c r="BM871" i="1"/>
  <c r="BL871" i="1"/>
  <c r="BK871" i="1"/>
  <c r="BJ871" i="1"/>
  <c r="BI871" i="1"/>
  <c r="D871" i="1"/>
  <c r="C871" i="1"/>
  <c r="B871" i="1"/>
  <c r="BQ870" i="1"/>
  <c r="BP870" i="1"/>
  <c r="BM870" i="1"/>
  <c r="BL870" i="1"/>
  <c r="BK870" i="1"/>
  <c r="BJ870" i="1"/>
  <c r="BI870" i="1"/>
  <c r="D870" i="1"/>
  <c r="C870" i="1"/>
  <c r="B870" i="1"/>
  <c r="BQ869" i="1"/>
  <c r="BP869" i="1"/>
  <c r="BM869" i="1"/>
  <c r="BL869" i="1"/>
  <c r="BK869" i="1"/>
  <c r="BJ869" i="1"/>
  <c r="BI869" i="1"/>
  <c r="D869" i="1"/>
  <c r="C869" i="1"/>
  <c r="B869" i="1"/>
  <c r="BQ868" i="1"/>
  <c r="BP868" i="1"/>
  <c r="BM868" i="1"/>
  <c r="BL868" i="1"/>
  <c r="BK868" i="1"/>
  <c r="BJ868" i="1"/>
  <c r="BI868" i="1"/>
  <c r="D868" i="1"/>
  <c r="C868" i="1"/>
  <c r="B868" i="1"/>
  <c r="BQ867" i="1"/>
  <c r="BP867" i="1"/>
  <c r="BM867" i="1"/>
  <c r="BL867" i="1"/>
  <c r="BK867" i="1"/>
  <c r="BJ867" i="1"/>
  <c r="BI867" i="1"/>
  <c r="D867" i="1"/>
  <c r="C867" i="1"/>
  <c r="B867" i="1"/>
  <c r="BQ866" i="1"/>
  <c r="BP866" i="1"/>
  <c r="BM866" i="1"/>
  <c r="BL866" i="1"/>
  <c r="BK866" i="1"/>
  <c r="BJ866" i="1"/>
  <c r="BI866" i="1"/>
  <c r="D866" i="1"/>
  <c r="C866" i="1"/>
  <c r="B866" i="1"/>
  <c r="BQ865" i="1"/>
  <c r="BP865" i="1"/>
  <c r="BM865" i="1"/>
  <c r="BL865" i="1"/>
  <c r="BK865" i="1"/>
  <c r="BJ865" i="1"/>
  <c r="BI865" i="1"/>
  <c r="D865" i="1"/>
  <c r="C865" i="1"/>
  <c r="B865" i="1"/>
  <c r="BQ864" i="1"/>
  <c r="BP864" i="1"/>
  <c r="BM864" i="1"/>
  <c r="BL864" i="1"/>
  <c r="BK864" i="1"/>
  <c r="BJ864" i="1"/>
  <c r="BI864" i="1"/>
  <c r="D864" i="1"/>
  <c r="C864" i="1"/>
  <c r="B864" i="1"/>
  <c r="BQ863" i="1"/>
  <c r="BP863" i="1"/>
  <c r="BM863" i="1"/>
  <c r="BL863" i="1"/>
  <c r="BK863" i="1"/>
  <c r="BJ863" i="1"/>
  <c r="BI863" i="1"/>
  <c r="D863" i="1"/>
  <c r="C863" i="1"/>
  <c r="B863" i="1"/>
  <c r="BQ862" i="1"/>
  <c r="BP862" i="1"/>
  <c r="BM862" i="1"/>
  <c r="BL862" i="1"/>
  <c r="BK862" i="1"/>
  <c r="BJ862" i="1"/>
  <c r="BI862" i="1"/>
  <c r="D862" i="1"/>
  <c r="C862" i="1"/>
  <c r="B862" i="1"/>
  <c r="BQ861" i="1"/>
  <c r="BP861" i="1"/>
  <c r="BM861" i="1"/>
  <c r="BL861" i="1"/>
  <c r="BK861" i="1"/>
  <c r="BJ861" i="1"/>
  <c r="BI861" i="1"/>
  <c r="D861" i="1"/>
  <c r="C861" i="1"/>
  <c r="B861" i="1"/>
  <c r="BQ860" i="1"/>
  <c r="BP860" i="1"/>
  <c r="BM860" i="1"/>
  <c r="BL860" i="1"/>
  <c r="BK860" i="1"/>
  <c r="BJ860" i="1"/>
  <c r="BI860" i="1"/>
  <c r="D860" i="1"/>
  <c r="C860" i="1"/>
  <c r="B860" i="1"/>
  <c r="BQ859" i="1"/>
  <c r="BP859" i="1"/>
  <c r="BM859" i="1"/>
  <c r="BL859" i="1"/>
  <c r="BK859" i="1"/>
  <c r="BJ859" i="1"/>
  <c r="BI859" i="1"/>
  <c r="D859" i="1"/>
  <c r="C859" i="1"/>
  <c r="B859" i="1"/>
  <c r="BQ858" i="1"/>
  <c r="BP858" i="1"/>
  <c r="BM858" i="1"/>
  <c r="BL858" i="1"/>
  <c r="BK858" i="1"/>
  <c r="BJ858" i="1"/>
  <c r="BI858" i="1"/>
  <c r="D858" i="1"/>
  <c r="C858" i="1"/>
  <c r="B858" i="1"/>
  <c r="BQ857" i="1"/>
  <c r="BP857" i="1"/>
  <c r="BM857" i="1"/>
  <c r="BL857" i="1"/>
  <c r="BK857" i="1"/>
  <c r="BJ857" i="1"/>
  <c r="BI857" i="1"/>
  <c r="D857" i="1"/>
  <c r="C857" i="1"/>
  <c r="B857" i="1"/>
  <c r="BQ856" i="1"/>
  <c r="BP856" i="1"/>
  <c r="BM856" i="1"/>
  <c r="BL856" i="1"/>
  <c r="BK856" i="1"/>
  <c r="BJ856" i="1"/>
  <c r="BI856" i="1"/>
  <c r="D856" i="1"/>
  <c r="C856" i="1"/>
  <c r="B856" i="1"/>
  <c r="BQ855" i="1"/>
  <c r="BP855" i="1"/>
  <c r="BM855" i="1"/>
  <c r="BL855" i="1"/>
  <c r="BK855" i="1"/>
  <c r="BJ855" i="1"/>
  <c r="BI855" i="1"/>
  <c r="D855" i="1"/>
  <c r="C855" i="1"/>
  <c r="B855" i="1"/>
  <c r="BQ854" i="1"/>
  <c r="BP854" i="1"/>
  <c r="BM854" i="1"/>
  <c r="BL854" i="1"/>
  <c r="BK854" i="1"/>
  <c r="BJ854" i="1"/>
  <c r="BI854" i="1"/>
  <c r="D854" i="1"/>
  <c r="C854" i="1"/>
  <c r="B854" i="1"/>
  <c r="BQ853" i="1"/>
  <c r="BP853" i="1"/>
  <c r="BM853" i="1"/>
  <c r="BL853" i="1"/>
  <c r="BK853" i="1"/>
  <c r="BJ853" i="1"/>
  <c r="BI853" i="1"/>
  <c r="D853" i="1"/>
  <c r="C853" i="1"/>
  <c r="B853" i="1"/>
  <c r="BQ852" i="1"/>
  <c r="BP852" i="1"/>
  <c r="BM852" i="1"/>
  <c r="BL852" i="1"/>
  <c r="BK852" i="1"/>
  <c r="BJ852" i="1"/>
  <c r="BI852" i="1"/>
  <c r="D852" i="1"/>
  <c r="C852" i="1"/>
  <c r="B852" i="1"/>
  <c r="BQ851" i="1"/>
  <c r="BP851" i="1"/>
  <c r="BM851" i="1"/>
  <c r="BL851" i="1"/>
  <c r="BK851" i="1"/>
  <c r="BJ851" i="1"/>
  <c r="BI851" i="1"/>
  <c r="D851" i="1"/>
  <c r="C851" i="1"/>
  <c r="B851" i="1"/>
  <c r="BQ850" i="1"/>
  <c r="BP850" i="1"/>
  <c r="BM850" i="1"/>
  <c r="BL850" i="1"/>
  <c r="BK850" i="1"/>
  <c r="BJ850" i="1"/>
  <c r="BI850" i="1"/>
  <c r="D850" i="1"/>
  <c r="C850" i="1"/>
  <c r="B850" i="1"/>
  <c r="BQ849" i="1"/>
  <c r="BP849" i="1"/>
  <c r="BM849" i="1"/>
  <c r="BL849" i="1"/>
  <c r="BK849" i="1"/>
  <c r="BJ849" i="1"/>
  <c r="BI849" i="1"/>
  <c r="D849" i="1"/>
  <c r="C849" i="1"/>
  <c r="B849" i="1"/>
  <c r="BQ848" i="1"/>
  <c r="BP848" i="1"/>
  <c r="BM848" i="1"/>
  <c r="BL848" i="1"/>
  <c r="BK848" i="1"/>
  <c r="BJ848" i="1"/>
  <c r="BI848" i="1"/>
  <c r="D848" i="1"/>
  <c r="C848" i="1"/>
  <c r="B848" i="1"/>
  <c r="BQ847" i="1"/>
  <c r="BP847" i="1"/>
  <c r="BM847" i="1"/>
  <c r="BL847" i="1"/>
  <c r="BK847" i="1"/>
  <c r="BJ847" i="1"/>
  <c r="BI847" i="1"/>
  <c r="D847" i="1"/>
  <c r="C847" i="1"/>
  <c r="B847" i="1"/>
  <c r="BQ846" i="1"/>
  <c r="BP846" i="1"/>
  <c r="BM846" i="1"/>
  <c r="BL846" i="1"/>
  <c r="BK846" i="1"/>
  <c r="BJ846" i="1"/>
  <c r="BI846" i="1"/>
  <c r="D846" i="1"/>
  <c r="C846" i="1"/>
  <c r="B846" i="1"/>
  <c r="BQ845" i="1"/>
  <c r="BP845" i="1"/>
  <c r="BM845" i="1"/>
  <c r="BL845" i="1"/>
  <c r="BK845" i="1"/>
  <c r="BJ845" i="1"/>
  <c r="BI845" i="1"/>
  <c r="D845" i="1"/>
  <c r="C845" i="1"/>
  <c r="B845" i="1"/>
  <c r="BQ844" i="1"/>
  <c r="BP844" i="1"/>
  <c r="BM844" i="1"/>
  <c r="BL844" i="1"/>
  <c r="BK844" i="1"/>
  <c r="BJ844" i="1"/>
  <c r="BI844" i="1"/>
  <c r="D844" i="1"/>
  <c r="C844" i="1"/>
  <c r="B844" i="1"/>
  <c r="BQ843" i="1"/>
  <c r="BP843" i="1"/>
  <c r="BM843" i="1"/>
  <c r="BL843" i="1"/>
  <c r="BK843" i="1"/>
  <c r="BJ843" i="1"/>
  <c r="BI843" i="1"/>
  <c r="D843" i="1"/>
  <c r="C843" i="1"/>
  <c r="B843" i="1"/>
  <c r="BQ842" i="1"/>
  <c r="BP842" i="1"/>
  <c r="BM842" i="1"/>
  <c r="BL842" i="1"/>
  <c r="BK842" i="1"/>
  <c r="BJ842" i="1"/>
  <c r="BI842" i="1"/>
  <c r="D842" i="1"/>
  <c r="C842" i="1"/>
  <c r="B842" i="1"/>
  <c r="BQ841" i="1"/>
  <c r="BP841" i="1"/>
  <c r="BM841" i="1"/>
  <c r="BL841" i="1"/>
  <c r="BK841" i="1"/>
  <c r="BJ841" i="1"/>
  <c r="BI841" i="1"/>
  <c r="D841" i="1"/>
  <c r="C841" i="1"/>
  <c r="B841" i="1"/>
  <c r="BQ840" i="1"/>
  <c r="BP840" i="1"/>
  <c r="BM840" i="1"/>
  <c r="BL840" i="1"/>
  <c r="BK840" i="1"/>
  <c r="BJ840" i="1"/>
  <c r="BI840" i="1"/>
  <c r="D840" i="1"/>
  <c r="C840" i="1"/>
  <c r="B840" i="1"/>
  <c r="BQ839" i="1"/>
  <c r="BP839" i="1"/>
  <c r="BM839" i="1"/>
  <c r="BL839" i="1"/>
  <c r="BK839" i="1"/>
  <c r="BJ839" i="1"/>
  <c r="BI839" i="1"/>
  <c r="D839" i="1"/>
  <c r="C839" i="1"/>
  <c r="B839" i="1"/>
  <c r="BQ838" i="1"/>
  <c r="BP838" i="1"/>
  <c r="BM838" i="1"/>
  <c r="BL838" i="1"/>
  <c r="BK838" i="1"/>
  <c r="BJ838" i="1"/>
  <c r="BI838" i="1"/>
  <c r="D838" i="1"/>
  <c r="C838" i="1"/>
  <c r="B838" i="1"/>
  <c r="BQ837" i="1"/>
  <c r="BP837" i="1"/>
  <c r="BM837" i="1"/>
  <c r="BL837" i="1"/>
  <c r="BK837" i="1"/>
  <c r="BJ837" i="1"/>
  <c r="BI837" i="1"/>
  <c r="D837" i="1"/>
  <c r="C837" i="1"/>
  <c r="B837" i="1"/>
  <c r="BQ836" i="1"/>
  <c r="BP836" i="1"/>
  <c r="BM836" i="1"/>
  <c r="BL836" i="1"/>
  <c r="BK836" i="1"/>
  <c r="BJ836" i="1"/>
  <c r="BI836" i="1"/>
  <c r="D836" i="1"/>
  <c r="C836" i="1"/>
  <c r="B836" i="1"/>
  <c r="BQ835" i="1"/>
  <c r="BP835" i="1"/>
  <c r="BM835" i="1"/>
  <c r="BL835" i="1"/>
  <c r="BK835" i="1"/>
  <c r="BJ835" i="1"/>
  <c r="BI835" i="1"/>
  <c r="D835" i="1"/>
  <c r="C835" i="1"/>
  <c r="B835" i="1"/>
  <c r="BQ834" i="1"/>
  <c r="BP834" i="1"/>
  <c r="BM834" i="1"/>
  <c r="BL834" i="1"/>
  <c r="BK834" i="1"/>
  <c r="BJ834" i="1"/>
  <c r="BI834" i="1"/>
  <c r="D834" i="1"/>
  <c r="C834" i="1"/>
  <c r="B834" i="1"/>
  <c r="BQ833" i="1"/>
  <c r="BP833" i="1"/>
  <c r="BM833" i="1"/>
  <c r="BL833" i="1"/>
  <c r="BK833" i="1"/>
  <c r="BJ833" i="1"/>
  <c r="BI833" i="1"/>
  <c r="D833" i="1"/>
  <c r="C833" i="1"/>
  <c r="B833" i="1"/>
  <c r="BQ832" i="1"/>
  <c r="BP832" i="1"/>
  <c r="BM832" i="1"/>
  <c r="BL832" i="1"/>
  <c r="BK832" i="1"/>
  <c r="BJ832" i="1"/>
  <c r="BI832" i="1"/>
  <c r="D832" i="1"/>
  <c r="C832" i="1"/>
  <c r="B832" i="1"/>
  <c r="BQ831" i="1"/>
  <c r="BP831" i="1"/>
  <c r="BM831" i="1"/>
  <c r="BL831" i="1"/>
  <c r="BK831" i="1"/>
  <c r="BJ831" i="1"/>
  <c r="BI831" i="1"/>
  <c r="D831" i="1"/>
  <c r="C831" i="1"/>
  <c r="B831" i="1"/>
  <c r="BQ830" i="1"/>
  <c r="BP830" i="1"/>
  <c r="BM830" i="1"/>
  <c r="BL830" i="1"/>
  <c r="BK830" i="1"/>
  <c r="BJ830" i="1"/>
  <c r="BI830" i="1"/>
  <c r="D830" i="1"/>
  <c r="C830" i="1"/>
  <c r="B830" i="1"/>
  <c r="BQ829" i="1"/>
  <c r="BP829" i="1"/>
  <c r="BM829" i="1"/>
  <c r="BL829" i="1"/>
  <c r="BK829" i="1"/>
  <c r="BJ829" i="1"/>
  <c r="BI829" i="1"/>
  <c r="D829" i="1"/>
  <c r="C829" i="1"/>
  <c r="B829" i="1"/>
  <c r="BQ828" i="1"/>
  <c r="BP828" i="1"/>
  <c r="BM828" i="1"/>
  <c r="BL828" i="1"/>
  <c r="BK828" i="1"/>
  <c r="BJ828" i="1"/>
  <c r="BI828" i="1"/>
  <c r="D828" i="1"/>
  <c r="C828" i="1"/>
  <c r="B828" i="1"/>
  <c r="BQ827" i="1"/>
  <c r="BP827" i="1"/>
  <c r="BM827" i="1"/>
  <c r="BL827" i="1"/>
  <c r="BK827" i="1"/>
  <c r="BJ827" i="1"/>
  <c r="BI827" i="1"/>
  <c r="D827" i="1"/>
  <c r="C827" i="1"/>
  <c r="B827" i="1"/>
  <c r="BQ826" i="1"/>
  <c r="BP826" i="1"/>
  <c r="BM826" i="1"/>
  <c r="BL826" i="1"/>
  <c r="BK826" i="1"/>
  <c r="BJ826" i="1"/>
  <c r="BI826" i="1"/>
  <c r="D826" i="1"/>
  <c r="C826" i="1"/>
  <c r="B826" i="1"/>
  <c r="BQ825" i="1"/>
  <c r="BP825" i="1"/>
  <c r="BM825" i="1"/>
  <c r="BL825" i="1"/>
  <c r="BK825" i="1"/>
  <c r="BJ825" i="1"/>
  <c r="BI825" i="1"/>
  <c r="D825" i="1"/>
  <c r="C825" i="1"/>
  <c r="B825" i="1"/>
  <c r="BQ824" i="1"/>
  <c r="BP824" i="1"/>
  <c r="BM824" i="1"/>
  <c r="BL824" i="1"/>
  <c r="BK824" i="1"/>
  <c r="BJ824" i="1"/>
  <c r="BI824" i="1"/>
  <c r="D824" i="1"/>
  <c r="C824" i="1"/>
  <c r="B824" i="1"/>
  <c r="BQ823" i="1"/>
  <c r="BP823" i="1"/>
  <c r="BM823" i="1"/>
  <c r="BL823" i="1"/>
  <c r="BK823" i="1"/>
  <c r="BJ823" i="1"/>
  <c r="BI823" i="1"/>
  <c r="D823" i="1"/>
  <c r="C823" i="1"/>
  <c r="B823" i="1"/>
  <c r="BQ822" i="1"/>
  <c r="BP822" i="1"/>
  <c r="BM822" i="1"/>
  <c r="BL822" i="1"/>
  <c r="BK822" i="1"/>
  <c r="BJ822" i="1"/>
  <c r="BI822" i="1"/>
  <c r="D822" i="1"/>
  <c r="C822" i="1"/>
  <c r="B822" i="1"/>
  <c r="BQ821" i="1"/>
  <c r="BP821" i="1"/>
  <c r="BM821" i="1"/>
  <c r="BL821" i="1"/>
  <c r="BK821" i="1"/>
  <c r="BJ821" i="1"/>
  <c r="BI821" i="1"/>
  <c r="D821" i="1"/>
  <c r="C821" i="1"/>
  <c r="B821" i="1"/>
  <c r="BQ820" i="1"/>
  <c r="BP820" i="1"/>
  <c r="BM820" i="1"/>
  <c r="BL820" i="1"/>
  <c r="BK820" i="1"/>
  <c r="BJ820" i="1"/>
  <c r="BI820" i="1"/>
  <c r="D820" i="1"/>
  <c r="C820" i="1"/>
  <c r="B820" i="1"/>
  <c r="BQ819" i="1"/>
  <c r="BP819" i="1"/>
  <c r="BM819" i="1"/>
  <c r="BL819" i="1"/>
  <c r="BK819" i="1"/>
  <c r="BJ819" i="1"/>
  <c r="BI819" i="1"/>
  <c r="D819" i="1"/>
  <c r="C819" i="1"/>
  <c r="B819" i="1"/>
  <c r="BQ818" i="1"/>
  <c r="BP818" i="1"/>
  <c r="BM818" i="1"/>
  <c r="BL818" i="1"/>
  <c r="BK818" i="1"/>
  <c r="BJ818" i="1"/>
  <c r="BI818" i="1"/>
  <c r="D818" i="1"/>
  <c r="C818" i="1"/>
  <c r="B818" i="1"/>
  <c r="BQ817" i="1"/>
  <c r="BP817" i="1"/>
  <c r="BM817" i="1"/>
  <c r="BL817" i="1"/>
  <c r="BK817" i="1"/>
  <c r="BJ817" i="1"/>
  <c r="BI817" i="1"/>
  <c r="D817" i="1"/>
  <c r="C817" i="1"/>
  <c r="B817" i="1"/>
  <c r="BQ816" i="1"/>
  <c r="BP816" i="1"/>
  <c r="BM816" i="1"/>
  <c r="BL816" i="1"/>
  <c r="BK816" i="1"/>
  <c r="BJ816" i="1"/>
  <c r="BI816" i="1"/>
  <c r="D816" i="1"/>
  <c r="C816" i="1"/>
  <c r="B816" i="1"/>
  <c r="BQ815" i="1"/>
  <c r="BP815" i="1"/>
  <c r="BM815" i="1"/>
  <c r="BL815" i="1"/>
  <c r="BK815" i="1"/>
  <c r="BJ815" i="1"/>
  <c r="BI815" i="1"/>
  <c r="D815" i="1"/>
  <c r="C815" i="1"/>
  <c r="B815" i="1"/>
  <c r="BQ814" i="1"/>
  <c r="BP814" i="1"/>
  <c r="BM814" i="1"/>
  <c r="BL814" i="1"/>
  <c r="BK814" i="1"/>
  <c r="BJ814" i="1"/>
  <c r="BI814" i="1"/>
  <c r="D814" i="1"/>
  <c r="C814" i="1"/>
  <c r="B814" i="1"/>
  <c r="BQ813" i="1"/>
  <c r="BP813" i="1"/>
  <c r="BM813" i="1"/>
  <c r="BL813" i="1"/>
  <c r="BK813" i="1"/>
  <c r="BJ813" i="1"/>
  <c r="BI813" i="1"/>
  <c r="D813" i="1"/>
  <c r="C813" i="1"/>
  <c r="B813" i="1"/>
  <c r="BQ812" i="1"/>
  <c r="BP812" i="1"/>
  <c r="BM812" i="1"/>
  <c r="BL812" i="1"/>
  <c r="BK812" i="1"/>
  <c r="BJ812" i="1"/>
  <c r="BI812" i="1"/>
  <c r="D812" i="1"/>
  <c r="C812" i="1"/>
  <c r="B812" i="1"/>
  <c r="BQ811" i="1"/>
  <c r="BP811" i="1"/>
  <c r="BM811" i="1"/>
  <c r="BL811" i="1"/>
  <c r="BK811" i="1"/>
  <c r="BJ811" i="1"/>
  <c r="BI811" i="1"/>
  <c r="D811" i="1"/>
  <c r="C811" i="1"/>
  <c r="B811" i="1"/>
  <c r="BQ810" i="1"/>
  <c r="BP810" i="1"/>
  <c r="BM810" i="1"/>
  <c r="BL810" i="1"/>
  <c r="BK810" i="1"/>
  <c r="BJ810" i="1"/>
  <c r="BI810" i="1"/>
  <c r="D810" i="1"/>
  <c r="C810" i="1"/>
  <c r="B810" i="1"/>
  <c r="BQ809" i="1"/>
  <c r="BP809" i="1"/>
  <c r="BM809" i="1"/>
  <c r="BL809" i="1"/>
  <c r="BK809" i="1"/>
  <c r="BJ809" i="1"/>
  <c r="BI809" i="1"/>
  <c r="D809" i="1"/>
  <c r="C809" i="1"/>
  <c r="B809" i="1"/>
  <c r="BQ808" i="1"/>
  <c r="BP808" i="1"/>
  <c r="BM808" i="1"/>
  <c r="BL808" i="1"/>
  <c r="BK808" i="1"/>
  <c r="BJ808" i="1"/>
  <c r="BI808" i="1"/>
  <c r="D808" i="1"/>
  <c r="C808" i="1"/>
  <c r="B808" i="1"/>
  <c r="BQ807" i="1"/>
  <c r="BP807" i="1"/>
  <c r="BM807" i="1"/>
  <c r="BL807" i="1"/>
  <c r="BK807" i="1"/>
  <c r="BJ807" i="1"/>
  <c r="BI807" i="1"/>
  <c r="D807" i="1"/>
  <c r="C807" i="1"/>
  <c r="B807" i="1"/>
  <c r="BQ806" i="1"/>
  <c r="BP806" i="1"/>
  <c r="BM806" i="1"/>
  <c r="BL806" i="1"/>
  <c r="BK806" i="1"/>
  <c r="BJ806" i="1"/>
  <c r="BI806" i="1"/>
  <c r="D806" i="1"/>
  <c r="C806" i="1"/>
  <c r="B806" i="1"/>
  <c r="BQ805" i="1"/>
  <c r="BP805" i="1"/>
  <c r="BM805" i="1"/>
  <c r="BL805" i="1"/>
  <c r="BK805" i="1"/>
  <c r="BJ805" i="1"/>
  <c r="BI805" i="1"/>
  <c r="D805" i="1"/>
  <c r="C805" i="1"/>
  <c r="B805" i="1"/>
  <c r="BQ804" i="1"/>
  <c r="BP804" i="1"/>
  <c r="BM804" i="1"/>
  <c r="BL804" i="1"/>
  <c r="BK804" i="1"/>
  <c r="BJ804" i="1"/>
  <c r="BI804" i="1"/>
  <c r="D804" i="1"/>
  <c r="C804" i="1"/>
  <c r="B804" i="1"/>
  <c r="BQ803" i="1"/>
  <c r="BP803" i="1"/>
  <c r="BM803" i="1"/>
  <c r="BL803" i="1"/>
  <c r="BK803" i="1"/>
  <c r="BJ803" i="1"/>
  <c r="BI803" i="1"/>
  <c r="D803" i="1"/>
  <c r="C803" i="1"/>
  <c r="B803" i="1"/>
  <c r="BQ802" i="1"/>
  <c r="BP802" i="1"/>
  <c r="BM802" i="1"/>
  <c r="BL802" i="1"/>
  <c r="BK802" i="1"/>
  <c r="BJ802" i="1"/>
  <c r="BI802" i="1"/>
  <c r="D802" i="1"/>
  <c r="C802" i="1"/>
  <c r="B802" i="1"/>
  <c r="BQ801" i="1"/>
  <c r="BP801" i="1"/>
  <c r="BM801" i="1"/>
  <c r="BL801" i="1"/>
  <c r="BK801" i="1"/>
  <c r="BJ801" i="1"/>
  <c r="BI801" i="1"/>
  <c r="D801" i="1"/>
  <c r="C801" i="1"/>
  <c r="B801" i="1"/>
  <c r="BQ800" i="1"/>
  <c r="BP800" i="1"/>
  <c r="BM800" i="1"/>
  <c r="BL800" i="1"/>
  <c r="BK800" i="1"/>
  <c r="BJ800" i="1"/>
  <c r="BI800" i="1"/>
  <c r="D800" i="1"/>
  <c r="C800" i="1"/>
  <c r="B800" i="1"/>
  <c r="BQ799" i="1"/>
  <c r="BP799" i="1"/>
  <c r="BM799" i="1"/>
  <c r="BL799" i="1"/>
  <c r="BK799" i="1"/>
  <c r="BJ799" i="1"/>
  <c r="BI799" i="1"/>
  <c r="D799" i="1"/>
  <c r="C799" i="1"/>
  <c r="B799" i="1"/>
  <c r="BQ798" i="1"/>
  <c r="BP798" i="1"/>
  <c r="BM798" i="1"/>
  <c r="BL798" i="1"/>
  <c r="BK798" i="1"/>
  <c r="BJ798" i="1"/>
  <c r="BI798" i="1"/>
  <c r="D798" i="1"/>
  <c r="C798" i="1"/>
  <c r="B798" i="1"/>
  <c r="BQ797" i="1"/>
  <c r="BP797" i="1"/>
  <c r="BM797" i="1"/>
  <c r="BL797" i="1"/>
  <c r="BK797" i="1"/>
  <c r="BJ797" i="1"/>
  <c r="BI797" i="1"/>
  <c r="D797" i="1"/>
  <c r="C797" i="1"/>
  <c r="B797" i="1"/>
  <c r="BQ796" i="1"/>
  <c r="BP796" i="1"/>
  <c r="BM796" i="1"/>
  <c r="BL796" i="1"/>
  <c r="BK796" i="1"/>
  <c r="BJ796" i="1"/>
  <c r="BI796" i="1"/>
  <c r="D796" i="1"/>
  <c r="C796" i="1"/>
  <c r="B796" i="1"/>
  <c r="BQ795" i="1"/>
  <c r="BP795" i="1"/>
  <c r="BM795" i="1"/>
  <c r="BL795" i="1"/>
  <c r="BK795" i="1"/>
  <c r="BJ795" i="1"/>
  <c r="BI795" i="1"/>
  <c r="D795" i="1"/>
  <c r="C795" i="1"/>
  <c r="B795" i="1"/>
  <c r="BQ794" i="1"/>
  <c r="BP794" i="1"/>
  <c r="BM794" i="1"/>
  <c r="BL794" i="1"/>
  <c r="BK794" i="1"/>
  <c r="BJ794" i="1"/>
  <c r="BI794" i="1"/>
  <c r="D794" i="1"/>
  <c r="C794" i="1"/>
  <c r="B794" i="1"/>
  <c r="BQ793" i="1"/>
  <c r="BP793" i="1"/>
  <c r="BM793" i="1"/>
  <c r="BL793" i="1"/>
  <c r="BK793" i="1"/>
  <c r="BJ793" i="1"/>
  <c r="BI793" i="1"/>
  <c r="D793" i="1"/>
  <c r="C793" i="1"/>
  <c r="B793" i="1"/>
  <c r="BQ792" i="1"/>
  <c r="BP792" i="1"/>
  <c r="BM792" i="1"/>
  <c r="BL792" i="1"/>
  <c r="BK792" i="1"/>
  <c r="BJ792" i="1"/>
  <c r="BI792" i="1"/>
  <c r="D792" i="1"/>
  <c r="C792" i="1"/>
  <c r="B792" i="1"/>
  <c r="BQ791" i="1"/>
  <c r="BP791" i="1"/>
  <c r="BM791" i="1"/>
  <c r="BL791" i="1"/>
  <c r="BK791" i="1"/>
  <c r="BJ791" i="1"/>
  <c r="BI791" i="1"/>
  <c r="D791" i="1"/>
  <c r="C791" i="1"/>
  <c r="B791" i="1"/>
  <c r="BQ790" i="1"/>
  <c r="BP790" i="1"/>
  <c r="BM790" i="1"/>
  <c r="BL790" i="1"/>
  <c r="BK790" i="1"/>
  <c r="BJ790" i="1"/>
  <c r="BI790" i="1"/>
  <c r="D790" i="1"/>
  <c r="C790" i="1"/>
  <c r="B790" i="1"/>
  <c r="BQ789" i="1"/>
  <c r="BP789" i="1"/>
  <c r="BM789" i="1"/>
  <c r="BL789" i="1"/>
  <c r="BK789" i="1"/>
  <c r="BJ789" i="1"/>
  <c r="BI789" i="1"/>
  <c r="D789" i="1"/>
  <c r="C789" i="1"/>
  <c r="B789" i="1"/>
  <c r="BQ788" i="1"/>
  <c r="BP788" i="1"/>
  <c r="BM788" i="1"/>
  <c r="BL788" i="1"/>
  <c r="BK788" i="1"/>
  <c r="BJ788" i="1"/>
  <c r="BI788" i="1"/>
  <c r="D788" i="1"/>
  <c r="C788" i="1"/>
  <c r="B788" i="1"/>
  <c r="BQ787" i="1"/>
  <c r="BP787" i="1"/>
  <c r="BM787" i="1"/>
  <c r="BL787" i="1"/>
  <c r="BK787" i="1"/>
  <c r="BJ787" i="1"/>
  <c r="BI787" i="1"/>
  <c r="D787" i="1"/>
  <c r="C787" i="1"/>
  <c r="B787" i="1"/>
  <c r="BQ786" i="1"/>
  <c r="BP786" i="1"/>
  <c r="BM786" i="1"/>
  <c r="BL786" i="1"/>
  <c r="BK786" i="1"/>
  <c r="BJ786" i="1"/>
  <c r="BI786" i="1"/>
  <c r="D786" i="1"/>
  <c r="C786" i="1"/>
  <c r="B786" i="1"/>
  <c r="BQ785" i="1"/>
  <c r="BP785" i="1"/>
  <c r="BM785" i="1"/>
  <c r="BL785" i="1"/>
  <c r="BK785" i="1"/>
  <c r="BJ785" i="1"/>
  <c r="BI785" i="1"/>
  <c r="D785" i="1"/>
  <c r="C785" i="1"/>
  <c r="B785" i="1"/>
  <c r="BQ784" i="1"/>
  <c r="BP784" i="1"/>
  <c r="BM784" i="1"/>
  <c r="BL784" i="1"/>
  <c r="BK784" i="1"/>
  <c r="BJ784" i="1"/>
  <c r="BI784" i="1"/>
  <c r="D784" i="1"/>
  <c r="C784" i="1"/>
  <c r="B784" i="1"/>
  <c r="BQ783" i="1"/>
  <c r="BP783" i="1"/>
  <c r="BM783" i="1"/>
  <c r="BL783" i="1"/>
  <c r="BK783" i="1"/>
  <c r="BJ783" i="1"/>
  <c r="BI783" i="1"/>
  <c r="D783" i="1"/>
  <c r="C783" i="1"/>
  <c r="B783" i="1"/>
  <c r="BQ782" i="1"/>
  <c r="BP782" i="1"/>
  <c r="BM782" i="1"/>
  <c r="BL782" i="1"/>
  <c r="BK782" i="1"/>
  <c r="BJ782" i="1"/>
  <c r="BI782" i="1"/>
  <c r="D782" i="1"/>
  <c r="C782" i="1"/>
  <c r="B782" i="1"/>
  <c r="BQ781" i="1"/>
  <c r="BP781" i="1"/>
  <c r="BM781" i="1"/>
  <c r="BL781" i="1"/>
  <c r="BK781" i="1"/>
  <c r="BJ781" i="1"/>
  <c r="BI781" i="1"/>
  <c r="D781" i="1"/>
  <c r="C781" i="1"/>
  <c r="B781" i="1"/>
  <c r="BQ780" i="1"/>
  <c r="BP780" i="1"/>
  <c r="BM780" i="1"/>
  <c r="BL780" i="1"/>
  <c r="BK780" i="1"/>
  <c r="BJ780" i="1"/>
  <c r="BI780" i="1"/>
  <c r="D780" i="1"/>
  <c r="C780" i="1"/>
  <c r="B780" i="1"/>
  <c r="BQ779" i="1"/>
  <c r="BP779" i="1"/>
  <c r="BM779" i="1"/>
  <c r="BL779" i="1"/>
  <c r="BK779" i="1"/>
  <c r="BJ779" i="1"/>
  <c r="BI779" i="1"/>
  <c r="D779" i="1"/>
  <c r="C779" i="1"/>
  <c r="B779" i="1"/>
  <c r="BQ778" i="1"/>
  <c r="BP778" i="1"/>
  <c r="BM778" i="1"/>
  <c r="BL778" i="1"/>
  <c r="BK778" i="1"/>
  <c r="BJ778" i="1"/>
  <c r="BI778" i="1"/>
  <c r="D778" i="1"/>
  <c r="C778" i="1"/>
  <c r="B778" i="1"/>
  <c r="BQ777" i="1"/>
  <c r="BP777" i="1"/>
  <c r="BM777" i="1"/>
  <c r="BL777" i="1"/>
  <c r="BK777" i="1"/>
  <c r="BJ777" i="1"/>
  <c r="BI777" i="1"/>
  <c r="G777" i="1"/>
  <c r="D777" i="1"/>
  <c r="C777" i="1"/>
  <c r="B777" i="1"/>
  <c r="BQ776" i="1"/>
  <c r="BP776" i="1"/>
  <c r="BM776" i="1"/>
  <c r="BL776" i="1"/>
  <c r="BK776" i="1"/>
  <c r="BJ776" i="1"/>
  <c r="BI776" i="1"/>
  <c r="D776" i="1"/>
  <c r="C776" i="1"/>
  <c r="B776" i="1"/>
  <c r="BQ775" i="1"/>
  <c r="BP775" i="1"/>
  <c r="BM775" i="1"/>
  <c r="BL775" i="1"/>
  <c r="BK775" i="1"/>
  <c r="BJ775" i="1"/>
  <c r="BI775" i="1"/>
  <c r="D775" i="1"/>
  <c r="C775" i="1"/>
  <c r="B775" i="1"/>
  <c r="BQ774" i="1"/>
  <c r="BP774" i="1"/>
  <c r="BM774" i="1"/>
  <c r="BL774" i="1"/>
  <c r="BK774" i="1"/>
  <c r="BJ774" i="1"/>
  <c r="BI774" i="1"/>
  <c r="D774" i="1"/>
  <c r="C774" i="1"/>
  <c r="B774" i="1"/>
  <c r="BQ773" i="1"/>
  <c r="BP773" i="1"/>
  <c r="BM773" i="1"/>
  <c r="BL773" i="1"/>
  <c r="BK773" i="1"/>
  <c r="BJ773" i="1"/>
  <c r="BI773" i="1"/>
  <c r="D773" i="1"/>
  <c r="C773" i="1"/>
  <c r="B773" i="1"/>
  <c r="BQ772" i="1"/>
  <c r="BP772" i="1"/>
  <c r="BM772" i="1"/>
  <c r="BL772" i="1"/>
  <c r="BK772" i="1"/>
  <c r="BJ772" i="1"/>
  <c r="BI772" i="1"/>
  <c r="D772" i="1"/>
  <c r="C772" i="1"/>
  <c r="B772" i="1"/>
  <c r="BQ771" i="1"/>
  <c r="BP771" i="1"/>
  <c r="BM771" i="1"/>
  <c r="BL771" i="1"/>
  <c r="BK771" i="1"/>
  <c r="BJ771" i="1"/>
  <c r="BI771" i="1"/>
  <c r="D771" i="1"/>
  <c r="C771" i="1"/>
  <c r="B771" i="1"/>
  <c r="BQ770" i="1"/>
  <c r="BP770" i="1"/>
  <c r="BM770" i="1"/>
  <c r="BL770" i="1"/>
  <c r="BK770" i="1"/>
  <c r="BJ770" i="1"/>
  <c r="BI770" i="1"/>
  <c r="D770" i="1"/>
  <c r="C770" i="1"/>
  <c r="B770" i="1"/>
  <c r="BQ769" i="1"/>
  <c r="BP769" i="1"/>
  <c r="BM769" i="1"/>
  <c r="BL769" i="1"/>
  <c r="BK769" i="1"/>
  <c r="BJ769" i="1"/>
  <c r="BI769" i="1"/>
  <c r="D769" i="1"/>
  <c r="C769" i="1"/>
  <c r="B769" i="1"/>
  <c r="BQ768" i="1"/>
  <c r="BP768" i="1"/>
  <c r="BM768" i="1"/>
  <c r="BL768" i="1"/>
  <c r="BK768" i="1"/>
  <c r="BJ768" i="1"/>
  <c r="BI768" i="1"/>
  <c r="D768" i="1"/>
  <c r="C768" i="1"/>
  <c r="B768" i="1"/>
  <c r="BQ767" i="1"/>
  <c r="BP767" i="1"/>
  <c r="BM767" i="1"/>
  <c r="BL767" i="1"/>
  <c r="BK767" i="1"/>
  <c r="BJ767" i="1"/>
  <c r="BI767" i="1"/>
  <c r="D767" i="1"/>
  <c r="C767" i="1"/>
  <c r="B767" i="1"/>
  <c r="BQ766" i="1"/>
  <c r="BP766" i="1"/>
  <c r="BM766" i="1"/>
  <c r="BL766" i="1"/>
  <c r="BK766" i="1"/>
  <c r="BJ766" i="1"/>
  <c r="BI766" i="1"/>
  <c r="D766" i="1"/>
  <c r="C766" i="1"/>
  <c r="B766" i="1"/>
  <c r="BQ765" i="1"/>
  <c r="BP765" i="1"/>
  <c r="BM765" i="1"/>
  <c r="BL765" i="1"/>
  <c r="BK765" i="1"/>
  <c r="BJ765" i="1"/>
  <c r="BI765" i="1"/>
  <c r="D765" i="1"/>
  <c r="C765" i="1"/>
  <c r="B765" i="1"/>
  <c r="BQ764" i="1"/>
  <c r="BP764" i="1"/>
  <c r="BM764" i="1"/>
  <c r="BL764" i="1"/>
  <c r="BK764" i="1"/>
  <c r="BJ764" i="1"/>
  <c r="BI764" i="1"/>
  <c r="D764" i="1"/>
  <c r="C764" i="1"/>
  <c r="B764" i="1"/>
  <c r="BQ763" i="1"/>
  <c r="BP763" i="1"/>
  <c r="BM763" i="1"/>
  <c r="BL763" i="1"/>
  <c r="BK763" i="1"/>
  <c r="BJ763" i="1"/>
  <c r="BI763" i="1"/>
  <c r="D763" i="1"/>
  <c r="C763" i="1"/>
  <c r="B763" i="1"/>
  <c r="BQ762" i="1"/>
  <c r="BP762" i="1"/>
  <c r="BM762" i="1"/>
  <c r="BL762" i="1"/>
  <c r="BK762" i="1"/>
  <c r="BJ762" i="1"/>
  <c r="BI762" i="1"/>
  <c r="D762" i="1"/>
  <c r="C762" i="1"/>
  <c r="B762" i="1"/>
  <c r="BQ761" i="1"/>
  <c r="BP761" i="1"/>
  <c r="BM761" i="1"/>
  <c r="BL761" i="1"/>
  <c r="BK761" i="1"/>
  <c r="BJ761" i="1"/>
  <c r="BI761" i="1"/>
  <c r="D761" i="1"/>
  <c r="C761" i="1"/>
  <c r="B761" i="1"/>
  <c r="BQ760" i="1"/>
  <c r="BP760" i="1"/>
  <c r="BM760" i="1"/>
  <c r="BL760" i="1"/>
  <c r="BK760" i="1"/>
  <c r="BJ760" i="1"/>
  <c r="BI760" i="1"/>
  <c r="D760" i="1"/>
  <c r="C760" i="1"/>
  <c r="B760" i="1"/>
  <c r="BQ759" i="1"/>
  <c r="BP759" i="1"/>
  <c r="BM759" i="1"/>
  <c r="BL759" i="1"/>
  <c r="BK759" i="1"/>
  <c r="BJ759" i="1"/>
  <c r="BI759" i="1"/>
  <c r="D759" i="1"/>
  <c r="C759" i="1"/>
  <c r="B759" i="1"/>
  <c r="BQ758" i="1"/>
  <c r="BP758" i="1"/>
  <c r="BM758" i="1"/>
  <c r="BL758" i="1"/>
  <c r="BK758" i="1"/>
  <c r="BJ758" i="1"/>
  <c r="BI758" i="1"/>
  <c r="D758" i="1"/>
  <c r="C758" i="1"/>
  <c r="B758" i="1"/>
  <c r="BQ757" i="1"/>
  <c r="BP757" i="1"/>
  <c r="BM757" i="1"/>
  <c r="BL757" i="1"/>
  <c r="BK757" i="1"/>
  <c r="BJ757" i="1"/>
  <c r="BI757" i="1"/>
  <c r="D757" i="1"/>
  <c r="C757" i="1"/>
  <c r="B757" i="1"/>
  <c r="BQ756" i="1"/>
  <c r="BP756" i="1"/>
  <c r="BM756" i="1"/>
  <c r="BL756" i="1"/>
  <c r="BK756" i="1"/>
  <c r="BJ756" i="1"/>
  <c r="BI756" i="1"/>
  <c r="D756" i="1"/>
  <c r="C756" i="1"/>
  <c r="B756" i="1"/>
  <c r="BQ755" i="1"/>
  <c r="BP755" i="1"/>
  <c r="BM755" i="1"/>
  <c r="BL755" i="1"/>
  <c r="BK755" i="1"/>
  <c r="BJ755" i="1"/>
  <c r="BI755" i="1"/>
  <c r="D755" i="1"/>
  <c r="C755" i="1"/>
  <c r="B755" i="1"/>
  <c r="BQ754" i="1"/>
  <c r="BP754" i="1"/>
  <c r="BM754" i="1"/>
  <c r="BL754" i="1"/>
  <c r="BK754" i="1"/>
  <c r="BJ754" i="1"/>
  <c r="BI754" i="1"/>
  <c r="D754" i="1"/>
  <c r="C754" i="1"/>
  <c r="B754" i="1"/>
  <c r="BQ753" i="1"/>
  <c r="BP753" i="1"/>
  <c r="BM753" i="1"/>
  <c r="BL753" i="1"/>
  <c r="BK753" i="1"/>
  <c r="BJ753" i="1"/>
  <c r="BI753" i="1"/>
  <c r="D753" i="1"/>
  <c r="C753" i="1"/>
  <c r="B753" i="1"/>
  <c r="BQ752" i="1"/>
  <c r="BP752" i="1"/>
  <c r="BM752" i="1"/>
  <c r="BL752" i="1"/>
  <c r="BK752" i="1"/>
  <c r="BJ752" i="1"/>
  <c r="BI752" i="1"/>
  <c r="D752" i="1"/>
  <c r="C752" i="1"/>
  <c r="B752" i="1"/>
  <c r="BQ751" i="1"/>
  <c r="BP751" i="1"/>
  <c r="BM751" i="1"/>
  <c r="BL751" i="1"/>
  <c r="BK751" i="1"/>
  <c r="BJ751" i="1"/>
  <c r="BI751" i="1"/>
  <c r="D751" i="1"/>
  <c r="C751" i="1"/>
  <c r="B751" i="1"/>
  <c r="BQ750" i="1"/>
  <c r="BP750" i="1"/>
  <c r="BM750" i="1"/>
  <c r="BL750" i="1"/>
  <c r="BK750" i="1"/>
  <c r="BJ750" i="1"/>
  <c r="BI750" i="1"/>
  <c r="D750" i="1"/>
  <c r="C750" i="1"/>
  <c r="B750" i="1"/>
  <c r="BQ749" i="1"/>
  <c r="BP749" i="1"/>
  <c r="BM749" i="1"/>
  <c r="BL749" i="1"/>
  <c r="BK749" i="1"/>
  <c r="BJ749" i="1"/>
  <c r="BI749" i="1"/>
  <c r="D749" i="1"/>
  <c r="C749" i="1"/>
  <c r="B749" i="1"/>
  <c r="BQ748" i="1"/>
  <c r="BP748" i="1"/>
  <c r="BM748" i="1"/>
  <c r="BL748" i="1"/>
  <c r="BK748" i="1"/>
  <c r="BJ748" i="1"/>
  <c r="BI748" i="1"/>
  <c r="D748" i="1"/>
  <c r="C748" i="1"/>
  <c r="B748" i="1"/>
  <c r="BQ747" i="1"/>
  <c r="BP747" i="1"/>
  <c r="BM747" i="1"/>
  <c r="BL747" i="1"/>
  <c r="BK747" i="1"/>
  <c r="BJ747" i="1"/>
  <c r="BI747" i="1"/>
  <c r="D747" i="1"/>
  <c r="C747" i="1"/>
  <c r="B747" i="1"/>
  <c r="BQ746" i="1"/>
  <c r="BP746" i="1"/>
  <c r="BM746" i="1"/>
  <c r="BL746" i="1"/>
  <c r="BK746" i="1"/>
  <c r="BJ746" i="1"/>
  <c r="BI746" i="1"/>
  <c r="D746" i="1"/>
  <c r="C746" i="1"/>
  <c r="B746" i="1"/>
  <c r="BQ745" i="1"/>
  <c r="BP745" i="1"/>
  <c r="BM745" i="1"/>
  <c r="BL745" i="1"/>
  <c r="BK745" i="1"/>
  <c r="BJ745" i="1"/>
  <c r="BI745" i="1"/>
  <c r="D745" i="1"/>
  <c r="C745" i="1"/>
  <c r="B745" i="1"/>
  <c r="BQ744" i="1"/>
  <c r="BP744" i="1"/>
  <c r="BM744" i="1"/>
  <c r="BL744" i="1"/>
  <c r="BK744" i="1"/>
  <c r="BJ744" i="1"/>
  <c r="BI744" i="1"/>
  <c r="D744" i="1"/>
  <c r="C744" i="1"/>
  <c r="B744" i="1"/>
  <c r="BQ743" i="1"/>
  <c r="BP743" i="1"/>
  <c r="BM743" i="1"/>
  <c r="BL743" i="1"/>
  <c r="BK743" i="1"/>
  <c r="BJ743" i="1"/>
  <c r="BI743" i="1"/>
  <c r="D743" i="1"/>
  <c r="C743" i="1"/>
  <c r="B743" i="1"/>
  <c r="BQ742" i="1"/>
  <c r="BP742" i="1"/>
  <c r="BM742" i="1"/>
  <c r="BL742" i="1"/>
  <c r="BK742" i="1"/>
  <c r="BJ742" i="1"/>
  <c r="BI742" i="1"/>
  <c r="D742" i="1"/>
  <c r="C742" i="1"/>
  <c r="B742" i="1"/>
  <c r="BQ741" i="1"/>
  <c r="BP741" i="1"/>
  <c r="BM741" i="1"/>
  <c r="BL741" i="1"/>
  <c r="BK741" i="1"/>
  <c r="BJ741" i="1"/>
  <c r="BI741" i="1"/>
  <c r="D741" i="1"/>
  <c r="C741" i="1"/>
  <c r="B741" i="1"/>
  <c r="BQ740" i="1"/>
  <c r="BP740" i="1"/>
  <c r="BM740" i="1"/>
  <c r="BL740" i="1"/>
  <c r="BK740" i="1"/>
  <c r="BJ740" i="1"/>
  <c r="BI740" i="1"/>
  <c r="D740" i="1"/>
  <c r="C740" i="1"/>
  <c r="B740" i="1"/>
  <c r="BQ739" i="1"/>
  <c r="BP739" i="1"/>
  <c r="BM739" i="1"/>
  <c r="BL739" i="1"/>
  <c r="BK739" i="1"/>
  <c r="BJ739" i="1"/>
  <c r="BI739" i="1"/>
  <c r="D739" i="1"/>
  <c r="C739" i="1"/>
  <c r="B739" i="1"/>
  <c r="BQ738" i="1"/>
  <c r="BP738" i="1"/>
  <c r="BM738" i="1"/>
  <c r="BL738" i="1"/>
  <c r="BK738" i="1"/>
  <c r="BJ738" i="1"/>
  <c r="BI738" i="1"/>
  <c r="D738" i="1"/>
  <c r="C738" i="1"/>
  <c r="B738" i="1"/>
  <c r="BQ737" i="1"/>
  <c r="BP737" i="1"/>
  <c r="BM737" i="1"/>
  <c r="BL737" i="1"/>
  <c r="BK737" i="1"/>
  <c r="BJ737" i="1"/>
  <c r="BI737" i="1"/>
  <c r="D737" i="1"/>
  <c r="C737" i="1"/>
  <c r="B737" i="1"/>
  <c r="BQ736" i="1"/>
  <c r="BP736" i="1"/>
  <c r="BM736" i="1"/>
  <c r="BL736" i="1"/>
  <c r="BK736" i="1"/>
  <c r="BJ736" i="1"/>
  <c r="BI736" i="1"/>
  <c r="D736" i="1"/>
  <c r="C736" i="1"/>
  <c r="B736" i="1"/>
  <c r="BQ735" i="1"/>
  <c r="BP735" i="1"/>
  <c r="BM735" i="1"/>
  <c r="BL735" i="1"/>
  <c r="BK735" i="1"/>
  <c r="BJ735" i="1"/>
  <c r="BI735" i="1"/>
  <c r="D735" i="1"/>
  <c r="C735" i="1"/>
  <c r="B735" i="1"/>
  <c r="BQ734" i="1"/>
  <c r="BP734" i="1"/>
  <c r="BM734" i="1"/>
  <c r="BL734" i="1"/>
  <c r="BK734" i="1"/>
  <c r="BJ734" i="1"/>
  <c r="BI734" i="1"/>
  <c r="D734" i="1"/>
  <c r="C734" i="1"/>
  <c r="B734" i="1"/>
  <c r="BQ733" i="1"/>
  <c r="BP733" i="1"/>
  <c r="BM733" i="1"/>
  <c r="BL733" i="1"/>
  <c r="BK733" i="1"/>
  <c r="BJ733" i="1"/>
  <c r="BI733" i="1"/>
  <c r="D733" i="1"/>
  <c r="C733" i="1"/>
  <c r="B733" i="1"/>
  <c r="BQ732" i="1"/>
  <c r="BP732" i="1"/>
  <c r="BM732" i="1"/>
  <c r="BL732" i="1"/>
  <c r="BK732" i="1"/>
  <c r="BJ732" i="1"/>
  <c r="BI732" i="1"/>
  <c r="D732" i="1"/>
  <c r="C732" i="1"/>
  <c r="B732" i="1"/>
  <c r="BQ731" i="1"/>
  <c r="BP731" i="1"/>
  <c r="BM731" i="1"/>
  <c r="BL731" i="1"/>
  <c r="BK731" i="1"/>
  <c r="BJ731" i="1"/>
  <c r="BI731" i="1"/>
  <c r="D731" i="1"/>
  <c r="C731" i="1"/>
  <c r="B731" i="1"/>
  <c r="BQ730" i="1"/>
  <c r="BP730" i="1"/>
  <c r="BM730" i="1"/>
  <c r="BL730" i="1"/>
  <c r="BK730" i="1"/>
  <c r="BJ730" i="1"/>
  <c r="BI730" i="1"/>
  <c r="D730" i="1"/>
  <c r="C730" i="1"/>
  <c r="B730" i="1"/>
  <c r="BQ729" i="1"/>
  <c r="BP729" i="1"/>
  <c r="BM729" i="1"/>
  <c r="BL729" i="1"/>
  <c r="BK729" i="1"/>
  <c r="BJ729" i="1"/>
  <c r="BI729" i="1"/>
  <c r="D729" i="1"/>
  <c r="C729" i="1"/>
  <c r="B729" i="1"/>
  <c r="BQ728" i="1"/>
  <c r="BP728" i="1"/>
  <c r="BM728" i="1"/>
  <c r="BL728" i="1"/>
  <c r="BK728" i="1"/>
  <c r="BJ728" i="1"/>
  <c r="BI728" i="1"/>
  <c r="D728" i="1"/>
  <c r="C728" i="1"/>
  <c r="B728" i="1"/>
  <c r="BQ727" i="1"/>
  <c r="BP727" i="1"/>
  <c r="BM727" i="1"/>
  <c r="BL727" i="1"/>
  <c r="BK727" i="1"/>
  <c r="BJ727" i="1"/>
  <c r="BI727" i="1"/>
  <c r="D727" i="1"/>
  <c r="C727" i="1"/>
  <c r="B727" i="1"/>
  <c r="BQ726" i="1"/>
  <c r="BP726" i="1"/>
  <c r="BM726" i="1"/>
  <c r="BL726" i="1"/>
  <c r="BK726" i="1"/>
  <c r="BJ726" i="1"/>
  <c r="BI726" i="1"/>
  <c r="D726" i="1"/>
  <c r="C726" i="1"/>
  <c r="B726" i="1"/>
  <c r="BQ725" i="1"/>
  <c r="BP725" i="1"/>
  <c r="BM725" i="1"/>
  <c r="BL725" i="1"/>
  <c r="BK725" i="1"/>
  <c r="BJ725" i="1"/>
  <c r="BI725" i="1"/>
  <c r="D725" i="1"/>
  <c r="C725" i="1"/>
  <c r="B725" i="1"/>
  <c r="BQ724" i="1"/>
  <c r="BP724" i="1"/>
  <c r="BM724" i="1"/>
  <c r="BL724" i="1"/>
  <c r="BK724" i="1"/>
  <c r="BJ724" i="1"/>
  <c r="BI724" i="1"/>
  <c r="D724" i="1"/>
  <c r="C724" i="1"/>
  <c r="B724" i="1"/>
  <c r="BQ723" i="1"/>
  <c r="BP723" i="1"/>
  <c r="BM723" i="1"/>
  <c r="BL723" i="1"/>
  <c r="BK723" i="1"/>
  <c r="BJ723" i="1"/>
  <c r="BI723" i="1"/>
  <c r="D723" i="1"/>
  <c r="C723" i="1"/>
  <c r="B723" i="1"/>
  <c r="BQ722" i="1"/>
  <c r="BP722" i="1"/>
  <c r="BM722" i="1"/>
  <c r="BL722" i="1"/>
  <c r="BK722" i="1"/>
  <c r="BJ722" i="1"/>
  <c r="BI722" i="1"/>
  <c r="D722" i="1"/>
  <c r="C722" i="1"/>
  <c r="B722" i="1"/>
  <c r="BQ721" i="1"/>
  <c r="BP721" i="1"/>
  <c r="BM721" i="1"/>
  <c r="BL721" i="1"/>
  <c r="BK721" i="1"/>
  <c r="BJ721" i="1"/>
  <c r="BI721" i="1"/>
  <c r="D721" i="1"/>
  <c r="C721" i="1"/>
  <c r="B721" i="1"/>
  <c r="BQ720" i="1"/>
  <c r="BP720" i="1"/>
  <c r="BM720" i="1"/>
  <c r="BL720" i="1"/>
  <c r="BK720" i="1"/>
  <c r="BJ720" i="1"/>
  <c r="BI720" i="1"/>
  <c r="D720" i="1"/>
  <c r="C720" i="1"/>
  <c r="B720" i="1"/>
  <c r="BQ719" i="1"/>
  <c r="BP719" i="1"/>
  <c r="BM719" i="1"/>
  <c r="BL719" i="1"/>
  <c r="BK719" i="1"/>
  <c r="BJ719" i="1"/>
  <c r="BI719" i="1"/>
  <c r="D719" i="1"/>
  <c r="C719" i="1"/>
  <c r="B719" i="1"/>
  <c r="BQ718" i="1"/>
  <c r="BP718" i="1"/>
  <c r="BM718" i="1"/>
  <c r="BL718" i="1"/>
  <c r="BK718" i="1"/>
  <c r="BJ718" i="1"/>
  <c r="BI718" i="1"/>
  <c r="D718" i="1"/>
  <c r="C718" i="1"/>
  <c r="B718" i="1"/>
  <c r="BQ717" i="1"/>
  <c r="BP717" i="1"/>
  <c r="BM717" i="1"/>
  <c r="BL717" i="1"/>
  <c r="BK717" i="1"/>
  <c r="BJ717" i="1"/>
  <c r="BI717" i="1"/>
  <c r="D717" i="1"/>
  <c r="C717" i="1"/>
  <c r="B717" i="1"/>
  <c r="BQ716" i="1"/>
  <c r="BP716" i="1"/>
  <c r="BM716" i="1"/>
  <c r="BL716" i="1"/>
  <c r="BK716" i="1"/>
  <c r="BJ716" i="1"/>
  <c r="BI716" i="1"/>
  <c r="D716" i="1"/>
  <c r="C716" i="1"/>
  <c r="B716" i="1"/>
  <c r="BQ715" i="1"/>
  <c r="BP715" i="1"/>
  <c r="BM715" i="1"/>
  <c r="BL715" i="1"/>
  <c r="BK715" i="1"/>
  <c r="BJ715" i="1"/>
  <c r="BI715" i="1"/>
  <c r="D715" i="1"/>
  <c r="C715" i="1"/>
  <c r="B715" i="1"/>
  <c r="BQ714" i="1"/>
  <c r="BP714" i="1"/>
  <c r="BM714" i="1"/>
  <c r="BL714" i="1"/>
  <c r="BK714" i="1"/>
  <c r="BJ714" i="1"/>
  <c r="BI714" i="1"/>
  <c r="D714" i="1"/>
  <c r="C714" i="1"/>
  <c r="B714" i="1"/>
  <c r="BQ713" i="1"/>
  <c r="BP713" i="1"/>
  <c r="BM713" i="1"/>
  <c r="BL713" i="1"/>
  <c r="BK713" i="1"/>
  <c r="BJ713" i="1"/>
  <c r="BI713" i="1"/>
  <c r="D713" i="1"/>
  <c r="C713" i="1"/>
  <c r="B713" i="1"/>
  <c r="BQ712" i="1"/>
  <c r="BP712" i="1"/>
  <c r="BM712" i="1"/>
  <c r="BL712" i="1"/>
  <c r="BK712" i="1"/>
  <c r="BJ712" i="1"/>
  <c r="BI712" i="1"/>
  <c r="D712" i="1"/>
  <c r="C712" i="1"/>
  <c r="B712" i="1"/>
  <c r="BQ711" i="1"/>
  <c r="BP711" i="1"/>
  <c r="BM711" i="1"/>
  <c r="BL711" i="1"/>
  <c r="BK711" i="1"/>
  <c r="BJ711" i="1"/>
  <c r="BI711" i="1"/>
  <c r="G711" i="1"/>
  <c r="D711" i="1"/>
  <c r="C711" i="1"/>
  <c r="B711" i="1"/>
  <c r="BQ710" i="1"/>
  <c r="BP710" i="1"/>
  <c r="BM710" i="1"/>
  <c r="BL710" i="1"/>
  <c r="BK710" i="1"/>
  <c r="BJ710" i="1"/>
  <c r="BI710" i="1"/>
  <c r="D710" i="1"/>
  <c r="C710" i="1"/>
  <c r="B710" i="1"/>
  <c r="BQ709" i="1"/>
  <c r="BP709" i="1"/>
  <c r="BM709" i="1"/>
  <c r="BL709" i="1"/>
  <c r="BK709" i="1"/>
  <c r="BJ709" i="1"/>
  <c r="BI709" i="1"/>
  <c r="D709" i="1"/>
  <c r="C709" i="1"/>
  <c r="B709" i="1"/>
  <c r="BQ708" i="1"/>
  <c r="BP708" i="1"/>
  <c r="BM708" i="1"/>
  <c r="BL708" i="1"/>
  <c r="BK708" i="1"/>
  <c r="BJ708" i="1"/>
  <c r="BI708" i="1"/>
  <c r="D708" i="1"/>
  <c r="C708" i="1"/>
  <c r="B708" i="1"/>
  <c r="BQ707" i="1"/>
  <c r="BP707" i="1"/>
  <c r="BM707" i="1"/>
  <c r="BL707" i="1"/>
  <c r="BK707" i="1"/>
  <c r="BJ707" i="1"/>
  <c r="BI707" i="1"/>
  <c r="D707" i="1"/>
  <c r="C707" i="1"/>
  <c r="B707" i="1"/>
  <c r="BQ706" i="1"/>
  <c r="BP706" i="1"/>
  <c r="BM706" i="1"/>
  <c r="BL706" i="1"/>
  <c r="BK706" i="1"/>
  <c r="BJ706" i="1"/>
  <c r="BI706" i="1"/>
  <c r="D706" i="1"/>
  <c r="C706" i="1"/>
  <c r="B706" i="1"/>
  <c r="BQ705" i="1"/>
  <c r="BP705" i="1"/>
  <c r="BM705" i="1"/>
  <c r="BL705" i="1"/>
  <c r="BK705" i="1"/>
  <c r="BJ705" i="1"/>
  <c r="BI705" i="1"/>
  <c r="D705" i="1"/>
  <c r="C705" i="1"/>
  <c r="B705" i="1"/>
  <c r="BQ704" i="1"/>
  <c r="BP704" i="1"/>
  <c r="BM704" i="1"/>
  <c r="BL704" i="1"/>
  <c r="BK704" i="1"/>
  <c r="BJ704" i="1"/>
  <c r="BI704" i="1"/>
  <c r="D704" i="1"/>
  <c r="C704" i="1"/>
  <c r="B704" i="1"/>
  <c r="BQ703" i="1"/>
  <c r="BP703" i="1"/>
  <c r="BM703" i="1"/>
  <c r="BL703" i="1"/>
  <c r="BK703" i="1"/>
  <c r="BJ703" i="1"/>
  <c r="BI703" i="1"/>
  <c r="D703" i="1"/>
  <c r="C703" i="1"/>
  <c r="B703" i="1"/>
  <c r="BQ702" i="1"/>
  <c r="BP702" i="1"/>
  <c r="BM702" i="1"/>
  <c r="BL702" i="1"/>
  <c r="BK702" i="1"/>
  <c r="BJ702" i="1"/>
  <c r="BI702" i="1"/>
  <c r="D702" i="1"/>
  <c r="C702" i="1"/>
  <c r="B702" i="1"/>
  <c r="BQ701" i="1"/>
  <c r="BP701" i="1"/>
  <c r="BM701" i="1"/>
  <c r="BL701" i="1"/>
  <c r="BK701" i="1"/>
  <c r="BJ701" i="1"/>
  <c r="BI701" i="1"/>
  <c r="D701" i="1"/>
  <c r="C701" i="1"/>
  <c r="B701" i="1"/>
  <c r="BQ700" i="1"/>
  <c r="BP700" i="1"/>
  <c r="BM700" i="1"/>
  <c r="BL700" i="1"/>
  <c r="BK700" i="1"/>
  <c r="BJ700" i="1"/>
  <c r="BI700" i="1"/>
  <c r="D700" i="1"/>
  <c r="C700" i="1"/>
  <c r="B700" i="1"/>
  <c r="BQ699" i="1"/>
  <c r="BP699" i="1"/>
  <c r="BM699" i="1"/>
  <c r="BL699" i="1"/>
  <c r="BK699" i="1"/>
  <c r="BJ699" i="1"/>
  <c r="BI699" i="1"/>
  <c r="D699" i="1"/>
  <c r="C699" i="1"/>
  <c r="B699" i="1"/>
  <c r="BQ698" i="1"/>
  <c r="BP698" i="1"/>
  <c r="BM698" i="1"/>
  <c r="BL698" i="1"/>
  <c r="BK698" i="1"/>
  <c r="BJ698" i="1"/>
  <c r="BI698" i="1"/>
  <c r="D698" i="1"/>
  <c r="C698" i="1"/>
  <c r="B698" i="1"/>
  <c r="BQ697" i="1"/>
  <c r="BP697" i="1"/>
  <c r="BM697" i="1"/>
  <c r="BL697" i="1"/>
  <c r="BK697" i="1"/>
  <c r="BJ697" i="1"/>
  <c r="BI697" i="1"/>
  <c r="D697" i="1"/>
  <c r="C697" i="1"/>
  <c r="B697" i="1"/>
  <c r="BQ696" i="1"/>
  <c r="BP696" i="1"/>
  <c r="BM696" i="1"/>
  <c r="BL696" i="1"/>
  <c r="BK696" i="1"/>
  <c r="BJ696" i="1"/>
  <c r="BI696" i="1"/>
  <c r="D696" i="1"/>
  <c r="C696" i="1"/>
  <c r="B696" i="1"/>
  <c r="BQ695" i="1"/>
  <c r="BP695" i="1"/>
  <c r="BM695" i="1"/>
  <c r="BL695" i="1"/>
  <c r="BK695" i="1"/>
  <c r="BJ695" i="1"/>
  <c r="BI695" i="1"/>
  <c r="D695" i="1"/>
  <c r="C695" i="1"/>
  <c r="B695" i="1"/>
  <c r="BQ694" i="1"/>
  <c r="BP694" i="1"/>
  <c r="BM694" i="1"/>
  <c r="BL694" i="1"/>
  <c r="BK694" i="1"/>
  <c r="BJ694" i="1"/>
  <c r="BI694" i="1"/>
  <c r="D694" i="1"/>
  <c r="C694" i="1"/>
  <c r="B694" i="1"/>
  <c r="BQ693" i="1"/>
  <c r="BP693" i="1"/>
  <c r="BM693" i="1"/>
  <c r="BL693" i="1"/>
  <c r="BK693" i="1"/>
  <c r="BJ693" i="1"/>
  <c r="BI693" i="1"/>
  <c r="D693" i="1"/>
  <c r="C693" i="1"/>
  <c r="B693" i="1"/>
  <c r="BQ692" i="1"/>
  <c r="BP692" i="1"/>
  <c r="BM692" i="1"/>
  <c r="BL692" i="1"/>
  <c r="BK692" i="1"/>
  <c r="BJ692" i="1"/>
  <c r="BI692" i="1"/>
  <c r="D692" i="1"/>
  <c r="C692" i="1"/>
  <c r="B692" i="1"/>
  <c r="BQ691" i="1"/>
  <c r="BP691" i="1"/>
  <c r="BM691" i="1"/>
  <c r="BL691" i="1"/>
  <c r="BK691" i="1"/>
  <c r="BJ691" i="1"/>
  <c r="BI691" i="1"/>
  <c r="D691" i="1"/>
  <c r="C691" i="1"/>
  <c r="B691" i="1"/>
  <c r="BQ690" i="1"/>
  <c r="BP690" i="1"/>
  <c r="BM690" i="1"/>
  <c r="BL690" i="1"/>
  <c r="BK690" i="1"/>
  <c r="BJ690" i="1"/>
  <c r="BI690" i="1"/>
  <c r="D690" i="1"/>
  <c r="C690" i="1"/>
  <c r="B690" i="1"/>
  <c r="BQ689" i="1"/>
  <c r="BP689" i="1"/>
  <c r="BM689" i="1"/>
  <c r="BL689" i="1"/>
  <c r="BK689" i="1"/>
  <c r="BJ689" i="1"/>
  <c r="BI689" i="1"/>
  <c r="D689" i="1"/>
  <c r="C689" i="1"/>
  <c r="B689" i="1"/>
  <c r="BQ688" i="1"/>
  <c r="BP688" i="1"/>
  <c r="BM688" i="1"/>
  <c r="BL688" i="1"/>
  <c r="BK688" i="1"/>
  <c r="BJ688" i="1"/>
  <c r="BI688" i="1"/>
  <c r="D688" i="1"/>
  <c r="C688" i="1"/>
  <c r="B688" i="1"/>
  <c r="BQ687" i="1"/>
  <c r="BP687" i="1"/>
  <c r="BM687" i="1"/>
  <c r="BL687" i="1"/>
  <c r="BK687" i="1"/>
  <c r="BJ687" i="1"/>
  <c r="BI687" i="1"/>
  <c r="D687" i="1"/>
  <c r="C687" i="1"/>
  <c r="B687" i="1"/>
  <c r="BQ686" i="1"/>
  <c r="BP686" i="1"/>
  <c r="BM686" i="1"/>
  <c r="BL686" i="1"/>
  <c r="BK686" i="1"/>
  <c r="BJ686" i="1"/>
  <c r="BI686" i="1"/>
  <c r="D686" i="1"/>
  <c r="C686" i="1"/>
  <c r="B686" i="1"/>
  <c r="BQ685" i="1"/>
  <c r="BP685" i="1"/>
  <c r="BM685" i="1"/>
  <c r="BL685" i="1"/>
  <c r="BK685" i="1"/>
  <c r="BJ685" i="1"/>
  <c r="BI685" i="1"/>
  <c r="D685" i="1"/>
  <c r="C685" i="1"/>
  <c r="B685" i="1"/>
  <c r="BQ684" i="1"/>
  <c r="BP684" i="1"/>
  <c r="BM684" i="1"/>
  <c r="BL684" i="1"/>
  <c r="BK684" i="1"/>
  <c r="BJ684" i="1"/>
  <c r="BI684" i="1"/>
  <c r="D684" i="1"/>
  <c r="C684" i="1"/>
  <c r="B684" i="1"/>
  <c r="BQ683" i="1"/>
  <c r="BP683" i="1"/>
  <c r="BM683" i="1"/>
  <c r="BL683" i="1"/>
  <c r="BK683" i="1"/>
  <c r="BJ683" i="1"/>
  <c r="BI683" i="1"/>
  <c r="D683" i="1"/>
  <c r="C683" i="1"/>
  <c r="B683" i="1"/>
  <c r="BQ682" i="1"/>
  <c r="BP682" i="1"/>
  <c r="BM682" i="1"/>
  <c r="BL682" i="1"/>
  <c r="BK682" i="1"/>
  <c r="BJ682" i="1"/>
  <c r="BI682" i="1"/>
  <c r="D682" i="1"/>
  <c r="C682" i="1"/>
  <c r="B682" i="1"/>
  <c r="BQ681" i="1"/>
  <c r="BP681" i="1"/>
  <c r="BM681" i="1"/>
  <c r="BL681" i="1"/>
  <c r="BK681" i="1"/>
  <c r="BJ681" i="1"/>
  <c r="BI681" i="1"/>
  <c r="D681" i="1"/>
  <c r="C681" i="1"/>
  <c r="B681" i="1"/>
  <c r="BQ680" i="1"/>
  <c r="BP680" i="1"/>
  <c r="BM680" i="1"/>
  <c r="BL680" i="1"/>
  <c r="BK680" i="1"/>
  <c r="BJ680" i="1"/>
  <c r="BI680" i="1"/>
  <c r="D680" i="1"/>
  <c r="C680" i="1"/>
  <c r="B680" i="1"/>
  <c r="BQ679" i="1"/>
  <c r="BP679" i="1"/>
  <c r="BM679" i="1"/>
  <c r="BL679" i="1"/>
  <c r="BK679" i="1"/>
  <c r="BJ679" i="1"/>
  <c r="BI679" i="1"/>
  <c r="D679" i="1"/>
  <c r="C679" i="1"/>
  <c r="B679" i="1"/>
  <c r="BQ678" i="1"/>
  <c r="BP678" i="1"/>
  <c r="BM678" i="1"/>
  <c r="BL678" i="1"/>
  <c r="BK678" i="1"/>
  <c r="BJ678" i="1"/>
  <c r="BI678" i="1"/>
  <c r="D678" i="1"/>
  <c r="C678" i="1"/>
  <c r="B678" i="1"/>
  <c r="BQ677" i="1"/>
  <c r="BP677" i="1"/>
  <c r="BM677" i="1"/>
  <c r="BL677" i="1"/>
  <c r="BK677" i="1"/>
  <c r="BJ677" i="1"/>
  <c r="BI677" i="1"/>
  <c r="D677" i="1"/>
  <c r="C677" i="1"/>
  <c r="B677" i="1"/>
  <c r="BQ676" i="1"/>
  <c r="BP676" i="1"/>
  <c r="BM676" i="1"/>
  <c r="BL676" i="1"/>
  <c r="BK676" i="1"/>
  <c r="BJ676" i="1"/>
  <c r="BI676" i="1"/>
  <c r="D676" i="1"/>
  <c r="C676" i="1"/>
  <c r="B676" i="1"/>
  <c r="BQ675" i="1"/>
  <c r="BP675" i="1"/>
  <c r="BM675" i="1"/>
  <c r="BL675" i="1"/>
  <c r="BK675" i="1"/>
  <c r="BJ675" i="1"/>
  <c r="BI675" i="1"/>
  <c r="D675" i="1"/>
  <c r="C675" i="1"/>
  <c r="B675" i="1"/>
  <c r="BQ674" i="1"/>
  <c r="BP674" i="1"/>
  <c r="BM674" i="1"/>
  <c r="BL674" i="1"/>
  <c r="BK674" i="1"/>
  <c r="BJ674" i="1"/>
  <c r="BI674" i="1"/>
  <c r="D674" i="1"/>
  <c r="C674" i="1"/>
  <c r="B674" i="1"/>
  <c r="BQ673" i="1"/>
  <c r="BP673" i="1"/>
  <c r="BM673" i="1"/>
  <c r="BL673" i="1"/>
  <c r="BK673" i="1"/>
  <c r="BJ673" i="1"/>
  <c r="BI673" i="1"/>
  <c r="D673" i="1"/>
  <c r="C673" i="1"/>
  <c r="B673" i="1"/>
  <c r="BQ672" i="1"/>
  <c r="BP672" i="1"/>
  <c r="BM672" i="1"/>
  <c r="BL672" i="1"/>
  <c r="BK672" i="1"/>
  <c r="BJ672" i="1"/>
  <c r="BI672" i="1"/>
  <c r="D672" i="1"/>
  <c r="C672" i="1"/>
  <c r="B672" i="1"/>
  <c r="BQ671" i="1"/>
  <c r="BP671" i="1"/>
  <c r="BM671" i="1"/>
  <c r="BL671" i="1"/>
  <c r="BK671" i="1"/>
  <c r="BJ671" i="1"/>
  <c r="BI671" i="1"/>
  <c r="D671" i="1"/>
  <c r="C671" i="1"/>
  <c r="B671" i="1"/>
  <c r="BQ670" i="1"/>
  <c r="BP670" i="1"/>
  <c r="BM670" i="1"/>
  <c r="BL670" i="1"/>
  <c r="BK670" i="1"/>
  <c r="BJ670" i="1"/>
  <c r="BI670" i="1"/>
  <c r="D670" i="1"/>
  <c r="C670" i="1"/>
  <c r="B670" i="1"/>
  <c r="BQ669" i="1"/>
  <c r="BP669" i="1"/>
  <c r="BM669" i="1"/>
  <c r="BL669" i="1"/>
  <c r="BK669" i="1"/>
  <c r="BJ669" i="1"/>
  <c r="BI669" i="1"/>
  <c r="D669" i="1"/>
  <c r="C669" i="1"/>
  <c r="B669" i="1"/>
  <c r="BQ668" i="1"/>
  <c r="BP668" i="1"/>
  <c r="BM668" i="1"/>
  <c r="BL668" i="1"/>
  <c r="BK668" i="1"/>
  <c r="BJ668" i="1"/>
  <c r="BI668" i="1"/>
  <c r="D668" i="1"/>
  <c r="C668" i="1"/>
  <c r="B668" i="1"/>
  <c r="BQ667" i="1"/>
  <c r="BP667" i="1"/>
  <c r="BM667" i="1"/>
  <c r="BL667" i="1"/>
  <c r="BK667" i="1"/>
  <c r="BJ667" i="1"/>
  <c r="BI667" i="1"/>
  <c r="D667" i="1"/>
  <c r="C667" i="1"/>
  <c r="B667" i="1"/>
  <c r="BQ666" i="1"/>
  <c r="BP666" i="1"/>
  <c r="BM666" i="1"/>
  <c r="BL666" i="1"/>
  <c r="BK666" i="1"/>
  <c r="BJ666" i="1"/>
  <c r="BI666" i="1"/>
  <c r="D666" i="1"/>
  <c r="C666" i="1"/>
  <c r="B666" i="1"/>
  <c r="BQ665" i="1"/>
  <c r="BP665" i="1"/>
  <c r="BM665" i="1"/>
  <c r="BL665" i="1"/>
  <c r="BK665" i="1"/>
  <c r="BJ665" i="1"/>
  <c r="BI665" i="1"/>
  <c r="D665" i="1"/>
  <c r="C665" i="1"/>
  <c r="B665" i="1"/>
  <c r="BQ664" i="1"/>
  <c r="BP664" i="1"/>
  <c r="BM664" i="1"/>
  <c r="BL664" i="1"/>
  <c r="BK664" i="1"/>
  <c r="BJ664" i="1"/>
  <c r="BI664" i="1"/>
  <c r="D664" i="1"/>
  <c r="C664" i="1"/>
  <c r="B664" i="1"/>
  <c r="BQ663" i="1"/>
  <c r="BP663" i="1"/>
  <c r="BM663" i="1"/>
  <c r="BL663" i="1"/>
  <c r="BK663" i="1"/>
  <c r="BJ663" i="1"/>
  <c r="BI663" i="1"/>
  <c r="D663" i="1"/>
  <c r="C663" i="1"/>
  <c r="B663" i="1"/>
  <c r="BQ662" i="1"/>
  <c r="BP662" i="1"/>
  <c r="BM662" i="1"/>
  <c r="BL662" i="1"/>
  <c r="BK662" i="1"/>
  <c r="BJ662" i="1"/>
  <c r="BI662" i="1"/>
  <c r="D662" i="1"/>
  <c r="C662" i="1"/>
  <c r="B662" i="1"/>
  <c r="BQ661" i="1"/>
  <c r="BP661" i="1"/>
  <c r="BM661" i="1"/>
  <c r="BL661" i="1"/>
  <c r="BK661" i="1"/>
  <c r="BJ661" i="1"/>
  <c r="BI661" i="1"/>
  <c r="D661" i="1"/>
  <c r="C661" i="1"/>
  <c r="B661" i="1"/>
  <c r="BQ660" i="1"/>
  <c r="BP660" i="1"/>
  <c r="BM660" i="1"/>
  <c r="BL660" i="1"/>
  <c r="BK660" i="1"/>
  <c r="BJ660" i="1"/>
  <c r="BI660" i="1"/>
  <c r="D660" i="1"/>
  <c r="C660" i="1"/>
  <c r="B660" i="1"/>
  <c r="BQ659" i="1"/>
  <c r="BP659" i="1"/>
  <c r="BM659" i="1"/>
  <c r="BL659" i="1"/>
  <c r="BK659" i="1"/>
  <c r="BJ659" i="1"/>
  <c r="BI659" i="1"/>
  <c r="D659" i="1"/>
  <c r="C659" i="1"/>
  <c r="B659" i="1"/>
  <c r="BQ658" i="1"/>
  <c r="BP658" i="1"/>
  <c r="BM658" i="1"/>
  <c r="BL658" i="1"/>
  <c r="BK658" i="1"/>
  <c r="BJ658" i="1"/>
  <c r="BI658" i="1"/>
  <c r="D658" i="1"/>
  <c r="C658" i="1"/>
  <c r="B658" i="1"/>
  <c r="BQ657" i="1"/>
  <c r="BP657" i="1"/>
  <c r="BM657" i="1"/>
  <c r="BL657" i="1"/>
  <c r="BK657" i="1"/>
  <c r="BJ657" i="1"/>
  <c r="BI657" i="1"/>
  <c r="D657" i="1"/>
  <c r="C657" i="1"/>
  <c r="B657" i="1"/>
  <c r="BQ656" i="1"/>
  <c r="BP656" i="1"/>
  <c r="BM656" i="1"/>
  <c r="BL656" i="1"/>
  <c r="BK656" i="1"/>
  <c r="BJ656" i="1"/>
  <c r="BI656" i="1"/>
  <c r="D656" i="1"/>
  <c r="C656" i="1"/>
  <c r="B656" i="1"/>
  <c r="BQ655" i="1"/>
  <c r="BP655" i="1"/>
  <c r="BM655" i="1"/>
  <c r="BL655" i="1"/>
  <c r="BK655" i="1"/>
  <c r="BJ655" i="1"/>
  <c r="BI655" i="1"/>
  <c r="D655" i="1"/>
  <c r="C655" i="1"/>
  <c r="B655" i="1"/>
  <c r="BQ654" i="1"/>
  <c r="BP654" i="1"/>
  <c r="BM654" i="1"/>
  <c r="BL654" i="1"/>
  <c r="BK654" i="1"/>
  <c r="BJ654" i="1"/>
  <c r="BI654" i="1"/>
  <c r="D654" i="1"/>
  <c r="C654" i="1"/>
  <c r="B654" i="1"/>
  <c r="BQ653" i="1"/>
  <c r="BP653" i="1"/>
  <c r="BM653" i="1"/>
  <c r="BL653" i="1"/>
  <c r="BK653" i="1"/>
  <c r="BJ653" i="1"/>
  <c r="BI653" i="1"/>
  <c r="D653" i="1"/>
  <c r="C653" i="1"/>
  <c r="B653" i="1"/>
  <c r="BQ652" i="1"/>
  <c r="BP652" i="1"/>
  <c r="BM652" i="1"/>
  <c r="BL652" i="1"/>
  <c r="BK652" i="1"/>
  <c r="BJ652" i="1"/>
  <c r="BI652" i="1"/>
  <c r="D652" i="1"/>
  <c r="C652" i="1"/>
  <c r="B652" i="1"/>
  <c r="BQ651" i="1"/>
  <c r="BP651" i="1"/>
  <c r="BM651" i="1"/>
  <c r="BL651" i="1"/>
  <c r="BK651" i="1"/>
  <c r="BJ651" i="1"/>
  <c r="BI651" i="1"/>
  <c r="D651" i="1"/>
  <c r="C651" i="1"/>
  <c r="B651" i="1"/>
  <c r="BQ650" i="1"/>
  <c r="BP650" i="1"/>
  <c r="BM650" i="1"/>
  <c r="BL650" i="1"/>
  <c r="BK650" i="1"/>
  <c r="BJ650" i="1"/>
  <c r="BI650" i="1"/>
  <c r="D650" i="1"/>
  <c r="C650" i="1"/>
  <c r="B650" i="1"/>
  <c r="BQ649" i="1"/>
  <c r="BP649" i="1"/>
  <c r="BM649" i="1"/>
  <c r="BL649" i="1"/>
  <c r="BK649" i="1"/>
  <c r="BJ649" i="1"/>
  <c r="BI649" i="1"/>
  <c r="D649" i="1"/>
  <c r="C649" i="1"/>
  <c r="B649" i="1"/>
  <c r="BQ648" i="1"/>
  <c r="BP648" i="1"/>
  <c r="BM648" i="1"/>
  <c r="BL648" i="1"/>
  <c r="BK648" i="1"/>
  <c r="BJ648" i="1"/>
  <c r="BI648" i="1"/>
  <c r="D648" i="1"/>
  <c r="C648" i="1"/>
  <c r="B648" i="1"/>
  <c r="BQ647" i="1"/>
  <c r="BP647" i="1"/>
  <c r="BM647" i="1"/>
  <c r="BL647" i="1"/>
  <c r="BK647" i="1"/>
  <c r="BJ647" i="1"/>
  <c r="BI647" i="1"/>
  <c r="D647" i="1"/>
  <c r="C647" i="1"/>
  <c r="B647" i="1"/>
  <c r="BQ646" i="1"/>
  <c r="BP646" i="1"/>
  <c r="BM646" i="1"/>
  <c r="BL646" i="1"/>
  <c r="BK646" i="1"/>
  <c r="BJ646" i="1"/>
  <c r="BI646" i="1"/>
  <c r="D646" i="1"/>
  <c r="C646" i="1"/>
  <c r="B646" i="1"/>
  <c r="BQ645" i="1"/>
  <c r="BP645" i="1"/>
  <c r="BM645" i="1"/>
  <c r="BL645" i="1"/>
  <c r="BK645" i="1"/>
  <c r="BJ645" i="1"/>
  <c r="BI645" i="1"/>
  <c r="D645" i="1"/>
  <c r="C645" i="1"/>
  <c r="B645" i="1"/>
  <c r="BQ644" i="1"/>
  <c r="BP644" i="1"/>
  <c r="BM644" i="1"/>
  <c r="BL644" i="1"/>
  <c r="BK644" i="1"/>
  <c r="BJ644" i="1"/>
  <c r="BI644" i="1"/>
  <c r="D644" i="1"/>
  <c r="C644" i="1"/>
  <c r="B644" i="1"/>
  <c r="BQ643" i="1"/>
  <c r="BP643" i="1"/>
  <c r="BM643" i="1"/>
  <c r="BL643" i="1"/>
  <c r="BK643" i="1"/>
  <c r="BJ643" i="1"/>
  <c r="BI643" i="1"/>
  <c r="D643" i="1"/>
  <c r="C643" i="1"/>
  <c r="B643" i="1"/>
  <c r="BQ642" i="1"/>
  <c r="BP642" i="1"/>
  <c r="BM642" i="1"/>
  <c r="BL642" i="1"/>
  <c r="BK642" i="1"/>
  <c r="BJ642" i="1"/>
  <c r="BI642" i="1"/>
  <c r="D642" i="1"/>
  <c r="C642" i="1"/>
  <c r="B642" i="1"/>
  <c r="BQ641" i="1"/>
  <c r="BP641" i="1"/>
  <c r="BM641" i="1"/>
  <c r="BL641" i="1"/>
  <c r="BK641" i="1"/>
  <c r="BJ641" i="1"/>
  <c r="BI641" i="1"/>
  <c r="D641" i="1"/>
  <c r="C641" i="1"/>
  <c r="B641" i="1"/>
  <c r="BQ640" i="1"/>
  <c r="BP640" i="1"/>
  <c r="BL640" i="1"/>
  <c r="BK640" i="1"/>
  <c r="BJ640" i="1"/>
  <c r="BI640" i="1"/>
  <c r="D640" i="1"/>
  <c r="C640" i="1"/>
  <c r="B640" i="1"/>
  <c r="BQ639" i="1"/>
  <c r="BP639" i="1"/>
  <c r="BM639" i="1"/>
  <c r="BL639" i="1"/>
  <c r="BK639" i="1"/>
  <c r="BJ639" i="1"/>
  <c r="BI639" i="1"/>
  <c r="D639" i="1"/>
  <c r="C639" i="1"/>
  <c r="B639" i="1"/>
  <c r="BQ638" i="1"/>
  <c r="BP638" i="1"/>
  <c r="BM638" i="1"/>
  <c r="BL638" i="1"/>
  <c r="BK638" i="1"/>
  <c r="BJ638" i="1"/>
  <c r="BI638" i="1"/>
  <c r="D638" i="1"/>
  <c r="C638" i="1"/>
  <c r="B638" i="1"/>
  <c r="BQ637" i="1"/>
  <c r="BP637" i="1"/>
  <c r="BM637" i="1"/>
  <c r="BL637" i="1"/>
  <c r="BK637" i="1"/>
  <c r="BJ637" i="1"/>
  <c r="BI637" i="1"/>
  <c r="D637" i="1"/>
  <c r="C637" i="1"/>
  <c r="B637" i="1"/>
  <c r="BQ636" i="1"/>
  <c r="BP636" i="1"/>
  <c r="BM636" i="1"/>
  <c r="BL636" i="1"/>
  <c r="BK636" i="1"/>
  <c r="BJ636" i="1"/>
  <c r="BI636" i="1"/>
  <c r="D636" i="1"/>
  <c r="C636" i="1"/>
  <c r="B636" i="1"/>
  <c r="BQ635" i="1"/>
  <c r="BP635" i="1"/>
  <c r="BM635" i="1"/>
  <c r="BL635" i="1"/>
  <c r="BK635" i="1"/>
  <c r="BJ635" i="1"/>
  <c r="BI635" i="1"/>
  <c r="D635" i="1"/>
  <c r="C635" i="1"/>
  <c r="B635" i="1"/>
  <c r="BQ634" i="1"/>
  <c r="BP634" i="1"/>
  <c r="BM634" i="1"/>
  <c r="BL634" i="1"/>
  <c r="BK634" i="1"/>
  <c r="BJ634" i="1"/>
  <c r="BI634" i="1"/>
  <c r="D634" i="1"/>
  <c r="C634" i="1"/>
  <c r="B634" i="1"/>
  <c r="BQ633" i="1"/>
  <c r="BP633" i="1"/>
  <c r="BM633" i="1"/>
  <c r="BL633" i="1"/>
  <c r="BK633" i="1"/>
  <c r="BJ633" i="1"/>
  <c r="BI633" i="1"/>
  <c r="D633" i="1"/>
  <c r="C633" i="1"/>
  <c r="B633" i="1"/>
  <c r="BQ632" i="1"/>
  <c r="BP632" i="1"/>
  <c r="BM632" i="1"/>
  <c r="BL632" i="1"/>
  <c r="BK632" i="1"/>
  <c r="BJ632" i="1"/>
  <c r="BI632" i="1"/>
  <c r="D632" i="1"/>
  <c r="C632" i="1"/>
  <c r="B632" i="1"/>
  <c r="BQ631" i="1"/>
  <c r="BP631" i="1"/>
  <c r="BM631" i="1"/>
  <c r="BL631" i="1"/>
  <c r="BK631" i="1"/>
  <c r="BJ631" i="1"/>
  <c r="BI631" i="1"/>
  <c r="D631" i="1"/>
  <c r="C631" i="1"/>
  <c r="B631" i="1"/>
  <c r="BQ630" i="1"/>
  <c r="BP630" i="1"/>
  <c r="BM630" i="1"/>
  <c r="BL630" i="1"/>
  <c r="BK630" i="1"/>
  <c r="BJ630" i="1"/>
  <c r="BI630" i="1"/>
  <c r="D630" i="1"/>
  <c r="C630" i="1"/>
  <c r="B630" i="1"/>
  <c r="BQ629" i="1"/>
  <c r="BP629" i="1"/>
  <c r="BM629" i="1"/>
  <c r="BL629" i="1"/>
  <c r="BK629" i="1"/>
  <c r="BJ629" i="1"/>
  <c r="BI629" i="1"/>
  <c r="D629" i="1"/>
  <c r="C629" i="1"/>
  <c r="B629" i="1"/>
  <c r="BQ628" i="1"/>
  <c r="BP628" i="1"/>
  <c r="BM628" i="1"/>
  <c r="BL628" i="1"/>
  <c r="BK628" i="1"/>
  <c r="BJ628" i="1"/>
  <c r="BI628" i="1"/>
  <c r="D628" i="1"/>
  <c r="C628" i="1"/>
  <c r="B628" i="1"/>
  <c r="BQ627" i="1"/>
  <c r="BP627" i="1"/>
  <c r="BM627" i="1"/>
  <c r="BL627" i="1"/>
  <c r="BK627" i="1"/>
  <c r="BJ627" i="1"/>
  <c r="BI627" i="1"/>
  <c r="D627" i="1"/>
  <c r="C627" i="1"/>
  <c r="B627" i="1"/>
  <c r="BQ626" i="1"/>
  <c r="BP626" i="1"/>
  <c r="BM626" i="1"/>
  <c r="BL626" i="1"/>
  <c r="BK626" i="1"/>
  <c r="BJ626" i="1"/>
  <c r="BI626" i="1"/>
  <c r="D626" i="1"/>
  <c r="C626" i="1"/>
  <c r="B626" i="1"/>
  <c r="BQ625" i="1"/>
  <c r="BP625" i="1"/>
  <c r="BM625" i="1"/>
  <c r="BL625" i="1"/>
  <c r="BK625" i="1"/>
  <c r="BJ625" i="1"/>
  <c r="BI625" i="1"/>
  <c r="D625" i="1"/>
  <c r="C625" i="1"/>
  <c r="B625" i="1"/>
  <c r="BQ624" i="1"/>
  <c r="BP624" i="1"/>
  <c r="BM624" i="1"/>
  <c r="BL624" i="1"/>
  <c r="BK624" i="1"/>
  <c r="BJ624" i="1"/>
  <c r="BI624" i="1"/>
  <c r="D624" i="1"/>
  <c r="C624" i="1"/>
  <c r="B624" i="1"/>
  <c r="BQ623" i="1"/>
  <c r="BP623" i="1"/>
  <c r="BM623" i="1"/>
  <c r="BL623" i="1"/>
  <c r="BK623" i="1"/>
  <c r="BJ623" i="1"/>
  <c r="BI623" i="1"/>
  <c r="D623" i="1"/>
  <c r="C623" i="1"/>
  <c r="B623" i="1"/>
  <c r="BQ622" i="1"/>
  <c r="BP622" i="1"/>
  <c r="BM622" i="1"/>
  <c r="BL622" i="1"/>
  <c r="BK622" i="1"/>
  <c r="BJ622" i="1"/>
  <c r="BI622" i="1"/>
  <c r="D622" i="1"/>
  <c r="C622" i="1"/>
  <c r="B622" i="1"/>
  <c r="BQ621" i="1"/>
  <c r="BP621" i="1"/>
  <c r="BM621" i="1"/>
  <c r="BL621" i="1"/>
  <c r="BK621" i="1"/>
  <c r="BJ621" i="1"/>
  <c r="BI621" i="1"/>
  <c r="D621" i="1"/>
  <c r="C621" i="1"/>
  <c r="B621" i="1"/>
  <c r="BQ620" i="1"/>
  <c r="BP620" i="1"/>
  <c r="BM620" i="1"/>
  <c r="BL620" i="1"/>
  <c r="BK620" i="1"/>
  <c r="BJ620" i="1"/>
  <c r="BI620" i="1"/>
  <c r="D620" i="1"/>
  <c r="C620" i="1"/>
  <c r="B620" i="1"/>
  <c r="BQ619" i="1"/>
  <c r="BP619" i="1"/>
  <c r="BM619" i="1"/>
  <c r="BL619" i="1"/>
  <c r="BK619" i="1"/>
  <c r="BJ619" i="1"/>
  <c r="BI619" i="1"/>
  <c r="D619" i="1"/>
  <c r="C619" i="1"/>
  <c r="B619" i="1"/>
  <c r="BQ618" i="1"/>
  <c r="BP618" i="1"/>
  <c r="BM618" i="1"/>
  <c r="BL618" i="1"/>
  <c r="BK618" i="1"/>
  <c r="BJ618" i="1"/>
  <c r="BI618" i="1"/>
  <c r="D618" i="1"/>
  <c r="C618" i="1"/>
  <c r="B618" i="1"/>
  <c r="BQ617" i="1"/>
  <c r="BP617" i="1"/>
  <c r="BM617" i="1"/>
  <c r="BL617" i="1"/>
  <c r="BK617" i="1"/>
  <c r="BJ617" i="1"/>
  <c r="BI617" i="1"/>
  <c r="D617" i="1"/>
  <c r="C617" i="1"/>
  <c r="B617" i="1"/>
  <c r="BQ616" i="1"/>
  <c r="BP616" i="1"/>
  <c r="BM616" i="1"/>
  <c r="BL616" i="1"/>
  <c r="BK616" i="1"/>
  <c r="BJ616" i="1"/>
  <c r="BI616" i="1"/>
  <c r="D616" i="1"/>
  <c r="C616" i="1"/>
  <c r="B616" i="1"/>
  <c r="BQ615" i="1"/>
  <c r="BP615" i="1"/>
  <c r="BM615" i="1"/>
  <c r="BL615" i="1"/>
  <c r="BK615" i="1"/>
  <c r="BJ615" i="1"/>
  <c r="BI615" i="1"/>
  <c r="D615" i="1"/>
  <c r="C615" i="1"/>
  <c r="B615" i="1"/>
  <c r="BQ614" i="1"/>
  <c r="BP614" i="1"/>
  <c r="BM614" i="1"/>
  <c r="BL614" i="1"/>
  <c r="BK614" i="1"/>
  <c r="BJ614" i="1"/>
  <c r="BI614" i="1"/>
  <c r="D614" i="1"/>
  <c r="C614" i="1"/>
  <c r="B614" i="1"/>
  <c r="BQ613" i="1"/>
  <c r="BP613" i="1"/>
  <c r="BM613" i="1"/>
  <c r="BL613" i="1"/>
  <c r="BK613" i="1"/>
  <c r="BJ613" i="1"/>
  <c r="BI613" i="1"/>
  <c r="D613" i="1"/>
  <c r="C613" i="1"/>
  <c r="B613" i="1"/>
  <c r="BQ612" i="1"/>
  <c r="BP612" i="1"/>
  <c r="BM612" i="1"/>
  <c r="BL612" i="1"/>
  <c r="BK612" i="1"/>
  <c r="BJ612" i="1"/>
  <c r="BI612" i="1"/>
  <c r="D612" i="1"/>
  <c r="C612" i="1"/>
  <c r="B612" i="1"/>
  <c r="BQ611" i="1"/>
  <c r="BP611" i="1"/>
  <c r="BM611" i="1"/>
  <c r="BL611" i="1"/>
  <c r="BK611" i="1"/>
  <c r="BJ611" i="1"/>
  <c r="BI611" i="1"/>
  <c r="D611" i="1"/>
  <c r="C611" i="1"/>
  <c r="B611" i="1"/>
  <c r="BQ610" i="1"/>
  <c r="BP610" i="1"/>
  <c r="BM610" i="1"/>
  <c r="BL610" i="1"/>
  <c r="BK610" i="1"/>
  <c r="BJ610" i="1"/>
  <c r="BI610" i="1"/>
  <c r="D610" i="1"/>
  <c r="C610" i="1"/>
  <c r="B610" i="1"/>
  <c r="BQ609" i="1"/>
  <c r="BP609" i="1"/>
  <c r="BM609" i="1"/>
  <c r="BL609" i="1"/>
  <c r="BK609" i="1"/>
  <c r="BJ609" i="1"/>
  <c r="BI609" i="1"/>
  <c r="D609" i="1"/>
  <c r="C609" i="1"/>
  <c r="B609" i="1"/>
  <c r="BQ608" i="1"/>
  <c r="BP608" i="1"/>
  <c r="BM608" i="1"/>
  <c r="BL608" i="1"/>
  <c r="BK608" i="1"/>
  <c r="BJ608" i="1"/>
  <c r="BI608" i="1"/>
  <c r="D608" i="1"/>
  <c r="C608" i="1"/>
  <c r="B608" i="1"/>
  <c r="BQ607" i="1"/>
  <c r="BP607" i="1"/>
  <c r="BM607" i="1"/>
  <c r="BL607" i="1"/>
  <c r="BK607" i="1"/>
  <c r="BJ607" i="1"/>
  <c r="BI607" i="1"/>
  <c r="D607" i="1"/>
  <c r="C607" i="1"/>
  <c r="B607" i="1"/>
  <c r="BQ606" i="1"/>
  <c r="BP606" i="1"/>
  <c r="BM606" i="1"/>
  <c r="BL606" i="1"/>
  <c r="BK606" i="1"/>
  <c r="BJ606" i="1"/>
  <c r="BI606" i="1"/>
  <c r="D606" i="1"/>
  <c r="C606" i="1"/>
  <c r="B606" i="1"/>
  <c r="BQ605" i="1"/>
  <c r="BP605" i="1"/>
  <c r="BM605" i="1"/>
  <c r="BL605" i="1"/>
  <c r="BK605" i="1"/>
  <c r="BJ605" i="1"/>
  <c r="BI605" i="1"/>
  <c r="D605" i="1"/>
  <c r="C605" i="1"/>
  <c r="B605" i="1"/>
  <c r="BQ604" i="1"/>
  <c r="BP604" i="1"/>
  <c r="BM604" i="1"/>
  <c r="BL604" i="1"/>
  <c r="BK604" i="1"/>
  <c r="BJ604" i="1"/>
  <c r="BI604" i="1"/>
  <c r="D604" i="1"/>
  <c r="C604" i="1"/>
  <c r="B604" i="1"/>
  <c r="BQ603" i="1"/>
  <c r="BP603" i="1"/>
  <c r="BM603" i="1"/>
  <c r="BL603" i="1"/>
  <c r="BK603" i="1"/>
  <c r="BJ603" i="1"/>
  <c r="BI603" i="1"/>
  <c r="D603" i="1"/>
  <c r="C603" i="1"/>
  <c r="B603" i="1"/>
  <c r="BQ602" i="1"/>
  <c r="BP602" i="1"/>
  <c r="BM602" i="1"/>
  <c r="BL602" i="1"/>
  <c r="BK602" i="1"/>
  <c r="BJ602" i="1"/>
  <c r="BI602" i="1"/>
  <c r="D602" i="1"/>
  <c r="C602" i="1"/>
  <c r="B602" i="1"/>
  <c r="BQ601" i="1"/>
  <c r="BP601" i="1"/>
  <c r="BM601" i="1"/>
  <c r="BL601" i="1"/>
  <c r="BK601" i="1"/>
  <c r="BJ601" i="1"/>
  <c r="BI601" i="1"/>
  <c r="D601" i="1"/>
  <c r="C601" i="1"/>
  <c r="B601" i="1"/>
  <c r="BQ600" i="1"/>
  <c r="BP600" i="1"/>
  <c r="BM600" i="1"/>
  <c r="BL600" i="1"/>
  <c r="BK600" i="1"/>
  <c r="BJ600" i="1"/>
  <c r="BI600" i="1"/>
  <c r="D600" i="1"/>
  <c r="C600" i="1"/>
  <c r="B600" i="1"/>
  <c r="BQ599" i="1"/>
  <c r="BP599" i="1"/>
  <c r="BM599" i="1"/>
  <c r="BL599" i="1"/>
  <c r="BK599" i="1"/>
  <c r="BJ599" i="1"/>
  <c r="BI599" i="1"/>
  <c r="D599" i="1"/>
  <c r="C599" i="1"/>
  <c r="B599" i="1"/>
  <c r="BQ598" i="1"/>
  <c r="BP598" i="1"/>
  <c r="BM598" i="1"/>
  <c r="BL598" i="1"/>
  <c r="BK598" i="1"/>
  <c r="BJ598" i="1"/>
  <c r="BI598" i="1"/>
  <c r="D598" i="1"/>
  <c r="C598" i="1"/>
  <c r="B598" i="1"/>
  <c r="BQ597" i="1"/>
  <c r="BP597" i="1"/>
  <c r="BM597" i="1"/>
  <c r="BL597" i="1"/>
  <c r="BK597" i="1"/>
  <c r="BJ597" i="1"/>
  <c r="BI597" i="1"/>
  <c r="D597" i="1"/>
  <c r="C597" i="1"/>
  <c r="B597" i="1"/>
  <c r="BQ596" i="1"/>
  <c r="BP596" i="1"/>
  <c r="BM596" i="1"/>
  <c r="BL596" i="1"/>
  <c r="BK596" i="1"/>
  <c r="BJ596" i="1"/>
  <c r="BI596" i="1"/>
  <c r="D596" i="1"/>
  <c r="C596" i="1"/>
  <c r="B596" i="1"/>
  <c r="BQ595" i="1"/>
  <c r="BP595" i="1"/>
  <c r="BM595" i="1"/>
  <c r="BL595" i="1"/>
  <c r="BK595" i="1"/>
  <c r="BJ595" i="1"/>
  <c r="BI595" i="1"/>
  <c r="D595" i="1"/>
  <c r="C595" i="1"/>
  <c r="B595" i="1"/>
  <c r="BQ594" i="1"/>
  <c r="BP594" i="1"/>
  <c r="BM594" i="1"/>
  <c r="BL594" i="1"/>
  <c r="BK594" i="1"/>
  <c r="BJ594" i="1"/>
  <c r="BI594" i="1"/>
  <c r="D594" i="1"/>
  <c r="C594" i="1"/>
  <c r="B594" i="1"/>
  <c r="BQ593" i="1"/>
  <c r="BP593" i="1"/>
  <c r="BM593" i="1"/>
  <c r="BL593" i="1"/>
  <c r="BK593" i="1"/>
  <c r="BJ593" i="1"/>
  <c r="BI593" i="1"/>
  <c r="D593" i="1"/>
  <c r="C593" i="1"/>
  <c r="B593" i="1"/>
  <c r="BQ592" i="1"/>
  <c r="BP592" i="1"/>
  <c r="BM592" i="1"/>
  <c r="BL592" i="1"/>
  <c r="BK592" i="1"/>
  <c r="BJ592" i="1"/>
  <c r="BI592" i="1"/>
  <c r="D592" i="1"/>
  <c r="C592" i="1"/>
  <c r="B592" i="1"/>
  <c r="BQ591" i="1"/>
  <c r="BP591" i="1"/>
  <c r="BM591" i="1"/>
  <c r="BL591" i="1"/>
  <c r="BK591" i="1"/>
  <c r="BJ591" i="1"/>
  <c r="BI591" i="1"/>
  <c r="D591" i="1"/>
  <c r="C591" i="1"/>
  <c r="B591" i="1"/>
  <c r="BQ590" i="1"/>
  <c r="BP590" i="1"/>
  <c r="BM590" i="1"/>
  <c r="BL590" i="1"/>
  <c r="BK590" i="1"/>
  <c r="BJ590" i="1"/>
  <c r="BI590" i="1"/>
  <c r="D590" i="1"/>
  <c r="C590" i="1"/>
  <c r="B590" i="1"/>
  <c r="BQ589" i="1"/>
  <c r="BP589" i="1"/>
  <c r="BM589" i="1"/>
  <c r="BL589" i="1"/>
  <c r="BK589" i="1"/>
  <c r="BJ589" i="1"/>
  <c r="BI589" i="1"/>
  <c r="D589" i="1"/>
  <c r="C589" i="1"/>
  <c r="B589" i="1"/>
  <c r="BQ588" i="1"/>
  <c r="BP588" i="1"/>
  <c r="BM588" i="1"/>
  <c r="BL588" i="1"/>
  <c r="BK588" i="1"/>
  <c r="BJ588" i="1"/>
  <c r="BI588" i="1"/>
  <c r="D588" i="1"/>
  <c r="C588" i="1"/>
  <c r="B588" i="1"/>
  <c r="BQ587" i="1"/>
  <c r="BP587" i="1"/>
  <c r="BM587" i="1"/>
  <c r="BL587" i="1"/>
  <c r="BK587" i="1"/>
  <c r="BJ587" i="1"/>
  <c r="BI587" i="1"/>
  <c r="D587" i="1"/>
  <c r="C587" i="1"/>
  <c r="B587" i="1"/>
  <c r="BQ586" i="1"/>
  <c r="BP586" i="1"/>
  <c r="BM586" i="1"/>
  <c r="BL586" i="1"/>
  <c r="BK586" i="1"/>
  <c r="BJ586" i="1"/>
  <c r="BI586" i="1"/>
  <c r="D586" i="1"/>
  <c r="C586" i="1"/>
  <c r="B586" i="1"/>
  <c r="BQ585" i="1"/>
  <c r="BP585" i="1"/>
  <c r="BM585" i="1"/>
  <c r="BL585" i="1"/>
  <c r="BK585" i="1"/>
  <c r="BJ585" i="1"/>
  <c r="BI585" i="1"/>
  <c r="D585" i="1"/>
  <c r="C585" i="1"/>
  <c r="B585" i="1"/>
  <c r="BQ584" i="1"/>
  <c r="BP584" i="1"/>
  <c r="BM584" i="1"/>
  <c r="BL584" i="1"/>
  <c r="BK584" i="1"/>
  <c r="BJ584" i="1"/>
  <c r="BI584" i="1"/>
  <c r="D584" i="1"/>
  <c r="C584" i="1"/>
  <c r="B584" i="1"/>
  <c r="BQ583" i="1"/>
  <c r="BP583" i="1"/>
  <c r="BM583" i="1"/>
  <c r="BL583" i="1"/>
  <c r="BK583" i="1"/>
  <c r="BJ583" i="1"/>
  <c r="BI583" i="1"/>
  <c r="D583" i="1"/>
  <c r="C583" i="1"/>
  <c r="B583" i="1"/>
  <c r="BQ582" i="1"/>
  <c r="BP582" i="1"/>
  <c r="BM582" i="1"/>
  <c r="BL582" i="1"/>
  <c r="BK582" i="1"/>
  <c r="BJ582" i="1"/>
  <c r="BI582" i="1"/>
  <c r="D582" i="1"/>
  <c r="C582" i="1"/>
  <c r="B582" i="1"/>
  <c r="BQ581" i="1"/>
  <c r="BP581" i="1"/>
  <c r="BM581" i="1"/>
  <c r="BL581" i="1"/>
  <c r="BK581" i="1"/>
  <c r="BJ581" i="1"/>
  <c r="BI581" i="1"/>
  <c r="D581" i="1"/>
  <c r="C581" i="1"/>
  <c r="B581" i="1"/>
  <c r="BQ580" i="1"/>
  <c r="BP580" i="1"/>
  <c r="BM580" i="1"/>
  <c r="BL580" i="1"/>
  <c r="BK580" i="1"/>
  <c r="BJ580" i="1"/>
  <c r="BI580" i="1"/>
  <c r="D580" i="1"/>
  <c r="C580" i="1"/>
  <c r="B580" i="1"/>
  <c r="BQ579" i="1"/>
  <c r="BP579" i="1"/>
  <c r="BM579" i="1"/>
  <c r="BL579" i="1"/>
  <c r="BK579" i="1"/>
  <c r="BJ579" i="1"/>
  <c r="BI579" i="1"/>
  <c r="D579" i="1"/>
  <c r="C579" i="1"/>
  <c r="B579" i="1"/>
  <c r="BQ578" i="1"/>
  <c r="BP578" i="1"/>
  <c r="BM578" i="1"/>
  <c r="BL578" i="1"/>
  <c r="BK578" i="1"/>
  <c r="BJ578" i="1"/>
  <c r="BI578" i="1"/>
  <c r="D578" i="1"/>
  <c r="C578" i="1"/>
  <c r="B578" i="1"/>
  <c r="BQ577" i="1"/>
  <c r="BP577" i="1"/>
  <c r="BM577" i="1"/>
  <c r="BL577" i="1"/>
  <c r="BK577" i="1"/>
  <c r="BJ577" i="1"/>
  <c r="BI577" i="1"/>
  <c r="D577" i="1"/>
  <c r="C577" i="1"/>
  <c r="B577" i="1"/>
  <c r="BQ576" i="1"/>
  <c r="BP576" i="1"/>
  <c r="BM576" i="1"/>
  <c r="BL576" i="1"/>
  <c r="BK576" i="1"/>
  <c r="BJ576" i="1"/>
  <c r="BI576" i="1"/>
  <c r="D576" i="1"/>
  <c r="C576" i="1"/>
  <c r="B576" i="1"/>
  <c r="BQ575" i="1"/>
  <c r="BP575" i="1"/>
  <c r="BM575" i="1"/>
  <c r="BL575" i="1"/>
  <c r="BK575" i="1"/>
  <c r="BJ575" i="1"/>
  <c r="BI575" i="1"/>
  <c r="D575" i="1"/>
  <c r="C575" i="1"/>
  <c r="B575" i="1"/>
  <c r="BQ574" i="1"/>
  <c r="BP574" i="1"/>
  <c r="BM574" i="1"/>
  <c r="BL574" i="1"/>
  <c r="BK574" i="1"/>
  <c r="BJ574" i="1"/>
  <c r="BI574" i="1"/>
  <c r="D574" i="1"/>
  <c r="C574" i="1"/>
  <c r="B574" i="1"/>
  <c r="BQ573" i="1"/>
  <c r="BP573" i="1"/>
  <c r="BM573" i="1"/>
  <c r="BL573" i="1"/>
  <c r="BK573" i="1"/>
  <c r="BJ573" i="1"/>
  <c r="BI573" i="1"/>
  <c r="D573" i="1"/>
  <c r="C573" i="1"/>
  <c r="B573" i="1"/>
  <c r="BQ572" i="1"/>
  <c r="BP572" i="1"/>
  <c r="BM572" i="1"/>
  <c r="BL572" i="1"/>
  <c r="BK572" i="1"/>
  <c r="BJ572" i="1"/>
  <c r="BI572" i="1"/>
  <c r="D572" i="1"/>
  <c r="C572" i="1"/>
  <c r="B572" i="1"/>
  <c r="BQ571" i="1"/>
  <c r="BP571" i="1"/>
  <c r="BM571" i="1"/>
  <c r="BL571" i="1"/>
  <c r="BK571" i="1"/>
  <c r="BJ571" i="1"/>
  <c r="BI571" i="1"/>
  <c r="D571" i="1"/>
  <c r="C571" i="1"/>
  <c r="B571" i="1"/>
  <c r="BQ570" i="1"/>
  <c r="BP570" i="1"/>
  <c r="BM570" i="1"/>
  <c r="BL570" i="1"/>
  <c r="BK570" i="1"/>
  <c r="BJ570" i="1"/>
  <c r="BI570" i="1"/>
  <c r="D570" i="1"/>
  <c r="C570" i="1"/>
  <c r="B570" i="1"/>
  <c r="BQ569" i="1"/>
  <c r="BP569" i="1"/>
  <c r="BM569" i="1"/>
  <c r="BL569" i="1"/>
  <c r="BK569" i="1"/>
  <c r="BJ569" i="1"/>
  <c r="BI569" i="1"/>
  <c r="D569" i="1"/>
  <c r="C569" i="1"/>
  <c r="B569" i="1"/>
  <c r="BQ568" i="1"/>
  <c r="BP568" i="1"/>
  <c r="BM568" i="1"/>
  <c r="BL568" i="1"/>
  <c r="BK568" i="1"/>
  <c r="BJ568" i="1"/>
  <c r="BI568" i="1"/>
  <c r="D568" i="1"/>
  <c r="C568" i="1"/>
  <c r="B568" i="1"/>
  <c r="BQ567" i="1"/>
  <c r="BP567" i="1"/>
  <c r="BM567" i="1"/>
  <c r="BL567" i="1"/>
  <c r="BK567" i="1"/>
  <c r="BJ567" i="1"/>
  <c r="BI567" i="1"/>
  <c r="D567" i="1"/>
  <c r="C567" i="1"/>
  <c r="B567" i="1"/>
  <c r="BQ566" i="1"/>
  <c r="BP566" i="1"/>
  <c r="BM566" i="1"/>
  <c r="BL566" i="1"/>
  <c r="BK566" i="1"/>
  <c r="BJ566" i="1"/>
  <c r="BI566" i="1"/>
  <c r="D566" i="1"/>
  <c r="C566" i="1"/>
  <c r="B566" i="1"/>
  <c r="BQ565" i="1"/>
  <c r="BP565" i="1"/>
  <c r="BM565" i="1"/>
  <c r="BL565" i="1"/>
  <c r="BK565" i="1"/>
  <c r="BJ565" i="1"/>
  <c r="BI565" i="1"/>
  <c r="D565" i="1"/>
  <c r="C565" i="1"/>
  <c r="B565" i="1"/>
  <c r="BQ564" i="1"/>
  <c r="BP564" i="1"/>
  <c r="BM564" i="1"/>
  <c r="BL564" i="1"/>
  <c r="BK564" i="1"/>
  <c r="BJ564" i="1"/>
  <c r="BI564" i="1"/>
  <c r="D564" i="1"/>
  <c r="C564" i="1"/>
  <c r="B564" i="1"/>
  <c r="BQ563" i="1"/>
  <c r="BP563" i="1"/>
  <c r="BM563" i="1"/>
  <c r="BL563" i="1"/>
  <c r="BK563" i="1"/>
  <c r="BJ563" i="1"/>
  <c r="BI563" i="1"/>
  <c r="D563" i="1"/>
  <c r="C563" i="1"/>
  <c r="B563" i="1"/>
  <c r="BQ562" i="1"/>
  <c r="BP562" i="1"/>
  <c r="BM562" i="1"/>
  <c r="BL562" i="1"/>
  <c r="BK562" i="1"/>
  <c r="BJ562" i="1"/>
  <c r="BI562" i="1"/>
  <c r="D562" i="1"/>
  <c r="C562" i="1"/>
  <c r="B562" i="1"/>
  <c r="BQ561" i="1"/>
  <c r="BP561" i="1"/>
  <c r="BM561" i="1"/>
  <c r="BL561" i="1"/>
  <c r="BK561" i="1"/>
  <c r="BJ561" i="1"/>
  <c r="BI561" i="1"/>
  <c r="D561" i="1"/>
  <c r="C561" i="1"/>
  <c r="B561" i="1"/>
  <c r="BQ560" i="1"/>
  <c r="BP560" i="1"/>
  <c r="BM560" i="1"/>
  <c r="BL560" i="1"/>
  <c r="BK560" i="1"/>
  <c r="BJ560" i="1"/>
  <c r="BI560" i="1"/>
  <c r="D560" i="1"/>
  <c r="C560" i="1"/>
  <c r="B560" i="1"/>
  <c r="BQ559" i="1"/>
  <c r="BP559" i="1"/>
  <c r="BM559" i="1"/>
  <c r="BL559" i="1"/>
  <c r="BK559" i="1"/>
  <c r="BJ559" i="1"/>
  <c r="BI559" i="1"/>
  <c r="D559" i="1"/>
  <c r="C559" i="1"/>
  <c r="B559" i="1"/>
  <c r="BQ558" i="1"/>
  <c r="BP558" i="1"/>
  <c r="BM558" i="1"/>
  <c r="BL558" i="1"/>
  <c r="BK558" i="1"/>
  <c r="BJ558" i="1"/>
  <c r="BI558" i="1"/>
  <c r="D558" i="1"/>
  <c r="C558" i="1"/>
  <c r="B558" i="1"/>
  <c r="BQ557" i="1"/>
  <c r="BP557" i="1"/>
  <c r="BM557" i="1"/>
  <c r="BL557" i="1"/>
  <c r="BK557" i="1"/>
  <c r="BJ557" i="1"/>
  <c r="BI557" i="1"/>
  <c r="D557" i="1"/>
  <c r="C557" i="1"/>
  <c r="B557" i="1"/>
  <c r="BQ556" i="1"/>
  <c r="BP556" i="1"/>
  <c r="BM556" i="1"/>
  <c r="BL556" i="1"/>
  <c r="BK556" i="1"/>
  <c r="BJ556" i="1"/>
  <c r="BI556" i="1"/>
  <c r="D556" i="1"/>
  <c r="C556" i="1"/>
  <c r="B556" i="1"/>
  <c r="BQ555" i="1"/>
  <c r="BP555" i="1"/>
  <c r="BM555" i="1"/>
  <c r="BL555" i="1"/>
  <c r="BK555" i="1"/>
  <c r="BJ555" i="1"/>
  <c r="BI555" i="1"/>
  <c r="D555" i="1"/>
  <c r="C555" i="1"/>
  <c r="B555" i="1"/>
  <c r="BQ554" i="1"/>
  <c r="BP554" i="1"/>
  <c r="BM554" i="1"/>
  <c r="BL554" i="1"/>
  <c r="BK554" i="1"/>
  <c r="BJ554" i="1"/>
  <c r="BI554" i="1"/>
  <c r="D554" i="1"/>
  <c r="C554" i="1"/>
  <c r="B554" i="1"/>
  <c r="BQ553" i="1"/>
  <c r="BP553" i="1"/>
  <c r="BM553" i="1"/>
  <c r="BL553" i="1"/>
  <c r="BK553" i="1"/>
  <c r="BJ553" i="1"/>
  <c r="BI553" i="1"/>
  <c r="D553" i="1"/>
  <c r="C553" i="1"/>
  <c r="B553" i="1"/>
  <c r="BQ552" i="1"/>
  <c r="BP552" i="1"/>
  <c r="BM552" i="1"/>
  <c r="BL552" i="1"/>
  <c r="BK552" i="1"/>
  <c r="BJ552" i="1"/>
  <c r="BI552" i="1"/>
  <c r="D552" i="1"/>
  <c r="C552" i="1"/>
  <c r="B552" i="1"/>
  <c r="BQ551" i="1"/>
  <c r="BP551" i="1"/>
  <c r="BM551" i="1"/>
  <c r="BL551" i="1"/>
  <c r="BK551" i="1"/>
  <c r="BJ551" i="1"/>
  <c r="BI551" i="1"/>
  <c r="D551" i="1"/>
  <c r="C551" i="1"/>
  <c r="B551" i="1"/>
  <c r="BQ550" i="1"/>
  <c r="BP550" i="1"/>
  <c r="BM550" i="1"/>
  <c r="BL550" i="1"/>
  <c r="BK550" i="1"/>
  <c r="BJ550" i="1"/>
  <c r="BI550" i="1"/>
  <c r="D550" i="1"/>
  <c r="C550" i="1"/>
  <c r="B550" i="1"/>
  <c r="BQ549" i="1"/>
  <c r="BP549" i="1"/>
  <c r="BM549" i="1"/>
  <c r="BL549" i="1"/>
  <c r="BK549" i="1"/>
  <c r="BJ549" i="1"/>
  <c r="BI549" i="1"/>
  <c r="D549" i="1"/>
  <c r="C549" i="1"/>
  <c r="B549" i="1"/>
  <c r="BQ548" i="1"/>
  <c r="BP548" i="1"/>
  <c r="BM548" i="1"/>
  <c r="BL548" i="1"/>
  <c r="BK548" i="1"/>
  <c r="BJ548" i="1"/>
  <c r="BI548" i="1"/>
  <c r="D548" i="1"/>
  <c r="C548" i="1"/>
  <c r="B548" i="1"/>
  <c r="BQ547" i="1"/>
  <c r="BP547" i="1"/>
  <c r="BM547" i="1"/>
  <c r="BL547" i="1"/>
  <c r="BK547" i="1"/>
  <c r="BJ547" i="1"/>
  <c r="BI547" i="1"/>
  <c r="D547" i="1"/>
  <c r="C547" i="1"/>
  <c r="B547" i="1"/>
  <c r="BQ546" i="1"/>
  <c r="BP546" i="1"/>
  <c r="BM546" i="1"/>
  <c r="BL546" i="1"/>
  <c r="BK546" i="1"/>
  <c r="BJ546" i="1"/>
  <c r="BI546" i="1"/>
  <c r="D546" i="1"/>
  <c r="C546" i="1"/>
  <c r="B546" i="1"/>
  <c r="BQ545" i="1"/>
  <c r="BP545" i="1"/>
  <c r="BM545" i="1"/>
  <c r="BL545" i="1"/>
  <c r="BK545" i="1"/>
  <c r="BJ545" i="1"/>
  <c r="BI545" i="1"/>
  <c r="D545" i="1"/>
  <c r="C545" i="1"/>
  <c r="B545" i="1"/>
  <c r="BQ544" i="1"/>
  <c r="BP544" i="1"/>
  <c r="BM544" i="1"/>
  <c r="BL544" i="1"/>
  <c r="BK544" i="1"/>
  <c r="BJ544" i="1"/>
  <c r="BI544" i="1"/>
  <c r="D544" i="1"/>
  <c r="C544" i="1"/>
  <c r="B544" i="1"/>
  <c r="BQ543" i="1"/>
  <c r="BP543" i="1"/>
  <c r="BM543" i="1"/>
  <c r="BL543" i="1"/>
  <c r="BK543" i="1"/>
  <c r="BJ543" i="1"/>
  <c r="BI543" i="1"/>
  <c r="D543" i="1"/>
  <c r="C543" i="1"/>
  <c r="B543" i="1"/>
  <c r="BQ542" i="1"/>
  <c r="BP542" i="1"/>
  <c r="BM542" i="1"/>
  <c r="BL542" i="1"/>
  <c r="BK542" i="1"/>
  <c r="BJ542" i="1"/>
  <c r="BI542" i="1"/>
  <c r="D542" i="1"/>
  <c r="C542" i="1"/>
  <c r="B542" i="1"/>
  <c r="BQ541" i="1"/>
  <c r="BP541" i="1"/>
  <c r="BM541" i="1"/>
  <c r="BL541" i="1"/>
  <c r="BK541" i="1"/>
  <c r="BI541" i="1"/>
  <c r="D541" i="1"/>
  <c r="C541" i="1"/>
  <c r="B541" i="1"/>
  <c r="BQ540" i="1"/>
  <c r="BP540" i="1"/>
  <c r="BM540" i="1"/>
  <c r="BL540" i="1"/>
  <c r="BK540" i="1"/>
  <c r="BJ540" i="1"/>
  <c r="BI540" i="1"/>
  <c r="D540" i="1"/>
  <c r="C540" i="1"/>
  <c r="B540" i="1"/>
  <c r="BQ539" i="1"/>
  <c r="BP539" i="1"/>
  <c r="BM539" i="1"/>
  <c r="BL539" i="1"/>
  <c r="BK539" i="1"/>
  <c r="BJ539" i="1"/>
  <c r="BI539" i="1"/>
  <c r="D539" i="1"/>
  <c r="C539" i="1"/>
  <c r="B539" i="1"/>
  <c r="BQ538" i="1"/>
  <c r="BP538" i="1"/>
  <c r="BM538" i="1"/>
  <c r="BL538" i="1"/>
  <c r="BK538" i="1"/>
  <c r="BJ538" i="1"/>
  <c r="BI538" i="1"/>
  <c r="D538" i="1"/>
  <c r="C538" i="1"/>
  <c r="B538" i="1"/>
  <c r="BQ537" i="1"/>
  <c r="BP537" i="1"/>
  <c r="BM537" i="1"/>
  <c r="BL537" i="1"/>
  <c r="BK537" i="1"/>
  <c r="BJ537" i="1"/>
  <c r="BI537" i="1"/>
  <c r="D537" i="1"/>
  <c r="C537" i="1"/>
  <c r="B537" i="1"/>
  <c r="BQ536" i="1"/>
  <c r="BP536" i="1"/>
  <c r="BM536" i="1"/>
  <c r="BL536" i="1"/>
  <c r="BK536" i="1"/>
  <c r="BJ536" i="1"/>
  <c r="BI536" i="1"/>
  <c r="D536" i="1"/>
  <c r="C536" i="1"/>
  <c r="B536" i="1"/>
  <c r="BQ535" i="1"/>
  <c r="BP535" i="1"/>
  <c r="BM535" i="1"/>
  <c r="BL535" i="1"/>
  <c r="BK535" i="1"/>
  <c r="BJ535" i="1"/>
  <c r="BI535" i="1"/>
  <c r="D535" i="1"/>
  <c r="C535" i="1"/>
  <c r="B535" i="1"/>
  <c r="BQ534" i="1"/>
  <c r="BP534" i="1"/>
  <c r="BM534" i="1"/>
  <c r="BL534" i="1"/>
  <c r="BK534" i="1"/>
  <c r="BJ534" i="1"/>
  <c r="BI534" i="1"/>
  <c r="D534" i="1"/>
  <c r="C534" i="1"/>
  <c r="B534" i="1"/>
  <c r="BQ533" i="1"/>
  <c r="BP533" i="1"/>
  <c r="BM533" i="1"/>
  <c r="BL533" i="1"/>
  <c r="BK533" i="1"/>
  <c r="BJ533" i="1"/>
  <c r="BI533" i="1"/>
  <c r="D533" i="1"/>
  <c r="C533" i="1"/>
  <c r="B533" i="1"/>
  <c r="BQ532" i="1"/>
  <c r="BP532" i="1"/>
  <c r="BM532" i="1"/>
  <c r="BL532" i="1"/>
  <c r="BK532" i="1"/>
  <c r="BJ532" i="1"/>
  <c r="BI532" i="1"/>
  <c r="D532" i="1"/>
  <c r="C532" i="1"/>
  <c r="B532" i="1"/>
  <c r="BQ531" i="1"/>
  <c r="BP531" i="1"/>
  <c r="BM531" i="1"/>
  <c r="BL531" i="1"/>
  <c r="BK531" i="1"/>
  <c r="BJ531" i="1"/>
  <c r="BI531" i="1"/>
  <c r="D531" i="1"/>
  <c r="C531" i="1"/>
  <c r="B531" i="1"/>
  <c r="BQ530" i="1"/>
  <c r="BP530" i="1"/>
  <c r="BM530" i="1"/>
  <c r="BL530" i="1"/>
  <c r="BK530" i="1"/>
  <c r="BJ530" i="1"/>
  <c r="BI530" i="1"/>
  <c r="D530" i="1"/>
  <c r="C530" i="1"/>
  <c r="B530" i="1"/>
  <c r="BQ529" i="1"/>
  <c r="BP529" i="1"/>
  <c r="BM529" i="1"/>
  <c r="BL529" i="1"/>
  <c r="BK529" i="1"/>
  <c r="BJ529" i="1"/>
  <c r="BI529" i="1"/>
  <c r="D529" i="1"/>
  <c r="C529" i="1"/>
  <c r="B529" i="1"/>
  <c r="BQ528" i="1"/>
  <c r="BP528" i="1"/>
  <c r="BM528" i="1"/>
  <c r="BL528" i="1"/>
  <c r="BK528" i="1"/>
  <c r="BJ528" i="1"/>
  <c r="BI528" i="1"/>
  <c r="D528" i="1"/>
  <c r="C528" i="1"/>
  <c r="B528" i="1"/>
  <c r="BQ527" i="1"/>
  <c r="BP527" i="1"/>
  <c r="BM527" i="1"/>
  <c r="BL527" i="1"/>
  <c r="BK527" i="1"/>
  <c r="BJ527" i="1"/>
  <c r="BI527" i="1"/>
  <c r="D527" i="1"/>
  <c r="C527" i="1"/>
  <c r="B527" i="1"/>
  <c r="BQ526" i="1"/>
  <c r="BP526" i="1"/>
  <c r="BM526" i="1"/>
  <c r="BL526" i="1"/>
  <c r="BK526" i="1"/>
  <c r="BJ526" i="1"/>
  <c r="BI526" i="1"/>
  <c r="D526" i="1"/>
  <c r="C526" i="1"/>
  <c r="B526" i="1"/>
  <c r="BQ525" i="1"/>
  <c r="BP525" i="1"/>
  <c r="BM525" i="1"/>
  <c r="BL525" i="1"/>
  <c r="BK525" i="1"/>
  <c r="BJ525" i="1"/>
  <c r="BI525" i="1"/>
  <c r="D525" i="1"/>
  <c r="C525" i="1"/>
  <c r="B525" i="1"/>
  <c r="BQ524" i="1"/>
  <c r="BP524" i="1"/>
  <c r="BM524" i="1"/>
  <c r="BL524" i="1"/>
  <c r="BK524" i="1"/>
  <c r="BJ524" i="1"/>
  <c r="BI524" i="1"/>
  <c r="D524" i="1"/>
  <c r="C524" i="1"/>
  <c r="B524" i="1"/>
  <c r="BQ523" i="1"/>
  <c r="BP523" i="1"/>
  <c r="BM523" i="1"/>
  <c r="BL523" i="1"/>
  <c r="BK523" i="1"/>
  <c r="BJ523" i="1"/>
  <c r="BI523" i="1"/>
  <c r="D523" i="1"/>
  <c r="C523" i="1"/>
  <c r="B523" i="1"/>
  <c r="BQ522" i="1"/>
  <c r="BP522" i="1"/>
  <c r="BM522" i="1"/>
  <c r="BL522" i="1"/>
  <c r="BK522" i="1"/>
  <c r="BJ522" i="1"/>
  <c r="BI522" i="1"/>
  <c r="D522" i="1"/>
  <c r="C522" i="1"/>
  <c r="B522" i="1"/>
  <c r="BQ521" i="1"/>
  <c r="BP521" i="1"/>
  <c r="BM521" i="1"/>
  <c r="BL521" i="1"/>
  <c r="BK521" i="1"/>
  <c r="BJ521" i="1"/>
  <c r="BI521" i="1"/>
  <c r="D521" i="1"/>
  <c r="C521" i="1"/>
  <c r="B521" i="1"/>
  <c r="BQ520" i="1"/>
  <c r="BP520" i="1"/>
  <c r="BM520" i="1"/>
  <c r="BL520" i="1"/>
  <c r="BK520" i="1"/>
  <c r="BJ520" i="1"/>
  <c r="BI520" i="1"/>
  <c r="D520" i="1"/>
  <c r="C520" i="1"/>
  <c r="B520" i="1"/>
  <c r="BQ519" i="1"/>
  <c r="BP519" i="1"/>
  <c r="BM519" i="1"/>
  <c r="BL519" i="1"/>
  <c r="BK519" i="1"/>
  <c r="BJ519" i="1"/>
  <c r="BI519" i="1"/>
  <c r="D519" i="1"/>
  <c r="C519" i="1"/>
  <c r="B519" i="1"/>
  <c r="BQ518" i="1"/>
  <c r="BP518" i="1"/>
  <c r="BM518" i="1"/>
  <c r="BL518" i="1"/>
  <c r="BK518" i="1"/>
  <c r="BJ518" i="1"/>
  <c r="BI518" i="1"/>
  <c r="D518" i="1"/>
  <c r="C518" i="1"/>
  <c r="B518" i="1"/>
  <c r="BQ517" i="1"/>
  <c r="BP517" i="1"/>
  <c r="BM517" i="1"/>
  <c r="BL517" i="1"/>
  <c r="BK517" i="1"/>
  <c r="BJ517" i="1"/>
  <c r="BI517" i="1"/>
  <c r="D517" i="1"/>
  <c r="C517" i="1"/>
  <c r="B517" i="1"/>
  <c r="BQ516" i="1"/>
  <c r="BP516" i="1"/>
  <c r="BM516" i="1"/>
  <c r="BL516" i="1"/>
  <c r="BK516" i="1"/>
  <c r="BJ516" i="1"/>
  <c r="BI516" i="1"/>
  <c r="D516" i="1"/>
  <c r="C516" i="1"/>
  <c r="B516" i="1"/>
  <c r="BQ515" i="1"/>
  <c r="BP515" i="1"/>
  <c r="BM515" i="1"/>
  <c r="BL515" i="1"/>
  <c r="BK515" i="1"/>
  <c r="BJ515" i="1"/>
  <c r="BI515" i="1"/>
  <c r="D515" i="1"/>
  <c r="C515" i="1"/>
  <c r="B515" i="1"/>
  <c r="BQ514" i="1"/>
  <c r="BP514" i="1"/>
  <c r="BM514" i="1"/>
  <c r="BL514" i="1"/>
  <c r="BK514" i="1"/>
  <c r="BJ514" i="1"/>
  <c r="BI514" i="1"/>
  <c r="D514" i="1"/>
  <c r="C514" i="1"/>
  <c r="B514" i="1"/>
  <c r="BQ513" i="1"/>
  <c r="BP513" i="1"/>
  <c r="BM513" i="1"/>
  <c r="BL513" i="1"/>
  <c r="BK513" i="1"/>
  <c r="BJ513" i="1"/>
  <c r="BI513" i="1"/>
  <c r="D513" i="1"/>
  <c r="C513" i="1"/>
  <c r="B513" i="1"/>
  <c r="BQ512" i="1"/>
  <c r="BP512" i="1"/>
  <c r="BM512" i="1"/>
  <c r="BL512" i="1"/>
  <c r="BK512" i="1"/>
  <c r="BJ512" i="1"/>
  <c r="BI512" i="1"/>
  <c r="D512" i="1"/>
  <c r="C512" i="1"/>
  <c r="B512" i="1"/>
  <c r="BQ511" i="1"/>
  <c r="BP511" i="1"/>
  <c r="BM511" i="1"/>
  <c r="BL511" i="1"/>
  <c r="BK511" i="1"/>
  <c r="BJ511" i="1"/>
  <c r="BI511" i="1"/>
  <c r="D511" i="1"/>
  <c r="C511" i="1"/>
  <c r="B511" i="1"/>
  <c r="BQ510" i="1"/>
  <c r="BP510" i="1"/>
  <c r="BM510" i="1"/>
  <c r="BL510" i="1"/>
  <c r="BK510" i="1"/>
  <c r="BJ510" i="1"/>
  <c r="BI510" i="1"/>
  <c r="D510" i="1"/>
  <c r="C510" i="1"/>
  <c r="B510" i="1"/>
  <c r="BQ509" i="1"/>
  <c r="BP509" i="1"/>
  <c r="BM509" i="1"/>
  <c r="BL509" i="1"/>
  <c r="BK509" i="1"/>
  <c r="BJ509" i="1"/>
  <c r="BI509" i="1"/>
  <c r="D509" i="1"/>
  <c r="C509" i="1"/>
  <c r="B509" i="1"/>
  <c r="BQ508" i="1"/>
  <c r="BP508" i="1"/>
  <c r="BM508" i="1"/>
  <c r="BL508" i="1"/>
  <c r="BK508" i="1"/>
  <c r="BJ508" i="1"/>
  <c r="BI508" i="1"/>
  <c r="D508" i="1"/>
  <c r="C508" i="1"/>
  <c r="B508" i="1"/>
  <c r="BQ507" i="1"/>
  <c r="BP507" i="1"/>
  <c r="BM507" i="1"/>
  <c r="BL507" i="1"/>
  <c r="BK507" i="1"/>
  <c r="BJ507" i="1"/>
  <c r="BI507" i="1"/>
  <c r="D507" i="1"/>
  <c r="C507" i="1"/>
  <c r="B507" i="1"/>
  <c r="BQ506" i="1"/>
  <c r="BP506" i="1"/>
  <c r="BM506" i="1"/>
  <c r="BL506" i="1"/>
  <c r="BK506" i="1"/>
  <c r="BJ506" i="1"/>
  <c r="BI506" i="1"/>
  <c r="D506" i="1"/>
  <c r="C506" i="1"/>
  <c r="B506" i="1"/>
  <c r="BQ505" i="1"/>
  <c r="BP505" i="1"/>
  <c r="BM505" i="1"/>
  <c r="BL505" i="1"/>
  <c r="BK505" i="1"/>
  <c r="BJ505" i="1"/>
  <c r="BI505" i="1"/>
  <c r="D505" i="1"/>
  <c r="C505" i="1"/>
  <c r="B505" i="1"/>
  <c r="BQ504" i="1"/>
  <c r="BP504" i="1"/>
  <c r="BM504" i="1"/>
  <c r="BL504" i="1"/>
  <c r="BK504" i="1"/>
  <c r="BJ504" i="1"/>
  <c r="BI504" i="1"/>
  <c r="D504" i="1"/>
  <c r="C504" i="1"/>
  <c r="B504" i="1"/>
  <c r="BQ503" i="1"/>
  <c r="BP503" i="1"/>
  <c r="BM503" i="1"/>
  <c r="BL503" i="1"/>
  <c r="BK503" i="1"/>
  <c r="BJ503" i="1"/>
  <c r="BI503" i="1"/>
  <c r="D503" i="1"/>
  <c r="C503" i="1"/>
  <c r="B503" i="1"/>
  <c r="BQ502" i="1"/>
  <c r="BP502" i="1"/>
  <c r="BM502" i="1"/>
  <c r="BL502" i="1"/>
  <c r="BK502" i="1"/>
  <c r="BJ502" i="1"/>
  <c r="BI502" i="1"/>
  <c r="D502" i="1"/>
  <c r="C502" i="1"/>
  <c r="B502" i="1"/>
  <c r="BQ501" i="1"/>
  <c r="BP501" i="1"/>
  <c r="BM501" i="1"/>
  <c r="BL501" i="1"/>
  <c r="BK501" i="1"/>
  <c r="BJ501" i="1"/>
  <c r="BI501" i="1"/>
  <c r="D501" i="1"/>
  <c r="C501" i="1"/>
  <c r="B501" i="1"/>
  <c r="BQ500" i="1"/>
  <c r="BP500" i="1"/>
  <c r="BM500" i="1"/>
  <c r="BL500" i="1"/>
  <c r="BK500" i="1"/>
  <c r="BJ500" i="1"/>
  <c r="BI500" i="1"/>
  <c r="D500" i="1"/>
  <c r="C500" i="1"/>
  <c r="B500" i="1"/>
  <c r="BQ499" i="1"/>
  <c r="BP499" i="1"/>
  <c r="BM499" i="1"/>
  <c r="BL499" i="1"/>
  <c r="BK499" i="1"/>
  <c r="BJ499" i="1"/>
  <c r="BI499" i="1"/>
  <c r="D499" i="1"/>
  <c r="C499" i="1"/>
  <c r="B499" i="1"/>
  <c r="BQ498" i="1"/>
  <c r="BP498" i="1"/>
  <c r="BM498" i="1"/>
  <c r="BL498" i="1"/>
  <c r="BK498" i="1"/>
  <c r="BJ498" i="1"/>
  <c r="BI498" i="1"/>
  <c r="D498" i="1"/>
  <c r="C498" i="1"/>
  <c r="B498" i="1"/>
  <c r="BQ497" i="1"/>
  <c r="BP497" i="1"/>
  <c r="BM497" i="1"/>
  <c r="BL497" i="1"/>
  <c r="BK497" i="1"/>
  <c r="BJ497" i="1"/>
  <c r="BI497" i="1"/>
  <c r="D497" i="1"/>
  <c r="C497" i="1"/>
  <c r="B497" i="1"/>
  <c r="BQ496" i="1"/>
  <c r="BP496" i="1"/>
  <c r="BM496" i="1"/>
  <c r="BL496" i="1"/>
  <c r="BK496" i="1"/>
  <c r="BJ496" i="1"/>
  <c r="BI496" i="1"/>
  <c r="D496" i="1"/>
  <c r="C496" i="1"/>
  <c r="B496" i="1"/>
  <c r="BQ495" i="1"/>
  <c r="BP495" i="1"/>
  <c r="BM495" i="1"/>
  <c r="BL495" i="1"/>
  <c r="BK495" i="1"/>
  <c r="BJ495" i="1"/>
  <c r="BI495" i="1"/>
  <c r="D495" i="1"/>
  <c r="C495" i="1"/>
  <c r="B495" i="1"/>
  <c r="BQ494" i="1"/>
  <c r="BP494" i="1"/>
  <c r="BM494" i="1"/>
  <c r="BL494" i="1"/>
  <c r="BK494" i="1"/>
  <c r="BJ494" i="1"/>
  <c r="BI494" i="1"/>
  <c r="D494" i="1"/>
  <c r="C494" i="1"/>
  <c r="B494" i="1"/>
  <c r="BQ493" i="1"/>
  <c r="BP493" i="1"/>
  <c r="BM493" i="1"/>
  <c r="BL493" i="1"/>
  <c r="BK493" i="1"/>
  <c r="BJ493" i="1"/>
  <c r="BI493" i="1"/>
  <c r="D493" i="1"/>
  <c r="C493" i="1"/>
  <c r="B493" i="1"/>
  <c r="BQ492" i="1"/>
  <c r="BP492" i="1"/>
  <c r="BM492" i="1"/>
  <c r="BL492" i="1"/>
  <c r="BK492" i="1"/>
  <c r="BJ492" i="1"/>
  <c r="BI492" i="1"/>
  <c r="D492" i="1"/>
  <c r="C492" i="1"/>
  <c r="B492" i="1"/>
  <c r="BQ491" i="1"/>
  <c r="BP491" i="1"/>
  <c r="BM491" i="1"/>
  <c r="BL491" i="1"/>
  <c r="BK491" i="1"/>
  <c r="BJ491" i="1"/>
  <c r="BI491" i="1"/>
  <c r="D491" i="1"/>
  <c r="C491" i="1"/>
  <c r="B491" i="1"/>
  <c r="BQ490" i="1"/>
  <c r="BP490" i="1"/>
  <c r="BM490" i="1"/>
  <c r="BL490" i="1"/>
  <c r="BK490" i="1"/>
  <c r="BJ490" i="1"/>
  <c r="BI490" i="1"/>
  <c r="D490" i="1"/>
  <c r="C490" i="1"/>
  <c r="B490" i="1"/>
  <c r="BQ489" i="1"/>
  <c r="BP489" i="1"/>
  <c r="BM489" i="1"/>
  <c r="BL489" i="1"/>
  <c r="BK489" i="1"/>
  <c r="BJ489" i="1"/>
  <c r="BI489" i="1"/>
  <c r="D489" i="1"/>
  <c r="C489" i="1"/>
  <c r="B489" i="1"/>
  <c r="BQ488" i="1"/>
  <c r="BP488" i="1"/>
  <c r="BM488" i="1"/>
  <c r="BL488" i="1"/>
  <c r="BK488" i="1"/>
  <c r="BJ488" i="1"/>
  <c r="BI488" i="1"/>
  <c r="D488" i="1"/>
  <c r="C488" i="1"/>
  <c r="B488" i="1"/>
  <c r="BQ487" i="1"/>
  <c r="BP487" i="1"/>
  <c r="BM487" i="1"/>
  <c r="BL487" i="1"/>
  <c r="BK487" i="1"/>
  <c r="BJ487" i="1"/>
  <c r="BI487" i="1"/>
  <c r="D487" i="1"/>
  <c r="C487" i="1"/>
  <c r="B487" i="1"/>
  <c r="BQ486" i="1"/>
  <c r="BP486" i="1"/>
  <c r="BM486" i="1"/>
  <c r="BL486" i="1"/>
  <c r="BK486" i="1"/>
  <c r="BJ486" i="1"/>
  <c r="BI486" i="1"/>
  <c r="D486" i="1"/>
  <c r="C486" i="1"/>
  <c r="B486" i="1"/>
  <c r="BQ485" i="1"/>
  <c r="BP485" i="1"/>
  <c r="BM485" i="1"/>
  <c r="BL485" i="1"/>
  <c r="BK485" i="1"/>
  <c r="BJ485" i="1"/>
  <c r="BI485" i="1"/>
  <c r="D485" i="1"/>
  <c r="C485" i="1"/>
  <c r="B485" i="1"/>
  <c r="BQ484" i="1"/>
  <c r="BP484" i="1"/>
  <c r="BM484" i="1"/>
  <c r="BL484" i="1"/>
  <c r="BK484" i="1"/>
  <c r="BJ484" i="1"/>
  <c r="BI484" i="1"/>
  <c r="D484" i="1"/>
  <c r="C484" i="1"/>
  <c r="B484" i="1"/>
  <c r="BQ483" i="1"/>
  <c r="BP483" i="1"/>
  <c r="BM483" i="1"/>
  <c r="BL483" i="1"/>
  <c r="BK483" i="1"/>
  <c r="BJ483" i="1"/>
  <c r="BI483" i="1"/>
  <c r="D483" i="1"/>
  <c r="C483" i="1"/>
  <c r="B483" i="1"/>
  <c r="BQ482" i="1"/>
  <c r="BP482" i="1"/>
  <c r="BM482" i="1"/>
  <c r="BL482" i="1"/>
  <c r="BK482" i="1"/>
  <c r="BJ482" i="1"/>
  <c r="BI482" i="1"/>
  <c r="D482" i="1"/>
  <c r="C482" i="1"/>
  <c r="B482" i="1"/>
  <c r="BQ481" i="1"/>
  <c r="BP481" i="1"/>
  <c r="BM481" i="1"/>
  <c r="BL481" i="1"/>
  <c r="BK481" i="1"/>
  <c r="BJ481" i="1"/>
  <c r="BI481" i="1"/>
  <c r="D481" i="1"/>
  <c r="C481" i="1"/>
  <c r="B481" i="1"/>
  <c r="BQ480" i="1"/>
  <c r="BP480" i="1"/>
  <c r="BM480" i="1"/>
  <c r="BL480" i="1"/>
  <c r="BK480" i="1"/>
  <c r="BJ480" i="1"/>
  <c r="BI480" i="1"/>
  <c r="D480" i="1"/>
  <c r="C480" i="1"/>
  <c r="B480" i="1"/>
  <c r="BQ479" i="1"/>
  <c r="BP479" i="1"/>
  <c r="BM479" i="1"/>
  <c r="BL479" i="1"/>
  <c r="BK479" i="1"/>
  <c r="BJ479" i="1"/>
  <c r="BI479" i="1"/>
  <c r="D479" i="1"/>
  <c r="C479" i="1"/>
  <c r="B479" i="1"/>
  <c r="BQ478" i="1"/>
  <c r="BP478" i="1"/>
  <c r="BM478" i="1"/>
  <c r="BL478" i="1"/>
  <c r="BK478" i="1"/>
  <c r="BJ478" i="1"/>
  <c r="BI478" i="1"/>
  <c r="D478" i="1"/>
  <c r="C478" i="1"/>
  <c r="B478" i="1"/>
  <c r="BQ477" i="1"/>
  <c r="BP477" i="1"/>
  <c r="BM477" i="1"/>
  <c r="BL477" i="1"/>
  <c r="BK477" i="1"/>
  <c r="BJ477" i="1"/>
  <c r="BI477" i="1"/>
  <c r="D477" i="1"/>
  <c r="C477" i="1"/>
  <c r="B477" i="1"/>
  <c r="BQ476" i="1"/>
  <c r="BP476" i="1"/>
  <c r="BM476" i="1"/>
  <c r="BL476" i="1"/>
  <c r="BK476" i="1"/>
  <c r="BJ476" i="1"/>
  <c r="BI476" i="1"/>
  <c r="D476" i="1"/>
  <c r="C476" i="1"/>
  <c r="B476" i="1"/>
  <c r="BQ475" i="1"/>
  <c r="BP475" i="1"/>
  <c r="BM475" i="1"/>
  <c r="BL475" i="1"/>
  <c r="BK475" i="1"/>
  <c r="BJ475" i="1"/>
  <c r="BI475" i="1"/>
  <c r="D475" i="1"/>
  <c r="C475" i="1"/>
  <c r="B475" i="1"/>
  <c r="BQ474" i="1"/>
  <c r="BP474" i="1"/>
  <c r="BM474" i="1"/>
  <c r="BL474" i="1"/>
  <c r="BK474" i="1"/>
  <c r="BJ474" i="1"/>
  <c r="BI474" i="1"/>
  <c r="D474" i="1"/>
  <c r="C474" i="1"/>
  <c r="B474" i="1"/>
  <c r="BQ473" i="1"/>
  <c r="BP473" i="1"/>
  <c r="BM473" i="1"/>
  <c r="BL473" i="1"/>
  <c r="BK473" i="1"/>
  <c r="BJ473" i="1"/>
  <c r="BI473" i="1"/>
  <c r="D473" i="1"/>
  <c r="C473" i="1"/>
  <c r="B473" i="1"/>
  <c r="BQ472" i="1"/>
  <c r="BP472" i="1"/>
  <c r="BM472" i="1"/>
  <c r="BL472" i="1"/>
  <c r="BK472" i="1"/>
  <c r="BJ472" i="1"/>
  <c r="BI472" i="1"/>
  <c r="D472" i="1"/>
  <c r="C472" i="1"/>
  <c r="B472" i="1"/>
  <c r="BQ471" i="1"/>
  <c r="BP471" i="1"/>
  <c r="BM471" i="1"/>
  <c r="BL471" i="1"/>
  <c r="BK471" i="1"/>
  <c r="BJ471" i="1"/>
  <c r="BI471" i="1"/>
  <c r="D471" i="1"/>
  <c r="C471" i="1"/>
  <c r="B471" i="1"/>
  <c r="BQ470" i="1"/>
  <c r="BP470" i="1"/>
  <c r="BM470" i="1"/>
  <c r="BL470" i="1"/>
  <c r="BK470" i="1"/>
  <c r="BJ470" i="1"/>
  <c r="BI470" i="1"/>
  <c r="D470" i="1"/>
  <c r="C470" i="1"/>
  <c r="B470" i="1"/>
  <c r="BQ469" i="1"/>
  <c r="BP469" i="1"/>
  <c r="BM469" i="1"/>
  <c r="BL469" i="1"/>
  <c r="BK469" i="1"/>
  <c r="BJ469" i="1"/>
  <c r="BI469" i="1"/>
  <c r="D469" i="1"/>
  <c r="C469" i="1"/>
  <c r="B469" i="1"/>
  <c r="BQ468" i="1"/>
  <c r="BP468" i="1"/>
  <c r="BM468" i="1"/>
  <c r="BL468" i="1"/>
  <c r="BK468" i="1"/>
  <c r="BJ468" i="1"/>
  <c r="BI468" i="1"/>
  <c r="D468" i="1"/>
  <c r="C468" i="1"/>
  <c r="B468" i="1"/>
  <c r="BQ467" i="1"/>
  <c r="BP467" i="1"/>
  <c r="BM467" i="1"/>
  <c r="BL467" i="1"/>
  <c r="BK467" i="1"/>
  <c r="BJ467" i="1"/>
  <c r="BI467" i="1"/>
  <c r="D467" i="1"/>
  <c r="C467" i="1"/>
  <c r="B467" i="1"/>
  <c r="BQ466" i="1"/>
  <c r="BP466" i="1"/>
  <c r="BM466" i="1"/>
  <c r="BL466" i="1"/>
  <c r="BK466" i="1"/>
  <c r="BJ466" i="1"/>
  <c r="BI466" i="1"/>
  <c r="D466" i="1"/>
  <c r="C466" i="1"/>
  <c r="B466" i="1"/>
  <c r="BQ465" i="1"/>
  <c r="BP465" i="1"/>
  <c r="BM465" i="1"/>
  <c r="BL465" i="1"/>
  <c r="BK465" i="1"/>
  <c r="BJ465" i="1"/>
  <c r="BI465" i="1"/>
  <c r="D465" i="1"/>
  <c r="C465" i="1"/>
  <c r="B465" i="1"/>
  <c r="BQ464" i="1"/>
  <c r="BP464" i="1"/>
  <c r="BM464" i="1"/>
  <c r="BL464" i="1"/>
  <c r="BK464" i="1"/>
  <c r="BJ464" i="1"/>
  <c r="BI464" i="1"/>
  <c r="D464" i="1"/>
  <c r="C464" i="1"/>
  <c r="B464" i="1"/>
  <c r="BQ463" i="1"/>
  <c r="BP463" i="1"/>
  <c r="BM463" i="1"/>
  <c r="BL463" i="1"/>
  <c r="BK463" i="1"/>
  <c r="BJ463" i="1"/>
  <c r="BI463" i="1"/>
  <c r="D463" i="1"/>
  <c r="C463" i="1"/>
  <c r="B463" i="1"/>
  <c r="BQ462" i="1"/>
  <c r="BP462" i="1"/>
  <c r="BM462" i="1"/>
  <c r="BL462" i="1"/>
  <c r="BK462" i="1"/>
  <c r="BJ462" i="1"/>
  <c r="BI462" i="1"/>
  <c r="D462" i="1"/>
  <c r="C462" i="1"/>
  <c r="B462" i="1"/>
  <c r="BQ461" i="1"/>
  <c r="BP461" i="1"/>
  <c r="BM461" i="1"/>
  <c r="BL461" i="1"/>
  <c r="BK461" i="1"/>
  <c r="BJ461" i="1"/>
  <c r="BI461" i="1"/>
  <c r="D461" i="1"/>
  <c r="C461" i="1"/>
  <c r="B461" i="1"/>
  <c r="BQ460" i="1"/>
  <c r="BP460" i="1"/>
  <c r="BM460" i="1"/>
  <c r="BL460" i="1"/>
  <c r="BK460" i="1"/>
  <c r="BJ460" i="1"/>
  <c r="BI460" i="1"/>
  <c r="D460" i="1"/>
  <c r="C460" i="1"/>
  <c r="B460" i="1"/>
  <c r="BQ459" i="1"/>
  <c r="BP459" i="1"/>
  <c r="BM459" i="1"/>
  <c r="BL459" i="1"/>
  <c r="BK459" i="1"/>
  <c r="BJ459" i="1"/>
  <c r="BI459" i="1"/>
  <c r="D459" i="1"/>
  <c r="C459" i="1"/>
  <c r="B459" i="1"/>
  <c r="BQ458" i="1"/>
  <c r="BP458" i="1"/>
  <c r="BM458" i="1"/>
  <c r="BL458" i="1"/>
  <c r="BK458" i="1"/>
  <c r="BJ458" i="1"/>
  <c r="BI458" i="1"/>
  <c r="D458" i="1"/>
  <c r="C458" i="1"/>
  <c r="B458" i="1"/>
  <c r="BQ457" i="1"/>
  <c r="BP457" i="1"/>
  <c r="BM457" i="1"/>
  <c r="BL457" i="1"/>
  <c r="BK457" i="1"/>
  <c r="BJ457" i="1"/>
  <c r="BI457" i="1"/>
  <c r="D457" i="1"/>
  <c r="C457" i="1"/>
  <c r="B457" i="1"/>
  <c r="BQ456" i="1"/>
  <c r="BP456" i="1"/>
  <c r="BM456" i="1"/>
  <c r="BL456" i="1"/>
  <c r="BK456" i="1"/>
  <c r="BJ456" i="1"/>
  <c r="BI456" i="1"/>
  <c r="D456" i="1"/>
  <c r="C456" i="1"/>
  <c r="B456" i="1"/>
  <c r="BQ455" i="1"/>
  <c r="BP455" i="1"/>
  <c r="BM455" i="1"/>
  <c r="BL455" i="1"/>
  <c r="BK455" i="1"/>
  <c r="BJ455" i="1"/>
  <c r="BI455" i="1"/>
  <c r="D455" i="1"/>
  <c r="C455" i="1"/>
  <c r="B455" i="1"/>
  <c r="BQ454" i="1"/>
  <c r="BP454" i="1"/>
  <c r="BM454" i="1"/>
  <c r="BL454" i="1"/>
  <c r="BK454" i="1"/>
  <c r="BJ454" i="1"/>
  <c r="BI454" i="1"/>
  <c r="D454" i="1"/>
  <c r="C454" i="1"/>
  <c r="B454" i="1"/>
  <c r="BQ453" i="1"/>
  <c r="BP453" i="1"/>
  <c r="BM453" i="1"/>
  <c r="BL453" i="1"/>
  <c r="BK453" i="1"/>
  <c r="BJ453" i="1"/>
  <c r="BI453" i="1"/>
  <c r="D453" i="1"/>
  <c r="C453" i="1"/>
  <c r="B453" i="1"/>
  <c r="BQ452" i="1"/>
  <c r="BP452" i="1"/>
  <c r="BM452" i="1"/>
  <c r="BL452" i="1"/>
  <c r="BK452" i="1"/>
  <c r="BJ452" i="1"/>
  <c r="BI452" i="1"/>
  <c r="D452" i="1"/>
  <c r="C452" i="1"/>
  <c r="B452" i="1"/>
  <c r="BQ451" i="1"/>
  <c r="BP451" i="1"/>
  <c r="BM451" i="1"/>
  <c r="BL451" i="1"/>
  <c r="BK451" i="1"/>
  <c r="BJ451" i="1"/>
  <c r="BI451" i="1"/>
  <c r="D451" i="1"/>
  <c r="C451" i="1"/>
  <c r="B451" i="1"/>
  <c r="BQ450" i="1"/>
  <c r="BP450" i="1"/>
  <c r="BM450" i="1"/>
  <c r="BL450" i="1"/>
  <c r="BK450" i="1"/>
  <c r="BJ450" i="1"/>
  <c r="BI450" i="1"/>
  <c r="D450" i="1"/>
  <c r="C450" i="1"/>
  <c r="B450" i="1"/>
  <c r="BQ449" i="1"/>
  <c r="BP449" i="1"/>
  <c r="BM449" i="1"/>
  <c r="BL449" i="1"/>
  <c r="BK449" i="1"/>
  <c r="BJ449" i="1"/>
  <c r="BI449" i="1"/>
  <c r="D449" i="1"/>
  <c r="C449" i="1"/>
  <c r="B449" i="1"/>
  <c r="BQ448" i="1"/>
  <c r="BP448" i="1"/>
  <c r="BM448" i="1"/>
  <c r="BL448" i="1"/>
  <c r="BK448" i="1"/>
  <c r="BJ448" i="1"/>
  <c r="BI448" i="1"/>
  <c r="D448" i="1"/>
  <c r="C448" i="1"/>
  <c r="B448" i="1"/>
  <c r="BQ447" i="1"/>
  <c r="BP447" i="1"/>
  <c r="BM447" i="1"/>
  <c r="BL447" i="1"/>
  <c r="BK447" i="1"/>
  <c r="BJ447" i="1"/>
  <c r="BI447" i="1"/>
  <c r="D447" i="1"/>
  <c r="C447" i="1"/>
  <c r="B447" i="1"/>
  <c r="BQ446" i="1"/>
  <c r="BP446" i="1"/>
  <c r="BM446" i="1"/>
  <c r="BL446" i="1"/>
  <c r="BK446" i="1"/>
  <c r="BJ446" i="1"/>
  <c r="BI446" i="1"/>
  <c r="D446" i="1"/>
  <c r="C446" i="1"/>
  <c r="B446" i="1"/>
  <c r="BQ445" i="1"/>
  <c r="BP445" i="1"/>
  <c r="BM445" i="1"/>
  <c r="BL445" i="1"/>
  <c r="BK445" i="1"/>
  <c r="BJ445" i="1"/>
  <c r="BI445" i="1"/>
  <c r="D445" i="1"/>
  <c r="C445" i="1"/>
  <c r="B445" i="1"/>
  <c r="BQ444" i="1"/>
  <c r="BP444" i="1"/>
  <c r="BM444" i="1"/>
  <c r="BL444" i="1"/>
  <c r="BK444" i="1"/>
  <c r="BJ444" i="1"/>
  <c r="BI444" i="1"/>
  <c r="D444" i="1"/>
  <c r="C444" i="1"/>
  <c r="B444" i="1"/>
  <c r="BQ443" i="1"/>
  <c r="BP443" i="1"/>
  <c r="BM443" i="1"/>
  <c r="BL443" i="1"/>
  <c r="BK443" i="1"/>
  <c r="BJ443" i="1"/>
  <c r="BI443" i="1"/>
  <c r="D443" i="1"/>
  <c r="C443" i="1"/>
  <c r="B443" i="1"/>
  <c r="BQ442" i="1"/>
  <c r="BP442" i="1"/>
  <c r="BM442" i="1"/>
  <c r="BL442" i="1"/>
  <c r="BK442" i="1"/>
  <c r="BJ442" i="1"/>
  <c r="BI442" i="1"/>
  <c r="D442" i="1"/>
  <c r="C442" i="1"/>
  <c r="B442" i="1"/>
  <c r="BQ441" i="1"/>
  <c r="BP441" i="1"/>
  <c r="BM441" i="1"/>
  <c r="BL441" i="1"/>
  <c r="BK441" i="1"/>
  <c r="BJ441" i="1"/>
  <c r="BI441" i="1"/>
  <c r="D441" i="1"/>
  <c r="C441" i="1"/>
  <c r="B441" i="1"/>
  <c r="BQ440" i="1"/>
  <c r="BP440" i="1"/>
  <c r="BM440" i="1"/>
  <c r="BL440" i="1"/>
  <c r="BK440" i="1"/>
  <c r="BJ440" i="1"/>
  <c r="BI440" i="1"/>
  <c r="D440" i="1"/>
  <c r="C440" i="1"/>
  <c r="B440" i="1"/>
  <c r="BQ439" i="1"/>
  <c r="BP439" i="1"/>
  <c r="BM439" i="1"/>
  <c r="BL439" i="1"/>
  <c r="BK439" i="1"/>
  <c r="BJ439" i="1"/>
  <c r="BI439" i="1"/>
  <c r="D439" i="1"/>
  <c r="C439" i="1"/>
  <c r="B439" i="1"/>
  <c r="BQ438" i="1"/>
  <c r="BP438" i="1"/>
  <c r="BM438" i="1"/>
  <c r="BL438" i="1"/>
  <c r="BK438" i="1"/>
  <c r="BJ438" i="1"/>
  <c r="BI438" i="1"/>
  <c r="D438" i="1"/>
  <c r="C438" i="1"/>
  <c r="B438" i="1"/>
  <c r="BQ437" i="1"/>
  <c r="BP437" i="1"/>
  <c r="BM437" i="1"/>
  <c r="BL437" i="1"/>
  <c r="BK437" i="1"/>
  <c r="BJ437" i="1"/>
  <c r="BI437" i="1"/>
  <c r="D437" i="1"/>
  <c r="C437" i="1"/>
  <c r="B437" i="1"/>
  <c r="BQ436" i="1"/>
  <c r="BP436" i="1"/>
  <c r="BM436" i="1"/>
  <c r="BL436" i="1"/>
  <c r="BK436" i="1"/>
  <c r="BJ436" i="1"/>
  <c r="BI436" i="1"/>
  <c r="D436" i="1"/>
  <c r="C436" i="1"/>
  <c r="B436" i="1"/>
  <c r="BQ435" i="1"/>
  <c r="BP435" i="1"/>
  <c r="BM435" i="1"/>
  <c r="BL435" i="1"/>
  <c r="BK435" i="1"/>
  <c r="BJ435" i="1"/>
  <c r="BI435" i="1"/>
  <c r="D435" i="1"/>
  <c r="C435" i="1"/>
  <c r="B435" i="1"/>
  <c r="BQ434" i="1"/>
  <c r="BP434" i="1"/>
  <c r="BM434" i="1"/>
  <c r="BL434" i="1"/>
  <c r="BK434" i="1"/>
  <c r="BJ434" i="1"/>
  <c r="BI434" i="1"/>
  <c r="D434" i="1"/>
  <c r="C434" i="1"/>
  <c r="B434" i="1"/>
  <c r="BQ433" i="1"/>
  <c r="BP433" i="1"/>
  <c r="BM433" i="1"/>
  <c r="BL433" i="1"/>
  <c r="BK433" i="1"/>
  <c r="BJ433" i="1"/>
  <c r="BI433" i="1"/>
  <c r="D433" i="1"/>
  <c r="C433" i="1"/>
  <c r="B433" i="1"/>
  <c r="BQ432" i="1"/>
  <c r="BP432" i="1"/>
  <c r="BM432" i="1"/>
  <c r="BL432" i="1"/>
  <c r="BK432" i="1"/>
  <c r="BJ432" i="1"/>
  <c r="BI432" i="1"/>
  <c r="D432" i="1"/>
  <c r="C432" i="1"/>
  <c r="B432" i="1"/>
  <c r="BQ431" i="1"/>
  <c r="BP431" i="1"/>
  <c r="BM431" i="1"/>
  <c r="BL431" i="1"/>
  <c r="BK431" i="1"/>
  <c r="BJ431" i="1"/>
  <c r="BI431" i="1"/>
  <c r="D431" i="1"/>
  <c r="C431" i="1"/>
  <c r="B431" i="1"/>
  <c r="BQ430" i="1"/>
  <c r="BP430" i="1"/>
  <c r="BM430" i="1"/>
  <c r="BL430" i="1"/>
  <c r="BK430" i="1"/>
  <c r="BJ430" i="1"/>
  <c r="BI430" i="1"/>
  <c r="D430" i="1"/>
  <c r="C430" i="1"/>
  <c r="B430" i="1"/>
  <c r="BQ429" i="1"/>
  <c r="BP429" i="1"/>
  <c r="BM429" i="1"/>
  <c r="BL429" i="1"/>
  <c r="BK429" i="1"/>
  <c r="BJ429" i="1"/>
  <c r="BI429" i="1"/>
  <c r="D429" i="1"/>
  <c r="C429" i="1"/>
  <c r="B429" i="1"/>
  <c r="BQ428" i="1"/>
  <c r="BP428" i="1"/>
  <c r="BM428" i="1"/>
  <c r="BL428" i="1"/>
  <c r="BK428" i="1"/>
  <c r="BJ428" i="1"/>
  <c r="BI428" i="1"/>
  <c r="D428" i="1"/>
  <c r="C428" i="1"/>
  <c r="B428" i="1"/>
  <c r="BQ427" i="1"/>
  <c r="BP427" i="1"/>
  <c r="BM427" i="1"/>
  <c r="BL427" i="1"/>
  <c r="BK427" i="1"/>
  <c r="BJ427" i="1"/>
  <c r="BI427" i="1"/>
  <c r="D427" i="1"/>
  <c r="C427" i="1"/>
  <c r="B427" i="1"/>
  <c r="BQ426" i="1"/>
  <c r="BP426" i="1"/>
  <c r="BM426" i="1"/>
  <c r="BL426" i="1"/>
  <c r="BK426" i="1"/>
  <c r="BJ426" i="1"/>
  <c r="BI426" i="1"/>
  <c r="D426" i="1"/>
  <c r="C426" i="1"/>
  <c r="B426" i="1"/>
  <c r="BQ425" i="1"/>
  <c r="BP425" i="1"/>
  <c r="BM425" i="1"/>
  <c r="BL425" i="1"/>
  <c r="BK425" i="1"/>
  <c r="BJ425" i="1"/>
  <c r="BI425" i="1"/>
  <c r="D425" i="1"/>
  <c r="C425" i="1"/>
  <c r="B425" i="1"/>
  <c r="BQ424" i="1"/>
  <c r="BP424" i="1"/>
  <c r="BM424" i="1"/>
  <c r="BL424" i="1"/>
  <c r="BK424" i="1"/>
  <c r="BJ424" i="1"/>
  <c r="BI424" i="1"/>
  <c r="D424" i="1"/>
  <c r="C424" i="1"/>
  <c r="B424" i="1"/>
  <c r="BQ423" i="1"/>
  <c r="BP423" i="1"/>
  <c r="BM423" i="1"/>
  <c r="BL423" i="1"/>
  <c r="BK423" i="1"/>
  <c r="BJ423" i="1"/>
  <c r="BI423" i="1"/>
  <c r="D423" i="1"/>
  <c r="C423" i="1"/>
  <c r="B423" i="1"/>
  <c r="BQ422" i="1"/>
  <c r="BP422" i="1"/>
  <c r="BM422" i="1"/>
  <c r="BL422" i="1"/>
  <c r="BK422" i="1"/>
  <c r="BJ422" i="1"/>
  <c r="BI422" i="1"/>
  <c r="D422" i="1"/>
  <c r="C422" i="1"/>
  <c r="B422" i="1"/>
  <c r="BQ421" i="1"/>
  <c r="BP421" i="1"/>
  <c r="BM421" i="1"/>
  <c r="BL421" i="1"/>
  <c r="BK421" i="1"/>
  <c r="BJ421" i="1"/>
  <c r="BI421" i="1"/>
  <c r="D421" i="1"/>
  <c r="C421" i="1"/>
  <c r="B421" i="1"/>
  <c r="BQ420" i="1"/>
  <c r="BP420" i="1"/>
  <c r="BM420" i="1"/>
  <c r="BL420" i="1"/>
  <c r="BK420" i="1"/>
  <c r="BJ420" i="1"/>
  <c r="BI420" i="1"/>
  <c r="D420" i="1"/>
  <c r="C420" i="1"/>
  <c r="B420" i="1"/>
  <c r="BQ419" i="1"/>
  <c r="BP419" i="1"/>
  <c r="BM419" i="1"/>
  <c r="BL419" i="1"/>
  <c r="BK419" i="1"/>
  <c r="BJ419" i="1"/>
  <c r="BI419" i="1"/>
  <c r="D419" i="1"/>
  <c r="C419" i="1"/>
  <c r="B419" i="1"/>
  <c r="BQ418" i="1"/>
  <c r="BP418" i="1"/>
  <c r="BM418" i="1"/>
  <c r="BL418" i="1"/>
  <c r="BK418" i="1"/>
  <c r="BJ418" i="1"/>
  <c r="BI418" i="1"/>
  <c r="D418" i="1"/>
  <c r="C418" i="1"/>
  <c r="B418" i="1"/>
  <c r="BQ417" i="1"/>
  <c r="BP417" i="1"/>
  <c r="BM417" i="1"/>
  <c r="BL417" i="1"/>
  <c r="BK417" i="1"/>
  <c r="BJ417" i="1"/>
  <c r="BI417" i="1"/>
  <c r="D417" i="1"/>
  <c r="C417" i="1"/>
  <c r="B417" i="1"/>
  <c r="BQ416" i="1"/>
  <c r="BP416" i="1"/>
  <c r="BM416" i="1"/>
  <c r="BL416" i="1"/>
  <c r="BK416" i="1"/>
  <c r="BJ416" i="1"/>
  <c r="BI416" i="1"/>
  <c r="D416" i="1"/>
  <c r="C416" i="1"/>
  <c r="B416" i="1"/>
  <c r="BQ415" i="1"/>
  <c r="BP415" i="1"/>
  <c r="BM415" i="1"/>
  <c r="BL415" i="1"/>
  <c r="BK415" i="1"/>
  <c r="BJ415" i="1"/>
  <c r="BI415" i="1"/>
  <c r="D415" i="1"/>
  <c r="C415" i="1"/>
  <c r="B415" i="1"/>
  <c r="BQ414" i="1"/>
  <c r="BP414" i="1"/>
  <c r="BM414" i="1"/>
  <c r="BL414" i="1"/>
  <c r="BK414" i="1"/>
  <c r="BJ414" i="1"/>
  <c r="BI414" i="1"/>
  <c r="D414" i="1"/>
  <c r="C414" i="1"/>
  <c r="B414" i="1"/>
  <c r="BQ413" i="1"/>
  <c r="BP413" i="1"/>
  <c r="BM413" i="1"/>
  <c r="BL413" i="1"/>
  <c r="BK413" i="1"/>
  <c r="BJ413" i="1"/>
  <c r="BI413" i="1"/>
  <c r="D413" i="1"/>
  <c r="C413" i="1"/>
  <c r="B413" i="1"/>
  <c r="BQ412" i="1"/>
  <c r="BP412" i="1"/>
  <c r="BM412" i="1"/>
  <c r="BL412" i="1"/>
  <c r="BK412" i="1"/>
  <c r="BJ412" i="1"/>
  <c r="BI412" i="1"/>
  <c r="D412" i="1"/>
  <c r="C412" i="1"/>
  <c r="B412" i="1"/>
  <c r="BQ411" i="1"/>
  <c r="BP411" i="1"/>
  <c r="BM411" i="1"/>
  <c r="BL411" i="1"/>
  <c r="BK411" i="1"/>
  <c r="BJ411" i="1"/>
  <c r="BI411" i="1"/>
  <c r="D411" i="1"/>
  <c r="C411" i="1"/>
  <c r="B411" i="1"/>
  <c r="BQ410" i="1"/>
  <c r="BP410" i="1"/>
  <c r="BM410" i="1"/>
  <c r="BL410" i="1"/>
  <c r="BK410" i="1"/>
  <c r="BJ410" i="1"/>
  <c r="BI410" i="1"/>
  <c r="D410" i="1"/>
  <c r="C410" i="1"/>
  <c r="B410" i="1"/>
  <c r="BQ409" i="1"/>
  <c r="BP409" i="1"/>
  <c r="BM409" i="1"/>
  <c r="BL409" i="1"/>
  <c r="BK409" i="1"/>
  <c r="BJ409" i="1"/>
  <c r="BI409" i="1"/>
  <c r="D409" i="1"/>
  <c r="C409" i="1"/>
  <c r="B409" i="1"/>
  <c r="BQ408" i="1"/>
  <c r="BP408" i="1"/>
  <c r="BM408" i="1"/>
  <c r="BL408" i="1"/>
  <c r="BK408" i="1"/>
  <c r="BJ408" i="1"/>
  <c r="BI408" i="1"/>
  <c r="D408" i="1"/>
  <c r="C408" i="1"/>
  <c r="B408" i="1"/>
  <c r="BQ407" i="1"/>
  <c r="BP407" i="1"/>
  <c r="BM407" i="1"/>
  <c r="BL407" i="1"/>
  <c r="BK407" i="1"/>
  <c r="BJ407" i="1"/>
  <c r="BI407" i="1"/>
  <c r="D407" i="1"/>
  <c r="C407" i="1"/>
  <c r="B407" i="1"/>
  <c r="BQ406" i="1"/>
  <c r="BP406" i="1"/>
  <c r="BM406" i="1"/>
  <c r="BL406" i="1"/>
  <c r="BK406" i="1"/>
  <c r="BJ406" i="1"/>
  <c r="BI406" i="1"/>
  <c r="D406" i="1"/>
  <c r="C406" i="1"/>
  <c r="B406" i="1"/>
  <c r="BQ405" i="1"/>
  <c r="BP405" i="1"/>
  <c r="BM405" i="1"/>
  <c r="BL405" i="1"/>
  <c r="BK405" i="1"/>
  <c r="BJ405" i="1"/>
  <c r="BI405" i="1"/>
  <c r="D405" i="1"/>
  <c r="C405" i="1"/>
  <c r="B405" i="1"/>
  <c r="BQ404" i="1"/>
  <c r="BP404" i="1"/>
  <c r="BM404" i="1"/>
  <c r="BL404" i="1"/>
  <c r="BK404" i="1"/>
  <c r="BJ404" i="1"/>
  <c r="BI404" i="1"/>
  <c r="D404" i="1"/>
  <c r="C404" i="1"/>
  <c r="B404" i="1"/>
  <c r="BQ403" i="1"/>
  <c r="BP403" i="1"/>
  <c r="BM403" i="1"/>
  <c r="BL403" i="1"/>
  <c r="BK403" i="1"/>
  <c r="BJ403" i="1"/>
  <c r="BI403" i="1"/>
  <c r="D403" i="1"/>
  <c r="C403" i="1"/>
  <c r="B403" i="1"/>
  <c r="BQ402" i="1"/>
  <c r="BP402" i="1"/>
  <c r="BM402" i="1"/>
  <c r="BL402" i="1"/>
  <c r="BK402" i="1"/>
  <c r="BJ402" i="1"/>
  <c r="BI402" i="1"/>
  <c r="D402" i="1"/>
  <c r="C402" i="1"/>
  <c r="B402" i="1"/>
  <c r="BQ401" i="1"/>
  <c r="BP401" i="1"/>
  <c r="BM401" i="1"/>
  <c r="BL401" i="1"/>
  <c r="BK401" i="1"/>
  <c r="BJ401" i="1"/>
  <c r="BI401" i="1"/>
  <c r="D401" i="1"/>
  <c r="C401" i="1"/>
  <c r="B401" i="1"/>
  <c r="BQ400" i="1"/>
  <c r="BP400" i="1"/>
  <c r="BM400" i="1"/>
  <c r="BL400" i="1"/>
  <c r="BK400" i="1"/>
  <c r="BJ400" i="1"/>
  <c r="BI400" i="1"/>
  <c r="D400" i="1"/>
  <c r="C400" i="1"/>
  <c r="B400" i="1"/>
  <c r="BQ399" i="1"/>
  <c r="BP399" i="1"/>
  <c r="BM399" i="1"/>
  <c r="BL399" i="1"/>
  <c r="BK399" i="1"/>
  <c r="BJ399" i="1"/>
  <c r="BI399" i="1"/>
  <c r="D399" i="1"/>
  <c r="C399" i="1"/>
  <c r="B399" i="1"/>
  <c r="BQ398" i="1"/>
  <c r="BP398" i="1"/>
  <c r="BM398" i="1"/>
  <c r="BL398" i="1"/>
  <c r="BK398" i="1"/>
  <c r="BJ398" i="1"/>
  <c r="BI398" i="1"/>
  <c r="D398" i="1"/>
  <c r="C398" i="1"/>
  <c r="B398" i="1"/>
  <c r="BQ397" i="1"/>
  <c r="BP397" i="1"/>
  <c r="BM397" i="1"/>
  <c r="BL397" i="1"/>
  <c r="BK397" i="1"/>
  <c r="BJ397" i="1"/>
  <c r="BI397" i="1"/>
  <c r="D397" i="1"/>
  <c r="C397" i="1"/>
  <c r="B397" i="1"/>
  <c r="BQ396" i="1"/>
  <c r="BP396" i="1"/>
  <c r="BM396" i="1"/>
  <c r="BL396" i="1"/>
  <c r="BK396" i="1"/>
  <c r="BJ396" i="1"/>
  <c r="BI396" i="1"/>
  <c r="D396" i="1"/>
  <c r="C396" i="1"/>
  <c r="B396" i="1"/>
  <c r="BQ395" i="1"/>
  <c r="BP395" i="1"/>
  <c r="BM395" i="1"/>
  <c r="BL395" i="1"/>
  <c r="BK395" i="1"/>
  <c r="BJ395" i="1"/>
  <c r="BI395" i="1"/>
  <c r="D395" i="1"/>
  <c r="C395" i="1"/>
  <c r="B395" i="1"/>
  <c r="BQ394" i="1"/>
  <c r="BP394" i="1"/>
  <c r="BM394" i="1"/>
  <c r="BL394" i="1"/>
  <c r="BK394" i="1"/>
  <c r="BJ394" i="1"/>
  <c r="BI394" i="1"/>
  <c r="D394" i="1"/>
  <c r="C394" i="1"/>
  <c r="B394" i="1"/>
  <c r="BQ393" i="1"/>
  <c r="BP393" i="1"/>
  <c r="BM393" i="1"/>
  <c r="BL393" i="1"/>
  <c r="BK393" i="1"/>
  <c r="BJ393" i="1"/>
  <c r="BI393" i="1"/>
  <c r="D393" i="1"/>
  <c r="C393" i="1"/>
  <c r="B393" i="1"/>
  <c r="BQ392" i="1"/>
  <c r="BP392" i="1"/>
  <c r="BM392" i="1"/>
  <c r="BL392" i="1"/>
  <c r="BK392" i="1"/>
  <c r="BJ392" i="1"/>
  <c r="BI392" i="1"/>
  <c r="D392" i="1"/>
  <c r="C392" i="1"/>
  <c r="B392" i="1"/>
  <c r="BQ391" i="1"/>
  <c r="BP391" i="1"/>
  <c r="BM391" i="1"/>
  <c r="BL391" i="1"/>
  <c r="BK391" i="1"/>
  <c r="BJ391" i="1"/>
  <c r="BI391" i="1"/>
  <c r="D391" i="1"/>
  <c r="C391" i="1"/>
  <c r="B391" i="1"/>
  <c r="BQ390" i="1"/>
  <c r="BP390" i="1"/>
  <c r="BM390" i="1"/>
  <c r="BL390" i="1"/>
  <c r="BK390" i="1"/>
  <c r="BJ390" i="1"/>
  <c r="BI390" i="1"/>
  <c r="D390" i="1"/>
  <c r="C390" i="1"/>
  <c r="B390" i="1"/>
  <c r="BQ389" i="1"/>
  <c r="BP389" i="1"/>
  <c r="BM389" i="1"/>
  <c r="BL389" i="1"/>
  <c r="BK389" i="1"/>
  <c r="BJ389" i="1"/>
  <c r="BI389" i="1"/>
  <c r="D389" i="1"/>
  <c r="C389" i="1"/>
  <c r="B389" i="1"/>
  <c r="BQ388" i="1"/>
  <c r="BP388" i="1"/>
  <c r="BM388" i="1"/>
  <c r="BL388" i="1"/>
  <c r="BK388" i="1"/>
  <c r="BJ388" i="1"/>
  <c r="BI388" i="1"/>
  <c r="D388" i="1"/>
  <c r="C388" i="1"/>
  <c r="B388" i="1"/>
  <c r="BQ387" i="1"/>
  <c r="BP387" i="1"/>
  <c r="BM387" i="1"/>
  <c r="BL387" i="1"/>
  <c r="BK387" i="1"/>
  <c r="BJ387" i="1"/>
  <c r="BI387" i="1"/>
  <c r="D387" i="1"/>
  <c r="C387" i="1"/>
  <c r="B387" i="1"/>
  <c r="BQ386" i="1"/>
  <c r="BP386" i="1"/>
  <c r="BM386" i="1"/>
  <c r="BL386" i="1"/>
  <c r="BK386" i="1"/>
  <c r="BJ386" i="1"/>
  <c r="BI386" i="1"/>
  <c r="D386" i="1"/>
  <c r="C386" i="1"/>
  <c r="B386" i="1"/>
  <c r="BQ385" i="1"/>
  <c r="BP385" i="1"/>
  <c r="BM385" i="1"/>
  <c r="BL385" i="1"/>
  <c r="BK385" i="1"/>
  <c r="BJ385" i="1"/>
  <c r="BI385" i="1"/>
  <c r="D385" i="1"/>
  <c r="C385" i="1"/>
  <c r="B385" i="1"/>
  <c r="BQ384" i="1"/>
  <c r="BP384" i="1"/>
  <c r="BM384" i="1"/>
  <c r="BL384" i="1"/>
  <c r="BK384" i="1"/>
  <c r="BJ384" i="1"/>
  <c r="BI384" i="1"/>
  <c r="D384" i="1"/>
  <c r="C384" i="1"/>
  <c r="B384" i="1"/>
  <c r="BQ383" i="1"/>
  <c r="BP383" i="1"/>
  <c r="BM383" i="1"/>
  <c r="BL383" i="1"/>
  <c r="BK383" i="1"/>
  <c r="BJ383" i="1"/>
  <c r="BI383" i="1"/>
  <c r="D383" i="1"/>
  <c r="C383" i="1"/>
  <c r="B383" i="1"/>
  <c r="BQ382" i="1"/>
  <c r="BP382" i="1"/>
  <c r="BM382" i="1"/>
  <c r="BL382" i="1"/>
  <c r="BK382" i="1"/>
  <c r="BJ382" i="1"/>
  <c r="BI382" i="1"/>
  <c r="D382" i="1"/>
  <c r="C382" i="1"/>
  <c r="B382" i="1"/>
  <c r="BQ381" i="1"/>
  <c r="BP381" i="1"/>
  <c r="BM381" i="1"/>
  <c r="BL381" i="1"/>
  <c r="BK381" i="1"/>
  <c r="BJ381" i="1"/>
  <c r="BI381" i="1"/>
  <c r="D381" i="1"/>
  <c r="C381" i="1"/>
  <c r="B381" i="1"/>
  <c r="BQ380" i="1"/>
  <c r="BP380" i="1"/>
  <c r="BM380" i="1"/>
  <c r="BL380" i="1"/>
  <c r="BK380" i="1"/>
  <c r="BJ380" i="1"/>
  <c r="BI380" i="1"/>
  <c r="D380" i="1"/>
  <c r="C380" i="1"/>
  <c r="B380" i="1"/>
  <c r="BQ379" i="1"/>
  <c r="BP379" i="1"/>
  <c r="BM379" i="1"/>
  <c r="BL379" i="1"/>
  <c r="BK379" i="1"/>
  <c r="BJ379" i="1"/>
  <c r="BI379" i="1"/>
  <c r="D379" i="1"/>
  <c r="C379" i="1"/>
  <c r="B379" i="1"/>
  <c r="BQ378" i="1"/>
  <c r="BP378" i="1"/>
  <c r="BM378" i="1"/>
  <c r="BL378" i="1"/>
  <c r="BK378" i="1"/>
  <c r="BJ378" i="1"/>
  <c r="BI378" i="1"/>
  <c r="D378" i="1"/>
  <c r="C378" i="1"/>
  <c r="B378" i="1"/>
  <c r="BQ377" i="1"/>
  <c r="BP377" i="1"/>
  <c r="BM377" i="1"/>
  <c r="BL377" i="1"/>
  <c r="BK377" i="1"/>
  <c r="BJ377" i="1"/>
  <c r="BI377" i="1"/>
  <c r="D377" i="1"/>
  <c r="C377" i="1"/>
  <c r="B377" i="1"/>
  <c r="BQ376" i="1"/>
  <c r="BP376" i="1"/>
  <c r="BM376" i="1"/>
  <c r="BL376" i="1"/>
  <c r="BK376" i="1"/>
  <c r="BJ376" i="1"/>
  <c r="BI376" i="1"/>
  <c r="D376" i="1"/>
  <c r="C376" i="1"/>
  <c r="B376" i="1"/>
  <c r="BQ375" i="1"/>
  <c r="BP375" i="1"/>
  <c r="BM375" i="1"/>
  <c r="BL375" i="1"/>
  <c r="BK375" i="1"/>
  <c r="BJ375" i="1"/>
  <c r="BI375" i="1"/>
  <c r="D375" i="1"/>
  <c r="C375" i="1"/>
  <c r="B375" i="1"/>
  <c r="BQ374" i="1"/>
  <c r="BP374" i="1"/>
  <c r="BM374" i="1"/>
  <c r="BL374" i="1"/>
  <c r="BK374" i="1"/>
  <c r="BJ374" i="1"/>
  <c r="BI374" i="1"/>
  <c r="D374" i="1"/>
  <c r="C374" i="1"/>
  <c r="B374" i="1"/>
  <c r="BQ373" i="1"/>
  <c r="BP373" i="1"/>
  <c r="BM373" i="1"/>
  <c r="BL373" i="1"/>
  <c r="BK373" i="1"/>
  <c r="BJ373" i="1"/>
  <c r="BI373" i="1"/>
  <c r="D373" i="1"/>
  <c r="C373" i="1"/>
  <c r="B373" i="1"/>
  <c r="BQ372" i="1"/>
  <c r="BP372" i="1"/>
  <c r="BM372" i="1"/>
  <c r="BL372" i="1"/>
  <c r="BK372" i="1"/>
  <c r="BJ372" i="1"/>
  <c r="BI372" i="1"/>
  <c r="D372" i="1"/>
  <c r="C372" i="1"/>
  <c r="B372" i="1"/>
  <c r="BQ371" i="1"/>
  <c r="BP371" i="1"/>
  <c r="BM371" i="1"/>
  <c r="BL371" i="1"/>
  <c r="BK371" i="1"/>
  <c r="BJ371" i="1"/>
  <c r="BI371" i="1"/>
  <c r="D371" i="1"/>
  <c r="C371" i="1"/>
  <c r="B371" i="1"/>
  <c r="BQ370" i="1"/>
  <c r="BP370" i="1"/>
  <c r="BM370" i="1"/>
  <c r="BL370" i="1"/>
  <c r="BK370" i="1"/>
  <c r="BJ370" i="1"/>
  <c r="BI370" i="1"/>
  <c r="D370" i="1"/>
  <c r="C370" i="1"/>
  <c r="B370" i="1"/>
  <c r="BQ369" i="1"/>
  <c r="BP369" i="1"/>
  <c r="BM369" i="1"/>
  <c r="BL369" i="1"/>
  <c r="BK369" i="1"/>
  <c r="BJ369" i="1"/>
  <c r="BI369" i="1"/>
  <c r="D369" i="1"/>
  <c r="C369" i="1"/>
  <c r="B369" i="1"/>
  <c r="BQ368" i="1"/>
  <c r="BP368" i="1"/>
  <c r="BM368" i="1"/>
  <c r="BL368" i="1"/>
  <c r="BK368" i="1"/>
  <c r="BJ368" i="1"/>
  <c r="BI368" i="1"/>
  <c r="D368" i="1"/>
  <c r="C368" i="1"/>
  <c r="B368" i="1"/>
  <c r="BQ367" i="1"/>
  <c r="BP367" i="1"/>
  <c r="BM367" i="1"/>
  <c r="BL367" i="1"/>
  <c r="BK367" i="1"/>
  <c r="BJ367" i="1"/>
  <c r="BI367" i="1"/>
  <c r="D367" i="1"/>
  <c r="C367" i="1"/>
  <c r="B367" i="1"/>
  <c r="BQ366" i="1"/>
  <c r="BP366" i="1"/>
  <c r="BM366" i="1"/>
  <c r="BL366" i="1"/>
  <c r="BK366" i="1"/>
  <c r="BJ366" i="1"/>
  <c r="BI366" i="1"/>
  <c r="D366" i="1"/>
  <c r="C366" i="1"/>
  <c r="B366" i="1"/>
  <c r="BQ365" i="1"/>
  <c r="BP365" i="1"/>
  <c r="BM365" i="1"/>
  <c r="BL365" i="1"/>
  <c r="BK365" i="1"/>
  <c r="BJ365" i="1"/>
  <c r="BI365" i="1"/>
  <c r="D365" i="1"/>
  <c r="C365" i="1"/>
  <c r="B365" i="1"/>
  <c r="BQ364" i="1"/>
  <c r="BP364" i="1"/>
  <c r="BM364" i="1"/>
  <c r="BL364" i="1"/>
  <c r="BK364" i="1"/>
  <c r="BJ364" i="1"/>
  <c r="BI364" i="1"/>
  <c r="D364" i="1"/>
  <c r="C364" i="1"/>
  <c r="B364" i="1"/>
  <c r="BQ363" i="1"/>
  <c r="BP363" i="1"/>
  <c r="BM363" i="1"/>
  <c r="BL363" i="1"/>
  <c r="BK363" i="1"/>
  <c r="BJ363" i="1"/>
  <c r="BI363" i="1"/>
  <c r="D363" i="1"/>
  <c r="C363" i="1"/>
  <c r="B363" i="1"/>
  <c r="BQ362" i="1"/>
  <c r="BP362" i="1"/>
  <c r="BM362" i="1"/>
  <c r="BL362" i="1"/>
  <c r="BK362" i="1"/>
  <c r="BJ362" i="1"/>
  <c r="BI362" i="1"/>
  <c r="D362" i="1"/>
  <c r="C362" i="1"/>
  <c r="B362" i="1"/>
  <c r="BQ361" i="1"/>
  <c r="BP361" i="1"/>
  <c r="BM361" i="1"/>
  <c r="BL361" i="1"/>
  <c r="BK361" i="1"/>
  <c r="BJ361" i="1"/>
  <c r="BI361" i="1"/>
  <c r="D361" i="1"/>
  <c r="C361" i="1"/>
  <c r="B361" i="1"/>
  <c r="BQ360" i="1"/>
  <c r="BP360" i="1"/>
  <c r="BM360" i="1"/>
  <c r="BL360" i="1"/>
  <c r="BK360" i="1"/>
  <c r="BJ360" i="1"/>
  <c r="BI360" i="1"/>
  <c r="D360" i="1"/>
  <c r="C360" i="1"/>
  <c r="B360" i="1"/>
  <c r="BQ359" i="1"/>
  <c r="BP359" i="1"/>
  <c r="BM359" i="1"/>
  <c r="BL359" i="1"/>
  <c r="BK359" i="1"/>
  <c r="BJ359" i="1"/>
  <c r="BI359" i="1"/>
  <c r="D359" i="1"/>
  <c r="C359" i="1"/>
  <c r="B359" i="1"/>
  <c r="BQ358" i="1"/>
  <c r="BP358" i="1"/>
  <c r="BM358" i="1"/>
  <c r="BL358" i="1"/>
  <c r="BK358" i="1"/>
  <c r="BJ358" i="1"/>
  <c r="BI358" i="1"/>
  <c r="D358" i="1"/>
  <c r="C358" i="1"/>
  <c r="B358" i="1"/>
  <c r="BQ357" i="1"/>
  <c r="BP357" i="1"/>
  <c r="BM357" i="1"/>
  <c r="BL357" i="1"/>
  <c r="BK357" i="1"/>
  <c r="BJ357" i="1"/>
  <c r="BI357" i="1"/>
  <c r="D357" i="1"/>
  <c r="C357" i="1"/>
  <c r="B357" i="1"/>
  <c r="BQ356" i="1"/>
  <c r="BP356" i="1"/>
  <c r="BM356" i="1"/>
  <c r="BL356" i="1"/>
  <c r="BK356" i="1"/>
  <c r="BJ356" i="1"/>
  <c r="BI356" i="1"/>
  <c r="D356" i="1"/>
  <c r="C356" i="1"/>
  <c r="B356" i="1"/>
  <c r="BQ355" i="1"/>
  <c r="BP355" i="1"/>
  <c r="BM355" i="1"/>
  <c r="BL355" i="1"/>
  <c r="BK355" i="1"/>
  <c r="BJ355" i="1"/>
  <c r="BI355" i="1"/>
  <c r="D355" i="1"/>
  <c r="C355" i="1"/>
  <c r="B355" i="1"/>
  <c r="BQ354" i="1"/>
  <c r="BP354" i="1"/>
  <c r="BM354" i="1"/>
  <c r="BL354" i="1"/>
  <c r="BK354" i="1"/>
  <c r="BJ354" i="1"/>
  <c r="BI354" i="1"/>
  <c r="D354" i="1"/>
  <c r="C354" i="1"/>
  <c r="B354" i="1"/>
  <c r="BQ353" i="1"/>
  <c r="BP353" i="1"/>
  <c r="BM353" i="1"/>
  <c r="BL353" i="1"/>
  <c r="BK353" i="1"/>
  <c r="BJ353" i="1"/>
  <c r="BI353" i="1"/>
  <c r="D353" i="1"/>
  <c r="C353" i="1"/>
  <c r="B353" i="1"/>
  <c r="BQ352" i="1"/>
  <c r="BP352" i="1"/>
  <c r="BM352" i="1"/>
  <c r="BL352" i="1"/>
  <c r="BK352" i="1"/>
  <c r="BJ352" i="1"/>
  <c r="BI352" i="1"/>
  <c r="D352" i="1"/>
  <c r="C352" i="1"/>
  <c r="B352" i="1"/>
  <c r="BQ351" i="1"/>
  <c r="BP351" i="1"/>
  <c r="BM351" i="1"/>
  <c r="BL351" i="1"/>
  <c r="BK351" i="1"/>
  <c r="BJ351" i="1"/>
  <c r="BI351" i="1"/>
  <c r="D351" i="1"/>
  <c r="C351" i="1"/>
  <c r="B351" i="1"/>
  <c r="BQ350" i="1"/>
  <c r="BP350" i="1"/>
  <c r="BM350" i="1"/>
  <c r="BL350" i="1"/>
  <c r="BK350" i="1"/>
  <c r="BJ350" i="1"/>
  <c r="BI350" i="1"/>
  <c r="D350" i="1"/>
  <c r="C350" i="1"/>
  <c r="B350" i="1"/>
  <c r="BQ349" i="1"/>
  <c r="BP349" i="1"/>
  <c r="BM349" i="1"/>
  <c r="BL349" i="1"/>
  <c r="BK349" i="1"/>
  <c r="BJ349" i="1"/>
  <c r="BI349" i="1"/>
  <c r="D349" i="1"/>
  <c r="C349" i="1"/>
  <c r="B349" i="1"/>
  <c r="BQ348" i="1"/>
  <c r="BP348" i="1"/>
  <c r="BM348" i="1"/>
  <c r="BL348" i="1"/>
  <c r="BK348" i="1"/>
  <c r="BJ348" i="1"/>
  <c r="BI348" i="1"/>
  <c r="D348" i="1"/>
  <c r="C348" i="1"/>
  <c r="B348" i="1"/>
  <c r="BQ347" i="1"/>
  <c r="BP347" i="1"/>
  <c r="BM347" i="1"/>
  <c r="BL347" i="1"/>
  <c r="BK347" i="1"/>
  <c r="BJ347" i="1"/>
  <c r="BI347" i="1"/>
  <c r="D347" i="1"/>
  <c r="C347" i="1"/>
  <c r="B347" i="1"/>
  <c r="BQ346" i="1"/>
  <c r="BP346" i="1"/>
  <c r="BM346" i="1"/>
  <c r="BL346" i="1"/>
  <c r="BK346" i="1"/>
  <c r="BJ346" i="1"/>
  <c r="BI346" i="1"/>
  <c r="D346" i="1"/>
  <c r="C346" i="1"/>
  <c r="B346" i="1"/>
  <c r="BQ345" i="1"/>
  <c r="BP345" i="1"/>
  <c r="BM345" i="1"/>
  <c r="BL345" i="1"/>
  <c r="BK345" i="1"/>
  <c r="BJ345" i="1"/>
  <c r="BI345" i="1"/>
  <c r="D345" i="1"/>
  <c r="C345" i="1"/>
  <c r="B345" i="1"/>
  <c r="BQ344" i="1"/>
  <c r="BP344" i="1"/>
  <c r="BM344" i="1"/>
  <c r="BL344" i="1"/>
  <c r="BK344" i="1"/>
  <c r="BJ344" i="1"/>
  <c r="BI344" i="1"/>
  <c r="D344" i="1"/>
  <c r="C344" i="1"/>
  <c r="B344" i="1"/>
  <c r="BQ343" i="1"/>
  <c r="BP343" i="1"/>
  <c r="BM343" i="1"/>
  <c r="BL343" i="1"/>
  <c r="BK343" i="1"/>
  <c r="BJ343" i="1"/>
  <c r="BI343" i="1"/>
  <c r="D343" i="1"/>
  <c r="C343" i="1"/>
  <c r="B343" i="1"/>
  <c r="BQ342" i="1"/>
  <c r="BP342" i="1"/>
  <c r="BM342" i="1"/>
  <c r="BL342" i="1"/>
  <c r="BK342" i="1"/>
  <c r="BJ342" i="1"/>
  <c r="BI342" i="1"/>
  <c r="D342" i="1"/>
  <c r="C342" i="1"/>
  <c r="B342" i="1"/>
  <c r="BQ341" i="1"/>
  <c r="BP341" i="1"/>
  <c r="BM341" i="1"/>
  <c r="BL341" i="1"/>
  <c r="BK341" i="1"/>
  <c r="BJ341" i="1"/>
  <c r="BI341" i="1"/>
  <c r="D341" i="1"/>
  <c r="C341" i="1"/>
  <c r="B341" i="1"/>
  <c r="BQ340" i="1"/>
  <c r="BP340" i="1"/>
  <c r="BM340" i="1"/>
  <c r="BL340" i="1"/>
  <c r="BK340" i="1"/>
  <c r="BJ340" i="1"/>
  <c r="BI340" i="1"/>
  <c r="D340" i="1"/>
  <c r="C340" i="1"/>
  <c r="B340" i="1"/>
  <c r="BQ339" i="1"/>
  <c r="BP339" i="1"/>
  <c r="BM339" i="1"/>
  <c r="BL339" i="1"/>
  <c r="BK339" i="1"/>
  <c r="BJ339" i="1"/>
  <c r="BI339" i="1"/>
  <c r="D339" i="1"/>
  <c r="C339" i="1"/>
  <c r="B339" i="1"/>
  <c r="BQ338" i="1"/>
  <c r="BP338" i="1"/>
  <c r="BM338" i="1"/>
  <c r="BL338" i="1"/>
  <c r="BK338" i="1"/>
  <c r="BJ338" i="1"/>
  <c r="BI338" i="1"/>
  <c r="D338" i="1"/>
  <c r="C338" i="1"/>
  <c r="B338" i="1"/>
  <c r="BQ337" i="1"/>
  <c r="BP337" i="1"/>
  <c r="BM337" i="1"/>
  <c r="BL337" i="1"/>
  <c r="BK337" i="1"/>
  <c r="BJ337" i="1"/>
  <c r="BI337" i="1"/>
  <c r="D337" i="1"/>
  <c r="C337" i="1"/>
  <c r="B337" i="1"/>
  <c r="BQ336" i="1"/>
  <c r="BP336" i="1"/>
  <c r="BM336" i="1"/>
  <c r="BL336" i="1"/>
  <c r="BK336" i="1"/>
  <c r="BJ336" i="1"/>
  <c r="BI336" i="1"/>
  <c r="D336" i="1"/>
  <c r="C336" i="1"/>
  <c r="B336" i="1"/>
  <c r="BQ335" i="1"/>
  <c r="BP335" i="1"/>
  <c r="BM335" i="1"/>
  <c r="BL335" i="1"/>
  <c r="BK335" i="1"/>
  <c r="BJ335" i="1"/>
  <c r="BI335" i="1"/>
  <c r="D335" i="1"/>
  <c r="C335" i="1"/>
  <c r="B335" i="1"/>
  <c r="BQ334" i="1"/>
  <c r="BP334" i="1"/>
  <c r="BM334" i="1"/>
  <c r="BL334" i="1"/>
  <c r="BK334" i="1"/>
  <c r="BJ334" i="1"/>
  <c r="BI334" i="1"/>
  <c r="D334" i="1"/>
  <c r="C334" i="1"/>
  <c r="B334" i="1"/>
  <c r="BQ333" i="1"/>
  <c r="BP333" i="1"/>
  <c r="BM333" i="1"/>
  <c r="BL333" i="1"/>
  <c r="BK333" i="1"/>
  <c r="BJ333" i="1"/>
  <c r="BI333" i="1"/>
  <c r="D333" i="1"/>
  <c r="C333" i="1"/>
  <c r="B333" i="1"/>
  <c r="BQ332" i="1"/>
  <c r="BP332" i="1"/>
  <c r="BM332" i="1"/>
  <c r="BL332" i="1"/>
  <c r="BK332" i="1"/>
  <c r="BJ332" i="1"/>
  <c r="BI332" i="1"/>
  <c r="D332" i="1"/>
  <c r="C332" i="1"/>
  <c r="B332" i="1"/>
  <c r="BQ331" i="1"/>
  <c r="BP331" i="1"/>
  <c r="BM331" i="1"/>
  <c r="BL331" i="1"/>
  <c r="BK331" i="1"/>
  <c r="BJ331" i="1"/>
  <c r="BI331" i="1"/>
  <c r="D331" i="1"/>
  <c r="C331" i="1"/>
  <c r="B331" i="1"/>
  <c r="BQ330" i="1"/>
  <c r="BP330" i="1"/>
  <c r="BM330" i="1"/>
  <c r="BL330" i="1"/>
  <c r="BK330" i="1"/>
  <c r="BJ330" i="1"/>
  <c r="BI330" i="1"/>
  <c r="D330" i="1"/>
  <c r="C330" i="1"/>
  <c r="B330" i="1"/>
  <c r="BQ329" i="1"/>
  <c r="BP329" i="1"/>
  <c r="BM329" i="1"/>
  <c r="BL329" i="1"/>
  <c r="BK329" i="1"/>
  <c r="BJ329" i="1"/>
  <c r="BI329" i="1"/>
  <c r="D329" i="1"/>
  <c r="C329" i="1"/>
  <c r="B329" i="1"/>
  <c r="BQ328" i="1"/>
  <c r="BP328" i="1"/>
  <c r="BM328" i="1"/>
  <c r="BL328" i="1"/>
  <c r="BK328" i="1"/>
  <c r="BJ328" i="1"/>
  <c r="BI328" i="1"/>
  <c r="D328" i="1"/>
  <c r="C328" i="1"/>
  <c r="B328" i="1"/>
  <c r="BQ327" i="1"/>
  <c r="BP327" i="1"/>
  <c r="BM327" i="1"/>
  <c r="BL327" i="1"/>
  <c r="BK327" i="1"/>
  <c r="BJ327" i="1"/>
  <c r="BI327" i="1"/>
  <c r="D327" i="1"/>
  <c r="C327" i="1"/>
  <c r="B327" i="1"/>
  <c r="BQ326" i="1"/>
  <c r="BP326" i="1"/>
  <c r="BM326" i="1"/>
  <c r="BL326" i="1"/>
  <c r="BK326" i="1"/>
  <c r="BJ326" i="1"/>
  <c r="BI326" i="1"/>
  <c r="D326" i="1"/>
  <c r="C326" i="1"/>
  <c r="B326" i="1"/>
  <c r="BQ325" i="1"/>
  <c r="BP325" i="1"/>
  <c r="BM325" i="1"/>
  <c r="BL325" i="1"/>
  <c r="BK325" i="1"/>
  <c r="BJ325" i="1"/>
  <c r="BI325" i="1"/>
  <c r="D325" i="1"/>
  <c r="C325" i="1"/>
  <c r="B325" i="1"/>
  <c r="BQ324" i="1"/>
  <c r="BP324" i="1"/>
  <c r="BM324" i="1"/>
  <c r="BL324" i="1"/>
  <c r="BK324" i="1"/>
  <c r="BJ324" i="1"/>
  <c r="BI324" i="1"/>
  <c r="D324" i="1"/>
  <c r="C324" i="1"/>
  <c r="B324" i="1"/>
  <c r="BQ323" i="1"/>
  <c r="BP323" i="1"/>
  <c r="BM323" i="1"/>
  <c r="BL323" i="1"/>
  <c r="BK323" i="1"/>
  <c r="BJ323" i="1"/>
  <c r="BI323" i="1"/>
  <c r="D323" i="1"/>
  <c r="C323" i="1"/>
  <c r="B323" i="1"/>
  <c r="BQ322" i="1"/>
  <c r="BP322" i="1"/>
  <c r="BM322" i="1"/>
  <c r="BL322" i="1"/>
  <c r="BK322" i="1"/>
  <c r="BJ322" i="1"/>
  <c r="BI322" i="1"/>
  <c r="D322" i="1"/>
  <c r="C322" i="1"/>
  <c r="B322" i="1"/>
  <c r="BQ321" i="1"/>
  <c r="BP321" i="1"/>
  <c r="BM321" i="1"/>
  <c r="BL321" i="1"/>
  <c r="BK321" i="1"/>
  <c r="BJ321" i="1"/>
  <c r="BI321" i="1"/>
  <c r="D321" i="1"/>
  <c r="C321" i="1"/>
  <c r="B321" i="1"/>
  <c r="BQ320" i="1"/>
  <c r="BP320" i="1"/>
  <c r="BM320" i="1"/>
  <c r="BL320" i="1"/>
  <c r="BK320" i="1"/>
  <c r="BJ320" i="1"/>
  <c r="BI320" i="1"/>
  <c r="D320" i="1"/>
  <c r="C320" i="1"/>
  <c r="B320" i="1"/>
  <c r="BQ319" i="1"/>
  <c r="BP319" i="1"/>
  <c r="BM319" i="1"/>
  <c r="BL319" i="1"/>
  <c r="BK319" i="1"/>
  <c r="BJ319" i="1"/>
  <c r="BI319" i="1"/>
  <c r="D319" i="1"/>
  <c r="C319" i="1"/>
  <c r="B319" i="1"/>
  <c r="BQ318" i="1"/>
  <c r="BP318" i="1"/>
  <c r="BM318" i="1"/>
  <c r="BL318" i="1"/>
  <c r="BK318" i="1"/>
  <c r="BJ318" i="1"/>
  <c r="BI318" i="1"/>
  <c r="D318" i="1"/>
  <c r="C318" i="1"/>
  <c r="B318" i="1"/>
  <c r="BQ317" i="1"/>
  <c r="BP317" i="1"/>
  <c r="BM317" i="1"/>
  <c r="BL317" i="1"/>
  <c r="BK317" i="1"/>
  <c r="BJ317" i="1"/>
  <c r="BI317" i="1"/>
  <c r="D317" i="1"/>
  <c r="C317" i="1"/>
  <c r="B317" i="1"/>
  <c r="BQ316" i="1"/>
  <c r="BP316" i="1"/>
  <c r="BM316" i="1"/>
  <c r="BL316" i="1"/>
  <c r="BK316" i="1"/>
  <c r="BJ316" i="1"/>
  <c r="BI316" i="1"/>
  <c r="D316" i="1"/>
  <c r="C316" i="1"/>
  <c r="B316" i="1"/>
  <c r="BQ315" i="1"/>
  <c r="BP315" i="1"/>
  <c r="BM315" i="1"/>
  <c r="BL315" i="1"/>
  <c r="BK315" i="1"/>
  <c r="BJ315" i="1"/>
  <c r="BI315" i="1"/>
  <c r="D315" i="1"/>
  <c r="C315" i="1"/>
  <c r="B315" i="1"/>
  <c r="BQ314" i="1"/>
  <c r="BP314" i="1"/>
  <c r="BM314" i="1"/>
  <c r="BL314" i="1"/>
  <c r="BK314" i="1"/>
  <c r="BJ314" i="1"/>
  <c r="BI314" i="1"/>
  <c r="D314" i="1"/>
  <c r="C314" i="1"/>
  <c r="B314" i="1"/>
  <c r="BQ313" i="1"/>
  <c r="BP313" i="1"/>
  <c r="BM313" i="1"/>
  <c r="BL313" i="1"/>
  <c r="BK313" i="1"/>
  <c r="BJ313" i="1"/>
  <c r="BI313" i="1"/>
  <c r="D313" i="1"/>
  <c r="C313" i="1"/>
  <c r="B313" i="1"/>
  <c r="BQ312" i="1"/>
  <c r="BP312" i="1"/>
  <c r="BM312" i="1"/>
  <c r="BL312" i="1"/>
  <c r="BK312" i="1"/>
  <c r="BJ312" i="1"/>
  <c r="BI312" i="1"/>
  <c r="D312" i="1"/>
  <c r="C312" i="1"/>
  <c r="B312" i="1"/>
  <c r="BQ311" i="1"/>
  <c r="BP311" i="1"/>
  <c r="BM311" i="1"/>
  <c r="BL311" i="1"/>
  <c r="BK311" i="1"/>
  <c r="BJ311" i="1"/>
  <c r="BI311" i="1"/>
  <c r="D311" i="1"/>
  <c r="C311" i="1"/>
  <c r="B311" i="1"/>
  <c r="BQ310" i="1"/>
  <c r="BP310" i="1"/>
  <c r="BM310" i="1"/>
  <c r="BL310" i="1"/>
  <c r="BK310" i="1"/>
  <c r="BJ310" i="1"/>
  <c r="BI310" i="1"/>
  <c r="D310" i="1"/>
  <c r="C310" i="1"/>
  <c r="B310" i="1"/>
  <c r="BQ309" i="1"/>
  <c r="BP309" i="1"/>
  <c r="BM309" i="1"/>
  <c r="BL309" i="1"/>
  <c r="BK309" i="1"/>
  <c r="BJ309" i="1"/>
  <c r="BI309" i="1"/>
  <c r="D309" i="1"/>
  <c r="C309" i="1"/>
  <c r="B309" i="1"/>
  <c r="BQ308" i="1"/>
  <c r="BP308" i="1"/>
  <c r="BM308" i="1"/>
  <c r="BL308" i="1"/>
  <c r="BK308" i="1"/>
  <c r="BJ308" i="1"/>
  <c r="BI308" i="1"/>
  <c r="D308" i="1"/>
  <c r="C308" i="1"/>
  <c r="B308" i="1"/>
  <c r="BQ307" i="1"/>
  <c r="BP307" i="1"/>
  <c r="BM307" i="1"/>
  <c r="BL307" i="1"/>
  <c r="BK307" i="1"/>
  <c r="BJ307" i="1"/>
  <c r="BI307" i="1"/>
  <c r="D307" i="1"/>
  <c r="C307" i="1"/>
  <c r="B307" i="1"/>
  <c r="BQ306" i="1"/>
  <c r="BP306" i="1"/>
  <c r="BM306" i="1"/>
  <c r="BL306" i="1"/>
  <c r="BK306" i="1"/>
  <c r="BJ306" i="1"/>
  <c r="BI306" i="1"/>
  <c r="D306" i="1"/>
  <c r="C306" i="1"/>
  <c r="B306" i="1"/>
  <c r="BQ305" i="1"/>
  <c r="BP305" i="1"/>
  <c r="BM305" i="1"/>
  <c r="BL305" i="1"/>
  <c r="BK305" i="1"/>
  <c r="BJ305" i="1"/>
  <c r="BI305" i="1"/>
  <c r="D305" i="1"/>
  <c r="C305" i="1"/>
  <c r="B305" i="1"/>
  <c r="BQ304" i="1"/>
  <c r="BP304" i="1"/>
  <c r="BM304" i="1"/>
  <c r="BL304" i="1"/>
  <c r="BK304" i="1"/>
  <c r="BJ304" i="1"/>
  <c r="BI304" i="1"/>
  <c r="D304" i="1"/>
  <c r="C304" i="1"/>
  <c r="B304" i="1"/>
  <c r="BQ303" i="1"/>
  <c r="BP303" i="1"/>
  <c r="BM303" i="1"/>
  <c r="BL303" i="1"/>
  <c r="BK303" i="1"/>
  <c r="BJ303" i="1"/>
  <c r="BI303" i="1"/>
  <c r="D303" i="1"/>
  <c r="C303" i="1"/>
  <c r="B303" i="1"/>
  <c r="BQ302" i="1"/>
  <c r="BP302" i="1"/>
  <c r="BM302" i="1"/>
  <c r="BL302" i="1"/>
  <c r="BK302" i="1"/>
  <c r="BJ302" i="1"/>
  <c r="BI302" i="1"/>
  <c r="D302" i="1"/>
  <c r="C302" i="1"/>
  <c r="B302" i="1"/>
  <c r="BQ301" i="1"/>
  <c r="BP301" i="1"/>
  <c r="BM301" i="1"/>
  <c r="BL301" i="1"/>
  <c r="BK301" i="1"/>
  <c r="BJ301" i="1"/>
  <c r="BI301" i="1"/>
  <c r="D301" i="1"/>
  <c r="C301" i="1"/>
  <c r="B301" i="1"/>
  <c r="BQ300" i="1"/>
  <c r="BP300" i="1"/>
  <c r="BM300" i="1"/>
  <c r="BL300" i="1"/>
  <c r="BK300" i="1"/>
  <c r="BJ300" i="1"/>
  <c r="BI300" i="1"/>
  <c r="D300" i="1"/>
  <c r="C300" i="1"/>
  <c r="B300" i="1"/>
  <c r="BQ299" i="1"/>
  <c r="BP299" i="1"/>
  <c r="BM299" i="1"/>
  <c r="BL299" i="1"/>
  <c r="BK299" i="1"/>
  <c r="BJ299" i="1"/>
  <c r="BI299" i="1"/>
  <c r="D299" i="1"/>
  <c r="C299" i="1"/>
  <c r="B299" i="1"/>
  <c r="BQ298" i="1"/>
  <c r="BP298" i="1"/>
  <c r="BM298" i="1"/>
  <c r="BL298" i="1"/>
  <c r="BK298" i="1"/>
  <c r="BJ298" i="1"/>
  <c r="BI298" i="1"/>
  <c r="D298" i="1"/>
  <c r="C298" i="1"/>
  <c r="B298" i="1"/>
  <c r="BQ297" i="1"/>
  <c r="BP297" i="1"/>
  <c r="BM297" i="1"/>
  <c r="BL297" i="1"/>
  <c r="BK297" i="1"/>
  <c r="BJ297" i="1"/>
  <c r="BI297" i="1"/>
  <c r="D297" i="1"/>
  <c r="C297" i="1"/>
  <c r="B297" i="1"/>
  <c r="BQ296" i="1"/>
  <c r="BP296" i="1"/>
  <c r="BM296" i="1"/>
  <c r="BL296" i="1"/>
  <c r="BK296" i="1"/>
  <c r="BJ296" i="1"/>
  <c r="BI296" i="1"/>
  <c r="D296" i="1"/>
  <c r="C296" i="1"/>
  <c r="B296" i="1"/>
  <c r="BQ295" i="1"/>
  <c r="BP295" i="1"/>
  <c r="BM295" i="1"/>
  <c r="BL295" i="1"/>
  <c r="BK295" i="1"/>
  <c r="BJ295" i="1"/>
  <c r="BI295" i="1"/>
  <c r="D295" i="1"/>
  <c r="C295" i="1"/>
  <c r="B295" i="1"/>
  <c r="BQ294" i="1"/>
  <c r="BP294" i="1"/>
  <c r="BM294" i="1"/>
  <c r="BL294" i="1"/>
  <c r="BK294" i="1"/>
  <c r="BJ294" i="1"/>
  <c r="BI294" i="1"/>
  <c r="D294" i="1"/>
  <c r="C294" i="1"/>
  <c r="B294" i="1"/>
  <c r="BQ293" i="1"/>
  <c r="BP293" i="1"/>
  <c r="BM293" i="1"/>
  <c r="BL293" i="1"/>
  <c r="BK293" i="1"/>
  <c r="BJ293" i="1"/>
  <c r="BI293" i="1"/>
  <c r="D293" i="1"/>
  <c r="C293" i="1"/>
  <c r="B293" i="1"/>
  <c r="BQ292" i="1"/>
  <c r="BP292" i="1"/>
  <c r="BM292" i="1"/>
  <c r="BL292" i="1"/>
  <c r="BK292" i="1"/>
  <c r="BJ292" i="1"/>
  <c r="BI292" i="1"/>
  <c r="D292" i="1"/>
  <c r="C292" i="1"/>
  <c r="B292" i="1"/>
  <c r="BQ291" i="1"/>
  <c r="BP291" i="1"/>
  <c r="BM291" i="1"/>
  <c r="BL291" i="1"/>
  <c r="BK291" i="1"/>
  <c r="BJ291" i="1"/>
  <c r="BI291" i="1"/>
  <c r="D291" i="1"/>
  <c r="C291" i="1"/>
  <c r="B291" i="1"/>
  <c r="BQ290" i="1"/>
  <c r="BP290" i="1"/>
  <c r="BM290" i="1"/>
  <c r="BL290" i="1"/>
  <c r="BK290" i="1"/>
  <c r="BJ290" i="1"/>
  <c r="BI290" i="1"/>
  <c r="D290" i="1"/>
  <c r="C290" i="1"/>
  <c r="B290" i="1"/>
  <c r="BQ289" i="1"/>
  <c r="BP289" i="1"/>
  <c r="BM289" i="1"/>
  <c r="BL289" i="1"/>
  <c r="BK289" i="1"/>
  <c r="BJ289" i="1"/>
  <c r="BI289" i="1"/>
  <c r="D289" i="1"/>
  <c r="C289" i="1"/>
  <c r="B289" i="1"/>
  <c r="BQ288" i="1"/>
  <c r="BP288" i="1"/>
  <c r="BM288" i="1"/>
  <c r="BL288" i="1"/>
  <c r="BK288" i="1"/>
  <c r="BJ288" i="1"/>
  <c r="BI288" i="1"/>
  <c r="D288" i="1"/>
  <c r="C288" i="1"/>
  <c r="B288" i="1"/>
  <c r="BQ287" i="1"/>
  <c r="BP287" i="1"/>
  <c r="BM287" i="1"/>
  <c r="BL287" i="1"/>
  <c r="BK287" i="1"/>
  <c r="BJ287" i="1"/>
  <c r="BI287" i="1"/>
  <c r="D287" i="1"/>
  <c r="C287" i="1"/>
  <c r="B287" i="1"/>
  <c r="BQ286" i="1"/>
  <c r="BP286" i="1"/>
  <c r="BM286" i="1"/>
  <c r="BL286" i="1"/>
  <c r="BK286" i="1"/>
  <c r="BJ286" i="1"/>
  <c r="BI286" i="1"/>
  <c r="D286" i="1"/>
  <c r="C286" i="1"/>
  <c r="B286" i="1"/>
  <c r="BQ285" i="1"/>
  <c r="BP285" i="1"/>
  <c r="BM285" i="1"/>
  <c r="BL285" i="1"/>
  <c r="BK285" i="1"/>
  <c r="BJ285" i="1"/>
  <c r="BI285" i="1"/>
  <c r="D285" i="1"/>
  <c r="C285" i="1"/>
  <c r="B285" i="1"/>
  <c r="BQ284" i="1"/>
  <c r="BP284" i="1"/>
  <c r="BM284" i="1"/>
  <c r="BL284" i="1"/>
  <c r="BK284" i="1"/>
  <c r="BJ284" i="1"/>
  <c r="BI284" i="1"/>
  <c r="D284" i="1"/>
  <c r="C284" i="1"/>
  <c r="B284" i="1"/>
  <c r="BQ283" i="1"/>
  <c r="BP283" i="1"/>
  <c r="BM283" i="1"/>
  <c r="BL283" i="1"/>
  <c r="BK283" i="1"/>
  <c r="BJ283" i="1"/>
  <c r="BI283" i="1"/>
  <c r="D283" i="1"/>
  <c r="C283" i="1"/>
  <c r="B283" i="1"/>
  <c r="BQ282" i="1"/>
  <c r="BP282" i="1"/>
  <c r="BM282" i="1"/>
  <c r="BL282" i="1"/>
  <c r="BK282" i="1"/>
  <c r="BJ282" i="1"/>
  <c r="BI282" i="1"/>
  <c r="D282" i="1"/>
  <c r="C282" i="1"/>
  <c r="B282" i="1"/>
  <c r="BQ281" i="1"/>
  <c r="BP281" i="1"/>
  <c r="BM281" i="1"/>
  <c r="BL281" i="1"/>
  <c r="BK281" i="1"/>
  <c r="BJ281" i="1"/>
  <c r="BI281" i="1"/>
  <c r="D281" i="1"/>
  <c r="C281" i="1"/>
  <c r="B281" i="1"/>
  <c r="BQ280" i="1"/>
  <c r="BP280" i="1"/>
  <c r="BM280" i="1"/>
  <c r="BL280" i="1"/>
  <c r="BK280" i="1"/>
  <c r="BJ280" i="1"/>
  <c r="BI280" i="1"/>
  <c r="D280" i="1"/>
  <c r="C280" i="1"/>
  <c r="B280" i="1"/>
  <c r="BQ279" i="1"/>
  <c r="BP279" i="1"/>
  <c r="BM279" i="1"/>
  <c r="BL279" i="1"/>
  <c r="BK279" i="1"/>
  <c r="BJ279" i="1"/>
  <c r="BI279" i="1"/>
  <c r="D279" i="1"/>
  <c r="C279" i="1"/>
  <c r="B279" i="1"/>
  <c r="BQ278" i="1"/>
  <c r="BP278" i="1"/>
  <c r="BM278" i="1"/>
  <c r="BL278" i="1"/>
  <c r="BK278" i="1"/>
  <c r="BJ278" i="1"/>
  <c r="BI278" i="1"/>
  <c r="D278" i="1"/>
  <c r="C278" i="1"/>
  <c r="B278" i="1"/>
  <c r="BQ277" i="1"/>
  <c r="BP277" i="1"/>
  <c r="BM277" i="1"/>
  <c r="BL277" i="1"/>
  <c r="BK277" i="1"/>
  <c r="BJ277" i="1"/>
  <c r="BI277" i="1"/>
  <c r="D277" i="1"/>
  <c r="C277" i="1"/>
  <c r="B277" i="1"/>
  <c r="BQ276" i="1"/>
  <c r="BP276" i="1"/>
  <c r="BM276" i="1"/>
  <c r="BL276" i="1"/>
  <c r="BK276" i="1"/>
  <c r="BJ276" i="1"/>
  <c r="BI276" i="1"/>
  <c r="D276" i="1"/>
  <c r="C276" i="1"/>
  <c r="B276" i="1"/>
  <c r="BQ275" i="1"/>
  <c r="BP275" i="1"/>
  <c r="BN275" i="1"/>
  <c r="BM275" i="1"/>
  <c r="BL275" i="1"/>
  <c r="BK275" i="1"/>
  <c r="BJ275" i="1"/>
  <c r="BI275" i="1"/>
  <c r="D275" i="1"/>
  <c r="C275" i="1"/>
  <c r="B275" i="1"/>
  <c r="BQ274" i="1"/>
  <c r="BP274" i="1"/>
  <c r="BM274" i="1"/>
  <c r="BL274" i="1"/>
  <c r="BK274" i="1"/>
  <c r="BJ274" i="1"/>
  <c r="BI274" i="1"/>
  <c r="D274" i="1"/>
  <c r="C274" i="1"/>
  <c r="B274" i="1"/>
  <c r="BQ273" i="1"/>
  <c r="BP273" i="1"/>
  <c r="BM273" i="1"/>
  <c r="BL273" i="1"/>
  <c r="BK273" i="1"/>
  <c r="BJ273" i="1"/>
  <c r="BI273" i="1"/>
  <c r="D273" i="1"/>
  <c r="C273" i="1"/>
  <c r="B273" i="1"/>
  <c r="BQ272" i="1"/>
  <c r="BP272" i="1"/>
  <c r="BM272" i="1"/>
  <c r="BL272" i="1"/>
  <c r="BK272" i="1"/>
  <c r="BJ272" i="1"/>
  <c r="BI272" i="1"/>
  <c r="D272" i="1"/>
  <c r="C272" i="1"/>
  <c r="B272" i="1"/>
  <c r="BQ271" i="1"/>
  <c r="BP271" i="1"/>
  <c r="BM271" i="1"/>
  <c r="BL271" i="1"/>
  <c r="BK271" i="1"/>
  <c r="BJ271" i="1"/>
  <c r="BI271" i="1"/>
  <c r="D271" i="1"/>
  <c r="C271" i="1"/>
  <c r="B271" i="1"/>
  <c r="BQ270" i="1"/>
  <c r="BP270" i="1"/>
  <c r="BM270" i="1"/>
  <c r="BL270" i="1"/>
  <c r="BK270" i="1"/>
  <c r="BJ270" i="1"/>
  <c r="BI270" i="1"/>
  <c r="D270" i="1"/>
  <c r="C270" i="1"/>
  <c r="B270" i="1"/>
  <c r="BQ269" i="1"/>
  <c r="BP269" i="1"/>
  <c r="BM269" i="1"/>
  <c r="BL269" i="1"/>
  <c r="BK269" i="1"/>
  <c r="BJ269" i="1"/>
  <c r="BI269" i="1"/>
  <c r="D269" i="1"/>
  <c r="C269" i="1"/>
  <c r="B269" i="1"/>
  <c r="BQ268" i="1"/>
  <c r="BP268" i="1"/>
  <c r="BM268" i="1"/>
  <c r="BL268" i="1"/>
  <c r="BK268" i="1"/>
  <c r="BJ268" i="1"/>
  <c r="BI268" i="1"/>
  <c r="D268" i="1"/>
  <c r="C268" i="1"/>
  <c r="B268" i="1"/>
  <c r="BQ267" i="1"/>
  <c r="BP267" i="1"/>
  <c r="BM267" i="1"/>
  <c r="BL267" i="1"/>
  <c r="BK267" i="1"/>
  <c r="BJ267" i="1"/>
  <c r="BI267" i="1"/>
  <c r="D267" i="1"/>
  <c r="C267" i="1"/>
  <c r="B267" i="1"/>
  <c r="BQ266" i="1"/>
  <c r="BP266" i="1"/>
  <c r="BM266" i="1"/>
  <c r="BL266" i="1"/>
  <c r="BK266" i="1"/>
  <c r="BJ266" i="1"/>
  <c r="BI266" i="1"/>
  <c r="D266" i="1"/>
  <c r="C266" i="1"/>
  <c r="B266" i="1"/>
  <c r="BQ265" i="1"/>
  <c r="BP265" i="1"/>
  <c r="BM265" i="1"/>
  <c r="BL265" i="1"/>
  <c r="BK265" i="1"/>
  <c r="BJ265" i="1"/>
  <c r="BI265" i="1"/>
  <c r="D265" i="1"/>
  <c r="C265" i="1"/>
  <c r="B265" i="1"/>
  <c r="BQ264" i="1"/>
  <c r="BP264" i="1"/>
  <c r="BM264" i="1"/>
  <c r="BL264" i="1"/>
  <c r="BK264" i="1"/>
  <c r="BJ264" i="1"/>
  <c r="BI264" i="1"/>
  <c r="D264" i="1"/>
  <c r="C264" i="1"/>
  <c r="B264" i="1"/>
  <c r="BQ263" i="1"/>
  <c r="BP263" i="1"/>
  <c r="BM263" i="1"/>
  <c r="BL263" i="1"/>
  <c r="BK263" i="1"/>
  <c r="BJ263" i="1"/>
  <c r="BI263" i="1"/>
  <c r="D263" i="1"/>
  <c r="C263" i="1"/>
  <c r="B263" i="1"/>
  <c r="BQ262" i="1"/>
  <c r="BP262" i="1"/>
  <c r="BM262" i="1"/>
  <c r="BL262" i="1"/>
  <c r="BK262" i="1"/>
  <c r="BJ262" i="1"/>
  <c r="BI262" i="1"/>
  <c r="D262" i="1"/>
  <c r="C262" i="1"/>
  <c r="B262" i="1"/>
  <c r="BQ261" i="1"/>
  <c r="BP261" i="1"/>
  <c r="BM261" i="1"/>
  <c r="BL261" i="1"/>
  <c r="BK261" i="1"/>
  <c r="BJ261" i="1"/>
  <c r="BI261" i="1"/>
  <c r="D261" i="1"/>
  <c r="C261" i="1"/>
  <c r="B261" i="1"/>
  <c r="BQ260" i="1"/>
  <c r="BP260" i="1"/>
  <c r="BM260" i="1"/>
  <c r="BL260" i="1"/>
  <c r="BK260" i="1"/>
  <c r="BJ260" i="1"/>
  <c r="BI260" i="1"/>
  <c r="D260" i="1"/>
  <c r="C260" i="1"/>
  <c r="B260" i="1"/>
  <c r="BQ259" i="1"/>
  <c r="BP259" i="1"/>
  <c r="BM259" i="1"/>
  <c r="BL259" i="1"/>
  <c r="BK259" i="1"/>
  <c r="BJ259" i="1"/>
  <c r="BI259" i="1"/>
  <c r="D259" i="1"/>
  <c r="C259" i="1"/>
  <c r="B259" i="1"/>
  <c r="BQ258" i="1"/>
  <c r="BP258" i="1"/>
  <c r="BM258" i="1"/>
  <c r="BL258" i="1"/>
  <c r="BK258" i="1"/>
  <c r="BJ258" i="1"/>
  <c r="BI258" i="1"/>
  <c r="D258" i="1"/>
  <c r="C258" i="1"/>
  <c r="B258" i="1"/>
  <c r="BQ257" i="1"/>
  <c r="BP257" i="1"/>
  <c r="BM257" i="1"/>
  <c r="BL257" i="1"/>
  <c r="BK257" i="1"/>
  <c r="BJ257" i="1"/>
  <c r="BI257" i="1"/>
  <c r="D257" i="1"/>
  <c r="C257" i="1"/>
  <c r="B257" i="1"/>
  <c r="BQ256" i="1"/>
  <c r="BP256" i="1"/>
  <c r="BM256" i="1"/>
  <c r="BL256" i="1"/>
  <c r="BK256" i="1"/>
  <c r="BJ256" i="1"/>
  <c r="BI256" i="1"/>
  <c r="D256" i="1"/>
  <c r="C256" i="1"/>
  <c r="B256" i="1"/>
  <c r="BQ255" i="1"/>
  <c r="BP255" i="1"/>
  <c r="BM255" i="1"/>
  <c r="BL255" i="1"/>
  <c r="BK255" i="1"/>
  <c r="BJ255" i="1"/>
  <c r="BI255" i="1"/>
  <c r="D255" i="1"/>
  <c r="C255" i="1"/>
  <c r="B255" i="1"/>
  <c r="BQ254" i="1"/>
  <c r="BP254" i="1"/>
  <c r="BM254" i="1"/>
  <c r="BL254" i="1"/>
  <c r="BK254" i="1"/>
  <c r="BJ254" i="1"/>
  <c r="BI254" i="1"/>
  <c r="D254" i="1"/>
  <c r="C254" i="1"/>
  <c r="B254" i="1"/>
  <c r="BQ253" i="1"/>
  <c r="BP253" i="1"/>
  <c r="BM253" i="1"/>
  <c r="BL253" i="1"/>
  <c r="BK253" i="1"/>
  <c r="BJ253" i="1"/>
  <c r="BI253" i="1"/>
  <c r="D253" i="1"/>
  <c r="C253" i="1"/>
  <c r="B253" i="1"/>
  <c r="BQ252" i="1"/>
  <c r="BP252" i="1"/>
  <c r="BM252" i="1"/>
  <c r="BL252" i="1"/>
  <c r="BK252" i="1"/>
  <c r="BJ252" i="1"/>
  <c r="BI252" i="1"/>
  <c r="D252" i="1"/>
  <c r="C252" i="1"/>
  <c r="B252" i="1"/>
  <c r="BQ251" i="1"/>
  <c r="BP251" i="1"/>
  <c r="BM251" i="1"/>
  <c r="BL251" i="1"/>
  <c r="BK251" i="1"/>
  <c r="BJ251" i="1"/>
  <c r="BI251" i="1"/>
  <c r="D251" i="1"/>
  <c r="C251" i="1"/>
  <c r="B251" i="1"/>
  <c r="BQ250" i="1"/>
  <c r="BP250" i="1"/>
  <c r="BM250" i="1"/>
  <c r="BL250" i="1"/>
  <c r="BK250" i="1"/>
  <c r="BJ250" i="1"/>
  <c r="BI250" i="1"/>
  <c r="D250" i="1"/>
  <c r="C250" i="1"/>
  <c r="B250" i="1"/>
  <c r="BQ249" i="1"/>
  <c r="BP249" i="1"/>
  <c r="BM249" i="1"/>
  <c r="BL249" i="1"/>
  <c r="BK249" i="1"/>
  <c r="BJ249" i="1"/>
  <c r="BI249" i="1"/>
  <c r="D249" i="1"/>
  <c r="C249" i="1"/>
  <c r="B249" i="1"/>
  <c r="BQ248" i="1"/>
  <c r="BP248" i="1"/>
  <c r="BM248" i="1"/>
  <c r="BL248" i="1"/>
  <c r="BK248" i="1"/>
  <c r="BJ248" i="1"/>
  <c r="BI248" i="1"/>
  <c r="D248" i="1"/>
  <c r="C248" i="1"/>
  <c r="B248" i="1"/>
  <c r="BQ247" i="1"/>
  <c r="BP247" i="1"/>
  <c r="BM247" i="1"/>
  <c r="BL247" i="1"/>
  <c r="BK247" i="1"/>
  <c r="BJ247" i="1"/>
  <c r="BI247" i="1"/>
  <c r="D247" i="1"/>
  <c r="C247" i="1"/>
  <c r="B247" i="1"/>
  <c r="BQ246" i="1"/>
  <c r="BP246" i="1"/>
  <c r="BM246" i="1"/>
  <c r="BL246" i="1"/>
  <c r="BK246" i="1"/>
  <c r="BJ246" i="1"/>
  <c r="BI246" i="1"/>
  <c r="D246" i="1"/>
  <c r="C246" i="1"/>
  <c r="B246" i="1"/>
  <c r="BQ245" i="1"/>
  <c r="BP245" i="1"/>
  <c r="BM245" i="1"/>
  <c r="BL245" i="1"/>
  <c r="BK245" i="1"/>
  <c r="BJ245" i="1"/>
  <c r="BI245" i="1"/>
  <c r="D245" i="1"/>
  <c r="C245" i="1"/>
  <c r="B245" i="1"/>
  <c r="BQ244" i="1"/>
  <c r="BP244" i="1"/>
  <c r="BM244" i="1"/>
  <c r="BL244" i="1"/>
  <c r="BK244" i="1"/>
  <c r="BJ244" i="1"/>
  <c r="BI244" i="1"/>
  <c r="D244" i="1"/>
  <c r="C244" i="1"/>
  <c r="B244" i="1"/>
  <c r="BQ243" i="1"/>
  <c r="BP243" i="1"/>
  <c r="BM243" i="1"/>
  <c r="BL243" i="1"/>
  <c r="BK243" i="1"/>
  <c r="BJ243" i="1"/>
  <c r="BI243" i="1"/>
  <c r="D243" i="1"/>
  <c r="C243" i="1"/>
  <c r="B243" i="1"/>
  <c r="BQ242" i="1"/>
  <c r="BP242" i="1"/>
  <c r="BM242" i="1"/>
  <c r="BL242" i="1"/>
  <c r="BK242" i="1"/>
  <c r="BJ242" i="1"/>
  <c r="BI242" i="1"/>
  <c r="D242" i="1"/>
  <c r="C242" i="1"/>
  <c r="B242" i="1"/>
  <c r="BQ241" i="1"/>
  <c r="BP241" i="1"/>
  <c r="BM241" i="1"/>
  <c r="BL241" i="1"/>
  <c r="BK241" i="1"/>
  <c r="BJ241" i="1"/>
  <c r="BI241" i="1"/>
  <c r="D241" i="1"/>
  <c r="C241" i="1"/>
  <c r="B241" i="1"/>
  <c r="BQ240" i="1"/>
  <c r="BP240" i="1"/>
  <c r="BM240" i="1"/>
  <c r="BL240" i="1"/>
  <c r="BK240" i="1"/>
  <c r="BJ240" i="1"/>
  <c r="BI240" i="1"/>
  <c r="D240" i="1"/>
  <c r="C240" i="1"/>
  <c r="B240" i="1"/>
  <c r="BQ239" i="1"/>
  <c r="BP239" i="1"/>
  <c r="BM239" i="1"/>
  <c r="BL239" i="1"/>
  <c r="BK239" i="1"/>
  <c r="BJ239" i="1"/>
  <c r="BI239" i="1"/>
  <c r="D239" i="1"/>
  <c r="C239" i="1"/>
  <c r="B239" i="1"/>
  <c r="BQ238" i="1"/>
  <c r="BP238" i="1"/>
  <c r="BM238" i="1"/>
  <c r="BL238" i="1"/>
  <c r="BK238" i="1"/>
  <c r="BJ238" i="1"/>
  <c r="BI238" i="1"/>
  <c r="D238" i="1"/>
  <c r="C238" i="1"/>
  <c r="B238" i="1"/>
  <c r="BQ237" i="1"/>
  <c r="BP237" i="1"/>
  <c r="BM237" i="1"/>
  <c r="BL237" i="1"/>
  <c r="BK237" i="1"/>
  <c r="BJ237" i="1"/>
  <c r="BI237" i="1"/>
  <c r="D237" i="1"/>
  <c r="C237" i="1"/>
  <c r="B237" i="1"/>
  <c r="BQ236" i="1"/>
  <c r="BP236" i="1"/>
  <c r="BM236" i="1"/>
  <c r="BL236" i="1"/>
  <c r="BK236" i="1"/>
  <c r="BJ236" i="1"/>
  <c r="BI236" i="1"/>
  <c r="D236" i="1"/>
  <c r="C236" i="1"/>
  <c r="B236" i="1"/>
  <c r="BQ235" i="1"/>
  <c r="BP235" i="1"/>
  <c r="BM235" i="1"/>
  <c r="BL235" i="1"/>
  <c r="BK235" i="1"/>
  <c r="BJ235" i="1"/>
  <c r="BI235" i="1"/>
  <c r="D235" i="1"/>
  <c r="C235" i="1"/>
  <c r="B235" i="1"/>
  <c r="BQ234" i="1"/>
  <c r="BP234" i="1"/>
  <c r="BM234" i="1"/>
  <c r="BL234" i="1"/>
  <c r="BK234" i="1"/>
  <c r="BJ234" i="1"/>
  <c r="BI234" i="1"/>
  <c r="D234" i="1"/>
  <c r="C234" i="1"/>
  <c r="B234" i="1"/>
  <c r="BQ233" i="1"/>
  <c r="BP233" i="1"/>
  <c r="BM233" i="1"/>
  <c r="BL233" i="1"/>
  <c r="BK233" i="1"/>
  <c r="BJ233" i="1"/>
  <c r="BI233" i="1"/>
  <c r="D233" i="1"/>
  <c r="C233" i="1"/>
  <c r="B233" i="1"/>
  <c r="BQ232" i="1"/>
  <c r="BP232" i="1"/>
  <c r="BM232" i="1"/>
  <c r="BL232" i="1"/>
  <c r="BK232" i="1"/>
  <c r="BJ232" i="1"/>
  <c r="BI232" i="1"/>
  <c r="D232" i="1"/>
  <c r="C232" i="1"/>
  <c r="B232" i="1"/>
  <c r="BQ231" i="1"/>
  <c r="BP231" i="1"/>
  <c r="BM231" i="1"/>
  <c r="BL231" i="1"/>
  <c r="BK231" i="1"/>
  <c r="BJ231" i="1"/>
  <c r="BI231" i="1"/>
  <c r="D231" i="1"/>
  <c r="C231" i="1"/>
  <c r="B231" i="1"/>
  <c r="BQ230" i="1"/>
  <c r="BP230" i="1"/>
  <c r="BM230" i="1"/>
  <c r="BL230" i="1"/>
  <c r="BK230" i="1"/>
  <c r="BJ230" i="1"/>
  <c r="BI230" i="1"/>
  <c r="D230" i="1"/>
  <c r="C230" i="1"/>
  <c r="B230" i="1"/>
  <c r="BQ229" i="1"/>
  <c r="BP229" i="1"/>
  <c r="BM229" i="1"/>
  <c r="BL229" i="1"/>
  <c r="BK229" i="1"/>
  <c r="BJ229" i="1"/>
  <c r="BI229" i="1"/>
  <c r="D229" i="1"/>
  <c r="C229" i="1"/>
  <c r="B229" i="1"/>
  <c r="BQ228" i="1"/>
  <c r="BP228" i="1"/>
  <c r="BO228" i="1"/>
  <c r="BN228" i="1"/>
  <c r="BM228" i="1"/>
  <c r="BL228" i="1"/>
  <c r="BK228" i="1"/>
  <c r="BJ228" i="1"/>
  <c r="BI228" i="1"/>
  <c r="D228" i="1"/>
  <c r="C228" i="1"/>
  <c r="B228" i="1"/>
  <c r="BQ227" i="1"/>
  <c r="BP227" i="1"/>
  <c r="BM227" i="1"/>
  <c r="BL227" i="1"/>
  <c r="BK227" i="1"/>
  <c r="BJ227" i="1"/>
  <c r="BI227" i="1"/>
  <c r="D227" i="1"/>
  <c r="C227" i="1"/>
  <c r="B227" i="1"/>
  <c r="BQ226" i="1"/>
  <c r="BP226" i="1"/>
  <c r="BM226" i="1"/>
  <c r="BL226" i="1"/>
  <c r="BK226" i="1"/>
  <c r="BJ226" i="1"/>
  <c r="BI226" i="1"/>
  <c r="D226" i="1"/>
  <c r="C226" i="1"/>
  <c r="B226" i="1"/>
  <c r="BQ225" i="1"/>
  <c r="BP225" i="1"/>
  <c r="BM225" i="1"/>
  <c r="BL225" i="1"/>
  <c r="BK225" i="1"/>
  <c r="BJ225" i="1"/>
  <c r="BI225" i="1"/>
  <c r="D225" i="1"/>
  <c r="C225" i="1"/>
  <c r="B225" i="1"/>
  <c r="BQ224" i="1"/>
  <c r="BP224" i="1"/>
  <c r="BM224" i="1"/>
  <c r="BL224" i="1"/>
  <c r="BK224" i="1"/>
  <c r="BJ224" i="1"/>
  <c r="BI224" i="1"/>
  <c r="D224" i="1"/>
  <c r="C224" i="1"/>
  <c r="B224" i="1"/>
  <c r="BQ223" i="1"/>
  <c r="BP223" i="1"/>
  <c r="BM223" i="1"/>
  <c r="BL223" i="1"/>
  <c r="BK223" i="1"/>
  <c r="BJ223" i="1"/>
  <c r="BI223" i="1"/>
  <c r="D223" i="1"/>
  <c r="C223" i="1"/>
  <c r="B223" i="1"/>
  <c r="BQ222" i="1"/>
  <c r="BP222" i="1"/>
  <c r="BM222" i="1"/>
  <c r="BL222" i="1"/>
  <c r="BK222" i="1"/>
  <c r="BJ222" i="1"/>
  <c r="BI222" i="1"/>
  <c r="D222" i="1"/>
  <c r="C222" i="1"/>
  <c r="B222" i="1"/>
  <c r="BQ221" i="1"/>
  <c r="BP221" i="1"/>
  <c r="BM221" i="1"/>
  <c r="BL221" i="1"/>
  <c r="BK221" i="1"/>
  <c r="BJ221" i="1"/>
  <c r="BI221" i="1"/>
  <c r="D221" i="1"/>
  <c r="C221" i="1"/>
  <c r="B221" i="1"/>
  <c r="BQ220" i="1"/>
  <c r="BP220" i="1"/>
  <c r="BM220" i="1"/>
  <c r="BL220" i="1"/>
  <c r="BK220" i="1"/>
  <c r="BJ220" i="1"/>
  <c r="BI220" i="1"/>
  <c r="D220" i="1"/>
  <c r="C220" i="1"/>
  <c r="B220" i="1"/>
  <c r="BQ219" i="1"/>
  <c r="BP219" i="1"/>
  <c r="BM219" i="1"/>
  <c r="BL219" i="1"/>
  <c r="BK219" i="1"/>
  <c r="BJ219" i="1"/>
  <c r="BI219" i="1"/>
  <c r="D219" i="1"/>
  <c r="C219" i="1"/>
  <c r="B219" i="1"/>
  <c r="BQ218" i="1"/>
  <c r="BP218" i="1"/>
  <c r="BM218" i="1"/>
  <c r="BL218" i="1"/>
  <c r="BK218" i="1"/>
  <c r="BJ218" i="1"/>
  <c r="BI218" i="1"/>
  <c r="D218" i="1"/>
  <c r="C218" i="1"/>
  <c r="B218" i="1"/>
  <c r="BQ217" i="1"/>
  <c r="BP217" i="1"/>
  <c r="BM217" i="1"/>
  <c r="BL217" i="1"/>
  <c r="BK217" i="1"/>
  <c r="BJ217" i="1"/>
  <c r="BI217" i="1"/>
  <c r="D217" i="1"/>
  <c r="C217" i="1"/>
  <c r="B217" i="1"/>
  <c r="BQ216" i="1"/>
  <c r="BP216" i="1"/>
  <c r="BM216" i="1"/>
  <c r="BL216" i="1"/>
  <c r="BK216" i="1"/>
  <c r="BJ216" i="1"/>
  <c r="BI216" i="1"/>
  <c r="D216" i="1"/>
  <c r="C216" i="1"/>
  <c r="B216" i="1"/>
  <c r="BQ215" i="1"/>
  <c r="BP215" i="1"/>
  <c r="BM215" i="1"/>
  <c r="BL215" i="1"/>
  <c r="BK215" i="1"/>
  <c r="BJ215" i="1"/>
  <c r="BI215" i="1"/>
  <c r="D215" i="1"/>
  <c r="C215" i="1"/>
  <c r="B215" i="1"/>
  <c r="BQ214" i="1"/>
  <c r="BP214" i="1"/>
  <c r="BM214" i="1"/>
  <c r="BL214" i="1"/>
  <c r="BK214" i="1"/>
  <c r="BJ214" i="1"/>
  <c r="BI214" i="1"/>
  <c r="D214" i="1"/>
  <c r="C214" i="1"/>
  <c r="B214" i="1"/>
  <c r="BQ213" i="1"/>
  <c r="BP213" i="1"/>
  <c r="BM213" i="1"/>
  <c r="BL213" i="1"/>
  <c r="BK213" i="1"/>
  <c r="BJ213" i="1"/>
  <c r="BI213" i="1"/>
  <c r="D213" i="1"/>
  <c r="C213" i="1"/>
  <c r="B213" i="1"/>
  <c r="BQ212" i="1"/>
  <c r="BP212" i="1"/>
  <c r="BM212" i="1"/>
  <c r="BL212" i="1"/>
  <c r="BK212" i="1"/>
  <c r="BJ212" i="1"/>
  <c r="BI212" i="1"/>
  <c r="D212" i="1"/>
  <c r="C212" i="1"/>
  <c r="B212" i="1"/>
  <c r="BQ211" i="1"/>
  <c r="BP211" i="1"/>
  <c r="BM211" i="1"/>
  <c r="BL211" i="1"/>
  <c r="BK211" i="1"/>
  <c r="BJ211" i="1"/>
  <c r="BI211" i="1"/>
  <c r="D211" i="1"/>
  <c r="C211" i="1"/>
  <c r="B211" i="1"/>
  <c r="BQ210" i="1"/>
  <c r="BP210" i="1"/>
  <c r="BM210" i="1"/>
  <c r="BL210" i="1"/>
  <c r="BK210" i="1"/>
  <c r="BJ210" i="1"/>
  <c r="BI210" i="1"/>
  <c r="D210" i="1"/>
  <c r="C210" i="1"/>
  <c r="B210" i="1"/>
  <c r="BQ209" i="1"/>
  <c r="BP209" i="1"/>
  <c r="BM209" i="1"/>
  <c r="BL209" i="1"/>
  <c r="BK209" i="1"/>
  <c r="BJ209" i="1"/>
  <c r="BI209" i="1"/>
  <c r="D209" i="1"/>
  <c r="C209" i="1"/>
  <c r="B209" i="1"/>
  <c r="BQ208" i="1"/>
  <c r="BP208" i="1"/>
  <c r="BM208" i="1"/>
  <c r="BL208" i="1"/>
  <c r="BK208" i="1"/>
  <c r="BJ208" i="1"/>
  <c r="BI208" i="1"/>
  <c r="D208" i="1"/>
  <c r="C208" i="1"/>
  <c r="B208" i="1"/>
  <c r="BQ207" i="1"/>
  <c r="BP207" i="1"/>
  <c r="BM207" i="1"/>
  <c r="BL207" i="1"/>
  <c r="BK207" i="1"/>
  <c r="BJ207" i="1"/>
  <c r="BI207" i="1"/>
  <c r="D207" i="1"/>
  <c r="C207" i="1"/>
  <c r="B207" i="1"/>
  <c r="BQ206" i="1"/>
  <c r="BP206" i="1"/>
  <c r="BM206" i="1"/>
  <c r="BL206" i="1"/>
  <c r="BK206" i="1"/>
  <c r="BJ206" i="1"/>
  <c r="BI206" i="1"/>
  <c r="D206" i="1"/>
  <c r="C206" i="1"/>
  <c r="B206" i="1"/>
  <c r="BQ205" i="1"/>
  <c r="BP205" i="1"/>
  <c r="BM205" i="1"/>
  <c r="BL205" i="1"/>
  <c r="BK205" i="1"/>
  <c r="BJ205" i="1"/>
  <c r="BI205" i="1"/>
  <c r="D205" i="1"/>
  <c r="C205" i="1"/>
  <c r="B205" i="1"/>
  <c r="BQ204" i="1"/>
  <c r="BP204" i="1"/>
  <c r="BM204" i="1"/>
  <c r="BL204" i="1"/>
  <c r="BK204" i="1"/>
  <c r="BJ204" i="1"/>
  <c r="BI204" i="1"/>
  <c r="D204" i="1"/>
  <c r="C204" i="1"/>
  <c r="B204" i="1"/>
  <c r="BQ203" i="1"/>
  <c r="BP203" i="1"/>
  <c r="BM203" i="1"/>
  <c r="BL203" i="1"/>
  <c r="BK203" i="1"/>
  <c r="BJ203" i="1"/>
  <c r="BI203" i="1"/>
  <c r="D203" i="1"/>
  <c r="C203" i="1"/>
  <c r="B203" i="1"/>
  <c r="BQ202" i="1"/>
  <c r="BP202" i="1"/>
  <c r="BM202" i="1"/>
  <c r="BL202" i="1"/>
  <c r="BK202" i="1"/>
  <c r="BJ202" i="1"/>
  <c r="BI202" i="1"/>
  <c r="D202" i="1"/>
  <c r="C202" i="1"/>
  <c r="B202" i="1"/>
  <c r="BQ201" i="1"/>
  <c r="BP201" i="1"/>
  <c r="BM201" i="1"/>
  <c r="BL201" i="1"/>
  <c r="BK201" i="1"/>
  <c r="BJ201" i="1"/>
  <c r="BI201" i="1"/>
  <c r="D201" i="1"/>
  <c r="C201" i="1"/>
  <c r="B201" i="1"/>
  <c r="BQ200" i="1"/>
  <c r="BP200" i="1"/>
  <c r="BM200" i="1"/>
  <c r="BL200" i="1"/>
  <c r="BK200" i="1"/>
  <c r="BJ200" i="1"/>
  <c r="BI200" i="1"/>
  <c r="D200" i="1"/>
  <c r="C200" i="1"/>
  <c r="B200" i="1"/>
  <c r="BQ199" i="1"/>
  <c r="BP199" i="1"/>
  <c r="BM199" i="1"/>
  <c r="BL199" i="1"/>
  <c r="BK199" i="1"/>
  <c r="BJ199" i="1"/>
  <c r="BI199" i="1"/>
  <c r="D199" i="1"/>
  <c r="C199" i="1"/>
  <c r="B199" i="1"/>
  <c r="BQ198" i="1"/>
  <c r="BP198" i="1"/>
  <c r="BM198" i="1"/>
  <c r="BL198" i="1"/>
  <c r="BK198" i="1"/>
  <c r="BJ198" i="1"/>
  <c r="BI198" i="1"/>
  <c r="D198" i="1"/>
  <c r="C198" i="1"/>
  <c r="B198" i="1"/>
  <c r="BQ197" i="1"/>
  <c r="BP197" i="1"/>
  <c r="BM197" i="1"/>
  <c r="BL197" i="1"/>
  <c r="BK197" i="1"/>
  <c r="BJ197" i="1"/>
  <c r="BI197" i="1"/>
  <c r="D197" i="1"/>
  <c r="C197" i="1"/>
  <c r="B197" i="1"/>
  <c r="BQ196" i="1"/>
  <c r="BP196" i="1"/>
  <c r="BM196" i="1"/>
  <c r="BL196" i="1"/>
  <c r="BK196" i="1"/>
  <c r="BJ196" i="1"/>
  <c r="BI196" i="1"/>
  <c r="D196" i="1"/>
  <c r="C196" i="1"/>
  <c r="B196" i="1"/>
  <c r="BQ195" i="1"/>
  <c r="BP195" i="1"/>
  <c r="BM195" i="1"/>
  <c r="BL195" i="1"/>
  <c r="BK195" i="1"/>
  <c r="BJ195" i="1"/>
  <c r="BI195" i="1"/>
  <c r="D195" i="1"/>
  <c r="C195" i="1"/>
  <c r="B195" i="1"/>
  <c r="BQ194" i="1"/>
  <c r="BP194" i="1"/>
  <c r="BM194" i="1"/>
  <c r="BL194" i="1"/>
  <c r="BK194" i="1"/>
  <c r="BJ194" i="1"/>
  <c r="BI194" i="1"/>
  <c r="D194" i="1"/>
  <c r="C194" i="1"/>
  <c r="B194" i="1"/>
  <c r="BQ193" i="1"/>
  <c r="BP193" i="1"/>
  <c r="BM193" i="1"/>
  <c r="BL193" i="1"/>
  <c r="BK193" i="1"/>
  <c r="BJ193" i="1"/>
  <c r="BI193" i="1"/>
  <c r="D193" i="1"/>
  <c r="C193" i="1"/>
  <c r="B193" i="1"/>
  <c r="BQ192" i="1"/>
  <c r="BP192" i="1"/>
  <c r="BM192" i="1"/>
  <c r="BL192" i="1"/>
  <c r="BK192" i="1"/>
  <c r="BJ192" i="1"/>
  <c r="BI192" i="1"/>
  <c r="D192" i="1"/>
  <c r="C192" i="1"/>
  <c r="B192" i="1"/>
  <c r="BQ191" i="1"/>
  <c r="BP191" i="1"/>
  <c r="BM191" i="1"/>
  <c r="BL191" i="1"/>
  <c r="BK191" i="1"/>
  <c r="BJ191" i="1"/>
  <c r="BI191" i="1"/>
  <c r="D191" i="1"/>
  <c r="C191" i="1"/>
  <c r="B191" i="1"/>
  <c r="BQ190" i="1"/>
  <c r="BP190" i="1"/>
  <c r="BM190" i="1"/>
  <c r="BL190" i="1"/>
  <c r="BK190" i="1"/>
  <c r="BJ190" i="1"/>
  <c r="BI190" i="1"/>
  <c r="D190" i="1"/>
  <c r="C190" i="1"/>
  <c r="B190" i="1"/>
  <c r="BQ189" i="1"/>
  <c r="BP189" i="1"/>
  <c r="BM189" i="1"/>
  <c r="BL189" i="1"/>
  <c r="BK189" i="1"/>
  <c r="BJ189" i="1"/>
  <c r="BI189" i="1"/>
  <c r="D189" i="1"/>
  <c r="C189" i="1"/>
  <c r="B189" i="1"/>
  <c r="BQ188" i="1"/>
  <c r="BP188" i="1"/>
  <c r="BM188" i="1"/>
  <c r="BL188" i="1"/>
  <c r="BK188" i="1"/>
  <c r="BJ188" i="1"/>
  <c r="BI188" i="1"/>
  <c r="D188" i="1"/>
  <c r="C188" i="1"/>
  <c r="B188" i="1"/>
  <c r="BQ187" i="1"/>
  <c r="BP187" i="1"/>
  <c r="BM187" i="1"/>
  <c r="BL187" i="1"/>
  <c r="BK187" i="1"/>
  <c r="BJ187" i="1"/>
  <c r="BI187" i="1"/>
  <c r="D187" i="1"/>
  <c r="C187" i="1"/>
  <c r="B187" i="1"/>
  <c r="BQ186" i="1"/>
  <c r="BP186" i="1"/>
  <c r="BM186" i="1"/>
  <c r="BL186" i="1"/>
  <c r="BK186" i="1"/>
  <c r="BJ186" i="1"/>
  <c r="BI186" i="1"/>
  <c r="D186" i="1"/>
  <c r="C186" i="1"/>
  <c r="B186" i="1"/>
  <c r="BQ185" i="1"/>
  <c r="BP185" i="1"/>
  <c r="BM185" i="1"/>
  <c r="BL185" i="1"/>
  <c r="BK185" i="1"/>
  <c r="BJ185" i="1"/>
  <c r="BI185" i="1"/>
  <c r="D185" i="1"/>
  <c r="C185" i="1"/>
  <c r="B185" i="1"/>
  <c r="BQ184" i="1"/>
  <c r="BP184" i="1"/>
  <c r="BM184" i="1"/>
  <c r="BL184" i="1"/>
  <c r="BK184" i="1"/>
  <c r="BJ184" i="1"/>
  <c r="BI184" i="1"/>
  <c r="D184" i="1"/>
  <c r="C184" i="1"/>
  <c r="B184" i="1"/>
  <c r="BQ183" i="1"/>
  <c r="BP183" i="1"/>
  <c r="BM183" i="1"/>
  <c r="BL183" i="1"/>
  <c r="BK183" i="1"/>
  <c r="BJ183" i="1"/>
  <c r="BI183" i="1"/>
  <c r="D183" i="1"/>
  <c r="C183" i="1"/>
  <c r="B183" i="1"/>
  <c r="BQ182" i="1"/>
  <c r="BP182" i="1"/>
  <c r="BM182" i="1"/>
  <c r="BL182" i="1"/>
  <c r="BK182" i="1"/>
  <c r="BJ182" i="1"/>
  <c r="BI182" i="1"/>
  <c r="D182" i="1"/>
  <c r="C182" i="1"/>
  <c r="B182" i="1"/>
  <c r="BQ181" i="1"/>
  <c r="BP181" i="1"/>
  <c r="BM181" i="1"/>
  <c r="BL181" i="1"/>
  <c r="BK181" i="1"/>
  <c r="BJ181" i="1"/>
  <c r="BI181" i="1"/>
  <c r="D181" i="1"/>
  <c r="C181" i="1"/>
  <c r="B181" i="1"/>
  <c r="BQ180" i="1"/>
  <c r="BP180" i="1"/>
  <c r="BM180" i="1"/>
  <c r="BL180" i="1"/>
  <c r="BK180" i="1"/>
  <c r="BJ180" i="1"/>
  <c r="BI180" i="1"/>
  <c r="D180" i="1"/>
  <c r="C180" i="1"/>
  <c r="B180" i="1"/>
  <c r="BQ179" i="1"/>
  <c r="BP179" i="1"/>
  <c r="BM179" i="1"/>
  <c r="BL179" i="1"/>
  <c r="BK179" i="1"/>
  <c r="BJ179" i="1"/>
  <c r="BI179" i="1"/>
  <c r="D179" i="1"/>
  <c r="C179" i="1"/>
  <c r="B179" i="1"/>
  <c r="BQ178" i="1"/>
  <c r="BP178" i="1"/>
  <c r="BM178" i="1"/>
  <c r="BL178" i="1"/>
  <c r="BK178" i="1"/>
  <c r="BJ178" i="1"/>
  <c r="BI178" i="1"/>
  <c r="D178" i="1"/>
  <c r="C178" i="1"/>
  <c r="B178" i="1"/>
  <c r="BQ177" i="1"/>
  <c r="BP177" i="1"/>
  <c r="BM177" i="1"/>
  <c r="BL177" i="1"/>
  <c r="BK177" i="1"/>
  <c r="BJ177" i="1"/>
  <c r="BI177" i="1"/>
  <c r="D177" i="1"/>
  <c r="C177" i="1"/>
  <c r="B177" i="1"/>
  <c r="BQ176" i="1"/>
  <c r="BP176" i="1"/>
  <c r="BM176" i="1"/>
  <c r="BL176" i="1"/>
  <c r="BK176" i="1"/>
  <c r="BJ176" i="1"/>
  <c r="BI176" i="1"/>
  <c r="D176" i="1"/>
  <c r="C176" i="1"/>
  <c r="B176" i="1"/>
  <c r="BQ175" i="1"/>
  <c r="BP175" i="1"/>
  <c r="BM175" i="1"/>
  <c r="BL175" i="1"/>
  <c r="BK175" i="1"/>
  <c r="BJ175" i="1"/>
  <c r="BI175" i="1"/>
  <c r="D175" i="1"/>
  <c r="C175" i="1"/>
  <c r="B175" i="1"/>
  <c r="BQ174" i="1"/>
  <c r="BP174" i="1"/>
  <c r="BM174" i="1"/>
  <c r="BL174" i="1"/>
  <c r="BK174" i="1"/>
  <c r="BJ174" i="1"/>
  <c r="BI174" i="1"/>
  <c r="D174" i="1"/>
  <c r="C174" i="1"/>
  <c r="B174" i="1"/>
  <c r="BQ173" i="1"/>
  <c r="BP173" i="1"/>
  <c r="BM173" i="1"/>
  <c r="BL173" i="1"/>
  <c r="BK173" i="1"/>
  <c r="BJ173" i="1"/>
  <c r="BI173" i="1"/>
  <c r="D173" i="1"/>
  <c r="C173" i="1"/>
  <c r="B173" i="1"/>
  <c r="BQ172" i="1"/>
  <c r="BP172" i="1"/>
  <c r="BM172" i="1"/>
  <c r="BL172" i="1"/>
  <c r="BK172" i="1"/>
  <c r="BJ172" i="1"/>
  <c r="BI172" i="1"/>
  <c r="D172" i="1"/>
  <c r="C172" i="1"/>
  <c r="B172" i="1"/>
  <c r="BQ171" i="1"/>
  <c r="BP171" i="1"/>
  <c r="BM171" i="1"/>
  <c r="BL171" i="1"/>
  <c r="BK171" i="1"/>
  <c r="BJ171" i="1"/>
  <c r="BI171" i="1"/>
  <c r="D171" i="1"/>
  <c r="C171" i="1"/>
  <c r="B171" i="1"/>
  <c r="BQ170" i="1"/>
  <c r="BP170" i="1"/>
  <c r="BM170" i="1"/>
  <c r="BL170" i="1"/>
  <c r="BK170" i="1"/>
  <c r="BJ170" i="1"/>
  <c r="BI170" i="1"/>
  <c r="D170" i="1"/>
  <c r="C170" i="1"/>
  <c r="B170" i="1"/>
  <c r="BQ169" i="1"/>
  <c r="BP169" i="1"/>
  <c r="BM169" i="1"/>
  <c r="BL169" i="1"/>
  <c r="BK169" i="1"/>
  <c r="BJ169" i="1"/>
  <c r="BI169" i="1"/>
  <c r="D169" i="1"/>
  <c r="C169" i="1"/>
  <c r="B169" i="1"/>
  <c r="BQ168" i="1"/>
  <c r="BP168" i="1"/>
  <c r="BM168" i="1"/>
  <c r="BL168" i="1"/>
  <c r="BK168" i="1"/>
  <c r="BJ168" i="1"/>
  <c r="BI168" i="1"/>
  <c r="D168" i="1"/>
  <c r="C168" i="1"/>
  <c r="B168" i="1"/>
  <c r="BQ167" i="1"/>
  <c r="BP167" i="1"/>
  <c r="BM167" i="1"/>
  <c r="BL167" i="1"/>
  <c r="BK167" i="1"/>
  <c r="BJ167" i="1"/>
  <c r="BI167" i="1"/>
  <c r="D167" i="1"/>
  <c r="C167" i="1"/>
  <c r="B167" i="1"/>
  <c r="BQ166" i="1"/>
  <c r="BP166" i="1"/>
  <c r="BM166" i="1"/>
  <c r="BL166" i="1"/>
  <c r="BK166" i="1"/>
  <c r="BJ166" i="1"/>
  <c r="BI166" i="1"/>
  <c r="D166" i="1"/>
  <c r="C166" i="1"/>
  <c r="B166" i="1"/>
  <c r="BQ165" i="1"/>
  <c r="BP165" i="1"/>
  <c r="BM165" i="1"/>
  <c r="BL165" i="1"/>
  <c r="BK165" i="1"/>
  <c r="BJ165" i="1"/>
  <c r="BI165" i="1"/>
  <c r="D165" i="1"/>
  <c r="C165" i="1"/>
  <c r="B165" i="1"/>
  <c r="BQ164" i="1"/>
  <c r="BP164" i="1"/>
  <c r="BM164" i="1"/>
  <c r="BL164" i="1"/>
  <c r="BK164" i="1"/>
  <c r="BJ164" i="1"/>
  <c r="BI164" i="1"/>
  <c r="D164" i="1"/>
  <c r="C164" i="1"/>
  <c r="B164" i="1"/>
  <c r="BQ163" i="1"/>
  <c r="BP163" i="1"/>
  <c r="BM163" i="1"/>
  <c r="BL163" i="1"/>
  <c r="BK163" i="1"/>
  <c r="BJ163" i="1"/>
  <c r="BI163" i="1"/>
  <c r="D163" i="1"/>
  <c r="C163" i="1"/>
  <c r="B163" i="1"/>
  <c r="BQ162" i="1"/>
  <c r="BP162" i="1"/>
  <c r="BM162" i="1"/>
  <c r="BL162" i="1"/>
  <c r="BK162" i="1"/>
  <c r="BJ162" i="1"/>
  <c r="BI162" i="1"/>
  <c r="D162" i="1"/>
  <c r="C162" i="1"/>
  <c r="B162" i="1"/>
  <c r="BQ161" i="1"/>
  <c r="BP161" i="1"/>
  <c r="BM161" i="1"/>
  <c r="BL161" i="1"/>
  <c r="BK161" i="1"/>
  <c r="BJ161" i="1"/>
  <c r="BI161" i="1"/>
  <c r="D161" i="1"/>
  <c r="C161" i="1"/>
  <c r="B161" i="1"/>
  <c r="BQ160" i="1"/>
  <c r="BP160" i="1"/>
  <c r="BM160" i="1"/>
  <c r="BL160" i="1"/>
  <c r="BK160" i="1"/>
  <c r="BJ160" i="1"/>
  <c r="BI160" i="1"/>
  <c r="D160" i="1"/>
  <c r="C160" i="1"/>
  <c r="B160" i="1"/>
  <c r="BQ159" i="1"/>
  <c r="BP159" i="1"/>
  <c r="BM159" i="1"/>
  <c r="BL159" i="1"/>
  <c r="BK159" i="1"/>
  <c r="BJ159" i="1"/>
  <c r="BI159" i="1"/>
  <c r="D159" i="1"/>
  <c r="C159" i="1"/>
  <c r="B159" i="1"/>
  <c r="BQ158" i="1"/>
  <c r="BP158" i="1"/>
  <c r="BM158" i="1"/>
  <c r="BL158" i="1"/>
  <c r="BK158" i="1"/>
  <c r="BJ158" i="1"/>
  <c r="BI158" i="1"/>
  <c r="D158" i="1"/>
  <c r="C158" i="1"/>
  <c r="B158" i="1"/>
  <c r="BQ157" i="1"/>
  <c r="BP157" i="1"/>
  <c r="BM157" i="1"/>
  <c r="BL157" i="1"/>
  <c r="BK157" i="1"/>
  <c r="BJ157" i="1"/>
  <c r="BI157" i="1"/>
  <c r="D157" i="1"/>
  <c r="C157" i="1"/>
  <c r="B157" i="1"/>
  <c r="BQ156" i="1"/>
  <c r="BP156" i="1"/>
  <c r="BM156" i="1"/>
  <c r="BL156" i="1"/>
  <c r="BK156" i="1"/>
  <c r="BJ156" i="1"/>
  <c r="BI156" i="1"/>
  <c r="D156" i="1"/>
  <c r="C156" i="1"/>
  <c r="B156" i="1"/>
  <c r="BQ155" i="1"/>
  <c r="BP155" i="1"/>
  <c r="BM155" i="1"/>
  <c r="BL155" i="1"/>
  <c r="BK155" i="1"/>
  <c r="BJ155" i="1"/>
  <c r="BI155" i="1"/>
  <c r="D155" i="1"/>
  <c r="C155" i="1"/>
  <c r="B155" i="1"/>
  <c r="BQ154" i="1"/>
  <c r="BP154" i="1"/>
  <c r="BM154" i="1"/>
  <c r="BL154" i="1"/>
  <c r="BK154" i="1"/>
  <c r="BJ154" i="1"/>
  <c r="BI154" i="1"/>
  <c r="D154" i="1"/>
  <c r="C154" i="1"/>
  <c r="B154" i="1"/>
  <c r="BQ153" i="1"/>
  <c r="BP153" i="1"/>
  <c r="BM153" i="1"/>
  <c r="BL153" i="1"/>
  <c r="BK153" i="1"/>
  <c r="BJ153" i="1"/>
  <c r="BI153" i="1"/>
  <c r="D153" i="1"/>
  <c r="C153" i="1"/>
  <c r="B153" i="1"/>
  <c r="BQ152" i="1"/>
  <c r="BP152" i="1"/>
  <c r="BM152" i="1"/>
  <c r="BL152" i="1"/>
  <c r="BK152" i="1"/>
  <c r="BJ152" i="1"/>
  <c r="BI152" i="1"/>
  <c r="D152" i="1"/>
  <c r="C152" i="1"/>
  <c r="B152" i="1"/>
  <c r="BQ151" i="1"/>
  <c r="BP151" i="1"/>
  <c r="BM151" i="1"/>
  <c r="BL151" i="1"/>
  <c r="BK151" i="1"/>
  <c r="BJ151" i="1"/>
  <c r="BI151" i="1"/>
  <c r="D151" i="1"/>
  <c r="C151" i="1"/>
  <c r="B151" i="1"/>
  <c r="BQ150" i="1"/>
  <c r="BP150" i="1"/>
  <c r="BM150" i="1"/>
  <c r="BL150" i="1"/>
  <c r="BK150" i="1"/>
  <c r="BJ150" i="1"/>
  <c r="BI150" i="1"/>
  <c r="D150" i="1"/>
  <c r="C150" i="1"/>
  <c r="B150" i="1"/>
  <c r="BQ149" i="1"/>
  <c r="BP149" i="1"/>
  <c r="BM149" i="1"/>
  <c r="BL149" i="1"/>
  <c r="BK149" i="1"/>
  <c r="BJ149" i="1"/>
  <c r="BI149" i="1"/>
  <c r="D149" i="1"/>
  <c r="C149" i="1"/>
  <c r="B149" i="1"/>
  <c r="BQ148" i="1"/>
  <c r="BP148" i="1"/>
  <c r="BM148" i="1"/>
  <c r="BL148" i="1"/>
  <c r="BK148" i="1"/>
  <c r="BJ148" i="1"/>
  <c r="BI148" i="1"/>
  <c r="D148" i="1"/>
  <c r="C148" i="1"/>
  <c r="B148" i="1"/>
  <c r="BQ147" i="1"/>
  <c r="BP147" i="1"/>
  <c r="BM147" i="1"/>
  <c r="BL147" i="1"/>
  <c r="BK147" i="1"/>
  <c r="BJ147" i="1"/>
  <c r="BI147" i="1"/>
  <c r="D147" i="1"/>
  <c r="C147" i="1"/>
  <c r="B147" i="1"/>
  <c r="BQ146" i="1"/>
  <c r="BP146" i="1"/>
  <c r="BM146" i="1"/>
  <c r="BL146" i="1"/>
  <c r="BK146" i="1"/>
  <c r="BJ146" i="1"/>
  <c r="BI146" i="1"/>
  <c r="D146" i="1"/>
  <c r="C146" i="1"/>
  <c r="B146" i="1"/>
  <c r="BQ145" i="1"/>
  <c r="BP145" i="1"/>
  <c r="BM145" i="1"/>
  <c r="BL145" i="1"/>
  <c r="BK145" i="1"/>
  <c r="BJ145" i="1"/>
  <c r="BI145" i="1"/>
  <c r="D145" i="1"/>
  <c r="C145" i="1"/>
  <c r="B145" i="1"/>
  <c r="BQ144" i="1"/>
  <c r="BP144" i="1"/>
  <c r="BM144" i="1"/>
  <c r="BL144" i="1"/>
  <c r="BK144" i="1"/>
  <c r="BJ144" i="1"/>
  <c r="BI144" i="1"/>
  <c r="D144" i="1"/>
  <c r="C144" i="1"/>
  <c r="B144" i="1"/>
  <c r="BQ143" i="1"/>
  <c r="BP143" i="1"/>
  <c r="BM143" i="1"/>
  <c r="BL143" i="1"/>
  <c r="BK143" i="1"/>
  <c r="BJ143" i="1"/>
  <c r="BI143" i="1"/>
  <c r="D143" i="1"/>
  <c r="C143" i="1"/>
  <c r="B143" i="1"/>
  <c r="BQ142" i="1"/>
  <c r="BP142" i="1"/>
  <c r="BM142" i="1"/>
  <c r="BL142" i="1"/>
  <c r="BK142" i="1"/>
  <c r="BJ142" i="1"/>
  <c r="BI142" i="1"/>
  <c r="D142" i="1"/>
  <c r="C142" i="1"/>
  <c r="B142" i="1"/>
  <c r="BQ141" i="1"/>
  <c r="BP141" i="1"/>
  <c r="BM141" i="1"/>
  <c r="BL141" i="1"/>
  <c r="BK141" i="1"/>
  <c r="BJ141" i="1"/>
  <c r="BI141" i="1"/>
  <c r="D141" i="1"/>
  <c r="C141" i="1"/>
  <c r="B141" i="1"/>
  <c r="BQ140" i="1"/>
  <c r="BP140" i="1"/>
  <c r="BM140" i="1"/>
  <c r="BL140" i="1"/>
  <c r="BK140" i="1"/>
  <c r="BJ140" i="1"/>
  <c r="BI140" i="1"/>
  <c r="D140" i="1"/>
  <c r="C140" i="1"/>
  <c r="B140" i="1"/>
  <c r="BQ139" i="1"/>
  <c r="BP139" i="1"/>
  <c r="BM139" i="1"/>
  <c r="BL139" i="1"/>
  <c r="BK139" i="1"/>
  <c r="BJ139" i="1"/>
  <c r="BI139" i="1"/>
  <c r="D139" i="1"/>
  <c r="C139" i="1"/>
  <c r="B139" i="1"/>
  <c r="BQ138" i="1"/>
  <c r="BP138" i="1"/>
  <c r="BM138" i="1"/>
  <c r="BL138" i="1"/>
  <c r="BK138" i="1"/>
  <c r="BJ138" i="1"/>
  <c r="BI138" i="1"/>
  <c r="D138" i="1"/>
  <c r="C138" i="1"/>
  <c r="B138" i="1"/>
  <c r="BQ137" i="1"/>
  <c r="BP137" i="1"/>
  <c r="BM137" i="1"/>
  <c r="BL137" i="1"/>
  <c r="BK137" i="1"/>
  <c r="BJ137" i="1"/>
  <c r="BI137" i="1"/>
  <c r="D137" i="1"/>
  <c r="C137" i="1"/>
  <c r="B137" i="1"/>
  <c r="BQ136" i="1"/>
  <c r="BP136" i="1"/>
  <c r="BM136" i="1"/>
  <c r="BL136" i="1"/>
  <c r="BK136" i="1"/>
  <c r="BJ136" i="1"/>
  <c r="BI136" i="1"/>
  <c r="D136" i="1"/>
  <c r="C136" i="1"/>
  <c r="B136" i="1"/>
  <c r="BQ135" i="1"/>
  <c r="BP135" i="1"/>
  <c r="BM135" i="1"/>
  <c r="BL135" i="1"/>
  <c r="BK135" i="1"/>
  <c r="BJ135" i="1"/>
  <c r="BI135" i="1"/>
  <c r="D135" i="1"/>
  <c r="C135" i="1"/>
  <c r="B135" i="1"/>
  <c r="BQ134" i="1"/>
  <c r="BP134" i="1"/>
  <c r="BM134" i="1"/>
  <c r="BL134" i="1"/>
  <c r="BK134" i="1"/>
  <c r="BJ134" i="1"/>
  <c r="BI134" i="1"/>
  <c r="D134" i="1"/>
  <c r="C134" i="1"/>
  <c r="B134" i="1"/>
  <c r="BQ133" i="1"/>
  <c r="BP133" i="1"/>
  <c r="BM133" i="1"/>
  <c r="BL133" i="1"/>
  <c r="BK133" i="1"/>
  <c r="BJ133" i="1"/>
  <c r="BI133" i="1"/>
  <c r="D133" i="1"/>
  <c r="C133" i="1"/>
  <c r="B133" i="1"/>
  <c r="BQ132" i="1"/>
  <c r="BP132" i="1"/>
  <c r="BM132" i="1"/>
  <c r="BL132" i="1"/>
  <c r="BK132" i="1"/>
  <c r="BJ132" i="1"/>
  <c r="BI132" i="1"/>
  <c r="D132" i="1"/>
  <c r="C132" i="1"/>
  <c r="B132" i="1"/>
  <c r="BQ131" i="1"/>
  <c r="BP131" i="1"/>
  <c r="BM131" i="1"/>
  <c r="BL131" i="1"/>
  <c r="BK131" i="1"/>
  <c r="BJ131" i="1"/>
  <c r="BI131" i="1"/>
  <c r="D131" i="1"/>
  <c r="C131" i="1"/>
  <c r="B131" i="1"/>
  <c r="BQ130" i="1"/>
  <c r="BP130" i="1"/>
  <c r="BM130" i="1"/>
  <c r="BL130" i="1"/>
  <c r="BK130" i="1"/>
  <c r="BJ130" i="1"/>
  <c r="BI130" i="1"/>
  <c r="D130" i="1"/>
  <c r="C130" i="1"/>
  <c r="B130" i="1"/>
  <c r="BQ129" i="1"/>
  <c r="BP129" i="1"/>
  <c r="BM129" i="1"/>
  <c r="BL129" i="1"/>
  <c r="BK129" i="1"/>
  <c r="BJ129" i="1"/>
  <c r="BI129" i="1"/>
  <c r="D129" i="1"/>
  <c r="C129" i="1"/>
  <c r="B129" i="1"/>
  <c r="BQ128" i="1"/>
  <c r="BP128" i="1"/>
  <c r="BM128" i="1"/>
  <c r="BL128" i="1"/>
  <c r="BK128" i="1"/>
  <c r="BJ128" i="1"/>
  <c r="BI128" i="1"/>
  <c r="D128" i="1"/>
  <c r="C128" i="1"/>
  <c r="B128" i="1"/>
  <c r="BQ127" i="1"/>
  <c r="BP127" i="1"/>
  <c r="BM127" i="1"/>
  <c r="BL127" i="1"/>
  <c r="BK127" i="1"/>
  <c r="BJ127" i="1"/>
  <c r="BI127" i="1"/>
  <c r="D127" i="1"/>
  <c r="C127" i="1"/>
  <c r="B127" i="1"/>
  <c r="BQ126" i="1"/>
  <c r="BP126" i="1"/>
  <c r="BM126" i="1"/>
  <c r="BL126" i="1"/>
  <c r="BK126" i="1"/>
  <c r="BJ126" i="1"/>
  <c r="BI126" i="1"/>
  <c r="D126" i="1"/>
  <c r="C126" i="1"/>
  <c r="B126" i="1"/>
  <c r="BQ125" i="1"/>
  <c r="BP125" i="1"/>
  <c r="BM125" i="1"/>
  <c r="BL125" i="1"/>
  <c r="BK125" i="1"/>
  <c r="BJ125" i="1"/>
  <c r="BI125" i="1"/>
  <c r="D125" i="1"/>
  <c r="C125" i="1"/>
  <c r="B125" i="1"/>
  <c r="BQ124" i="1"/>
  <c r="BP124" i="1"/>
  <c r="BM124" i="1"/>
  <c r="BL124" i="1"/>
  <c r="BK124" i="1"/>
  <c r="BJ124" i="1"/>
  <c r="BI124" i="1"/>
  <c r="D124" i="1"/>
  <c r="C124" i="1"/>
  <c r="B124" i="1"/>
  <c r="BQ123" i="1"/>
  <c r="BP123" i="1"/>
  <c r="BM123" i="1"/>
  <c r="BL123" i="1"/>
  <c r="BK123" i="1"/>
  <c r="BJ123" i="1"/>
  <c r="BI123" i="1"/>
  <c r="D123" i="1"/>
  <c r="C123" i="1"/>
  <c r="B123" i="1"/>
  <c r="BQ122" i="1"/>
  <c r="BP122" i="1"/>
  <c r="BM122" i="1"/>
  <c r="BL122" i="1"/>
  <c r="BK122" i="1"/>
  <c r="BJ122" i="1"/>
  <c r="BI122" i="1"/>
  <c r="D122" i="1"/>
  <c r="C122" i="1"/>
  <c r="B122" i="1"/>
  <c r="BQ121" i="1"/>
  <c r="BP121" i="1"/>
  <c r="BM121" i="1"/>
  <c r="BL121" i="1"/>
  <c r="BK121" i="1"/>
  <c r="BJ121" i="1"/>
  <c r="BI121" i="1"/>
  <c r="D121" i="1"/>
  <c r="C121" i="1"/>
  <c r="B121" i="1"/>
  <c r="BQ120" i="1"/>
  <c r="BP120" i="1"/>
  <c r="BM120" i="1"/>
  <c r="BL120" i="1"/>
  <c r="BK120" i="1"/>
  <c r="BJ120" i="1"/>
  <c r="BI120" i="1"/>
  <c r="D120" i="1"/>
  <c r="C120" i="1"/>
  <c r="B120" i="1"/>
  <c r="BQ119" i="1"/>
  <c r="BP119" i="1"/>
  <c r="BM119" i="1"/>
  <c r="BL119" i="1"/>
  <c r="BK119" i="1"/>
  <c r="BJ119" i="1"/>
  <c r="BI119" i="1"/>
  <c r="D119" i="1"/>
  <c r="C119" i="1"/>
  <c r="B119" i="1"/>
  <c r="BQ118" i="1"/>
  <c r="BP118" i="1"/>
  <c r="BM118" i="1"/>
  <c r="BL118" i="1"/>
  <c r="BK118" i="1"/>
  <c r="BJ118" i="1"/>
  <c r="BI118" i="1"/>
  <c r="D118" i="1"/>
  <c r="C118" i="1"/>
  <c r="B118" i="1"/>
  <c r="BQ117" i="1"/>
  <c r="BP117" i="1"/>
  <c r="BM117" i="1"/>
  <c r="BL117" i="1"/>
  <c r="BK117" i="1"/>
  <c r="BJ117" i="1"/>
  <c r="BI117" i="1"/>
  <c r="D117" i="1"/>
  <c r="C117" i="1"/>
  <c r="B117" i="1"/>
  <c r="BQ116" i="1"/>
  <c r="BP116" i="1"/>
  <c r="BM116" i="1"/>
  <c r="BL116" i="1"/>
  <c r="BK116" i="1"/>
  <c r="BJ116" i="1"/>
  <c r="BI116" i="1"/>
  <c r="D116" i="1"/>
  <c r="C116" i="1"/>
  <c r="B116" i="1"/>
  <c r="BQ115" i="1"/>
  <c r="BP115" i="1"/>
  <c r="BM115" i="1"/>
  <c r="BL115" i="1"/>
  <c r="BK115" i="1"/>
  <c r="BJ115" i="1"/>
  <c r="BI115" i="1"/>
  <c r="D115" i="1"/>
  <c r="C115" i="1"/>
  <c r="B115" i="1"/>
  <c r="BQ114" i="1"/>
  <c r="BP114" i="1"/>
  <c r="BM114" i="1"/>
  <c r="BL114" i="1"/>
  <c r="BK114" i="1"/>
  <c r="BJ114" i="1"/>
  <c r="BI114" i="1"/>
  <c r="D114" i="1"/>
  <c r="C114" i="1"/>
  <c r="B114" i="1"/>
  <c r="BQ113" i="1"/>
  <c r="BP113" i="1"/>
  <c r="BM113" i="1"/>
  <c r="BL113" i="1"/>
  <c r="BK113" i="1"/>
  <c r="BJ113" i="1"/>
  <c r="BI113" i="1"/>
  <c r="D113" i="1"/>
  <c r="C113" i="1"/>
  <c r="B113" i="1"/>
  <c r="BQ112" i="1"/>
  <c r="BP112" i="1"/>
  <c r="BM112" i="1"/>
  <c r="BL112" i="1"/>
  <c r="BK112" i="1"/>
  <c r="BJ112" i="1"/>
  <c r="BI112" i="1"/>
  <c r="D112" i="1"/>
  <c r="C112" i="1"/>
  <c r="B112" i="1"/>
  <c r="BQ111" i="1"/>
  <c r="BP111" i="1"/>
  <c r="BM111" i="1"/>
  <c r="BL111" i="1"/>
  <c r="BK111" i="1"/>
  <c r="BJ111" i="1"/>
  <c r="BI111" i="1"/>
  <c r="D111" i="1"/>
  <c r="C111" i="1"/>
  <c r="B111" i="1"/>
  <c r="BQ110" i="1"/>
  <c r="BP110" i="1"/>
  <c r="BM110" i="1"/>
  <c r="BL110" i="1"/>
  <c r="BK110" i="1"/>
  <c r="BJ110" i="1"/>
  <c r="BI110" i="1"/>
  <c r="D110" i="1"/>
  <c r="C110" i="1"/>
  <c r="B110" i="1"/>
  <c r="BQ109" i="1"/>
  <c r="BP109" i="1"/>
  <c r="BM109" i="1"/>
  <c r="BL109" i="1"/>
  <c r="BK109" i="1"/>
  <c r="BJ109" i="1"/>
  <c r="BI109" i="1"/>
  <c r="D109" i="1"/>
  <c r="C109" i="1"/>
  <c r="B109" i="1"/>
  <c r="BQ108" i="1"/>
  <c r="BP108" i="1"/>
  <c r="BM108" i="1"/>
  <c r="BL108" i="1"/>
  <c r="BK108" i="1"/>
  <c r="BJ108" i="1"/>
  <c r="BI108" i="1"/>
  <c r="D108" i="1"/>
  <c r="C108" i="1"/>
  <c r="B108" i="1"/>
  <c r="BQ107" i="1"/>
  <c r="BP107" i="1"/>
  <c r="BM107" i="1"/>
  <c r="BL107" i="1"/>
  <c r="BK107" i="1"/>
  <c r="BJ107" i="1"/>
  <c r="BI107" i="1"/>
  <c r="D107" i="1"/>
  <c r="C107" i="1"/>
  <c r="B107" i="1"/>
  <c r="BQ106" i="1"/>
  <c r="BP106" i="1"/>
  <c r="BM106" i="1"/>
  <c r="BL106" i="1"/>
  <c r="BK106" i="1"/>
  <c r="BJ106" i="1"/>
  <c r="BI106" i="1"/>
  <c r="D106" i="1"/>
  <c r="C106" i="1"/>
  <c r="B106" i="1"/>
  <c r="BQ105" i="1"/>
  <c r="BP105" i="1"/>
  <c r="BM105" i="1"/>
  <c r="BL105" i="1"/>
  <c r="BK105" i="1"/>
  <c r="BJ105" i="1"/>
  <c r="BI105" i="1"/>
  <c r="D105" i="1"/>
  <c r="C105" i="1"/>
  <c r="B105" i="1"/>
  <c r="BQ104" i="1"/>
  <c r="BP104" i="1"/>
  <c r="BM104" i="1"/>
  <c r="BL104" i="1"/>
  <c r="BK104" i="1"/>
  <c r="BJ104" i="1"/>
  <c r="BI104" i="1"/>
  <c r="D104" i="1"/>
  <c r="C104" i="1"/>
  <c r="B104" i="1"/>
  <c r="BQ103" i="1"/>
  <c r="BP103" i="1"/>
  <c r="BM103" i="1"/>
  <c r="BL103" i="1"/>
  <c r="BK103" i="1"/>
  <c r="BJ103" i="1"/>
  <c r="BI103" i="1"/>
  <c r="D103" i="1"/>
  <c r="C103" i="1"/>
  <c r="B103" i="1"/>
  <c r="BQ102" i="1"/>
  <c r="BP102" i="1"/>
  <c r="BM102" i="1"/>
  <c r="BL102" i="1"/>
  <c r="BK102" i="1"/>
  <c r="BJ102" i="1"/>
  <c r="BI102" i="1"/>
  <c r="D102" i="1"/>
  <c r="C102" i="1"/>
  <c r="B102" i="1"/>
  <c r="BQ101" i="1"/>
  <c r="BP101" i="1"/>
  <c r="BM101" i="1"/>
  <c r="BL101" i="1"/>
  <c r="BK101" i="1"/>
  <c r="BJ101" i="1"/>
  <c r="BI101" i="1"/>
  <c r="D101" i="1"/>
  <c r="C101" i="1"/>
  <c r="B101" i="1"/>
  <c r="BQ100" i="1"/>
  <c r="BP100" i="1"/>
  <c r="BM100" i="1"/>
  <c r="BL100" i="1"/>
  <c r="BK100" i="1"/>
  <c r="BJ100" i="1"/>
  <c r="BI100" i="1"/>
  <c r="D100" i="1"/>
  <c r="C100" i="1"/>
  <c r="B100" i="1"/>
  <c r="BQ99" i="1"/>
  <c r="BP99" i="1"/>
  <c r="BM99" i="1"/>
  <c r="BL99" i="1"/>
  <c r="BK99" i="1"/>
  <c r="BJ99" i="1"/>
  <c r="BI99" i="1"/>
  <c r="D99" i="1"/>
  <c r="C99" i="1"/>
  <c r="B99" i="1"/>
  <c r="BQ98" i="1"/>
  <c r="BP98" i="1"/>
  <c r="BM98" i="1"/>
  <c r="BL98" i="1"/>
  <c r="BK98" i="1"/>
  <c r="BJ98" i="1"/>
  <c r="BI98" i="1"/>
  <c r="D98" i="1"/>
  <c r="C98" i="1"/>
  <c r="B98" i="1"/>
  <c r="BQ97" i="1"/>
  <c r="BP97" i="1"/>
  <c r="BM97" i="1"/>
  <c r="BL97" i="1"/>
  <c r="BK97" i="1"/>
  <c r="BJ97" i="1"/>
  <c r="BI97" i="1"/>
  <c r="D97" i="1"/>
  <c r="C97" i="1"/>
  <c r="B97" i="1"/>
  <c r="BQ96" i="1"/>
  <c r="BP96" i="1"/>
  <c r="BM96" i="1"/>
  <c r="BL96" i="1"/>
  <c r="BK96" i="1"/>
  <c r="BJ96" i="1"/>
  <c r="BI96" i="1"/>
  <c r="D96" i="1"/>
  <c r="C96" i="1"/>
  <c r="B96" i="1"/>
  <c r="BQ95" i="1"/>
  <c r="BP95" i="1"/>
  <c r="BM95" i="1"/>
  <c r="BL95" i="1"/>
  <c r="BK95" i="1"/>
  <c r="BJ95" i="1"/>
  <c r="BI95" i="1"/>
  <c r="D95" i="1"/>
  <c r="C95" i="1"/>
  <c r="B95" i="1"/>
  <c r="BQ94" i="1"/>
  <c r="BP94" i="1"/>
  <c r="BM94" i="1"/>
  <c r="BL94" i="1"/>
  <c r="BK94" i="1"/>
  <c r="BJ94" i="1"/>
  <c r="BI94" i="1"/>
  <c r="D94" i="1"/>
  <c r="C94" i="1"/>
  <c r="B94" i="1"/>
  <c r="BQ93" i="1"/>
  <c r="BP93" i="1"/>
  <c r="BM93" i="1"/>
  <c r="BL93" i="1"/>
  <c r="BK93" i="1"/>
  <c r="BJ93" i="1"/>
  <c r="BI93" i="1"/>
  <c r="D93" i="1"/>
  <c r="C93" i="1"/>
  <c r="B93" i="1"/>
  <c r="BQ92" i="1"/>
  <c r="BP92" i="1"/>
  <c r="BM92" i="1"/>
  <c r="BL92" i="1"/>
  <c r="BK92" i="1"/>
  <c r="BJ92" i="1"/>
  <c r="BI92" i="1"/>
  <c r="D92" i="1"/>
  <c r="C92" i="1"/>
  <c r="B92" i="1"/>
  <c r="BQ91" i="1"/>
  <c r="BP91" i="1"/>
  <c r="BM91" i="1"/>
  <c r="BL91" i="1"/>
  <c r="BK91" i="1"/>
  <c r="BJ91" i="1"/>
  <c r="BI91" i="1"/>
  <c r="D91" i="1"/>
  <c r="C91" i="1"/>
  <c r="B91" i="1"/>
  <c r="BQ90" i="1"/>
  <c r="BP90" i="1"/>
  <c r="BM90" i="1"/>
  <c r="BL90" i="1"/>
  <c r="BK90" i="1"/>
  <c r="BJ90" i="1"/>
  <c r="BI90" i="1"/>
  <c r="D90" i="1"/>
  <c r="C90" i="1"/>
  <c r="B90" i="1"/>
  <c r="BQ89" i="1"/>
  <c r="BP89" i="1"/>
  <c r="BM89" i="1"/>
  <c r="BL89" i="1"/>
  <c r="BK89" i="1"/>
  <c r="BJ89" i="1"/>
  <c r="BI89" i="1"/>
  <c r="D89" i="1"/>
  <c r="C89" i="1"/>
  <c r="B89" i="1"/>
  <c r="BQ88" i="1"/>
  <c r="BP88" i="1"/>
  <c r="BM88" i="1"/>
  <c r="BL88" i="1"/>
  <c r="BK88" i="1"/>
  <c r="BJ88" i="1"/>
  <c r="BI88" i="1"/>
  <c r="D88" i="1"/>
  <c r="C88" i="1"/>
  <c r="B88" i="1"/>
  <c r="BQ87" i="1"/>
  <c r="BP87" i="1"/>
  <c r="BM87" i="1"/>
  <c r="BL87" i="1"/>
  <c r="BK87" i="1"/>
  <c r="BJ87" i="1"/>
  <c r="BI87" i="1"/>
  <c r="D87" i="1"/>
  <c r="C87" i="1"/>
  <c r="B87" i="1"/>
  <c r="BQ86" i="1"/>
  <c r="BP86" i="1"/>
  <c r="BM86" i="1"/>
  <c r="BL86" i="1"/>
  <c r="BK86" i="1"/>
  <c r="BJ86" i="1"/>
  <c r="BI86" i="1"/>
  <c r="D86" i="1"/>
  <c r="C86" i="1"/>
  <c r="B86" i="1"/>
  <c r="BQ85" i="1"/>
  <c r="BP85" i="1"/>
  <c r="BM85" i="1"/>
  <c r="BL85" i="1"/>
  <c r="BK85" i="1"/>
  <c r="BJ85" i="1"/>
  <c r="BI85" i="1"/>
  <c r="D85" i="1"/>
  <c r="C85" i="1"/>
  <c r="B85" i="1"/>
  <c r="BQ84" i="1"/>
  <c r="BP84" i="1"/>
  <c r="BM84" i="1"/>
  <c r="BL84" i="1"/>
  <c r="BK84" i="1"/>
  <c r="BJ84" i="1"/>
  <c r="BI84" i="1"/>
  <c r="D84" i="1"/>
  <c r="C84" i="1"/>
  <c r="B84" i="1"/>
  <c r="BQ83" i="1"/>
  <c r="BP83" i="1"/>
  <c r="BM83" i="1"/>
  <c r="BL83" i="1"/>
  <c r="BK83" i="1"/>
  <c r="BJ83" i="1"/>
  <c r="BI83" i="1"/>
  <c r="D83" i="1"/>
  <c r="C83" i="1"/>
  <c r="B83" i="1"/>
  <c r="BQ82" i="1"/>
  <c r="BP82" i="1"/>
  <c r="BM82" i="1"/>
  <c r="BL82" i="1"/>
  <c r="BK82" i="1"/>
  <c r="BJ82" i="1"/>
  <c r="BI82" i="1"/>
  <c r="D82" i="1"/>
  <c r="C82" i="1"/>
  <c r="B82" i="1"/>
  <c r="BQ81" i="1"/>
  <c r="BP81" i="1"/>
  <c r="BM81" i="1"/>
  <c r="BL81" i="1"/>
  <c r="BK81" i="1"/>
  <c r="BJ81" i="1"/>
  <c r="BI81" i="1"/>
  <c r="D81" i="1"/>
  <c r="C81" i="1"/>
  <c r="B81" i="1"/>
  <c r="BQ80" i="1"/>
  <c r="BP80" i="1"/>
  <c r="BM80" i="1"/>
  <c r="BL80" i="1"/>
  <c r="BK80" i="1"/>
  <c r="BJ80" i="1"/>
  <c r="BI80" i="1"/>
  <c r="D80" i="1"/>
  <c r="C80" i="1"/>
  <c r="B80" i="1"/>
  <c r="BQ79" i="1"/>
  <c r="BP79" i="1"/>
  <c r="BM79" i="1"/>
  <c r="BL79" i="1"/>
  <c r="BK79" i="1"/>
  <c r="BJ79" i="1"/>
  <c r="BI79" i="1"/>
  <c r="D79" i="1"/>
  <c r="C79" i="1"/>
  <c r="B79" i="1"/>
  <c r="BQ78" i="1"/>
  <c r="BP78" i="1"/>
  <c r="BM78" i="1"/>
  <c r="BL78" i="1"/>
  <c r="BK78" i="1"/>
  <c r="BJ78" i="1"/>
  <c r="BI78" i="1"/>
  <c r="D78" i="1"/>
  <c r="C78" i="1"/>
  <c r="B78" i="1"/>
  <c r="BQ77" i="1"/>
  <c r="BP77" i="1"/>
  <c r="BM77" i="1"/>
  <c r="BL77" i="1"/>
  <c r="BK77" i="1"/>
  <c r="BJ77" i="1"/>
  <c r="BI77" i="1"/>
  <c r="D77" i="1"/>
  <c r="C77" i="1"/>
  <c r="B77" i="1"/>
  <c r="BQ76" i="1"/>
  <c r="BP76" i="1"/>
  <c r="BM76" i="1"/>
  <c r="BL76" i="1"/>
  <c r="BK76" i="1"/>
  <c r="BJ76" i="1"/>
  <c r="BI76" i="1"/>
  <c r="D76" i="1"/>
  <c r="C76" i="1"/>
  <c r="B76" i="1"/>
  <c r="BQ75" i="1"/>
  <c r="BP75" i="1"/>
  <c r="BM75" i="1"/>
  <c r="BL75" i="1"/>
  <c r="BK75" i="1"/>
  <c r="BJ75" i="1"/>
  <c r="BI75" i="1"/>
  <c r="D75" i="1"/>
  <c r="C75" i="1"/>
  <c r="B75" i="1"/>
  <c r="BQ74" i="1"/>
  <c r="BP74" i="1"/>
  <c r="BM74" i="1"/>
  <c r="BL74" i="1"/>
  <c r="BK74" i="1"/>
  <c r="BJ74" i="1"/>
  <c r="BI74" i="1"/>
  <c r="D74" i="1"/>
  <c r="C74" i="1"/>
  <c r="B74" i="1"/>
  <c r="BQ73" i="1"/>
  <c r="BP73" i="1"/>
  <c r="BM73" i="1"/>
  <c r="BL73" i="1"/>
  <c r="BK73" i="1"/>
  <c r="BJ73" i="1"/>
  <c r="BI73" i="1"/>
  <c r="D73" i="1"/>
  <c r="C73" i="1"/>
  <c r="B73" i="1"/>
  <c r="BQ72" i="1"/>
  <c r="BP72" i="1"/>
  <c r="BM72" i="1"/>
  <c r="BL72" i="1"/>
  <c r="BK72" i="1"/>
  <c r="BJ72" i="1"/>
  <c r="BI72" i="1"/>
  <c r="D72" i="1"/>
  <c r="C72" i="1"/>
  <c r="B72" i="1"/>
  <c r="BQ71" i="1"/>
  <c r="BP71" i="1"/>
  <c r="BM71" i="1"/>
  <c r="BL71" i="1"/>
  <c r="BK71" i="1"/>
  <c r="BJ71" i="1"/>
  <c r="BI71" i="1"/>
  <c r="D71" i="1"/>
  <c r="C71" i="1"/>
  <c r="B71" i="1"/>
  <c r="BQ70" i="1"/>
  <c r="BP70" i="1"/>
  <c r="BM70" i="1"/>
  <c r="BL70" i="1"/>
  <c r="BK70" i="1"/>
  <c r="BJ70" i="1"/>
  <c r="BI70" i="1"/>
  <c r="D70" i="1"/>
  <c r="C70" i="1"/>
  <c r="B70" i="1"/>
  <c r="BQ69" i="1"/>
  <c r="BP69" i="1"/>
  <c r="BM69" i="1"/>
  <c r="BL69" i="1"/>
  <c r="BK69" i="1"/>
  <c r="BJ69" i="1"/>
  <c r="BI69" i="1"/>
  <c r="D69" i="1"/>
  <c r="C69" i="1"/>
  <c r="B69" i="1"/>
  <c r="BQ68" i="1"/>
  <c r="BP68" i="1"/>
  <c r="BM68" i="1"/>
  <c r="BL68" i="1"/>
  <c r="BK68" i="1"/>
  <c r="BJ68" i="1"/>
  <c r="BI68" i="1"/>
  <c r="D68" i="1"/>
  <c r="C68" i="1"/>
  <c r="B68" i="1"/>
  <c r="BQ67" i="1"/>
  <c r="BP67" i="1"/>
  <c r="BM67" i="1"/>
  <c r="BL67" i="1"/>
  <c r="BK67" i="1"/>
  <c r="BJ67" i="1"/>
  <c r="BI67" i="1"/>
  <c r="D67" i="1"/>
  <c r="C67" i="1"/>
  <c r="B67" i="1"/>
  <c r="BQ66" i="1"/>
  <c r="BP66" i="1"/>
  <c r="BM66" i="1"/>
  <c r="BL66" i="1"/>
  <c r="BK66" i="1"/>
  <c r="BJ66" i="1"/>
  <c r="BI66" i="1"/>
  <c r="D66" i="1"/>
  <c r="C66" i="1"/>
  <c r="B66" i="1"/>
  <c r="BQ65" i="1"/>
  <c r="BP65" i="1"/>
  <c r="BM65" i="1"/>
  <c r="BL65" i="1"/>
  <c r="BK65" i="1"/>
  <c r="BJ65" i="1"/>
  <c r="BI65" i="1"/>
  <c r="D65" i="1"/>
  <c r="C65" i="1"/>
  <c r="B65" i="1"/>
  <c r="BQ64" i="1"/>
  <c r="BP64" i="1"/>
  <c r="BM64" i="1"/>
  <c r="BL64" i="1"/>
  <c r="BK64" i="1"/>
  <c r="BJ64" i="1"/>
  <c r="BI64" i="1"/>
  <c r="D64" i="1"/>
  <c r="C64" i="1"/>
  <c r="B64" i="1"/>
  <c r="BQ63" i="1"/>
  <c r="BP63" i="1"/>
  <c r="BM63" i="1"/>
  <c r="BL63" i="1"/>
  <c r="BK63" i="1"/>
  <c r="BJ63" i="1"/>
  <c r="BI63" i="1"/>
  <c r="D63" i="1"/>
  <c r="C63" i="1"/>
  <c r="B63" i="1"/>
  <c r="BQ62" i="1"/>
  <c r="BP62" i="1"/>
  <c r="BM62" i="1"/>
  <c r="BL62" i="1"/>
  <c r="BK62" i="1"/>
  <c r="BJ62" i="1"/>
  <c r="BI62" i="1"/>
  <c r="D62" i="1"/>
  <c r="C62" i="1"/>
  <c r="B62" i="1"/>
  <c r="BQ61" i="1"/>
  <c r="BP61" i="1"/>
  <c r="BM61" i="1"/>
  <c r="BL61" i="1"/>
  <c r="BK61" i="1"/>
  <c r="BJ61" i="1"/>
  <c r="BI61" i="1"/>
  <c r="D61" i="1"/>
  <c r="C61" i="1"/>
  <c r="B61" i="1"/>
  <c r="BQ60" i="1"/>
  <c r="BP60" i="1"/>
  <c r="BM60" i="1"/>
  <c r="BL60" i="1"/>
  <c r="BK60" i="1"/>
  <c r="BJ60" i="1"/>
  <c r="BI60" i="1"/>
  <c r="D60" i="1"/>
  <c r="C60" i="1"/>
  <c r="B60" i="1"/>
  <c r="BQ59" i="1"/>
  <c r="BP59" i="1"/>
  <c r="BM59" i="1"/>
  <c r="BL59" i="1"/>
  <c r="BK59" i="1"/>
  <c r="BJ59" i="1"/>
  <c r="BI59" i="1"/>
  <c r="D59" i="1"/>
  <c r="C59" i="1"/>
  <c r="B59" i="1"/>
  <c r="BQ58" i="1"/>
  <c r="BP58" i="1"/>
  <c r="BM58" i="1"/>
  <c r="BL58" i="1"/>
  <c r="BK58" i="1"/>
  <c r="BJ58" i="1"/>
  <c r="BI58" i="1"/>
  <c r="D58" i="1"/>
  <c r="C58" i="1"/>
  <c r="B58" i="1"/>
  <c r="BQ57" i="1"/>
  <c r="BP57" i="1"/>
  <c r="BM57" i="1"/>
  <c r="BL57" i="1"/>
  <c r="BK57" i="1"/>
  <c r="BJ57" i="1"/>
  <c r="BI57" i="1"/>
  <c r="D57" i="1"/>
  <c r="C57" i="1"/>
  <c r="B57" i="1"/>
  <c r="BQ56" i="1"/>
  <c r="BP56" i="1"/>
  <c r="BM56" i="1"/>
  <c r="BL56" i="1"/>
  <c r="BK56" i="1"/>
  <c r="BJ56" i="1"/>
  <c r="BI56" i="1"/>
  <c r="D56" i="1"/>
  <c r="C56" i="1"/>
  <c r="B56" i="1"/>
  <c r="BQ55" i="1"/>
  <c r="BP55" i="1"/>
  <c r="BM55" i="1"/>
  <c r="BL55" i="1"/>
  <c r="BK55" i="1"/>
  <c r="BJ55" i="1"/>
  <c r="BI55" i="1"/>
  <c r="D55" i="1"/>
  <c r="C55" i="1"/>
  <c r="B55" i="1"/>
  <c r="BQ54" i="1"/>
  <c r="BP54" i="1"/>
  <c r="BM54" i="1"/>
  <c r="BL54" i="1"/>
  <c r="BK54" i="1"/>
  <c r="BJ54" i="1"/>
  <c r="BI54" i="1"/>
  <c r="D54" i="1"/>
  <c r="C54" i="1"/>
  <c r="B54" i="1"/>
  <c r="BQ53" i="1"/>
  <c r="BP53" i="1"/>
  <c r="BM53" i="1"/>
  <c r="BL53" i="1"/>
  <c r="BK53" i="1"/>
  <c r="BJ53" i="1"/>
  <c r="BI53" i="1"/>
  <c r="D53" i="1"/>
  <c r="C53" i="1"/>
  <c r="B53" i="1"/>
  <c r="BQ52" i="1"/>
  <c r="BP52" i="1"/>
  <c r="BM52" i="1"/>
  <c r="BL52" i="1"/>
  <c r="BK52" i="1"/>
  <c r="BJ52" i="1"/>
  <c r="BI52" i="1"/>
  <c r="D52" i="1"/>
  <c r="C52" i="1"/>
  <c r="B52" i="1"/>
  <c r="BQ51" i="1"/>
  <c r="BP51" i="1"/>
  <c r="BM51" i="1"/>
  <c r="BL51" i="1"/>
  <c r="BK51" i="1"/>
  <c r="BJ51" i="1"/>
  <c r="BI51" i="1"/>
  <c r="D51" i="1"/>
  <c r="C51" i="1"/>
  <c r="B51" i="1"/>
  <c r="BQ50" i="1"/>
  <c r="BP50" i="1"/>
  <c r="BM50" i="1"/>
  <c r="BL50" i="1"/>
  <c r="BK50" i="1"/>
  <c r="BJ50" i="1"/>
  <c r="BI50" i="1"/>
  <c r="D50" i="1"/>
  <c r="C50" i="1"/>
  <c r="B50" i="1"/>
  <c r="BQ49" i="1"/>
  <c r="BP49" i="1"/>
  <c r="BM49" i="1"/>
  <c r="BL49" i="1"/>
  <c r="BK49" i="1"/>
  <c r="BJ49" i="1"/>
  <c r="BI49" i="1"/>
  <c r="D49" i="1"/>
  <c r="C49" i="1"/>
  <c r="B49" i="1"/>
  <c r="BQ48" i="1"/>
  <c r="BP48" i="1"/>
  <c r="BM48" i="1"/>
  <c r="BL48" i="1"/>
  <c r="BK48" i="1"/>
  <c r="BJ48" i="1"/>
  <c r="BI48" i="1"/>
  <c r="D48" i="1"/>
  <c r="C48" i="1"/>
  <c r="B48" i="1"/>
  <c r="BQ47" i="1"/>
  <c r="BP47" i="1"/>
  <c r="BM47" i="1"/>
  <c r="BL47" i="1"/>
  <c r="BK47" i="1"/>
  <c r="BJ47" i="1"/>
  <c r="BI47" i="1"/>
  <c r="D47" i="1"/>
  <c r="C47" i="1"/>
  <c r="B47" i="1"/>
  <c r="BQ46" i="1"/>
  <c r="BP46" i="1"/>
  <c r="BM46" i="1"/>
  <c r="BL46" i="1"/>
  <c r="BK46" i="1"/>
  <c r="BJ46" i="1"/>
  <c r="BI46" i="1"/>
  <c r="D46" i="1"/>
  <c r="C46" i="1"/>
  <c r="B46" i="1"/>
  <c r="BQ45" i="1"/>
  <c r="BP45" i="1"/>
  <c r="BM45" i="1"/>
  <c r="BL45" i="1"/>
  <c r="BK45" i="1"/>
  <c r="BJ45" i="1"/>
  <c r="BI45" i="1"/>
  <c r="D45" i="1"/>
  <c r="C45" i="1"/>
  <c r="B45" i="1"/>
  <c r="BQ44" i="1"/>
  <c r="BP44" i="1"/>
  <c r="BM44" i="1"/>
  <c r="BL44" i="1"/>
  <c r="BK44" i="1"/>
  <c r="BJ44" i="1"/>
  <c r="BI44" i="1"/>
  <c r="D44" i="1"/>
  <c r="C44" i="1"/>
  <c r="B44" i="1"/>
  <c r="BQ43" i="1"/>
  <c r="BP43" i="1"/>
  <c r="BM43" i="1"/>
  <c r="BL43" i="1"/>
  <c r="BK43" i="1"/>
  <c r="BJ43" i="1"/>
  <c r="BI43" i="1"/>
  <c r="D43" i="1"/>
  <c r="C43" i="1"/>
  <c r="B43" i="1"/>
  <c r="BQ42" i="1"/>
  <c r="BP42" i="1"/>
  <c r="BM42" i="1"/>
  <c r="BL42" i="1"/>
  <c r="BK42" i="1"/>
  <c r="BJ42" i="1"/>
  <c r="BI42" i="1"/>
  <c r="D42" i="1"/>
  <c r="C42" i="1"/>
  <c r="B42" i="1"/>
  <c r="BQ41" i="1"/>
  <c r="BP41" i="1"/>
  <c r="BM41" i="1"/>
  <c r="BL41" i="1"/>
  <c r="BK41" i="1"/>
  <c r="BJ41" i="1"/>
  <c r="BI41" i="1"/>
  <c r="D41" i="1"/>
  <c r="C41" i="1"/>
  <c r="B41" i="1"/>
  <c r="BQ40" i="1"/>
  <c r="BP40" i="1"/>
  <c r="BM40" i="1"/>
  <c r="BL40" i="1"/>
  <c r="BK40" i="1"/>
  <c r="BJ40" i="1"/>
  <c r="BI40" i="1"/>
  <c r="D40" i="1"/>
  <c r="C40" i="1"/>
  <c r="B40" i="1"/>
  <c r="BQ39" i="1"/>
  <c r="BP39" i="1"/>
  <c r="BM39" i="1"/>
  <c r="BL39" i="1"/>
  <c r="BK39" i="1"/>
  <c r="BJ39" i="1"/>
  <c r="BI39" i="1"/>
  <c r="D39" i="1"/>
  <c r="C39" i="1"/>
  <c r="B39" i="1"/>
  <c r="BQ38" i="1"/>
  <c r="BP38" i="1"/>
  <c r="BM38" i="1"/>
  <c r="BL38" i="1"/>
  <c r="BK38" i="1"/>
  <c r="BJ38" i="1"/>
  <c r="BI38" i="1"/>
  <c r="D38" i="1"/>
  <c r="C38" i="1"/>
  <c r="B38" i="1"/>
  <c r="BQ37" i="1"/>
  <c r="BP37" i="1"/>
  <c r="BM37" i="1"/>
  <c r="BL37" i="1"/>
  <c r="BK37" i="1"/>
  <c r="BJ37" i="1"/>
  <c r="BI37" i="1"/>
  <c r="D37" i="1"/>
  <c r="C37" i="1"/>
  <c r="B37" i="1"/>
  <c r="BQ36" i="1"/>
  <c r="BP36" i="1"/>
  <c r="BM36" i="1"/>
  <c r="BL36" i="1"/>
  <c r="BK36" i="1"/>
  <c r="BJ36" i="1"/>
  <c r="BI36" i="1"/>
  <c r="D36" i="1"/>
  <c r="C36" i="1"/>
  <c r="B36" i="1"/>
  <c r="BQ35" i="1"/>
  <c r="BP35" i="1"/>
  <c r="BM35" i="1"/>
  <c r="BL35" i="1"/>
  <c r="BK35" i="1"/>
  <c r="BJ35" i="1"/>
  <c r="BI35" i="1"/>
  <c r="D35" i="1"/>
  <c r="C35" i="1"/>
  <c r="B35" i="1"/>
  <c r="BQ34" i="1"/>
  <c r="BP34" i="1"/>
  <c r="BM34" i="1"/>
  <c r="BL34" i="1"/>
  <c r="BK34" i="1"/>
  <c r="BJ34" i="1"/>
  <c r="BI34" i="1"/>
  <c r="D34" i="1"/>
  <c r="C34" i="1"/>
  <c r="B34" i="1"/>
  <c r="BQ33" i="1"/>
  <c r="BP33" i="1"/>
  <c r="BM33" i="1"/>
  <c r="BL33" i="1"/>
  <c r="BK33" i="1"/>
  <c r="BJ33" i="1"/>
  <c r="BI33" i="1"/>
  <c r="D33" i="1"/>
  <c r="C33" i="1"/>
  <c r="B33" i="1"/>
  <c r="BQ32" i="1"/>
  <c r="BP32" i="1"/>
  <c r="BM32" i="1"/>
  <c r="BL32" i="1"/>
  <c r="BK32" i="1"/>
  <c r="BJ32" i="1"/>
  <c r="BI32" i="1"/>
  <c r="D32" i="1"/>
  <c r="C32" i="1"/>
  <c r="B32" i="1"/>
  <c r="BQ31" i="1"/>
  <c r="BP31" i="1"/>
  <c r="BM31" i="1"/>
  <c r="BL31" i="1"/>
  <c r="BK31" i="1"/>
  <c r="BJ31" i="1"/>
  <c r="BI31" i="1"/>
  <c r="D31" i="1"/>
  <c r="C31" i="1"/>
  <c r="B31" i="1"/>
  <c r="BQ30" i="1"/>
  <c r="BP30" i="1"/>
  <c r="BM30" i="1"/>
  <c r="BL30" i="1"/>
  <c r="BK30" i="1"/>
  <c r="BJ30" i="1"/>
  <c r="BI30" i="1"/>
  <c r="D30" i="1"/>
  <c r="C30" i="1"/>
  <c r="B30" i="1"/>
  <c r="BQ29" i="1"/>
  <c r="BP29" i="1"/>
  <c r="BM29" i="1"/>
  <c r="BL29" i="1"/>
  <c r="BK29" i="1"/>
  <c r="BJ29" i="1"/>
  <c r="BI29" i="1"/>
  <c r="D29" i="1"/>
  <c r="C29" i="1"/>
  <c r="B29" i="1"/>
  <c r="BQ28" i="1"/>
  <c r="BP28" i="1"/>
  <c r="BM28" i="1"/>
  <c r="BL28" i="1"/>
  <c r="BK28" i="1"/>
  <c r="BJ28" i="1"/>
  <c r="BI28" i="1"/>
  <c r="D28" i="1"/>
  <c r="C28" i="1"/>
  <c r="B28" i="1"/>
  <c r="BQ27" i="1"/>
  <c r="BP27" i="1"/>
  <c r="BM27" i="1"/>
  <c r="BL27" i="1"/>
  <c r="BK27" i="1"/>
  <c r="BJ27" i="1"/>
  <c r="BI27" i="1"/>
  <c r="D27" i="1"/>
  <c r="C27" i="1"/>
  <c r="B27" i="1"/>
  <c r="BQ26" i="1"/>
  <c r="BP26" i="1"/>
  <c r="BM26" i="1"/>
  <c r="BL26" i="1"/>
  <c r="BK26" i="1"/>
  <c r="BJ26" i="1"/>
  <c r="BI26" i="1"/>
  <c r="D26" i="1"/>
  <c r="C26" i="1"/>
  <c r="B26" i="1"/>
  <c r="BQ25" i="1"/>
  <c r="BP25" i="1"/>
  <c r="BM25" i="1"/>
  <c r="BL25" i="1"/>
  <c r="BK25" i="1"/>
  <c r="BJ25" i="1"/>
  <c r="BI25" i="1"/>
  <c r="D25" i="1"/>
  <c r="C25" i="1"/>
  <c r="B25" i="1"/>
  <c r="BQ24" i="1"/>
  <c r="BP24" i="1"/>
  <c r="BM24" i="1"/>
  <c r="BL24" i="1"/>
  <c r="BK24" i="1"/>
  <c r="BJ24" i="1"/>
  <c r="BI24" i="1"/>
  <c r="D24" i="1"/>
  <c r="C24" i="1"/>
  <c r="B24" i="1"/>
  <c r="BQ23" i="1"/>
  <c r="BP23" i="1"/>
  <c r="BM23" i="1"/>
  <c r="BL23" i="1"/>
  <c r="BK23" i="1"/>
  <c r="BJ23" i="1"/>
  <c r="BI23" i="1"/>
  <c r="D23" i="1"/>
  <c r="C23" i="1"/>
  <c r="B23" i="1"/>
  <c r="BQ22" i="1"/>
  <c r="BP22" i="1"/>
  <c r="BM22" i="1"/>
  <c r="BL22" i="1"/>
  <c r="BK22" i="1"/>
  <c r="BJ22" i="1"/>
  <c r="BI22" i="1"/>
  <c r="D22" i="1"/>
  <c r="C22" i="1"/>
  <c r="B22" i="1"/>
  <c r="BQ21" i="1"/>
  <c r="BP21" i="1"/>
  <c r="BM21" i="1"/>
  <c r="BL21" i="1"/>
  <c r="BK21" i="1"/>
  <c r="BJ21" i="1"/>
  <c r="BI21" i="1"/>
  <c r="D21" i="1"/>
  <c r="C21" i="1"/>
  <c r="B21" i="1"/>
  <c r="BQ20" i="1"/>
  <c r="BP20" i="1"/>
  <c r="BM20" i="1"/>
  <c r="BL20" i="1"/>
  <c r="BK20" i="1"/>
  <c r="BJ20" i="1"/>
  <c r="BI20" i="1"/>
  <c r="D20" i="1"/>
  <c r="C20" i="1"/>
  <c r="B20" i="1"/>
  <c r="BQ19" i="1"/>
  <c r="BP19" i="1"/>
  <c r="BM19" i="1"/>
  <c r="BL19" i="1"/>
  <c r="BK19" i="1"/>
  <c r="BJ19" i="1"/>
  <c r="BI19" i="1"/>
  <c r="D19" i="1"/>
  <c r="C19" i="1"/>
  <c r="B19" i="1"/>
  <c r="BQ18" i="1"/>
  <c r="BP18" i="1"/>
  <c r="BM18" i="1"/>
  <c r="BL18" i="1"/>
  <c r="BK18" i="1"/>
  <c r="BJ18" i="1"/>
  <c r="BI18" i="1"/>
  <c r="D18" i="1"/>
  <c r="C18" i="1"/>
  <c r="B18" i="1"/>
  <c r="BQ17" i="1"/>
  <c r="BP17" i="1"/>
  <c r="BM17" i="1"/>
  <c r="BL17" i="1"/>
  <c r="BK17" i="1"/>
  <c r="BJ17" i="1"/>
  <c r="BI17" i="1"/>
  <c r="D17" i="1"/>
  <c r="C17" i="1"/>
  <c r="B17" i="1"/>
  <c r="BQ16" i="1"/>
  <c r="BP16" i="1"/>
  <c r="BM16" i="1"/>
  <c r="BL16" i="1"/>
  <c r="BK16" i="1"/>
  <c r="BJ16" i="1"/>
  <c r="BI16" i="1"/>
  <c r="D16" i="1"/>
  <c r="C16" i="1"/>
  <c r="B16" i="1"/>
  <c r="BQ15" i="1"/>
  <c r="BP15" i="1"/>
  <c r="BM15" i="1"/>
  <c r="BL15" i="1"/>
  <c r="BK15" i="1"/>
  <c r="BJ15" i="1"/>
  <c r="BI15" i="1"/>
  <c r="D15" i="1"/>
  <c r="C15" i="1"/>
  <c r="B15" i="1"/>
  <c r="BQ14" i="1"/>
  <c r="BP14" i="1"/>
  <c r="BM14" i="1"/>
  <c r="BL14" i="1"/>
  <c r="BK14" i="1"/>
  <c r="BJ14" i="1"/>
  <c r="BI14" i="1"/>
  <c r="D14" i="1"/>
  <c r="C14" i="1"/>
  <c r="B14" i="1"/>
  <c r="BQ13" i="1"/>
  <c r="BP13" i="1"/>
  <c r="BM13" i="1"/>
  <c r="BL13" i="1"/>
  <c r="BK13" i="1"/>
  <c r="BJ13" i="1"/>
  <c r="BI13" i="1"/>
  <c r="D13" i="1"/>
  <c r="C13" i="1"/>
  <c r="B13" i="1"/>
  <c r="BQ12" i="1"/>
  <c r="BP12" i="1"/>
  <c r="BM12" i="1"/>
  <c r="BL12" i="1"/>
  <c r="BK12" i="1"/>
  <c r="BJ12" i="1"/>
  <c r="BI12" i="1"/>
  <c r="D12" i="1"/>
  <c r="C12" i="1"/>
  <c r="B12" i="1"/>
  <c r="BQ11" i="1"/>
  <c r="BP11" i="1"/>
  <c r="BM11" i="1"/>
  <c r="BL11" i="1"/>
  <c r="BK11" i="1"/>
  <c r="BJ11" i="1"/>
  <c r="BI11" i="1"/>
  <c r="D11" i="1"/>
  <c r="C11" i="1"/>
  <c r="B11" i="1"/>
  <c r="BQ10" i="1"/>
  <c r="BP10" i="1"/>
  <c r="BM10" i="1"/>
  <c r="BL10" i="1"/>
  <c r="BK10" i="1"/>
  <c r="BJ10" i="1"/>
  <c r="BI10" i="1"/>
  <c r="D10" i="1"/>
  <c r="C10" i="1"/>
  <c r="B10" i="1"/>
  <c r="BQ9" i="1"/>
  <c r="BP9" i="1"/>
  <c r="BM9" i="1"/>
  <c r="BL9" i="1"/>
  <c r="BK9" i="1"/>
  <c r="BJ9" i="1"/>
  <c r="BI9" i="1"/>
  <c r="D9" i="1"/>
  <c r="C9" i="1"/>
  <c r="B9" i="1"/>
  <c r="BQ8" i="1"/>
  <c r="BP8" i="1"/>
  <c r="BM8" i="1"/>
  <c r="BL8" i="1"/>
  <c r="BK8" i="1"/>
  <c r="BJ8" i="1"/>
  <c r="BI8" i="1"/>
  <c r="D8" i="1"/>
  <c r="C8" i="1"/>
  <c r="B8" i="1"/>
  <c r="BQ7" i="1"/>
  <c r="BP7" i="1"/>
  <c r="BM7" i="1"/>
  <c r="BL7" i="1"/>
  <c r="BK7" i="1"/>
  <c r="BJ7" i="1"/>
  <c r="BI7" i="1"/>
  <c r="D7" i="1"/>
  <c r="C7" i="1"/>
  <c r="B7" i="1"/>
  <c r="BQ6" i="1"/>
  <c r="BP6" i="1"/>
  <c r="BM6" i="1"/>
  <c r="BL6" i="1"/>
  <c r="BK6" i="1"/>
  <c r="BJ6" i="1"/>
  <c r="BI6" i="1"/>
  <c r="D6" i="1"/>
  <c r="C6" i="1"/>
  <c r="B6" i="1"/>
  <c r="BQ5" i="1"/>
  <c r="BP5" i="1"/>
  <c r="BM5" i="1"/>
  <c r="BL5" i="1"/>
  <c r="BK5" i="1"/>
  <c r="BJ5" i="1"/>
  <c r="BI5" i="1"/>
  <c r="D5" i="1"/>
  <c r="C5" i="1"/>
  <c r="B5" i="1"/>
  <c r="D2" i="1"/>
  <c r="D1" i="1"/>
  <c r="BO911" i="1" l="1"/>
  <c r="BO910" i="1"/>
  <c r="BN910" i="1"/>
  <c r="BN903" i="1"/>
  <c r="BO902" i="1"/>
  <c r="BN902" i="1"/>
  <c r="BO901" i="1"/>
  <c r="BN901" i="1"/>
  <c r="BO899" i="1"/>
  <c r="BN899" i="1"/>
  <c r="BO896" i="1"/>
  <c r="BN896" i="1"/>
  <c r="BO895" i="1"/>
  <c r="BN895" i="1"/>
  <c r="BO894" i="1"/>
  <c r="BN894" i="1"/>
  <c r="BO893" i="1"/>
  <c r="BN893" i="1"/>
  <c r="BO890" i="1"/>
  <c r="BN890" i="1"/>
  <c r="BO887" i="1"/>
  <c r="BO885" i="1"/>
  <c r="BN885" i="1"/>
  <c r="BO883" i="1"/>
  <c r="BO882" i="1"/>
  <c r="BO872" i="1"/>
  <c r="BO867" i="1"/>
  <c r="BN867" i="1"/>
  <c r="BO861" i="1"/>
  <c r="BN861" i="1"/>
  <c r="BN860" i="1"/>
  <c r="BO858" i="1"/>
  <c r="BN858" i="1"/>
  <c r="BO857" i="1"/>
  <c r="BN857" i="1"/>
  <c r="BO856" i="1"/>
  <c r="BN856" i="1"/>
  <c r="BO849" i="1"/>
  <c r="BN849" i="1"/>
  <c r="BO843" i="1"/>
  <c r="BN843" i="1"/>
  <c r="BO840" i="1"/>
  <c r="BN840" i="1"/>
  <c r="BO834" i="1"/>
  <c r="BN834" i="1"/>
  <c r="BO818" i="1"/>
  <c r="BN816" i="1"/>
  <c r="BN814" i="1"/>
  <c r="BO810" i="1"/>
  <c r="BN810" i="1"/>
  <c r="BO805" i="1"/>
  <c r="BN805" i="1"/>
  <c r="BO803" i="1"/>
  <c r="BN803" i="1"/>
  <c r="BO801" i="1"/>
  <c r="BN801" i="1"/>
  <c r="BO794" i="1"/>
  <c r="BO789" i="1"/>
  <c r="BN785" i="1"/>
  <c r="BO780" i="1"/>
  <c r="BO778" i="1"/>
  <c r="BO777" i="1"/>
  <c r="BN777" i="1"/>
  <c r="BN776" i="1"/>
  <c r="BO774" i="1"/>
  <c r="BN774" i="1"/>
  <c r="BO772" i="1"/>
  <c r="BN772" i="1"/>
  <c r="BO770" i="1"/>
  <c r="BN770" i="1"/>
  <c r="BO764" i="1"/>
  <c r="BN764" i="1"/>
  <c r="BO763" i="1"/>
  <c r="BN763" i="1"/>
  <c r="BO762" i="1"/>
  <c r="BN762" i="1"/>
  <c r="BO756" i="1"/>
  <c r="BN756" i="1"/>
  <c r="BN754" i="1"/>
  <c r="BO751" i="1"/>
  <c r="BN751" i="1"/>
  <c r="BO746" i="1"/>
  <c r="BN746" i="1"/>
  <c r="BO745" i="1"/>
  <c r="BN745" i="1"/>
  <c r="BO742" i="1"/>
  <c r="BN742" i="1"/>
  <c r="BO740" i="1"/>
  <c r="BO737" i="1"/>
  <c r="BN737" i="1"/>
  <c r="BO735" i="1"/>
  <c r="BN735" i="1"/>
  <c r="BO733" i="1"/>
  <c r="BO731" i="1"/>
  <c r="BN731" i="1"/>
  <c r="BO730" i="1"/>
  <c r="BN730" i="1"/>
  <c r="BO729" i="1"/>
  <c r="BN729" i="1"/>
  <c r="BO728" i="1"/>
  <c r="BN728" i="1"/>
  <c r="BO727" i="1"/>
  <c r="BN727" i="1"/>
  <c r="BO722" i="1"/>
  <c r="BN722" i="1"/>
  <c r="BO720" i="1"/>
  <c r="BN720" i="1"/>
  <c r="BO718" i="1"/>
  <c r="BN718" i="1"/>
  <c r="BO715" i="1"/>
  <c r="BN715" i="1"/>
  <c r="BO711" i="1"/>
  <c r="BN711" i="1"/>
  <c r="BN707" i="1"/>
  <c r="BO698" i="1"/>
  <c r="BN698" i="1"/>
  <c r="BO696" i="1"/>
  <c r="BO692" i="1"/>
  <c r="BO691" i="1"/>
  <c r="BN691" i="1"/>
  <c r="BO688" i="1"/>
  <c r="BO683" i="1"/>
  <c r="BN683" i="1"/>
  <c r="BO681" i="1"/>
  <c r="BN681" i="1"/>
  <c r="BO677" i="1"/>
  <c r="BN677" i="1"/>
  <c r="BO675" i="1"/>
  <c r="BO673" i="1"/>
  <c r="BN673" i="1"/>
  <c r="BO672" i="1"/>
  <c r="BN672" i="1"/>
  <c r="BO671" i="1"/>
  <c r="BN671" i="1"/>
  <c r="BO670" i="1"/>
  <c r="BN670" i="1"/>
  <c r="BO665" i="1"/>
  <c r="BO664" i="1"/>
  <c r="BN664" i="1"/>
  <c r="BO475" i="1"/>
  <c r="BN472" i="1"/>
  <c r="BO471" i="1"/>
  <c r="BN471" i="1"/>
  <c r="BO470" i="1"/>
  <c r="BN470" i="1"/>
  <c r="BO469" i="1"/>
  <c r="BN469" i="1"/>
  <c r="BO468" i="1"/>
  <c r="BN468" i="1"/>
  <c r="BN881" i="1"/>
  <c r="BO880" i="1"/>
  <c r="BN880" i="1"/>
  <c r="BO879" i="1"/>
  <c r="BN879" i="1"/>
  <c r="BO878" i="1"/>
  <c r="BN878" i="1"/>
  <c r="BO877" i="1"/>
  <c r="BN877" i="1"/>
  <c r="BO876" i="1"/>
  <c r="BN876" i="1"/>
  <c r="BO875" i="1"/>
  <c r="BN875" i="1"/>
  <c r="BO874" i="1"/>
  <c r="BN874" i="1"/>
  <c r="BO453" i="1"/>
  <c r="BN453" i="1"/>
  <c r="BO273" i="1"/>
  <c r="BN264" i="1"/>
  <c r="BN260" i="1"/>
  <c r="BN237" i="1"/>
  <c r="BO24" i="1"/>
  <c r="BN24" i="1"/>
  <c r="BO18" i="1"/>
  <c r="BN18" i="1"/>
  <c r="BO12" i="1"/>
  <c r="BN12" i="1"/>
  <c r="BO663" i="1"/>
  <c r="BN663" i="1"/>
  <c r="BO662" i="1"/>
  <c r="BN662" i="1"/>
  <c r="BO661" i="1"/>
  <c r="BN661" i="1"/>
  <c r="BO660" i="1"/>
  <c r="BN660" i="1"/>
  <c r="BO659" i="1"/>
  <c r="BN659" i="1"/>
  <c r="BO658" i="1"/>
  <c r="BN658" i="1"/>
  <c r="BO657" i="1"/>
  <c r="BN657" i="1"/>
  <c r="BO656" i="1"/>
  <c r="BN656" i="1"/>
  <c r="BO655" i="1"/>
  <c r="BN655" i="1"/>
  <c r="BO654" i="1"/>
  <c r="BN654" i="1"/>
  <c r="BO653" i="1"/>
  <c r="BN653" i="1"/>
  <c r="BO652" i="1"/>
  <c r="BN652" i="1"/>
  <c r="BO651" i="1"/>
  <c r="BN651" i="1"/>
  <c r="BO650" i="1"/>
  <c r="BN650" i="1"/>
  <c r="BO649" i="1"/>
  <c r="BN649" i="1"/>
  <c r="BO648" i="1"/>
  <c r="BN648" i="1"/>
  <c r="BO647" i="1"/>
  <c r="BN647" i="1"/>
  <c r="BO646" i="1"/>
  <c r="BN646" i="1"/>
  <c r="BO645" i="1"/>
  <c r="BN645" i="1"/>
  <c r="BO644" i="1"/>
  <c r="BN644" i="1"/>
  <c r="BO643" i="1"/>
  <c r="BN643" i="1"/>
  <c r="BO642" i="1"/>
  <c r="BN642" i="1"/>
  <c r="BO641" i="1"/>
  <c r="BN641" i="1"/>
  <c r="BN640" i="1"/>
  <c r="BM640" i="1"/>
  <c r="BO640" i="1" s="1"/>
  <c r="BO639" i="1"/>
  <c r="BN639" i="1"/>
  <c r="BO638" i="1"/>
  <c r="BN638" i="1"/>
  <c r="BO637" i="1"/>
  <c r="BN637" i="1"/>
  <c r="BO636" i="1"/>
  <c r="BN636" i="1"/>
  <c r="BO635" i="1"/>
  <c r="BN635" i="1"/>
  <c r="BO634" i="1"/>
  <c r="BN634" i="1"/>
  <c r="BO633" i="1"/>
  <c r="BN633" i="1"/>
  <c r="BO632" i="1"/>
  <c r="BN632" i="1"/>
  <c r="BO631" i="1"/>
  <c r="BN631" i="1"/>
  <c r="BO630" i="1"/>
  <c r="BN630" i="1"/>
  <c r="BO629" i="1"/>
  <c r="BN629" i="1"/>
  <c r="BO628" i="1"/>
  <c r="BN628" i="1"/>
  <c r="BO627" i="1"/>
  <c r="BN627" i="1"/>
  <c r="BO626" i="1"/>
  <c r="BN626" i="1"/>
  <c r="BO625" i="1"/>
  <c r="BN625" i="1"/>
  <c r="BO624" i="1"/>
  <c r="BN624" i="1"/>
  <c r="BO623" i="1"/>
  <c r="BN623" i="1"/>
  <c r="BO622" i="1"/>
  <c r="BN622" i="1"/>
  <c r="BO621" i="1"/>
  <c r="BN621" i="1"/>
  <c r="BO620" i="1"/>
  <c r="BN620" i="1"/>
  <c r="BO619" i="1"/>
  <c r="BN619" i="1"/>
  <c r="BO618" i="1"/>
  <c r="BN618" i="1"/>
  <c r="BO617" i="1"/>
  <c r="BN617" i="1"/>
  <c r="BO616" i="1"/>
  <c r="BN616" i="1"/>
  <c r="BO615" i="1"/>
  <c r="BN615" i="1"/>
  <c r="BO614" i="1"/>
  <c r="BN614" i="1"/>
  <c r="BO613" i="1"/>
  <c r="BN613" i="1"/>
  <c r="BO612" i="1"/>
  <c r="BN612" i="1"/>
  <c r="BO611" i="1"/>
  <c r="BN611" i="1"/>
  <c r="BO610" i="1"/>
  <c r="BN610" i="1"/>
  <c r="BO609" i="1"/>
  <c r="BN609" i="1"/>
  <c r="BO608" i="1"/>
  <c r="BN608" i="1"/>
  <c r="BO607" i="1"/>
  <c r="BN607" i="1"/>
  <c r="BO606" i="1"/>
  <c r="BN606" i="1"/>
  <c r="BO605" i="1"/>
  <c r="BN605" i="1"/>
  <c r="BO604" i="1"/>
  <c r="BN604" i="1"/>
  <c r="BO603" i="1"/>
  <c r="BN603" i="1"/>
  <c r="BO602" i="1"/>
  <c r="BN602" i="1"/>
  <c r="BO601" i="1"/>
  <c r="BN601" i="1"/>
  <c r="BO600" i="1"/>
  <c r="BN600" i="1"/>
  <c r="BO599" i="1"/>
  <c r="BN599" i="1"/>
  <c r="BO598" i="1"/>
  <c r="BN598" i="1"/>
  <c r="BO597" i="1"/>
  <c r="BN597" i="1"/>
  <c r="BO596" i="1"/>
  <c r="BN596" i="1"/>
  <c r="BO595" i="1"/>
  <c r="BN595" i="1"/>
  <c r="BO594" i="1"/>
  <c r="BN594" i="1"/>
  <c r="BO593" i="1"/>
  <c r="BN593" i="1"/>
  <c r="BO592" i="1"/>
  <c r="BN592" i="1"/>
  <c r="BO591" i="1"/>
  <c r="BN591" i="1"/>
  <c r="BO590" i="1"/>
  <c r="BN590" i="1"/>
  <c r="BO589" i="1"/>
  <c r="BN589" i="1"/>
  <c r="BO588" i="1"/>
  <c r="BN588" i="1"/>
  <c r="BO587" i="1"/>
  <c r="BN587" i="1"/>
  <c r="BO586" i="1"/>
  <c r="BN586" i="1"/>
  <c r="BO585" i="1"/>
  <c r="BN585" i="1"/>
  <c r="BO584" i="1"/>
  <c r="BN584" i="1"/>
  <c r="BO583" i="1"/>
  <c r="BN583" i="1"/>
  <c r="BO582" i="1"/>
  <c r="BN582" i="1"/>
  <c r="BO581" i="1"/>
  <c r="BN581" i="1"/>
  <c r="BO580" i="1"/>
  <c r="BN580" i="1"/>
  <c r="BO579" i="1"/>
  <c r="BN579" i="1"/>
  <c r="BO578" i="1"/>
  <c r="BN578" i="1"/>
  <c r="BO577" i="1"/>
  <c r="BN577" i="1"/>
  <c r="BO576" i="1"/>
  <c r="BN576" i="1"/>
  <c r="BO575" i="1"/>
  <c r="BN575" i="1"/>
  <c r="BO574" i="1"/>
  <c r="BN574" i="1"/>
  <c r="BO573" i="1"/>
  <c r="BN573" i="1"/>
  <c r="BO572" i="1"/>
  <c r="BN572" i="1"/>
  <c r="BO571" i="1"/>
  <c r="BN571" i="1"/>
  <c r="BO570" i="1"/>
  <c r="BN570" i="1"/>
  <c r="BO569" i="1"/>
  <c r="BN569" i="1"/>
  <c r="BO568" i="1"/>
  <c r="BN568" i="1"/>
  <c r="BO567" i="1"/>
  <c r="BN567" i="1"/>
  <c r="BO566" i="1"/>
  <c r="BN566" i="1"/>
  <c r="BO565" i="1"/>
  <c r="BN565" i="1"/>
  <c r="BO564" i="1"/>
  <c r="BN564" i="1"/>
  <c r="BO563" i="1"/>
  <c r="BN563" i="1"/>
  <c r="BO562" i="1"/>
  <c r="BN562" i="1"/>
  <c r="BO561" i="1"/>
  <c r="BN561" i="1"/>
  <c r="BO560" i="1"/>
  <c r="BN560" i="1"/>
  <c r="BO559" i="1"/>
  <c r="BN559" i="1"/>
  <c r="BO558" i="1"/>
  <c r="BN558" i="1"/>
  <c r="BO557" i="1"/>
  <c r="BN557" i="1"/>
  <c r="BO556" i="1"/>
  <c r="BN556" i="1"/>
  <c r="BO555" i="1"/>
  <c r="BN555" i="1"/>
  <c r="BO554" i="1"/>
  <c r="BN554" i="1"/>
  <c r="BO553" i="1"/>
  <c r="BN553" i="1"/>
  <c r="BO552" i="1"/>
  <c r="BN552" i="1"/>
  <c r="BO551" i="1"/>
  <c r="BN551" i="1"/>
  <c r="BO550" i="1"/>
  <c r="BN550" i="1"/>
  <c r="BO549" i="1"/>
  <c r="BN549" i="1"/>
  <c r="BO548" i="1"/>
  <c r="BN548" i="1"/>
  <c r="BO547" i="1"/>
  <c r="BN547" i="1"/>
  <c r="BO546" i="1"/>
  <c r="BN546" i="1"/>
  <c r="BO545" i="1"/>
  <c r="BN545" i="1"/>
  <c r="BO544" i="1"/>
  <c r="BN544" i="1"/>
  <c r="BO543" i="1"/>
  <c r="BN543" i="1"/>
  <c r="BO542" i="1"/>
  <c r="BN542" i="1"/>
  <c r="BO541" i="1"/>
  <c r="BN541" i="1"/>
  <c r="BO540" i="1"/>
  <c r="BN540" i="1"/>
  <c r="BO539" i="1"/>
  <c r="BN539" i="1"/>
  <c r="BO538" i="1"/>
  <c r="BN538" i="1"/>
  <c r="BO537" i="1"/>
  <c r="BN537" i="1"/>
  <c r="BO536" i="1"/>
  <c r="BN536" i="1"/>
  <c r="BO535" i="1"/>
  <c r="BN535" i="1"/>
  <c r="BO534" i="1"/>
  <c r="BN534" i="1"/>
  <c r="BO533" i="1"/>
  <c r="BN533" i="1"/>
  <c r="BO532" i="1"/>
  <c r="BN532" i="1"/>
  <c r="BO531" i="1"/>
  <c r="BN531" i="1"/>
  <c r="BO530" i="1"/>
  <c r="BN530" i="1"/>
  <c r="BO529" i="1"/>
  <c r="BN529" i="1"/>
  <c r="BO528" i="1"/>
  <c r="BN528" i="1"/>
  <c r="BO527" i="1"/>
  <c r="BN527" i="1"/>
  <c r="BO526" i="1"/>
  <c r="BN526" i="1"/>
  <c r="BO525" i="1"/>
  <c r="BN525" i="1"/>
  <c r="BO524" i="1"/>
  <c r="BN524" i="1"/>
  <c r="BO523" i="1"/>
  <c r="BN523" i="1"/>
  <c r="BO522" i="1"/>
  <c r="BN522" i="1"/>
  <c r="BO521" i="1"/>
  <c r="BN521" i="1"/>
  <c r="BO520" i="1"/>
  <c r="BN520" i="1"/>
  <c r="BO519" i="1"/>
  <c r="BN519" i="1"/>
  <c r="BO518" i="1"/>
  <c r="BN518" i="1"/>
  <c r="BO517" i="1"/>
  <c r="BN517" i="1"/>
  <c r="BO516" i="1"/>
  <c r="BN516" i="1"/>
  <c r="BO515" i="1"/>
  <c r="BN515" i="1"/>
  <c r="BO514" i="1"/>
  <c r="BN514" i="1"/>
  <c r="BO513" i="1"/>
  <c r="BN513" i="1"/>
  <c r="BO512" i="1"/>
  <c r="BN512" i="1"/>
  <c r="BO511" i="1"/>
  <c r="BN511" i="1"/>
  <c r="BO510" i="1"/>
  <c r="BN510" i="1"/>
  <c r="BO509" i="1"/>
  <c r="BN509" i="1"/>
  <c r="BO508" i="1"/>
  <c r="BN508" i="1"/>
  <c r="BO507" i="1"/>
  <c r="BN507" i="1"/>
  <c r="BO506" i="1"/>
  <c r="BN506" i="1"/>
  <c r="BO505" i="1"/>
  <c r="BN505" i="1"/>
  <c r="BO504" i="1"/>
  <c r="BN504" i="1"/>
  <c r="BO503" i="1"/>
  <c r="BN503" i="1"/>
  <c r="BO502" i="1"/>
  <c r="BN502" i="1"/>
  <c r="BO501" i="1"/>
  <c r="BN501" i="1"/>
  <c r="BO500" i="1"/>
  <c r="BN500" i="1"/>
  <c r="BO499" i="1"/>
  <c r="BN499" i="1"/>
  <c r="BO498" i="1"/>
  <c r="BN498" i="1"/>
  <c r="BO497" i="1"/>
  <c r="BN497" i="1"/>
  <c r="BO496" i="1"/>
  <c r="BN496" i="1"/>
  <c r="BO495" i="1"/>
  <c r="BN495" i="1"/>
  <c r="BO494" i="1"/>
  <c r="BN494" i="1"/>
  <c r="BO493" i="1"/>
  <c r="BN493" i="1"/>
  <c r="BO492" i="1"/>
  <c r="BN492" i="1"/>
  <c r="BO491" i="1"/>
  <c r="BN491" i="1"/>
  <c r="BO490" i="1"/>
  <c r="BN490" i="1"/>
  <c r="BO489" i="1"/>
  <c r="BN489" i="1"/>
  <c r="BO488" i="1"/>
  <c r="BN488" i="1"/>
  <c r="BO487" i="1"/>
  <c r="BN487" i="1"/>
  <c r="BO486" i="1"/>
  <c r="BN486" i="1"/>
  <c r="BO485" i="1"/>
  <c r="BN485" i="1"/>
  <c r="BO484" i="1"/>
  <c r="BN484" i="1"/>
  <c r="BO483" i="1"/>
  <c r="BN483" i="1"/>
  <c r="BO467" i="1"/>
  <c r="BO465" i="1"/>
  <c r="BN465" i="1"/>
  <c r="BO464" i="1"/>
  <c r="BN464" i="1"/>
  <c r="BO463" i="1"/>
  <c r="BN463" i="1"/>
  <c r="BO462" i="1"/>
  <c r="BN462" i="1"/>
  <c r="BO461" i="1"/>
  <c r="BN461" i="1"/>
  <c r="BO459" i="1"/>
  <c r="BN459" i="1"/>
  <c r="BO458" i="1"/>
  <c r="BN458" i="1"/>
  <c r="BO456" i="1"/>
  <c r="BN455" i="1"/>
  <c r="BO452" i="1"/>
  <c r="BN452" i="1"/>
  <c r="BN450" i="1"/>
  <c r="BO274" i="1"/>
  <c r="BO269" i="1"/>
  <c r="BN269" i="1"/>
  <c r="BN267" i="1"/>
  <c r="BN266" i="1"/>
  <c r="BN253" i="1"/>
  <c r="BO252" i="1"/>
  <c r="BN252" i="1"/>
  <c r="BO251" i="1"/>
  <c r="BN251" i="1"/>
  <c r="BO248" i="1"/>
  <c r="BN248" i="1"/>
  <c r="BO245" i="1"/>
  <c r="BN245" i="1"/>
  <c r="BO237" i="1"/>
  <c r="BO236" i="1"/>
  <c r="BN236" i="1"/>
  <c r="BO235" i="1"/>
  <c r="BN235" i="1"/>
  <c r="BO234" i="1"/>
  <c r="BN234" i="1"/>
  <c r="BO25" i="1"/>
  <c r="BO23" i="1"/>
  <c r="BN23" i="1"/>
  <c r="BO21" i="1"/>
  <c r="BN21" i="1"/>
  <c r="BO19" i="1"/>
  <c r="BN19" i="1"/>
  <c r="BO15" i="1"/>
  <c r="BN15" i="1"/>
  <c r="BO11" i="1"/>
  <c r="BN11" i="1"/>
  <c r="BO445" i="1"/>
  <c r="BN445" i="1"/>
  <c r="BO444" i="1"/>
  <c r="BN444" i="1"/>
  <c r="BO443" i="1"/>
  <c r="BN443" i="1"/>
  <c r="BO442" i="1"/>
  <c r="BN442" i="1"/>
  <c r="BO441" i="1"/>
  <c r="BN441" i="1"/>
  <c r="BO440" i="1"/>
  <c r="BN440" i="1"/>
  <c r="BO439" i="1"/>
  <c r="BN439" i="1"/>
  <c r="BO438" i="1"/>
  <c r="BN438" i="1"/>
  <c r="BO437" i="1"/>
  <c r="BN437" i="1"/>
  <c r="BO436" i="1"/>
  <c r="BN436" i="1"/>
  <c r="BO435" i="1"/>
  <c r="BN435" i="1"/>
  <c r="BO434" i="1"/>
  <c r="BN434" i="1"/>
  <c r="BO433" i="1"/>
  <c r="BN433" i="1"/>
  <c r="BO432" i="1"/>
  <c r="BN432" i="1"/>
  <c r="BO431" i="1"/>
  <c r="BN431" i="1"/>
  <c r="BO430" i="1"/>
  <c r="BN430" i="1"/>
  <c r="BO429" i="1"/>
  <c r="BN429" i="1"/>
  <c r="BO428" i="1"/>
  <c r="BN428" i="1"/>
  <c r="BO427" i="1"/>
  <c r="BN427" i="1"/>
  <c r="BO426" i="1"/>
  <c r="BN426" i="1"/>
  <c r="BO425" i="1"/>
  <c r="BN425" i="1"/>
  <c r="BO424" i="1"/>
  <c r="BN424" i="1"/>
  <c r="BO423" i="1"/>
  <c r="BN423" i="1"/>
  <c r="BO422" i="1"/>
  <c r="BN422" i="1"/>
  <c r="BO421" i="1"/>
  <c r="BN421" i="1"/>
  <c r="BO420" i="1"/>
  <c r="BN420" i="1"/>
  <c r="BO419" i="1"/>
  <c r="BN419" i="1"/>
  <c r="BO418" i="1"/>
  <c r="BN418" i="1"/>
  <c r="BO417" i="1"/>
  <c r="BN417" i="1"/>
  <c r="BO416" i="1"/>
  <c r="BN416" i="1"/>
  <c r="BO415" i="1"/>
  <c r="BN415" i="1"/>
  <c r="BO414" i="1"/>
  <c r="BN414" i="1"/>
  <c r="BO413" i="1"/>
  <c r="BN413" i="1"/>
  <c r="BO412" i="1"/>
  <c r="BN412" i="1"/>
  <c r="BO411" i="1"/>
  <c r="BN411" i="1"/>
  <c r="BO410" i="1"/>
  <c r="BN410" i="1"/>
  <c r="BO409" i="1"/>
  <c r="BN409" i="1"/>
  <c r="BO408" i="1"/>
  <c r="BN408" i="1"/>
  <c r="BO407" i="1"/>
  <c r="BN407" i="1"/>
  <c r="BO406" i="1"/>
  <c r="BN406" i="1"/>
  <c r="BO405" i="1"/>
  <c r="BN405" i="1"/>
  <c r="BO404" i="1"/>
  <c r="BN404" i="1"/>
  <c r="BO403" i="1"/>
  <c r="BN403" i="1"/>
  <c r="BO402" i="1"/>
  <c r="BN402" i="1"/>
  <c r="BO401" i="1"/>
  <c r="BN401" i="1"/>
  <c r="BO400" i="1"/>
  <c r="BN400" i="1"/>
  <c r="BO399" i="1"/>
  <c r="BN399" i="1"/>
  <c r="BO398" i="1"/>
  <c r="BN398" i="1"/>
  <c r="BO397" i="1"/>
  <c r="BN397" i="1"/>
  <c r="BO396" i="1"/>
  <c r="BN396" i="1"/>
  <c r="BO395" i="1"/>
  <c r="BN395" i="1"/>
  <c r="BO394" i="1"/>
  <c r="BN394" i="1"/>
  <c r="BO393" i="1"/>
  <c r="BN393" i="1"/>
  <c r="BO392" i="1"/>
  <c r="BN392" i="1"/>
  <c r="BO391" i="1"/>
  <c r="BN391" i="1"/>
  <c r="BO390" i="1"/>
  <c r="BN390" i="1"/>
  <c r="BO389" i="1"/>
  <c r="BN389" i="1"/>
  <c r="BO388" i="1"/>
  <c r="BN388" i="1"/>
  <c r="BO387" i="1"/>
  <c r="BN387" i="1"/>
  <c r="BO386" i="1"/>
  <c r="BN386" i="1"/>
  <c r="BO385" i="1"/>
  <c r="BN385" i="1"/>
  <c r="BO384" i="1"/>
  <c r="BN384" i="1"/>
  <c r="BO383" i="1"/>
  <c r="BN383" i="1"/>
  <c r="BO382" i="1"/>
  <c r="BN382" i="1"/>
  <c r="BO381" i="1"/>
  <c r="BN381" i="1"/>
  <c r="BO380" i="1"/>
  <c r="BN380" i="1"/>
  <c r="BO379" i="1"/>
  <c r="BN379" i="1"/>
  <c r="BO378" i="1"/>
  <c r="BN378" i="1"/>
  <c r="BO377" i="1"/>
  <c r="BN377" i="1"/>
  <c r="BO376" i="1"/>
  <c r="BN376" i="1"/>
  <c r="BO375" i="1"/>
  <c r="BN375" i="1"/>
  <c r="BO374" i="1"/>
  <c r="BN374" i="1"/>
  <c r="BO373" i="1"/>
  <c r="BN373" i="1"/>
  <c r="BO372" i="1"/>
  <c r="BN372" i="1"/>
  <c r="BO371" i="1"/>
  <c r="BN371" i="1"/>
  <c r="BO370" i="1"/>
  <c r="BN370" i="1"/>
  <c r="BO369" i="1"/>
  <c r="BN369" i="1"/>
  <c r="BO368" i="1"/>
  <c r="BN368" i="1"/>
  <c r="BO367" i="1"/>
  <c r="BN367" i="1"/>
  <c r="BO366" i="1"/>
  <c r="BN366" i="1"/>
  <c r="BO365" i="1"/>
  <c r="BN365" i="1"/>
  <c r="BO364" i="1"/>
  <c r="BN364" i="1"/>
  <c r="BO363" i="1"/>
  <c r="BN363" i="1"/>
  <c r="BO362" i="1"/>
  <c r="BN362" i="1"/>
  <c r="BO361" i="1"/>
  <c r="BN361" i="1"/>
  <c r="BO360" i="1"/>
  <c r="BN360" i="1"/>
  <c r="BO359" i="1"/>
  <c r="BN359" i="1"/>
  <c r="BO358" i="1"/>
  <c r="BN358" i="1"/>
  <c r="BO357" i="1"/>
  <c r="BN357" i="1"/>
  <c r="BO356" i="1"/>
  <c r="BN356" i="1"/>
  <c r="BO355" i="1"/>
  <c r="BN355" i="1"/>
  <c r="BO354" i="1"/>
  <c r="BN354" i="1"/>
  <c r="BO353" i="1"/>
  <c r="BN353" i="1"/>
  <c r="BO352" i="1"/>
  <c r="BN352" i="1"/>
  <c r="BO351" i="1"/>
  <c r="BN351" i="1"/>
  <c r="BO350" i="1"/>
  <c r="BN350" i="1"/>
  <c r="BO349" i="1"/>
  <c r="BN349" i="1"/>
  <c r="BO348" i="1"/>
  <c r="BN348" i="1"/>
  <c r="BO347" i="1"/>
  <c r="BN347" i="1"/>
  <c r="BO346" i="1"/>
  <c r="BN346" i="1"/>
  <c r="BO345" i="1"/>
  <c r="BN345" i="1"/>
  <c r="BO344" i="1"/>
  <c r="BN344" i="1"/>
  <c r="BO343" i="1"/>
  <c r="BN343" i="1"/>
  <c r="BO342" i="1"/>
  <c r="BN342" i="1"/>
  <c r="BO341" i="1"/>
  <c r="BN341" i="1"/>
  <c r="BO340" i="1"/>
  <c r="BN340" i="1"/>
  <c r="BO339" i="1"/>
  <c r="BN339" i="1"/>
  <c r="BO338" i="1"/>
  <c r="BN338" i="1"/>
  <c r="BO337" i="1"/>
  <c r="BN337" i="1"/>
  <c r="BO336" i="1"/>
  <c r="BN336" i="1"/>
  <c r="BO335" i="1"/>
  <c r="BN335" i="1"/>
  <c r="BO334" i="1"/>
  <c r="BN334" i="1"/>
  <c r="BO333" i="1"/>
  <c r="BN333" i="1"/>
  <c r="BO332" i="1"/>
  <c r="BN332" i="1"/>
  <c r="BO331" i="1"/>
  <c r="BN331" i="1"/>
  <c r="BO330" i="1"/>
  <c r="BN330" i="1"/>
  <c r="BO329" i="1"/>
  <c r="BN329" i="1"/>
  <c r="BO328" i="1"/>
  <c r="BN328" i="1"/>
  <c r="BO327" i="1"/>
  <c r="BN327" i="1"/>
  <c r="BO326" i="1"/>
  <c r="BN326" i="1"/>
  <c r="BO325" i="1"/>
  <c r="BN325" i="1"/>
  <c r="BO324" i="1"/>
  <c r="BN324" i="1"/>
  <c r="BO323" i="1"/>
  <c r="BN323" i="1"/>
  <c r="BO322" i="1"/>
  <c r="BN322" i="1"/>
  <c r="BO321" i="1"/>
  <c r="BN321" i="1"/>
  <c r="BO320" i="1"/>
  <c r="BN320" i="1"/>
  <c r="BO319" i="1"/>
  <c r="BN319" i="1"/>
  <c r="BO318" i="1"/>
  <c r="BN318" i="1"/>
  <c r="BO317" i="1"/>
  <c r="BN317" i="1"/>
  <c r="BO316" i="1"/>
  <c r="BN316" i="1"/>
  <c r="BO315" i="1"/>
  <c r="BN315" i="1"/>
  <c r="BO314" i="1"/>
  <c r="BN314" i="1"/>
  <c r="BO313" i="1"/>
  <c r="BN313" i="1"/>
  <c r="BO312" i="1"/>
  <c r="BN312" i="1"/>
  <c r="BO311" i="1"/>
  <c r="BN311" i="1"/>
  <c r="BO310" i="1"/>
  <c r="BN310" i="1"/>
  <c r="BO309" i="1"/>
  <c r="BN309" i="1"/>
  <c r="BO308" i="1"/>
  <c r="BN308" i="1"/>
  <c r="BO307" i="1"/>
  <c r="BN307" i="1"/>
  <c r="BO306" i="1"/>
  <c r="BN306" i="1"/>
  <c r="BO305" i="1"/>
  <c r="BN305" i="1"/>
  <c r="BO304" i="1"/>
  <c r="BN304" i="1"/>
  <c r="BO303" i="1"/>
  <c r="BN303" i="1"/>
  <c r="BO302" i="1"/>
  <c r="BN302" i="1"/>
  <c r="BO301" i="1"/>
  <c r="BN301" i="1"/>
  <c r="BO300" i="1"/>
  <c r="BN300" i="1"/>
  <c r="BO299" i="1"/>
  <c r="BN299" i="1"/>
  <c r="BO298" i="1"/>
  <c r="BN298" i="1"/>
  <c r="BO297" i="1"/>
  <c r="BN297" i="1"/>
  <c r="BO296" i="1"/>
  <c r="BN296" i="1"/>
  <c r="BO295" i="1"/>
  <c r="BN295" i="1"/>
  <c r="BO294" i="1"/>
  <c r="BN294" i="1"/>
  <c r="BO293" i="1"/>
  <c r="BN293" i="1"/>
  <c r="BO292" i="1"/>
  <c r="BN292" i="1"/>
  <c r="BO291" i="1"/>
  <c r="BN291" i="1"/>
  <c r="BO290" i="1"/>
  <c r="BN290" i="1"/>
  <c r="BO289" i="1"/>
  <c r="BN289" i="1"/>
  <c r="BO288" i="1"/>
  <c r="BN288" i="1"/>
  <c r="BO287" i="1"/>
  <c r="BN287" i="1"/>
  <c r="BO286" i="1"/>
  <c r="BN286" i="1"/>
  <c r="BO285" i="1"/>
  <c r="BN285" i="1"/>
  <c r="BO284" i="1"/>
  <c r="BN284" i="1"/>
  <c r="BO283" i="1"/>
  <c r="BN283" i="1"/>
  <c r="BO282" i="1"/>
  <c r="BN282" i="1"/>
  <c r="BO281" i="1"/>
  <c r="BN281" i="1"/>
  <c r="BO280" i="1"/>
  <c r="BN280" i="1"/>
  <c r="BO279" i="1"/>
  <c r="BN279" i="1"/>
  <c r="BO278" i="1"/>
  <c r="BN278" i="1"/>
  <c r="BO277" i="1"/>
  <c r="BN277" i="1"/>
  <c r="BO276" i="1"/>
  <c r="BN276" i="1"/>
  <c r="BO275" i="1"/>
  <c r="BO227" i="1"/>
  <c r="BN227" i="1"/>
  <c r="BO226" i="1"/>
  <c r="BN226" i="1"/>
  <c r="BO225" i="1"/>
  <c r="BN225" i="1"/>
  <c r="BO224" i="1"/>
  <c r="BN224" i="1"/>
  <c r="BO223" i="1"/>
  <c r="BN223" i="1"/>
  <c r="BO222" i="1"/>
  <c r="BN222" i="1"/>
  <c r="BO221" i="1"/>
  <c r="BN221" i="1"/>
  <c r="BO220" i="1"/>
  <c r="BN220" i="1"/>
  <c r="BO219" i="1"/>
  <c r="BN219" i="1"/>
  <c r="BO218" i="1"/>
  <c r="BN218" i="1"/>
  <c r="BO217" i="1"/>
  <c r="BN217" i="1"/>
  <c r="BO216" i="1"/>
  <c r="BN216" i="1"/>
  <c r="BO215" i="1"/>
  <c r="BN215" i="1"/>
  <c r="BO214" i="1"/>
  <c r="BN214" i="1"/>
  <c r="BO213" i="1"/>
  <c r="BN213" i="1"/>
  <c r="BO212" i="1"/>
  <c r="BN212" i="1"/>
  <c r="BO211" i="1"/>
  <c r="BN211" i="1"/>
  <c r="BO210" i="1"/>
  <c r="BN210" i="1"/>
  <c r="BO209" i="1"/>
  <c r="BN209" i="1"/>
  <c r="BO208" i="1"/>
  <c r="BN208" i="1"/>
  <c r="BO207" i="1"/>
  <c r="BN207" i="1"/>
  <c r="BO206" i="1"/>
  <c r="BN206" i="1"/>
  <c r="BO205" i="1"/>
  <c r="BN205" i="1"/>
  <c r="BO204" i="1"/>
  <c r="BN204" i="1"/>
  <c r="BO203" i="1"/>
  <c r="BN203" i="1"/>
  <c r="BO202" i="1"/>
  <c r="BN202" i="1"/>
  <c r="BO201" i="1"/>
  <c r="BN201" i="1"/>
  <c r="BO200" i="1"/>
  <c r="BN200" i="1"/>
  <c r="BO199" i="1"/>
  <c r="BN199" i="1"/>
  <c r="BO198" i="1"/>
  <c r="BN198" i="1"/>
  <c r="BO197" i="1"/>
  <c r="BN197" i="1"/>
  <c r="BO196" i="1"/>
  <c r="BN196" i="1"/>
  <c r="BO195" i="1"/>
  <c r="BN195" i="1"/>
  <c r="BO194" i="1"/>
  <c r="BN194" i="1"/>
  <c r="BO193" i="1"/>
  <c r="BN193" i="1"/>
  <c r="BO192" i="1"/>
  <c r="BN192" i="1"/>
  <c r="BO191" i="1"/>
  <c r="BN191" i="1"/>
  <c r="BO190" i="1"/>
  <c r="BN190" i="1"/>
  <c r="BO189" i="1"/>
  <c r="BN189" i="1"/>
  <c r="BO188" i="1"/>
  <c r="BN188" i="1"/>
  <c r="BO187" i="1"/>
  <c r="BN187" i="1"/>
  <c r="BO186" i="1"/>
  <c r="BN186" i="1"/>
  <c r="BO185" i="1"/>
  <c r="BN185" i="1"/>
  <c r="BO184" i="1"/>
  <c r="BN184" i="1"/>
  <c r="BO183" i="1"/>
  <c r="BN183" i="1"/>
  <c r="BO182" i="1"/>
  <c r="BN182" i="1"/>
  <c r="BO181" i="1"/>
  <c r="BN181" i="1"/>
  <c r="BO180" i="1"/>
  <c r="BN180" i="1"/>
  <c r="BO179" i="1"/>
  <c r="BN179" i="1"/>
  <c r="BO178" i="1"/>
  <c r="BN178" i="1"/>
  <c r="BO177" i="1"/>
  <c r="BN177" i="1"/>
  <c r="BO176" i="1"/>
  <c r="BN176" i="1"/>
  <c r="BO175" i="1"/>
  <c r="BN175" i="1"/>
  <c r="BO174" i="1"/>
  <c r="BN174" i="1"/>
  <c r="BO173" i="1"/>
  <c r="BN173" i="1"/>
  <c r="BO172" i="1"/>
  <c r="BN172" i="1"/>
  <c r="BO171" i="1"/>
  <c r="BN171" i="1"/>
  <c r="BO170" i="1"/>
  <c r="BN170" i="1"/>
  <c r="BO169" i="1"/>
  <c r="BN169" i="1"/>
  <c r="BO168" i="1"/>
  <c r="BN168" i="1"/>
  <c r="BO167" i="1"/>
  <c r="BN167" i="1"/>
  <c r="BO166" i="1"/>
  <c r="BN166" i="1"/>
  <c r="BO165" i="1"/>
  <c r="BN165" i="1"/>
  <c r="BO164" i="1"/>
  <c r="BN164" i="1"/>
  <c r="BO163" i="1"/>
  <c r="BN163" i="1"/>
  <c r="BO162" i="1"/>
  <c r="BN162" i="1"/>
  <c r="BO161" i="1"/>
  <c r="BN161" i="1"/>
  <c r="BO160" i="1"/>
  <c r="BN160" i="1"/>
  <c r="BO159" i="1"/>
  <c r="BN159" i="1"/>
  <c r="BO158" i="1"/>
  <c r="BN158" i="1"/>
  <c r="BO157" i="1"/>
  <c r="BN157" i="1"/>
  <c r="BO156" i="1"/>
  <c r="BN156" i="1"/>
  <c r="BO155" i="1"/>
  <c r="BN155" i="1"/>
  <c r="BO154" i="1"/>
  <c r="BN154" i="1"/>
  <c r="BO153" i="1"/>
  <c r="BN153" i="1"/>
  <c r="BO152" i="1"/>
  <c r="BN152" i="1"/>
  <c r="BO151" i="1"/>
  <c r="BN151" i="1"/>
  <c r="BO150" i="1"/>
  <c r="BN150" i="1"/>
  <c r="BO149" i="1"/>
  <c r="BN149" i="1"/>
  <c r="BO148" i="1"/>
  <c r="BN148" i="1"/>
  <c r="BO147" i="1"/>
  <c r="BN147" i="1"/>
  <c r="BO146" i="1"/>
  <c r="BN146" i="1"/>
  <c r="BO145" i="1"/>
  <c r="BN145" i="1"/>
  <c r="BO144" i="1"/>
  <c r="BN144" i="1"/>
  <c r="BO143" i="1"/>
  <c r="BN143" i="1"/>
  <c r="BO142" i="1"/>
  <c r="BN142" i="1"/>
  <c r="BO141" i="1"/>
  <c r="BN141" i="1"/>
  <c r="BO140" i="1"/>
  <c r="BN140" i="1"/>
  <c r="BO139" i="1"/>
  <c r="BN139" i="1"/>
  <c r="BO138" i="1"/>
  <c r="BN138" i="1"/>
  <c r="BO137" i="1"/>
  <c r="BN137" i="1"/>
  <c r="BO136" i="1"/>
  <c r="BN136" i="1"/>
  <c r="BO135" i="1"/>
  <c r="BN135" i="1"/>
  <c r="BO134" i="1"/>
  <c r="BN134" i="1"/>
  <c r="BO133" i="1"/>
  <c r="BN133" i="1"/>
  <c r="BO132" i="1"/>
  <c r="BN132" i="1"/>
  <c r="BO131" i="1"/>
  <c r="BN131" i="1"/>
  <c r="BO130" i="1"/>
  <c r="BN130" i="1"/>
  <c r="BO129" i="1"/>
  <c r="BN129" i="1"/>
  <c r="BO128" i="1"/>
  <c r="BN128" i="1"/>
  <c r="BO127" i="1"/>
  <c r="BN127" i="1"/>
  <c r="BO126" i="1"/>
  <c r="BN126" i="1"/>
  <c r="BO125" i="1"/>
  <c r="BN125" i="1"/>
  <c r="BO124" i="1"/>
  <c r="BN124" i="1"/>
  <c r="BO123" i="1"/>
  <c r="BN123" i="1"/>
  <c r="BO122" i="1"/>
  <c r="BN122" i="1"/>
  <c r="BO121" i="1"/>
  <c r="BN121" i="1"/>
  <c r="BO120" i="1"/>
  <c r="BN120" i="1"/>
  <c r="BO119" i="1"/>
  <c r="BN119" i="1"/>
  <c r="BO118" i="1"/>
  <c r="BN118" i="1"/>
  <c r="BO117" i="1"/>
  <c r="BN117" i="1"/>
  <c r="BO116" i="1"/>
  <c r="BN116" i="1"/>
  <c r="BO115" i="1"/>
  <c r="BN115" i="1"/>
  <c r="BO114" i="1"/>
  <c r="BN114" i="1"/>
  <c r="BO113" i="1"/>
  <c r="BN113" i="1"/>
  <c r="BO112" i="1"/>
  <c r="BN112" i="1"/>
  <c r="BO111" i="1"/>
  <c r="BN111" i="1"/>
  <c r="BO110" i="1"/>
  <c r="BN110" i="1"/>
  <c r="BO109" i="1"/>
  <c r="BN109" i="1"/>
  <c r="BO108" i="1"/>
  <c r="BN108" i="1"/>
  <c r="BO107" i="1"/>
  <c r="BN107" i="1"/>
  <c r="BO106" i="1"/>
  <c r="BN106" i="1"/>
  <c r="BO105" i="1"/>
  <c r="BN105" i="1"/>
  <c r="BO104" i="1"/>
  <c r="BN104" i="1"/>
  <c r="BO103" i="1"/>
  <c r="BN103" i="1"/>
  <c r="BO102" i="1"/>
  <c r="BN102" i="1"/>
  <c r="BO101" i="1"/>
  <c r="BN101" i="1"/>
  <c r="BO100" i="1"/>
  <c r="BN100" i="1"/>
  <c r="BO99" i="1"/>
  <c r="BN99" i="1"/>
  <c r="BO98" i="1"/>
  <c r="BN98" i="1"/>
  <c r="BO97" i="1"/>
  <c r="BN97" i="1"/>
  <c r="BO96" i="1"/>
  <c r="BN96" i="1"/>
  <c r="BO95" i="1"/>
  <c r="BN95" i="1"/>
  <c r="BO94" i="1"/>
  <c r="BN94" i="1"/>
  <c r="BO93" i="1"/>
  <c r="BN93" i="1"/>
  <c r="BO92" i="1"/>
  <c r="BN92" i="1"/>
  <c r="BO91" i="1"/>
  <c r="BN91" i="1"/>
  <c r="BO90" i="1"/>
  <c r="BN90" i="1"/>
  <c r="BO89" i="1"/>
  <c r="BN89" i="1"/>
  <c r="BO88" i="1"/>
  <c r="BN88" i="1"/>
  <c r="BO87" i="1"/>
  <c r="BN87" i="1"/>
  <c r="BO86" i="1"/>
  <c r="BN86" i="1"/>
  <c r="BO85" i="1"/>
  <c r="BN85" i="1"/>
  <c r="BO84" i="1"/>
  <c r="BN84" i="1"/>
  <c r="BO83" i="1"/>
  <c r="BN83" i="1"/>
  <c r="BO82" i="1"/>
  <c r="BN82" i="1"/>
  <c r="BO81" i="1"/>
  <c r="BN81" i="1"/>
  <c r="BO80" i="1"/>
  <c r="BN80" i="1"/>
  <c r="BO79" i="1"/>
  <c r="BN79" i="1"/>
  <c r="BO78" i="1"/>
  <c r="BN78" i="1"/>
  <c r="BO77" i="1"/>
  <c r="BN77" i="1"/>
  <c r="BO76" i="1"/>
  <c r="BN76" i="1"/>
  <c r="BO75" i="1"/>
  <c r="BN75" i="1"/>
  <c r="BO74" i="1"/>
  <c r="BN74" i="1"/>
  <c r="BO73" i="1"/>
  <c r="BN73" i="1"/>
  <c r="BO72" i="1"/>
  <c r="BN72" i="1"/>
  <c r="BO71" i="1"/>
  <c r="BN71" i="1"/>
  <c r="BO70" i="1"/>
  <c r="BN70" i="1"/>
  <c r="BO69" i="1"/>
  <c r="BN69" i="1"/>
  <c r="BO68" i="1"/>
  <c r="BN68" i="1"/>
  <c r="BO67" i="1"/>
  <c r="BN67" i="1"/>
  <c r="BO66" i="1"/>
  <c r="BN66" i="1"/>
  <c r="BO65" i="1"/>
  <c r="BN65" i="1"/>
  <c r="BO64" i="1"/>
  <c r="BN64" i="1"/>
  <c r="BO63" i="1"/>
  <c r="BN63" i="1"/>
  <c r="BO62" i="1"/>
  <c r="BN62" i="1"/>
  <c r="BO61" i="1"/>
  <c r="BN61" i="1"/>
  <c r="BO60" i="1"/>
  <c r="BN60" i="1"/>
  <c r="BO59" i="1"/>
  <c r="BN59" i="1"/>
  <c r="BO58" i="1"/>
  <c r="BN58" i="1"/>
  <c r="BO57" i="1"/>
  <c r="BN57" i="1"/>
  <c r="BO56" i="1"/>
  <c r="BN56" i="1"/>
  <c r="BO55" i="1"/>
  <c r="BN55" i="1"/>
  <c r="BO54" i="1"/>
  <c r="BN54" i="1"/>
  <c r="BO53" i="1"/>
  <c r="BN53" i="1"/>
  <c r="BO52" i="1"/>
  <c r="BN52" i="1"/>
  <c r="BO51" i="1"/>
  <c r="BN51" i="1"/>
  <c r="BO50" i="1"/>
  <c r="BN50" i="1"/>
  <c r="BO49" i="1"/>
  <c r="BN49" i="1"/>
  <c r="BO48" i="1"/>
  <c r="BN48" i="1"/>
  <c r="BO47" i="1"/>
  <c r="BN47" i="1"/>
  <c r="BO46" i="1"/>
  <c r="BN46" i="1"/>
  <c r="BO45" i="1"/>
  <c r="BN45" i="1"/>
  <c r="BO44" i="1"/>
  <c r="BN44" i="1"/>
  <c r="BO43" i="1"/>
  <c r="BN43" i="1"/>
  <c r="BO42" i="1"/>
  <c r="BN42" i="1"/>
  <c r="BO41" i="1"/>
  <c r="BN41" i="1"/>
  <c r="BO40" i="1"/>
  <c r="BN40" i="1"/>
  <c r="BO39" i="1"/>
  <c r="BN39" i="1"/>
  <c r="BO38" i="1"/>
  <c r="BN38" i="1"/>
  <c r="BO37" i="1"/>
  <c r="BN37" i="1"/>
  <c r="BO36" i="1"/>
  <c r="BN36" i="1"/>
  <c r="BO35" i="1"/>
  <c r="BN35" i="1"/>
  <c r="BO34" i="1"/>
  <c r="BN34" i="1"/>
  <c r="BO33" i="1"/>
  <c r="BN33" i="1"/>
  <c r="BO32" i="1"/>
  <c r="BN32" i="1"/>
  <c r="BO31" i="1"/>
  <c r="BN31" i="1"/>
  <c r="BO30" i="1"/>
  <c r="BN30" i="1"/>
  <c r="BO29" i="1"/>
  <c r="BN29" i="1"/>
  <c r="BO28" i="1"/>
  <c r="BN28" i="1"/>
  <c r="BO27" i="1"/>
  <c r="BN27" i="1"/>
  <c r="BO26" i="1"/>
  <c r="BN26" i="1"/>
  <c r="BO10" i="1"/>
  <c r="BN10" i="1"/>
  <c r="BO9" i="1"/>
  <c r="BN9" i="1"/>
  <c r="BO8" i="1"/>
  <c r="BN8" i="1"/>
  <c r="BO7" i="1"/>
  <c r="BN7" i="1"/>
  <c r="BO6" i="1"/>
  <c r="BN6" i="1"/>
  <c r="BO5" i="1"/>
  <c r="BN5" i="1"/>
  <c r="BO916" i="1"/>
  <c r="BO912" i="1"/>
  <c r="BN912" i="1"/>
  <c r="BO907" i="1"/>
  <c r="BN907" i="1"/>
  <c r="BO889" i="1"/>
  <c r="BN889" i="1"/>
  <c r="BN884" i="1"/>
  <c r="BO873" i="1"/>
  <c r="BN873" i="1"/>
  <c r="BO870" i="1"/>
  <c r="BN870" i="1"/>
  <c r="BO868" i="1"/>
  <c r="BN868" i="1"/>
  <c r="BO865" i="1"/>
  <c r="BN865" i="1"/>
  <c r="BO864" i="1"/>
  <c r="BN864" i="1"/>
  <c r="BO854" i="1"/>
  <c r="BN854" i="1"/>
  <c r="BO851" i="1"/>
  <c r="BN851" i="1"/>
  <c r="BO850" i="1"/>
  <c r="BN850" i="1"/>
  <c r="BO842" i="1"/>
  <c r="BN842" i="1"/>
  <c r="BO837" i="1"/>
  <c r="BN837" i="1"/>
  <c r="BO833" i="1"/>
  <c r="BN833" i="1"/>
  <c r="BO830" i="1"/>
  <c r="BN830" i="1"/>
  <c r="BN828" i="1"/>
  <c r="BO824" i="1"/>
  <c r="BN824" i="1"/>
  <c r="BO822" i="1"/>
  <c r="BN822" i="1"/>
  <c r="BO821" i="1"/>
  <c r="BN821" i="1"/>
  <c r="BO819" i="1"/>
  <c r="BO817" i="1"/>
  <c r="BO815" i="1"/>
  <c r="BO811" i="1"/>
  <c r="BN811" i="1"/>
  <c r="BO807" i="1"/>
  <c r="BN807" i="1"/>
  <c r="BO806" i="1"/>
  <c r="BN806" i="1"/>
  <c r="BO800" i="1"/>
  <c r="BN800" i="1"/>
  <c r="BN794" i="1"/>
  <c r="BN789" i="1"/>
  <c r="BO788" i="1"/>
  <c r="BN788" i="1"/>
  <c r="BO784" i="1"/>
  <c r="BN784" i="1"/>
  <c r="BN782" i="1"/>
  <c r="BO781" i="1"/>
  <c r="BN781" i="1"/>
  <c r="BN778" i="1"/>
  <c r="BO773" i="1"/>
  <c r="BN773" i="1"/>
  <c r="BO771" i="1"/>
  <c r="BN771" i="1"/>
  <c r="BO767" i="1"/>
  <c r="BN767" i="1"/>
  <c r="BN761" i="1"/>
  <c r="BO759" i="1"/>
  <c r="BN759" i="1"/>
  <c r="BO757" i="1"/>
  <c r="BN757" i="1"/>
  <c r="BO755" i="1"/>
  <c r="BN755" i="1"/>
  <c r="BO752" i="1"/>
  <c r="BN752" i="1"/>
  <c r="BO736" i="1"/>
  <c r="BN736" i="1"/>
  <c r="BN733" i="1"/>
  <c r="BO716" i="1"/>
  <c r="BN716" i="1"/>
  <c r="BO714" i="1"/>
  <c r="BN714" i="1"/>
  <c r="BO713" i="1"/>
  <c r="BN713" i="1"/>
  <c r="BO709" i="1"/>
  <c r="BN709" i="1"/>
  <c r="BO704" i="1"/>
  <c r="BN704" i="1"/>
  <c r="BN702" i="1"/>
  <c r="BO700" i="1"/>
  <c r="BO699" i="1"/>
  <c r="BN699" i="1"/>
  <c r="BN696" i="1"/>
  <c r="BO689" i="1"/>
  <c r="BN689" i="1"/>
  <c r="BN688" i="1"/>
  <c r="BO686" i="1"/>
  <c r="BN686" i="1"/>
  <c r="BO684" i="1"/>
  <c r="BN684" i="1"/>
  <c r="BO679" i="1"/>
  <c r="BN679" i="1"/>
  <c r="BN675" i="1"/>
  <c r="BO667" i="1"/>
  <c r="BO481" i="1"/>
  <c r="BN481" i="1"/>
  <c r="BO480" i="1"/>
  <c r="BN480" i="1"/>
  <c r="BO479" i="1"/>
  <c r="BN479" i="1"/>
  <c r="BO476" i="1"/>
  <c r="BN476" i="1"/>
  <c r="BN467" i="1"/>
  <c r="BO466" i="1"/>
  <c r="BN466" i="1"/>
  <c r="BN456" i="1"/>
  <c r="BO455" i="1"/>
  <c r="BO451" i="1"/>
  <c r="BN451" i="1"/>
  <c r="BN273" i="1"/>
  <c r="BO272" i="1"/>
  <c r="BN272" i="1"/>
  <c r="BO270" i="1"/>
  <c r="BN270" i="1"/>
  <c r="BO267" i="1"/>
  <c r="BO266" i="1"/>
  <c r="BO263" i="1"/>
  <c r="BN263" i="1"/>
  <c r="BO254" i="1"/>
  <c r="BN254" i="1"/>
  <c r="BO253" i="1"/>
  <c r="BO247" i="1"/>
  <c r="BN247" i="1"/>
  <c r="BO244" i="1"/>
  <c r="BN244" i="1"/>
  <c r="BO243" i="1"/>
  <c r="BN243" i="1"/>
  <c r="BO241" i="1"/>
  <c r="BO238" i="1"/>
  <c r="BN238" i="1"/>
  <c r="BN916" i="1"/>
  <c r="BO914" i="1"/>
  <c r="BN914" i="1"/>
  <c r="BO909" i="1"/>
  <c r="BN909" i="1"/>
  <c r="BO905" i="1"/>
  <c r="BN905" i="1"/>
  <c r="BO904" i="1"/>
  <c r="BN904" i="1"/>
  <c r="BO903" i="1"/>
  <c r="BO900" i="1"/>
  <c r="BN900" i="1"/>
  <c r="BO898" i="1"/>
  <c r="BN898" i="1"/>
  <c r="BO892" i="1"/>
  <c r="BN892" i="1"/>
  <c r="BN887" i="1"/>
  <c r="BN883" i="1"/>
  <c r="BN882" i="1"/>
  <c r="BN872" i="1"/>
  <c r="BO871" i="1"/>
  <c r="BN871" i="1"/>
  <c r="BO869" i="1"/>
  <c r="BN869" i="1"/>
  <c r="BN866" i="1"/>
  <c r="BO860" i="1"/>
  <c r="BO853" i="1"/>
  <c r="BN853" i="1"/>
  <c r="BO845" i="1"/>
  <c r="BN845" i="1"/>
  <c r="BO838" i="1"/>
  <c r="BN838" i="1"/>
  <c r="BO829" i="1"/>
  <c r="BN829" i="1"/>
  <c r="BO828" i="1"/>
  <c r="BN823" i="1"/>
  <c r="BO820" i="1"/>
  <c r="BN820" i="1"/>
  <c r="BN819" i="1"/>
  <c r="BN817" i="1"/>
  <c r="BN815" i="1"/>
  <c r="BO813" i="1"/>
  <c r="BN813" i="1"/>
  <c r="BO809" i="1"/>
  <c r="BN809" i="1"/>
  <c r="BO804" i="1"/>
  <c r="BN804" i="1"/>
  <c r="BO802" i="1"/>
  <c r="BN802" i="1"/>
  <c r="BO798" i="1"/>
  <c r="BN798" i="1"/>
  <c r="BO792" i="1"/>
  <c r="BN792" i="1"/>
  <c r="BO787" i="1"/>
  <c r="BN787" i="1"/>
  <c r="BO785" i="1"/>
  <c r="BN780" i="1"/>
  <c r="BO779" i="1"/>
  <c r="BN779" i="1"/>
  <c r="BO775" i="1"/>
  <c r="BN775" i="1"/>
  <c r="BO769" i="1"/>
  <c r="BN769" i="1"/>
  <c r="BO766" i="1"/>
  <c r="BN766" i="1"/>
  <c r="BO761" i="1"/>
  <c r="BO753" i="1"/>
  <c r="BN753" i="1"/>
  <c r="BO750" i="1"/>
  <c r="BN750" i="1"/>
  <c r="BO748" i="1"/>
  <c r="BN748" i="1"/>
  <c r="BO743" i="1"/>
  <c r="BN743" i="1"/>
  <c r="BO741" i="1"/>
  <c r="BN741" i="1"/>
  <c r="BO739" i="1"/>
  <c r="BN739" i="1"/>
  <c r="BO726" i="1"/>
  <c r="BN726" i="1"/>
  <c r="BO719" i="1"/>
  <c r="BN719" i="1"/>
  <c r="BO717" i="1"/>
  <c r="BN717" i="1"/>
  <c r="BO712" i="1"/>
  <c r="BN712" i="1"/>
  <c r="BN710" i="1"/>
  <c r="BO708" i="1"/>
  <c r="BN708" i="1"/>
  <c r="BO707" i="1"/>
  <c r="BO705" i="1"/>
  <c r="BN705" i="1"/>
  <c r="BO703" i="1"/>
  <c r="BN703" i="1"/>
  <c r="BN700" i="1"/>
  <c r="BO697" i="1"/>
  <c r="BN697" i="1"/>
  <c r="BO694" i="1"/>
  <c r="BN694" i="1"/>
  <c r="BO693" i="1"/>
  <c r="BN693" i="1"/>
  <c r="BO685" i="1"/>
  <c r="BO680" i="1"/>
  <c r="BN680" i="1"/>
  <c r="BO674" i="1"/>
  <c r="BN674" i="1"/>
  <c r="BO669" i="1"/>
  <c r="BN669" i="1"/>
  <c r="BO668" i="1"/>
  <c r="BN668" i="1"/>
  <c r="BN667" i="1"/>
  <c r="BO666" i="1"/>
  <c r="BN666" i="1"/>
  <c r="BN475" i="1"/>
  <c r="BN454" i="1"/>
  <c r="BO450" i="1"/>
  <c r="BO449" i="1"/>
  <c r="BN449" i="1"/>
  <c r="BO448" i="1"/>
  <c r="BN448" i="1"/>
  <c r="BO447" i="1"/>
  <c r="BN447" i="1"/>
  <c r="BN274" i="1"/>
  <c r="BO271" i="1"/>
  <c r="BN271" i="1"/>
  <c r="BO268" i="1"/>
  <c r="BN268" i="1"/>
  <c r="BN265" i="1"/>
  <c r="BO262" i="1"/>
  <c r="BN262" i="1"/>
  <c r="BO260" i="1"/>
  <c r="BO259" i="1"/>
  <c r="BN259" i="1"/>
  <c r="BO258" i="1"/>
  <c r="BN258" i="1"/>
  <c r="BO257" i="1"/>
  <c r="BN257" i="1"/>
  <c r="BO256" i="1"/>
  <c r="BN256" i="1"/>
  <c r="BO255" i="1"/>
  <c r="BN255" i="1"/>
  <c r="BO249" i="1"/>
  <c r="BN249" i="1"/>
  <c r="BO242" i="1"/>
  <c r="BN242" i="1"/>
  <c r="BN241" i="1"/>
  <c r="BO240" i="1"/>
  <c r="BN240" i="1"/>
  <c r="BO239" i="1"/>
  <c r="BN239" i="1"/>
  <c r="BN230" i="1"/>
  <c r="BO229" i="1"/>
  <c r="BN229" i="1"/>
  <c r="BN25" i="1"/>
  <c r="BO17" i="1"/>
  <c r="BN17" i="1"/>
  <c r="BO13" i="1"/>
  <c r="BN13" i="1"/>
  <c r="BO917" i="1"/>
  <c r="BN917" i="1"/>
  <c r="BO915" i="1"/>
  <c r="BN915" i="1"/>
  <c r="BO913" i="1"/>
  <c r="BN913" i="1"/>
  <c r="BN911" i="1"/>
  <c r="BO908" i="1"/>
  <c r="BN908" i="1"/>
  <c r="BO906" i="1"/>
  <c r="BN906" i="1"/>
  <c r="BO897" i="1"/>
  <c r="BN897" i="1"/>
  <c r="BO891" i="1"/>
  <c r="BN891" i="1"/>
  <c r="BO888" i="1"/>
  <c r="BN888" i="1"/>
  <c r="BO886" i="1"/>
  <c r="BN886" i="1"/>
  <c r="BO884" i="1"/>
  <c r="BO866" i="1"/>
  <c r="BO863" i="1"/>
  <c r="BN863" i="1"/>
  <c r="BO862" i="1"/>
  <c r="BN862" i="1"/>
  <c r="BO859" i="1"/>
  <c r="BN859" i="1"/>
  <c r="BO855" i="1"/>
  <c r="BN855" i="1"/>
  <c r="BO848" i="1"/>
  <c r="BN848" i="1"/>
  <c r="BO847" i="1"/>
  <c r="BN847" i="1"/>
  <c r="BO846" i="1"/>
  <c r="BN846" i="1"/>
  <c r="BO839" i="1"/>
  <c r="BN839" i="1"/>
  <c r="BO831" i="1"/>
  <c r="BN831" i="1"/>
  <c r="BO827" i="1"/>
  <c r="BN827" i="1"/>
  <c r="BO823" i="1"/>
  <c r="BN818" i="1"/>
  <c r="BO816" i="1"/>
  <c r="BO814" i="1"/>
  <c r="BO812" i="1"/>
  <c r="BN812" i="1"/>
  <c r="BO808" i="1"/>
  <c r="BN808" i="1"/>
  <c r="BO799" i="1"/>
  <c r="BN799" i="1"/>
  <c r="BO797" i="1"/>
  <c r="BN797" i="1"/>
  <c r="BO796" i="1"/>
  <c r="BN796" i="1"/>
  <c r="BO795" i="1"/>
  <c r="BN795" i="1"/>
  <c r="BO793" i="1"/>
  <c r="BN793" i="1"/>
  <c r="BO791" i="1"/>
  <c r="BN791" i="1"/>
  <c r="BO790" i="1"/>
  <c r="BN790" i="1"/>
  <c r="BO786" i="1"/>
  <c r="BN786" i="1"/>
  <c r="BO783" i="1"/>
  <c r="BN783" i="1"/>
  <c r="BO782" i="1"/>
  <c r="BO776" i="1"/>
  <c r="BO768" i="1"/>
  <c r="BN768" i="1"/>
  <c r="BO765" i="1"/>
  <c r="BN765" i="1"/>
  <c r="BO760" i="1"/>
  <c r="BN760" i="1"/>
  <c r="BO758" i="1"/>
  <c r="BN758" i="1"/>
  <c r="BO754" i="1"/>
  <c r="BO749" i="1"/>
  <c r="BN749" i="1"/>
  <c r="BO747" i="1"/>
  <c r="BN747" i="1"/>
  <c r="BO744" i="1"/>
  <c r="BN744" i="1"/>
  <c r="BN740" i="1"/>
  <c r="BO738" i="1"/>
  <c r="BN738" i="1"/>
  <c r="BO734" i="1"/>
  <c r="BN734" i="1"/>
  <c r="BO732" i="1"/>
  <c r="BN732" i="1"/>
  <c r="BO725" i="1"/>
  <c r="BN725" i="1"/>
  <c r="BO724" i="1"/>
  <c r="BN724" i="1"/>
  <c r="BO723" i="1"/>
  <c r="BN723" i="1"/>
  <c r="BO721" i="1"/>
  <c r="BN721" i="1"/>
  <c r="BO710" i="1"/>
  <c r="BO706" i="1"/>
  <c r="BN706" i="1"/>
  <c r="BO702" i="1"/>
  <c r="BO701" i="1"/>
  <c r="BN701" i="1"/>
  <c r="BO695" i="1"/>
  <c r="BN695" i="1"/>
  <c r="BN692" i="1"/>
  <c r="BO690" i="1"/>
  <c r="BN690" i="1"/>
  <c r="BO687" i="1"/>
  <c r="BN687" i="1"/>
  <c r="BN685" i="1"/>
  <c r="BO682" i="1"/>
  <c r="BN682" i="1"/>
  <c r="BO678" i="1"/>
  <c r="BN678" i="1"/>
  <c r="BO676" i="1"/>
  <c r="BN676" i="1"/>
  <c r="BN665" i="1"/>
  <c r="BO482" i="1"/>
  <c r="BN482" i="1"/>
  <c r="BO478" i="1"/>
  <c r="BN478" i="1"/>
  <c r="BO477" i="1"/>
  <c r="BN477" i="1"/>
  <c r="BO474" i="1"/>
  <c r="BN474" i="1"/>
  <c r="BO473" i="1"/>
  <c r="BN473" i="1"/>
  <c r="BO472" i="1"/>
  <c r="BO460" i="1"/>
  <c r="BN460" i="1"/>
  <c r="BO457" i="1"/>
  <c r="BN457" i="1"/>
  <c r="BO454" i="1"/>
  <c r="BO446" i="1"/>
  <c r="BN446" i="1"/>
  <c r="BO265" i="1"/>
  <c r="BO264" i="1"/>
  <c r="BO261" i="1"/>
  <c r="BN261" i="1"/>
  <c r="BO250" i="1"/>
  <c r="BN250" i="1"/>
  <c r="BO246" i="1"/>
  <c r="BN246" i="1"/>
  <c r="BO233" i="1"/>
  <c r="BN233" i="1"/>
  <c r="BO232" i="1"/>
  <c r="BN232" i="1"/>
  <c r="BO231" i="1"/>
  <c r="BN231" i="1"/>
  <c r="BO230" i="1"/>
  <c r="BO22" i="1"/>
  <c r="BN22" i="1"/>
  <c r="BO20" i="1"/>
  <c r="BN20" i="1"/>
  <c r="BO16" i="1"/>
  <c r="BN16" i="1"/>
  <c r="BO14" i="1"/>
  <c r="BN14" i="1"/>
  <c r="BO852" i="1"/>
  <c r="BN852" i="1"/>
  <c r="BO844" i="1"/>
  <c r="BN844" i="1"/>
  <c r="BO841" i="1"/>
  <c r="BN841" i="1"/>
  <c r="BO836" i="1"/>
  <c r="BN836" i="1"/>
  <c r="BO835" i="1"/>
  <c r="BN835" i="1"/>
  <c r="BO832" i="1"/>
  <c r="BN832" i="1"/>
  <c r="BO826" i="1"/>
  <c r="BN826" i="1"/>
  <c r="BO825" i="1"/>
  <c r="BN82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tc={F1B7DF99-5D9B-4B56-AEFF-5C899B0A8D8E}</author>
    <author>tc={A0AB4B6A-9545-4C41-9F91-45D5DFDDD88B}</author>
    <author/>
    <author>tc={815BEC5F-075C-4543-9772-C4D0FFF22413}</author>
    <author>tc={C5B5C2A8-E68A-427F-B5BD-3BE7C0EFED10}</author>
    <author>tc={840922F4-BDB8-4093-BE7D-F8BB82F66A33}</author>
    <author>tc={E840E4DA-ED45-4F2E-AAB4-5B77AE85BC4A}</author>
    <author>tc={5465C306-DA88-4C60-9D93-FFA94362AABF}</author>
    <author>tc={33B23B59-D47E-499C-B5DB-902902F22CDF}</author>
    <author>tc={82AD32C8-7039-44EC-ADE9-005699BFBA09}</author>
  </authors>
  <commentList>
    <comment ref="P29" authorId="0" shapeId="0" xr:uid="{F1B7DF99-5D9B-4B56-AEFF-5C899B0A8D8E}">
      <text>
        <t>[Threaded comment]
Your version of Excel allows you to read this threaded comment; however, any edits to it will get removed if the file is opened in a newer version of Excel. Learn more: https://go.microsoft.com/fwlink/?linkid=870924
Comment:
    pump installed through Ulka</t>
      </text>
    </comment>
    <comment ref="Q29" authorId="1" shapeId="0" xr:uid="{A0AB4B6A-9545-4C41-9F91-45D5DFDDD88B}">
      <text>
        <t>[Threaded comment]
Your version of Excel allows you to read this threaded comment; however, any edits to it will get removed if the file is opened in a newer version of Excel. Learn more: https://go.microsoft.com/fwlink/?linkid=870924
Comment:
    pump supplied through Ulka</t>
      </text>
    </comment>
    <comment ref="I139" authorId="2" shapeId="0" xr:uid="{16B4CD4E-D7AE-499A-BDD1-D2D27432599E}">
      <text>
        <r>
          <rPr>
            <sz val="11"/>
            <color theme="1"/>
            <rFont val="Aptos Narrow"/>
            <family val="2"/>
            <scheme val="minor"/>
          </rPr>
          <t>RIL:
2ND VISIT REPORT SAYS 17 PCP PUMPS &amp; 5 MMP PUMPS</t>
        </r>
      </text>
    </comment>
    <comment ref="M139" authorId="2" shapeId="0" xr:uid="{5E1D6734-7D09-4982-A60A-B9D0072C849D}">
      <text>
        <r>
          <rPr>
            <sz val="11"/>
            <color theme="1"/>
            <rFont val="Aptos Narrow"/>
            <family val="2"/>
            <scheme val="minor"/>
          </rPr>
          <t>RIL:
according to 2nd visit no GITA make pumps were there</t>
        </r>
      </text>
    </comment>
    <comment ref="I149" authorId="2" shapeId="0" xr:uid="{3E77C87C-7F21-4490-8224-528150576FD1}">
      <text>
        <r>
          <rPr>
            <sz val="11"/>
            <color theme="1"/>
            <rFont val="Aptos Narrow"/>
            <family val="2"/>
            <scheme val="minor"/>
          </rPr>
          <t>RIL:
in vishal second visit report pcp quantity mentioned is 26 nd details mentioned of 13 pcp pumps</t>
        </r>
      </text>
    </comment>
    <comment ref="G159" authorId="2" shapeId="0" xr:uid="{A56B226A-EF85-4EB5-9BE3-A3A7D9FC2D71}">
      <text>
        <r>
          <rPr>
            <sz val="11"/>
            <color theme="1"/>
            <rFont val="Aptos Narrow"/>
            <family val="2"/>
            <scheme val="minor"/>
          </rPr>
          <t>RIL:
RCDH8180-01
RCDH4152-06
RCDH6152-01
RCDH6160-02
RCDHAG8180-10
All pumps purchased in jan 2012</t>
        </r>
      </text>
    </comment>
    <comment ref="AO196" authorId="3" shapeId="0" xr:uid="{815BEC5F-075C-4543-9772-C4D0FFF22413}">
      <text>
        <t>[Threaded comment]
Your version of Excel allows you to read this threaded comment; however, any edits to it will get removed if the file is opened in a newer version of Excel. Learn more: https://go.microsoft.com/fwlink/?linkid=870924
Comment:
    Raj plant system</t>
      </text>
    </comment>
    <comment ref="E483" authorId="4" shapeId="0" xr:uid="{C5B5C2A8-E68A-427F-B5BD-3BE7C0EFED10}">
      <text>
        <t>[Threaded comment]
Your version of Excel allows you to read this threaded comment; however, any edits to it will get removed if the file is opened in a newer version of Excel. Learn more: https://go.microsoft.com/fwlink/?linkid=870924
Comment:
    1000 TCD PLANT</t>
      </text>
    </comment>
    <comment ref="AO483" authorId="5" shapeId="0" xr:uid="{840922F4-BDB8-4093-BE7D-F8BB82F66A33}">
      <text>
        <t>[Threaded comment]
Your version of Excel allows you to read this threaded comment; however, any edits to it will get removed if the file is opened in a newer version of Excel. Learn more: https://go.microsoft.com/fwlink/?linkid=870924
Comment:
    PK PROCESS</t>
      </text>
    </comment>
    <comment ref="E502" authorId="6" shapeId="0" xr:uid="{E840E4DA-ED45-4F2E-AAB4-5B77AE85BC4A}">
      <text>
        <t>[Threaded comment]
Your version of Excel allows you to read this threaded comment; however, any edits to it will get removed if the file is opened in a newer version of Excel. Learn more: https://go.microsoft.com/fwlink/?linkid=870924
Comment:
    3 GEAR PUMPS ON MOLASSES</t>
      </text>
    </comment>
    <comment ref="E609" authorId="7" shapeId="0" xr:uid="{5465C306-DA88-4C60-9D93-FFA94362AABF}">
      <text>
        <t>[Threaded comment]
Your version of Excel allows you to read this threaded comment; however, any edits to it will get removed if the file is opened in a newer version of Excel. Learn more: https://go.microsoft.com/fwlink/?linkid=870924
Comment:
    8 GEAR PUMPS ON MOLASSES</t>
      </text>
    </comment>
    <comment ref="I636" authorId="2" shapeId="0" xr:uid="{9019B7F3-629F-410C-A143-1D0698E3AAAD}">
      <text>
        <r>
          <rPr>
            <sz val="11"/>
            <color theme="1"/>
            <rFont val="Aptos Narrow"/>
            <family val="2"/>
            <scheme val="minor"/>
          </rPr>
          <t>Risansi:
7 (distillary)</t>
        </r>
      </text>
    </comment>
    <comment ref="I642" authorId="2" shapeId="0" xr:uid="{E1B2CC9E-A91D-49B9-8617-34BF8325D5A5}">
      <text>
        <r>
          <rPr>
            <sz val="11"/>
            <color theme="1"/>
            <rFont val="Aptos Narrow"/>
            <family val="2"/>
            <scheme val="minor"/>
          </rPr>
          <t>add distillery</t>
        </r>
      </text>
    </comment>
    <comment ref="L642" authorId="2" shapeId="0" xr:uid="{4DC8F3B3-18ED-44B0-B06E-F21CD1E0DC29}">
      <text>
        <r>
          <rPr>
            <sz val="11"/>
            <color theme="1"/>
            <rFont val="Aptos Narrow"/>
            <family val="2"/>
            <scheme val="minor"/>
          </rPr>
          <t xml:space="preserve">distillery add </t>
        </r>
      </text>
    </comment>
    <comment ref="R646" authorId="2" shapeId="0" xr:uid="{3E43E5B4-F5E1-45F9-8EEE-4CE5685074DE}">
      <text>
        <r>
          <rPr>
            <sz val="11"/>
            <color theme="1"/>
            <rFont val="Aptos Narrow"/>
            <family val="2"/>
            <scheme val="minor"/>
          </rPr>
          <t>Risansi:
ADD TO DISTILLERY</t>
        </r>
      </text>
    </comment>
    <comment ref="I718" authorId="2" shapeId="0" xr:uid="{D7AA94A9-5A97-4C50-B17D-92AA142ED937}">
      <text>
        <r>
          <rPr>
            <sz val="11"/>
            <color theme="1"/>
            <rFont val="Aptos Narrow"/>
            <family val="2"/>
            <scheme val="minor"/>
          </rPr>
          <t xml:space="preserve">Risansi:
DISTILLERY ADD </t>
        </r>
      </text>
    </comment>
    <comment ref="AO881" authorId="8" shapeId="0" xr:uid="{33B23B59-D47E-499C-B5DB-902902F22CDF}">
      <text>
        <t>[Threaded comment]
Your version of Excel allows you to read this threaded comment; however, any edits to it will get removed if the file is opened in a newer version of Excel. Learn more: https://go.microsoft.com/fwlink/?linkid=870924
Comment:
    MONO</t>
      </text>
    </comment>
    <comment ref="AO882" authorId="9" shapeId="0" xr:uid="{82AD32C8-7039-44EC-ADE9-005699BFBA09}">
      <text>
        <t>[Threaded comment]
Your version of Excel allows you to read this threaded comment; however, any edits to it will get removed if the file is opened in a newer version of Excel. Learn more: https://go.microsoft.com/fwlink/?linkid=870924
Comment:
    MONO MAKE</t>
      </text>
    </comment>
  </commentList>
</comments>
</file>

<file path=xl/sharedStrings.xml><?xml version="1.0" encoding="utf-8"?>
<sst xmlns="http://schemas.openxmlformats.org/spreadsheetml/2006/main" count="2764" uniqueCount="2185">
  <si>
    <t>RIL PCP AT MILL</t>
  </si>
  <si>
    <t>RIL MMP AT MILL</t>
  </si>
  <si>
    <t>CLIENT CODE</t>
  </si>
  <si>
    <t>LAST VISIT DATE</t>
  </si>
  <si>
    <t>RIL REP</t>
  </si>
  <si>
    <t>TYPE</t>
  </si>
  <si>
    <t>CLIENT NAME</t>
  </si>
  <si>
    <t>LOCATION</t>
  </si>
  <si>
    <t>RIL SUPPLIED PCP</t>
  </si>
  <si>
    <t>RIL SUPPLIED MMP</t>
  </si>
  <si>
    <t>ROTO- PCP</t>
  </si>
  <si>
    <t>ROTOMAC- PCP</t>
  </si>
  <si>
    <t>GITA- PCP</t>
  </si>
  <si>
    <t>GITA- MMP</t>
  </si>
  <si>
    <t>SINTECH- MMP</t>
  </si>
  <si>
    <t>PSP- PCP</t>
  </si>
  <si>
    <t>PSP- MMP</t>
  </si>
  <si>
    <t>SYNO- PCP</t>
  </si>
  <si>
    <t>SYNO- MMP</t>
  </si>
  <si>
    <t>ROPMAN- PCP</t>
  </si>
  <si>
    <t>ROPMAN- MMP</t>
  </si>
  <si>
    <t>MYTO- PCP</t>
  </si>
  <si>
    <t>VIKAS- PCP</t>
  </si>
  <si>
    <t>VIKAS- MMP</t>
  </si>
  <si>
    <t>NEWPUMPS- PCP</t>
  </si>
  <si>
    <t>INDOPUMP- PCP</t>
  </si>
  <si>
    <t>INDOPUMP- MMP</t>
  </si>
  <si>
    <t>TUSHACO- PCP</t>
  </si>
  <si>
    <t>YASWANT- PCP</t>
  </si>
  <si>
    <t>YASWANT- MMP</t>
  </si>
  <si>
    <t>SHIVAM-PCP</t>
  </si>
  <si>
    <t>SHIVAM-MMP</t>
  </si>
  <si>
    <t>SAKSHAM-PCP</t>
  </si>
  <si>
    <t>ALPHA-PCP</t>
  </si>
  <si>
    <t>GAJANAN-PCP</t>
  </si>
  <si>
    <t>CHANDRA HELICON-PCP</t>
  </si>
  <si>
    <t>NETZSCH-PCP</t>
  </si>
  <si>
    <t>AKANSHI-PCP</t>
  </si>
  <si>
    <t>ELITE-MMP</t>
  </si>
  <si>
    <t>PRAGATI-PCP</t>
  </si>
  <si>
    <t>OTHERS-PCP</t>
  </si>
  <si>
    <t>OTHERS-MMP</t>
  </si>
  <si>
    <t>RAVALGOAN-MMP</t>
  </si>
  <si>
    <t>ROPAR-PCP</t>
  </si>
  <si>
    <t>ROTOR FLOW -PCP</t>
  </si>
  <si>
    <t>MATHER-MMP</t>
  </si>
  <si>
    <t>NAISHIT-PCP</t>
  </si>
  <si>
    <t>DELTA-PCP</t>
  </si>
  <si>
    <t>VARUN-PCP</t>
  </si>
  <si>
    <t>VARUN-MMP</t>
  </si>
  <si>
    <t>V.S ENGG-MMP</t>
  </si>
  <si>
    <t>NPI-PCP</t>
  </si>
  <si>
    <t>HYDROPROCAV-PCP</t>
  </si>
  <si>
    <t>SRE-PCP</t>
  </si>
  <si>
    <t>SPAN ENGG-PCP</t>
  </si>
  <si>
    <t>SPAN ENGG-MMP</t>
  </si>
  <si>
    <t>PANDEY MAKE PCP</t>
  </si>
  <si>
    <t>PANDEY MAKE MMP</t>
  </si>
  <si>
    <t>MAHALAXMI-PCP</t>
  </si>
  <si>
    <t>MAHALAXMI-MMP</t>
  </si>
  <si>
    <t>TOTAL OTHERS PCP</t>
  </si>
  <si>
    <t>TOTAL OTHERS MMP</t>
  </si>
  <si>
    <t>TOTAL PUMPS</t>
  </si>
  <si>
    <t>TOTAL pcp</t>
  </si>
  <si>
    <t>TOTAL MMP</t>
  </si>
  <si>
    <t>RIL PCP %</t>
  </si>
  <si>
    <t>RIL MMP %</t>
  </si>
  <si>
    <t>MOHANRAO SHINDE SAHAKARI SAKHAR KARAKHANA LTD.</t>
  </si>
  <si>
    <t>ARAG</t>
  </si>
  <si>
    <t>SAHYADRI STARCH  &amp; INDUSTRIES PVT LTD</t>
  </si>
  <si>
    <t>MIRAJ</t>
  </si>
  <si>
    <t>SHREE SHANKAR SSK LTD</t>
  </si>
  <si>
    <t>SOLAPUR</t>
  </si>
  <si>
    <t>THE SASWAD MALI SUGAR FACTORY LTD</t>
  </si>
  <si>
    <t>AKLUJ</t>
  </si>
  <si>
    <t>VISHWASRAO NAIK SAHAKARI SAKHAR KARKHANA LIMITED</t>
  </si>
  <si>
    <t>SHIRALA</t>
  </si>
  <si>
    <t>YASHWANT ENERGY PVT LTD</t>
  </si>
  <si>
    <t>SIDDHESHWAR SAHAKARI SAKHAR KARKHANA LTD. (LEASE KHADKAPURNA AGRO LTD.)</t>
  </si>
  <si>
    <t>AURANGABAD</t>
  </si>
  <si>
    <t>MUKTESHWAR SUGAR MILLS LTD.</t>
  </si>
  <si>
    <t>SACHIN GHAYAL SUGAR PVT LTD. (LEASE UNIT SHREE SANT EKNATH S.S.K LTD.)</t>
  </si>
  <si>
    <t>RAJGAD SAHAKARI SAKHAR KARKHANA LTD.</t>
  </si>
  <si>
    <t>PUNE</t>
  </si>
  <si>
    <t>LOKNETE SUNDARRAOJI SOLANKE SAHAKARI SAKHAR KARKHANA LTD.(Formerly MAJALGAON SSK LTD.)</t>
  </si>
  <si>
    <t>BEED</t>
  </si>
  <si>
    <t>M.V.K. AGRO FOOD PRODUCT LTD.</t>
  </si>
  <si>
    <t>NANDED</t>
  </si>
  <si>
    <t>SHIVAJIRAO PATIL NILANGEKAR SAHAKARI SAKHAR KARKHANA LTD. (LEASE ONKAR SAKHAR KARKHANA PVT.LTD. UNIT-2)</t>
  </si>
  <si>
    <t>LATUR</t>
  </si>
  <si>
    <t>SHRI SUBHASH SUGAR PVT.LTD.</t>
  </si>
  <si>
    <t>SHRI TULJABHAVANI SHETKARI SAHAKARI SAKHAR KARKHANA (Operated by Gokul Sugars)</t>
  </si>
  <si>
    <t>PARBHANI</t>
  </si>
  <si>
    <t>ECO CANE SUGAR ENERGY LTD</t>
  </si>
  <si>
    <t>MAHALUNGE</t>
  </si>
  <si>
    <t>AGASTI SAHAKARI SAKHAR KARKHANA LTD.</t>
  </si>
  <si>
    <t>AHMEDNAGAR</t>
  </si>
  <si>
    <t>AMBAJOGAI SAHKARI SAKHAR KARKHANA LTD. (LEASE VYANKATESHWARA INDUSTRIAL SERVICES PVT.LTD.)</t>
  </si>
  <si>
    <t>BHAURAO CHAVAN SAHAKARI SAKHAR KARKHANA LTD.</t>
  </si>
  <si>
    <t>BHAURAO CHAVAN SAHAKARI SAKHAR KARKHANA LTD. (UNIT- 2)</t>
  </si>
  <si>
    <t>HINGOLI</t>
  </si>
  <si>
    <t>SHRI VITTHALSAI SAHAKARI SAKHAR KARKHANA LTD.</t>
  </si>
  <si>
    <t>OSMANABAD</t>
  </si>
  <si>
    <t>SANGAMNATH SUGARS LTD.</t>
  </si>
  <si>
    <t>VIJAYAPURA</t>
  </si>
  <si>
    <t>AGRA01S443</t>
  </si>
  <si>
    <t>STP LIMITED(BERGER GROUP COMPANY)</t>
  </si>
  <si>
    <t>AGRA</t>
  </si>
  <si>
    <t>AHMD01A130</t>
  </si>
  <si>
    <t>ASHOK SAHAKARI SAKHAR KARKHANA LTD. ASHONAGAR</t>
  </si>
  <si>
    <t>AHMD01G021</t>
  </si>
  <si>
    <t>GANGAMAI INDUSTRIES AND CONSTRUCTIONS LTD.</t>
  </si>
  <si>
    <t>Tal- shevgaon dist- ahmednagar</t>
  </si>
  <si>
    <t>AHMD01K114</t>
  </si>
  <si>
    <t>KARMAVEER SHANKARRAO KALE  SAHAKARI SAKHAR KARKHANA LTD.</t>
  </si>
  <si>
    <t>AHMD01K133</t>
  </si>
  <si>
    <t>KRUSHINATH GREEN ENERGY LTD. (Formerly SOPANRAO BALKRUSHNA DHASAL AGRO POWER LTD.)</t>
  </si>
  <si>
    <t>AHMD01L038</t>
  </si>
  <si>
    <t>LOKNETE MARUTRAO GHULE PATIL DNYANESHWAR SAHAKARI SAKHAR KARKHANA LTD. (OLD NAME SHRI DNYANESHWAR SSK LTD)</t>
  </si>
  <si>
    <t>Tal- nevasa dist- ahmednagar</t>
  </si>
  <si>
    <t>AHMD01M004</t>
  </si>
  <si>
    <t>MADHURYA CHEMICAL</t>
  </si>
  <si>
    <t>AHMD01M014</t>
  </si>
  <si>
    <t>MULA SAHAKARI SAKHAR KARKHANA LIMITED</t>
  </si>
  <si>
    <t>Sonai tal- nevasa dist- ahmednagar</t>
  </si>
  <si>
    <t>AHMD01P004</t>
  </si>
  <si>
    <t>PADMASHRI DR.VITTHALRAO VIKHE PATIL S.S.K.LTD</t>
  </si>
  <si>
    <t>Pravaranagar tal- rahata dist- ahmednagar</t>
  </si>
  <si>
    <t>AHMD01P021</t>
  </si>
  <si>
    <t>PRASAD SUGAR AND ALLIED AGRO PRODUCTS LTD.   VAMBORI</t>
  </si>
  <si>
    <t>AHMD01P053</t>
  </si>
  <si>
    <t>PIYUSH SUGAR AND POWER PVT. LTD</t>
  </si>
  <si>
    <t>AHMD01S056</t>
  </si>
  <si>
    <t>SHREE AMBALIKA SUGARS PVT LTD UNIT-1</t>
  </si>
  <si>
    <t>KARJAT</t>
  </si>
  <si>
    <t>AHMD01S179</t>
  </si>
  <si>
    <t>SAHAKARMAHARSHI BHAUSAHEB THORAT SSK LTD</t>
  </si>
  <si>
    <t>AHMD01S251</t>
  </si>
  <si>
    <t>SHREE KRANTI SUGAR AND POWER LTD</t>
  </si>
  <si>
    <t>AHMD01S297</t>
  </si>
  <si>
    <t>SAHAKAR MAHARSHI SHANKARRAO KOLHE SSK LTD</t>
  </si>
  <si>
    <t>Shinganapur Tal- kopargaon dist- ahmednagar</t>
  </si>
  <si>
    <t>AHMD01S301</t>
  </si>
  <si>
    <t>SHREE VRIDHESHWAR SSK LTD</t>
  </si>
  <si>
    <t>Adinathnagar tal- pathardi dist ahmednagar</t>
  </si>
  <si>
    <t>AHMD01S334</t>
  </si>
  <si>
    <t>AHMD01S358</t>
  </si>
  <si>
    <t>SHRI GANESH SSK</t>
  </si>
  <si>
    <t>AHMD01S433</t>
  </si>
  <si>
    <t>SWAMI SAMARTH SUGAR &amp; AGRO INDUSTRIES LTD</t>
  </si>
  <si>
    <t>AHME01A173</t>
  </si>
  <si>
    <t>ARAVALI AGRO INDIA PVT LTD</t>
  </si>
  <si>
    <t>AHMEDABAD</t>
  </si>
  <si>
    <t>AHME01C077</t>
  </si>
  <si>
    <t>CLEANTECH WATER</t>
  </si>
  <si>
    <t>AHME01G132</t>
  </si>
  <si>
    <t>GRAINSPAN NUTRIENTS PVT LTD</t>
  </si>
  <si>
    <t>AHME01M202</t>
  </si>
  <si>
    <t>MYMIX BUILDPRO PRIVATE LIMITED -CELLUTECH</t>
  </si>
  <si>
    <t>AHME01S271</t>
  </si>
  <si>
    <t>SKYLINE HERBALS PVT LTD</t>
  </si>
  <si>
    <t>AJME01S263</t>
  </si>
  <si>
    <t>STONEX INDIA PVT LTD</t>
  </si>
  <si>
    <t>AJMER</t>
  </si>
  <si>
    <t>ALIG01W015</t>
  </si>
  <si>
    <t>WAVE DISTILLERIES &amp; BREWERIES LTD.</t>
  </si>
  <si>
    <t>ALIGARH</t>
  </si>
  <si>
    <t>AMBA01N006</t>
  </si>
  <si>
    <t>NARAINGARH SUGAR MILLS LTD</t>
  </si>
  <si>
    <t>AMBALA</t>
  </si>
  <si>
    <t>AMBE01A049</t>
  </si>
  <si>
    <t>BALRAMPUR CHINI MILLS LTD (AKBARPUR)</t>
  </si>
  <si>
    <t>AMBEDKAR NAGAR</t>
  </si>
  <si>
    <t>AMRI01K013</t>
  </si>
  <si>
    <t>KHANNA PAPER MILLS PVT. LTD</t>
  </si>
  <si>
    <t>AMRITSAR</t>
  </si>
  <si>
    <t>AMRI01P065</t>
  </si>
  <si>
    <t>PAPERTEX SPECIALITY CHEMICALS P. LTD.</t>
  </si>
  <si>
    <t>AMRI01R008</t>
  </si>
  <si>
    <t>RANA SUGARS LIMITED (butter seviyan)</t>
  </si>
  <si>
    <t>AMRI01S459</t>
  </si>
  <si>
    <t>S. R. PARYAVARAN ENGINEERS PVT LTD.</t>
  </si>
  <si>
    <t>AMRI01T006</t>
  </si>
  <si>
    <t>THE AJNALA CO-OPERATIVE SUGAR MILLS LTD.</t>
  </si>
  <si>
    <t>AMRO01T088</t>
  </si>
  <si>
    <t>THE KISAN SAHKARI CHINI MILLS LTD. (gajraula-hasanpur)</t>
  </si>
  <si>
    <t>AMROHA</t>
  </si>
  <si>
    <t>AMRO01T117</t>
  </si>
  <si>
    <t>TRIVENI ENGINEERING &amp; INDUSTRIES LTD (AMROHA)</t>
  </si>
  <si>
    <t>AMRO01U035</t>
  </si>
  <si>
    <t>U.P. CO-OPERATIVE SUGAR FACTORIES FEDERATION LTD</t>
  </si>
  <si>
    <t>AMRO01W025</t>
  </si>
  <si>
    <t>WAVE INDUSTRIES PVT LTD. - (DISTILLERY DIV)Chandpur</t>
  </si>
  <si>
    <t>ANAN01R014</t>
  </si>
  <si>
    <t>RAYMON PATEL GELATINE PVT.LTD.</t>
  </si>
  <si>
    <t>ANAND</t>
  </si>
  <si>
    <t>ANGU01N041</t>
  </si>
  <si>
    <t>NATIONAL ALUMINIUM COMPANY LIMITED</t>
  </si>
  <si>
    <t>ANGUL</t>
  </si>
  <si>
    <t>ANKL01D112</t>
  </si>
  <si>
    <t>DECCAN FINE CHEMICALS (INDIA )PVT LTD</t>
  </si>
  <si>
    <t>ANKLESHWAR</t>
  </si>
  <si>
    <t>ARGB01B051</t>
  </si>
  <si>
    <t>BARAMATI AGRO LTD.    UNIT-2</t>
  </si>
  <si>
    <t>ARGB01G051</t>
  </si>
  <si>
    <t>GRUSHNESHWAR SUGARS PVT. LTD.</t>
  </si>
  <si>
    <t>ARGB01P104</t>
  </si>
  <si>
    <t>PANCHAGANGA SUGAR &amp; POWER PVT LTD</t>
  </si>
  <si>
    <t>ARGB01P143</t>
  </si>
  <si>
    <t>PENGANGA SAKHAR KARKHANA PVT. LTD</t>
  </si>
  <si>
    <t>ARGB01S312</t>
  </si>
  <si>
    <t>SHREE RENUKADEVI SHARD SSK LTD</t>
  </si>
  <si>
    <t>ARGB01S400</t>
  </si>
  <si>
    <t>SHRI GULMESHWAR NATURAL SUGAR PVT.LTD.</t>
  </si>
  <si>
    <t>AWEN01S180</t>
  </si>
  <si>
    <t>SOUTH NYANZA SUGAR COMPANY LTD</t>
  </si>
  <si>
    <t>AWENDO</t>
  </si>
  <si>
    <t>AYOD01V059</t>
  </si>
  <si>
    <t>VISHVAM PROJECTS &amp; SERVICES</t>
  </si>
  <si>
    <t>AYODHYA</t>
  </si>
  <si>
    <t>AYOD01Y011</t>
  </si>
  <si>
    <t>YASH PAKKA LIMITED</t>
  </si>
  <si>
    <t>AZAM01E081</t>
  </si>
  <si>
    <t>EVERGREEN ENTERPRISES</t>
  </si>
  <si>
    <t>AZAMGARH</t>
  </si>
  <si>
    <t>AZAM01T110</t>
  </si>
  <si>
    <t>THE KISAN SAHAKARI CHINI MILLS LTD. (sathiaon) (azamgarh)</t>
  </si>
  <si>
    <t>BADA01D033</t>
  </si>
  <si>
    <t>DHAMPUR SUGAR MILLS LTD (RAJPURA)</t>
  </si>
  <si>
    <t>BADAUN</t>
  </si>
  <si>
    <t>BADA01Y001</t>
  </si>
  <si>
    <t>YADU SUGAR LIMITED</t>
  </si>
  <si>
    <t>BAGA01B036</t>
  </si>
  <si>
    <t>BILAGI SUGAR MILL LTD.
GIRISAGAR ROAD</t>
  </si>
  <si>
    <t>BILAGI</t>
  </si>
  <si>
    <t>BAGA01G011</t>
  </si>
  <si>
    <t>GODAVARI BIOREFINERIES LIMITED</t>
  </si>
  <si>
    <t>SAMEERWADI</t>
  </si>
  <si>
    <t>BAGA01T067</t>
  </si>
  <si>
    <t>TIRUPATI SUGARS LIMITED (bagha)</t>
  </si>
  <si>
    <t>BAGAHA</t>
  </si>
  <si>
    <t>BAGH01R045</t>
  </si>
  <si>
    <t>RAMALA SAHKARI CHINI MILLS LTD</t>
  </si>
  <si>
    <t>BAGHPAT</t>
  </si>
  <si>
    <t>BAGH01S018</t>
  </si>
  <si>
    <t>SBEC SUGAR LIMITED</t>
  </si>
  <si>
    <t>BAGH01T014</t>
  </si>
  <si>
    <t>THE BAGPAT CO-OPERATIVE SUGAR MILLS LTD.</t>
  </si>
  <si>
    <t>BAGL01B002</t>
  </si>
  <si>
    <t>BADAMI SUGARS LIMITED</t>
  </si>
  <si>
    <t>BADAMI</t>
  </si>
  <si>
    <t>BAGL01E023</t>
  </si>
  <si>
    <t>EID PARRY LTD. Nagaral</t>
  </si>
  <si>
    <t>NAINEGALI/ BAGALKOTE</t>
  </si>
  <si>
    <t>BAGL01G017</t>
  </si>
  <si>
    <t>GEM SUGARS LTD.</t>
  </si>
  <si>
    <t>KUNDARGI</t>
  </si>
  <si>
    <t>BAGL01I003</t>
  </si>
  <si>
    <t xml:space="preserve">INDIAN CANE POWER LIMITED </t>
  </si>
  <si>
    <t>UTTUR</t>
  </si>
  <si>
    <t>BAGL01J007</t>
  </si>
  <si>
    <t>JAMKHANDI SUGARS LIMITED (UNIT - 1)</t>
  </si>
  <si>
    <t>HIREPADASALAGI</t>
  </si>
  <si>
    <t>BAGL01M080</t>
  </si>
  <si>
    <t>MRN CANE POWER SUGARS</t>
  </si>
  <si>
    <t>KOLHAPUR</t>
  </si>
  <si>
    <t>BAGL01M101</t>
  </si>
  <si>
    <t>MELLBRO SUGAR PRIVATE LIMITED</t>
  </si>
  <si>
    <t>Chimongaon</t>
  </si>
  <si>
    <t>BAGL01N020</t>
  </si>
  <si>
    <t>NIRANI SUGAR LTD.</t>
  </si>
  <si>
    <t>mudhol</t>
  </si>
  <si>
    <t>BAGL01N161</t>
  </si>
  <si>
    <t>NIRANI SUGARS LIMITED(UNIT-IV) (formerly Kedarnath sugars)</t>
  </si>
  <si>
    <t>BAGALKOT</t>
  </si>
  <si>
    <t>BAGL01N168</t>
  </si>
  <si>
    <t>NIRANI SUGARS LIMITED UNIT-V (formerly Badami Sugars)</t>
  </si>
  <si>
    <t>BAGL01R062</t>
  </si>
  <si>
    <t>RYATAR SAHAKARI SAKKARE KARAKHANE NIYAMIT (take over by Bilagi sugars unit 2)</t>
  </si>
  <si>
    <t>TIMMAPUR</t>
  </si>
  <si>
    <t>BAGL01S067</t>
  </si>
  <si>
    <t>SHRI KEDARNATH SUGAR &amp;
AGRO PRODUCTS LTD</t>
  </si>
  <si>
    <t>HULAGERI</t>
  </si>
  <si>
    <t>BAGL01S069</t>
  </si>
  <si>
    <t>SHRI PRABHULINGESHWAR SUGARS AND CHEMICALS LIMITED</t>
  </si>
  <si>
    <t>SIDDAPUR/Bagalkot</t>
  </si>
  <si>
    <t>BAGL01S077</t>
  </si>
  <si>
    <t>SIDDAPUR DISTILLERIES LIMITED</t>
  </si>
  <si>
    <t>BAGL01T163</t>
  </si>
  <si>
    <t>TRUALT BIOENERGY LIMITED(NIRANI GROUP)DISTILLERY UNIT</t>
  </si>
  <si>
    <t>BAGL01T216</t>
  </si>
  <si>
    <t>TRUALT BIOENERGY LIMITED- IV (Nirani)</t>
  </si>
  <si>
    <t>BAHR01I004</t>
  </si>
  <si>
    <t>INDIAN POTASH LIMITED (sugar div.)</t>
  </si>
  <si>
    <t>BAHRAICH</t>
  </si>
  <si>
    <t>BAHR01P006</t>
  </si>
  <si>
    <t>PARLE BISCUITS (P) LIMITED</t>
  </si>
  <si>
    <t>BAHR01S220</t>
  </si>
  <si>
    <t>SHRAVASTI KISAN SAHKARI CHINI MILLS LTD</t>
  </si>
  <si>
    <t>BAHR01S504</t>
  </si>
  <si>
    <t>SIMBHAOLI SUGARS LTD- (UNIT-CHILWARIA)</t>
  </si>
  <si>
    <t>BAJP01T015</t>
  </si>
  <si>
    <t>THE BAZPUR CO-OPERATIVE SUGAR FACTORY LTD.</t>
  </si>
  <si>
    <t>BAJPUR</t>
  </si>
  <si>
    <t>BALR01B019</t>
  </si>
  <si>
    <t>BALRAMPUR CHINI MILLS LTD.(CHEMICAL DIV.)</t>
  </si>
  <si>
    <t>BALRAMPUR</t>
  </si>
  <si>
    <t>BALR01B044</t>
  </si>
  <si>
    <t>BALRAMPUR CHINI MILLS LTD. BALRAMPUR SUGAR</t>
  </si>
  <si>
    <t>BALR01B078</t>
  </si>
  <si>
    <t>BAJAJ HINDUSTHAN SUGAR LIMITED (UTRAULA)</t>
  </si>
  <si>
    <t>BALR01T079</t>
  </si>
  <si>
    <t>BALRAMPUR CHINI MILLS LIMITED TULSIPUR</t>
  </si>
  <si>
    <t>BANG01A110</t>
  </si>
  <si>
    <t>ARPITHA AGRO INDUSTRIES</t>
  </si>
  <si>
    <t>BANGALORE</t>
  </si>
  <si>
    <t>BARA01H021</t>
  </si>
  <si>
    <t>BALRAMPUR CHINI MILLS LTD (HAIDERGARH)</t>
  </si>
  <si>
    <t>BARABANKI</t>
  </si>
  <si>
    <t>BARK01U023</t>
  </si>
  <si>
    <t>UTTAM SUGAR MILLS- DISTILLERY DIVISION BARKATPUR</t>
  </si>
  <si>
    <t>BARKATPUR</t>
  </si>
  <si>
    <t>BARL01D061</t>
  </si>
  <si>
    <t>DWARIKESH SUAGR INDUSTRIES LIMITED (Dwarikesh Dham)</t>
  </si>
  <si>
    <t>BARELLY</t>
  </si>
  <si>
    <t>BARL01D079</t>
  </si>
  <si>
    <t>DHAMPUR BIO ORGANICS LTD UNIT - MEERGANJ</t>
  </si>
  <si>
    <t>BARL01K012</t>
  </si>
  <si>
    <t>KESAR ENTERPRISES LTD</t>
  </si>
  <si>
    <t>BARL01K056</t>
  </si>
  <si>
    <t>THE KISAN SAHKARI CHINI MILLS LTD (semikhera)</t>
  </si>
  <si>
    <t>BAREILLY</t>
  </si>
  <si>
    <t>BARL01O005</t>
  </si>
  <si>
    <t>OSWAL OVERSEAS LIMITED</t>
  </si>
  <si>
    <t>BARL01R161</t>
  </si>
  <si>
    <t>RAMAA SHYAMA PAPERS PVT LTD</t>
  </si>
  <si>
    <t>BARL01R064</t>
  </si>
  <si>
    <t>RADICO KHAITAN LTD</t>
  </si>
  <si>
    <t>BARL01R103</t>
  </si>
  <si>
    <t>RADHEYLAL SUGAR MILL</t>
  </si>
  <si>
    <t>BARL01S431</t>
  </si>
  <si>
    <t>SHRI CHANCHALA FOODS INDIA PVT LTD</t>
  </si>
  <si>
    <t>BARL01T028</t>
  </si>
  <si>
    <t>THE INDIAN WOOD PRODUCTS CO. LTD.</t>
  </si>
  <si>
    <t>BARL01T191</t>
  </si>
  <si>
    <t>TRIVANTINATH SUGARS &amp; CHEMICALS PVT. LTD.</t>
  </si>
  <si>
    <t>BARW01M094</t>
  </si>
  <si>
    <t>MEKALSUTA SUGARS PVT LTD (Maheshwari group)</t>
  </si>
  <si>
    <t>BARWANI</t>
  </si>
  <si>
    <t>BARW01S221</t>
  </si>
  <si>
    <t>SHREE DURGA KHANDSARI SUGAR MILLS</t>
  </si>
  <si>
    <t>BAST01B088</t>
  </si>
  <si>
    <t>BAJAJ HINDUSTHAN SUGAR LIMITED (Rudhauli)</t>
  </si>
  <si>
    <t>BASTI</t>
  </si>
  <si>
    <t>BAST01U027</t>
  </si>
  <si>
    <t>U.P. RAJYA CHINI AVAM GANNA VIKAS NIGAM LTD</t>
  </si>
  <si>
    <t>BATA01B099</t>
  </si>
  <si>
    <t>BUTTAR BIOFULELS PVT LTD (RANA UNIT)</t>
  </si>
  <si>
    <t>BATALA</t>
  </si>
  <si>
    <t>BATA01T111</t>
  </si>
  <si>
    <t>THE BATALA CO-OP. SUGAR MILLS LTD.</t>
  </si>
  <si>
    <t>BEED01C022</t>
  </si>
  <si>
    <t>CHHATRAPATI SAHAKARI SAKHAR KARKHANA LTD.</t>
  </si>
  <si>
    <t>BEED01G069</t>
  </si>
  <si>
    <t>GANGAMAULI SUGAR &amp; ALLIED INDUSTRIES PVT LTD</t>
  </si>
  <si>
    <t>BEED01L058</t>
  </si>
  <si>
    <t>BEED01N030</t>
  </si>
  <si>
    <t>NSL SUGAR LTD UNIT- III   JAY MAHESH</t>
  </si>
  <si>
    <t>BEED01S359</t>
  </si>
  <si>
    <t>SAIPRASAD NATURAL SUGAR PVT LTD (Khandsari and Jaggery)</t>
  </si>
  <si>
    <t>BEED01U052</t>
  </si>
  <si>
    <t>U K FARMERS PRODUCT COMPANY</t>
  </si>
  <si>
    <t>BELA01I080</t>
  </si>
  <si>
    <t>INAMDAR SUGARS LTD.</t>
  </si>
  <si>
    <t>BELAGAVI</t>
  </si>
  <si>
    <t>BELA01S429</t>
  </si>
  <si>
    <t>SRI BASAVESHWARA SUGARS LTD.</t>
  </si>
  <si>
    <t>BALLEGIRI</t>
  </si>
  <si>
    <t>BELG01A037</t>
  </si>
  <si>
    <t>ATHANI SUGAR FACTORY LTD (Kempwad)</t>
  </si>
  <si>
    <t>KEMPWAD</t>
  </si>
  <si>
    <t>BELG01A121</t>
  </si>
  <si>
    <t>ALAGAWADI BIRESHWAR SUGARS PVT LTD</t>
  </si>
  <si>
    <t>BELG01B071</t>
  </si>
  <si>
    <t>BELGAUM SUGARS PVT
LTD</t>
  </si>
  <si>
    <t>HUDALI</t>
  </si>
  <si>
    <t>BELG01E026</t>
  </si>
  <si>
    <t>EID PARRY INDIA LIMITED-
(RAMDURG)</t>
  </si>
  <si>
    <t>RAMDURG</t>
  </si>
  <si>
    <t>BELG01G012</t>
  </si>
  <si>
    <t>GOKAK SUGARS LIMITED (shree renuka sugars)</t>
  </si>
  <si>
    <t>BELGAUM</t>
  </si>
  <si>
    <t>BELG01H040</t>
  </si>
  <si>
    <t>HERMES DISTILLERY PVT
LTD</t>
  </si>
  <si>
    <t>SOUNDATTIWADI</t>
  </si>
  <si>
    <t>BELG01H045</t>
  </si>
  <si>
    <t>HARSHA SUGAR PVT.LTD.</t>
  </si>
  <si>
    <t>SOUNDATTI</t>
  </si>
  <si>
    <t>BELG01I054</t>
  </si>
  <si>
    <t>INDIAN CANE POWER LTD - UNIT ALAGAWADI</t>
  </si>
  <si>
    <t>BELG01K076</t>
  </si>
  <si>
    <t>KPR SUGAR AND APPARELS LIMITED</t>
  </si>
  <si>
    <t>KALABURGI</t>
  </si>
  <si>
    <t>BELG01L003</t>
  </si>
  <si>
    <t>LAILA SUGARS (P) LTD</t>
  </si>
  <si>
    <t>BELG01S023</t>
  </si>
  <si>
    <t>SHIRAGUPPI SUGAR WORKS LTD.</t>
  </si>
  <si>
    <t>KAGWAD</t>
  </si>
  <si>
    <t>BELG01S025</t>
  </si>
  <si>
    <t>SHIVSHAKTI SUGARS LIMITED RAIBAG</t>
  </si>
  <si>
    <t>SOUNDATTI-RAIBAG</t>
  </si>
  <si>
    <t>BELG01S042</t>
  </si>
  <si>
    <t>SHREE RENUKA SUGARS LTD (Munoli- Belgaum)</t>
  </si>
  <si>
    <t>BELG01S043</t>
  </si>
  <si>
    <t>SHREE RENUKA SUGARS LTD. © (Athani)</t>
  </si>
  <si>
    <t>BELG01S047</t>
  </si>
  <si>
    <t>SHREE RENUKA SUGARS LTD. (J) (Raibag)</t>
  </si>
  <si>
    <t>BELG01S051</t>
  </si>
  <si>
    <t>SHREE SOMESHWAR
SAHAKARI SAKKARE KARKHANE NIYAMIT</t>
  </si>
  <si>
    <t>BELAWADI</t>
  </si>
  <si>
    <t>BELG01S062</t>
  </si>
  <si>
    <t xml:space="preserve">CHIDANAND BASAPRABHU KORE SAHAKARI SAKHAR KARKHANA </t>
  </si>
  <si>
    <t>NANADI CHIKODI</t>
  </si>
  <si>
    <t>BELG01S065</t>
  </si>
  <si>
    <t>SHREE HALASIDHANATH SAHAKARI SAKHAR KARKHANA LTD</t>
  </si>
  <si>
    <t>NIPANI</t>
  </si>
  <si>
    <t>BELG01S066</t>
  </si>
  <si>
    <t>SHRI HIRANYAKESHI SAHAKARI SAKKARE KARKHANE NIYAMIT</t>
  </si>
  <si>
    <t>SANKESHWAR</t>
  </si>
  <si>
    <t>BELG01S068</t>
  </si>
  <si>
    <t>SHRI MALAPRABHA SAHAKARI SAKKARE
KARKHANA (NIYAMIT)</t>
  </si>
  <si>
    <t>HUBLI</t>
  </si>
  <si>
    <t>BELG01S114</t>
  </si>
  <si>
    <t>SOUBHAGYA LAXMI SUGARS LTD</t>
  </si>
  <si>
    <t>HIRENANDI</t>
  </si>
  <si>
    <t>BELG01S258</t>
  </si>
  <si>
    <t>SHRI SANGAM SAHAKARI SAKKARE KARKHANE
NIYAMIT</t>
  </si>
  <si>
    <t>HIDKAL(HOSUR)</t>
  </si>
  <si>
    <t>BELG01S276</t>
  </si>
  <si>
    <t>ASKINS BIOFUELS PVT LTD (Formerly SHRI BRAHMANAND SAGAR JAGGERY)</t>
  </si>
  <si>
    <t>BELG01S290</t>
  </si>
  <si>
    <t>SATISH SUGAR MILL</t>
  </si>
  <si>
    <t>HANCHYAL</t>
  </si>
  <si>
    <t>BELG01S292</t>
  </si>
  <si>
    <r>
      <rPr>
        <sz val="11"/>
        <color theme="1"/>
        <rFont val="Calibri"/>
        <family val="2"/>
      </rPr>
      <t>SHRI BRAHMANAD SUGAR JAGGERY LTD</t>
    </r>
    <r>
      <rPr>
        <i/>
        <sz val="11"/>
        <color theme="1"/>
        <rFont val="Calibri"/>
        <family val="2"/>
      </rPr>
      <t xml:space="preserve"> (FORMER- ASKINS BIO FUELS)</t>
    </r>
  </si>
  <si>
    <t>HARUGERI</t>
  </si>
  <si>
    <t>BELG01T023</t>
  </si>
  <si>
    <t>THE GHATAPRABHA SAHAKARI SAKKARE KARKHANE NIYAMIT</t>
  </si>
  <si>
    <t>GOKAK</t>
  </si>
  <si>
    <t>BELG01T113</t>
  </si>
  <si>
    <t>THE UGAR SUGAR WORKS
LTD</t>
  </si>
  <si>
    <t>UGOR KHURD</t>
  </si>
  <si>
    <t>BELG01T129</t>
  </si>
  <si>
    <t>THE KRISHNA SAHAKARI SAKKARE KARKHANE
NIYAMIT</t>
  </si>
  <si>
    <t>Sankonatti</t>
  </si>
  <si>
    <t>BELG01V017</t>
  </si>
  <si>
    <t>VISHWARAJ SUGAR</t>
  </si>
  <si>
    <t>BAGEWADI</t>
  </si>
  <si>
    <t>BELL01M081</t>
  </si>
  <si>
    <t>MYLAR SUGARS LIMITED</t>
  </si>
  <si>
    <t>Huvina Hadagali</t>
  </si>
  <si>
    <t>BELL01N022</t>
  </si>
  <si>
    <t>NSL SUGARS (TUNGABHADRA) LTD</t>
  </si>
  <si>
    <t>TUNGABHADRA</t>
  </si>
  <si>
    <t>BETU01A257</t>
  </si>
  <si>
    <t>AMLA AGRO INDUSTRIES</t>
  </si>
  <si>
    <t>BETUL</t>
  </si>
  <si>
    <t>BETU01G121</t>
  </si>
  <si>
    <t>GIRIRAJ SUGAR</t>
  </si>
  <si>
    <t>BETU01H044</t>
  </si>
  <si>
    <t>HANUMANT SUGAR PVT LTD</t>
  </si>
  <si>
    <t>BETU01N082</t>
  </si>
  <si>
    <t>N PUNJAB SUGARS PVT LTD</t>
  </si>
  <si>
    <t>BETU01P140</t>
  </si>
  <si>
    <t>PALIWAL BIO ENERGY</t>
  </si>
  <si>
    <t>BETU01S230</t>
  </si>
  <si>
    <t>SHRIJEE SUGAR &amp; POWER (P) LTD</t>
  </si>
  <si>
    <t>BETU01T137</t>
  </si>
  <si>
    <t>TAPTI AGRO INDUSTRIES</t>
  </si>
  <si>
    <t>BHAR01F019</t>
  </si>
  <si>
    <t>FILATEX INDIA LIMITED</t>
  </si>
  <si>
    <t>BHARUCH</t>
  </si>
  <si>
    <t>BHAR01S035</t>
  </si>
  <si>
    <t>SHREE KHEDUT SAHAKARI KHAND UDYOG MANDLI LTD. (Pandvai)</t>
  </si>
  <si>
    <t>BHAR01S224</t>
  </si>
  <si>
    <t>SHREE GANESH KHAND UDYOG SAHAKARI MANDLI LTD</t>
  </si>
  <si>
    <t>BHAR01S349</t>
  </si>
  <si>
    <t>SOLVAY SPECIALITIES INDIA PVT LTD</t>
  </si>
  <si>
    <t>BHIA01C100</t>
  </si>
  <si>
    <t>CHEMIE PRODUCTS PVT LTD</t>
  </si>
  <si>
    <t>BHILAWADI</t>
  </si>
  <si>
    <t>BHIW01H086</t>
  </si>
  <si>
    <t>Haryana non woven</t>
  </si>
  <si>
    <t>BHIWANI</t>
  </si>
  <si>
    <t>BHOP01B123</t>
  </si>
  <si>
    <t>BROKEN HILL MINIING COMPANY</t>
  </si>
  <si>
    <t>BHOPAL</t>
  </si>
  <si>
    <t>BHOP01S223</t>
  </si>
  <si>
    <t>SOM DISTILLERIES PRIVATE LTD.</t>
  </si>
  <si>
    <t>BIDA01B073</t>
  </si>
  <si>
    <t>THE BIDAR KISSAN SHAKKAR KARKHANA LTD.</t>
  </si>
  <si>
    <t>BIDAR</t>
  </si>
  <si>
    <t>BIDA01G144</t>
  </si>
  <si>
    <t>GAURI SUGAR AND DISTILLARIES PVT LIMITEDUNIT 13 (Formerly Bhalkeshwar sugars) (Taken over by onkar sugars &amp; allied industries)</t>
  </si>
  <si>
    <t>BIDA01T038</t>
  </si>
  <si>
    <t>THE MAHATMA GANDHI SAHAKAR SAKKARE KARKHANE NIYAMIT</t>
  </si>
  <si>
    <t>BIDA01T045</t>
  </si>
  <si>
    <t>THE NARANJA SAHAKARI SAKKARE- KARKHANE LTD.</t>
  </si>
  <si>
    <t>BIJA01B063</t>
  </si>
  <si>
    <t>SHRI BALAJI SUGARS &amp; CHEMICALS PVT. LTD.</t>
  </si>
  <si>
    <t>YORAGAL</t>
  </si>
  <si>
    <t>BIJA01J016</t>
  </si>
  <si>
    <t>JAMKHANDI SUGAR UNIT-2</t>
  </si>
  <si>
    <t>NAD KD</t>
  </si>
  <si>
    <t>BIJA01K035</t>
  </si>
  <si>
    <t>KPR SUGAR MILLS PRIVATE LTD.</t>
  </si>
  <si>
    <t>BIJAPUR</t>
  </si>
  <si>
    <t>BIJA01S162</t>
  </si>
  <si>
    <t>SHREE BASAVESHWAR SUGARS LTD.</t>
  </si>
  <si>
    <t>KARJAL</t>
  </si>
  <si>
    <t>BIJA01S566</t>
  </si>
  <si>
    <t>BIJA01T043</t>
  </si>
  <si>
    <t>THE NANDI SAHAKARI SAKKARE KARKHANE NIYAMIT</t>
  </si>
  <si>
    <t>HOSUR</t>
  </si>
  <si>
    <t>BIJN01B009</t>
  </si>
  <si>
    <t>BAJAJ HINDUSTHAN SUGAR LTD. (8S2) (BELAI)</t>
  </si>
  <si>
    <t>BIJNOR</t>
  </si>
  <si>
    <t>BIJN01B124</t>
  </si>
  <si>
    <t>BINDAL PAPERS MILLS LIMITED</t>
  </si>
  <si>
    <t>BIJN01B139</t>
  </si>
  <si>
    <t>BINDAL SUGARS MILLS LTD</t>
  </si>
  <si>
    <t>BIJN01D034</t>
  </si>
  <si>
    <t>DWARIKESH SUGAR INDS. LTD. - (AFZALGARH)</t>
  </si>
  <si>
    <t>BIJN01D035</t>
  </si>
  <si>
    <t>DWARIKESH SUGAR INDUSTRIES LTD- DWA - Dwarikesh Nagar - Bijnor(Bundaki)</t>
  </si>
  <si>
    <t>BIJN01D038</t>
  </si>
  <si>
    <t>DHAMPUR SUGAR MILLS LIMITED (BIJNOR)</t>
  </si>
  <si>
    <t>BIJN01K066</t>
  </si>
  <si>
    <t>KISAN SAHKARI CHINI MILLS LTD - NAJIBABAD</t>
  </si>
  <si>
    <t>BIJN01M076</t>
  </si>
  <si>
    <t>MOHIT PAPER MILLS LTD</t>
  </si>
  <si>
    <t>BIJN01M106</t>
  </si>
  <si>
    <t>MOHIT TISSUES PVT LTD</t>
  </si>
  <si>
    <t>BIJN01P001</t>
  </si>
  <si>
    <t>P B S FOODS (SUGAR) PVT. LTD</t>
  </si>
  <si>
    <t>BIJN01R046</t>
  </si>
  <si>
    <t>RAMA PAPER MILLS LIMITED</t>
  </si>
  <si>
    <t>BIJN01S269</t>
  </si>
  <si>
    <t>S. KUMAR TRANSPORT COMPANY</t>
  </si>
  <si>
    <t>BIJN01W006</t>
  </si>
  <si>
    <t>WAVE INDUSTRIES PVT.LTD.\V-027</t>
  </si>
  <si>
    <t>BIRA01B149</t>
  </si>
  <si>
    <t>BAGMATI OIL INDUSTRY</t>
  </si>
  <si>
    <t>NEPAL</t>
  </si>
  <si>
    <t>BIRG01I047</t>
  </si>
  <si>
    <t>INDUSHANKAR CHINI UDYOG LTD.</t>
  </si>
  <si>
    <t>BIRGUNJ</t>
  </si>
  <si>
    <t>BUDA01T151</t>
  </si>
  <si>
    <t>THE KISAN SAHKARI CHINI MILLS LTD - BUDAUN</t>
  </si>
  <si>
    <t>BUDAUN</t>
  </si>
  <si>
    <t>BULA01A060</t>
  </si>
  <si>
    <t>ANAMIKA SUGAR MILLS PVT LTD</t>
  </si>
  <si>
    <t>BULANDSHAHAR</t>
  </si>
  <si>
    <t>BULA01T139</t>
  </si>
  <si>
    <t>THE KISAN SAHKARI CHINI MILLS LTD (Anoopshahr Bulandshahr)</t>
  </si>
  <si>
    <t>BULA01W020</t>
  </si>
  <si>
    <t xml:space="preserve">WAVE INDUSTIRES PVT LTD </t>
  </si>
  <si>
    <t>BULANDSHAHR</t>
  </si>
  <si>
    <t>BUSI01W038</t>
  </si>
  <si>
    <t>WEST KENYA SUGAR COMPANY LTD - OLEPITO</t>
  </si>
  <si>
    <t>KENYA</t>
  </si>
  <si>
    <t>CHAM01B022</t>
  </si>
  <si>
    <t>BANNARI AMMAN SUGARS LTD. (Unit - III)</t>
  </si>
  <si>
    <t>CHAMRAJNAGAR</t>
  </si>
  <si>
    <t>CHAN01R031</t>
  </si>
  <si>
    <t>RANA SUGARS LTD.(Head office)</t>
  </si>
  <si>
    <t>CHANDIGARH</t>
  </si>
  <si>
    <t>CHAN01S245</t>
  </si>
  <si>
    <t>SAMPURN AGRI VENTURES PVT LTD</t>
  </si>
  <si>
    <t>CHAU01R042</t>
  </si>
  <si>
    <t>SHIVAM GRAMOUDYOG SANSTHAN</t>
  </si>
  <si>
    <t>CHAUBEYPUR</t>
  </si>
  <si>
    <t>CHEN01C036</t>
  </si>
  <si>
    <t>COROMANDEL PAINTS PVT. LTD. (UNIT -II)</t>
  </si>
  <si>
    <t>KRISHNA</t>
  </si>
  <si>
    <t>CHEN01C107</t>
  </si>
  <si>
    <t>CMR TOYOTSU ALUMINIUM INDIA PVT LTD</t>
  </si>
  <si>
    <t>CHENNAI</t>
  </si>
  <si>
    <t>CHEN01P081</t>
  </si>
  <si>
    <t>PAQUES ENVIROMENTAL TECHNOLOGY INDIA PVT LTD</t>
  </si>
  <si>
    <t>CHEN01R107</t>
  </si>
  <si>
    <t>RACON BIDDING AND SOURCING
 PRIVATE LIMITED(RBS GROUP)</t>
  </si>
  <si>
    <t>CHEN01S472</t>
  </si>
  <si>
    <t>SNJ DISTILLERS PRIVATE LIMITED</t>
  </si>
  <si>
    <t>CHEN01S512</t>
  </si>
  <si>
    <t>SRI PEARLS STONE INDUSTRIES PRAVATE LIMITED</t>
  </si>
  <si>
    <t>CHIN01S321</t>
  </si>
  <si>
    <t>SIDDHASIRI ETHANOL &amp; POWER TALUK (Formerly Chincholi Sugars &amp; Bio Industries ltd)</t>
  </si>
  <si>
    <t>KALABURAGI</t>
  </si>
  <si>
    <t>CHIT01B026</t>
  </si>
  <si>
    <t>BARAMATI AGRO LIMITED - FEEDMILL</t>
  </si>
  <si>
    <t>CHITTOOR</t>
  </si>
  <si>
    <t>CHIT01G060</t>
  </si>
  <si>
    <t>GOYAL MARBLES PVT LTD</t>
  </si>
  <si>
    <t>POONDI</t>
  </si>
  <si>
    <t>CHIT01S004</t>
  </si>
  <si>
    <t>SNJ SUGARS &amp; PRODUCTS LIMITED</t>
  </si>
  <si>
    <t>COIM01T007</t>
  </si>
  <si>
    <t>THE AMARAVATHI CO-OPERATIVE SUGAR MILLS LTD.</t>
  </si>
  <si>
    <t>TIRUPPUR</t>
  </si>
  <si>
    <t>COIM01T178</t>
  </si>
  <si>
    <t>TRAVANCORE LATEX COMPANY</t>
  </si>
  <si>
    <t>COIMBATORE</t>
  </si>
  <si>
    <t>CUDD01E010</t>
  </si>
  <si>
    <t>EID PARRY (INDIA) LIMITED (C)</t>
  </si>
  <si>
    <t>CUDDALORE</t>
  </si>
  <si>
    <t>CUDD01M001</t>
  </si>
  <si>
    <t>M.R.KRISHNAMURTHY CO-OPERATIVE SUGAR MILLS LTD</t>
  </si>
  <si>
    <t>DAHE01S525</t>
  </si>
  <si>
    <t>SRF LIMITED</t>
  </si>
  <si>
    <t>GUJARAT</t>
  </si>
  <si>
    <t>DAVA01D006</t>
  </si>
  <si>
    <t>DAVANGERE SUGAR COMPANY LTD.</t>
  </si>
  <si>
    <t>Kukkawada</t>
  </si>
  <si>
    <t>DAVA01I037</t>
  </si>
  <si>
    <t>INDIAN CANE POWER LIMITED - UNIT SAMSONS DISTILLERY</t>
  </si>
  <si>
    <t>Dugavatti</t>
  </si>
  <si>
    <t>DAVA01I094</t>
  </si>
  <si>
    <t>INDIAN CANE POWER LIMITED UNIT-DNYANYOGI</t>
  </si>
  <si>
    <t>DEDH01D020</t>
  </si>
  <si>
    <t>DOIWALA SUGAR COMPANY LTD.</t>
  </si>
  <si>
    <t>DEDHRADUN</t>
  </si>
  <si>
    <t>DEOR01B016</t>
  </si>
  <si>
    <t>BAJAJ HINDUSTHAN LTD. (DEORIA)</t>
  </si>
  <si>
    <t>DEORIA</t>
  </si>
  <si>
    <t>DEOR01F018</t>
  </si>
  <si>
    <t>FOREVER DISTILLERY PVT. LTD.</t>
  </si>
  <si>
    <t>DHAM01S094</t>
  </si>
  <si>
    <t>SUBRAMANIYA SIVA CO-OPERATIVE- SUGAR MILLS LTD.</t>
  </si>
  <si>
    <t>Dharampuri</t>
  </si>
  <si>
    <t>DHAM01T021</t>
  </si>
  <si>
    <t>THE DHARMAPURI DISTRICT CO-OP. SUGAR MILLS LIMITED</t>
  </si>
  <si>
    <t>DHARMAPURI</t>
  </si>
  <si>
    <t>DHAN01E060</t>
  </si>
  <si>
    <t>EAGLE INFRA INDIA LIMITED</t>
  </si>
  <si>
    <t>DHANBAAD</t>
  </si>
  <si>
    <t>DHAN01T203</t>
  </si>
  <si>
    <t>TARAI INFOSYS</t>
  </si>
  <si>
    <t>DHEN01I070</t>
  </si>
  <si>
    <t>INDIAN POTASH LIMITED - (V-033)</t>
  </si>
  <si>
    <t>DHENKANAL</t>
  </si>
  <si>
    <t>DHRS01B177</t>
  </si>
  <si>
    <t>BHAIRAVNATH SUGAR WORKS UNIT 6 (FORMERLY TERNA SHETKARI SAHAKARI SAKHAR KARKHANA  LTD)</t>
  </si>
  <si>
    <t>DHARASHIV</t>
  </si>
  <si>
    <t>DHRS01K156</t>
  </si>
  <si>
    <t>KULSWAMINI NATURAL SUGAR PVT LTD</t>
  </si>
  <si>
    <t>DHRS01S555</t>
  </si>
  <si>
    <t>SHREE SIDDHIVINAYAK GREENTECH INDUSTRIES</t>
  </si>
  <si>
    <t>DLHI01C083</t>
  </si>
  <si>
    <t>CMR GREEN TECHNOLOGIES LIMITED</t>
  </si>
  <si>
    <t>DELHI</t>
  </si>
  <si>
    <t>DLHI01D083</t>
  </si>
  <si>
    <t>DHAMPUR BIO ORGANICS LIMITED(Head office)</t>
  </si>
  <si>
    <t>NEW DELHI</t>
  </si>
  <si>
    <t>DLHI01U044</t>
  </si>
  <si>
    <t>UNEXO LIFE SCIENCES PVT LTD.</t>
  </si>
  <si>
    <t>DUGG01S021</t>
  </si>
  <si>
    <t>SHAMANUR SUGARS LIMITED</t>
  </si>
  <si>
    <t>DURG01D001</t>
  </si>
  <si>
    <t>DANTESHWARI MAIYA SAHAKARI SHAKKAR</t>
  </si>
  <si>
    <t>DURG</t>
  </si>
  <si>
    <t>END CLIENT</t>
  </si>
  <si>
    <t>KISAN VEER SATARA SAHAKARI SAKHAR KARKHANA LTD BHUINJ</t>
  </si>
  <si>
    <t>Bhuinj</t>
  </si>
  <si>
    <t>SHIVNERI SUGAR AND ALLIED INDUSTRIES LIMITED (OLD JIJAMATA SUGAR POWER IND. LTD.) (PROPOSED OR IN MAKING)</t>
  </si>
  <si>
    <t>SATARA</t>
  </si>
  <si>
    <t>URVASHI PAPER MILL (AXCHEM SOLUTIONS)</t>
  </si>
  <si>
    <t>KABRAS SUGAR MILL (8000 TCD)</t>
  </si>
  <si>
    <t>KAMULI SUGAR MILL (3500 TCD)</t>
  </si>
  <si>
    <t>UGANDA</t>
  </si>
  <si>
    <t>MAYUGE SUGAR MILL (3500 TCD)</t>
  </si>
  <si>
    <t>VICTORIA SUGAR MILL (1000 TCD)</t>
  </si>
  <si>
    <t>EROD01B023</t>
  </si>
  <si>
    <t>BANNARI AMMAN SUGARS LTD.(Distillery Division)</t>
  </si>
  <si>
    <t>ERODE</t>
  </si>
  <si>
    <t>EROD01B025</t>
  </si>
  <si>
    <t>BANNARI AMMAN SUGARS LTD. (UNIT-I)</t>
  </si>
  <si>
    <t>EROD01P014</t>
  </si>
  <si>
    <t>PONNI SUGARS (ERODE) LIMITED</t>
  </si>
  <si>
    <t>EROD01S008</t>
  </si>
  <si>
    <t>SAKTHI SUGARS LIMITED unit 1</t>
  </si>
  <si>
    <t>EROD01S010</t>
  </si>
  <si>
    <t>SAKTHI SUGARS LTD.</t>
  </si>
  <si>
    <t>ESCH01H007</t>
  </si>
  <si>
    <t>HPCL BIOFUELS LTD. (Sugauli)</t>
  </si>
  <si>
    <t>EAST CHAMPARAN</t>
  </si>
  <si>
    <t>ESGO01S253</t>
  </si>
  <si>
    <t>SRI RAMADAS PAPER BOARDS PVT LTD</t>
  </si>
  <si>
    <t>EAST GODAVARI</t>
  </si>
  <si>
    <t>FAIZ01K001</t>
  </si>
  <si>
    <t>K. M. SUGAR MILLS LTD</t>
  </si>
  <si>
    <t>FAIZABAAD</t>
  </si>
  <si>
    <t>FAIZ01K036</t>
  </si>
  <si>
    <t>K. M. SUGAR MILLS LTD. (DISTILLERY DIVISION)</t>
  </si>
  <si>
    <t>FARR01T097</t>
  </si>
  <si>
    <t>THE KISAN SAHKARI CHINI MILLS LTD (kaimganj) ( farrukhabad)</t>
  </si>
  <si>
    <t>FARRUKHABAD</t>
  </si>
  <si>
    <t>FATE01N004</t>
  </si>
  <si>
    <t>NAHAR INDUSTRIAL ENTERPRISES LTD.</t>
  </si>
  <si>
    <t>FATEHGARHSAHEB</t>
  </si>
  <si>
    <t>FAZI01N105</t>
  </si>
  <si>
    <t>NASA AGRO INDUSTRIES PVT LTD</t>
  </si>
  <si>
    <t>FAZILKA</t>
  </si>
  <si>
    <t>FAZI01T092</t>
  </si>
  <si>
    <t>THE FAZILKA CO-OP. SUGAR MILLS LTD</t>
  </si>
  <si>
    <t>G0LA01N150</t>
  </si>
  <si>
    <t>NUMALIGARH REFINERY LIMITED-(NRL)</t>
  </si>
  <si>
    <t>GOLAGHAT</t>
  </si>
  <si>
    <t>GADA01V007</t>
  </si>
  <si>
    <t>VIJAYNAGAR SUGARS</t>
  </si>
  <si>
    <t>Mundaragi</t>
  </si>
  <si>
    <t>GANJ01T013</t>
  </si>
  <si>
    <t>THE ASKA CO-OPERATIVE SUGAR - INDUSTRIES LTD.</t>
  </si>
  <si>
    <t>GANJAM</t>
  </si>
  <si>
    <t>GHOS01K064</t>
  </si>
  <si>
    <t>KISAN SAHAKARI CHINI MILL LTD - GHOSI</t>
  </si>
  <si>
    <t>GHOSI MAU</t>
  </si>
  <si>
    <t>GHZB01M111</t>
  </si>
  <si>
    <t>MAGNUM VENTURES LIMITED</t>
  </si>
  <si>
    <t>GHAZIABAD</t>
  </si>
  <si>
    <t>GHZB01S386</t>
  </si>
  <si>
    <t>SUGARNPOWER PROJECTS PRIVATE LIMITED</t>
  </si>
  <si>
    <t>GOND01B020</t>
  </si>
  <si>
    <t>BALRAMPUR CHINI MILLS LTD. (UNIT BABHNAN)</t>
  </si>
  <si>
    <t>GONDA</t>
  </si>
  <si>
    <t>GOND01M035</t>
  </si>
  <si>
    <t>BALRAMPUR CHINI MILLS LTD. MANKAPUR</t>
  </si>
  <si>
    <t>GOPA01B062</t>
  </si>
  <si>
    <t>MAGADH SUGAR &amp; ENERGY LTD (new bharat sugar mill)</t>
  </si>
  <si>
    <t>GOPALGANJ</t>
  </si>
  <si>
    <t>GOPA01S145</t>
  </si>
  <si>
    <t>SASA MUSA SUGAR WORKS LTD.</t>
  </si>
  <si>
    <t>GOPA01S261</t>
  </si>
  <si>
    <t>SONA SATI ORGANICS PVT LTD</t>
  </si>
  <si>
    <t>GOPA01V011</t>
  </si>
  <si>
    <t>VISHNU SUGAR MILLS LTD</t>
  </si>
  <si>
    <t>GORA01U030</t>
  </si>
  <si>
    <t>U.P. STATE SUGAR &amp; CANE DEVELOPMENT CORPN. LTD</t>
  </si>
  <si>
    <t>GORAKHPUR</t>
  </si>
  <si>
    <t>GUJA01A192</t>
  </si>
  <si>
    <t>AHMEDABAD JILLA TAMAKU MFG. CO. OP. SOCIETY LTD</t>
  </si>
  <si>
    <t>MEHSANA</t>
  </si>
  <si>
    <t>GUJA01I079</t>
  </si>
  <si>
    <t>IMPULSE POLY PLAST LLP</t>
  </si>
  <si>
    <t>GUJA01I099</t>
  </si>
  <si>
    <t>Indian Potash Ltd Unit Valsad Sugar</t>
  </si>
  <si>
    <t>GUJA01M140</t>
  </si>
  <si>
    <t>MAHALAXMI OIL MILL</t>
  </si>
  <si>
    <t>GUJA01M176</t>
  </si>
  <si>
    <t>MRF LIMITED</t>
  </si>
  <si>
    <t>GUJA01N103</t>
  </si>
  <si>
    <t>NEOTECH PROJECTS PVT LTD</t>
  </si>
  <si>
    <t>GUJA01P094</t>
  </si>
  <si>
    <t>PARAM KRAFT PAPER</t>
  </si>
  <si>
    <t>GULB01M194</t>
  </si>
  <si>
    <t>MAX OVERSEAS COMPANY</t>
  </si>
  <si>
    <t>GULBARGA</t>
  </si>
  <si>
    <t>GULB01N024</t>
  </si>
  <si>
    <t>NSL SUGARS LTD. UNIT-II (Aland)</t>
  </si>
  <si>
    <t>GULB01S045</t>
  </si>
  <si>
    <t>SHREE RENUKA SUGARS LTD. (E) (havalga - afzalpur)</t>
  </si>
  <si>
    <t>GULB01T061</t>
  </si>
  <si>
    <t>THE UGAR SUGAR WORKS
LIMITED</t>
  </si>
  <si>
    <t>NAGARHALLI (Jewargi Unit)</t>
  </si>
  <si>
    <t>GUNT01S218</t>
  </si>
  <si>
    <t>SANGAM MILK PRODUCER COMPANY LIMITED</t>
  </si>
  <si>
    <t>GUNTUR</t>
  </si>
  <si>
    <t>GURD01C019</t>
  </si>
  <si>
    <t>CHADHA SUGARS AND INDUSTRIES PRIVATE LIMITED</t>
  </si>
  <si>
    <t>GURDASPUR</t>
  </si>
  <si>
    <t>GURD01C050</t>
  </si>
  <si>
    <t>CHADHA SUGAR &amp; INDUSTRIES PVT LTD (MBD)(DISL)</t>
  </si>
  <si>
    <t>GURD01T025</t>
  </si>
  <si>
    <t>THE GURDASPUR CO-OP. SUGAR MILLS LTD.</t>
  </si>
  <si>
    <t>GURD01T144</t>
  </si>
  <si>
    <t>THE GURDASPUR DISTRICT CO.OP. MILK PRODUCER UNION LTD
 (Verka Gurdaspur Dairy)</t>
  </si>
  <si>
    <t>GURG01K134</t>
  </si>
  <si>
    <t>KANWAL ENTERPRISES</t>
  </si>
  <si>
    <t>GURGAON</t>
  </si>
  <si>
    <t>GUWA01I087</t>
  </si>
  <si>
    <t>INDIAN OIL CORPORATION LTD.DIGBOI</t>
  </si>
  <si>
    <t>GUWAHATI</t>
  </si>
  <si>
    <t>GUWA01P118</t>
  </si>
  <si>
    <t>PURBANCHAL PAPER MILL LLP</t>
  </si>
  <si>
    <t>ASSAM</t>
  </si>
  <si>
    <t>GUWA01W024</t>
  </si>
  <si>
    <t>WHITE GOLD SUGAR AGRO PRODUCTS</t>
  </si>
  <si>
    <t>GWAL01D087</t>
  </si>
  <si>
    <t>DOLLEX AGROTECH (PROJEXCEL)</t>
  </si>
  <si>
    <t>GWALIOR</t>
  </si>
  <si>
    <t>GWAL01D113</t>
  </si>
  <si>
    <t>DHARANI SUGAR</t>
  </si>
  <si>
    <t>GWAL01G068</t>
  </si>
  <si>
    <t>BAPUNA ALCOBREW PVT. LTD.
 (FORMERLY GWALIOR
 ALCOBREW PVT LTD)</t>
  </si>
  <si>
    <t>GWAL01P055</t>
  </si>
  <si>
    <t>PARVATI SWEETNERS AND POWER LIMITED</t>
  </si>
  <si>
    <t>HALD01N095</t>
  </si>
  <si>
    <t>NORTHERN ANIMATED ANIMAL FEED (P) LTD</t>
  </si>
  <si>
    <t>HALDIA</t>
  </si>
  <si>
    <t>HALD01S046</t>
  </si>
  <si>
    <t>SHREE RENUKA SUGARS LTD. (I) (Haldia)</t>
  </si>
  <si>
    <t>HAPU01S493</t>
  </si>
  <si>
    <t>SIMBHAOLI SUGARS LIMITED (SUGAR DIV.)HAPUR</t>
  </si>
  <si>
    <t>HASA01K100</t>
  </si>
  <si>
    <t>KAMAKSHI PAPER MILL</t>
  </si>
  <si>
    <t>BIHAR</t>
  </si>
  <si>
    <t>HASS01S088</t>
  </si>
  <si>
    <t>SRI CHAMUNDESWARI SUGARS LTD. Unit-2</t>
  </si>
  <si>
    <t>HASSAN</t>
  </si>
  <si>
    <t>HAVE01G008</t>
  </si>
  <si>
    <t>GM SUGAR &amp; ENERGY LTD</t>
  </si>
  <si>
    <t>Sangur</t>
  </si>
  <si>
    <t>HAVE01V051</t>
  </si>
  <si>
    <t>VINP DISTILLERIES &amp; SUGARS PVT.LTD.</t>
  </si>
  <si>
    <t>HAVERI</t>
  </si>
  <si>
    <t>HING01B028</t>
  </si>
  <si>
    <t>BARASHIV HANUMAN S.S.K. LTD. (NEW NAME:KAPESHWAR SUGAR AND CHEMICAL LTD) (Old purna ssk unit 2)</t>
  </si>
  <si>
    <t>HING01P020</t>
  </si>
  <si>
    <t>PURNA SAHAKARI SAKHAR   KARKHANA LTD</t>
  </si>
  <si>
    <t>HING01S310</t>
  </si>
  <si>
    <t>SHIUR SAKHAR KARKHANA LTD.</t>
  </si>
  <si>
    <t>HOSA01R037</t>
  </si>
  <si>
    <t>RAMDEV SUGARS PVT LTD.</t>
  </si>
  <si>
    <t>HOSHANGABAD</t>
  </si>
  <si>
    <t>HOSH01A001</t>
  </si>
  <si>
    <t>A. B. SUGARS LTD</t>
  </si>
  <si>
    <t>HOSHIARPUR</t>
  </si>
  <si>
    <t>HOSH01I008</t>
  </si>
  <si>
    <t>INDIAN SUCROSE LIMITED</t>
  </si>
  <si>
    <t>HOSH01K113</t>
  </si>
  <si>
    <t>KUANTUM PAPERS LIMITED</t>
  </si>
  <si>
    <t>HOSH01T080</t>
  </si>
  <si>
    <t>THE HOSHIARPUR DIST CO OP MILK PRODUCERS UNION LTD</t>
  </si>
  <si>
    <t>HOSN01N027</t>
  </si>
  <si>
    <t>NARMADA SUGARS PVT. LTD.</t>
  </si>
  <si>
    <t>HOSANGABAD</t>
  </si>
  <si>
    <t>HRDO01B003</t>
  </si>
  <si>
    <t>BAGHAULI SUGAR &amp; DISTILLERY LIMITED (Unit of Dalmia)</t>
  </si>
  <si>
    <t>HARDOI</t>
  </si>
  <si>
    <t>HRDO01D027</t>
  </si>
  <si>
    <t>DCM SHRIRAM LIMITED (DSCL SUGAR) - HARIAWAN</t>
  </si>
  <si>
    <t>HRDO01D028</t>
  </si>
  <si>
    <t>DCM SHRIRAM LIMITED - LONI</t>
  </si>
  <si>
    <t>HRDO01D029</t>
  </si>
  <si>
    <t>DCM SHRIRAM LIMITED (DSCL SUGAR) -RUPAPUR</t>
  </si>
  <si>
    <t>HRDO01D069</t>
  </si>
  <si>
    <t>DCM SHRIRAM LIMITED (sugar unit ) - Hariawan</t>
  </si>
  <si>
    <t>HRDO01D073</t>
  </si>
  <si>
    <t>DCM SHRIRAM LTD. U-S LONI</t>
  </si>
  <si>
    <t>HRDO01D121</t>
  </si>
  <si>
    <t>DALMIA BHARAT SUGAR AND INDUSTRIES LIMITED-SUGAR UNIT- GANGA</t>
  </si>
  <si>
    <t>HRDO01G059</t>
  </si>
  <si>
    <t>G R INFRAPROJECTS LIMITED</t>
  </si>
  <si>
    <t>HRDO01U072</t>
  </si>
  <si>
    <t>UTM ENERGRY (P) LTD</t>
  </si>
  <si>
    <t>HYDE01G127</t>
  </si>
  <si>
    <t>GODAVARIGANGA AGRO PRODUCTS PVT LTD-RAIKODE</t>
  </si>
  <si>
    <t>HYDERABAD</t>
  </si>
  <si>
    <t>HYDE01R135</t>
  </si>
  <si>
    <t>R.S. PLUMBING WORKS</t>
  </si>
  <si>
    <t>HYDE01S446</t>
  </si>
  <si>
    <t>SRI CHIMMANLAL PAPER MILLS</t>
  </si>
  <si>
    <t>INDR01A063</t>
  </si>
  <si>
    <t>ANAND PRODUCTS</t>
  </si>
  <si>
    <t>INDORE</t>
  </si>
  <si>
    <t>INDR01A245</t>
  </si>
  <si>
    <t>ASSOCIATED ALCOHOLS &amp; BREWERIES LTD</t>
  </si>
  <si>
    <t>INDR01B117</t>
  </si>
  <si>
    <t>BHARAT FEEDS &amp; EXTRACTIONS LTD.</t>
  </si>
  <si>
    <t>INDR01N091</t>
  </si>
  <si>
    <t>NPS SUGAR INDUSTRIES PVT LTD.</t>
  </si>
  <si>
    <t>INDR01S335</t>
  </si>
  <si>
    <t>SM FOOD ENGINEERING PVT LTD</t>
  </si>
  <si>
    <t>JABA01J044</t>
  </si>
  <si>
    <t>JAIN MINES &amp; MINERALS (I) PVT. LTD.</t>
  </si>
  <si>
    <t>JABALPUR</t>
  </si>
  <si>
    <t>JABA01R024</t>
  </si>
  <si>
    <t>REVAKRIPA SUGARS PRIVATE LIMITED</t>
  </si>
  <si>
    <t>JAGA01U036</t>
  </si>
  <si>
    <t>UNITED LOGISTICS</t>
  </si>
  <si>
    <t>JAGATSINGHAPUR</t>
  </si>
  <si>
    <t>JAIP01H066</t>
  </si>
  <si>
    <t>HINDUSTAN COPPER LIMITED</t>
  </si>
  <si>
    <t>JAIPUR</t>
  </si>
  <si>
    <t>JAIP01S275</t>
  </si>
  <si>
    <t>SAVITA SCIENTIFIC &amp; PLASTIC PRODUCTS</t>
  </si>
  <si>
    <t>JALA01T016</t>
  </si>
  <si>
    <t>THE BHOGPUR CO-OPERATIVE - SUGAR MILLS LTD</t>
  </si>
  <si>
    <t>JALANDHAR</t>
  </si>
  <si>
    <t>JALA01T042</t>
  </si>
  <si>
    <t>THE NAKODAR CO-OPERATIVE SUGAR MILLS LTD.</t>
  </si>
  <si>
    <t>JALA01T047</t>
  </si>
  <si>
    <t>THE NAWANSHAHR CO-OPERATIVE SUGAR MILLS LTD.</t>
  </si>
  <si>
    <t>JALN01B158</t>
  </si>
  <si>
    <t>BLUE SAPPHIRE FOOD PROCESSING PVT. LTD</t>
  </si>
  <si>
    <t>JALNA</t>
  </si>
  <si>
    <t>JALN01K063</t>
  </si>
  <si>
    <t>KARMYOGI ANKUSHRAO TOPE SAMARTH SSK LTD -TIRTHPURI</t>
  </si>
  <si>
    <t>JALN01K064</t>
  </si>
  <si>
    <t>KARMYOGI ANKUSHRAO TOPE SAMARTH SSK LTD</t>
  </si>
  <si>
    <t>JALN01O048</t>
  </si>
  <si>
    <t>ONKAR SAKHAR KARKHANA PRIVATE LIMITED UNIT 10 (Formerly Shree Rameshwar SSK)</t>
  </si>
  <si>
    <t>JALN01S013</t>
  </si>
  <si>
    <t>SAMRUDHI SUGARS LTD.</t>
  </si>
  <si>
    <t>JALN01S250</t>
  </si>
  <si>
    <t>SHREE RAMESHWAR SAHAKARI SAKHAR KARKHANA LIMITED</t>
  </si>
  <si>
    <t>JAMK01B187</t>
  </si>
  <si>
    <t>BARAMATI AGRO LTD SUGAR UNIT 3</t>
  </si>
  <si>
    <t>JAMKHED</t>
  </si>
  <si>
    <t>JAMK01N158</t>
  </si>
  <si>
    <t>NIRANI SUGARS LIMITED(UNIT-II) (formerly Sai Priya Sugars)</t>
  </si>
  <si>
    <t>JAMAKANDI</t>
  </si>
  <si>
    <t>JAMKHANDI</t>
  </si>
  <si>
    <t>JAMK01T209</t>
  </si>
  <si>
    <t>TRUALT BIOENERGY LIMITED - UNIT 2 DISTILLERY(Nirani)</t>
  </si>
  <si>
    <t>JAMM01P071</t>
  </si>
  <si>
    <t>PREVEST DENPRO LIMITED</t>
  </si>
  <si>
    <t>JAMMU</t>
  </si>
  <si>
    <t>JANA01H031</t>
  </si>
  <si>
    <t>HIMALAYA SUGAR MILLS LIMITED</t>
  </si>
  <si>
    <t>JANAKPUR DHAM</t>
  </si>
  <si>
    <t>JASP01D107</t>
  </si>
  <si>
    <t>DEV KHAND CANE AGRO</t>
  </si>
  <si>
    <t>JASPUR</t>
  </si>
  <si>
    <t>JHAN01B155</t>
  </si>
  <si>
    <t>BAIDYAPATH AYURVED LLP</t>
  </si>
  <si>
    <t>JHANSI</t>
  </si>
  <si>
    <t>JIND01T170</t>
  </si>
  <si>
    <t>THE JIND COOP SUGAR MILLS LTD.</t>
  </si>
  <si>
    <t>JIND</t>
  </si>
  <si>
    <t>JPNG01T077</t>
  </si>
  <si>
    <t>TRIVENI ENGINEERING &amp; INDUSTRIES LTD. (chandanpur)</t>
  </si>
  <si>
    <t>JPNAGAR</t>
  </si>
  <si>
    <t>JPNG01W005</t>
  </si>
  <si>
    <t>WAVE INDUSTRIES PVT.LTD. (DHANAURA)</t>
  </si>
  <si>
    <t>KABI01L020</t>
  </si>
  <si>
    <t>LAUH Purush Sardar Vallabhbhai Patel Sahkari Shakkar Karkhana</t>
  </si>
  <si>
    <t>Pandariya</t>
  </si>
  <si>
    <t>KABI01N099</t>
  </si>
  <si>
    <t>NKJ BIOFUEL PRIVATE LIMITED</t>
  </si>
  <si>
    <t>KABR01K067</t>
  </si>
  <si>
    <t>KAPILA KRISHI UDYOG LTD</t>
  </si>
  <si>
    <t>KABIR NAGAR</t>
  </si>
  <si>
    <t>KAIT01T136</t>
  </si>
  <si>
    <t>THE KAITHAL COOPERATIVE SUGAR MILLS LTD</t>
  </si>
  <si>
    <t>KAITHAL</t>
  </si>
  <si>
    <t>KAKA01N146</t>
  </si>
  <si>
    <t>NAITIRI PAPER</t>
  </si>
  <si>
    <t>BUNGOMA</t>
  </si>
  <si>
    <t>KALA01I100</t>
  </si>
  <si>
    <t>INDIAN POTASH LTD.-DISTILLERY (ODISHA)</t>
  </si>
  <si>
    <t>KALAHANDI</t>
  </si>
  <si>
    <t>KALA01V048</t>
  </si>
  <si>
    <t>VEDANTA LIMITED</t>
  </si>
  <si>
    <t>KANC01B064</t>
  </si>
  <si>
    <t>BHAGESHWOR SUGAR &amp; CHEMICAL IND PVT LTD</t>
  </si>
  <si>
    <t>KANC01M005</t>
  </si>
  <si>
    <t>MAHAKALI SUGAR IND. PVT. LTD</t>
  </si>
  <si>
    <t>KANE01T101</t>
  </si>
  <si>
    <t>THE MADURANTAKAM CO-OP. SUGAR MILLS LTD</t>
  </si>
  <si>
    <t>KANCHEEPURAM</t>
  </si>
  <si>
    <t>KANN01P007</t>
  </si>
  <si>
    <t>EID PARRY INDIA LTD-(HALIYAL)</t>
  </si>
  <si>
    <t>HALIYAL</t>
  </si>
  <si>
    <t>KANP01A064</t>
  </si>
  <si>
    <t>ASSOCIATE ENGINEERS</t>
  </si>
  <si>
    <t>KANPUR</t>
  </si>
  <si>
    <t>KANP01A144</t>
  </si>
  <si>
    <t>ALL TIME FOODS PVT LTD.</t>
  </si>
  <si>
    <t>KANP01A152</t>
  </si>
  <si>
    <t>ANANDESHWAR INDUSTRIES PVT. LTD.</t>
  </si>
  <si>
    <t>KANP01G118</t>
  </si>
  <si>
    <t>SHUBHAM GOLDIEE MASALE PVT. LTD</t>
  </si>
  <si>
    <t>KANP01J014</t>
  </si>
  <si>
    <t>JSR INDUSTRIES PVT LTD.</t>
  </si>
  <si>
    <t>KANP01K043</t>
  </si>
  <si>
    <t>KAPILA KRISHI UDYOG LTD.</t>
  </si>
  <si>
    <t>KANP01K049</t>
  </si>
  <si>
    <t>KAMDHENU CATTLE FEEDS PVT LTD</t>
  </si>
  <si>
    <t>KANP01K074</t>
  </si>
  <si>
    <t>KATARIA EDIBLES LLP</t>
  </si>
  <si>
    <t>KANP01K082</t>
  </si>
  <si>
    <t>KAPILA KRISHI UDYOG LIMITED(VARANASI)</t>
  </si>
  <si>
    <t>KANP01N077</t>
  </si>
  <si>
    <t>NATIONAL SUGAR INSTITUTE</t>
  </si>
  <si>
    <t>KANP01R096</t>
  </si>
  <si>
    <t>RAJ MILL STORE</t>
  </si>
  <si>
    <t>KANP01S206</t>
  </si>
  <si>
    <t>SRI BEHARIJI CATTTLE FEED PVT LTD</t>
  </si>
  <si>
    <t>KANP01V096</t>
  </si>
  <si>
    <t>VARDHMAN INDUSTRIES</t>
  </si>
  <si>
    <t>KANP01Y015</t>
  </si>
  <si>
    <t>YASHASWI FISH MEAL &amp; OIL</t>
  </si>
  <si>
    <t>KAPI01R060</t>
  </si>
  <si>
    <t>RELIANCE SUGAR &amp; CHEMICAL INDUSTRIES PVT LTD.</t>
  </si>
  <si>
    <t>KAPILVASTU</t>
  </si>
  <si>
    <t>KAPI01S155</t>
  </si>
  <si>
    <t>SHREE MAHALAXMI SUGARS LTD.</t>
  </si>
  <si>
    <t>KAPU01M084</t>
  </si>
  <si>
    <t>MARKFED CATTLE FEED &amp; ALLIED INDUSTRIES</t>
  </si>
  <si>
    <t>KAPURTHALA</t>
  </si>
  <si>
    <t>KARN01G048</t>
  </si>
  <si>
    <t>GOODRICH FOODTECH LTD.</t>
  </si>
  <si>
    <t>KARNAL</t>
  </si>
  <si>
    <t>KARN01G138</t>
  </si>
  <si>
    <t>GOODRICH CEREALS</t>
  </si>
  <si>
    <t>KARN01P030</t>
  </si>
  <si>
    <t>PICCADILY AGRO INDUSTRIES LTD</t>
  </si>
  <si>
    <t>KARN01T035</t>
  </si>
  <si>
    <t>THE KARNAL CO-OPERATIVE SUGAR MILLS LTD</t>
  </si>
  <si>
    <t>KARR01E001</t>
  </si>
  <si>
    <t>EID PARRY (INDIA) LTD.(PUGALUR)</t>
  </si>
  <si>
    <t>PUGALUR</t>
  </si>
  <si>
    <t>KASH01B176</t>
  </si>
  <si>
    <t>BAHL PAPER MILLS LIMITED</t>
  </si>
  <si>
    <t>KASHIPUR</t>
  </si>
  <si>
    <t>KASH01C061</t>
  </si>
  <si>
    <t>CHEEMA PAPER MILL</t>
  </si>
  <si>
    <t>KASH01H089</t>
  </si>
  <si>
    <t>HEART TOUCH PAPER MILL</t>
  </si>
  <si>
    <t>KASH01K084</t>
  </si>
  <si>
    <t>KATYAYINI PAPER MILLS PVT LTD</t>
  </si>
  <si>
    <t>KASH01P120</t>
  </si>
  <si>
    <t>PROLIFIC PAPERS PRIVATE LIMITED</t>
  </si>
  <si>
    <t xml:space="preserve">PROLIFIC PAPERS PRIVATE LIMITED </t>
  </si>
  <si>
    <t>UTTARAKHAND</t>
  </si>
  <si>
    <t>KASH01S286</t>
  </si>
  <si>
    <t>SIDHARTH PEPERS PVT. LTD.</t>
  </si>
  <si>
    <t>KAVA01B186</t>
  </si>
  <si>
    <t>BHORAMDEV SSK</t>
  </si>
  <si>
    <t>KAVARDHA</t>
  </si>
  <si>
    <t>KHAN01N009</t>
  </si>
  <si>
    <t>NAVALSINGH SAHAKARI SHAKKAR - KARKHANA MARYADIT</t>
  </si>
  <si>
    <t>KHANDWA</t>
  </si>
  <si>
    <t>KHAR01J009</t>
  </si>
  <si>
    <t>JAWAHARLAL NEHRU SAHAKARI AGRICULTURAL PRODUCE PROCESS- ING SOCIETY LTD</t>
  </si>
  <si>
    <t>KHARGONE</t>
  </si>
  <si>
    <t>KHER01B004</t>
  </si>
  <si>
    <t>BAJAJ HINDUSTAN SUGAR LTD. (PALIA SUGAR)</t>
  </si>
  <si>
    <t>KHERI</t>
  </si>
  <si>
    <t>KHER01B005</t>
  </si>
  <si>
    <t>BAJAJ HINDUSTHAN SUGAR LTD (GOLAGOKARANNATH)</t>
  </si>
  <si>
    <t>KHER01B011</t>
  </si>
  <si>
    <t>BAJAJ HINDUSTHAN SUGAR LTD. (KHAMBHARKHERA)</t>
  </si>
  <si>
    <t>KHER01D026</t>
  </si>
  <si>
    <t>DCM SHRIRAM LIMITED (DSCL SUGAR) - AJBAPUR</t>
  </si>
  <si>
    <t>KHER01G009</t>
  </si>
  <si>
    <t>GOBIND SUGAR MILLS LTD.</t>
  </si>
  <si>
    <t>KHER01K080</t>
  </si>
  <si>
    <t>KIRYANDONGO SUGAR LTD</t>
  </si>
  <si>
    <t>KHMM01K003</t>
  </si>
  <si>
    <t>KAKATIYA CEMENT SUGAR &amp; INDUSTRIES LIMITED</t>
  </si>
  <si>
    <t>KHAMMAM</t>
  </si>
  <si>
    <t>KHMM01M003</t>
  </si>
  <si>
    <t>MADHUCON SUGAR AND POWER INDUSTRIES LIMITED</t>
  </si>
  <si>
    <t>KHUR01T078</t>
  </si>
  <si>
    <t>TRIVENI ENGINEERING &amp; INDUSTRIES LTD. (sabitgarh)</t>
  </si>
  <si>
    <t>KHURJA</t>
  </si>
  <si>
    <t>KISM01K044</t>
  </si>
  <si>
    <t>KIBOS SUGAR &amp; ALLIED INDUSTRIES LTD (4500 TCD)</t>
  </si>
  <si>
    <t>KISM01K086</t>
  </si>
  <si>
    <t>KIBOS PAPER &amp; PACKAGING LTD</t>
  </si>
  <si>
    <t>KOLA01V005</t>
  </si>
  <si>
    <t>VENKATESHWARA POWER PROJECT LTD.</t>
  </si>
  <si>
    <t>BEDAKIHAL</t>
  </si>
  <si>
    <t>KOLH01A092</t>
  </si>
  <si>
    <t>AJARA SHETKARI
SAHAKARI KARKHANA</t>
  </si>
  <si>
    <t>GAVASE</t>
  </si>
  <si>
    <t>KOLH01A098</t>
  </si>
  <si>
    <r>
      <rPr>
        <sz val="11"/>
        <color theme="1"/>
        <rFont val="Calibri"/>
        <family val="2"/>
      </rPr>
      <t>ATHARV INTERTRADE PVT LTD- DISTILLARY</t>
    </r>
    <r>
      <rPr>
        <i/>
        <sz val="11"/>
        <color rgb="FFFF0000"/>
        <rFont val="Calibri"/>
        <family val="2"/>
      </rPr>
      <t xml:space="preserve"> (LEASED UNIT-DAULAT SSSK LTD.)</t>
    </r>
  </si>
  <si>
    <t>HALKARNI</t>
  </si>
  <si>
    <t>KOLH01A127</t>
  </si>
  <si>
    <t>ATHANI SUGARS LIMITED -
UNIT SHAHUWADI</t>
  </si>
  <si>
    <t>BAMBAVADE</t>
  </si>
  <si>
    <t>KOLH01D110</t>
  </si>
  <si>
    <t>DECCAN POLYMER</t>
  </si>
  <si>
    <t>KOLH01G061</t>
  </si>
  <si>
    <t>GHODAWAT CONSUMER
LIMITED (JAGGERY DIVISION)</t>
  </si>
  <si>
    <t>CHIPRI</t>
  </si>
  <si>
    <t>KOLH01I016</t>
  </si>
  <si>
    <t>INDIRA GANDHI MAHILA VIKASH SSK LTD (Renamed to Athani sugars Unit 4)</t>
  </si>
  <si>
    <t>KOLH01K048</t>
  </si>
  <si>
    <t>KUMBHI KASARI SAHAKARI SAKHAR KARKHANA LTD.</t>
  </si>
  <si>
    <t>KUDITRE</t>
  </si>
  <si>
    <t>KOLH01K101</t>
  </si>
  <si>
    <t>KARAN DISTILLERY</t>
  </si>
  <si>
    <t>KOLH01M137</t>
  </si>
  <si>
    <t>MR SPECIALITY CHEMICALS PVT LTD</t>
  </si>
  <si>
    <t>LOTE PARSHURAM</t>
  </si>
  <si>
    <t>KOLH01O009</t>
  </si>
  <si>
    <t>OM SUGARS LIMITED (ARIHANT SUGARS NEW NAME)</t>
  </si>
  <si>
    <t>KOLH01O033</t>
  </si>
  <si>
    <t>ONKAR SUGAR &amp; DISTILLERY POWER PVT LTD(Formerly RELIABLE SUGAR &amp; DISTILLERY POWER LTD)</t>
  </si>
  <si>
    <t>KOLH01P003</t>
  </si>
  <si>
    <t>PADMASHREE DR.D.Y.PATIL SAHAKARI SAKHAR KARKHNA LTD.</t>
  </si>
  <si>
    <t>PADAVALWADI</t>
  </si>
  <si>
    <t>KOLH01S003</t>
  </si>
  <si>
    <t>SADASHIVRAO MANDLIKKAGAL -TALUKA SAHAKARI SAKHAR -KARKHANA LIMITED</t>
  </si>
  <si>
    <t>HAMIDWADA</t>
  </si>
  <si>
    <t>KOLH01S032</t>
  </si>
  <si>
    <t>SHREE DUDHGANGA VEDGANGA SSK LTD</t>
  </si>
  <si>
    <t>BIDRI</t>
  </si>
  <si>
    <t>KOLH01S057</t>
  </si>
  <si>
    <t>SHREE BHOGAWATI SAHAKARI SAKHAR
KARKHANA LTD</t>
  </si>
  <si>
    <t>BHOGAWATI</t>
  </si>
  <si>
    <t>KOLH01S058</t>
  </si>
  <si>
    <t xml:space="preserve">SHRI CHHATRAPATI RAJARAM SAHAKARI
SAKHAR KARKHANA LTD.. (BAVADA) </t>
  </si>
  <si>
    <t>KASABA BAWDA</t>
  </si>
  <si>
    <t>KOLH01S060</t>
  </si>
  <si>
    <t>DALMIA BHARAT SUGAR AND INDUSTRIES LTD. (SHRI DATTA SHETKARI SAHAKARI SAKAR KARKHANA LIMITED)</t>
  </si>
  <si>
    <t>KOLH01S064</t>
  </si>
  <si>
    <t>SHRI GURUDATT SUGARS LIMITED</t>
  </si>
  <si>
    <t>Takaliwadi</t>
  </si>
  <si>
    <t>KOLH01S105</t>
  </si>
  <si>
    <t>SHREE CHHATRAPATI SHAHU SSK LTD</t>
  </si>
  <si>
    <t>KAGAL</t>
  </si>
  <si>
    <t>KOLH01S141</t>
  </si>
  <si>
    <t>SAR SENAPATI SANTAJI GHORPADE SUGAR FY. LTD.</t>
  </si>
  <si>
    <t>BELEWADI KALAMMA</t>
  </si>
  <si>
    <t>KOLH01S164</t>
  </si>
  <si>
    <t>SHRI DATTA SHETKARI SAHAKARI SAKHAR
KARKHANA LTD.</t>
  </si>
  <si>
    <t>SHIROL</t>
  </si>
  <si>
    <t>KOLH01S183</t>
  </si>
  <si>
    <t>SHREE TATYASAHEB KORE WARANA SSK LTD.</t>
  </si>
  <si>
    <t>KOLH01S203</t>
  </si>
  <si>
    <t>SHREE RENUKA SUGARS LTD. - PANCHGANGA (NS362B)</t>
  </si>
  <si>
    <t>KOLH01S293</t>
  </si>
  <si>
    <t>SHARAD SAHAKARI SAKHAR KARKHANA LTD</t>
  </si>
  <si>
    <t>KOLH01S339</t>
  </si>
  <si>
    <t>SHREE ANNAPURNA SUGAR AND JAGGERY WORKS LIMITED</t>
  </si>
  <si>
    <t>KOLH01S465</t>
  </si>
  <si>
    <t>SHRI DUTT INDIA PVT LTD - CHADCHAN (formelly Indian Sugar Manufacturing)</t>
  </si>
  <si>
    <t>CHADCHAN</t>
  </si>
  <si>
    <t>KOLH01V098</t>
  </si>
  <si>
    <t>VIRAJ CANE AND ENERGY LTD. (KHANDSARI AND JAGGERY)</t>
  </si>
  <si>
    <t>SANGLI</t>
  </si>
  <si>
    <t>KOLK01F016</t>
  </si>
  <si>
    <t>VEDANTA TRANSFORMING ELEMENTS</t>
  </si>
  <si>
    <t>KOLKATA</t>
  </si>
  <si>
    <t>KOLK01G090</t>
  </si>
  <si>
    <t>GARDEN REACH SHIP BUILDERS &amp; ENG LTD</t>
  </si>
  <si>
    <t>KOLK01S415</t>
  </si>
  <si>
    <t>SONIC THERMAL PVT LTD</t>
  </si>
  <si>
    <t>KOLK01S530</t>
  </si>
  <si>
    <t>SKIPPER LIMITED</t>
  </si>
  <si>
    <t>KRSH01K010</t>
  </si>
  <si>
    <t>KCP SUGAR AND INDUSTRIES CORPORATION LIMITED</t>
  </si>
  <si>
    <t>KURI01B055</t>
  </si>
  <si>
    <t>BAGMATI KHANDSARI SUGAR MILLS PVT LTD</t>
  </si>
  <si>
    <t>KURIYA</t>
  </si>
  <si>
    <t>KURU01T056</t>
  </si>
  <si>
    <t>THE SHAHABAD CO-OPERATIVE SUGAR MILLS LTD</t>
  </si>
  <si>
    <t>KURUKSHETRA</t>
  </si>
  <si>
    <t>KUSH01I006</t>
  </si>
  <si>
    <t>INDIAN POTASH LIMITED(V-004)</t>
  </si>
  <si>
    <t>KUSHINAGAR</t>
  </si>
  <si>
    <t>KUSH01N017</t>
  </si>
  <si>
    <t>AVADH SUGAR &amp; ENERGY LTD (DHADHA BUJURG)</t>
  </si>
  <si>
    <t>KUSH01T062</t>
  </si>
  <si>
    <t>THE UNITED PROVINCES SUGAR - COMPANY LIMITED</t>
  </si>
  <si>
    <t>KUSH01T074</t>
  </si>
  <si>
    <t>TRIVENI ENGG.&amp; INDUSTRIES LTD. (Ramkola)</t>
  </si>
  <si>
    <t>KUTC01K094</t>
  </si>
  <si>
    <t>KUTCH CHEMICAL INDUSTRIES LTD</t>
  </si>
  <si>
    <t>KUTCH</t>
  </si>
  <si>
    <t>KUTC01S044</t>
  </si>
  <si>
    <t>SHREE RENUKA SUGARS LTD. (K) (Gandhidham)</t>
  </si>
  <si>
    <t>KUTC01S409</t>
  </si>
  <si>
    <t>SHRI DUTT INDIA PVT LTD</t>
  </si>
  <si>
    <t>LAKH01M178</t>
  </si>
  <si>
    <t>MAA SHARDA KHANDSARI UDYOG</t>
  </si>
  <si>
    <t>LAKHIMPUR</t>
  </si>
  <si>
    <t>LAKM01B090</t>
  </si>
  <si>
    <t>BALRAMPUR CHINI MILLS LTD. GULARIA</t>
  </si>
  <si>
    <t>LAKHIMPUR-KHERI</t>
  </si>
  <si>
    <t>LAKM01K031</t>
  </si>
  <si>
    <t>BALRAMPUR CHINI MILLS LTD. KUMBHI</t>
  </si>
  <si>
    <t>LAKM01S138</t>
  </si>
  <si>
    <t>SARJOO SAHKARI CHINI MILLS LIMITED</t>
  </si>
  <si>
    <t>LAKM01S273</t>
  </si>
  <si>
    <t>SHIV PARVATI SUGAR INDUSTIES</t>
  </si>
  <si>
    <t>LAKM01Z003</t>
  </si>
  <si>
    <t>ZUARI INDUSTRIES LIMITED</t>
  </si>
  <si>
    <t>LATU01H034</t>
  </si>
  <si>
    <t>HANUMAN KHANDSARI SUGAR MILLS</t>
  </si>
  <si>
    <t>LATU01J017</t>
  </si>
  <si>
    <t>JAGRUTI SUGAR &amp; ALLIED INDUSTRIES LTD.</t>
  </si>
  <si>
    <t>LATU01M007</t>
  </si>
  <si>
    <t>VIKASRATNA VILASRAO DESHMUKH MANJARA (Formerly Manjara SSK )</t>
  </si>
  <si>
    <t>LATU01O034</t>
  </si>
  <si>
    <t>ONKAR SAKHAR KARKHANA PVT.LTD. UNIT-2 (LEASE SHIVAJIRAO PATIL NILANGEKAR SAHAKARI SAKHAR KARKHANA LTD.)</t>
  </si>
  <si>
    <t>LATU01R068</t>
  </si>
  <si>
    <t>RENA SAHAKARI SAKHAR KARKHANA LTD</t>
  </si>
  <si>
    <t>LATU01S289</t>
  </si>
  <si>
    <t>SHREE SAIBABA SUGARS LTD. - SHIVANI</t>
  </si>
  <si>
    <t>LATU01S397</t>
  </si>
  <si>
    <t>SHRI SANT SHIROMANI MARUTI MAHARAJ SAHAKARI SAKHAR KARKHANA LTD.</t>
  </si>
  <si>
    <t>LATU01S469</t>
  </si>
  <si>
    <t>SHETKARI SAHAKARI SAKHAR KARKHANA LTD Killari</t>
  </si>
  <si>
    <t>LATU01S470</t>
  </si>
  <si>
    <t>SHIVNERI SUGAR AND ALLIED INDUSTRIES LIMITED (Athani Sugar) (OLD JIJAMATA SUGAR POWER IND. LTD.)</t>
  </si>
  <si>
    <t>LATU01T133</t>
  </si>
  <si>
    <t>TWENTY ONE SUGAR LIMITED</t>
  </si>
  <si>
    <t>LATU01V020</t>
  </si>
  <si>
    <t>VILAS SAHAKARI SAHKHAR KARKHANA LTD UNIT -1</t>
  </si>
  <si>
    <t>LATU01V045</t>
  </si>
  <si>
    <t>VILAS SAHAKARI SAHKHAR KARKHANA LTD UNIT-2</t>
  </si>
  <si>
    <t>LEAD</t>
  </si>
  <si>
    <t>AGASTI SSK</t>
  </si>
  <si>
    <t>AKOLE</t>
  </si>
  <si>
    <t>BHAVANI KHANDSARI SUGARS LTD</t>
  </si>
  <si>
    <t>BAROOR</t>
  </si>
  <si>
    <t>DEVRISHI PAPER</t>
  </si>
  <si>
    <t>FIBER MARKS PAPER</t>
  </si>
  <si>
    <t>HIMALYAN FOOD PRODUCTS</t>
  </si>
  <si>
    <t>KAILASHI DEVI PAPER</t>
  </si>
  <si>
    <t>KHATEEMA FIBER LTD</t>
  </si>
  <si>
    <t>NAINI PAPERS</t>
  </si>
  <si>
    <t>PSB PAPER MILL</t>
  </si>
  <si>
    <t>SIDDHESHWARI PAPER MILL</t>
  </si>
  <si>
    <t xml:space="preserve">SIDDHARTH </t>
  </si>
  <si>
    <t>VISHWANATH PAPER MILL</t>
  </si>
  <si>
    <t>ASIAN FERTILIZERS</t>
  </si>
  <si>
    <t>MONNET ISPAT</t>
  </si>
  <si>
    <t>SANCHI DAIRY</t>
  </si>
  <si>
    <t>RUCHI SOYA</t>
  </si>
  <si>
    <t>SARAYA DISTILLERY</t>
  </si>
  <si>
    <t>KENISHA INDUSTRIES</t>
  </si>
  <si>
    <t>KALIRO SUGAR MILL (2500 TCD)</t>
  </si>
  <si>
    <t>SUGAR CORPORATION OF UGANDA LTD (5000TCD)</t>
  </si>
  <si>
    <t>UGANDA FARMERS CROP IND LTD (350 TCD)</t>
  </si>
  <si>
    <t>MANORAM PAINTS</t>
  </si>
  <si>
    <t>JAI KISAN AGRO</t>
  </si>
  <si>
    <t>SUDAMA CATTLE FEED</t>
  </si>
  <si>
    <t>VIPPY INDUSTRY</t>
  </si>
  <si>
    <t>DEWAS</t>
  </si>
  <si>
    <t>RAI PAPERS</t>
  </si>
  <si>
    <t>KENJA</t>
  </si>
  <si>
    <t>8th MILL</t>
  </si>
  <si>
    <t>RAINA PAPER MILL</t>
  </si>
  <si>
    <t>KHALILABAD  BASTI</t>
  </si>
  <si>
    <t>SHREYANSH PAPER MII</t>
  </si>
  <si>
    <t>AHEMADGARH</t>
  </si>
  <si>
    <t>LADHAR PAPER MILL</t>
  </si>
  <si>
    <t>BALLARPUR IND. LTD PAPER MILLS</t>
  </si>
  <si>
    <t xml:space="preserve">ALIDHRA PHARMACHEM PVT </t>
  </si>
  <si>
    <t xml:space="preserve">NANDESARI </t>
  </si>
  <si>
    <t>AMBIKA CATTLE FEEDS</t>
  </si>
  <si>
    <t>PALANPUR</t>
  </si>
  <si>
    <t xml:space="preserve">SURAT DISTRICT CO-OP MILK PRODUCTION </t>
  </si>
  <si>
    <t>NAVI PAROLI</t>
  </si>
  <si>
    <t xml:space="preserve">SAGAN DAN CATTLE FEED PLANT </t>
  </si>
  <si>
    <t xml:space="preserve">ROGUETTE INDIA PVT. LTD </t>
  </si>
  <si>
    <t>VIRAMGUM</t>
  </si>
  <si>
    <t>SHREE RAMA NEWZPRINT LTD.</t>
  </si>
  <si>
    <t xml:space="preserve">SURAT </t>
  </si>
  <si>
    <t xml:space="preserve">TIRTHAK PAPER MILL </t>
  </si>
  <si>
    <t>MORBI</t>
  </si>
  <si>
    <t xml:space="preserve">SHIVAY KRAFT PAPER MILL </t>
  </si>
  <si>
    <t>TRIDEV PAPER MILL</t>
  </si>
  <si>
    <t>AGARWAL DUPLEX</t>
  </si>
  <si>
    <t>MUZAFFERNAGAR</t>
  </si>
  <si>
    <t>ANAND TRIPLEX</t>
  </si>
  <si>
    <t>DEVPRIYA PRODUCTS</t>
  </si>
  <si>
    <t xml:space="preserve">MASWANA </t>
  </si>
  <si>
    <t>MEENU PAPERS</t>
  </si>
  <si>
    <t>HARIOM INDUSTRIES</t>
  </si>
  <si>
    <t xml:space="preserve">RAYANA PAPER MILL </t>
  </si>
  <si>
    <t xml:space="preserve">KHALILABAD </t>
  </si>
  <si>
    <t>LUCK01E034</t>
  </si>
  <si>
    <t>EVA EXOTICA PVT LTD</t>
  </si>
  <si>
    <t>LUCKNOW</t>
  </si>
  <si>
    <t>LUCK01M078</t>
  </si>
  <si>
    <t>MEGHDOOT GRAMODYOG SEWA SANSTHAN</t>
  </si>
  <si>
    <t>LUCK01S281</t>
  </si>
  <si>
    <t>SHRAWASTHI AGROTECH PVT LTD</t>
  </si>
  <si>
    <t>LUCK01S510</t>
  </si>
  <si>
    <t>SAWEN CONSULTANCY SERVICES PVT. LTD.</t>
  </si>
  <si>
    <t>LUDH01K068</t>
  </si>
  <si>
    <t>KAPILA KRISHI UDYOUG LTD</t>
  </si>
  <si>
    <t>LUDHIANA</t>
  </si>
  <si>
    <t>LUDH01S305</t>
  </si>
  <si>
    <t>SHAKTI APIFOODS PVT. LIMITED UNIT - 3</t>
  </si>
  <si>
    <t>LUDH01T017</t>
  </si>
  <si>
    <t>THE BUDHEWAL CO-OPERATIVE SUGAR MILLS LTD</t>
  </si>
  <si>
    <t>MADU01S009</t>
  </si>
  <si>
    <t>SAKTHI SUGARS LIMITED</t>
  </si>
  <si>
    <t>MADURAI</t>
  </si>
  <si>
    <t>MAHA01I005</t>
  </si>
  <si>
    <t>INDIAN POTASH LIMITED (siswabazar)</t>
  </si>
  <si>
    <t>MAHARAJGANJ</t>
  </si>
  <si>
    <t>MAJH01J015</t>
  </si>
  <si>
    <t>JAY SHREE SUGAR MILL</t>
  </si>
  <si>
    <t>MAJHAULIA</t>
  </si>
  <si>
    <t>MAJH01M073</t>
  </si>
  <si>
    <t>MAJHAULIA SUGAR INDUSTRIES PVT LTD</t>
  </si>
  <si>
    <t>MALE01N039</t>
  </si>
  <si>
    <t>NABHA PAPER MILLS PVT. LTD.</t>
  </si>
  <si>
    <t>MALERKOTLA</t>
  </si>
  <si>
    <t>MAND01C016</t>
  </si>
  <si>
    <t>COROMANDEL SUGARS LIMITED</t>
  </si>
  <si>
    <t>MANDYA</t>
  </si>
  <si>
    <t>MAND01M097</t>
  </si>
  <si>
    <t>MRN CANE POWER AND BIOREFINERIES PVT LTD Unit 1 (THE PANDAVAPURA S.S.K. LTD.)</t>
  </si>
  <si>
    <t>MAND01N023</t>
  </si>
  <si>
    <t>NSL SUGARS LTD (Koppa)</t>
  </si>
  <si>
    <t>MAND01S087</t>
  </si>
  <si>
    <t>SRI CHAMUNDESWARI SUGARS LTD.</t>
  </si>
  <si>
    <t>MEDA01G002</t>
  </si>
  <si>
    <t>GANPATI SUGAR INDUSTRIES LTD.</t>
  </si>
  <si>
    <t>MEDAK</t>
  </si>
  <si>
    <t>MERT01A188</t>
  </si>
  <si>
    <t>ANAND DUPLEX</t>
  </si>
  <si>
    <t>MEERUT</t>
  </si>
  <si>
    <t>MERT01B008</t>
  </si>
  <si>
    <t>BAJAJ HINDUSTHAN SUGAR LTD. (KINAUNI)</t>
  </si>
  <si>
    <t>MERT01D005</t>
  </si>
  <si>
    <t>DAURALA SUGAR WORKS</t>
  </si>
  <si>
    <t>MERT01I022</t>
  </si>
  <si>
    <t>INDIAN POTASH LTD.</t>
  </si>
  <si>
    <t>MERT01M037</t>
  </si>
  <si>
    <t>MAWANA SUGAR WORKS</t>
  </si>
  <si>
    <t>MERT01N005</t>
  </si>
  <si>
    <t>NANGLAMAL SUGAR COMPLEX</t>
  </si>
  <si>
    <t>MERT01S270</t>
  </si>
  <si>
    <t>SANGAL PAPERS LTD</t>
  </si>
  <si>
    <t>MERT01S481</t>
  </si>
  <si>
    <t>SHREE ULTRATECK SUGAR ENGG. CO.</t>
  </si>
  <si>
    <t>MERT01U024</t>
  </si>
  <si>
    <t>U P STATE SUGAR CORPORATION LTD (Munderwa Basti)</t>
  </si>
  <si>
    <t>MODI01M012</t>
  </si>
  <si>
    <t>MODI INDUSTRIES LTD.</t>
  </si>
  <si>
    <t>MODINAGAR</t>
  </si>
  <si>
    <t>MODI01M024</t>
  </si>
  <si>
    <t>MODI SUGAR MILLS</t>
  </si>
  <si>
    <t>MOGA01C105</t>
  </si>
  <si>
    <t>Chadda milk plant punjab</t>
  </si>
  <si>
    <t>MOGA</t>
  </si>
  <si>
    <t>MOHA01E007</t>
  </si>
  <si>
    <t>EVEREST SUGAR &amp; CHEMICALS IND. LTD.</t>
  </si>
  <si>
    <t>MORA01B170</t>
  </si>
  <si>
    <t>BHOLA RAM PAPERS &amp; POWER LTD</t>
  </si>
  <si>
    <t>MORADABAD</t>
  </si>
  <si>
    <t>MORA01D011</t>
  </si>
  <si>
    <t>DEWAN SUGARS LIMITED</t>
  </si>
  <si>
    <t>MORADABAAD</t>
  </si>
  <si>
    <t>MORA01D030</t>
  </si>
  <si>
    <t>DHAMPUR SUGAR MILLS LTD.(UNIT-ASMOLI)</t>
  </si>
  <si>
    <t>MORA01D081</t>
  </si>
  <si>
    <t>DHAMPUR BIOORGANICS LTD - UNIT ASMOLI</t>
  </si>
  <si>
    <t>MORA01D082</t>
  </si>
  <si>
    <t>DHAMPUR BIO ORGANICS LIMITED (MANSURPUR)</t>
  </si>
  <si>
    <t>MORA01K081</t>
  </si>
  <si>
    <t>KARIMGANJ BIOFUELS PVT LTD
 RANA GROUP)</t>
  </si>
  <si>
    <t>MORA01L023</t>
  </si>
  <si>
    <t>LAKSHMI JI SUGAR MILLS COMPANY LTD (SHREE AJUDHIA SUGAR MILLS)</t>
  </si>
  <si>
    <t>MORA01R009</t>
  </si>
  <si>
    <t>RANA SUGARS LIMITED (belwara)</t>
  </si>
  <si>
    <t>MORA01T076</t>
  </si>
  <si>
    <t>TRIVENI ENGINEERING &amp; INDUSTRIES LTD. (rani Nangal)</t>
  </si>
  <si>
    <t>MUDH01N144</t>
  </si>
  <si>
    <t>NIRANI SUGAR LTD(NSL-UNIT 1)(formerly N020)</t>
  </si>
  <si>
    <t>MUDH01N159</t>
  </si>
  <si>
    <t>NIRANI SUGARS LIMITED ( UNIT-III) (formerly MRNCane Power Ltd)</t>
  </si>
  <si>
    <t>MUHO01C034</t>
  </si>
  <si>
    <t>CHEMELI SUGAR MILL</t>
  </si>
  <si>
    <t>CHEMELI</t>
  </si>
  <si>
    <t>MUMB01A101</t>
  </si>
  <si>
    <t>AMBICO FOUNDOCEAN GROUTING SERVICES PVT. LTD.</t>
  </si>
  <si>
    <t>MUMBAI</t>
  </si>
  <si>
    <t>MUMB01A166</t>
  </si>
  <si>
    <t>ASTHALAXIMI SUGAR ETHANOL AND ENERGY LIMITED</t>
  </si>
  <si>
    <t>NASIK</t>
  </si>
  <si>
    <t>MUMB01L029</t>
  </si>
  <si>
    <t>LACTOSE INDIA PVT LTD</t>
  </si>
  <si>
    <t>MUMB01S497</t>
  </si>
  <si>
    <t>SIMPLIFORGE 3-D CREATION PRIVATE LIMITED</t>
  </si>
  <si>
    <t>MUMB01S509</t>
  </si>
  <si>
    <t>SILWESTER TEXTILES PVT LTD</t>
  </si>
  <si>
    <t>MUZF01B006</t>
  </si>
  <si>
    <t>BAJAJ HINDUSTHAN SUGAR LTD. (thanabhavan)</t>
  </si>
  <si>
    <t>MUZAFFARNAGAR</t>
  </si>
  <si>
    <t>MUZF01B007</t>
  </si>
  <si>
    <t>BAJAJ HINDUSTHAN SUGAR LTD. (budhana)</t>
  </si>
  <si>
    <t>MUZF01B079</t>
  </si>
  <si>
    <t>BINDALS DUPLEX LTD</t>
  </si>
  <si>
    <t>MUZF01G072</t>
  </si>
  <si>
    <t>GARG DUPLEX PAPER MILL</t>
  </si>
  <si>
    <t>MUZF01G139</t>
  </si>
  <si>
    <t>GREEN HOUSE BIO ENERGY PRIVATE LIMITED</t>
  </si>
  <si>
    <t>MUZF01I018</t>
  </si>
  <si>
    <t>INDIAN POTASH LIMITED (muzaffarnagar)</t>
  </si>
  <si>
    <t>MUZF01M212</t>
  </si>
  <si>
    <t>MOHRAJ GREENS PRIVATE LIMITED</t>
  </si>
  <si>
    <t>MUZF01R066</t>
  </si>
  <si>
    <t>RAVI ORGANICS LIMITED</t>
  </si>
  <si>
    <t>MUZF01S265</t>
  </si>
  <si>
    <t>SUYASH KRAFT &amp; PAPERS LTD.</t>
  </si>
  <si>
    <t>MUZF01S445</t>
  </si>
  <si>
    <t>SILVERTONE PULP &amp; PAPER MILL</t>
  </si>
  <si>
    <t>MUZF01S523</t>
  </si>
  <si>
    <t>SHRI VEER BALAJI PAPER MILLS</t>
  </si>
  <si>
    <t>MUZF01T068</t>
  </si>
  <si>
    <t>INDIAN POTASH LIMITED - 2I-18 © TITAWI SUGAR COMPLEX</t>
  </si>
  <si>
    <t>MUZF01T072</t>
  </si>
  <si>
    <t>TRIVENI ENGG. &amp; IND. LTD. (KHATAULI)</t>
  </si>
  <si>
    <t>MUZF01T126</t>
  </si>
  <si>
    <t>TIKAULA SUGAR MILLS LTD</t>
  </si>
  <si>
    <t>MUZF01T130</t>
  </si>
  <si>
    <t>TEHRI PUMP &amp; PAPER MILLS</t>
  </si>
  <si>
    <t>MUZF01T134</t>
  </si>
  <si>
    <t>TIRUPATI BALAJI FIBRES LIMITED</t>
  </si>
  <si>
    <t>MUZF01T135</t>
  </si>
  <si>
    <t>TIKAULA DISTILLERY (UNIT OF TIKAULA SUGAR MILLS LTD)</t>
  </si>
  <si>
    <t>MYSR01B021</t>
  </si>
  <si>
    <t>BANNARI AMMAN SUGARS LIMITED (Unit - II)</t>
  </si>
  <si>
    <t>MYSORE</t>
  </si>
  <si>
    <t>MYSR01C095</t>
  </si>
  <si>
    <t>CAUVERY BIO REFINERIES</t>
  </si>
  <si>
    <t>MYSR01M139</t>
  </si>
  <si>
    <t>MCNALLY SAYAJI ENGINEERING LTD</t>
  </si>
  <si>
    <t>NADE01T138</t>
  </si>
  <si>
    <t>THE KISAN SAHKARI CHINI MILLS LTD (NADEHI)</t>
  </si>
  <si>
    <t>NADEHI</t>
  </si>
  <si>
    <t>I</t>
  </si>
  <si>
    <t>NAGP01A114</t>
  </si>
  <si>
    <t>ANKIT PULPS &amp; BOARDS PVT LTD</t>
  </si>
  <si>
    <t>NAGPUR</t>
  </si>
  <si>
    <t>NAGP01A256</t>
  </si>
  <si>
    <t>ANKIT PULPS &amp; BOARDS PVT LTD UNIT -2</t>
  </si>
  <si>
    <t>NAGP01M090</t>
  </si>
  <si>
    <t>MEGATAJ AGROVET PVT LTD</t>
  </si>
  <si>
    <t>NAGP01N028</t>
  </si>
  <si>
    <t>NATURAL GROWERS PVT. LTD.</t>
  </si>
  <si>
    <t>BHANDARA</t>
  </si>
  <si>
    <t>NAGP01N032</t>
  </si>
  <si>
    <t>NB ENTREPRENEURS</t>
  </si>
  <si>
    <t>NAGP01N094</t>
  </si>
  <si>
    <t>NB LABORATORIES PVT LTD</t>
  </si>
  <si>
    <t>NAGP01N143</t>
  </si>
  <si>
    <t>NNOWETA PERFORMANCE CHEMICALS PVT LTD(NAGPUR)</t>
  </si>
  <si>
    <t>NAGP01T141</t>
  </si>
  <si>
    <t>TRIMURTI FEEDS</t>
  </si>
  <si>
    <t>NAGP01V024</t>
  </si>
  <si>
    <t>VENKATESHWARA POWER PROJECT LTD.(UNIT-2)</t>
  </si>
  <si>
    <t>NAIN01C053</t>
  </si>
  <si>
    <t>CENTURY PULP &amp; PAPER</t>
  </si>
  <si>
    <t>NAINITAL</t>
  </si>
  <si>
    <t>NAMA01T052</t>
  </si>
  <si>
    <t>THE SALEM CO-OPERATIVE SUGAR MILLS LTD..</t>
  </si>
  <si>
    <t>NAMAKKAL</t>
  </si>
  <si>
    <t>NANA01M062</t>
  </si>
  <si>
    <t>MUMIAS SUGAR</t>
  </si>
  <si>
    <t>NANA01N056</t>
  </si>
  <si>
    <t>NZOIA SUGAR COMPANY</t>
  </si>
  <si>
    <t>NANA01T099</t>
  </si>
  <si>
    <t>TRANSMARA SUGAR ENGG</t>
  </si>
  <si>
    <t>NAND01D089</t>
  </si>
  <si>
    <t>DR. SHANKARRAO CHAVAN JAGGERY AND AGRO</t>
  </si>
  <si>
    <t>NAND01S544</t>
  </si>
  <si>
    <t>NAND01T159</t>
  </si>
  <si>
    <t>TWENTYONE SUGARS LIMITED UNIT-III (Formerly DVP Dharashiv unit -3)</t>
  </si>
  <si>
    <t>NAND01V037</t>
  </si>
  <si>
    <t>V. P. K. AGRO FOOD PRODUCT PVT LTD</t>
  </si>
  <si>
    <t>NANE01K040</t>
  </si>
  <si>
    <t>KUNTURKAR SUGAR &amp; AGRO PVT LTD. (Formerly JAI AMBIKA SSK LTD)</t>
  </si>
  <si>
    <t>NARM01S038</t>
  </si>
  <si>
    <t>SHREE NARMADA KHAND UDYOG SAHAKARI MANDLI LTD.</t>
  </si>
  <si>
    <t>NARS01A056</t>
  </si>
  <si>
    <t>AAKRITI SUGAR MILLS PVT. LTD.</t>
  </si>
  <si>
    <t>NARSINGHPUR</t>
  </si>
  <si>
    <t>NARS01K005</t>
  </si>
  <si>
    <t>KARELI SUGAR MILL (P) LTD</t>
  </si>
  <si>
    <t>NARS01M034</t>
  </si>
  <si>
    <t>MAHAKAUSHAL SUGAR &amp; POWER IND. LTD.</t>
  </si>
  <si>
    <t>NARS01M219</t>
  </si>
  <si>
    <t>MAA VINDHYAWASINI SUGAR &amp; BIOFUELS PVT LTD</t>
  </si>
  <si>
    <t>NARS01S232</t>
  </si>
  <si>
    <t>SHAKTI SUGAR MILL PVT. LTD. NARSINGHPUR (Maheshwari Group)</t>
  </si>
  <si>
    <t>NARS01V019</t>
  </si>
  <si>
    <t>VANSHIKA SUGAR &amp; POWER INDUSTRIES LTD</t>
  </si>
  <si>
    <t>NASK01B165</t>
  </si>
  <si>
    <t>BARAMATI AGRO LIMITED-FEEDMILL</t>
  </si>
  <si>
    <t>NASK01L027</t>
  </si>
  <si>
    <t>KARMVEER KAKASAHEB WAGH SAHAKARI SAKHAR KARKHANA LTD ( LEASE OF ASHOK BANKAR NAGARI PATSANSTHA LTD )</t>
  </si>
  <si>
    <t>NASK01S494</t>
  </si>
  <si>
    <t>SECURITY PRINTING AND MINTING CORP. OF INDIA LIMITED</t>
  </si>
  <si>
    <t>NAVS01S005</t>
  </si>
  <si>
    <t>SAHAKARI KHAND UDYOG  MANDAL LIMITED (Gandevi sugar mill)</t>
  </si>
  <si>
    <t>NAVSARI</t>
  </si>
  <si>
    <t>NDHI01S228</t>
  </si>
  <si>
    <t>SUKARI INDUSTRIES LTD</t>
  </si>
  <si>
    <t>NDHIWA</t>
  </si>
  <si>
    <t>NIZA01G003</t>
  </si>
  <si>
    <t>GAYATRI SUGARS LTD. (KAMAREDDY UNIT)</t>
  </si>
  <si>
    <t>NIZAMABAD</t>
  </si>
  <si>
    <t>NIZA01G004</t>
  </si>
  <si>
    <t>GAYATRI SUGARS LTD. (8S-5)</t>
  </si>
  <si>
    <t>KAMAREDDY</t>
  </si>
  <si>
    <t>NODA01B147</t>
  </si>
  <si>
    <t>BAJAJ ENERGY LTD</t>
  </si>
  <si>
    <t>UTTAR PRADESH</t>
  </si>
  <si>
    <t>NODA01C069</t>
  </si>
  <si>
    <t>CELLUTECH PHARMA PVT. LTD.</t>
  </si>
  <si>
    <t>NOIDA</t>
  </si>
  <si>
    <t>NODA01F036</t>
  </si>
  <si>
    <t>THE FIJI SUGAR CORPORATION LTD</t>
  </si>
  <si>
    <t>NODA01S455</t>
  </si>
  <si>
    <t>SPSBIO-CHEM PRIVATE LIMITED</t>
  </si>
  <si>
    <t>NODA01S514</t>
  </si>
  <si>
    <t>SmartBrains Engineers and Technologist Pvt. Ltd</t>
  </si>
  <si>
    <t>NODA01U021</t>
  </si>
  <si>
    <t>UTTAM SUGAR MILLS LTD</t>
  </si>
  <si>
    <t>NUND01A094</t>
  </si>
  <si>
    <t>AAYAN MULTITRADE LLP</t>
  </si>
  <si>
    <t>NANDURBAR</t>
  </si>
  <si>
    <t>NUND01O049</t>
  </si>
  <si>
    <t>ONKAR SUGAR &amp; ALLIED IND LTD UNIT - 9 (Formerly SHREE NAGAI DEVI SUGAR) (formerly shree satpuda tapi parisai ssk)</t>
  </si>
  <si>
    <t>NUND01S159</t>
  </si>
  <si>
    <t>SHRIKRISHNA KHANDSARI SUGAR MILLS</t>
  </si>
  <si>
    <t>OSMA01A097</t>
  </si>
  <si>
    <t>OSMA01B060</t>
  </si>
  <si>
    <t>BHAIRAVNATH SUGAR WORKS LIMITED Unit 5(Washi)</t>
  </si>
  <si>
    <t>OSMA01B063</t>
  </si>
  <si>
    <t>BHAIRAVNATH SUGAR WORKS UNIT-1</t>
  </si>
  <si>
    <t>SONARI</t>
  </si>
  <si>
    <t>OSMA01D016</t>
  </si>
  <si>
    <t>DHARASHIV SAKHAR KARKHANA LTD.</t>
  </si>
  <si>
    <t>OSMA01D076</t>
  </si>
  <si>
    <t>DR. BABASAHEB AMBEDKAR SSK LTD.</t>
  </si>
  <si>
    <t>KeshegaonTal- Dharashiv Dist- Dharashiv</t>
  </si>
  <si>
    <t>OSMA01L011</t>
  </si>
  <si>
    <t>LOKMANGAL MAULI INDUSTRIES LIMITED</t>
  </si>
  <si>
    <t>OSMA01M184</t>
  </si>
  <si>
    <t>MANJRA SUGAR INDUSTRIES PRIVATE LTD (formerly GANGA CANE ENERGY PVT LTD (Formerly KANCHESHWAR SUGAR LTD)</t>
  </si>
  <si>
    <t>OSMA01N031</t>
  </si>
  <si>
    <t>NATURAL SUGAR AND ALLIED INDUSTRIES LTD.</t>
  </si>
  <si>
    <t>OSMA01Q002</t>
  </si>
  <si>
    <t>QUINERGY INDUSTRIES LTD</t>
  </si>
  <si>
    <t>OSMA01R048</t>
  </si>
  <si>
    <t>RUPAMATA  AGROTECH PVT LTD (ROOPMATA NATURAL SUGAR)</t>
  </si>
  <si>
    <t>OSMA01S402</t>
  </si>
  <si>
    <t>SHREE SIDDHIVINAYAK AGRITECH INDUSTRIES LTD. (KHANDSARI AND JAGGERY)</t>
  </si>
  <si>
    <t>OSMA01S569</t>
  </si>
  <si>
    <t>PALA01B079</t>
  </si>
  <si>
    <t>BANASKANTHA DISTRICT CO-OPERATIVE MILK PRODUCERS UNION LTD-Palanpur</t>
  </si>
  <si>
    <t>PALA01B130</t>
  </si>
  <si>
    <t>BANASKANTHA DISTRICT CO-OP. MILK PRODUCERS' UNION LTD.- Katarwa</t>
  </si>
  <si>
    <t>PALA01S412</t>
  </si>
  <si>
    <t>SHRI UMA CATTLE FEEDS (P) LTD</t>
  </si>
  <si>
    <t>-</t>
  </si>
  <si>
    <t>PALA01S568</t>
  </si>
  <si>
    <t>SHRI GURU OIL INDUSTRIES</t>
  </si>
  <si>
    <t>PANA01A254</t>
  </si>
  <si>
    <t>ALCOGRAIN DISTILLERS</t>
  </si>
  <si>
    <t>PANAGARH</t>
  </si>
  <si>
    <t>PANC01S267</t>
  </si>
  <si>
    <t>S.R. PARYAVARAN ENGINEERS PVT LTD</t>
  </si>
  <si>
    <t>PANCHKULA</t>
  </si>
  <si>
    <t>PANI01F044</t>
  </si>
  <si>
    <t>FASH HOME INTERNATIONAL PVT LTD (PANIPAT)</t>
  </si>
  <si>
    <t>PANIPAT</t>
  </si>
  <si>
    <t>PANI01G020</t>
  </si>
  <si>
    <t>HARYANA ORGANICS</t>
  </si>
  <si>
    <t>PANI01H046</t>
  </si>
  <si>
    <t>HOME FLOOR INTERNATIONAL</t>
  </si>
  <si>
    <t>PANI01J083</t>
  </si>
  <si>
    <t>JAI BALA JI TEXTILE</t>
  </si>
  <si>
    <t>PANI01L048</t>
  </si>
  <si>
    <t>LIBERTY FLOORINGS PVT LTD</t>
  </si>
  <si>
    <t>PANI01S242</t>
  </si>
  <si>
    <t>SHREE LAXMI THREADS</t>
  </si>
  <si>
    <t>PANI01S259</t>
  </si>
  <si>
    <t>SHREE LAXMI RUBBER UDYOG</t>
  </si>
  <si>
    <t>PANI01S262</t>
  </si>
  <si>
    <t>SHREE LAXMI CREATION</t>
  </si>
  <si>
    <t>PANI01T051</t>
  </si>
  <si>
    <t>THE PANIPAT CO-OP. SUGAR MILLS LTD.</t>
  </si>
  <si>
    <t>PARB01B061</t>
  </si>
  <si>
    <t>BALIRAJA SAKHAR KARKHANA LTD.  KANADKHED</t>
  </si>
  <si>
    <t>PARB01G001</t>
  </si>
  <si>
    <t>GANGAKHED SUGAR &amp; ENERGY LTD.</t>
  </si>
  <si>
    <t>PARB01G125</t>
  </si>
  <si>
    <t>G7 SUGAR LIMITED (Formerly Gangakhed)</t>
  </si>
  <si>
    <t>PARB01S112</t>
  </si>
  <si>
    <t>SHREE RENUKA SUGARS LTD. (Pathari-parbhani)</t>
  </si>
  <si>
    <t>PARB01T088</t>
  </si>
  <si>
    <t>SHREE LAXMI NARSHINHA SUGAR LLP</t>
  </si>
  <si>
    <t>PARB01T142</t>
  </si>
  <si>
    <t>TWENTYONE SUGARS LTD - UNIT-2</t>
  </si>
  <si>
    <t>PARB01Y004</t>
  </si>
  <si>
    <t>YOGESHWARI SUGAR IND. LTD</t>
  </si>
  <si>
    <t>PATI01V010</t>
  </si>
  <si>
    <t>VISHAL PAPERTECH (INDIA) LTD.</t>
  </si>
  <si>
    <t>PATIALA</t>
  </si>
  <si>
    <t>PATN01M102</t>
  </si>
  <si>
    <t>MATESHWARI PAPER MILL PVT LTD</t>
  </si>
  <si>
    <t>PATNA</t>
  </si>
  <si>
    <t>PATN01U068</t>
  </si>
  <si>
    <t>UTKARSH BIOPULSE</t>
  </si>
  <si>
    <t>PERA01D012</t>
  </si>
  <si>
    <t>DHANALAKSHMI SRINIVASAN SUGARS PVT. LTD (VV Sugars)</t>
  </si>
  <si>
    <t>PERAMBALUR</t>
  </si>
  <si>
    <t>PERA01P011</t>
  </si>
  <si>
    <t>PERAMBALUR SUGAR MILLS LTD.</t>
  </si>
  <si>
    <t>PHAG01G102</t>
  </si>
  <si>
    <t>GOLDEN SANDHAR MILLS LTD (formerly Wahid Sandar Sugars Ltd)</t>
  </si>
  <si>
    <t>PHAGWARA</t>
  </si>
  <si>
    <t>PILI01B014</t>
  </si>
  <si>
    <t>BAJAJ HINDUSTHAN SUGAR LTD.(BARKHERA)</t>
  </si>
  <si>
    <t>PILIBHIT</t>
  </si>
  <si>
    <t>PILI01B038</t>
  </si>
  <si>
    <t>BISALPUR KISAN SAHAKARI CHINI MILLS LTD.</t>
  </si>
  <si>
    <t>PILI01L001</t>
  </si>
  <si>
    <t>L.H. SUGAR FACTORIES LTD.</t>
  </si>
  <si>
    <t>PILI01L025</t>
  </si>
  <si>
    <t>L.H .SUGAR FACTORIES LIMITED (DISTILLERY DIV.)</t>
  </si>
  <si>
    <t>PILI01N049</t>
  </si>
  <si>
    <t>NOVEL SUGAR LIMITED</t>
  </si>
  <si>
    <t>PUNA01G109</t>
  </si>
  <si>
    <t>GANGA CANE ENERGY PVT LTD (KANCHESHWAR SUGAR LTD)</t>
  </si>
  <si>
    <t>MangrulTal- Tuljapur Dist- Dharashiv</t>
  </si>
  <si>
    <t>PUNE01A030</t>
  </si>
  <si>
    <t>ANURAJ SUGARS LTD.</t>
  </si>
  <si>
    <t>PUNE01A122</t>
  </si>
  <si>
    <t>ANVI AGRO</t>
  </si>
  <si>
    <t>PUNE01A200</t>
  </si>
  <si>
    <t>Athani Sugar Limited-Ii (Bambawade)</t>
  </si>
  <si>
    <t>PUNE01B027</t>
  </si>
  <si>
    <t>BARAMATI AGRO LIMITED</t>
  </si>
  <si>
    <t>PUNE01B032</t>
  </si>
  <si>
    <t>BHIMA SAHAKARI SAKHAR KARKHANA LTD</t>
  </si>
  <si>
    <t>Takali-sikandar tal- mohol dist- solapur</t>
  </si>
  <si>
    <t>PUNE01B033</t>
  </si>
  <si>
    <t>BHIMASHANKAR SAHAKARI SAKHAR KARKHANA LTD.</t>
  </si>
  <si>
    <t>PUNE01B076</t>
  </si>
  <si>
    <t>BARAMATI AGRO LIMITED BARAMATI</t>
  </si>
  <si>
    <t>PUNE01B085</t>
  </si>
  <si>
    <t>BARAMATI AGRO LTD - DISTILLERY</t>
  </si>
  <si>
    <t>PUNE01D004</t>
  </si>
  <si>
    <t>DAUND SUGAR PVT LTD.ALEGAON (KADAM VASTI)</t>
  </si>
  <si>
    <t>PUNE01D088</t>
  </si>
  <si>
    <t>DECCAN SUGAR PVT. LTD.</t>
  </si>
  <si>
    <t>YAVATMAL</t>
  </si>
  <si>
    <t>PUNE01F045</t>
  </si>
  <si>
    <t>Fluid Flow Engineers</t>
  </si>
  <si>
    <t>PUNE01G105</t>
  </si>
  <si>
    <t>GAURI SUGAR AND DISTILLERIES PVT LTD (Formerly Shri Saikrupa)</t>
  </si>
  <si>
    <t>PUNE01G122</t>
  </si>
  <si>
    <t xml:space="preserve">GUDAGUNTI SUGAR &amp; BIOENERGY PVT. LTD(FORMERLY  ARIHANT SUGAR) </t>
  </si>
  <si>
    <t>UDAPUDI</t>
  </si>
  <si>
    <t>PUNE01K078</t>
  </si>
  <si>
    <t>KANHAIYYA AGRO</t>
  </si>
  <si>
    <t>PUNE01K125</t>
  </si>
  <si>
    <t>KUNJIR BIOENERGY INDIA LLP</t>
  </si>
  <si>
    <t>PUNE01K129</t>
  </si>
  <si>
    <t>KBK BIOTECH PRIVATE LIMITED</t>
  </si>
  <si>
    <t>PUNE01M130</t>
  </si>
  <si>
    <t>MRN BHIMA SUGAR AND POWER PVT LTD</t>
  </si>
  <si>
    <t>PUNE01N019</t>
  </si>
  <si>
    <t>NIRA - BHIMA SAHAKARI SAKHAR -KARKHANA LTD</t>
  </si>
  <si>
    <t>PUNE01O038</t>
  </si>
  <si>
    <t>OM TOOLS &amp; PRESSING WORKS PUNE</t>
  </si>
  <si>
    <t>PUNE01O047</t>
  </si>
  <si>
    <t>OSG GREEN ENERGY PVT LTD-UNIT12 (formerly Onkar group/Anuraj sugars)</t>
  </si>
  <si>
    <t>PUNE01O052</t>
  </si>
  <si>
    <t>ONKAR SUGAR AND DISTILLERY POWER PRIVATE LIMITED UNIT-11 (formerly KARMYOGI SHANKARRAOJI PATIL SAHAKARI SAKHAR KARKHANA LTD)</t>
  </si>
  <si>
    <t>INDAPUR</t>
  </si>
  <si>
    <t>PUNE01P016</t>
  </si>
  <si>
    <t>PRAVIN MASALEWALE</t>
  </si>
  <si>
    <t>PUNE01P052</t>
  </si>
  <si>
    <t>PARAG AGRO FOODS &amp; ALLIED PRODUCTS PVT LTD</t>
  </si>
  <si>
    <t>Tal- shirur dist- pune</t>
  </si>
  <si>
    <t>PUNE01P165</t>
  </si>
  <si>
    <t>PTC WATERTECH LLP</t>
  </si>
  <si>
    <t>PUNE01S050</t>
  </si>
  <si>
    <t>SHRI SOMESHWAR SAHAKARI SAKHAR KARKHANA LTD</t>
  </si>
  <si>
    <t>Someshwar Nagar PUNE</t>
  </si>
  <si>
    <t>PUNE01S054</t>
  </si>
  <si>
    <t>SHREENATH MHASKOBA SAKHAR KARKHANA LTD</t>
  </si>
  <si>
    <t>Pune</t>
  </si>
  <si>
    <t>PUNE01S059</t>
  </si>
  <si>
    <t>SHRI CHHATRAPATI SAHAKARI SAKHAR KARKHANA LTD.</t>
  </si>
  <si>
    <t>PUNE01S073</t>
  </si>
  <si>
    <t>SHRI VIGHNAHAR SAHAKARI SAKHAR KARKHANA LTD.</t>
  </si>
  <si>
    <t>PUNE01S137</t>
  </si>
  <si>
    <t>SHRADDHA  ENERGY AND INFRAPROJECTS PVT LTD</t>
  </si>
  <si>
    <t>PUNE01S254</t>
  </si>
  <si>
    <t>SHRI SANT TUKARAM SSK LTD</t>
  </si>
  <si>
    <t>PUNE01S278</t>
  </si>
  <si>
    <t>SHIVAJI SERVICE STATION (SUGAR UNIT)</t>
  </si>
  <si>
    <t>PUNE01S302</t>
  </si>
  <si>
    <t>SONAI EATABLES INDIA LTD</t>
  </si>
  <si>
    <t>PUNE01T039</t>
  </si>
  <si>
    <t>THE MALEGAON SSK LTD</t>
  </si>
  <si>
    <t>PUNE01T177</t>
  </si>
  <si>
    <t>PUNE01V006</t>
  </si>
  <si>
    <t>VENKETESH KRUPPA SUGAR-MILLS LTd</t>
  </si>
  <si>
    <t>Jategaon tal- shirur dist- pune</t>
  </si>
  <si>
    <t>PUNE01Y005</t>
  </si>
  <si>
    <t>YEDESHWARI AGRO PRODUCT LTD</t>
  </si>
  <si>
    <t>RAIG01P012</t>
  </si>
  <si>
    <t>PIDILITE INDUSTRIES LIMITED</t>
  </si>
  <si>
    <t>RAIGAD</t>
  </si>
  <si>
    <t>RAIP01R088</t>
  </si>
  <si>
    <t>R.R.ISPAT</t>
  </si>
  <si>
    <t>RAIPUR</t>
  </si>
  <si>
    <t>RAMP01C055</t>
  </si>
  <si>
    <t>CHADHA PAPERS LIMITED</t>
  </si>
  <si>
    <t>RAMPUR</t>
  </si>
  <si>
    <t>RAMP01R011</t>
  </si>
  <si>
    <t>RANA SUGARS LIMITED (Kareemganj/shahabad - rampur)</t>
  </si>
  <si>
    <t>RAMP01R018</t>
  </si>
  <si>
    <t>RUDRA-BILAS KISAN SAHKARI CHINI MILLS LTD.</t>
  </si>
  <si>
    <t>RAMP01T075</t>
  </si>
  <si>
    <t>TRIVENI ENGINEERING&amp; INDUSTRIES LTD (rampur)</t>
  </si>
  <si>
    <t>RANI01B153</t>
  </si>
  <si>
    <t>BHAVANI DISTILLERIRS &amp; CHEMICALS LTD</t>
  </si>
  <si>
    <t>RNCH01U032</t>
  </si>
  <si>
    <t>URANIUM CORPORATION OF INDIA LIMITED</t>
  </si>
  <si>
    <t>RANCHI</t>
  </si>
  <si>
    <t>ROHT01T026</t>
  </si>
  <si>
    <t>THE HARYANA CO-OP. SUGAR MILLS LTD.</t>
  </si>
  <si>
    <t>ROHTAK</t>
  </si>
  <si>
    <t>ROPR01T040</t>
  </si>
  <si>
    <t>THE MORINDA CO-OP. SUGAR MILLS LIMITED</t>
  </si>
  <si>
    <t>ROPAR</t>
  </si>
  <si>
    <t>ROTH01S264</t>
  </si>
  <si>
    <t>SHREE BABA BAIJUNATH SUGAR &amp; CHEMICAL IND PVT LTD</t>
  </si>
  <si>
    <t>RAUTAHAT</t>
  </si>
  <si>
    <t>SAHA01B013</t>
  </si>
  <si>
    <t>BAJAJ HINDUSTHAN SUGAR LTD. (GANGNAULI)</t>
  </si>
  <si>
    <t>SAHARANPUR</t>
  </si>
  <si>
    <t>SAHA01D007</t>
  </si>
  <si>
    <t>DAYA SUGAR</t>
  </si>
  <si>
    <t>SAHA01H004</t>
  </si>
  <si>
    <t>HINDON FILTERS (P) LTD. (UNIT-II)</t>
  </si>
  <si>
    <t>SAHA01K028</t>
  </si>
  <si>
    <t>KISAN SAHKARI CHINI MILLS LTD. (NANAUTA)</t>
  </si>
  <si>
    <t>SAHA01R091</t>
  </si>
  <si>
    <t>R. C. PAPER MACHINE</t>
  </si>
  <si>
    <t>SAHA01S020</t>
  </si>
  <si>
    <t>SHAKUMBARI SUGAR AND ALLIED INDUSTRIES LTD.</t>
  </si>
  <si>
    <t>SAHA01T073</t>
  </si>
  <si>
    <t>TRIVENI ENGG.&amp; INDS. LTD. (deoband)</t>
  </si>
  <si>
    <t>SAHA01T119</t>
  </si>
  <si>
    <t>THE KISAN CO-OPERATIVE SUGAR FACTORY LTD (Sarsawa)</t>
  </si>
  <si>
    <t>SAHA01W004</t>
  </si>
  <si>
    <t>WAVE INDUSTRIES PVT. LTD.</t>
  </si>
  <si>
    <t>SAHJ01B015</t>
  </si>
  <si>
    <t>BAJAJ HINDUSTHAN SUGAR LTD. (MAQSUDPUR)</t>
  </si>
  <si>
    <t>SHAHJAHANPUR</t>
  </si>
  <si>
    <t>SAHJ01D052</t>
  </si>
  <si>
    <t>DALMIA BHARAT SUGAR &amp; INDUSTRIES LTD- NIGOHI</t>
  </si>
  <si>
    <t>SAHJ01R043</t>
  </si>
  <si>
    <t>AVADH SUGAR &amp; ENERGY LTD. (ROSA SHAHJAHANPUR)</t>
  </si>
  <si>
    <t>SAHJ01R057</t>
  </si>
  <si>
    <t>RAJSHREE FINE CHEMICAL INDUSTRIES INDIA PVT. LTD.</t>
  </si>
  <si>
    <t>SAHJ01S451</t>
  </si>
  <si>
    <t>SKPN INDUSTRIES</t>
  </si>
  <si>
    <t>SAHJ01T036</t>
  </si>
  <si>
    <t>THE KISAN SAHKARI CHINI MILLS LTD. (Tilhar) (Shahjahanpur)</t>
  </si>
  <si>
    <t>SAHJ01T128</t>
  </si>
  <si>
    <t>THE KISAN SHAKARI CHINI MILLS LTD (POWAYAN)</t>
  </si>
  <si>
    <t>SAMB01C008</t>
  </si>
  <si>
    <t xml:space="preserve">CHHATRAPATI SAMBHAJI RAJE  SAKHAR UDYOG LIMITED </t>
  </si>
  <si>
    <t>SAMP01K026</t>
  </si>
  <si>
    <t>KISAN SAH. CHINI MILLS LTD. (sampurnanagar)</t>
  </si>
  <si>
    <t>SAMPURNANAGAR</t>
  </si>
  <si>
    <t>SANG01B141</t>
  </si>
  <si>
    <t xml:space="preserve">BHARTI SUGAR AND FUELS PVT LTD </t>
  </si>
  <si>
    <t>SANG01H009</t>
  </si>
  <si>
    <t>PADMABHUSHAN KRANTIVEER DR. NAGNATHANNA NAYAKAWADI (HUTATMA SSK)</t>
  </si>
  <si>
    <t>PADWALWADI</t>
  </si>
  <si>
    <t>SANG01K021</t>
  </si>
  <si>
    <t>KRANTIAGRANI DR. G. D. BAPU SSK</t>
  </si>
  <si>
    <t>KUNDAL</t>
  </si>
  <si>
    <t>SANG01M018</t>
  </si>
  <si>
    <t>MANGANGA SAHAKARI SAKHAR KARKHANA LTD.</t>
  </si>
  <si>
    <t>SANG01N052</t>
  </si>
  <si>
    <t>DALMIA BHARAT SUGAR AND INDUSTRIES LTD (NINAIDEVI)</t>
  </si>
  <si>
    <t>SANGOLI</t>
  </si>
  <si>
    <t>SANG01N179</t>
  </si>
  <si>
    <t>N D PATIL SUGAR LTD</t>
  </si>
  <si>
    <t>WAGHWADI</t>
  </si>
  <si>
    <t>SANG01O051</t>
  </si>
  <si>
    <t>ONKAR SAKHAR KARKHANA PVT LTD UNIT-16 (formerly Raigaon sugars_R105)</t>
  </si>
  <si>
    <t>SANG01R002</t>
  </si>
  <si>
    <t>RAJARAMBAPU PATIL SSK- UNIT-2 DISTILLERY</t>
  </si>
  <si>
    <t>SAKHARALE</t>
  </si>
  <si>
    <t>SANG01R003</t>
  </si>
  <si>
    <t>RAJARAMBAPU PATIL SSK-UNIT1</t>
  </si>
  <si>
    <t>SANG01R004</t>
  </si>
  <si>
    <t>RAJARAMBAPU PATIL SSK-UNIT5</t>
  </si>
  <si>
    <t>KARANDWADI</t>
  </si>
  <si>
    <t>SANG01R005</t>
  </si>
  <si>
    <t>RAJARAMBAPU PATIL SAHAKARI SAKHAR KARKHANA LTD.(UNIT-IV)</t>
  </si>
  <si>
    <t>SANG01S082</t>
  </si>
  <si>
    <t>DR. PATANGRAO KADAM SONHIRA SAHAKARI
SAKHAR KARKHANA LTD</t>
  </si>
  <si>
    <t>WANGI</t>
  </si>
  <si>
    <t>SANG01S117</t>
  </si>
  <si>
    <t>SADGURU SRI SRI SAKHAR KARKHANA LTD.</t>
  </si>
  <si>
    <t>SANG01S238</t>
  </si>
  <si>
    <t>SHRI DUTT INDIA PVT. LTD.</t>
  </si>
  <si>
    <t>SANG01S294</t>
  </si>
  <si>
    <t>SHRIPATI SUGAR &amp; POWER LTD</t>
  </si>
  <si>
    <t>SANG01S436</t>
  </si>
  <si>
    <t>S.G.Z. AND S.G.A. SUGARS LTD. (TASGAON - PALUS SAKHAR KARKHANA)(previously take over by sharad ssk but will see who will take over)</t>
  </si>
  <si>
    <t>SANG01U007</t>
  </si>
  <si>
    <t>UDAGIRI SUGAR &amp; POWER LTD.</t>
  </si>
  <si>
    <t>SANR01M039</t>
  </si>
  <si>
    <t>MAGHAN PAPER MILLS</t>
  </si>
  <si>
    <t>SANGRUR</t>
  </si>
  <si>
    <t>SATA01A025</t>
  </si>
  <si>
    <t>AJINKYATARA SSK LTD</t>
  </si>
  <si>
    <t>Shendre</t>
  </si>
  <si>
    <t>SATA01A178</t>
  </si>
  <si>
    <t>ATHANI SUGAR LTD. (RAYAT)</t>
  </si>
  <si>
    <t>Shewalewadi</t>
  </si>
  <si>
    <t>SATA01B145</t>
  </si>
  <si>
    <t>LOKNETE BALASAHEB DESAI SAHAKARI SAKHAR KARKHANA</t>
  </si>
  <si>
    <t>DOULATNAGAR</t>
  </si>
  <si>
    <t>SATA01G023</t>
  </si>
  <si>
    <t>GREEN POWER SUGARS LTD.</t>
  </si>
  <si>
    <t>Gopuj</t>
  </si>
  <si>
    <t>SATA01J012</t>
  </si>
  <si>
    <t>JAYWANT SUGARS LIMITED</t>
  </si>
  <si>
    <t>SATA01J036</t>
  </si>
  <si>
    <t>JARANDESHWAR SUGAR MILLS PVT LTD</t>
  </si>
  <si>
    <t>SATA01K054</t>
  </si>
  <si>
    <t>KISAN VEER KHANDALA SAHAKARI SAKHAR UDYOG</t>
  </si>
  <si>
    <t>KHANDALA</t>
  </si>
  <si>
    <t>SATA01K069</t>
  </si>
  <si>
    <t>KHATAVMAN TALUKA AGRO PROCESSING LTD.</t>
  </si>
  <si>
    <t>Podal</t>
  </si>
  <si>
    <t>SATA01N047</t>
  </si>
  <si>
    <t>Sakharwadi</t>
  </si>
  <si>
    <t>SATA01S076</t>
  </si>
  <si>
    <t>KALLAPPANNA AWADE JAWAHAR SHETKARI SSK LTD.</t>
  </si>
  <si>
    <t>Phaltan</t>
  </si>
  <si>
    <t>SATA01S161</t>
  </si>
  <si>
    <t>SWARAJ GREEN POWER AND FUEL LTD</t>
  </si>
  <si>
    <t>Upalave</t>
  </si>
  <si>
    <t>SATA01S190</t>
  </si>
  <si>
    <t>SHARAYU AGRO INDUSTRIES LTD.</t>
  </si>
  <si>
    <t>Kapashi</t>
  </si>
  <si>
    <t>SATA01S295</t>
  </si>
  <si>
    <t>SAHYADRI SSK LTD.</t>
  </si>
  <si>
    <t>YASHAWANT NAGAR</t>
  </si>
  <si>
    <t>SATA01Y003</t>
  </si>
  <si>
    <t>YM KRISHNA SSK</t>
  </si>
  <si>
    <t>Rethare</t>
  </si>
  <si>
    <t>SATH01K020</t>
  </si>
  <si>
    <t>KOTHARI SUGARS &amp;CHEMICALS LTD</t>
  </si>
  <si>
    <t>Perambalur</t>
  </si>
  <si>
    <t>SEOH01A105</t>
  </si>
  <si>
    <t>AVADH SUGAR &amp; ENERGY LTD (Seohara)</t>
  </si>
  <si>
    <t>SEOHARA</t>
  </si>
  <si>
    <t>SHAM01M113</t>
  </si>
  <si>
    <t>MARUTI PAPERS LTD</t>
  </si>
  <si>
    <t>SHAMLI</t>
  </si>
  <si>
    <t>SHAM01M170</t>
  </si>
  <si>
    <t>MARUTI PAPERS PRIVATE LIMITED</t>
  </si>
  <si>
    <t>SHAM01N096</t>
  </si>
  <si>
    <t>NIKITA PAPER LIMITED</t>
  </si>
  <si>
    <t>SHAM01S176</t>
  </si>
  <si>
    <t>SUPERIOR FOOD GRAINS PVT. LTD.</t>
  </si>
  <si>
    <t>SHAM01S233</t>
  </si>
  <si>
    <t>SIR SHADI LAL ENTERPRISES LIMITED</t>
  </si>
  <si>
    <t>SIRM01M085</t>
  </si>
  <si>
    <t>METRO DECORATIVE PVT LTD</t>
  </si>
  <si>
    <t>SIRMOUR</t>
  </si>
  <si>
    <t>SIRM01R052</t>
  </si>
  <si>
    <t>RUCHIRA PAPERS LIMITED</t>
  </si>
  <si>
    <t>SITM01R015</t>
  </si>
  <si>
    <t>RIGA SUGAR CO. LTD.</t>
  </si>
  <si>
    <t>SITAMARHI</t>
  </si>
  <si>
    <t>SITP01A087</t>
  </si>
  <si>
    <t>AVADH SUGAR &amp; ENERGY LTD. (HARGAON)</t>
  </si>
  <si>
    <t>SITAPUR</t>
  </si>
  <si>
    <t>SITP01D049</t>
  </si>
  <si>
    <t>DALMIA BHARAT SUGAR &amp; INDUSTRIES LTD-RAMGARH</t>
  </si>
  <si>
    <t>SITP01D053</t>
  </si>
  <si>
    <t>DALMIA BHARAT SUGAR &amp; INDUSTRIES LTD- JAWAHARPUR</t>
  </si>
  <si>
    <t>SITP01T054</t>
  </si>
  <si>
    <t>THE SEKSARIA BISWAN SUGAR FACTORY LTD</t>
  </si>
  <si>
    <t>SITP01T125</t>
  </si>
  <si>
    <t>THE KISAN SAHKARI CHINI MILLS LTD. (mahmudabad)</t>
  </si>
  <si>
    <t>SOLP01A119</t>
  </si>
  <si>
    <t>ASHTI SUGAR LIMITED (formerly AUDAMBARRAOJI PATIL S K L)</t>
  </si>
  <si>
    <t>SOLP01A150</t>
  </si>
  <si>
    <t>AUTADE SUGAR AND DISTILLERIES PVT LTD (FORMERLY FABTEC)</t>
  </si>
  <si>
    <t>KATRAL</t>
  </si>
  <si>
    <t>SOLP01B043</t>
  </si>
  <si>
    <t>BHAIRAVNATH SUGAR WORKS UNIT-2</t>
  </si>
  <si>
    <t>TALUKA KARMALA</t>
  </si>
  <si>
    <t>SOLP01B057</t>
  </si>
  <si>
    <t>BHAIRAVNATH SUGAR WORKS UNIT-3</t>
  </si>
  <si>
    <t>LAVANGI MANGALWEDHA SOLAPUR</t>
  </si>
  <si>
    <t>SOLP01B065</t>
  </si>
  <si>
    <t>BABANRAOJI SHINDE
SUGAR &amp; ALLIED
INDUSTRIES LTD</t>
  </si>
  <si>
    <t>BARSHI</t>
  </si>
  <si>
    <t>SOLP01B078</t>
  </si>
  <si>
    <t>BHAIRAVNATH SUGARS WORKS UNIT-4</t>
  </si>
  <si>
    <t>SOLP01D075</t>
  </si>
  <si>
    <t>DHARASHIV SAKHAR KARKHANA LTD.- SANCHALIT(Unit 4)(Operated by SANGOLA Taluka SSK L)</t>
  </si>
  <si>
    <t>SOLP01D093</t>
  </si>
  <si>
    <t>DARSHANA SOLVENT EXTACTION PVT LTD</t>
  </si>
  <si>
    <t>SOLP01G033</t>
  </si>
  <si>
    <t>GOKUL SUGAR INDUSTRIES LTD.</t>
  </si>
  <si>
    <t>DhotriTal- South solapur Dist- Solapur</t>
  </si>
  <si>
    <t>SOLP01G143</t>
  </si>
  <si>
    <t>GEETANJALI SUGARS PRIVATE LTD</t>
  </si>
  <si>
    <t>SOLP01I011</t>
  </si>
  <si>
    <t>INDRESHWAR SUGAR MILLS LTD</t>
  </si>
  <si>
    <t>SOLP01J006</t>
  </si>
  <si>
    <t>JAKRAYA SUGAR LIMITED</t>
  </si>
  <si>
    <t>Watwateanchgaon tal- mohol dist- solapur</t>
  </si>
  <si>
    <t>SOLP01J034</t>
  </si>
  <si>
    <t xml:space="preserve">JAI HIND SUGAR PVT LTD </t>
  </si>
  <si>
    <t>SOLP01K143</t>
  </si>
  <si>
    <t>KAMALABHAVANI GLOBAL CORP LTD (formerly VITTHAL REFINED SUGARS LTD )</t>
  </si>
  <si>
    <t>SOLP01L007</t>
  </si>
  <si>
    <t>LOKMANGAL AGRO INDUSTRIES LTD</t>
  </si>
  <si>
    <t>SOLP01L008</t>
  </si>
  <si>
    <t>LOKMANGAL SUGAR ETHANOL &amp; CO-GENERATION IND LTD</t>
  </si>
  <si>
    <t>SOLP01L009</t>
  </si>
  <si>
    <t>LOKNETE BABURAO PATIL AGRO INDUSTRIES LTD.</t>
  </si>
  <si>
    <t>SOLP01L053</t>
  </si>
  <si>
    <t>GEETANJALI SUGARS PRIVATE LIMITED (formerly Lokshakti Sugars)</t>
  </si>
  <si>
    <t>SOLP01M033</t>
  </si>
  <si>
    <t>MATOSHRI LAXMI SUGAR CO-GENERATION INDUSTRIES LTD.</t>
  </si>
  <si>
    <t>SOLP01O018</t>
  </si>
  <si>
    <t>ONKAR SAKHAR KARKHANA PVT LTD</t>
  </si>
  <si>
    <t>SOLP01O039</t>
  </si>
  <si>
    <t>ONKAR SUGAR CORPORATION PVT LTD-UNIT-6 (formerly Vitthal corporation)</t>
  </si>
  <si>
    <t>SOLP01P146</t>
  </si>
  <si>
    <t>PARVATI ENGINEERS</t>
  </si>
  <si>
    <t>SOLP01S039</t>
  </si>
  <si>
    <t>SHREE PANDURANG SAHAKARI SAKHAR KARKHANA LTD. SANGOLA TALUKA</t>
  </si>
  <si>
    <t>SOLP01S070</t>
  </si>
  <si>
    <t>SHRI SANT DAMAJI SAHAKARI SAKHAR KARKHANA LTD</t>
  </si>
  <si>
    <t>Mangalwedha tal- mangalwedha dist- solapur</t>
  </si>
  <si>
    <t>SOLP01S071</t>
  </si>
  <si>
    <t>SANT KURUMDAS SAHAKARI SAKHAR KARKHANA LTD.</t>
  </si>
  <si>
    <t>SOLP01S074</t>
  </si>
  <si>
    <t>SHRI VITTHAL SSK LTD</t>
  </si>
  <si>
    <t>SOLP01S100</t>
  </si>
  <si>
    <t>SHREE SIDDHESHWAR SAHAKARI
SAKHAR KARKHANA LTD.</t>
  </si>
  <si>
    <t>SOLP01S121</t>
  </si>
  <si>
    <t>SITARAM MAHARAJ SAKHAR KARKHANA
(KHARDI) LTD.</t>
  </si>
  <si>
    <t>SOLP01S156</t>
  </si>
  <si>
    <t>SIDDHANATH SUGAR MILLS LTD.</t>
  </si>
  <si>
    <t>Tirhe tal- north solapurdist- solapur</t>
  </si>
  <si>
    <t>SOLP01S296</t>
  </si>
  <si>
    <t>SAHAKAR SHIROMANI VASANTRAO KALE SSK LTD (SUGAR)</t>
  </si>
  <si>
    <t>SOLP01S562</t>
  </si>
  <si>
    <t>SHIVGIRI AGRO SUGAR WORKS PVT LTD (Formerly Bhairavnath sugar works unit 2)</t>
  </si>
  <si>
    <t>SOLP01U018</t>
  </si>
  <si>
    <t>UTOPIAN SUGARS LIMITED</t>
  </si>
  <si>
    <t>Pantnagar-kacharewadi tal- mangalwedha dist-solapur</t>
  </si>
  <si>
    <t>SOLP01V014</t>
  </si>
  <si>
    <t>VITTHALRAO SHINDE SSK LTD UNIT-1</t>
  </si>
  <si>
    <t>SOLP01V029</t>
  </si>
  <si>
    <t>VITTHAL REFINED SUGARS LTD.</t>
  </si>
  <si>
    <t>SOLP01V043</t>
  </si>
  <si>
    <t>VITTHALRAO SHINDE SSK LTD UNIT-2</t>
  </si>
  <si>
    <t>SOLP01V115</t>
  </si>
  <si>
    <t>VRINDAVAN SUGAR AND ALLIED PRODUCTS LLP (Formerly INDRESHWAR SUGAR MILLS LTD_I011)</t>
  </si>
  <si>
    <t>SONI01C002</t>
  </si>
  <si>
    <t>CH. DEVI LAL CO-OPERATIVE SUGAR MILLS LTD.</t>
  </si>
  <si>
    <t>SONIPAT</t>
  </si>
  <si>
    <t>SONI01T102</t>
  </si>
  <si>
    <t>THE SONIPAT CO-OP. SUGAR MILLS LTD</t>
  </si>
  <si>
    <t>SONI01U053</t>
  </si>
  <si>
    <t>UP ALUM PVT. LTD. LALPUR</t>
  </si>
  <si>
    <t>LALPUR</t>
  </si>
  <si>
    <t>SRIG01R039</t>
  </si>
  <si>
    <t>RAJASTHAN STATE GANGANAGAR SUGAR MILLS LTD</t>
  </si>
  <si>
    <t>SRIGANGANAGAR</t>
  </si>
  <si>
    <t>SRIK01P008</t>
  </si>
  <si>
    <t>EID PARRY (INDIA) LIMITED(SANKILI)</t>
  </si>
  <si>
    <t>SANKILI</t>
  </si>
  <si>
    <t>SULT01K018</t>
  </si>
  <si>
    <t>KISAN SAHKARI CHINI MILLS LTD. (sultanpur)</t>
  </si>
  <si>
    <t>SULTANPUR</t>
  </si>
  <si>
    <t>SUNS01E003</t>
  </si>
  <si>
    <t>EASTERN SUGAR MILLS LTD.</t>
  </si>
  <si>
    <t>SURA01A252</t>
  </si>
  <si>
    <t>ArcelorMittal Nippon Steel India Pvt Ltd</t>
  </si>
  <si>
    <t>SURA01B150</t>
  </si>
  <si>
    <t>BALAR BIOTECHNOLOGIES PVT LTD</t>
  </si>
  <si>
    <t>SURA01G134</t>
  </si>
  <si>
    <t>GANGAA OORJA LLP</t>
  </si>
  <si>
    <t>SURAT</t>
  </si>
  <si>
    <t>SURA01S030</t>
  </si>
  <si>
    <t>SHREE CHALTHAN VIBHAG KHAND UDYOG SAHAKARI MANDLI LTD.</t>
  </si>
  <si>
    <t>SURA01S033</t>
  </si>
  <si>
    <t>SHREE KAMREJ VIBHAG SAHAKARI KHAND UDYOG MANDLI LTD.</t>
  </si>
  <si>
    <t>SURA01S034</t>
  </si>
  <si>
    <t>SHREE KHEDUT SAHAKARI KHAND UDYOG MANDLI LTD. (Bardoli sugar mill)</t>
  </si>
  <si>
    <t>SURA01S036</t>
  </si>
  <si>
    <t>SHREE MADHI VIBHAG KHAND UDYOG SAHAKARI MANDLI LIMITED</t>
  </si>
  <si>
    <t>SURA01S049</t>
  </si>
  <si>
    <t>SHREE SAYAN VIBHAG SAHAKARI KHAND UDYOG MANDLI LTD</t>
  </si>
  <si>
    <t>SURA01S143</t>
  </si>
  <si>
    <t>SHREE MAHUVA PRADESH SAHAKARI KHAND UDYOG MANDLI LTD.</t>
  </si>
  <si>
    <t>SURA01S146</t>
  </si>
  <si>
    <t>SHREE KANTHA VIBHAG SAHAKARI KHAND UDYOG MANDLI LTD.</t>
  </si>
  <si>
    <t>SURA01S291</t>
  </si>
  <si>
    <t>SHREE UKAI P.S.K.U.M. LTD. - VYARA</t>
  </si>
  <si>
    <t>SURA01S434</t>
  </si>
  <si>
    <t>SURAT-TAPI DISTRICT CO-OPERATIVE MILK PRODUCERS UNION LTD</t>
  </si>
  <si>
    <t>SURE01C104</t>
  </si>
  <si>
    <t>CMR Aluminium Private Limited-GJ</t>
  </si>
  <si>
    <t>SURENDRANAGAR</t>
  </si>
  <si>
    <t>TAPI01C014</t>
  </si>
  <si>
    <t>COPER CO-OPERATIVE SUGAR LTD.</t>
  </si>
  <si>
    <t>TAPI</t>
  </si>
  <si>
    <t>TAPI01K126</t>
  </si>
  <si>
    <t>KEDARESHWAR KHANDSARI UDYOG PVT LTD. (Formerly-SHREE KEDARESHWAR KHANDSARI UDYOG)</t>
  </si>
  <si>
    <t>TAPI01S063</t>
  </si>
  <si>
    <t>SHREE GOVARDHAN SUGAR INDUSTRIES(KHANDSARI)</t>
  </si>
  <si>
    <t>TAPI01S360</t>
  </si>
  <si>
    <t>SUMUL CATTLE FEED PLANT</t>
  </si>
  <si>
    <t>TAPI01S426</t>
  </si>
  <si>
    <t>SHREE UKAI PRADESH SAHAKARI KHAND UDYOG MANDLI LTD</t>
  </si>
  <si>
    <t>TARN01R025</t>
  </si>
  <si>
    <t>RANA SUGAR LIMITED (lauhka)</t>
  </si>
  <si>
    <t>TARN TARAN</t>
  </si>
  <si>
    <t>THAN01A026</t>
  </si>
  <si>
    <t>AKRY ORGANICS PVT. LTD.</t>
  </si>
  <si>
    <t>THANE</t>
  </si>
  <si>
    <t>THAN01T002</t>
  </si>
  <si>
    <t>TECHNOCRAFT INDUSTRIES (INDIA) LTD.</t>
  </si>
  <si>
    <t>THNJ01A033</t>
  </si>
  <si>
    <t>ARIGNAR ANNA SUGAR MILLS</t>
  </si>
  <si>
    <t>THANJAVUR</t>
  </si>
  <si>
    <t>THNJ01T189</t>
  </si>
  <si>
    <t>THIRU AROORAN SUGARS LIMITED</t>
  </si>
  <si>
    <t>Thanjavur</t>
  </si>
  <si>
    <t>TIRU01B024</t>
  </si>
  <si>
    <t>BANNARI AMMAN SUGARS LTD. (Unit - IV)</t>
  </si>
  <si>
    <t>TIRUVANNAMALAI</t>
  </si>
  <si>
    <t>TIRU01T018</t>
  </si>
  <si>
    <t>THE CHEYYAR CO-OPERATIVE SUGAR MILLS LTD</t>
  </si>
  <si>
    <t>TIRV01D013</t>
  </si>
  <si>
    <t>DHARANI SUGARS AND CHEMICALS LIMITED - POLUR</t>
  </si>
  <si>
    <t>TRIC01K019</t>
  </si>
  <si>
    <t>KOTHARI SUGARS &amp; CHEMICALS LTD</t>
  </si>
  <si>
    <t>TALUKTRICHY</t>
  </si>
  <si>
    <t>TRUL01T098</t>
  </si>
  <si>
    <t>TIRUTTANI CO-OP. SUGAR MILLS LTD</t>
  </si>
  <si>
    <t>TIRUVALLUR</t>
  </si>
  <si>
    <t>TUMK01J003</t>
  </si>
  <si>
    <t>J.P. DISTILLERIES PVT. LTD</t>
  </si>
  <si>
    <t>TUMKUR</t>
  </si>
  <si>
    <t>UDAI01M163</t>
  </si>
  <si>
    <t>MOTHER MIND FOODS PVT LTD</t>
  </si>
  <si>
    <t>UDAIPUR</t>
  </si>
  <si>
    <t>UDAM01H097</t>
  </si>
  <si>
    <t>DEVKHAND CANE AGRO (HYDROCHEM SPECIALITIES CHEMICALS)</t>
  </si>
  <si>
    <t>UDHAMSINGHNAGAR</t>
  </si>
  <si>
    <t>UDAM01I017</t>
  </si>
  <si>
    <t>INDIA GLYCOLS LTD</t>
  </si>
  <si>
    <t>UDAM01J054</t>
  </si>
  <si>
    <t>JGN SUGAR &amp; BIOFUELS PVT LTD</t>
  </si>
  <si>
    <t>UDAM01K014</t>
  </si>
  <si>
    <t>KICHHA SUGAR COMPANY LTD</t>
  </si>
  <si>
    <t>UDAM01K083</t>
  </si>
  <si>
    <t>KATYAYINI TISSUES PVT LTD</t>
  </si>
  <si>
    <t>UDAM01T123</t>
  </si>
  <si>
    <t>THE KISAN SAHKARI CHINI MILLS LTD - (SITARGANJ)</t>
  </si>
  <si>
    <t>UDUP01S561</t>
  </si>
  <si>
    <t>SPV ONEENERGY PRODUCTS PVT LTD (Mash Make)</t>
  </si>
  <si>
    <t>UDUPI</t>
  </si>
  <si>
    <t>UGAN01B179</t>
  </si>
  <si>
    <t>BUSIA SUGAR MILL</t>
  </si>
  <si>
    <t>UGAN01G025</t>
  </si>
  <si>
    <t>G. M. SUGAR LTD (4000 TCD)</t>
  </si>
  <si>
    <t>UGAN01H043</t>
  </si>
  <si>
    <t>HOIMA SUGARS LIMITED</t>
  </si>
  <si>
    <t>UGAN01K027</t>
  </si>
  <si>
    <t>KINYARA SUGAR LIMITED</t>
  </si>
  <si>
    <t>UGAN01K032</t>
  </si>
  <si>
    <t>KAKIRA SUGAR LTD (10000 TCD)</t>
  </si>
  <si>
    <t>UGAN01M076</t>
  </si>
  <si>
    <t>MODERN DISTILLERS LTD</t>
  </si>
  <si>
    <t>UJJA01G070</t>
  </si>
  <si>
    <t>GRASIM INDUSTRIES LIMITED</t>
  </si>
  <si>
    <t>UJJAIN</t>
  </si>
  <si>
    <t>UNNA01A093</t>
  </si>
  <si>
    <t>ACI OILS PVT LTD</t>
  </si>
  <si>
    <t>UNNAO</t>
  </si>
  <si>
    <t>UNNA01R054</t>
  </si>
  <si>
    <t>RIMJHIM STAINLESS LIMITED</t>
  </si>
  <si>
    <t>UNNA01R116</t>
  </si>
  <si>
    <t>RIMJHIM ISPAT LIMITED</t>
  </si>
  <si>
    <t>VADO01S052</t>
  </si>
  <si>
    <t>SHREE VADODARA DISTRICT CO-OP.SUGARCANE -</t>
  </si>
  <si>
    <t>VADODARA</t>
  </si>
  <si>
    <t>VADO01V047</t>
  </si>
  <si>
    <t>VOLUBIT LUBRICANTS INDUSTRIES</t>
  </si>
  <si>
    <t>VAPI01G064</t>
  </si>
  <si>
    <t>GROWVEO</t>
  </si>
  <si>
    <t>VAPI</t>
  </si>
  <si>
    <t>VARA01A102</t>
  </si>
  <si>
    <t>AMRIT VARSHA CATTLE FEED PLANT</t>
  </si>
  <si>
    <t>VARANASI</t>
  </si>
  <si>
    <t>VARA01T217</t>
  </si>
  <si>
    <t>TROCKS FISH FEEDS</t>
  </si>
  <si>
    <t>VELL01T060</t>
  </si>
  <si>
    <t>THE TIRUPATTUR CO-OPERATIVE SUGAR MILLS LTD</t>
  </si>
  <si>
    <t>VELLORE</t>
  </si>
  <si>
    <t>VELL01T063</t>
  </si>
  <si>
    <t>THE VELLORE CO-OPERATIVE SUGAR MILLS LTD</t>
  </si>
  <si>
    <t>VIJA01S212</t>
  </si>
  <si>
    <t>SHREE BHIMASHANKAR SSK NIYAMIT</t>
  </si>
  <si>
    <t>DHULKED</t>
  </si>
  <si>
    <t>VIJA01S432</t>
  </si>
  <si>
    <t>SRI SAI BASAVA SUGARS LTD. (Formerly Manali sugars Ltd)</t>
  </si>
  <si>
    <t>VILL01C006</t>
  </si>
  <si>
    <t>CHENGALRAYAN CO-OPERATIVE SUGAR MILLS LTD.</t>
  </si>
  <si>
    <t>VILLUPURAM</t>
  </si>
  <si>
    <t>VILL01R006</t>
  </si>
  <si>
    <t>RAJSHREE SUGARS &amp;CHEMICALS LTD (Unit-II)</t>
  </si>
  <si>
    <t>Villupuram</t>
  </si>
  <si>
    <t>VILL01T032</t>
  </si>
  <si>
    <t>THE KALLAKURICHI CO-OPERATIVE SUGAR MILLS LTD.</t>
  </si>
  <si>
    <t>VILL01T033</t>
  </si>
  <si>
    <t>THE KALLAKURICHI II CO-OP. SUGAR MILLS LTD.</t>
  </si>
  <si>
    <t>VIRU01S496</t>
  </si>
  <si>
    <t>SNJ DISTILLERS PRIVATE LTD (Ambalika sugar)</t>
  </si>
  <si>
    <t>VIRUDHACHALAM</t>
  </si>
  <si>
    <t>VISA01S124</t>
  </si>
  <si>
    <t>SRI VIJAYA VISAKHA MILLK PRODUCERS COMPANY LTD.</t>
  </si>
  <si>
    <t>VISAKHAPATNAM</t>
  </si>
  <si>
    <t>VISH01T019</t>
  </si>
  <si>
    <t>THE CHODAVARAM CO-OPERATIVE SUGARS LIMITED</t>
  </si>
  <si>
    <t>CHODAVARAM</t>
  </si>
  <si>
    <t>WANA01N093</t>
  </si>
  <si>
    <t>NSL KRISHNAVENI SUGARS LIMITED</t>
  </si>
  <si>
    <t>MANDALWANAPARTHY</t>
  </si>
  <si>
    <t>WARA01S192</t>
  </si>
  <si>
    <t xml:space="preserve">SHREE TATYASAHEB KORE WARANA SSK </t>
  </si>
  <si>
    <t>WARANA NAGAR</t>
  </si>
  <si>
    <t>WEBU01B069</t>
  </si>
  <si>
    <t>BUTALI SUGAR MILLS LIMITED</t>
  </si>
  <si>
    <t>WEBUYE</t>
  </si>
  <si>
    <t>WSCH01H001</t>
  </si>
  <si>
    <t>HARINAGAR SUGAR MILLS LIMITED</t>
  </si>
  <si>
    <t>WEST CHAMARAN</t>
  </si>
  <si>
    <t>WSCH01H008</t>
  </si>
  <si>
    <t>HPCL BIOFUELS LTD. (LAURIYA)</t>
  </si>
  <si>
    <t>WSCH01M066</t>
  </si>
  <si>
    <t>MAGADH SUGAR &amp; ENERGY LTD (NARKATIAGANJ)</t>
  </si>
  <si>
    <t>WSCH01M116</t>
  </si>
  <si>
    <t>MAJHAULIA SUGAR INDUSTRIES (Jay shree)</t>
  </si>
  <si>
    <t>WSGO01T012</t>
  </si>
  <si>
    <t>THE ANDHRA SUGARS LTD</t>
  </si>
  <si>
    <t>WEST GODAVARI</t>
  </si>
  <si>
    <t>YADG01C015</t>
  </si>
  <si>
    <t>CORE GREEN SUGAR AND FUELS PVT. LTD.</t>
  </si>
  <si>
    <t>YADGIR</t>
  </si>
  <si>
    <t>YAMN01S015</t>
  </si>
  <si>
    <t>SARASWATI SUGAR MILLS LIMITED</t>
  </si>
  <si>
    <t>YAMUNA NAGAR</t>
  </si>
  <si>
    <t>YAMN01S480</t>
  </si>
  <si>
    <t>SPS BIO-CHEM PRIVATE LIMITED</t>
  </si>
  <si>
    <t>HARYANA</t>
  </si>
  <si>
    <t>SIDDHARTH PAPER MILL</t>
  </si>
  <si>
    <t xml:space="preserve">MAGAN PAPER MILL </t>
  </si>
  <si>
    <t>SANGANUR</t>
  </si>
  <si>
    <t xml:space="preserve">GRAIN SPAIN NUTRITION </t>
  </si>
  <si>
    <t>AHAMEDABAD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</si>
</sst>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i/>
      <sz val="11"/>
      <color theme="1"/>
      <name val="Calibri"/>
      <family val="2"/>
    </font>
    <font>
      <i/>
      <sz val="11"/>
      <color rgb="FFFF0000"/>
      <name val="Calibri"/>
      <family val="2"/>
    </font>
    <font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EF2CB"/>
        <bgColor rgb="FFFEF2CB"/>
      </patternFill>
    </fill>
  </fills>
  <borders count="4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2" borderId="0" xfId="0" applyFont="1" applyFill="1" applyAlignment="1">
      <alignment horizontal="center" vertical="center"/>
    </xf>
    <xf numFmtId="0" fontId="0" fillId="0" borderId="0" xfId="0"/>
    <xf numFmtId="1" fontId="2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3" fontId="3" fillId="0" borderId="0" xfId="0" applyNumberFormat="1" applyFont="1" applyAlignment="1">
      <alignment vertical="center"/>
    </xf>
    <xf numFmtId="0" fontId="2" fillId="3" borderId="0" xfId="0" applyFont="1" applyFill="1" applyAlignment="1">
      <alignment horizontal="center" vertical="center"/>
    </xf>
    <xf numFmtId="1" fontId="2" fillId="3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3" fontId="3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1" fontId="4" fillId="4" borderId="1" xfId="0" applyNumberFormat="1" applyFont="1" applyFill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4" fillId="0" borderId="1" xfId="0" applyNumberFormat="1" applyFont="1" applyBorder="1" applyAlignment="1">
      <alignment vertical="center"/>
    </xf>
    <xf numFmtId="1" fontId="3" fillId="0" borderId="1" xfId="0" applyNumberFormat="1" applyFont="1" applyBorder="1" applyAlignment="1">
      <alignment vertical="center"/>
    </xf>
    <xf numFmtId="9" fontId="3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1" fontId="4" fillId="0" borderId="1" xfId="0" applyNumberFormat="1" applyFont="1" applyBorder="1" applyAlignment="1">
      <alignment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center" wrapText="1"/>
    </xf>
    <xf numFmtId="14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vertical="center" wrapText="1"/>
    </xf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3" fillId="4" borderId="0" xfId="0" applyFont="1" applyFill="1" applyAlignment="1">
      <alignment vertical="center"/>
    </xf>
    <xf numFmtId="1" fontId="3" fillId="0" borderId="0" xfId="0" applyNumberFormat="1" applyFont="1" applyAlignment="1">
      <alignment vertical="center"/>
    </xf>
    <xf numFmtId="9" fontId="3" fillId="0" borderId="0" xfId="0" applyNumberFormat="1" applyFont="1" applyAlignment="1">
      <alignment vertical="center"/>
    </xf>
  </cellXfs>
  <cellStyles count="1">
    <cellStyle name="Normal" xfId="0" builtinId="0"/>
  </cellStyles>
  <dxfs count="2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ohammedFarhan\Downloads\Master%20Client%20sheet-4.xlsx" TargetMode="External"/><Relationship Id="rId1" Type="http://schemas.openxmlformats.org/officeDocument/2006/relationships/externalLinkPath" Target="file:///C:\Users\MohammedFarhan\Downloads\Master%20Client%20sheet-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 clients"/>
      <sheetName val="summary"/>
      <sheetName val="Sheet1"/>
      <sheetName val="Pivot Table 4"/>
      <sheetName val="Competitor data"/>
      <sheetName val="Sheet15"/>
      <sheetName val="DB-NI"/>
      <sheetName val="DB-SS"/>
      <sheetName val="DB-AV"/>
      <sheetName val="DB-PD"/>
      <sheetName val="DB-MRK"/>
      <sheetName val="DB-VG"/>
      <sheetName val="DB-GS"/>
      <sheetName val="DB-SV"/>
    </sheetNames>
    <sheetDataSet>
      <sheetData sheetId="0">
        <row r="3">
          <cell r="F3" t="str">
            <v>Code</v>
          </cell>
          <cell r="G3" t="str">
            <v>Customer Name</v>
          </cell>
          <cell r="H3" t="str">
            <v>Business start on</v>
          </cell>
          <cell r="I3" t="str">
            <v>Group</v>
          </cell>
          <cell r="J3" t="str">
            <v>Market Type</v>
          </cell>
          <cell r="K3" t="str">
            <v>Industry</v>
          </cell>
          <cell r="L3" t="str">
            <v>Sugar/Non-sugar</v>
          </cell>
          <cell r="M3" t="str">
            <v>Client Type</v>
          </cell>
          <cell r="N3" t="str">
            <v>Plant capacity</v>
          </cell>
          <cell r="O3" t="str">
            <v>Mill TCD/TPD</v>
          </cell>
          <cell r="P3" t="str">
            <v>RIL Rep.</v>
          </cell>
          <cell r="Q3" t="str">
            <v>Primary RIL Rep.</v>
          </cell>
          <cell r="R3" t="str">
            <v>Secondary RIL Rep.</v>
          </cell>
          <cell r="S3" t="str">
            <v>Google Location</v>
          </cell>
          <cell r="T3" t="str">
            <v>Tour Name</v>
          </cell>
          <cell r="U3" t="str">
            <v>Last Visits F.Y.</v>
          </cell>
          <cell r="V3" t="str">
            <v>Last Visits Month</v>
          </cell>
          <cell r="W3" t="str">
            <v>Visited on (Dates)</v>
          </cell>
        </row>
        <row r="4">
          <cell r="F4" t="str">
            <v>HOSH01A001</v>
          </cell>
          <cell r="G4" t="str">
            <v>A. B. SUGARS LTD</v>
          </cell>
          <cell r="H4">
            <v>2013</v>
          </cell>
          <cell r="I4" t="str">
            <v>-</v>
          </cell>
          <cell r="J4" t="str">
            <v>Domestic</v>
          </cell>
          <cell r="K4" t="str">
            <v>Sugar</v>
          </cell>
          <cell r="L4" t="str">
            <v>Sugar</v>
          </cell>
          <cell r="M4" t="str">
            <v>End User</v>
          </cell>
          <cell r="N4" t="str">
            <v>(9001 &amp; above)</v>
          </cell>
          <cell r="O4">
            <v>10000</v>
          </cell>
          <cell r="P4" t="str">
            <v>NI</v>
          </cell>
          <cell r="Q4" t="str">
            <v>AKSHAY AWASTHI</v>
          </cell>
          <cell r="S4" t="str">
            <v>https://share.google/gTzLtQ9qmY772rNVg</v>
          </cell>
          <cell r="T4" t="str">
            <v>HARYANA + PUNJAB</v>
          </cell>
          <cell r="U4" t="str">
            <v>25-26</v>
          </cell>
          <cell r="W4" t="str">
            <v>19-02-2026
22-12-2025
 12-07-2025
 31-01-2025
 28-09-2024
 01-11-2023
 23-03-2023
 26-10-2021
 17-03-2021
 18-02-2020
 29-12-2019
 07-09-2019</v>
          </cell>
        </row>
        <row r="5">
          <cell r="F5" t="str">
            <v>NARS01A056</v>
          </cell>
          <cell r="G5" t="str">
            <v>AAKRITI SUGAR MILLS PVT. LTD. (maheshwari group)</v>
          </cell>
          <cell r="H5" t="str">
            <v>21-22</v>
          </cell>
          <cell r="I5" t="str">
            <v>Maheshwari Group</v>
          </cell>
          <cell r="J5" t="str">
            <v>Domestic</v>
          </cell>
          <cell r="K5" t="str">
            <v>Sugar</v>
          </cell>
          <cell r="L5" t="str">
            <v>Sugar</v>
          </cell>
          <cell r="M5" t="str">
            <v>Group (Mills)</v>
          </cell>
          <cell r="N5" t="str">
            <v>(0-5000)</v>
          </cell>
          <cell r="O5">
            <v>5000</v>
          </cell>
          <cell r="P5" t="str">
            <v>NI</v>
          </cell>
          <cell r="Q5" t="str">
            <v>AVIRAL SHUKLA</v>
          </cell>
          <cell r="S5" t="str">
            <v>https://maps.app.goo.gl/aHVyxB9QGaMWfcWo6</v>
          </cell>
          <cell r="T5" t="str">
            <v>M.P -1</v>
          </cell>
          <cell r="U5" t="str">
            <v>25-26</v>
          </cell>
          <cell r="V5" t="str">
            <v>Mar</v>
          </cell>
          <cell r="W5" t="str">
            <v>19-03-2026
16-09-2025
 04-03-2025
 19-07-2024
 29-02-2024</v>
          </cell>
        </row>
        <row r="6">
          <cell r="F6" t="str">
            <v>THAN01B192</v>
          </cell>
          <cell r="G6" t="str">
            <v>BMS INDUSTRIES PRIVATE LIMITED</v>
          </cell>
          <cell r="H6" t="str">
            <v>25-26</v>
          </cell>
          <cell r="J6" t="str">
            <v>Domestic</v>
          </cell>
          <cell r="L6" t="str">
            <v>Non-Sugar</v>
          </cell>
          <cell r="M6" t="str">
            <v>End User</v>
          </cell>
          <cell r="P6" t="str">
            <v>NI</v>
          </cell>
          <cell r="Q6" t="str">
            <v>AVIRAL SHUKLA</v>
          </cell>
          <cell r="S6" t="str">
            <v>https://maps.app.goo.gl/marZAryKgKPRPwHg7</v>
          </cell>
        </row>
        <row r="7">
          <cell r="F7" t="str">
            <v>NUND01A094</v>
          </cell>
          <cell r="G7" t="str">
            <v>AAYAN MULTITRADE LLP (ASTORIA AGRO &amp; ALLIED INDUSTRIE)</v>
          </cell>
          <cell r="H7">
            <v>2014</v>
          </cell>
          <cell r="I7" t="str">
            <v>Powar Group</v>
          </cell>
          <cell r="J7" t="str">
            <v>Domestic</v>
          </cell>
          <cell r="K7" t="str">
            <v>Sugar</v>
          </cell>
          <cell r="L7" t="str">
            <v>Sugar</v>
          </cell>
          <cell r="M7" t="str">
            <v>Group (Mills)</v>
          </cell>
          <cell r="N7" t="str">
            <v>(5001-9000)</v>
          </cell>
          <cell r="O7">
            <v>7500</v>
          </cell>
          <cell r="P7" t="str">
            <v>AV</v>
          </cell>
          <cell r="Q7" t="str">
            <v>AV</v>
          </cell>
          <cell r="R7" t="str">
            <v>PD</v>
          </cell>
          <cell r="S7" t="str">
            <v>https://share.google/3fvyCjVJFoU7NtMKN</v>
          </cell>
          <cell r="T7" t="str">
            <v>Nasik_Nandurbar - 1</v>
          </cell>
          <cell r="U7" t="str">
            <v>24-25</v>
          </cell>
          <cell r="W7">
            <v>45440</v>
          </cell>
        </row>
        <row r="8">
          <cell r="F8" t="str">
            <v>OSMA01A097</v>
          </cell>
          <cell r="G8" t="str">
            <v>AAYAN MULTITRADE LLP(BANGANGA SAHAKARI SAKHAR KARKHANA)</v>
          </cell>
          <cell r="H8">
            <v>2019</v>
          </cell>
          <cell r="I8" t="str">
            <v>Powar Group</v>
          </cell>
          <cell r="J8" t="str">
            <v>Domestic</v>
          </cell>
          <cell r="K8" t="str">
            <v>Sugar</v>
          </cell>
          <cell r="L8" t="str">
            <v>Sugar</v>
          </cell>
          <cell r="M8" t="str">
            <v>Group (Mills)</v>
          </cell>
          <cell r="N8" t="str">
            <v>(5001-9000)</v>
          </cell>
          <cell r="O8">
            <v>6000</v>
          </cell>
          <cell r="P8" t="str">
            <v>AV</v>
          </cell>
          <cell r="Q8" t="str">
            <v>AV</v>
          </cell>
          <cell r="R8" t="str">
            <v>PD</v>
          </cell>
          <cell r="S8" t="str">
            <v>https://maps.app.goo.gl/SXsay6j64ZUy1Xcm6</v>
          </cell>
          <cell r="T8" t="str">
            <v>Dharashiv - 1</v>
          </cell>
          <cell r="U8" t="str">
            <v>24-25</v>
          </cell>
          <cell r="W8" t="str">
            <v>06-05-2024
27-03-2024</v>
          </cell>
        </row>
        <row r="9">
          <cell r="F9" t="str">
            <v>DHAK01A051</v>
          </cell>
          <cell r="G9" t="str">
            <v>ABDUL MONEM SUGAR REFINERY LTD</v>
          </cell>
          <cell r="H9">
            <v>2013</v>
          </cell>
          <cell r="I9" t="str">
            <v>-</v>
          </cell>
          <cell r="J9" t="str">
            <v>Export</v>
          </cell>
          <cell r="K9" t="str">
            <v>Sugar</v>
          </cell>
          <cell r="L9" t="str">
            <v>Sugar</v>
          </cell>
          <cell r="M9" t="str">
            <v>End User</v>
          </cell>
          <cell r="N9" t="str">
            <v>(0-5000)</v>
          </cell>
          <cell r="O9">
            <v>800</v>
          </cell>
          <cell r="P9" t="str">
            <v>NI</v>
          </cell>
          <cell r="Q9" t="str">
            <v>AVIRAL SHUKLA</v>
          </cell>
          <cell r="R9" t="str">
            <v>-</v>
          </cell>
          <cell r="S9" t="str">
            <v>https://share.google/AJiztxgYlkMxK425E</v>
          </cell>
          <cell r="T9" t="str">
            <v>-</v>
          </cell>
          <cell r="U9" t="str">
            <v>-</v>
          </cell>
        </row>
        <row r="10">
          <cell r="F10" t="str">
            <v>DLHI01A061</v>
          </cell>
          <cell r="G10" t="str">
            <v>ABSOLUTE WATER PVT. LTD</v>
          </cell>
          <cell r="H10">
            <v>2017</v>
          </cell>
          <cell r="I10" t="str">
            <v>-</v>
          </cell>
          <cell r="J10" t="str">
            <v>Domestic</v>
          </cell>
          <cell r="K10" t="str">
            <v>ETP/STP/WTP</v>
          </cell>
          <cell r="L10" t="str">
            <v>Non-Sugar</v>
          </cell>
          <cell r="M10" t="str">
            <v>OEM</v>
          </cell>
          <cell r="O10" t="str">
            <v>-</v>
          </cell>
          <cell r="P10" t="str">
            <v>NI</v>
          </cell>
          <cell r="Q10" t="str">
            <v>HIMANSHU KUSHWAHA</v>
          </cell>
          <cell r="S10" t="str">
            <v>https://share.google/4r4JpS8QAVhMqcdaZ</v>
          </cell>
          <cell r="T10" t="str">
            <v>DELHI TOUR</v>
          </cell>
          <cell r="U10" t="str">
            <v>26-27</v>
          </cell>
          <cell r="V10" t="str">
            <v>Apr</v>
          </cell>
          <cell r="W10" t="str">
            <v>14-4-2026
14-10-2025</v>
          </cell>
        </row>
        <row r="11">
          <cell r="F11" t="str">
            <v>UNNA01A093</v>
          </cell>
          <cell r="G11" t="str">
            <v>ACI OILS PVT LTD</v>
          </cell>
          <cell r="H11">
            <v>2018</v>
          </cell>
          <cell r="I11" t="str">
            <v>-</v>
          </cell>
          <cell r="J11" t="str">
            <v>Domestic</v>
          </cell>
          <cell r="K11" t="str">
            <v>Oil &amp; Gas</v>
          </cell>
          <cell r="L11" t="str">
            <v>Non-Sugar</v>
          </cell>
          <cell r="M11" t="str">
            <v>End User</v>
          </cell>
          <cell r="O11" t="str">
            <v>-</v>
          </cell>
          <cell r="P11" t="str">
            <v>NI</v>
          </cell>
          <cell r="Q11" t="str">
            <v>AVIRAL SHUKLA</v>
          </cell>
          <cell r="R11" t="str">
            <v>-</v>
          </cell>
          <cell r="S11" t="str">
            <v>https://share.google/HjqEGwJwCTmOtL5Pg</v>
          </cell>
          <cell r="T11" t="str">
            <v>-</v>
          </cell>
          <cell r="U11" t="str">
            <v>-</v>
          </cell>
        </row>
        <row r="12">
          <cell r="F12" t="str">
            <v>BANP01A075</v>
          </cell>
          <cell r="G12" t="str">
            <v>ACTION ENGINEERING CO. LTD</v>
          </cell>
          <cell r="H12">
            <v>2016</v>
          </cell>
          <cell r="I12" t="str">
            <v>-</v>
          </cell>
          <cell r="J12" t="str">
            <v>Export</v>
          </cell>
          <cell r="K12" t="str">
            <v>Sugar</v>
          </cell>
          <cell r="L12" t="str">
            <v>Sugar</v>
          </cell>
          <cell r="M12" t="str">
            <v>Trader</v>
          </cell>
          <cell r="O12" t="str">
            <v>-</v>
          </cell>
          <cell r="P12" t="str">
            <v>VA-SS</v>
          </cell>
          <cell r="Q12" t="str">
            <v>SHIVANU SHUKLA</v>
          </cell>
          <cell r="S12" t="str">
            <v>https://maps.app.goo.gl/Nqg18iwaWGan9gjF6</v>
          </cell>
          <cell r="T12" t="str">
            <v>-</v>
          </cell>
          <cell r="U12" t="str">
            <v>-</v>
          </cell>
          <cell r="W12" t="str">
            <v>-</v>
          </cell>
        </row>
        <row r="13">
          <cell r="F13" t="str">
            <v>KANP01A269</v>
          </cell>
          <cell r="G13" t="str">
            <v>ACURA ENGINEERING</v>
          </cell>
          <cell r="H13" t="str">
            <v>-</v>
          </cell>
          <cell r="J13" t="str">
            <v>Domestic</v>
          </cell>
          <cell r="P13" t="str">
            <v>HO</v>
          </cell>
          <cell r="Q13" t="str">
            <v>AVIRAL SHUKLA</v>
          </cell>
        </row>
        <row r="14">
          <cell r="F14" t="str">
            <v>MEHS01A243</v>
          </cell>
          <cell r="G14" t="str">
            <v>ADIDEV EXPORTS</v>
          </cell>
          <cell r="H14" t="str">
            <v>25-26</v>
          </cell>
          <cell r="I14" t="str">
            <v>-</v>
          </cell>
          <cell r="J14" t="str">
            <v>Domestic</v>
          </cell>
          <cell r="K14" t="str">
            <v>Sugar</v>
          </cell>
          <cell r="L14" t="str">
            <v>Sugar</v>
          </cell>
          <cell r="M14" t="str">
            <v>Merchant Exporter</v>
          </cell>
          <cell r="O14" t="str">
            <v>-</v>
          </cell>
          <cell r="P14" t="str">
            <v>NI</v>
          </cell>
          <cell r="Q14" t="str">
            <v>AKSHAY AWASTHI</v>
          </cell>
          <cell r="S14" t="str">
            <v>NA</v>
          </cell>
        </row>
        <row r="15">
          <cell r="F15" t="str">
            <v>PUNE01A162</v>
          </cell>
          <cell r="G15" t="str">
            <v>ADVISTA TECHNO SOLUTION PVT LTD</v>
          </cell>
          <cell r="H15" t="str">
            <v>-</v>
          </cell>
          <cell r="J15" t="str">
            <v>Domestic</v>
          </cell>
          <cell r="P15" t="str">
            <v>LGP</v>
          </cell>
          <cell r="Q15" t="str">
            <v>-</v>
          </cell>
        </row>
        <row r="16">
          <cell r="F16" t="str">
            <v>MUHO01A054</v>
          </cell>
          <cell r="G16" t="str">
            <v>AGRO CHEMICAL &amp; FOOD CO.LTD.</v>
          </cell>
          <cell r="H16">
            <v>2014</v>
          </cell>
          <cell r="I16" t="str">
            <v>-</v>
          </cell>
          <cell r="J16" t="str">
            <v>Export</v>
          </cell>
          <cell r="K16" t="str">
            <v>Sugar</v>
          </cell>
          <cell r="L16" t="str">
            <v>Sugar</v>
          </cell>
          <cell r="M16" t="str">
            <v>End User</v>
          </cell>
          <cell r="O16" t="str">
            <v>-</v>
          </cell>
          <cell r="P16" t="str">
            <v>NI</v>
          </cell>
          <cell r="Q16" t="str">
            <v>AKSHAY AWASTHI</v>
          </cell>
          <cell r="R16" t="str">
            <v>-</v>
          </cell>
          <cell r="S16" t="str">
            <v>https://share.google/PSgi1GQh9Pzm3tPkQ</v>
          </cell>
          <cell r="T16" t="str">
            <v>-</v>
          </cell>
          <cell r="U16" t="str">
            <v>-</v>
          </cell>
          <cell r="W16" t="str">
            <v>-</v>
          </cell>
        </row>
        <row r="17">
          <cell r="F17" t="str">
            <v>GUJA01A192</v>
          </cell>
          <cell r="G17" t="str">
            <v>AHMEDABAD JILLA TAMAKU MFG. CO. OP. SOCIETY LTD</v>
          </cell>
          <cell r="H17" t="str">
            <v>23-24</v>
          </cell>
          <cell r="I17" t="str">
            <v>-</v>
          </cell>
          <cell r="J17" t="str">
            <v>Domestic</v>
          </cell>
          <cell r="K17" t="str">
            <v>Non-Sugar</v>
          </cell>
          <cell r="L17" t="str">
            <v>Non-Sugar</v>
          </cell>
          <cell r="M17" t="str">
            <v>End User</v>
          </cell>
          <cell r="O17" t="str">
            <v>-</v>
          </cell>
          <cell r="P17" t="str">
            <v>NI</v>
          </cell>
          <cell r="Q17" t="str">
            <v>AKSHAY AWASTHI</v>
          </cell>
          <cell r="R17" t="str">
            <v>-</v>
          </cell>
          <cell r="S17" t="str">
            <v>NA</v>
          </cell>
          <cell r="T17" t="str">
            <v>-</v>
          </cell>
          <cell r="U17" t="str">
            <v>-</v>
          </cell>
          <cell r="W17" t="str">
            <v>-</v>
          </cell>
        </row>
        <row r="18">
          <cell r="F18" t="str">
            <v>SATA01A025</v>
          </cell>
          <cell r="G18" t="str">
            <v>AJINKYATARA SSK LTD</v>
          </cell>
          <cell r="H18" t="str">
            <v>22-23</v>
          </cell>
          <cell r="I18" t="str">
            <v>-</v>
          </cell>
          <cell r="J18" t="str">
            <v>Domestic</v>
          </cell>
          <cell r="K18" t="str">
            <v>Sugar</v>
          </cell>
          <cell r="L18" t="str">
            <v>Sugar</v>
          </cell>
          <cell r="M18" t="str">
            <v>End User</v>
          </cell>
          <cell r="N18" t="str">
            <v>(5001-9000)</v>
          </cell>
          <cell r="O18" t="str">
            <v>Sugar 5500
Distillery 45 KLPD</v>
          </cell>
          <cell r="P18" t="str">
            <v>MRK</v>
          </cell>
          <cell r="Q18" t="str">
            <v>MRK</v>
          </cell>
          <cell r="R18" t="str">
            <v>VG</v>
          </cell>
          <cell r="S18" t="str">
            <v>https://share.google/XIXTPtmJMc5gGOiKI</v>
          </cell>
          <cell r="T18" t="str">
            <v>Satara - 1</v>
          </cell>
          <cell r="U18" t="str">
            <v>25-26</v>
          </cell>
          <cell r="W18" t="str">
            <v>14-2-26(MRK)
06-05-2025
2-4-2025
04-01-2023
26-08-2023</v>
          </cell>
        </row>
        <row r="19">
          <cell r="F19" t="str">
            <v>DHAN01A039</v>
          </cell>
          <cell r="G19" t="str">
            <v>AKASH ENTERPRISES</v>
          </cell>
          <cell r="H19" t="str">
            <v>-</v>
          </cell>
          <cell r="I19" t="str">
            <v>-</v>
          </cell>
          <cell r="J19" t="str">
            <v>Domestic</v>
          </cell>
          <cell r="K19" t="str">
            <v>Non-Sugar</v>
          </cell>
          <cell r="L19" t="str">
            <v>Non-Sugar</v>
          </cell>
          <cell r="M19" t="str">
            <v>OEM</v>
          </cell>
          <cell r="O19" t="str">
            <v>-</v>
          </cell>
          <cell r="P19" t="str">
            <v>MP</v>
          </cell>
          <cell r="Q19" t="str">
            <v>-</v>
          </cell>
          <cell r="R19" t="str">
            <v>-</v>
          </cell>
        </row>
        <row r="20">
          <cell r="F20" t="str">
            <v>THAN01A026</v>
          </cell>
          <cell r="G20" t="str">
            <v>AKRY ORGANICS PVT. LTD.</v>
          </cell>
          <cell r="H20">
            <v>2013</v>
          </cell>
          <cell r="I20" t="str">
            <v>-</v>
          </cell>
          <cell r="J20" t="str">
            <v>Domestic</v>
          </cell>
          <cell r="K20" t="str">
            <v>Non-Sugar</v>
          </cell>
          <cell r="L20" t="str">
            <v>Non-Sugar</v>
          </cell>
          <cell r="M20" t="str">
            <v>End User</v>
          </cell>
          <cell r="O20" t="str">
            <v>-</v>
          </cell>
          <cell r="P20" t="str">
            <v>NI</v>
          </cell>
          <cell r="Q20" t="str">
            <v>AVIRAL SHUKLA</v>
          </cell>
          <cell r="R20" t="str">
            <v>-</v>
          </cell>
          <cell r="S20" t="str">
            <v>https://share.google/ImtsdaUBud2FYOMQc</v>
          </cell>
          <cell r="T20" t="str">
            <v>-</v>
          </cell>
          <cell r="U20" t="str">
            <v>-</v>
          </cell>
        </row>
        <row r="21">
          <cell r="F21" t="str">
            <v>PANA01A254</v>
          </cell>
          <cell r="G21" t="str">
            <v>ALCOGRAIN DISTILLERS</v>
          </cell>
          <cell r="H21" t="str">
            <v>25-26</v>
          </cell>
          <cell r="I21" t="str">
            <v>-</v>
          </cell>
          <cell r="J21" t="str">
            <v>Domestic</v>
          </cell>
          <cell r="K21" t="str">
            <v>Distillery</v>
          </cell>
          <cell r="L21" t="str">
            <v>Non-Sugar</v>
          </cell>
          <cell r="M21" t="str">
            <v>End User</v>
          </cell>
          <cell r="O21" t="str">
            <v>-</v>
          </cell>
          <cell r="P21" t="str">
            <v>NI</v>
          </cell>
          <cell r="Q21" t="str">
            <v>AVIRAL SHUKLA</v>
          </cell>
          <cell r="S21" t="str">
            <v>https://share.google/thVaYr0OpVqkkRXYL</v>
          </cell>
        </row>
        <row r="22">
          <cell r="F22" t="str">
            <v>PUNA01A091</v>
          </cell>
          <cell r="G22" t="str">
            <v>ALCO-TECH ENGINEERING</v>
          </cell>
          <cell r="H22" t="str">
            <v>23-24</v>
          </cell>
          <cell r="I22" t="str">
            <v>-</v>
          </cell>
          <cell r="J22" t="str">
            <v>Domestic</v>
          </cell>
          <cell r="K22" t="str">
            <v>Sugar</v>
          </cell>
          <cell r="L22" t="str">
            <v>Sugar</v>
          </cell>
          <cell r="M22" t="str">
            <v>OEM</v>
          </cell>
          <cell r="O22" t="str">
            <v>-</v>
          </cell>
          <cell r="P22" t="str">
            <v>AV</v>
          </cell>
          <cell r="Q22" t="str">
            <v>AV</v>
          </cell>
          <cell r="R22" t="str">
            <v>OEM</v>
          </cell>
          <cell r="S22" t="str">
            <v>https://share.google/1OQAUJ4c4c0ibVTM5</v>
          </cell>
          <cell r="T22" t="str">
            <v>-</v>
          </cell>
          <cell r="W22" t="str">
            <v>-</v>
          </cell>
        </row>
        <row r="23">
          <cell r="F23" t="str">
            <v>PUNE01A175</v>
          </cell>
          <cell r="G23" t="str">
            <v>ALCOTEX INDIA PVT LTD</v>
          </cell>
          <cell r="H23" t="str">
            <v>23-24</v>
          </cell>
          <cell r="I23" t="str">
            <v>-</v>
          </cell>
          <cell r="J23" t="str">
            <v>Domestic</v>
          </cell>
          <cell r="K23" t="str">
            <v>Sugar</v>
          </cell>
          <cell r="L23" t="str">
            <v>Sugar</v>
          </cell>
          <cell r="M23" t="str">
            <v>OEM</v>
          </cell>
          <cell r="O23" t="str">
            <v>-</v>
          </cell>
          <cell r="P23" t="str">
            <v>AV</v>
          </cell>
          <cell r="Q23" t="str">
            <v>AV</v>
          </cell>
          <cell r="R23" t="str">
            <v>OEM</v>
          </cell>
          <cell r="S23" t="str">
            <v>https://share.google/Urxds5oia8euZyy19</v>
          </cell>
          <cell r="T23" t="str">
            <v>-</v>
          </cell>
          <cell r="W23" t="str">
            <v>-</v>
          </cell>
        </row>
        <row r="24">
          <cell r="F24" t="str">
            <v>DABI01A135</v>
          </cell>
          <cell r="G24" t="str">
            <v>ALEPPO SYRIA</v>
          </cell>
          <cell r="H24" t="str">
            <v>25-26</v>
          </cell>
          <cell r="I24" t="str">
            <v>-</v>
          </cell>
          <cell r="J24" t="str">
            <v>Export</v>
          </cell>
          <cell r="K24" t="str">
            <v>OTHERS</v>
          </cell>
          <cell r="L24" t="str">
            <v>Non-Sugar</v>
          </cell>
          <cell r="M24" t="str">
            <v>End User</v>
          </cell>
          <cell r="O24" t="str">
            <v>-</v>
          </cell>
          <cell r="P24" t="str">
            <v>NI</v>
          </cell>
          <cell r="Q24" t="str">
            <v>HIMANSHU KUSHWAHA</v>
          </cell>
          <cell r="S24" t="str">
            <v>NA</v>
          </cell>
        </row>
        <row r="25">
          <cell r="F25" t="str">
            <v>KANP01A144</v>
          </cell>
          <cell r="G25" t="str">
            <v>ALL TIME FOODS PVT LTD.</v>
          </cell>
          <cell r="H25" t="str">
            <v>22-23</v>
          </cell>
          <cell r="I25" t="str">
            <v>-</v>
          </cell>
          <cell r="J25" t="str">
            <v>Domestic</v>
          </cell>
          <cell r="K25" t="str">
            <v>Food</v>
          </cell>
          <cell r="L25" t="str">
            <v>Non-Sugar</v>
          </cell>
          <cell r="M25" t="str">
            <v>End User</v>
          </cell>
          <cell r="O25" t="str">
            <v>-</v>
          </cell>
          <cell r="P25" t="str">
            <v>NI</v>
          </cell>
          <cell r="Q25" t="str">
            <v>AKSHAY AWASTHI</v>
          </cell>
          <cell r="R25" t="str">
            <v>-</v>
          </cell>
          <cell r="S25" t="str">
            <v>https://share.google/MMkMmfnX3qXkxNDZE</v>
          </cell>
          <cell r="T25" t="str">
            <v>-</v>
          </cell>
          <cell r="U25" t="str">
            <v>-</v>
          </cell>
          <cell r="W25" t="str">
            <v>regular visit</v>
          </cell>
        </row>
        <row r="26">
          <cell r="F26" t="str">
            <v>DLHI01A129</v>
          </cell>
          <cell r="G26" t="str">
            <v>ALLIANCE INDUSTRIAL PRODUCTS</v>
          </cell>
          <cell r="H26" t="str">
            <v>22-23</v>
          </cell>
          <cell r="I26" t="str">
            <v>-</v>
          </cell>
          <cell r="J26" t="str">
            <v>Domestic</v>
          </cell>
          <cell r="K26" t="str">
            <v>OTHERS</v>
          </cell>
          <cell r="L26" t="str">
            <v>Non-Sugar</v>
          </cell>
          <cell r="M26" t="str">
            <v>Trader</v>
          </cell>
          <cell r="O26" t="str">
            <v>-</v>
          </cell>
          <cell r="P26" t="str">
            <v>NI</v>
          </cell>
          <cell r="Q26" t="str">
            <v>AKSHAY AWASTHI</v>
          </cell>
          <cell r="R26" t="str">
            <v>-</v>
          </cell>
          <cell r="S26" t="str">
            <v>https://maps.app.goo.gl/58SRmE7kotBueQG19</v>
          </cell>
          <cell r="T26" t="str">
            <v>-</v>
          </cell>
          <cell r="U26" t="str">
            <v>-</v>
          </cell>
          <cell r="W26" t="str">
            <v>no need</v>
          </cell>
        </row>
        <row r="27">
          <cell r="F27" t="str">
            <v>AHME01A070</v>
          </cell>
          <cell r="G27" t="str">
            <v>AM ENTERPRISE</v>
          </cell>
          <cell r="H27">
            <v>2015</v>
          </cell>
          <cell r="I27" t="str">
            <v>-</v>
          </cell>
          <cell r="J27" t="str">
            <v>Domestic</v>
          </cell>
          <cell r="K27" t="str">
            <v>Other</v>
          </cell>
          <cell r="L27" t="str">
            <v>Non-Sugar</v>
          </cell>
          <cell r="M27" t="str">
            <v>Trader</v>
          </cell>
          <cell r="O27" t="str">
            <v>-</v>
          </cell>
          <cell r="P27" t="str">
            <v>NI</v>
          </cell>
          <cell r="Q27" t="str">
            <v>AKSHAY AWASTHI</v>
          </cell>
          <cell r="R27" t="str">
            <v>-</v>
          </cell>
          <cell r="S27" t="str">
            <v>https://share.google/2HCY3lZkulX0DrlH5</v>
          </cell>
          <cell r="T27" t="str">
            <v>-</v>
          </cell>
          <cell r="U27" t="str">
            <v>-</v>
          </cell>
        </row>
        <row r="28">
          <cell r="F28" t="str">
            <v>MUMB01A101</v>
          </cell>
          <cell r="G28" t="str">
            <v>AMBICO FOUNDOCEAN GROUTING SERVICES PVT. LTD.</v>
          </cell>
          <cell r="H28" t="str">
            <v>19-20</v>
          </cell>
          <cell r="I28" t="str">
            <v>-</v>
          </cell>
          <cell r="J28" t="str">
            <v>Domestic</v>
          </cell>
          <cell r="K28" t="str">
            <v>Other</v>
          </cell>
          <cell r="L28" t="str">
            <v>Non-Sugar</v>
          </cell>
          <cell r="M28" t="str">
            <v>End User</v>
          </cell>
          <cell r="O28" t="str">
            <v>-</v>
          </cell>
          <cell r="P28" t="str">
            <v>NI</v>
          </cell>
          <cell r="Q28" t="str">
            <v>AVIRAL SHUKLA</v>
          </cell>
          <cell r="R28" t="str">
            <v>-</v>
          </cell>
          <cell r="S28" t="str">
            <v>https://share.google/ec9tsiD2dfyHfShJz</v>
          </cell>
          <cell r="T28" t="str">
            <v>-</v>
          </cell>
          <cell r="U28" t="str">
            <v>-</v>
          </cell>
          <cell r="W28" t="str">
            <v>-</v>
          </cell>
        </row>
        <row r="29">
          <cell r="F29" t="str">
            <v>MUMB01A120</v>
          </cell>
          <cell r="G29" t="str">
            <v>AMEERAJ INTERNATIONAL (EXPORTERS AND IMPORTERS)</v>
          </cell>
          <cell r="H29" t="str">
            <v>22-23</v>
          </cell>
          <cell r="I29" t="str">
            <v>-</v>
          </cell>
          <cell r="J29" t="str">
            <v>Domestic</v>
          </cell>
          <cell r="K29" t="str">
            <v>Other</v>
          </cell>
          <cell r="L29" t="str">
            <v>Non-Sugar</v>
          </cell>
          <cell r="M29" t="str">
            <v>Trader</v>
          </cell>
          <cell r="O29" t="str">
            <v>-</v>
          </cell>
          <cell r="P29" t="str">
            <v>NI</v>
          </cell>
          <cell r="Q29" t="str">
            <v>AKSHAY AWASTHI</v>
          </cell>
          <cell r="R29" t="str">
            <v>-</v>
          </cell>
          <cell r="S29" t="str">
            <v>NA</v>
          </cell>
          <cell r="T29" t="str">
            <v>-</v>
          </cell>
          <cell r="U29" t="str">
            <v>-</v>
          </cell>
        </row>
        <row r="30">
          <cell r="F30" t="str">
            <v>BETU01A257</v>
          </cell>
          <cell r="G30" t="str">
            <v>AMLA AGRO INDUSTRIES</v>
          </cell>
          <cell r="H30" t="str">
            <v>25-26</v>
          </cell>
          <cell r="I30" t="str">
            <v>-</v>
          </cell>
          <cell r="J30" t="str">
            <v>Domestic</v>
          </cell>
          <cell r="K30" t="str">
            <v>Sugar</v>
          </cell>
          <cell r="L30" t="str">
            <v>Sugar</v>
          </cell>
          <cell r="M30" t="str">
            <v>End User</v>
          </cell>
          <cell r="N30" t="str">
            <v>(0-5000)</v>
          </cell>
          <cell r="O30">
            <v>2500</v>
          </cell>
          <cell r="P30" t="str">
            <v>NI</v>
          </cell>
          <cell r="Q30" t="str">
            <v>HIMANSHU KUSHWAHA</v>
          </cell>
          <cell r="S30" t="str">
            <v>https://share.google/OO8CTkSSspL2V1eoM</v>
          </cell>
        </row>
        <row r="31">
          <cell r="F31" t="str">
            <v>BULA01A060</v>
          </cell>
          <cell r="G31" t="str">
            <v>ANAMIKA SUGAR MILLS PVT LTD</v>
          </cell>
          <cell r="H31" t="str">
            <v>22-23</v>
          </cell>
          <cell r="I31" t="str">
            <v>-</v>
          </cell>
          <cell r="J31" t="str">
            <v>Domestic</v>
          </cell>
          <cell r="K31" t="str">
            <v>Sugar</v>
          </cell>
          <cell r="L31" t="str">
            <v>Sugar</v>
          </cell>
          <cell r="M31" t="str">
            <v>End User</v>
          </cell>
          <cell r="N31" t="str">
            <v>(0-5000)</v>
          </cell>
          <cell r="O31">
            <v>6500</v>
          </cell>
          <cell r="P31" t="str">
            <v>NI</v>
          </cell>
          <cell r="Q31" t="str">
            <v>HIMANSHU KUSHWAHA</v>
          </cell>
          <cell r="S31" t="str">
            <v>https://maps.app.goo.gl/SRhFi7Mfph43S4hE9</v>
          </cell>
          <cell r="T31" t="str">
            <v>WESTERN</v>
          </cell>
          <cell r="U31" t="str">
            <v>25-26</v>
          </cell>
          <cell r="V31" t="str">
            <v>Feb</v>
          </cell>
          <cell r="W31" t="str">
            <v>27-02-2026
29-08-2025
04-03-2025
23-09-2024
23-12-2023
10-12-2022
14-09-2021</v>
          </cell>
        </row>
        <row r="32">
          <cell r="F32" t="str">
            <v>INDR01A063</v>
          </cell>
          <cell r="G32" t="str">
            <v>ANAND PRODUCTS</v>
          </cell>
          <cell r="H32">
            <v>2015</v>
          </cell>
          <cell r="I32" t="str">
            <v>-</v>
          </cell>
          <cell r="J32" t="str">
            <v>Domestic</v>
          </cell>
          <cell r="K32" t="str">
            <v>Other</v>
          </cell>
          <cell r="L32" t="str">
            <v>Non-Sugar</v>
          </cell>
          <cell r="M32" t="str">
            <v>End User</v>
          </cell>
          <cell r="O32" t="str">
            <v>-</v>
          </cell>
          <cell r="P32" t="str">
            <v>NI</v>
          </cell>
          <cell r="Q32" t="str">
            <v>HIMANSHU KUSHWAHA</v>
          </cell>
          <cell r="S32" t="str">
            <v>https://share.google/WY6RoxVlho6IFpI5w</v>
          </cell>
          <cell r="T32" t="str">
            <v>M.P -2</v>
          </cell>
          <cell r="U32" t="str">
            <v>25-26</v>
          </cell>
          <cell r="W32" t="str">
            <v>16-09-2025
28-01-2025</v>
          </cell>
        </row>
        <row r="33">
          <cell r="F33" t="str">
            <v>KANP01A152</v>
          </cell>
          <cell r="G33" t="str">
            <v>ANANDESHWAR INDUSTRIES PVT. LTD.</v>
          </cell>
          <cell r="H33" t="str">
            <v>22-23</v>
          </cell>
          <cell r="I33" t="str">
            <v>-</v>
          </cell>
          <cell r="J33" t="str">
            <v>Domestic</v>
          </cell>
          <cell r="K33" t="str">
            <v>OTHERS</v>
          </cell>
          <cell r="L33" t="str">
            <v>Non-Sugar</v>
          </cell>
          <cell r="M33" t="str">
            <v>End User</v>
          </cell>
          <cell r="O33" t="str">
            <v>-</v>
          </cell>
          <cell r="P33" t="str">
            <v>NI</v>
          </cell>
          <cell r="Q33" t="str">
            <v>AVIRAL SHUKLA</v>
          </cell>
          <cell r="R33" t="str">
            <v>AMIT SRIVASTAVA</v>
          </cell>
          <cell r="S33" t="str">
            <v>NA</v>
          </cell>
          <cell r="T33" t="str">
            <v>-</v>
          </cell>
          <cell r="U33" t="str">
            <v>25-26</v>
          </cell>
          <cell r="W33" t="str">
            <v>13-01-2026
12/23/2024</v>
          </cell>
        </row>
        <row r="34">
          <cell r="F34" t="str">
            <v>THAN01A261</v>
          </cell>
          <cell r="G34" t="str">
            <v>ANAY GLOBAL SERVICE</v>
          </cell>
          <cell r="H34" t="str">
            <v>25-26</v>
          </cell>
          <cell r="I34" t="str">
            <v>-</v>
          </cell>
          <cell r="J34" t="str">
            <v>Domestic</v>
          </cell>
          <cell r="K34" t="str">
            <v>Sugar</v>
          </cell>
          <cell r="L34" t="str">
            <v>Sugar</v>
          </cell>
          <cell r="M34" t="str">
            <v>Merchant Exporter</v>
          </cell>
          <cell r="O34" t="str">
            <v>-</v>
          </cell>
          <cell r="P34" t="str">
            <v>NI</v>
          </cell>
          <cell r="Q34" t="str">
            <v>AKSHAY AWASTHI</v>
          </cell>
          <cell r="S34" t="str">
            <v>NA</v>
          </cell>
        </row>
        <row r="35">
          <cell r="F35" t="str">
            <v>NAGP01A114</v>
          </cell>
          <cell r="G35" t="str">
            <v>ANKIT PULPS &amp; BOARDS PVT LTD (NB Laboratories)</v>
          </cell>
          <cell r="H35" t="str">
            <v>21-22</v>
          </cell>
          <cell r="I35" t="str">
            <v>-</v>
          </cell>
          <cell r="J35" t="str">
            <v>Domestic</v>
          </cell>
          <cell r="K35" t="str">
            <v>Paper</v>
          </cell>
          <cell r="L35" t="str">
            <v>Non-Sugar</v>
          </cell>
          <cell r="M35" t="str">
            <v>End User</v>
          </cell>
          <cell r="O35" t="str">
            <v>-</v>
          </cell>
          <cell r="P35" t="str">
            <v>NI</v>
          </cell>
          <cell r="Q35" t="str">
            <v>AKSHAY AWASTHI</v>
          </cell>
          <cell r="S35" t="str">
            <v>https://share.google/b2WS6bYOhzMnjvMo3</v>
          </cell>
          <cell r="T35" t="str">
            <v>-</v>
          </cell>
          <cell r="U35" t="str">
            <v>24-25</v>
          </cell>
          <cell r="W35">
            <v>45496</v>
          </cell>
        </row>
        <row r="36">
          <cell r="F36" t="str">
            <v>NAGP01A256</v>
          </cell>
          <cell r="G36" t="str">
            <v>ANKIT PULPS &amp; BOARDS PVT LTD UNIT -2</v>
          </cell>
          <cell r="H36" t="str">
            <v>25-26</v>
          </cell>
          <cell r="I36" t="str">
            <v>-</v>
          </cell>
          <cell r="J36" t="str">
            <v>Domestic</v>
          </cell>
          <cell r="K36" t="str">
            <v>Paper</v>
          </cell>
          <cell r="L36" t="str">
            <v>Non-Sugar</v>
          </cell>
          <cell r="M36" t="str">
            <v>End User</v>
          </cell>
          <cell r="O36" t="str">
            <v>-</v>
          </cell>
          <cell r="P36" t="str">
            <v>NI</v>
          </cell>
          <cell r="Q36" t="str">
            <v>AVIRAL SHUKLA</v>
          </cell>
          <cell r="S36" t="str">
            <v>https://share.google/z7XM3RWL9fleoG6z3</v>
          </cell>
        </row>
        <row r="37">
          <cell r="F37" t="str">
            <v>PUNE01A030</v>
          </cell>
          <cell r="G37" t="str">
            <v>ANURAJ SUGARS LTD. (renamed to Onkar sugars OSG GREEN ENERGY PVT LTD-UNIT12 unit O047 )</v>
          </cell>
          <cell r="H37">
            <v>2014</v>
          </cell>
          <cell r="I37" t="str">
            <v>Onkar Group</v>
          </cell>
          <cell r="J37" t="str">
            <v>Domestic</v>
          </cell>
          <cell r="K37" t="str">
            <v>Sugar</v>
          </cell>
          <cell r="L37" t="str">
            <v>Sugar</v>
          </cell>
          <cell r="M37" t="str">
            <v>Group (Mills)</v>
          </cell>
          <cell r="N37" t="str">
            <v>(0-5000)</v>
          </cell>
          <cell r="O37">
            <v>3100</v>
          </cell>
          <cell r="P37" t="str">
            <v>AV</v>
          </cell>
          <cell r="Q37" t="str">
            <v>AV</v>
          </cell>
          <cell r="R37" t="str">
            <v>PD</v>
          </cell>
          <cell r="T37" t="str">
            <v>TOUR-10 (Pune)</v>
          </cell>
          <cell r="U37" t="str">
            <v>23-24</v>
          </cell>
          <cell r="W37">
            <v>45154</v>
          </cell>
        </row>
        <row r="38">
          <cell r="F38" t="str">
            <v>PUNE01A122</v>
          </cell>
          <cell r="G38" t="str">
            <v>ANVI AGRO</v>
          </cell>
          <cell r="H38" t="str">
            <v>22-23</v>
          </cell>
          <cell r="J38" t="str">
            <v>Domestic</v>
          </cell>
          <cell r="K38" t="str">
            <v>Cattle Feed</v>
          </cell>
          <cell r="L38" t="str">
            <v>Non-Sugar</v>
          </cell>
          <cell r="M38" t="str">
            <v>End User</v>
          </cell>
          <cell r="N38" t="str">
            <v>-</v>
          </cell>
          <cell r="O38" t="str">
            <v>-</v>
          </cell>
          <cell r="P38" t="str">
            <v>AV</v>
          </cell>
          <cell r="Q38" t="str">
            <v>AV</v>
          </cell>
          <cell r="R38" t="str">
            <v>PD</v>
          </cell>
          <cell r="S38" t="str">
            <v>https://share.google/ewg1rPDepQwPxd4FQ</v>
          </cell>
          <cell r="T38" t="str">
            <v>Visit not required</v>
          </cell>
          <cell r="W38" t="str">
            <v>-</v>
          </cell>
        </row>
        <row r="39">
          <cell r="F39" t="str">
            <v>RAIP01A228</v>
          </cell>
          <cell r="G39" t="str">
            <v>Apex Engineering And Services</v>
          </cell>
          <cell r="H39" t="str">
            <v>24-25</v>
          </cell>
          <cell r="I39" t="str">
            <v>-</v>
          </cell>
          <cell r="J39" t="str">
            <v>Domestic</v>
          </cell>
          <cell r="K39" t="str">
            <v>Sugar</v>
          </cell>
          <cell r="L39" t="str">
            <v>Sugar</v>
          </cell>
          <cell r="M39" t="str">
            <v>Trader</v>
          </cell>
          <cell r="O39" t="str">
            <v>-</v>
          </cell>
          <cell r="P39" t="str">
            <v>NI</v>
          </cell>
          <cell r="Q39" t="str">
            <v>HIMANSHU KUSHWAHA</v>
          </cell>
          <cell r="R39" t="str">
            <v>-</v>
          </cell>
          <cell r="S39" t="str">
            <v>https://share.google/WdLzpB5Jfr0ZvHp6l</v>
          </cell>
          <cell r="W39" t="str">
            <v>-</v>
          </cell>
        </row>
        <row r="40">
          <cell r="F40" t="str">
            <v>COIM01A208</v>
          </cell>
          <cell r="G40" t="str">
            <v>APTA SOLVICS</v>
          </cell>
          <cell r="H40" t="str">
            <v>-</v>
          </cell>
          <cell r="J40" t="str">
            <v>Domestic</v>
          </cell>
          <cell r="P40" t="str">
            <v>SI-GS</v>
          </cell>
          <cell r="Q40" t="str">
            <v>SI-GS</v>
          </cell>
        </row>
        <row r="41">
          <cell r="F41" t="str">
            <v>PUNE01A106</v>
          </cell>
          <cell r="G41" t="str">
            <v>AQUATECH SYSTEMS</v>
          </cell>
          <cell r="H41" t="str">
            <v>21-22</v>
          </cell>
          <cell r="I41" t="str">
            <v>-</v>
          </cell>
          <cell r="J41" t="str">
            <v>Domestic</v>
          </cell>
          <cell r="K41" t="str">
            <v>ETP/STP/WTP</v>
          </cell>
          <cell r="L41" t="str">
            <v>Non-Sugar</v>
          </cell>
          <cell r="M41" t="str">
            <v>OEM</v>
          </cell>
          <cell r="O41" t="str">
            <v>-</v>
          </cell>
          <cell r="P41" t="str">
            <v>NI</v>
          </cell>
          <cell r="Q41" t="str">
            <v>HIMANSHU KUSHWAHA</v>
          </cell>
          <cell r="S41" t="str">
            <v>NA</v>
          </cell>
          <cell r="T41" t="str">
            <v>PUNE</v>
          </cell>
          <cell r="U41" t="str">
            <v>25-26</v>
          </cell>
          <cell r="W41">
            <v>46114</v>
          </cell>
        </row>
        <row r="42">
          <cell r="F42" t="str">
            <v>KUWA01A251</v>
          </cell>
          <cell r="G42" t="str">
            <v>ARABIAN DARB GENERAL TRADING AND CONTRACTIONG CO.</v>
          </cell>
          <cell r="H42" t="str">
            <v>-</v>
          </cell>
          <cell r="J42" t="str">
            <v>Export</v>
          </cell>
          <cell r="K42" t="str">
            <v>OTHERS</v>
          </cell>
          <cell r="L42" t="str">
            <v>Non-Sugar</v>
          </cell>
          <cell r="M42" t="str">
            <v>OEM</v>
          </cell>
          <cell r="P42" t="str">
            <v>VA</v>
          </cell>
          <cell r="Q42" t="str">
            <v>-</v>
          </cell>
        </row>
        <row r="43">
          <cell r="F43" t="str">
            <v>AHME01A173</v>
          </cell>
          <cell r="G43" t="str">
            <v>ARAVALI AGRO INDIA PVT LTD</v>
          </cell>
          <cell r="H43" t="str">
            <v>23-24</v>
          </cell>
          <cell r="I43" t="str">
            <v>-</v>
          </cell>
          <cell r="J43" t="str">
            <v>Domestic</v>
          </cell>
          <cell r="K43" t="str">
            <v>Cattlefeed</v>
          </cell>
          <cell r="L43" t="str">
            <v>Non-Sugar</v>
          </cell>
          <cell r="M43" t="str">
            <v>End User</v>
          </cell>
          <cell r="O43" t="str">
            <v>-</v>
          </cell>
          <cell r="P43" t="str">
            <v>NI</v>
          </cell>
          <cell r="Q43" t="str">
            <v>AKSHAY AWASTHI</v>
          </cell>
          <cell r="R43" t="str">
            <v>-</v>
          </cell>
          <cell r="S43" t="str">
            <v>https://share.google/B9BUQuFbj68YQrhTJ</v>
          </cell>
          <cell r="T43" t="str">
            <v>-</v>
          </cell>
          <cell r="U43" t="str">
            <v>23-24</v>
          </cell>
          <cell r="W43">
            <v>44933</v>
          </cell>
        </row>
        <row r="44">
          <cell r="F44" t="str">
            <v>SURA01A252</v>
          </cell>
          <cell r="G44" t="str">
            <v>ArcelorMittal Nippon Steel India Pvt Ltd</v>
          </cell>
          <cell r="H44" t="str">
            <v>25-26</v>
          </cell>
          <cell r="I44" t="str">
            <v>-</v>
          </cell>
          <cell r="J44" t="str">
            <v>Domestic</v>
          </cell>
          <cell r="K44" t="str">
            <v>OTHERS</v>
          </cell>
          <cell r="L44" t="str">
            <v>Non-Sugar</v>
          </cell>
          <cell r="M44" t="str">
            <v>End User</v>
          </cell>
          <cell r="O44" t="str">
            <v>-</v>
          </cell>
          <cell r="P44" t="str">
            <v>NI</v>
          </cell>
          <cell r="Q44" t="str">
            <v>AKSHAY AWASTHI</v>
          </cell>
          <cell r="S44" t="str">
            <v>https://share.google/xxgp3DU1PXzpbPb6Z</v>
          </cell>
          <cell r="U44" t="str">
            <v>25-26</v>
          </cell>
          <cell r="W44">
            <v>45982</v>
          </cell>
        </row>
        <row r="45">
          <cell r="F45" t="str">
            <v>MUMB01A032</v>
          </cell>
          <cell r="G45" t="str">
            <v>ARIES EXPORT PVT. LTD.</v>
          </cell>
          <cell r="H45">
            <v>2016</v>
          </cell>
          <cell r="I45" t="str">
            <v>-</v>
          </cell>
          <cell r="J45" t="str">
            <v>Domestic</v>
          </cell>
          <cell r="K45" t="str">
            <v>Sugar</v>
          </cell>
          <cell r="L45" t="str">
            <v>Sugar</v>
          </cell>
          <cell r="M45" t="str">
            <v>Merchant Exporter</v>
          </cell>
          <cell r="O45" t="str">
            <v>-</v>
          </cell>
          <cell r="P45" t="str">
            <v>NI</v>
          </cell>
          <cell r="Q45" t="str">
            <v>AVIRAL SHUKLA</v>
          </cell>
          <cell r="R45" t="str">
            <v>-</v>
          </cell>
          <cell r="S45" t="str">
            <v>https://share.google/sZu1P2urtcqmSNvkZ</v>
          </cell>
          <cell r="T45" t="str">
            <v>-</v>
          </cell>
          <cell r="U45" t="str">
            <v>-</v>
          </cell>
          <cell r="W45" t="str">
            <v>-</v>
          </cell>
        </row>
        <row r="46">
          <cell r="F46" t="str">
            <v>THNJ01A033</v>
          </cell>
          <cell r="G46" t="str">
            <v>ARIGNAR ANNA SUGAR MILLS</v>
          </cell>
          <cell r="H46">
            <v>2013</v>
          </cell>
          <cell r="I46" t="str">
            <v>-</v>
          </cell>
          <cell r="J46" t="str">
            <v>Domestic</v>
          </cell>
          <cell r="K46" t="str">
            <v>Sugar</v>
          </cell>
          <cell r="L46" t="str">
            <v>Sugar</v>
          </cell>
          <cell r="M46" t="str">
            <v>End User</v>
          </cell>
          <cell r="N46" t="str">
            <v>(0-5000)</v>
          </cell>
          <cell r="O46">
            <v>2500</v>
          </cell>
          <cell r="P46" t="str">
            <v>SI-GS</v>
          </cell>
          <cell r="Q46" t="str">
            <v>SI-GS</v>
          </cell>
          <cell r="S46" t="str">
            <v>https://share.google/PAcYScjGZOtQz2wPC</v>
          </cell>
          <cell r="W46" t="str">
            <v>-</v>
          </cell>
        </row>
        <row r="47">
          <cell r="F47" t="str">
            <v>PUNE01A161</v>
          </cell>
          <cell r="G47" t="str">
            <v>ARUBHI INTERNATIONAL</v>
          </cell>
          <cell r="H47" t="str">
            <v>26-27</v>
          </cell>
          <cell r="J47" t="str">
            <v>EXPORT</v>
          </cell>
          <cell r="M47" t="str">
            <v>Trader</v>
          </cell>
          <cell r="P47" t="str">
            <v>NI</v>
          </cell>
          <cell r="Q47" t="str">
            <v>AVIRAL SHUKLA</v>
          </cell>
        </row>
        <row r="48">
          <cell r="F48" t="str">
            <v>DLHI01A268</v>
          </cell>
          <cell r="G48" t="str">
            <v>ARUN GUPTA</v>
          </cell>
          <cell r="H48" t="str">
            <v>-</v>
          </cell>
          <cell r="J48" t="str">
            <v>Domestic</v>
          </cell>
          <cell r="K48" t="str">
            <v>OTHERS</v>
          </cell>
          <cell r="L48" t="str">
            <v>Non-Sugar</v>
          </cell>
          <cell r="M48" t="str">
            <v>OEM</v>
          </cell>
          <cell r="P48" t="str">
            <v>HO</v>
          </cell>
          <cell r="Q48" t="str">
            <v>AVIRAL SHUKLA</v>
          </cell>
        </row>
        <row r="49">
          <cell r="F49" t="str">
            <v>PUNE01A176</v>
          </cell>
          <cell r="G49" t="str">
            <v>ARYAN BOILERS PVT LTD.</v>
          </cell>
          <cell r="H49" t="str">
            <v>25-26</v>
          </cell>
          <cell r="I49" t="str">
            <v>-</v>
          </cell>
          <cell r="J49" t="str">
            <v>Domestic</v>
          </cell>
          <cell r="K49" t="str">
            <v>Sugar</v>
          </cell>
          <cell r="L49" t="str">
            <v>Sugar</v>
          </cell>
          <cell r="M49" t="str">
            <v>OEM</v>
          </cell>
          <cell r="O49" t="str">
            <v>-</v>
          </cell>
          <cell r="P49" t="str">
            <v>AV</v>
          </cell>
          <cell r="Q49" t="str">
            <v>AV</v>
          </cell>
          <cell r="R49" t="str">
            <v>OEM</v>
          </cell>
          <cell r="S49" t="str">
            <v>https://share.google/0etJriOqwmdJBxX5n</v>
          </cell>
          <cell r="T49" t="str">
            <v>-</v>
          </cell>
          <cell r="W49" t="str">
            <v>-</v>
          </cell>
        </row>
        <row r="50">
          <cell r="F50" t="str">
            <v>AHMD01A130</v>
          </cell>
          <cell r="G50" t="str">
            <v>ASHOK SAHAKARI SAKHAR KARKHANA LTD. ASHONAGAR</v>
          </cell>
          <cell r="H50" t="str">
            <v>22-23</v>
          </cell>
          <cell r="I50" t="str">
            <v>-</v>
          </cell>
          <cell r="J50" t="str">
            <v>Domestic</v>
          </cell>
          <cell r="K50" t="str">
            <v>Sugar</v>
          </cell>
          <cell r="L50" t="str">
            <v>Sugar</v>
          </cell>
          <cell r="M50" t="str">
            <v>End User</v>
          </cell>
          <cell r="N50" t="str">
            <v>(0-5000)</v>
          </cell>
          <cell r="O50" t="str">
            <v>4000
Distillery 40 KLPD
Distillery expn 60 KLPD</v>
          </cell>
          <cell r="P50" t="str">
            <v>AV</v>
          </cell>
          <cell r="Q50" t="str">
            <v>AV</v>
          </cell>
          <cell r="R50" t="str">
            <v>PD</v>
          </cell>
          <cell r="S50" t="str">
            <v>https://share.google/49IqFVidE8GLHeWna</v>
          </cell>
          <cell r="T50" t="str">
            <v>Ahmednagar - 1</v>
          </cell>
          <cell r="U50" t="str">
            <v>25-26</v>
          </cell>
          <cell r="W50" t="str">
            <v>20-11-2025
7/19/2023</v>
          </cell>
        </row>
        <row r="51">
          <cell r="F51" t="str">
            <v>BARO01A034</v>
          </cell>
          <cell r="G51" t="str">
            <v>ASHRAY ENGINEERS</v>
          </cell>
          <cell r="H51">
            <v>2013</v>
          </cell>
          <cell r="I51" t="str">
            <v>-</v>
          </cell>
          <cell r="J51" t="str">
            <v>Domestic</v>
          </cell>
          <cell r="K51" t="str">
            <v>Other</v>
          </cell>
          <cell r="L51" t="str">
            <v>Non-Sugar</v>
          </cell>
          <cell r="M51" t="str">
            <v>Trader</v>
          </cell>
          <cell r="O51" t="str">
            <v>-</v>
          </cell>
          <cell r="P51" t="str">
            <v>NI</v>
          </cell>
          <cell r="Q51" t="str">
            <v>AVIRAL SHUKLA</v>
          </cell>
          <cell r="R51" t="str">
            <v>-</v>
          </cell>
          <cell r="S51" t="str">
            <v>https://share.google/bKS4vm4ePJ04f9KNN</v>
          </cell>
          <cell r="T51" t="str">
            <v>-</v>
          </cell>
          <cell r="U51" t="str">
            <v>-</v>
          </cell>
        </row>
        <row r="52">
          <cell r="F52" t="str">
            <v>SOLP01A119</v>
          </cell>
          <cell r="G52" t="str">
            <v>ASHTI SUGAR LIMITED (formerly AUDAMBARRAOJI PATIL S K L)</v>
          </cell>
          <cell r="H52">
            <v>2022</v>
          </cell>
          <cell r="I52" t="str">
            <v>-</v>
          </cell>
          <cell r="J52" t="str">
            <v>Domestic</v>
          </cell>
          <cell r="K52" t="str">
            <v>Sugar</v>
          </cell>
          <cell r="L52" t="str">
            <v>Sugar</v>
          </cell>
          <cell r="M52" t="str">
            <v>End User</v>
          </cell>
          <cell r="N52" t="str">
            <v>(0-5000)</v>
          </cell>
          <cell r="O52">
            <v>2500</v>
          </cell>
          <cell r="P52" t="str">
            <v>AV</v>
          </cell>
          <cell r="Q52" t="str">
            <v>AV</v>
          </cell>
          <cell r="R52" t="str">
            <v>PD</v>
          </cell>
          <cell r="S52" t="str">
            <v>https://maps.app.goo.gl/NSDVTuurvuuurkkn9</v>
          </cell>
          <cell r="T52" t="str">
            <v>Solapur - 1</v>
          </cell>
          <cell r="U52" t="str">
            <v>26-27</v>
          </cell>
          <cell r="V52" t="str">
            <v>May</v>
          </cell>
          <cell r="W52" t="str">
            <v>21.05.2026</v>
          </cell>
        </row>
        <row r="53">
          <cell r="F53" t="str">
            <v>GHZB01A108</v>
          </cell>
          <cell r="G53" t="str">
            <v>ASPIRE SOLUTION</v>
          </cell>
          <cell r="H53" t="str">
            <v>20-21</v>
          </cell>
          <cell r="I53" t="str">
            <v>-</v>
          </cell>
          <cell r="J53" t="str">
            <v>Domestic</v>
          </cell>
          <cell r="K53" t="str">
            <v>Other</v>
          </cell>
          <cell r="L53" t="str">
            <v>Non-Sugar</v>
          </cell>
          <cell r="M53" t="str">
            <v>OEM</v>
          </cell>
          <cell r="O53" t="str">
            <v>-</v>
          </cell>
          <cell r="P53" t="str">
            <v>NI</v>
          </cell>
          <cell r="Q53" t="str">
            <v>AVIRAL SHUKLA</v>
          </cell>
          <cell r="R53" t="str">
            <v>-</v>
          </cell>
          <cell r="S53" t="str">
            <v>NA</v>
          </cell>
          <cell r="T53" t="str">
            <v>-</v>
          </cell>
          <cell r="U53" t="str">
            <v>-</v>
          </cell>
        </row>
        <row r="54">
          <cell r="F54" t="str">
            <v>KANP01A064</v>
          </cell>
          <cell r="G54" t="str">
            <v>ASSOCIATE ENGINEERS</v>
          </cell>
          <cell r="H54">
            <v>2015</v>
          </cell>
          <cell r="I54" t="str">
            <v>-</v>
          </cell>
          <cell r="J54" t="str">
            <v>Domestic</v>
          </cell>
          <cell r="K54" t="str">
            <v>OTHERS</v>
          </cell>
          <cell r="L54" t="str">
            <v>Non-Sugar</v>
          </cell>
          <cell r="M54" t="str">
            <v>End User</v>
          </cell>
          <cell r="O54" t="str">
            <v>-</v>
          </cell>
          <cell r="P54" t="str">
            <v>NI</v>
          </cell>
          <cell r="Q54" t="str">
            <v>AKSHAY AWASTHI</v>
          </cell>
          <cell r="R54" t="str">
            <v>-</v>
          </cell>
          <cell r="S54" t="str">
            <v>NA</v>
          </cell>
          <cell r="T54" t="str">
            <v>-</v>
          </cell>
          <cell r="U54" t="str">
            <v>-</v>
          </cell>
          <cell r="W54" t="str">
            <v>-</v>
          </cell>
        </row>
        <row r="55">
          <cell r="F55" t="str">
            <v>INDR01A245</v>
          </cell>
          <cell r="G55" t="str">
            <v>ASSOCIATED ALCOHOLS &amp; BREWERIES LTD</v>
          </cell>
          <cell r="H55" t="str">
            <v>25-26</v>
          </cell>
          <cell r="I55" t="str">
            <v>-</v>
          </cell>
          <cell r="J55" t="str">
            <v>Domestic</v>
          </cell>
          <cell r="K55" t="str">
            <v>Distillery</v>
          </cell>
          <cell r="L55" t="str">
            <v>Non-Sugar</v>
          </cell>
          <cell r="M55" t="str">
            <v>End User</v>
          </cell>
          <cell r="O55" t="str">
            <v>-</v>
          </cell>
          <cell r="P55" t="str">
            <v>NI</v>
          </cell>
          <cell r="Q55" t="str">
            <v>HIMANSHU KUSHWAHA</v>
          </cell>
          <cell r="S55" t="str">
            <v>https://share.google/mpPf7ot0kYQEI2j82</v>
          </cell>
        </row>
        <row r="56">
          <cell r="F56" t="str">
            <v>MUMB01A166</v>
          </cell>
          <cell r="G56" t="str">
            <v>ASTHALAXIMI SUGAR ETHANOL AND ENERGY LIMITED (FORMERLY NASHIK SAHAKARI SAKHAR KARKHANA LTD )</v>
          </cell>
          <cell r="H56" t="str">
            <v>23-24</v>
          </cell>
          <cell r="I56" t="str">
            <v>-</v>
          </cell>
          <cell r="J56" t="str">
            <v>Domestic</v>
          </cell>
          <cell r="K56" t="str">
            <v>Sugar</v>
          </cell>
          <cell r="L56" t="str">
            <v>Sugar</v>
          </cell>
          <cell r="M56" t="str">
            <v>End User</v>
          </cell>
          <cell r="N56" t="str">
            <v>(0-5000)</v>
          </cell>
          <cell r="O56">
            <v>1250</v>
          </cell>
          <cell r="P56" t="str">
            <v>AV</v>
          </cell>
          <cell r="Q56" t="str">
            <v>AV</v>
          </cell>
          <cell r="R56" t="str">
            <v>PD</v>
          </cell>
          <cell r="S56" t="str">
            <v>https://maps.app.goo.gl/zsudyp6XNJQ6npEy9</v>
          </cell>
          <cell r="T56" t="str">
            <v>Nasik_Nandurbar - 1</v>
          </cell>
          <cell r="U56" t="str">
            <v>25-26</v>
          </cell>
          <cell r="W56" t="str">
            <v>03-03-2026
5/30/2024</v>
          </cell>
        </row>
        <row r="57">
          <cell r="F57" t="str">
            <v>VIRU01A266</v>
          </cell>
          <cell r="G57" t="str">
            <v>ASWIN</v>
          </cell>
          <cell r="H57" t="str">
            <v>-</v>
          </cell>
          <cell r="J57" t="str">
            <v>Domestic</v>
          </cell>
          <cell r="K57" t="str">
            <v>OTHERS</v>
          </cell>
          <cell r="L57" t="str">
            <v>Non-Sugar</v>
          </cell>
          <cell r="M57" t="str">
            <v>OEM</v>
          </cell>
          <cell r="P57" t="str">
            <v>HO</v>
          </cell>
          <cell r="Q57" t="str">
            <v>-</v>
          </cell>
        </row>
        <row r="58">
          <cell r="F58" t="str">
            <v>BELG01A037</v>
          </cell>
          <cell r="G58" t="str">
            <v>ATHANI SUGAR FACTORY LTD (Kempwad)</v>
          </cell>
          <cell r="H58" t="str">
            <v>22-23</v>
          </cell>
          <cell r="I58" t="str">
            <v>Athani Group</v>
          </cell>
          <cell r="J58" t="str">
            <v>Domestic</v>
          </cell>
          <cell r="K58" t="str">
            <v>Sugar</v>
          </cell>
          <cell r="L58" t="str">
            <v>Sugar</v>
          </cell>
          <cell r="M58" t="str">
            <v>Group (Mills)</v>
          </cell>
          <cell r="N58" t="str">
            <v>(9001 &amp; above)</v>
          </cell>
          <cell r="O58" t="str">
            <v>Sugar 12000
Distillery 90 KLPD</v>
          </cell>
          <cell r="P58" t="str">
            <v>AV</v>
          </cell>
          <cell r="Q58" t="str">
            <v>AV</v>
          </cell>
          <cell r="R58" t="str">
            <v>VG</v>
          </cell>
          <cell r="S58" t="str">
            <v>https://maps.app.goo.gl/XSVxMu4vk9PAWRZG9</v>
          </cell>
          <cell r="T58" t="str">
            <v>Belagavi - 1</v>
          </cell>
          <cell r="U58" t="str">
            <v>25-26</v>
          </cell>
          <cell r="W58" t="str">
            <v>15-11-2025
18-04-2025
3/20/2024</v>
          </cell>
        </row>
        <row r="59">
          <cell r="F59" t="str">
            <v>SATA01A178</v>
          </cell>
          <cell r="G59" t="str">
            <v>ATHANI SUGAR LIMITED (RAYAT UNIT-3)</v>
          </cell>
          <cell r="H59" t="str">
            <v>24-25</v>
          </cell>
          <cell r="I59" t="str">
            <v>Athani Group</v>
          </cell>
          <cell r="J59" t="str">
            <v>Domestic</v>
          </cell>
          <cell r="K59" t="str">
            <v>Sugar</v>
          </cell>
          <cell r="L59" t="str">
            <v>Sugar</v>
          </cell>
          <cell r="M59" t="str">
            <v>Group (Mills)</v>
          </cell>
          <cell r="N59" t="str">
            <v>(0-5000)</v>
          </cell>
          <cell r="O59">
            <v>3000</v>
          </cell>
          <cell r="P59" t="str">
            <v>AV</v>
          </cell>
          <cell r="Q59" t="str">
            <v>AV</v>
          </cell>
          <cell r="R59" t="str">
            <v>VG</v>
          </cell>
          <cell r="S59" t="str">
            <v>https://share.google/XTzcMEgEWus38lH8c</v>
          </cell>
          <cell r="T59" t="str">
            <v>Satara - 1</v>
          </cell>
          <cell r="U59" t="str">
            <v>24-25</v>
          </cell>
          <cell r="W59">
            <v>45474</v>
          </cell>
        </row>
        <row r="60">
          <cell r="F60" t="str">
            <v>PUNE01A200</v>
          </cell>
          <cell r="G60" t="str">
            <v>Athani Sugar Limited-Ii (Bambawade)</v>
          </cell>
          <cell r="H60" t="str">
            <v>24-25</v>
          </cell>
          <cell r="I60" t="str">
            <v>Athani Group</v>
          </cell>
          <cell r="J60" t="str">
            <v>Domestic</v>
          </cell>
          <cell r="K60" t="str">
            <v>Sugar</v>
          </cell>
          <cell r="L60" t="str">
            <v>Sugar</v>
          </cell>
          <cell r="M60" t="str">
            <v>Group (Mills)</v>
          </cell>
          <cell r="N60" t="str">
            <v>(0-5000)</v>
          </cell>
          <cell r="O60">
            <v>2500</v>
          </cell>
          <cell r="P60" t="str">
            <v>AV</v>
          </cell>
          <cell r="Q60" t="str">
            <v>AV</v>
          </cell>
          <cell r="R60" t="str">
            <v>VG</v>
          </cell>
          <cell r="S60" t="str">
            <v>https://share.google/7ukR6JwotFjTJMXNY</v>
          </cell>
          <cell r="T60" t="str">
            <v>Kolhapur - 1</v>
          </cell>
          <cell r="U60" t="str">
            <v>24-25</v>
          </cell>
          <cell r="W60" t="str">
            <v>25-01-2025
01-07-2024
22-05-2024</v>
          </cell>
        </row>
        <row r="61">
          <cell r="F61" t="str">
            <v>KOLH01A098</v>
          </cell>
          <cell r="G61" t="str">
            <v>ATHARV INTERTRADE PVT LTD- DISTILLERY (LEASED UNIT-DAULAT SSSK LTD.)</v>
          </cell>
          <cell r="H61">
            <v>2019</v>
          </cell>
          <cell r="I61" t="str">
            <v>-</v>
          </cell>
          <cell r="J61" t="str">
            <v>Domestic</v>
          </cell>
          <cell r="K61" t="str">
            <v>Sugar</v>
          </cell>
          <cell r="L61" t="str">
            <v>Sugar</v>
          </cell>
          <cell r="M61" t="str">
            <v>End User</v>
          </cell>
          <cell r="N61" t="str">
            <v>(0-5000)</v>
          </cell>
          <cell r="O61" t="str">
            <v>5000
75klpd</v>
          </cell>
          <cell r="P61" t="str">
            <v>MRK</v>
          </cell>
          <cell r="Q61" t="str">
            <v>MRK</v>
          </cell>
          <cell r="R61" t="str">
            <v>VG</v>
          </cell>
          <cell r="S61" t="str">
            <v>https://maps.app.goo.gl/zB7fj7MTxnNmghL37</v>
          </cell>
          <cell r="T61" t="str">
            <v>Kolhapur - 2</v>
          </cell>
          <cell r="U61" t="str">
            <v>25-26</v>
          </cell>
          <cell r="W61" t="str">
            <v>7-11-25(nego.)
10/3/2025
05-12-2023
30-09-2022</v>
          </cell>
        </row>
        <row r="62">
          <cell r="F62" t="str">
            <v>PUNE01A182</v>
          </cell>
          <cell r="G62" t="str">
            <v>ATTAQUANT ENTERPRISES PVT.LTD.</v>
          </cell>
          <cell r="H62" t="str">
            <v>24-25</v>
          </cell>
          <cell r="I62" t="str">
            <v>-</v>
          </cell>
          <cell r="J62" t="str">
            <v>Domestic</v>
          </cell>
          <cell r="K62" t="str">
            <v>OTHERS</v>
          </cell>
          <cell r="L62" t="str">
            <v>Non-Sugar</v>
          </cell>
          <cell r="M62" t="str">
            <v>OEM</v>
          </cell>
          <cell r="O62" t="str">
            <v>-</v>
          </cell>
          <cell r="P62" t="str">
            <v>NI</v>
          </cell>
          <cell r="Q62" t="str">
            <v>HIMANSHU KUSHWAHA</v>
          </cell>
          <cell r="R62" t="str">
            <v>-</v>
          </cell>
          <cell r="S62" t="str">
            <v>https://share.google/6yDoSiYIbSYtw8rf9</v>
          </cell>
          <cell r="T62" t="str">
            <v>-</v>
          </cell>
          <cell r="U62" t="str">
            <v>-</v>
          </cell>
          <cell r="W62" t="str">
            <v>-</v>
          </cell>
        </row>
        <row r="63">
          <cell r="F63" t="str">
            <v>SOLP01A150</v>
          </cell>
          <cell r="G63" t="str">
            <v>AUTADE SUGAR AND DISTILLERIES PVT LTD (FORMERLY FABTEC)</v>
          </cell>
          <cell r="H63" t="str">
            <v>22-23</v>
          </cell>
          <cell r="I63" t="str">
            <v>-</v>
          </cell>
          <cell r="J63" t="str">
            <v>Domestic</v>
          </cell>
          <cell r="K63" t="str">
            <v>Sugar</v>
          </cell>
          <cell r="L63" t="str">
            <v>Sugar</v>
          </cell>
          <cell r="M63" t="str">
            <v>End User</v>
          </cell>
          <cell r="N63" t="str">
            <v>(0-5000)</v>
          </cell>
          <cell r="O63">
            <v>5000</v>
          </cell>
          <cell r="P63" t="str">
            <v>AV</v>
          </cell>
          <cell r="Q63" t="str">
            <v>AV</v>
          </cell>
          <cell r="R63" t="str">
            <v>PD</v>
          </cell>
          <cell r="S63" t="str">
            <v>https://maps.app.goo.gl/JY6hakvtzAWChMb37</v>
          </cell>
          <cell r="T63" t="str">
            <v>Solapur - 1</v>
          </cell>
          <cell r="U63" t="str">
            <v>23-24</v>
          </cell>
          <cell r="W63" t="str">
            <v>20-04-2023
07-11-2022</v>
          </cell>
        </row>
        <row r="64">
          <cell r="F64" t="str">
            <v>KUSH01N017</v>
          </cell>
          <cell r="G64" t="str">
            <v>AVADH SUGAR &amp; ENERGY LTD (DHADHA BUJURG)(NEW INDIA SUGAR MILLS)</v>
          </cell>
          <cell r="H64" t="str">
            <v>23-24</v>
          </cell>
          <cell r="I64" t="str">
            <v>Avadh Group</v>
          </cell>
          <cell r="J64" t="str">
            <v>Domestic</v>
          </cell>
          <cell r="K64" t="str">
            <v>Sugar</v>
          </cell>
          <cell r="L64" t="str">
            <v>Sugar</v>
          </cell>
          <cell r="M64" t="str">
            <v>Group (Mills)</v>
          </cell>
          <cell r="N64" t="str">
            <v>(5001-9000)</v>
          </cell>
          <cell r="O64">
            <v>9000</v>
          </cell>
          <cell r="P64" t="str">
            <v>NI</v>
          </cell>
          <cell r="Q64" t="str">
            <v>HIMANSHU KUSHWAHA</v>
          </cell>
          <cell r="S64" t="str">
            <v>https://share.google/qYON0UkBY1B82YX8r</v>
          </cell>
          <cell r="T64" t="str">
            <v>-</v>
          </cell>
          <cell r="U64" t="str">
            <v>26-27</v>
          </cell>
          <cell r="V64" t="str">
            <v>May</v>
          </cell>
          <cell r="W64" t="str">
            <v>1-5-2026
16-12-2025
10-06-2025
06-08-2024
12-07-2022
19-01-2022
03-08-2021</v>
          </cell>
        </row>
        <row r="65">
          <cell r="F65" t="str">
            <v>SEOH01A105</v>
          </cell>
          <cell r="G65" t="str">
            <v>AVADH SUGAR &amp; ENERGY LTD (Seohara)</v>
          </cell>
          <cell r="H65" t="str">
            <v>20-21</v>
          </cell>
          <cell r="I65" t="str">
            <v>Avadh Group</v>
          </cell>
          <cell r="J65" t="str">
            <v>Domestic</v>
          </cell>
          <cell r="K65" t="str">
            <v>Sugar</v>
          </cell>
          <cell r="L65" t="str">
            <v>Sugar</v>
          </cell>
          <cell r="M65" t="str">
            <v>Group (Mills)</v>
          </cell>
          <cell r="N65" t="str">
            <v>(9001 &amp; above)</v>
          </cell>
          <cell r="O65">
            <v>10000</v>
          </cell>
          <cell r="P65" t="str">
            <v>NI</v>
          </cell>
          <cell r="Q65" t="str">
            <v>HIMANSHU KUSHWAHA</v>
          </cell>
          <cell r="R65" t="str">
            <v>HIMANSHU KUSHWAHA</v>
          </cell>
          <cell r="S65" t="str">
            <v>https://maps.app.goo.gl/rWBFiZkuMTAVfTEa8</v>
          </cell>
          <cell r="T65" t="str">
            <v>-</v>
          </cell>
          <cell r="U65" t="str">
            <v>25-26</v>
          </cell>
          <cell r="W65" t="str">
            <v>21-02-2026
21-08-2025
02-02-2025
22-07-2024
17-02-2024</v>
          </cell>
        </row>
        <row r="66">
          <cell r="F66" t="str">
            <v>SITP01A087</v>
          </cell>
          <cell r="G66" t="str">
            <v>AVADH SUGAR &amp; ENERGY LTD. (HARGAON)</v>
          </cell>
          <cell r="H66">
            <v>2017</v>
          </cell>
          <cell r="I66" t="str">
            <v>Avadh Group</v>
          </cell>
          <cell r="J66" t="str">
            <v>Domestic</v>
          </cell>
          <cell r="K66" t="str">
            <v>Sugar</v>
          </cell>
          <cell r="L66" t="str">
            <v>Sugar</v>
          </cell>
          <cell r="M66" t="str">
            <v>Group (Mills)</v>
          </cell>
          <cell r="N66" t="str">
            <v>(9001 &amp; above)</v>
          </cell>
          <cell r="O66">
            <v>11000</v>
          </cell>
          <cell r="P66" t="str">
            <v>NI</v>
          </cell>
          <cell r="Q66" t="str">
            <v>AVIRAL SHUKLA</v>
          </cell>
          <cell r="R66" t="str">
            <v>AVIRAL SHUKLA</v>
          </cell>
          <cell r="S66" t="str">
            <v>https://maps.app.goo.gl/YU8TBsJTCHmZ7bBb9</v>
          </cell>
          <cell r="T66" t="str">
            <v>CENTRAL -3</v>
          </cell>
          <cell r="U66" t="str">
            <v>26-27</v>
          </cell>
          <cell r="V66" t="str">
            <v>May</v>
          </cell>
          <cell r="W66" t="str">
            <v>26-05-26
17-01-26
27-08-2025
31-05-2025
25-10-2024
16-04-2024
17-02-2024
02-02-2024</v>
          </cell>
        </row>
        <row r="67">
          <cell r="F67" t="str">
            <v>SAHJ01R043</v>
          </cell>
          <cell r="G67" t="str">
            <v>AVADH SUGAR &amp; ENERGY LTD. (ROSA SHAHJAHANPUR)</v>
          </cell>
          <cell r="H67">
            <v>2016</v>
          </cell>
          <cell r="I67" t="str">
            <v>Avadh Group</v>
          </cell>
          <cell r="J67" t="str">
            <v>Domestic</v>
          </cell>
          <cell r="K67" t="str">
            <v>Sugar</v>
          </cell>
          <cell r="L67" t="str">
            <v>Sugar</v>
          </cell>
          <cell r="M67" t="str">
            <v>Group (Mills)</v>
          </cell>
          <cell r="N67" t="str">
            <v>(0-5000)</v>
          </cell>
          <cell r="O67">
            <v>5000</v>
          </cell>
          <cell r="P67" t="str">
            <v>NI</v>
          </cell>
          <cell r="Q67" t="str">
            <v>AKSHAY AWASTHI</v>
          </cell>
          <cell r="R67" t="str">
            <v>AKSHAY AWASTHI</v>
          </cell>
          <cell r="S67" t="str">
            <v>https://maps.app.goo.gl/vuLCZNnUAbJyy4tu9</v>
          </cell>
          <cell r="T67" t="str">
            <v>CENTRAL - 3</v>
          </cell>
          <cell r="U67" t="str">
            <v>25-26</v>
          </cell>
          <cell r="W67" t="str">
            <v>07-02-2026
12-05-2025
29-05-2024
15-02-2024</v>
          </cell>
        </row>
        <row r="68">
          <cell r="F68" t="str">
            <v>VISH01A155</v>
          </cell>
          <cell r="G68" t="str">
            <v>AXCHEM SOLUTIONS INDIA PVT LTD</v>
          </cell>
          <cell r="H68" t="str">
            <v>23-24</v>
          </cell>
          <cell r="I68" t="str">
            <v>-</v>
          </cell>
          <cell r="J68" t="str">
            <v>Domestic</v>
          </cell>
          <cell r="K68" t="str">
            <v>Other</v>
          </cell>
          <cell r="L68" t="str">
            <v>Non-Sugar</v>
          </cell>
          <cell r="M68" t="str">
            <v>OEM</v>
          </cell>
          <cell r="O68" t="str">
            <v>-</v>
          </cell>
          <cell r="P68" t="str">
            <v>NI</v>
          </cell>
          <cell r="Q68" t="str">
            <v>AKSHAY AWASTHI</v>
          </cell>
          <cell r="R68" t="str">
            <v>-</v>
          </cell>
          <cell r="S68" t="str">
            <v>NA</v>
          </cell>
          <cell r="T68" t="str">
            <v>-</v>
          </cell>
          <cell r="U68" t="str">
            <v>-</v>
          </cell>
          <cell r="W68" t="str">
            <v>-</v>
          </cell>
        </row>
        <row r="69">
          <cell r="F69" t="str">
            <v>AYOD01A250</v>
          </cell>
          <cell r="G69" t="str">
            <v>AXCHEM SOLUTIONS INDIA NPRIVATE LIMITED</v>
          </cell>
          <cell r="H69" t="str">
            <v>-</v>
          </cell>
          <cell r="J69" t="str">
            <v>Domestic</v>
          </cell>
          <cell r="P69" t="str">
            <v>HO</v>
          </cell>
          <cell r="Q69" t="str">
            <v>-</v>
          </cell>
        </row>
        <row r="70">
          <cell r="F70" t="str">
            <v>BHAR01A260</v>
          </cell>
          <cell r="G70" t="str">
            <v>AXCHEM SOLUTIONS INDIA PVT LTD - BHARUCH</v>
          </cell>
          <cell r="H70" t="str">
            <v>-</v>
          </cell>
          <cell r="J70" t="str">
            <v>Domestic</v>
          </cell>
          <cell r="P70" t="str">
            <v>HO</v>
          </cell>
          <cell r="Q70" t="str">
            <v>-</v>
          </cell>
        </row>
        <row r="71">
          <cell r="F71" t="str">
            <v>VIET01A085</v>
          </cell>
          <cell r="G71" t="str">
            <v>AZ AUTOMATION IMPORT CO LTD</v>
          </cell>
          <cell r="H71">
            <v>2017</v>
          </cell>
          <cell r="I71" t="str">
            <v>-</v>
          </cell>
          <cell r="J71" t="str">
            <v>Export</v>
          </cell>
          <cell r="K71" t="str">
            <v>Other</v>
          </cell>
          <cell r="L71" t="str">
            <v>Non-Sugar</v>
          </cell>
          <cell r="M71" t="str">
            <v>Trader</v>
          </cell>
          <cell r="O71" t="str">
            <v>-</v>
          </cell>
          <cell r="P71" t="str">
            <v>VA-SS</v>
          </cell>
          <cell r="Q71" t="str">
            <v>SHIVANU SHUKLA</v>
          </cell>
          <cell r="R71" t="str">
            <v>-</v>
          </cell>
          <cell r="S71" t="str">
            <v>NA</v>
          </cell>
          <cell r="T71" t="str">
            <v>-</v>
          </cell>
          <cell r="U71" t="str">
            <v>-</v>
          </cell>
        </row>
        <row r="72">
          <cell r="F72" t="str">
            <v>SOLP01B065</v>
          </cell>
          <cell r="G72" t="str">
            <v>BABANRAOJI SHINDE SUGAR &amp; ALLIED INDUSTRIES LTD</v>
          </cell>
          <cell r="H72">
            <v>2015</v>
          </cell>
          <cell r="I72" t="str">
            <v>Vithal Group</v>
          </cell>
          <cell r="J72" t="str">
            <v>Domestic</v>
          </cell>
          <cell r="K72" t="str">
            <v>Sugar</v>
          </cell>
          <cell r="L72" t="str">
            <v>Sugar</v>
          </cell>
          <cell r="M72" t="str">
            <v>Group (Mills)</v>
          </cell>
          <cell r="N72" t="str">
            <v>(0-5000)</v>
          </cell>
          <cell r="O72">
            <v>5000</v>
          </cell>
          <cell r="P72" t="str">
            <v>AV</v>
          </cell>
          <cell r="Q72" t="str">
            <v>AV</v>
          </cell>
          <cell r="R72" t="str">
            <v>PD</v>
          </cell>
          <cell r="S72" t="str">
            <v>https://maps.app.goo.gl/6orWzAHtnwJwTKoA7</v>
          </cell>
          <cell r="T72" t="str">
            <v>Solapur - 1</v>
          </cell>
          <cell r="U72" t="str">
            <v>23-24</v>
          </cell>
          <cell r="W72">
            <v>45056</v>
          </cell>
        </row>
        <row r="73">
          <cell r="F73" t="str">
            <v>BAGL01B162</v>
          </cell>
          <cell r="G73" t="str">
            <v>BADAMI SUGAR LIMITED</v>
          </cell>
          <cell r="H73" t="str">
            <v>-</v>
          </cell>
          <cell r="J73" t="str">
            <v>Domestic</v>
          </cell>
          <cell r="P73" t="str">
            <v>AV</v>
          </cell>
          <cell r="Q73" t="str">
            <v>-</v>
          </cell>
        </row>
        <row r="74">
          <cell r="F74" t="str">
            <v>TANZ01B101</v>
          </cell>
          <cell r="G74" t="str">
            <v>BAGAMOYO SUGAR LIMITED</v>
          </cell>
          <cell r="H74" t="str">
            <v>22-23</v>
          </cell>
          <cell r="I74" t="str">
            <v>-</v>
          </cell>
          <cell r="J74" t="str">
            <v>Export</v>
          </cell>
          <cell r="K74" t="str">
            <v>Sugar</v>
          </cell>
          <cell r="L74" t="str">
            <v>Sugar</v>
          </cell>
          <cell r="M74" t="str">
            <v>End User</v>
          </cell>
          <cell r="N74" t="str">
            <v>(0-5000)</v>
          </cell>
          <cell r="O74">
            <v>1400</v>
          </cell>
          <cell r="P74" t="str">
            <v>NI</v>
          </cell>
          <cell r="Q74" t="str">
            <v>AKSHAY AWASTHI</v>
          </cell>
          <cell r="R74" t="str">
            <v>-</v>
          </cell>
          <cell r="S74" t="str">
            <v>https://share.google/AaShPS1iaCcLqVckL</v>
          </cell>
          <cell r="T74" t="str">
            <v>-</v>
          </cell>
          <cell r="U74" t="str">
            <v>-</v>
          </cell>
          <cell r="W74" t="str">
            <v>-</v>
          </cell>
        </row>
        <row r="75">
          <cell r="F75" t="str">
            <v>HRDO01B003</v>
          </cell>
          <cell r="G75" t="str">
            <v>BAGHAULI SUGAR &amp; DISTILLERY LIMITED (Unit of Dalmia)</v>
          </cell>
          <cell r="H75" t="str">
            <v>23-24</v>
          </cell>
          <cell r="I75" t="str">
            <v>Dalmia Group</v>
          </cell>
          <cell r="J75" t="str">
            <v>Domestic</v>
          </cell>
          <cell r="K75" t="str">
            <v>Sugar</v>
          </cell>
          <cell r="L75" t="str">
            <v>Sugar</v>
          </cell>
          <cell r="M75" t="str">
            <v>Group (Mills)</v>
          </cell>
          <cell r="N75" t="str">
            <v>(0-5000)</v>
          </cell>
          <cell r="O75">
            <v>3500</v>
          </cell>
          <cell r="P75" t="str">
            <v>NI</v>
          </cell>
          <cell r="Q75" t="str">
            <v>AVIRAL SHUKLA</v>
          </cell>
          <cell r="S75" t="str">
            <v>https://maps.app.goo.gl/86yHCvsqt6UMvJAD7</v>
          </cell>
          <cell r="T75" t="str">
            <v>-</v>
          </cell>
          <cell r="U75" t="str">
            <v>25-26</v>
          </cell>
          <cell r="V75" t="str">
            <v>Feb</v>
          </cell>
          <cell r="W75" t="str">
            <v>27-2-2026
10-12-2024
31-01-2024</v>
          </cell>
        </row>
        <row r="76">
          <cell r="F76" t="str">
            <v>KURI01B055</v>
          </cell>
          <cell r="G76" t="str">
            <v>BAGMATI KHANDSARI SUGAR MILLS PVT LTD</v>
          </cell>
          <cell r="H76">
            <v>2014</v>
          </cell>
          <cell r="I76" t="str">
            <v>-</v>
          </cell>
          <cell r="J76" t="str">
            <v>Export</v>
          </cell>
          <cell r="K76" t="str">
            <v>Sugar</v>
          </cell>
          <cell r="L76" t="str">
            <v>Sugar</v>
          </cell>
          <cell r="M76" t="str">
            <v>End User</v>
          </cell>
          <cell r="N76" t="str">
            <v>(0-5000)</v>
          </cell>
          <cell r="O76">
            <v>2000</v>
          </cell>
          <cell r="P76" t="str">
            <v>NI</v>
          </cell>
          <cell r="Q76" t="str">
            <v>AKSHAY AWASTHI</v>
          </cell>
          <cell r="S76" t="str">
            <v>https://share.google/ulC1dd3ZpZWEBr7wx</v>
          </cell>
          <cell r="T76" t="str">
            <v>-</v>
          </cell>
          <cell r="U76" t="str">
            <v>24-25</v>
          </cell>
          <cell r="W76">
            <v>45476</v>
          </cell>
        </row>
        <row r="77">
          <cell r="F77" t="str">
            <v>JHAN01B155</v>
          </cell>
          <cell r="G77" t="str">
            <v>BAIDYAPATH AYURVED LLP</v>
          </cell>
          <cell r="H77" t="str">
            <v>23-24</v>
          </cell>
          <cell r="I77" t="str">
            <v>-</v>
          </cell>
          <cell r="J77" t="str">
            <v>Domestic</v>
          </cell>
          <cell r="K77" t="str">
            <v>Other</v>
          </cell>
          <cell r="L77" t="str">
            <v>Non-Sugar</v>
          </cell>
          <cell r="M77" t="str">
            <v>End User</v>
          </cell>
          <cell r="O77" t="str">
            <v>-</v>
          </cell>
          <cell r="P77" t="str">
            <v>NI</v>
          </cell>
          <cell r="Q77" t="str">
            <v>AVIRAL SHUKLA</v>
          </cell>
          <cell r="S77" t="str">
            <v>https://maps.app.goo.gl/ZfRpGyBSRSgUGqo27</v>
          </cell>
          <cell r="T77" t="str">
            <v>M.P -1</v>
          </cell>
          <cell r="U77" t="str">
            <v>25-26</v>
          </cell>
          <cell r="W77" t="str">
            <v>19-09-2025
13-08-2025
06-11-2024
06-08-2024
21-02-2024</v>
          </cell>
        </row>
        <row r="78">
          <cell r="F78" t="str">
            <v>NODA01B147</v>
          </cell>
          <cell r="G78" t="str">
            <v>BAJAJ ENERGY LTD</v>
          </cell>
          <cell r="H78" t="str">
            <v>23-24</v>
          </cell>
          <cell r="I78" t="str">
            <v>-</v>
          </cell>
          <cell r="J78" t="str">
            <v>Domestic</v>
          </cell>
          <cell r="K78" t="str">
            <v>Thermal Power Production</v>
          </cell>
          <cell r="L78" t="str">
            <v>Non-Sugar</v>
          </cell>
          <cell r="M78" t="str">
            <v>End User</v>
          </cell>
          <cell r="O78" t="str">
            <v>-</v>
          </cell>
          <cell r="P78" t="str">
            <v>NI</v>
          </cell>
          <cell r="Q78" t="str">
            <v>AVIRAL SHUKLA</v>
          </cell>
          <cell r="S78" t="str">
            <v>https://maps.app.goo.gl/wE1myz7fkN5iHvmb8</v>
          </cell>
          <cell r="T78" t="str">
            <v>-</v>
          </cell>
          <cell r="U78" t="str">
            <v>24-25</v>
          </cell>
          <cell r="W78" t="str">
            <v>30-01-2025</v>
          </cell>
        </row>
        <row r="79">
          <cell r="F79" t="str">
            <v>KHER01B004</v>
          </cell>
          <cell r="G79" t="str">
            <v>BAJAJ HINDUSTAN SUGAR LTD. (PALIA SUGAR)</v>
          </cell>
          <cell r="H79" t="str">
            <v>22-23</v>
          </cell>
          <cell r="I79" t="str">
            <v>Bajaj Group</v>
          </cell>
          <cell r="J79" t="str">
            <v>Domestic</v>
          </cell>
          <cell r="K79" t="str">
            <v>Sugar</v>
          </cell>
          <cell r="L79" t="str">
            <v>Sugar</v>
          </cell>
          <cell r="M79" t="str">
            <v>Group (Mills)</v>
          </cell>
          <cell r="N79" t="str">
            <v>(9001 &amp; above)</v>
          </cell>
          <cell r="O79">
            <v>11000</v>
          </cell>
          <cell r="P79" t="str">
            <v>NI</v>
          </cell>
          <cell r="Q79" t="str">
            <v>AVIRAL SHUKLA</v>
          </cell>
          <cell r="S79" t="str">
            <v>https://share.google/qAzQDOLl3OsTGPa2u</v>
          </cell>
          <cell r="T79" t="str">
            <v>Tour-Central</v>
          </cell>
          <cell r="U79" t="str">
            <v>26-27</v>
          </cell>
          <cell r="V79" t="str">
            <v>May</v>
          </cell>
          <cell r="W79" t="str">
            <v>27.05.2026
18-1-2026
28-08-2025
23-10-2024
18-04-2024
31-01-2024</v>
          </cell>
        </row>
        <row r="80">
          <cell r="F80" t="str">
            <v>DEOR01B016</v>
          </cell>
          <cell r="G80" t="str">
            <v>BAJAJ HINDUSTHAN LTD. (DEORIA)</v>
          </cell>
          <cell r="H80">
            <v>2015</v>
          </cell>
          <cell r="I80" t="str">
            <v>Bajaj Group</v>
          </cell>
          <cell r="J80" t="str">
            <v>Domestic</v>
          </cell>
          <cell r="K80" t="str">
            <v>Sugar</v>
          </cell>
          <cell r="L80" t="str">
            <v>Sugar</v>
          </cell>
          <cell r="M80" t="str">
            <v>Group (Mills)</v>
          </cell>
          <cell r="N80" t="str">
            <v>(5001-9000)</v>
          </cell>
          <cell r="O80">
            <v>6000</v>
          </cell>
          <cell r="P80" t="str">
            <v>NI</v>
          </cell>
          <cell r="Q80" t="str">
            <v>AVIRAL SHUKLA</v>
          </cell>
          <cell r="S80" t="str">
            <v>https://share.google/QCuCsqGsfnssXP74c</v>
          </cell>
          <cell r="T80" t="str">
            <v>-</v>
          </cell>
          <cell r="U80" t="str">
            <v>20-21</v>
          </cell>
          <cell r="W80">
            <v>44410</v>
          </cell>
        </row>
        <row r="81">
          <cell r="F81" t="str">
            <v>BIJN01B009</v>
          </cell>
          <cell r="G81" t="str">
            <v>BAJAJ HINDUSTHAN SUGAR LTD. (8S2) (BELAI)</v>
          </cell>
          <cell r="H81">
            <v>2013</v>
          </cell>
          <cell r="I81" t="str">
            <v>Bajaj Group</v>
          </cell>
          <cell r="J81" t="str">
            <v>Domestic</v>
          </cell>
          <cell r="K81" t="str">
            <v>Sugar</v>
          </cell>
          <cell r="L81" t="str">
            <v>Sugar</v>
          </cell>
          <cell r="M81" t="str">
            <v>Group (Mills)</v>
          </cell>
          <cell r="N81" t="str">
            <v>(5001-9000)</v>
          </cell>
          <cell r="O81">
            <v>8500</v>
          </cell>
          <cell r="P81" t="str">
            <v>NI</v>
          </cell>
          <cell r="Q81" t="str">
            <v>HIMANSHU KUSHWAHA</v>
          </cell>
          <cell r="S81" t="str">
            <v>https://maps.app.goo.gl/nJd3ff3y1gaGMRcZ6</v>
          </cell>
          <cell r="T81" t="str">
            <v>WESTREN</v>
          </cell>
          <cell r="U81" t="str">
            <v>25-26</v>
          </cell>
          <cell r="W81" t="str">
            <v>19-02-2026
22-08-2025
31-01-2025
14-02-2024
25-07-2024</v>
          </cell>
        </row>
        <row r="82">
          <cell r="F82" t="str">
            <v>BAST01B088</v>
          </cell>
          <cell r="G82" t="str">
            <v>BAJAJ HINDUSTHAN SUGAR LIMITED (Rudhauli)</v>
          </cell>
          <cell r="H82" t="str">
            <v>20-21</v>
          </cell>
          <cell r="I82" t="str">
            <v>Bajaj Group</v>
          </cell>
          <cell r="J82" t="str">
            <v>Domestic</v>
          </cell>
          <cell r="K82" t="str">
            <v>Sugar</v>
          </cell>
          <cell r="L82" t="str">
            <v>Sugar</v>
          </cell>
          <cell r="M82" t="str">
            <v>Group (Mills)</v>
          </cell>
          <cell r="N82" t="str">
            <v>(5001-9000)</v>
          </cell>
          <cell r="O82">
            <v>7000</v>
          </cell>
          <cell r="P82" t="str">
            <v>NI</v>
          </cell>
          <cell r="Q82" t="str">
            <v>HIMANSHU KUSHWAHA</v>
          </cell>
          <cell r="S82" t="str">
            <v>https://share.google/rsMjeGat6rz6fwdWO</v>
          </cell>
          <cell r="T82" t="str">
            <v>-</v>
          </cell>
          <cell r="U82" t="str">
            <v>26-27</v>
          </cell>
          <cell r="V82" t="str">
            <v>May</v>
          </cell>
          <cell r="W82" t="str">
            <v>6-5-2026
13-06-2025</v>
          </cell>
        </row>
        <row r="83">
          <cell r="F83" t="str">
            <v>BALR01B078</v>
          </cell>
          <cell r="G83" t="str">
            <v>BAJAJ HINDUSTHAN SUGAR LIMITED (UTRAULA)</v>
          </cell>
          <cell r="H83" t="str">
            <v>22-23</v>
          </cell>
          <cell r="I83" t="str">
            <v>Bajaj Group</v>
          </cell>
          <cell r="J83" t="str">
            <v>Domestic</v>
          </cell>
          <cell r="K83" t="str">
            <v>Sugar</v>
          </cell>
          <cell r="L83" t="str">
            <v>Sugar</v>
          </cell>
          <cell r="M83" t="str">
            <v>Group (Mills)</v>
          </cell>
          <cell r="N83" t="str">
            <v>(9001 &amp; above)</v>
          </cell>
          <cell r="O83">
            <v>12000</v>
          </cell>
          <cell r="P83" t="str">
            <v>NI</v>
          </cell>
          <cell r="Q83" t="str">
            <v>AKSHAY AWASTHI</v>
          </cell>
          <cell r="S83" t="str">
            <v>NA</v>
          </cell>
          <cell r="T83" t="str">
            <v>-</v>
          </cell>
          <cell r="U83" t="str">
            <v>23-24</v>
          </cell>
          <cell r="W83">
            <v>45256</v>
          </cell>
        </row>
        <row r="84">
          <cell r="F84" t="str">
            <v>KHER01B005</v>
          </cell>
          <cell r="G84" t="str">
            <v>BAJAJ HINDUSTHAN SUGAR LTD (GOLAGOKARANNATH)</v>
          </cell>
          <cell r="H84">
            <v>2013</v>
          </cell>
          <cell r="I84" t="str">
            <v>Bajaj Group</v>
          </cell>
          <cell r="J84" t="str">
            <v>Domestic</v>
          </cell>
          <cell r="K84" t="str">
            <v>Sugar</v>
          </cell>
          <cell r="L84" t="str">
            <v>Sugar</v>
          </cell>
          <cell r="M84" t="str">
            <v>Group (Mills)</v>
          </cell>
          <cell r="N84" t="str">
            <v>(9001 &amp; above)</v>
          </cell>
          <cell r="O84">
            <v>11000</v>
          </cell>
          <cell r="P84" t="str">
            <v>NI</v>
          </cell>
          <cell r="Q84" t="str">
            <v>AVIRAL SHUKLA</v>
          </cell>
          <cell r="S84" t="str">
            <v>https://share.google/xfFAxxP9Zb4JDnDay</v>
          </cell>
          <cell r="T84" t="str">
            <v>Tour-Central-1</v>
          </cell>
          <cell r="U84" t="str">
            <v>26-27</v>
          </cell>
          <cell r="V84" t="str">
            <v>May</v>
          </cell>
          <cell r="W84" t="str">
            <v>28-05-2026
18-1-2026
29-08-2025
24-10-2024
19-04-2024
02-02-2024</v>
          </cell>
        </row>
        <row r="85">
          <cell r="F85" t="str">
            <v>MUZF01B007</v>
          </cell>
          <cell r="G85" t="str">
            <v>BAJAJ HINDUSTHAN SUGAR LTD. (budhana)</v>
          </cell>
          <cell r="H85">
            <v>2013</v>
          </cell>
          <cell r="I85" t="str">
            <v>Bajaj Group</v>
          </cell>
          <cell r="J85" t="str">
            <v>Domestic</v>
          </cell>
          <cell r="K85" t="str">
            <v>Sugar</v>
          </cell>
          <cell r="L85" t="str">
            <v>Sugar</v>
          </cell>
          <cell r="M85" t="str">
            <v>Group (Mills)</v>
          </cell>
          <cell r="N85" t="str">
            <v>(5001-9000)</v>
          </cell>
          <cell r="O85">
            <v>9000</v>
          </cell>
          <cell r="P85" t="str">
            <v>NI</v>
          </cell>
          <cell r="Q85" t="str">
            <v>AKSHAY AWASTHI</v>
          </cell>
          <cell r="S85" t="str">
            <v>https://share.google/gNaFFXY6qfnjjAHzD</v>
          </cell>
          <cell r="T85" t="str">
            <v>-</v>
          </cell>
          <cell r="U85" t="str">
            <v>25-26</v>
          </cell>
          <cell r="W85" t="str">
            <v>1.11.2025
06-03-2025
29-02-2024</v>
          </cell>
        </row>
        <row r="86">
          <cell r="F86" t="str">
            <v>MERT01B008</v>
          </cell>
          <cell r="G86" t="str">
            <v>BAJAJ HINDUSTHAN SUGAR LTD. (KINAUNI)</v>
          </cell>
          <cell r="H86">
            <v>2013</v>
          </cell>
          <cell r="I86" t="str">
            <v>Bajaj Group</v>
          </cell>
          <cell r="J86" t="str">
            <v>Domestic</v>
          </cell>
          <cell r="K86" t="str">
            <v>Sugar</v>
          </cell>
          <cell r="L86" t="str">
            <v>Sugar</v>
          </cell>
          <cell r="M86" t="str">
            <v>Group (Mills)</v>
          </cell>
          <cell r="N86" t="str">
            <v>(9001 &amp; above)</v>
          </cell>
          <cell r="O86">
            <v>12000</v>
          </cell>
          <cell r="P86" t="str">
            <v>NI</v>
          </cell>
          <cell r="Q86" t="str">
            <v>AKSHAY AWASTHI</v>
          </cell>
          <cell r="S86" t="str">
            <v>https://maps.app.goo.gl/qGAB8kAzKoqtqDy99</v>
          </cell>
          <cell r="T86" t="str">
            <v>WESTERN- 3</v>
          </cell>
          <cell r="U86" t="str">
            <v>25-26</v>
          </cell>
          <cell r="V86" t="str">
            <v>Mar</v>
          </cell>
          <cell r="W86" t="str">
            <v>24-3-2026
20-12-2024
02-02-2024
27-07-2023
30-01-2023
01-12-2022
16-09-2022
27-02-2022</v>
          </cell>
        </row>
        <row r="87">
          <cell r="F87" t="str">
            <v>SAHA01B013</v>
          </cell>
          <cell r="G87" t="str">
            <v>BAJAJ HINDUSTHAN SUGAR LTD. (GANGNAULI)</v>
          </cell>
          <cell r="H87">
            <v>2013</v>
          </cell>
          <cell r="I87" t="str">
            <v>Bajaj Group</v>
          </cell>
          <cell r="J87" t="str">
            <v>Domestic</v>
          </cell>
          <cell r="K87" t="str">
            <v>Sugar</v>
          </cell>
          <cell r="L87" t="str">
            <v>Sugar</v>
          </cell>
          <cell r="M87" t="str">
            <v>Group (Mills)</v>
          </cell>
          <cell r="N87" t="str">
            <v>(5001-9000)</v>
          </cell>
          <cell r="O87">
            <v>9000</v>
          </cell>
          <cell r="P87" t="str">
            <v>NI</v>
          </cell>
          <cell r="Q87" t="str">
            <v>AVIRAL SHUKLA</v>
          </cell>
          <cell r="S87" t="str">
            <v>https://maps.app.goo.gl/Ydz8i53RkNJZm6Jh9</v>
          </cell>
          <cell r="T87" t="str">
            <v>WESTERN</v>
          </cell>
          <cell r="U87" t="str">
            <v>25-26</v>
          </cell>
          <cell r="W87" t="str">
            <v>1-11-2025
10-07-2025
05-03-2025
18-12-2024
28-05-2024
26-07-2023
02-02-2023
25-06-2022
27-02-2022</v>
          </cell>
        </row>
        <row r="88">
          <cell r="F88" t="str">
            <v>SAHJ01B015</v>
          </cell>
          <cell r="G88" t="str">
            <v>BAJAJ HINDUSTHAN SUGAR LTD. (MAQSUDPUR)</v>
          </cell>
          <cell r="H88">
            <v>2016</v>
          </cell>
          <cell r="I88" t="str">
            <v>Bajaj Group</v>
          </cell>
          <cell r="J88" t="str">
            <v>Domestic</v>
          </cell>
          <cell r="K88" t="str">
            <v>Sugar</v>
          </cell>
          <cell r="L88" t="str">
            <v>Sugar</v>
          </cell>
          <cell r="M88" t="str">
            <v>Group (Mills)</v>
          </cell>
          <cell r="N88" t="str">
            <v>(5001-9000)</v>
          </cell>
          <cell r="O88">
            <v>7000</v>
          </cell>
          <cell r="P88" t="str">
            <v>NI</v>
          </cell>
          <cell r="Q88" t="str">
            <v>AVIRAL SHUKLA</v>
          </cell>
          <cell r="S88" t="str">
            <v>https://maps.app.goo.gl/es9AgJRTPynEQ2SB9</v>
          </cell>
          <cell r="T88" t="str">
            <v>CENTRAL - 2</v>
          </cell>
          <cell r="U88" t="str">
            <v>25-26</v>
          </cell>
          <cell r="W88" t="str">
            <v>13-05-2025
2/14/2024</v>
          </cell>
        </row>
        <row r="89">
          <cell r="F89" t="str">
            <v>KHER01B011</v>
          </cell>
          <cell r="G89" t="str">
            <v>BAJAJ HINDUSTHAN SUGAR LTD. (KHAMBHARKHERA)</v>
          </cell>
          <cell r="H89">
            <v>2013</v>
          </cell>
          <cell r="I89" t="str">
            <v>Bajaj Group</v>
          </cell>
          <cell r="J89" t="str">
            <v>Domestic</v>
          </cell>
          <cell r="K89" t="str">
            <v>Sugar</v>
          </cell>
          <cell r="L89" t="str">
            <v>Sugar</v>
          </cell>
          <cell r="M89" t="str">
            <v>Group (Mills)</v>
          </cell>
          <cell r="N89" t="str">
            <v>(9001 &amp; above)</v>
          </cell>
          <cell r="O89">
            <v>10000</v>
          </cell>
          <cell r="P89" t="str">
            <v>NI</v>
          </cell>
          <cell r="Q89" t="str">
            <v>AVIRAL SHUKLA</v>
          </cell>
          <cell r="S89" t="str">
            <v>https://maps.app.goo.gl/JBYin9yRGaz8ta8X7</v>
          </cell>
          <cell r="T89" t="str">
            <v>Tour-Central-1</v>
          </cell>
          <cell r="U89" t="str">
            <v>25-26</v>
          </cell>
          <cell r="W89" t="str">
            <v>17-1-2026
29-08-2025
11-01-2025
24-10-2024
16-04-2024</v>
          </cell>
        </row>
        <row r="90">
          <cell r="F90" t="str">
            <v>MUZF01B006</v>
          </cell>
          <cell r="G90" t="str">
            <v>BAJAJ HINDUSTHAN SUGAR LTD. (thanabhavan)</v>
          </cell>
          <cell r="H90">
            <v>2013</v>
          </cell>
          <cell r="I90" t="str">
            <v>Bajaj Group</v>
          </cell>
          <cell r="J90" t="str">
            <v>Domestic</v>
          </cell>
          <cell r="K90" t="str">
            <v>Sugar</v>
          </cell>
          <cell r="L90" t="str">
            <v>Sugar</v>
          </cell>
          <cell r="M90" t="str">
            <v>Group (Mills)</v>
          </cell>
          <cell r="N90" t="str">
            <v>(5001-9000)</v>
          </cell>
          <cell r="O90">
            <v>9000</v>
          </cell>
          <cell r="P90" t="str">
            <v>NI</v>
          </cell>
          <cell r="Q90" t="str">
            <v>AKSHAY AWASTHI</v>
          </cell>
          <cell r="R90" t="str">
            <v>AKSHAY AWASTHI</v>
          </cell>
          <cell r="S90" t="str">
            <v>https://maps.app.goo.gl/b3Wq7gEkAWKp68ui9</v>
          </cell>
          <cell r="T90" t="str">
            <v>WESTERN-1</v>
          </cell>
          <cell r="U90" t="str">
            <v>25-26</v>
          </cell>
          <cell r="V90" t="str">
            <v>Mar</v>
          </cell>
          <cell r="W90" t="str">
            <v>20-03-2026
31-10-2025
27-06-2025
03-03-2025
17-07-2024
30-05-2024
05-02-2024
26-07-2023</v>
          </cell>
        </row>
        <row r="91">
          <cell r="F91" t="str">
            <v>PILI01B014</v>
          </cell>
          <cell r="G91" t="str">
            <v>BAJAJ HINDUSTHAN SUGAR LTD.(BARKHERA)</v>
          </cell>
          <cell r="H91">
            <v>2013</v>
          </cell>
          <cell r="I91" t="str">
            <v>Bajaj Group</v>
          </cell>
          <cell r="J91" t="str">
            <v>Domestic</v>
          </cell>
          <cell r="K91" t="str">
            <v>Sugar</v>
          </cell>
          <cell r="L91" t="str">
            <v>Sugar</v>
          </cell>
          <cell r="M91" t="str">
            <v>Group (Mills)</v>
          </cell>
          <cell r="N91" t="str">
            <v>(5001-9000)</v>
          </cell>
          <cell r="O91">
            <v>7000</v>
          </cell>
          <cell r="P91" t="str">
            <v>NI</v>
          </cell>
          <cell r="Q91" t="str">
            <v>AVIRAL SHUKLA</v>
          </cell>
          <cell r="R91" t="str">
            <v>AVIRAL SHUKLA</v>
          </cell>
          <cell r="S91" t="str">
            <v>https://maps.app.goo.gl/x8Nxoe583TMMtJc19</v>
          </cell>
          <cell r="T91" t="str">
            <v>CENTRAL- 3</v>
          </cell>
          <cell r="U91" t="str">
            <v>25-26</v>
          </cell>
          <cell r="W91" t="str">
            <v>06-02-2026
13-05-2025
27-05-2024
27-12-2023</v>
          </cell>
        </row>
        <row r="92">
          <cell r="F92" t="str">
            <v>SURA01B150</v>
          </cell>
          <cell r="G92" t="str">
            <v>BALAR BIOTECHNOLOGIES PVT LTD</v>
          </cell>
          <cell r="H92" t="str">
            <v>23-24</v>
          </cell>
          <cell r="I92" t="str">
            <v>-</v>
          </cell>
          <cell r="J92" t="str">
            <v>Domestic</v>
          </cell>
          <cell r="K92" t="str">
            <v>Other</v>
          </cell>
          <cell r="L92" t="str">
            <v>Non-Sugar</v>
          </cell>
          <cell r="M92" t="str">
            <v>End User</v>
          </cell>
          <cell r="O92" t="str">
            <v>-</v>
          </cell>
          <cell r="P92" t="str">
            <v>NI</v>
          </cell>
          <cell r="Q92" t="str">
            <v>AKSHAY AWASTHI</v>
          </cell>
          <cell r="S92" t="str">
            <v>NA</v>
          </cell>
          <cell r="T92" t="str">
            <v>-</v>
          </cell>
          <cell r="U92" t="str">
            <v>24-25</v>
          </cell>
          <cell r="W92">
            <v>45437</v>
          </cell>
        </row>
        <row r="93">
          <cell r="F93" t="str">
            <v>PARB01B061</v>
          </cell>
          <cell r="G93" t="str">
            <v>BALIRAJA SAKHAR KARKHANA LTD. KANADKHED</v>
          </cell>
          <cell r="H93">
            <v>2015</v>
          </cell>
          <cell r="I93" t="str">
            <v>-</v>
          </cell>
          <cell r="J93" t="str">
            <v>Domestic</v>
          </cell>
          <cell r="K93" t="str">
            <v>Sugar</v>
          </cell>
          <cell r="L93" t="str">
            <v>Sugar</v>
          </cell>
          <cell r="M93" t="str">
            <v>End User</v>
          </cell>
          <cell r="N93" t="str">
            <v>(0-5000)</v>
          </cell>
          <cell r="O93">
            <v>3500</v>
          </cell>
          <cell r="P93" t="str">
            <v>AV</v>
          </cell>
          <cell r="Q93" t="str">
            <v>AV</v>
          </cell>
          <cell r="R93" t="str">
            <v>PD</v>
          </cell>
          <cell r="S93" t="str">
            <v>https://share.google/F5fmb4NSsLCTA3aiI</v>
          </cell>
          <cell r="T93" t="str">
            <v>Parbhani - 1</v>
          </cell>
          <cell r="U93" t="str">
            <v>23-24</v>
          </cell>
          <cell r="W93">
            <v>45325</v>
          </cell>
        </row>
        <row r="94">
          <cell r="F94" t="str">
            <v>BALR01T079</v>
          </cell>
          <cell r="G94" t="str">
            <v>BALRAMPUR CHINI MILLS LIMITED TULSIPUR</v>
          </cell>
          <cell r="H94">
            <v>2013</v>
          </cell>
          <cell r="I94" t="str">
            <v>Balrampur Group</v>
          </cell>
          <cell r="J94" t="str">
            <v>Domestic</v>
          </cell>
          <cell r="K94" t="str">
            <v>Sugar</v>
          </cell>
          <cell r="L94" t="str">
            <v>Sugar</v>
          </cell>
          <cell r="M94" t="str">
            <v>Group (Mills)</v>
          </cell>
          <cell r="N94" t="str">
            <v>(5001-9000)</v>
          </cell>
          <cell r="O94">
            <v>7000</v>
          </cell>
          <cell r="P94" t="str">
            <v>NI</v>
          </cell>
          <cell r="Q94" t="str">
            <v>AKSHAY AWASTHI</v>
          </cell>
          <cell r="S94" t="str">
            <v>https://maps.app.goo.gl/8HJkme9kwcWf5obNA</v>
          </cell>
          <cell r="T94" t="str">
            <v>-</v>
          </cell>
          <cell r="U94" t="str">
            <v>26-27</v>
          </cell>
          <cell r="V94" t="str">
            <v>May</v>
          </cell>
          <cell r="W94" t="str">
            <v>27-05-2026
20-1-2026
01-09-2025
27-11-2023
24-02-2022
06-09-2022
01-07-2021</v>
          </cell>
        </row>
        <row r="95">
          <cell r="F95" t="str">
            <v>AMBE01A049</v>
          </cell>
          <cell r="G95" t="str">
            <v>BALRAMPUR CHINI MILLS LTD (AKBARPUR)</v>
          </cell>
          <cell r="H95">
            <v>2013</v>
          </cell>
          <cell r="I95" t="str">
            <v>Balrampur Group</v>
          </cell>
          <cell r="J95" t="str">
            <v>Domestic</v>
          </cell>
          <cell r="K95" t="str">
            <v>Sugar</v>
          </cell>
          <cell r="L95" t="str">
            <v>Sugar</v>
          </cell>
          <cell r="M95" t="str">
            <v>Group (Mills)</v>
          </cell>
          <cell r="N95" t="str">
            <v>(5001-9000)</v>
          </cell>
          <cell r="O95">
            <v>7500</v>
          </cell>
          <cell r="P95" t="str">
            <v>NI</v>
          </cell>
          <cell r="Q95" t="str">
            <v>AKSHAY AWASTHI</v>
          </cell>
          <cell r="S95" t="str">
            <v>https://share.google/WLVpFW0LRAHjKMWgu</v>
          </cell>
          <cell r="T95" t="str">
            <v>-</v>
          </cell>
          <cell r="U95" t="str">
            <v>25-26</v>
          </cell>
          <cell r="W95" t="str">
            <v>21-1-2026
03-09-2025
25-11-2023
26-02-2022
29-06-2021</v>
          </cell>
        </row>
        <row r="96">
          <cell r="F96" t="str">
            <v>BARA01H021</v>
          </cell>
          <cell r="G96" t="str">
            <v>BALRAMPUR CHINI MILLS LTD (HAIDERGARH)</v>
          </cell>
          <cell r="H96">
            <v>2014</v>
          </cell>
          <cell r="I96" t="str">
            <v>Balrampur Group</v>
          </cell>
          <cell r="J96" t="str">
            <v>Domestic</v>
          </cell>
          <cell r="K96" t="str">
            <v>Sugar</v>
          </cell>
          <cell r="L96" t="str">
            <v>Sugar</v>
          </cell>
          <cell r="M96" t="str">
            <v>Group (Mills)</v>
          </cell>
          <cell r="N96" t="str">
            <v>(0-5000)</v>
          </cell>
          <cell r="O96">
            <v>5000</v>
          </cell>
          <cell r="P96" t="str">
            <v>NI</v>
          </cell>
          <cell r="Q96" t="str">
            <v>AKSHAY AWASTHI</v>
          </cell>
          <cell r="S96" t="str">
            <v>https://share.google/hatXUPXQdxFhQXiCi</v>
          </cell>
          <cell r="T96" t="str">
            <v>-</v>
          </cell>
          <cell r="U96" t="str">
            <v>24-25</v>
          </cell>
          <cell r="W96" t="str">
            <v>19-01-2025</v>
          </cell>
        </row>
        <row r="97">
          <cell r="F97" t="str">
            <v>GOND01B020</v>
          </cell>
          <cell r="G97" t="str">
            <v>BALRAMPUR CHINI MILLS LTD. (UNIT BABHNAN)</v>
          </cell>
          <cell r="H97">
            <v>2013</v>
          </cell>
          <cell r="I97" t="str">
            <v>Balrampur Group</v>
          </cell>
          <cell r="J97" t="str">
            <v>Domestic</v>
          </cell>
          <cell r="K97" t="str">
            <v>Sugar</v>
          </cell>
          <cell r="L97" t="str">
            <v>Sugar</v>
          </cell>
          <cell r="M97" t="str">
            <v>Group (Mills)</v>
          </cell>
          <cell r="N97" t="str">
            <v>(5001-9000)</v>
          </cell>
          <cell r="O97">
            <v>8000</v>
          </cell>
          <cell r="P97" t="str">
            <v>NI</v>
          </cell>
          <cell r="Q97" t="str">
            <v>AKSHAY AWASTHI</v>
          </cell>
          <cell r="S97" t="str">
            <v>https://maps.app.goo.gl/36hf1HzpT3q47uHw6</v>
          </cell>
          <cell r="T97" t="str">
            <v>-</v>
          </cell>
          <cell r="U97" t="str">
            <v>25-26</v>
          </cell>
          <cell r="W97" t="str">
            <v>04-09-2025
31-12-2024
27-11-2023
08-09-2022
22-01-2022
30-06-2021</v>
          </cell>
        </row>
        <row r="98">
          <cell r="F98" t="str">
            <v>BALR01B044</v>
          </cell>
          <cell r="G98" t="str">
            <v>BALRAMPUR CHINI MILLS LTD. BALRAMPUR SUGAR</v>
          </cell>
          <cell r="H98">
            <v>2016</v>
          </cell>
          <cell r="I98" t="str">
            <v>Balrampur Group</v>
          </cell>
          <cell r="J98" t="str">
            <v>Domestic</v>
          </cell>
          <cell r="K98" t="str">
            <v>Sugar</v>
          </cell>
          <cell r="L98" t="str">
            <v>Sugar</v>
          </cell>
          <cell r="M98" t="str">
            <v>Group (Mills)</v>
          </cell>
          <cell r="N98" t="str">
            <v>(9001 &amp; above)</v>
          </cell>
          <cell r="O98">
            <v>12500</v>
          </cell>
          <cell r="P98" t="str">
            <v>NI</v>
          </cell>
          <cell r="Q98" t="str">
            <v>AKSHAY AWASTHI</v>
          </cell>
          <cell r="S98" t="str">
            <v>https://maps.app.goo.gl/XUF4ynTdDBrTouUEA</v>
          </cell>
          <cell r="T98" t="str">
            <v>-</v>
          </cell>
          <cell r="U98" t="str">
            <v>26-27</v>
          </cell>
          <cell r="V98" t="str">
            <v>May</v>
          </cell>
          <cell r="W98" t="str">
            <v>28-05-2026
01-09-2025
27-11-2023
06-09-2022
24-02-2022
01-07-2021</v>
          </cell>
        </row>
        <row r="99">
          <cell r="F99" t="str">
            <v>LAKM01B090</v>
          </cell>
          <cell r="G99" t="str">
            <v>BALRAMPUR CHINI MILLS LTD. GULARIA</v>
          </cell>
          <cell r="H99" t="str">
            <v>19-20</v>
          </cell>
          <cell r="I99" t="str">
            <v>Balrampur Group</v>
          </cell>
          <cell r="J99" t="str">
            <v>Domestic</v>
          </cell>
          <cell r="K99" t="str">
            <v>Sugar</v>
          </cell>
          <cell r="L99" t="str">
            <v>Sugar</v>
          </cell>
          <cell r="M99" t="str">
            <v>Group (Mills)</v>
          </cell>
          <cell r="N99" t="str">
            <v>(5001-9000)</v>
          </cell>
          <cell r="O99">
            <v>8000</v>
          </cell>
          <cell r="P99" t="str">
            <v>NI</v>
          </cell>
          <cell r="Q99" t="str">
            <v>AVIRAL SHUKLA</v>
          </cell>
          <cell r="S99" t="str">
            <v>https://maps.app.goo.gl/ZzU9CXPQf97TjjPe9</v>
          </cell>
          <cell r="T99" t="str">
            <v>Tour-Central</v>
          </cell>
          <cell r="U99" t="str">
            <v>26-27</v>
          </cell>
          <cell r="V99" t="str">
            <v>May</v>
          </cell>
          <cell r="W99" t="str">
            <v>27-05-2026
28-08-2025
12-01-2025
18-04-2024
31-01-2024</v>
          </cell>
        </row>
        <row r="100">
          <cell r="F100" t="str">
            <v>LAKM01K031</v>
          </cell>
          <cell r="G100" t="str">
            <v>BALRAMPUR CHINI MILLS LTD. KUMBHI</v>
          </cell>
          <cell r="H100">
            <v>2013</v>
          </cell>
          <cell r="I100" t="str">
            <v>Balrampur Group</v>
          </cell>
          <cell r="J100" t="str">
            <v>Domestic</v>
          </cell>
          <cell r="K100" t="str">
            <v>Sugar</v>
          </cell>
          <cell r="L100" t="str">
            <v>Sugar</v>
          </cell>
          <cell r="M100" t="str">
            <v>Group (Mills)</v>
          </cell>
          <cell r="N100" t="str">
            <v>(9001 &amp; above)</v>
          </cell>
          <cell r="O100">
            <v>10000</v>
          </cell>
          <cell r="P100" t="str">
            <v>NI</v>
          </cell>
          <cell r="Q100" t="str">
            <v>AKSHAY AWASTHI</v>
          </cell>
          <cell r="S100" t="str">
            <v>https://share.google/HQBIYMlULvMJMA2W1</v>
          </cell>
          <cell r="T100" t="str">
            <v>CENTRAL - 2</v>
          </cell>
          <cell r="U100" t="str">
            <v>23-24</v>
          </cell>
          <cell r="W100">
            <v>45338</v>
          </cell>
        </row>
        <row r="101">
          <cell r="F101" t="str">
            <v>GOND01M035</v>
          </cell>
          <cell r="G101" t="str">
            <v>BALRAMPUR CHINI MILLS LTD. MANKAPUR</v>
          </cell>
          <cell r="H101">
            <v>2013</v>
          </cell>
          <cell r="I101" t="str">
            <v>Balrampur Group</v>
          </cell>
          <cell r="J101" t="str">
            <v>Domestic</v>
          </cell>
          <cell r="K101" t="str">
            <v>Sugar</v>
          </cell>
          <cell r="L101" t="str">
            <v>Sugar</v>
          </cell>
          <cell r="M101" t="str">
            <v>Group (Mills)</v>
          </cell>
          <cell r="N101" t="str">
            <v>(5001-9000)</v>
          </cell>
          <cell r="O101">
            <v>8000</v>
          </cell>
          <cell r="P101" t="str">
            <v>NI</v>
          </cell>
          <cell r="Q101" t="str">
            <v>AKSHAY AWASTHI</v>
          </cell>
          <cell r="S101" t="str">
            <v>https://maps.app.goo.gl/ZbWYwJtwANeAFint7</v>
          </cell>
          <cell r="T101" t="str">
            <v>-</v>
          </cell>
          <cell r="U101" t="str">
            <v>25-26</v>
          </cell>
          <cell r="W101" t="str">
            <v>20-1-2026
02-09-2025
02-01-2025
07-09-2022
22-01-2022
02-07-2021</v>
          </cell>
        </row>
        <row r="102">
          <cell r="F102" t="str">
            <v>BALR01B019</v>
          </cell>
          <cell r="G102" t="str">
            <v>BALRAMPUR CHINI MILLS LTD.(CHEMICAL DIV.)</v>
          </cell>
          <cell r="H102">
            <v>2013</v>
          </cell>
          <cell r="I102" t="str">
            <v>Balrampur Group</v>
          </cell>
          <cell r="J102" t="str">
            <v>Domestic</v>
          </cell>
          <cell r="K102" t="str">
            <v>Sugar</v>
          </cell>
          <cell r="L102" t="str">
            <v>Sugar</v>
          </cell>
          <cell r="M102" t="str">
            <v>Group (Mills)</v>
          </cell>
          <cell r="N102" t="str">
            <v>(9001 &amp; above)</v>
          </cell>
          <cell r="O102">
            <v>12500</v>
          </cell>
          <cell r="P102" t="str">
            <v>NI</v>
          </cell>
          <cell r="Q102" t="str">
            <v>AKSHAY AWASTHI</v>
          </cell>
          <cell r="S102" t="str">
            <v>NA</v>
          </cell>
          <cell r="T102" t="str">
            <v>-</v>
          </cell>
          <cell r="U102" t="str">
            <v>-</v>
          </cell>
          <cell r="W102" t="str">
            <v>-</v>
          </cell>
        </row>
        <row r="103">
          <cell r="F103" t="str">
            <v>PALA01B130</v>
          </cell>
          <cell r="G103" t="str">
            <v>BANASKANTHA DISTRICT CO-OP. MILK PRODUCERS' UNION LTD.- Katarwa</v>
          </cell>
          <cell r="H103" t="str">
            <v>23-24</v>
          </cell>
          <cell r="I103" t="str">
            <v>-</v>
          </cell>
          <cell r="J103" t="str">
            <v>Domestic</v>
          </cell>
          <cell r="K103" t="str">
            <v>Cattlefeed</v>
          </cell>
          <cell r="L103" t="str">
            <v>Non-Sugar</v>
          </cell>
          <cell r="M103" t="str">
            <v>End User</v>
          </cell>
          <cell r="O103" t="str">
            <v>2100/TPD</v>
          </cell>
          <cell r="P103" t="str">
            <v>NI</v>
          </cell>
          <cell r="Q103" t="str">
            <v>AKSHAY AWASTHI</v>
          </cell>
          <cell r="S103" t="str">
            <v>https://share.google/fl37NAiklv8MijgTi</v>
          </cell>
          <cell r="T103" t="str">
            <v>GUJARAT + PUNE</v>
          </cell>
          <cell r="U103" t="str">
            <v>25-26</v>
          </cell>
          <cell r="W103" t="str">
            <v>17-09-2025
4/25/2024</v>
          </cell>
        </row>
        <row r="104">
          <cell r="F104" t="str">
            <v>PALA01B079</v>
          </cell>
          <cell r="G104" t="str">
            <v>BANASKANTHA DISTRICT CO-OPERATIVE MILK PRODUCERS UNION LTD-Palanpur</v>
          </cell>
          <cell r="H104">
            <v>2018</v>
          </cell>
          <cell r="I104" t="str">
            <v>-</v>
          </cell>
          <cell r="J104" t="str">
            <v>Domestic</v>
          </cell>
          <cell r="K104" t="str">
            <v>Cattlefeed</v>
          </cell>
          <cell r="L104" t="str">
            <v>Non-Sugar</v>
          </cell>
          <cell r="M104" t="str">
            <v>End User</v>
          </cell>
          <cell r="O104" t="str">
            <v>900/TPD</v>
          </cell>
          <cell r="P104" t="str">
            <v>NI</v>
          </cell>
          <cell r="Q104" t="str">
            <v>AVIRAL SHUKLA</v>
          </cell>
          <cell r="S104" t="str">
            <v>NA</v>
          </cell>
          <cell r="T104" t="str">
            <v>GUJARAT + PUNE</v>
          </cell>
          <cell r="U104" t="str">
            <v>25-26</v>
          </cell>
          <cell r="W104" t="str">
            <v>17-09-2025
4/26/2024</v>
          </cell>
        </row>
        <row r="105">
          <cell r="F105" t="str">
            <v>MYSR01B021</v>
          </cell>
          <cell r="G105" t="str">
            <v>BANNARI AMMAN SUGARS LIMITED (Unit - II)</v>
          </cell>
          <cell r="H105">
            <v>2013</v>
          </cell>
          <cell r="I105" t="str">
            <v>Bannari Group</v>
          </cell>
          <cell r="J105" t="str">
            <v>Domestic</v>
          </cell>
          <cell r="K105" t="str">
            <v>Sugar</v>
          </cell>
          <cell r="L105" t="str">
            <v>Sugar</v>
          </cell>
          <cell r="M105" t="str">
            <v>Group (Mills)</v>
          </cell>
          <cell r="N105" t="str">
            <v>(5001-9000)</v>
          </cell>
          <cell r="O105">
            <v>7500</v>
          </cell>
          <cell r="P105" t="str">
            <v>SI-GS</v>
          </cell>
          <cell r="Q105" t="str">
            <v>SI-GS</v>
          </cell>
          <cell r="S105" t="str">
            <v>https://maps.app.goo.gl/6xhmWdUpKUqFribr8</v>
          </cell>
          <cell r="W105" t="str">
            <v>-</v>
          </cell>
        </row>
        <row r="106">
          <cell r="F106" t="str">
            <v>EROD01B025</v>
          </cell>
          <cell r="G106" t="str">
            <v>BANNARI AMMAN SUGARS LTD. (UNIT-I)</v>
          </cell>
          <cell r="H106">
            <v>2013</v>
          </cell>
          <cell r="I106" t="str">
            <v>Bannari Group</v>
          </cell>
          <cell r="J106" t="str">
            <v>Domestic</v>
          </cell>
          <cell r="K106" t="str">
            <v>Sugar</v>
          </cell>
          <cell r="L106" t="str">
            <v>Sugar</v>
          </cell>
          <cell r="M106" t="str">
            <v>Group (Mills)</v>
          </cell>
          <cell r="N106" t="str">
            <v>(0-5000)</v>
          </cell>
          <cell r="O106">
            <v>4000</v>
          </cell>
          <cell r="P106" t="str">
            <v>SI-GS</v>
          </cell>
          <cell r="Q106" t="str">
            <v>SI-GS</v>
          </cell>
          <cell r="S106" t="str">
            <v>https://maps.app.goo.gl/MAjWagdmYUtuzyeC7</v>
          </cell>
          <cell r="W106">
            <v>45138</v>
          </cell>
        </row>
        <row r="107">
          <cell r="F107" t="str">
            <v>TIRU01B024</v>
          </cell>
          <cell r="G107" t="str">
            <v>BANNARI AMMAN SUGARS LTD. (Unit - IV)</v>
          </cell>
          <cell r="H107">
            <v>2013</v>
          </cell>
          <cell r="I107" t="str">
            <v>Bannari Group</v>
          </cell>
          <cell r="J107" t="str">
            <v>Domestic</v>
          </cell>
          <cell r="K107" t="str">
            <v>Sugar</v>
          </cell>
          <cell r="L107" t="str">
            <v>Sugar</v>
          </cell>
          <cell r="M107" t="str">
            <v>Group (Mills)</v>
          </cell>
          <cell r="N107" t="str">
            <v>(0-5000)</v>
          </cell>
          <cell r="O107">
            <v>5000</v>
          </cell>
          <cell r="P107" t="str">
            <v>SI-GS</v>
          </cell>
          <cell r="Q107" t="str">
            <v>SI-GS</v>
          </cell>
          <cell r="S107" t="str">
            <v>https://maps.app.goo.gl/QWYE6QdzCBD6Tku56</v>
          </cell>
          <cell r="W107" t="str">
            <v>17-01-2025</v>
          </cell>
        </row>
        <row r="108">
          <cell r="F108" t="str">
            <v>CHAM01B022</v>
          </cell>
          <cell r="G108" t="str">
            <v>BANNARI AMMAN SUGARS LTD. (Unit - III)</v>
          </cell>
          <cell r="H108">
            <v>2014</v>
          </cell>
          <cell r="I108" t="str">
            <v>Bannari Group</v>
          </cell>
          <cell r="J108" t="str">
            <v>Domestic</v>
          </cell>
          <cell r="K108" t="str">
            <v>Sugar</v>
          </cell>
          <cell r="L108" t="str">
            <v>Sugar</v>
          </cell>
          <cell r="M108" t="str">
            <v>Group (Mills)</v>
          </cell>
          <cell r="N108" t="str">
            <v>(0-5000)</v>
          </cell>
          <cell r="O108">
            <v>4500</v>
          </cell>
          <cell r="P108" t="str">
            <v>SI-GS</v>
          </cell>
          <cell r="Q108" t="str">
            <v>SI-GS</v>
          </cell>
          <cell r="S108" t="str">
            <v>https://share.google/557q0xDUoSgPhn87P</v>
          </cell>
          <cell r="W108">
            <v>45194</v>
          </cell>
        </row>
        <row r="109">
          <cell r="F109" t="str">
            <v>EROD01B023</v>
          </cell>
          <cell r="G109" t="str">
            <v>BANNARI AMMAN SUGARS LTD.(Distillery Division)</v>
          </cell>
          <cell r="H109">
            <v>2013</v>
          </cell>
          <cell r="I109" t="str">
            <v>Bannari Group</v>
          </cell>
          <cell r="J109" t="str">
            <v>Domestic</v>
          </cell>
          <cell r="K109" t="str">
            <v>Distillery</v>
          </cell>
          <cell r="L109" t="str">
            <v>Non-Sugar</v>
          </cell>
          <cell r="M109" t="str">
            <v>Group (Mills)</v>
          </cell>
          <cell r="P109" t="str">
            <v>SI-GS</v>
          </cell>
          <cell r="Q109" t="str">
            <v>SI-GS</v>
          </cell>
          <cell r="S109" t="str">
            <v>https://share.google/ok4Gqw0egniePkKiE</v>
          </cell>
          <cell r="W109" t="str">
            <v>-</v>
          </cell>
        </row>
        <row r="110">
          <cell r="F110" t="str">
            <v>GWAL01G068</v>
          </cell>
          <cell r="G110" t="str">
            <v>BAPUNA ALCOBREW PVT. LTD.
(FORMERLY GWALIOR
ALCOBREW PVT LTD)</v>
          </cell>
          <cell r="H110" t="str">
            <v>22-23</v>
          </cell>
          <cell r="I110" t="str">
            <v>-</v>
          </cell>
          <cell r="J110" t="str">
            <v>Domestic</v>
          </cell>
          <cell r="K110" t="str">
            <v>Distillery(Sugar)</v>
          </cell>
          <cell r="L110" t="str">
            <v>Non-Sugar</v>
          </cell>
          <cell r="M110" t="str">
            <v>End User</v>
          </cell>
          <cell r="O110" t="str">
            <v>-</v>
          </cell>
          <cell r="P110" t="str">
            <v>NI</v>
          </cell>
          <cell r="Q110" t="str">
            <v>AVIRAL SHUKLA</v>
          </cell>
          <cell r="S110" t="str">
            <v>https://share.google/3wOOscp4AIBhi9RZs</v>
          </cell>
          <cell r="T110" t="str">
            <v>-</v>
          </cell>
          <cell r="U110" t="str">
            <v>26-27</v>
          </cell>
          <cell r="V110" t="str">
            <v>Apr</v>
          </cell>
          <cell r="W110" t="str">
            <v>23-4-2026
21-02-2024</v>
          </cell>
        </row>
        <row r="111">
          <cell r="F111" t="str">
            <v>PUNE01B027</v>
          </cell>
          <cell r="G111" t="str">
            <v>BARAMATI AGRO LIMITED Unit 1</v>
          </cell>
          <cell r="H111">
            <v>2013</v>
          </cell>
          <cell r="I111" t="str">
            <v>-</v>
          </cell>
          <cell r="J111" t="str">
            <v>Domestic</v>
          </cell>
          <cell r="K111" t="str">
            <v>Sugar</v>
          </cell>
          <cell r="L111" t="str">
            <v>Sugar</v>
          </cell>
          <cell r="M111" t="str">
            <v>End User</v>
          </cell>
          <cell r="N111" t="str">
            <v>(9001 &amp; above)</v>
          </cell>
          <cell r="O111">
            <v>20000</v>
          </cell>
          <cell r="P111" t="str">
            <v>AV</v>
          </cell>
          <cell r="Q111" t="str">
            <v>AV</v>
          </cell>
          <cell r="R111" t="str">
            <v>PD</v>
          </cell>
          <cell r="S111" t="str">
            <v>https://maps.app.goo.gl/Z6UL61fhRbzRcJBf8</v>
          </cell>
          <cell r="T111" t="str">
            <v>Pune - 1</v>
          </cell>
          <cell r="U111" t="str">
            <v>23-24</v>
          </cell>
          <cell r="W111">
            <v>45334</v>
          </cell>
        </row>
        <row r="112">
          <cell r="F112" t="str">
            <v>CHIT01B026</v>
          </cell>
          <cell r="G112" t="str">
            <v>BARAMATI AGRO LIMITED - FEEDMILL</v>
          </cell>
          <cell r="H112">
            <v>2013</v>
          </cell>
          <cell r="I112" t="str">
            <v>-</v>
          </cell>
          <cell r="J112" t="str">
            <v>Domestic</v>
          </cell>
          <cell r="K112" t="str">
            <v>Cattle Feed</v>
          </cell>
          <cell r="L112" t="str">
            <v>Non-Sugar</v>
          </cell>
          <cell r="M112" t="str">
            <v>End User</v>
          </cell>
          <cell r="O112" t="str">
            <v>-</v>
          </cell>
          <cell r="P112" t="str">
            <v>AV</v>
          </cell>
          <cell r="Q112" t="str">
            <v>AV</v>
          </cell>
          <cell r="R112" t="str">
            <v>PD</v>
          </cell>
          <cell r="S112" t="str">
            <v>https://share.google/c6DxfpP4xcBumlFqh</v>
          </cell>
          <cell r="T112" t="str">
            <v>visit not required</v>
          </cell>
          <cell r="W112" t="str">
            <v>-</v>
          </cell>
        </row>
        <row r="113">
          <cell r="F113" t="str">
            <v>PUNE01B076</v>
          </cell>
          <cell r="G113" t="str">
            <v>BARAMATI AGRO LIMITED BARAMATI</v>
          </cell>
          <cell r="H113">
            <v>2016</v>
          </cell>
          <cell r="I113" t="str">
            <v>-</v>
          </cell>
          <cell r="J113" t="str">
            <v>Domestic</v>
          </cell>
          <cell r="K113" t="str">
            <v>Cattle Feed</v>
          </cell>
          <cell r="L113" t="str">
            <v>Non-Sugar</v>
          </cell>
          <cell r="M113" t="str">
            <v>End User</v>
          </cell>
          <cell r="P113" t="str">
            <v>AV</v>
          </cell>
          <cell r="Q113" t="str">
            <v>AV</v>
          </cell>
          <cell r="R113" t="str">
            <v>PD</v>
          </cell>
          <cell r="S113" t="str">
            <v>https://share.google/OYWnIQSuzkRxn8atF</v>
          </cell>
          <cell r="T113" t="str">
            <v>Pune - 1</v>
          </cell>
          <cell r="W113" t="str">
            <v>-</v>
          </cell>
        </row>
        <row r="114">
          <cell r="F114" t="str">
            <v>NASK01B165</v>
          </cell>
          <cell r="G114" t="str">
            <v>BARAMATI AGRO LIMITED-FEEDMILL</v>
          </cell>
          <cell r="H114">
            <v>2016</v>
          </cell>
          <cell r="I114" t="str">
            <v>-</v>
          </cell>
          <cell r="J114" t="str">
            <v>Domestic</v>
          </cell>
          <cell r="K114" t="str">
            <v>Cattle Feed</v>
          </cell>
          <cell r="L114" t="str">
            <v>Non-Sugar</v>
          </cell>
          <cell r="M114" t="str">
            <v>End User</v>
          </cell>
          <cell r="P114" t="str">
            <v>AV</v>
          </cell>
          <cell r="Q114" t="str">
            <v>AV</v>
          </cell>
          <cell r="R114" t="str">
            <v>PD</v>
          </cell>
          <cell r="S114" t="str">
            <v>https://share.google/rdTlUH7L81JcfajaY</v>
          </cell>
          <cell r="T114" t="str">
            <v>Nasik_Nandurbar - 1</v>
          </cell>
        </row>
        <row r="115">
          <cell r="F115" t="str">
            <v>PUNE01B085</v>
          </cell>
          <cell r="G115" t="str">
            <v>BARAMATI AGRO LTD - DISTILLERY</v>
          </cell>
          <cell r="H115">
            <v>2018</v>
          </cell>
          <cell r="I115" t="str">
            <v>-</v>
          </cell>
          <cell r="J115" t="str">
            <v>Domestic</v>
          </cell>
          <cell r="K115" t="str">
            <v>Distillery</v>
          </cell>
          <cell r="L115" t="str">
            <v>Non-Sugar</v>
          </cell>
          <cell r="M115" t="str">
            <v>End User</v>
          </cell>
          <cell r="O115" t="str">
            <v>-</v>
          </cell>
          <cell r="P115" t="str">
            <v>AV</v>
          </cell>
          <cell r="Q115" t="str">
            <v>AV</v>
          </cell>
          <cell r="R115" t="str">
            <v>PD</v>
          </cell>
          <cell r="S115" t="str">
            <v>https://maps.app.goo.gl/EvbHjWU6e4xvEMUP9</v>
          </cell>
          <cell r="T115" t="str">
            <v>Pune - 1</v>
          </cell>
          <cell r="W115" t="str">
            <v>-</v>
          </cell>
        </row>
        <row r="116">
          <cell r="F116" t="str">
            <v>ARGB01B051</v>
          </cell>
          <cell r="G116" t="str">
            <v>BARAMATI AGRO LTD. UNIT-2</v>
          </cell>
          <cell r="H116">
            <v>2013</v>
          </cell>
          <cell r="I116" t="str">
            <v>-</v>
          </cell>
          <cell r="J116" t="str">
            <v>Domestic</v>
          </cell>
          <cell r="K116" t="str">
            <v>Sugar</v>
          </cell>
          <cell r="L116" t="str">
            <v>Sugar</v>
          </cell>
          <cell r="M116" t="str">
            <v>End User</v>
          </cell>
          <cell r="N116" t="str">
            <v>(5001-9000)</v>
          </cell>
          <cell r="O116">
            <v>5800</v>
          </cell>
          <cell r="P116" t="str">
            <v>AV</v>
          </cell>
          <cell r="Q116" t="str">
            <v>AV</v>
          </cell>
          <cell r="R116" t="str">
            <v>PD</v>
          </cell>
          <cell r="S116" t="str">
            <v>https://maps.app.goo.gl/Z1mXgLsiwFgtpxLv9</v>
          </cell>
          <cell r="T116" t="str">
            <v>Aurangabad - 1</v>
          </cell>
          <cell r="U116" t="str">
            <v>25-26</v>
          </cell>
          <cell r="W116" t="str">
            <v>11-12-2025
30-08-2023</v>
          </cell>
        </row>
        <row r="117">
          <cell r="F117" t="str">
            <v>HING01B028</v>
          </cell>
          <cell r="G117" t="str">
            <v>BARASHIV HANUMAN S.S.K. LTD. (NEW NAME:KAPESHWAR SUGAR AND CHEMICAL LTD) (Old purna ssk unit 2)</v>
          </cell>
          <cell r="H117" t="str">
            <v>-</v>
          </cell>
          <cell r="I117" t="str">
            <v>-</v>
          </cell>
          <cell r="J117" t="str">
            <v>Domestic</v>
          </cell>
          <cell r="K117" t="str">
            <v>Sugar</v>
          </cell>
          <cell r="L117" t="str">
            <v>Sugar</v>
          </cell>
          <cell r="M117" t="str">
            <v>End User</v>
          </cell>
          <cell r="N117" t="str">
            <v>(0-5000)</v>
          </cell>
          <cell r="O117">
            <v>2500</v>
          </cell>
          <cell r="P117" t="str">
            <v>AV</v>
          </cell>
          <cell r="Q117" t="str">
            <v>AV</v>
          </cell>
          <cell r="R117" t="str">
            <v>PD</v>
          </cell>
          <cell r="S117" t="str">
            <v>https://share.google/6Q4D9YItV1QLzoGG9</v>
          </cell>
          <cell r="T117" t="str">
            <v>Hingoli_Nanded- 1</v>
          </cell>
          <cell r="U117" t="str">
            <v>26-27</v>
          </cell>
          <cell r="V117" t="str">
            <v>Apr</v>
          </cell>
          <cell r="W117" t="str">
            <v>25-04-2026
11/3/2023</v>
          </cell>
        </row>
        <row r="118">
          <cell r="F118" t="str">
            <v>BATH01B103</v>
          </cell>
          <cell r="G118" t="str">
            <v>BCL INDUSTRIES LIMITED</v>
          </cell>
          <cell r="H118" t="str">
            <v>23-24</v>
          </cell>
          <cell r="I118" t="str">
            <v>-</v>
          </cell>
          <cell r="J118" t="str">
            <v>Domestic</v>
          </cell>
          <cell r="K118" t="str">
            <v>Other</v>
          </cell>
          <cell r="L118" t="str">
            <v>Non-Sugar</v>
          </cell>
          <cell r="M118" t="str">
            <v>End User</v>
          </cell>
          <cell r="O118" t="str">
            <v>-</v>
          </cell>
          <cell r="P118" t="str">
            <v>NI</v>
          </cell>
          <cell r="Q118" t="str">
            <v>AVIRAL SHUKLA</v>
          </cell>
          <cell r="R118" t="str">
            <v>-</v>
          </cell>
          <cell r="S118" t="str">
            <v>https://share.google/oq4uqyPolz5LBifIY</v>
          </cell>
          <cell r="T118" t="str">
            <v>-</v>
          </cell>
          <cell r="U118" t="str">
            <v>-</v>
          </cell>
          <cell r="W118" t="str">
            <v>-</v>
          </cell>
        </row>
        <row r="119">
          <cell r="F119" t="str">
            <v>BELG01B071</v>
          </cell>
          <cell r="G119" t="str">
            <v>BELGAUM SUGARS PVT LTD</v>
          </cell>
          <cell r="H119">
            <v>2016</v>
          </cell>
          <cell r="I119" t="str">
            <v>-</v>
          </cell>
          <cell r="J119" t="str">
            <v>Domestic</v>
          </cell>
          <cell r="K119" t="str">
            <v>Sugar</v>
          </cell>
          <cell r="L119" t="str">
            <v>Sugar</v>
          </cell>
          <cell r="M119" t="str">
            <v>End User</v>
          </cell>
          <cell r="N119" t="str">
            <v>(9001 &amp; above)</v>
          </cell>
          <cell r="O119">
            <v>10000</v>
          </cell>
          <cell r="P119" t="str">
            <v>AV</v>
          </cell>
          <cell r="Q119" t="str">
            <v>AV</v>
          </cell>
          <cell r="R119" t="str">
            <v>VG</v>
          </cell>
          <cell r="S119" t="str">
            <v>https://maps.app.goo.gl/jicFz2mV92h2L3b46</v>
          </cell>
          <cell r="T119" t="str">
            <v>Belagavi - 1</v>
          </cell>
          <cell r="U119" t="str">
            <v>25-26</v>
          </cell>
          <cell r="W119" t="str">
            <v>13-01-2026
12-08-2025
13-03-2025
04-12-2023
17-02-2023
30-12-2022
29-09-2022</v>
          </cell>
        </row>
        <row r="120">
          <cell r="F120" t="str">
            <v>MUMB01B029</v>
          </cell>
          <cell r="G120" t="str">
            <v>BEST EXPORTS CENTRE PVT. LTD.</v>
          </cell>
          <cell r="H120">
            <v>2013</v>
          </cell>
          <cell r="I120" t="str">
            <v>-</v>
          </cell>
          <cell r="J120" t="str">
            <v>Domestic</v>
          </cell>
          <cell r="K120" t="str">
            <v>Sugar</v>
          </cell>
          <cell r="L120" t="str">
            <v>Sugar</v>
          </cell>
          <cell r="M120" t="str">
            <v>Trader</v>
          </cell>
          <cell r="O120" t="str">
            <v>-</v>
          </cell>
          <cell r="P120" t="str">
            <v>NI</v>
          </cell>
          <cell r="Q120" t="str">
            <v>AVIRAL SHUKLA</v>
          </cell>
          <cell r="R120" t="str">
            <v>-</v>
          </cell>
          <cell r="S120" t="str">
            <v>https://maps.app.goo.gl/sD41haaqNVLatZHm6</v>
          </cell>
          <cell r="T120" t="str">
            <v>-</v>
          </cell>
          <cell r="U120" t="str">
            <v>-</v>
          </cell>
          <cell r="W120" t="str">
            <v>-</v>
          </cell>
        </row>
        <row r="121">
          <cell r="F121" t="str">
            <v>KANP01B161</v>
          </cell>
          <cell r="G121" t="str">
            <v>BGR ENERGY SYSTEMS LTD</v>
          </cell>
          <cell r="H121" t="str">
            <v>23-24</v>
          </cell>
          <cell r="I121" t="str">
            <v>-</v>
          </cell>
          <cell r="J121" t="str">
            <v>Domestic</v>
          </cell>
          <cell r="K121" t="str">
            <v>Other</v>
          </cell>
          <cell r="L121" t="str">
            <v>Non-Sugar</v>
          </cell>
          <cell r="M121" t="str">
            <v>OEM</v>
          </cell>
          <cell r="O121" t="str">
            <v>-</v>
          </cell>
          <cell r="P121" t="str">
            <v>NI</v>
          </cell>
          <cell r="Q121" t="str">
            <v>HIMANSHU KUSHWAHA</v>
          </cell>
          <cell r="R121" t="str">
            <v>-</v>
          </cell>
          <cell r="S121" t="str">
            <v>NA</v>
          </cell>
          <cell r="T121" t="str">
            <v>-</v>
          </cell>
          <cell r="U121">
            <v>2023</v>
          </cell>
          <cell r="W121" t="str">
            <v>-</v>
          </cell>
        </row>
        <row r="122">
          <cell r="F122" t="str">
            <v>MUMB01B097</v>
          </cell>
          <cell r="G122" t="str">
            <v>BHABHA ATOMIC RESEARCH CENTRE</v>
          </cell>
          <cell r="H122" t="str">
            <v>20-21</v>
          </cell>
          <cell r="I122" t="str">
            <v>-</v>
          </cell>
          <cell r="J122" t="str">
            <v>Domestic</v>
          </cell>
          <cell r="K122" t="str">
            <v>Other</v>
          </cell>
          <cell r="L122" t="str">
            <v>Non-Sugar</v>
          </cell>
          <cell r="M122" t="str">
            <v>End User</v>
          </cell>
          <cell r="O122" t="str">
            <v>-</v>
          </cell>
          <cell r="P122" t="str">
            <v>NI</v>
          </cell>
          <cell r="Q122" t="str">
            <v>AVIRAL SHUKLA</v>
          </cell>
          <cell r="R122" t="str">
            <v>-</v>
          </cell>
          <cell r="S122" t="str">
            <v>https://maps.app.goo.gl/RwhSuFmCm1tZ4UdZ7</v>
          </cell>
          <cell r="T122" t="str">
            <v>-</v>
          </cell>
          <cell r="U122" t="str">
            <v>-</v>
          </cell>
          <cell r="W122" t="str">
            <v>-</v>
          </cell>
        </row>
        <row r="123">
          <cell r="F123" t="str">
            <v>KANC01B064</v>
          </cell>
          <cell r="G123" t="str">
            <v>BHAGESHWOR SUGAR &amp; CHEMICAL IND PVT LTD</v>
          </cell>
          <cell r="H123">
            <v>2015</v>
          </cell>
          <cell r="I123" t="str">
            <v>-</v>
          </cell>
          <cell r="J123" t="str">
            <v>Export</v>
          </cell>
          <cell r="K123" t="str">
            <v>Sugar</v>
          </cell>
          <cell r="L123" t="str">
            <v>Sugar</v>
          </cell>
          <cell r="M123" t="str">
            <v>End User</v>
          </cell>
          <cell r="N123" t="str">
            <v>(0-5000)</v>
          </cell>
          <cell r="O123">
            <v>2500</v>
          </cell>
          <cell r="P123" t="str">
            <v>NI</v>
          </cell>
          <cell r="Q123" t="str">
            <v>AVIRAL SHUKLA</v>
          </cell>
          <cell r="R123" t="str">
            <v>ASHISH</v>
          </cell>
          <cell r="S123" t="str">
            <v>https://share.google/USQf3eR7rRrX1xXrQ</v>
          </cell>
          <cell r="T123" t="str">
            <v>-</v>
          </cell>
          <cell r="U123" t="str">
            <v>24-25</v>
          </cell>
          <cell r="W123">
            <v>45839</v>
          </cell>
        </row>
        <row r="124">
          <cell r="F124" t="str">
            <v>PANI01B125</v>
          </cell>
          <cell r="G124" t="str">
            <v>BHAGWATI EXPORTS</v>
          </cell>
          <cell r="H124" t="str">
            <v>22-23</v>
          </cell>
          <cell r="I124" t="str">
            <v>-</v>
          </cell>
          <cell r="J124" t="str">
            <v>Domestic</v>
          </cell>
          <cell r="K124" t="str">
            <v>Textile</v>
          </cell>
          <cell r="L124" t="str">
            <v>Non-Sugar</v>
          </cell>
          <cell r="M124" t="str">
            <v>Trader</v>
          </cell>
          <cell r="O124" t="str">
            <v>-</v>
          </cell>
          <cell r="P124" t="str">
            <v>NI</v>
          </cell>
          <cell r="Q124" t="str">
            <v>AVIRAL SHUKLA</v>
          </cell>
          <cell r="R124" t="str">
            <v>ASHISH</v>
          </cell>
          <cell r="S124" t="str">
            <v>https://share.google/2xP45KFf5jUTyhP5Q</v>
          </cell>
          <cell r="T124" t="str">
            <v>-</v>
          </cell>
          <cell r="U124" t="str">
            <v>24-25</v>
          </cell>
          <cell r="W124" t="str">
            <v>26-02-2025</v>
          </cell>
        </row>
        <row r="125">
          <cell r="F125" t="str">
            <v>AHME01B081</v>
          </cell>
          <cell r="G125" t="str">
            <v>BHAGYODAY COTSPIN LLP</v>
          </cell>
          <cell r="H125">
            <v>2017</v>
          </cell>
          <cell r="I125" t="str">
            <v>-</v>
          </cell>
          <cell r="J125" t="str">
            <v>Domestic</v>
          </cell>
          <cell r="K125" t="str">
            <v>Sugar</v>
          </cell>
          <cell r="L125" t="str">
            <v>Sugar</v>
          </cell>
          <cell r="M125" t="str">
            <v>Merchant Exporter</v>
          </cell>
          <cell r="O125" t="str">
            <v>-</v>
          </cell>
          <cell r="P125" t="str">
            <v>NI</v>
          </cell>
          <cell r="Q125" t="str">
            <v>AKSHAY AWASTHI</v>
          </cell>
          <cell r="R125" t="str">
            <v>-</v>
          </cell>
          <cell r="S125" t="str">
            <v>https://maps.app.goo.gl/4eenyD8Zabxh734N7</v>
          </cell>
          <cell r="T125" t="str">
            <v>-</v>
          </cell>
          <cell r="U125" t="str">
            <v>-</v>
          </cell>
          <cell r="W125" t="str">
            <v>-</v>
          </cell>
        </row>
        <row r="126">
          <cell r="F126" t="str">
            <v>OSMA01B060</v>
          </cell>
          <cell r="G126" t="str">
            <v>BHAIRAVNATH SUGAR WORKS LIMITED Unit 5(Washi)</v>
          </cell>
          <cell r="H126">
            <v>2014</v>
          </cell>
          <cell r="I126" t="str">
            <v>Bhairavnath Sugar Group</v>
          </cell>
          <cell r="J126" t="str">
            <v>Domestic</v>
          </cell>
          <cell r="K126" t="str">
            <v>Sugar</v>
          </cell>
          <cell r="L126" t="str">
            <v>Sugar</v>
          </cell>
          <cell r="M126" t="str">
            <v>Group (Mills)</v>
          </cell>
          <cell r="N126" t="str">
            <v>(0-5000)</v>
          </cell>
          <cell r="O126">
            <v>1250</v>
          </cell>
          <cell r="P126" t="str">
            <v>AV</v>
          </cell>
          <cell r="Q126" t="str">
            <v>AV</v>
          </cell>
          <cell r="R126" t="str">
            <v>PD</v>
          </cell>
          <cell r="S126" t="str">
            <v>https://share.google/nlKBi79Huxz3UX09u</v>
          </cell>
          <cell r="T126" t="str">
            <v>Dharashiv - 2</v>
          </cell>
          <cell r="U126" t="str">
            <v>25-26</v>
          </cell>
          <cell r="W126">
            <v>46065</v>
          </cell>
        </row>
        <row r="127">
          <cell r="F127" t="str">
            <v>SOLP01B078</v>
          </cell>
          <cell r="G127" t="str">
            <v>BHAIRAVNATH SUGAR WORKS LTD (UNIT NO.5)(Shankarratna) (Renamed to Rajvee Sugar)</v>
          </cell>
          <cell r="H127">
            <v>2017</v>
          </cell>
          <cell r="I127" t="str">
            <v>Bhairavnath Sugar Group</v>
          </cell>
          <cell r="J127" t="str">
            <v>Domestic</v>
          </cell>
          <cell r="K127" t="str">
            <v>Sugar</v>
          </cell>
          <cell r="L127" t="str">
            <v>Sugar</v>
          </cell>
          <cell r="M127" t="str">
            <v>Group (Mills)</v>
          </cell>
          <cell r="N127" t="str">
            <v>(0-5000)</v>
          </cell>
          <cell r="O127">
            <v>4300</v>
          </cell>
          <cell r="P127" t="str">
            <v>AV</v>
          </cell>
          <cell r="Q127" t="str">
            <v>AV</v>
          </cell>
          <cell r="R127" t="str">
            <v>PD</v>
          </cell>
          <cell r="S127" t="str">
            <v>NA</v>
          </cell>
          <cell r="T127" t="str">
            <v>Solapur - 2</v>
          </cell>
          <cell r="U127" t="str">
            <v>23-24</v>
          </cell>
          <cell r="W127">
            <v>45050</v>
          </cell>
        </row>
        <row r="128">
          <cell r="F128" t="str">
            <v>DHRS01B164</v>
          </cell>
          <cell r="G128" t="str">
            <v>BHAIRAVNATH SUGAR WORKS LTD OPERATED</v>
          </cell>
          <cell r="H128" t="str">
            <v>-</v>
          </cell>
          <cell r="J128" t="str">
            <v>Domestic</v>
          </cell>
          <cell r="P128" t="str">
            <v>AV</v>
          </cell>
          <cell r="Q128" t="str">
            <v>-</v>
          </cell>
        </row>
        <row r="129">
          <cell r="F129" t="str">
            <v>SOLP01B057</v>
          </cell>
          <cell r="G129" t="str">
            <v>BHAIRAVNATH SUGAR WORKS LTD. (8S-20) UNIT -iii (Lavangi)</v>
          </cell>
          <cell r="H129">
            <v>2014</v>
          </cell>
          <cell r="I129" t="str">
            <v>Bhairavnath Sugar Group</v>
          </cell>
          <cell r="J129" t="str">
            <v>Domestic</v>
          </cell>
          <cell r="K129" t="str">
            <v>Sugar</v>
          </cell>
          <cell r="L129" t="str">
            <v>Sugar</v>
          </cell>
          <cell r="M129" t="str">
            <v>Group (Mills)</v>
          </cell>
          <cell r="N129" t="str">
            <v>(0-5000)</v>
          </cell>
          <cell r="O129">
            <v>5000</v>
          </cell>
          <cell r="P129" t="str">
            <v>AV</v>
          </cell>
          <cell r="Q129" t="str">
            <v>AV</v>
          </cell>
          <cell r="R129" t="str">
            <v>PD</v>
          </cell>
          <cell r="S129" t="str">
            <v>https://share.google/qo9w13Lx1Lkwcwrxc</v>
          </cell>
          <cell r="T129" t="str">
            <v>Solapur - 2</v>
          </cell>
          <cell r="U129" t="str">
            <v>23-24</v>
          </cell>
          <cell r="W129">
            <v>45082</v>
          </cell>
        </row>
        <row r="130">
          <cell r="F130" t="str">
            <v>OSMA01B063</v>
          </cell>
          <cell r="G130" t="str">
            <v>BHAIRAVNATH SUGAR WORKS LTD.(UNIT-1)(Sonari)</v>
          </cell>
          <cell r="H130">
            <v>2014</v>
          </cell>
          <cell r="I130" t="str">
            <v>Bhairavnath Sugar Group</v>
          </cell>
          <cell r="J130" t="str">
            <v>Domestic</v>
          </cell>
          <cell r="K130" t="str">
            <v>Sugar</v>
          </cell>
          <cell r="L130" t="str">
            <v>Sugar</v>
          </cell>
          <cell r="M130" t="str">
            <v>Group (Mills)</v>
          </cell>
          <cell r="N130" t="str">
            <v>(0-5000)</v>
          </cell>
          <cell r="O130" t="str">
            <v>4500
Distillery 60 KLPD</v>
          </cell>
          <cell r="P130" t="str">
            <v>AV</v>
          </cell>
          <cell r="Q130" t="str">
            <v>AV</v>
          </cell>
          <cell r="R130" t="str">
            <v>PD</v>
          </cell>
          <cell r="S130" t="str">
            <v>https://share.google/YfK0ewlvSlGi0Ldl5</v>
          </cell>
          <cell r="T130" t="str">
            <v>Dharashiv - 2</v>
          </cell>
          <cell r="U130" t="str">
            <v>25-26</v>
          </cell>
          <cell r="W130" t="str">
            <v>13-2-26
11-5-2023</v>
          </cell>
        </row>
        <row r="131">
          <cell r="F131" t="str">
            <v>DHRS01B177</v>
          </cell>
          <cell r="G131" t="str">
            <v>BHAIRAVNATH SUGAR WORKS UNIT 6 (FORMERLY TERNA SHETKARI SAHAKARI SAKHAR KARKHANA LTD)</v>
          </cell>
          <cell r="H131" t="str">
            <v>-</v>
          </cell>
          <cell r="I131" t="str">
            <v>Bhairavnath Sugar Group</v>
          </cell>
          <cell r="J131" t="str">
            <v>Domestic</v>
          </cell>
          <cell r="K131" t="str">
            <v>Sugar</v>
          </cell>
          <cell r="L131" t="str">
            <v>Sugar</v>
          </cell>
          <cell r="M131" t="str">
            <v>Group (Mills)</v>
          </cell>
          <cell r="N131" t="str">
            <v>(0-5000)</v>
          </cell>
          <cell r="O131">
            <v>5000</v>
          </cell>
          <cell r="P131" t="str">
            <v>AV</v>
          </cell>
          <cell r="Q131" t="str">
            <v>AV</v>
          </cell>
          <cell r="R131" t="str">
            <v>PD</v>
          </cell>
          <cell r="S131" t="str">
            <v>https://share.google/kedi6PAZU6inZ6qOg</v>
          </cell>
          <cell r="T131" t="str">
            <v>Dharashiv - 1</v>
          </cell>
          <cell r="U131" t="str">
            <v>25-26</v>
          </cell>
          <cell r="W131" t="str">
            <v>23-1-2026
4/18/2024</v>
          </cell>
        </row>
        <row r="132">
          <cell r="F132" t="str">
            <v>INDR01B117</v>
          </cell>
          <cell r="G132" t="str">
            <v>BHARAT FEEDS &amp; EXTRACTIONS LTD.</v>
          </cell>
          <cell r="H132" t="str">
            <v>22-23</v>
          </cell>
          <cell r="I132" t="str">
            <v>-</v>
          </cell>
          <cell r="J132" t="str">
            <v>Domestic</v>
          </cell>
          <cell r="K132" t="str">
            <v>Cattlefeed</v>
          </cell>
          <cell r="L132" t="str">
            <v>Non-Sugar</v>
          </cell>
          <cell r="M132" t="str">
            <v>End User</v>
          </cell>
          <cell r="O132" t="str">
            <v>-</v>
          </cell>
          <cell r="P132" t="str">
            <v>NI</v>
          </cell>
          <cell r="Q132" t="str">
            <v>AVIRAL SHUKLA</v>
          </cell>
          <cell r="S132" t="str">
            <v>https://share.google/qhQgZHuCxTUASR0qo</v>
          </cell>
          <cell r="T132" t="str">
            <v>M.P.-2</v>
          </cell>
          <cell r="U132" t="str">
            <v>25-26</v>
          </cell>
          <cell r="W132" t="str">
            <v>16-09-2025
28-01-2025
8/8/2024</v>
          </cell>
        </row>
        <row r="133">
          <cell r="F133" t="str">
            <v>RANI01B143</v>
          </cell>
          <cell r="G133" t="str">
            <v>BHARAT HEAVY ELECTRICALS LIMITED</v>
          </cell>
          <cell r="H133" t="str">
            <v>24-25</v>
          </cell>
          <cell r="I133" t="str">
            <v>-</v>
          </cell>
          <cell r="J133" t="str">
            <v>Domestic</v>
          </cell>
          <cell r="K133" t="str">
            <v>OTHERS</v>
          </cell>
          <cell r="L133" t="str">
            <v>Non-Sugar</v>
          </cell>
          <cell r="M133" t="str">
            <v>OEM</v>
          </cell>
          <cell r="O133" t="str">
            <v>-</v>
          </cell>
          <cell r="P133" t="str">
            <v>VA</v>
          </cell>
          <cell r="Q133" t="str">
            <v>VA</v>
          </cell>
          <cell r="S133" t="str">
            <v>https://maps.app.goo.gl/s7QcqNetB8kR2jGM7</v>
          </cell>
        </row>
        <row r="134">
          <cell r="F134" t="str">
            <v>SANG01B141</v>
          </cell>
          <cell r="G134" t="str">
            <v>BHARATI SUGAR AND FUELS PVT LTD (Formerly YASWANAT SUGAR &amp; POWER LTD)</v>
          </cell>
          <cell r="H134" t="str">
            <v>23-24</v>
          </cell>
          <cell r="I134" t="str">
            <v>SONHIRA GROUP (Owner same)</v>
          </cell>
          <cell r="J134" t="str">
            <v>Domestic</v>
          </cell>
          <cell r="K134" t="str">
            <v>Sugar</v>
          </cell>
          <cell r="L134" t="str">
            <v>Sugar</v>
          </cell>
          <cell r="M134" t="str">
            <v>Group (Mills)</v>
          </cell>
          <cell r="N134" t="str">
            <v>(9001 &amp; above)</v>
          </cell>
          <cell r="O134" t="str">
            <v>Sugar 10000</v>
          </cell>
          <cell r="P134" t="str">
            <v>MRK</v>
          </cell>
          <cell r="Q134" t="str">
            <v>MRK</v>
          </cell>
          <cell r="R134" t="str">
            <v>VG</v>
          </cell>
          <cell r="S134" t="str">
            <v>https://maps.app.goo.gl/WSsgVevrXYuDHGNT6</v>
          </cell>
          <cell r="T134" t="str">
            <v>Sangli - 1</v>
          </cell>
          <cell r="U134" t="str">
            <v>25-26</v>
          </cell>
          <cell r="W134" t="str">
            <v>2-12-2025
14-08-2025
14-02-2025
11/10/2023</v>
          </cell>
        </row>
        <row r="135">
          <cell r="F135" t="str">
            <v>RANI01B153</v>
          </cell>
          <cell r="G135" t="str">
            <v>BHAVANI DISTILLERIRS &amp; CHEMICALS LTD</v>
          </cell>
          <cell r="H135">
            <v>2023</v>
          </cell>
          <cell r="I135" t="str">
            <v>-</v>
          </cell>
          <cell r="J135" t="str">
            <v>Domestic</v>
          </cell>
          <cell r="K135" t="str">
            <v>Distillery</v>
          </cell>
          <cell r="L135" t="str">
            <v>Non-Sugar</v>
          </cell>
          <cell r="M135" t="str">
            <v>End User</v>
          </cell>
          <cell r="P135" t="str">
            <v>SI-GS</v>
          </cell>
          <cell r="Q135" t="str">
            <v>SI-GS</v>
          </cell>
          <cell r="S135" t="str">
            <v>https://maps.app.goo.gl/eZgdzSngW49qC8NF7</v>
          </cell>
          <cell r="W135" t="str">
            <v>-</v>
          </cell>
        </row>
        <row r="136">
          <cell r="F136" t="str">
            <v>PUNE01B033</v>
          </cell>
          <cell r="G136" t="str">
            <v>BHIMASHANKAR SAHAKARI SAKHAR KARKHANA LTD.</v>
          </cell>
          <cell r="H136" t="str">
            <v>25-26</v>
          </cell>
          <cell r="I136" t="str">
            <v>-</v>
          </cell>
          <cell r="J136" t="str">
            <v>Domestic</v>
          </cell>
          <cell r="K136" t="str">
            <v>Sugar</v>
          </cell>
          <cell r="L136" t="str">
            <v>Sugar</v>
          </cell>
          <cell r="M136" t="str">
            <v>End User</v>
          </cell>
          <cell r="N136" t="str">
            <v>(5001-9000)</v>
          </cell>
          <cell r="O136" t="str">
            <v>Sugar 6000
Distillery 45 KLPD</v>
          </cell>
          <cell r="P136" t="str">
            <v>AV</v>
          </cell>
          <cell r="Q136" t="str">
            <v>AV</v>
          </cell>
          <cell r="R136" t="str">
            <v>PD</v>
          </cell>
          <cell r="S136" t="str">
            <v>https://maps.app.goo.gl/ASivRkTeLrNQiBHz6</v>
          </cell>
          <cell r="T136" t="str">
            <v>Pune - 2</v>
          </cell>
          <cell r="U136" t="str">
            <v>23-24</v>
          </cell>
          <cell r="W136" t="str">
            <v>18-8-2023 (DIST)
06-05-2023</v>
          </cell>
        </row>
        <row r="137">
          <cell r="F137" t="str">
            <v>MORA01B170</v>
          </cell>
          <cell r="G137" t="str">
            <v>BHOLA RAM PAPERS &amp; POWER LTD</v>
          </cell>
          <cell r="H137" t="str">
            <v>24-25</v>
          </cell>
          <cell r="I137" t="str">
            <v>-</v>
          </cell>
          <cell r="J137" t="str">
            <v>Domestic</v>
          </cell>
          <cell r="K137" t="str">
            <v>Paper</v>
          </cell>
          <cell r="L137" t="str">
            <v>Non-Sugar</v>
          </cell>
          <cell r="M137" t="str">
            <v>End User</v>
          </cell>
          <cell r="O137" t="str">
            <v>-</v>
          </cell>
          <cell r="P137" t="str">
            <v>NI</v>
          </cell>
          <cell r="Q137" t="str">
            <v>AVIRAL SHUKLA</v>
          </cell>
          <cell r="S137" t="str">
            <v>https://maps.app.goo.gl/HLBemyJoRo6i7hgN7</v>
          </cell>
        </row>
        <row r="138">
          <cell r="F138" t="str">
            <v>KAVA01B186</v>
          </cell>
          <cell r="G138" t="str">
            <v>BHORAMDEV SSK</v>
          </cell>
          <cell r="H138" t="str">
            <v>-</v>
          </cell>
          <cell r="I138" t="str">
            <v>-</v>
          </cell>
          <cell r="J138" t="str">
            <v>Domestic</v>
          </cell>
          <cell r="K138" t="str">
            <v>Sugar</v>
          </cell>
          <cell r="L138" t="str">
            <v>Sugar</v>
          </cell>
          <cell r="M138" t="str">
            <v>End User</v>
          </cell>
          <cell r="N138" t="str">
            <v>(0-5000)</v>
          </cell>
          <cell r="O138">
            <v>3500</v>
          </cell>
          <cell r="P138" t="str">
            <v>NI</v>
          </cell>
          <cell r="Q138" t="str">
            <v>HIMANSHU KUSHWAHA</v>
          </cell>
          <cell r="S138" t="str">
            <v>https://share.google/9Lg3v9CBtPQOvjLL5</v>
          </cell>
          <cell r="U138" t="str">
            <v>25-26</v>
          </cell>
          <cell r="W138" t="str">
            <v>31-10-2025</v>
          </cell>
        </row>
        <row r="139">
          <cell r="F139" t="str">
            <v>BAGA01B036</v>
          </cell>
          <cell r="G139" t="str">
            <v>BILAGI SUGAR MILL LTD. GIRISAGAR ROAD Unit no 1</v>
          </cell>
          <cell r="H139">
            <v>2013</v>
          </cell>
          <cell r="I139" t="str">
            <v>-</v>
          </cell>
          <cell r="J139" t="str">
            <v>Domestic</v>
          </cell>
          <cell r="K139" t="str">
            <v>Sugar</v>
          </cell>
          <cell r="L139" t="str">
            <v>Sugar</v>
          </cell>
          <cell r="M139" t="str">
            <v>End User</v>
          </cell>
          <cell r="N139" t="str">
            <v>(9001 &amp; above)</v>
          </cell>
          <cell r="O139">
            <v>15000</v>
          </cell>
          <cell r="P139" t="str">
            <v>AV</v>
          </cell>
          <cell r="Q139" t="str">
            <v>AV</v>
          </cell>
          <cell r="R139" t="str">
            <v>VG</v>
          </cell>
          <cell r="S139" t="str">
            <v>https://maps.app.goo.gl/7xBdjkcPtnkQXy1k9</v>
          </cell>
          <cell r="T139" t="str">
            <v>Bagalkot - 2</v>
          </cell>
          <cell r="U139" t="str">
            <v>25-26</v>
          </cell>
          <cell r="V139" t="str">
            <v>May</v>
          </cell>
          <cell r="W139" t="str">
            <v>20.05.2026
14-10-2025
31-03-2023
13-10-2022</v>
          </cell>
        </row>
        <row r="140">
          <cell r="F140" t="str">
            <v>BIJN01B124</v>
          </cell>
          <cell r="G140" t="str">
            <v>BINDAL PAPERS MILLS LIMITED</v>
          </cell>
          <cell r="H140" t="str">
            <v>23-24</v>
          </cell>
          <cell r="I140" t="str">
            <v>-</v>
          </cell>
          <cell r="J140" t="str">
            <v>Domestic</v>
          </cell>
          <cell r="K140" t="str">
            <v>Paper</v>
          </cell>
          <cell r="L140" t="str">
            <v>Non-Sugar</v>
          </cell>
          <cell r="M140" t="str">
            <v>End User</v>
          </cell>
          <cell r="O140" t="str">
            <v>-</v>
          </cell>
          <cell r="P140" t="str">
            <v>NI</v>
          </cell>
          <cell r="Q140" t="str">
            <v>HIMANSHU KUSHWAHA</v>
          </cell>
          <cell r="S140" t="str">
            <v>https://maps.app.goo.gl/QyC7VWMSWFRq9R7S9</v>
          </cell>
          <cell r="T140" t="str">
            <v>WESTREN</v>
          </cell>
          <cell r="U140" t="str">
            <v>25-26</v>
          </cell>
          <cell r="W140" t="str">
            <v>24-02-2026
15-10-2025
11-04-2025
1/13/2024</v>
          </cell>
        </row>
        <row r="141">
          <cell r="F141" t="str">
            <v>BIJN01B139</v>
          </cell>
          <cell r="G141" t="str">
            <v>BINDAL SUGARS MILLS LTD</v>
          </cell>
          <cell r="H141" t="str">
            <v>-</v>
          </cell>
          <cell r="I141" t="str">
            <v>-</v>
          </cell>
          <cell r="J141" t="str">
            <v>Domestic</v>
          </cell>
          <cell r="K141" t="str">
            <v>Sugar</v>
          </cell>
          <cell r="L141" t="str">
            <v>Sugar</v>
          </cell>
          <cell r="M141" t="str">
            <v>End User</v>
          </cell>
          <cell r="N141" t="str">
            <v>(5001-9000)</v>
          </cell>
          <cell r="O141">
            <v>7500</v>
          </cell>
          <cell r="P141" t="str">
            <v>NI</v>
          </cell>
          <cell r="Q141" t="str">
            <v>HIMANSHU KUSHWAHA</v>
          </cell>
          <cell r="S141" t="str">
            <v>https://maps.app.goo.gl/fp5q686mv6zeiqFm6</v>
          </cell>
          <cell r="T141" t="str">
            <v>WESTREN</v>
          </cell>
          <cell r="U141" t="str">
            <v>26-27</v>
          </cell>
          <cell r="V141" t="str">
            <v>May</v>
          </cell>
          <cell r="W141" t="str">
            <v>26-05-2026
22-08-2025
2/15/2024</v>
          </cell>
        </row>
        <row r="142">
          <cell r="F142" t="str">
            <v>MUZF01B079</v>
          </cell>
          <cell r="G142" t="str">
            <v>BINDLAS DUPLEX LTD</v>
          </cell>
          <cell r="H142" t="str">
            <v>24-25</v>
          </cell>
          <cell r="I142" t="str">
            <v>-</v>
          </cell>
          <cell r="J142" t="str">
            <v>Domestic</v>
          </cell>
          <cell r="K142" t="str">
            <v>Paper</v>
          </cell>
          <cell r="L142" t="str">
            <v>Non-Sugar</v>
          </cell>
          <cell r="M142" t="str">
            <v>End User</v>
          </cell>
          <cell r="O142" t="str">
            <v>150 TPD</v>
          </cell>
          <cell r="P142" t="str">
            <v>NI</v>
          </cell>
          <cell r="Q142" t="str">
            <v>AVIRAL SHUKLA</v>
          </cell>
          <cell r="S142" t="str">
            <v>https://share.google/qRzkcwrVYQqxXM4Kq</v>
          </cell>
          <cell r="T142" t="str">
            <v>WESTREN</v>
          </cell>
          <cell r="U142" t="str">
            <v>25-26</v>
          </cell>
          <cell r="W142" t="str">
            <v>13-10-2025
07-03-2025
02-01-2025
04-09-2024
22-10-2024</v>
          </cell>
        </row>
        <row r="143">
          <cell r="F143" t="str">
            <v>BENG01B180</v>
          </cell>
          <cell r="G143" t="str">
            <v>BIOBUILD INFRA PRIVATE LIMITED</v>
          </cell>
          <cell r="H143" t="str">
            <v>25-26</v>
          </cell>
          <cell r="I143" t="str">
            <v>-</v>
          </cell>
          <cell r="J143" t="str">
            <v>Domestic</v>
          </cell>
          <cell r="L143" t="str">
            <v>Non-Sugar</v>
          </cell>
          <cell r="M143" t="str">
            <v>OEM</v>
          </cell>
          <cell r="P143" t="str">
            <v>AV</v>
          </cell>
          <cell r="Q143" t="str">
            <v>AV</v>
          </cell>
          <cell r="R143" t="str">
            <v>OEM</v>
          </cell>
          <cell r="S143" t="str">
            <v>https://maps.app.goo.gl/oqbgC74As8JHh8NRA</v>
          </cell>
        </row>
        <row r="144">
          <cell r="F144" t="str">
            <v>PILI01B038</v>
          </cell>
          <cell r="G144" t="str">
            <v>BISALPUR KISAN SAHAKARI CHINI MILLS LTD.</v>
          </cell>
          <cell r="H144">
            <v>2016</v>
          </cell>
          <cell r="I144" t="str">
            <v>UP Federation</v>
          </cell>
          <cell r="J144" t="str">
            <v>Domestic</v>
          </cell>
          <cell r="K144" t="str">
            <v>Sugar</v>
          </cell>
          <cell r="L144" t="str">
            <v>Sugar</v>
          </cell>
          <cell r="M144" t="str">
            <v>Group (Mills)</v>
          </cell>
          <cell r="N144" t="str">
            <v>(0-5000)</v>
          </cell>
          <cell r="O144">
            <v>2750</v>
          </cell>
          <cell r="P144" t="str">
            <v>NI</v>
          </cell>
          <cell r="Q144" t="str">
            <v>AMIT SRIVASTAVA</v>
          </cell>
          <cell r="S144" t="str">
            <v>https://share.google/XLHC4K6vl8UVduwZ5</v>
          </cell>
          <cell r="T144" t="str">
            <v>-</v>
          </cell>
          <cell r="U144" t="str">
            <v>24-25</v>
          </cell>
          <cell r="W144">
            <v>45649</v>
          </cell>
        </row>
        <row r="145">
          <cell r="F145" t="str">
            <v>MUMB01B093</v>
          </cell>
          <cell r="G145" t="str">
            <v>BLUE PLANET YASASU SOLUTIONS PVT LTD</v>
          </cell>
          <cell r="H145" t="str">
            <v>19-20</v>
          </cell>
          <cell r="I145" t="str">
            <v>-</v>
          </cell>
          <cell r="J145" t="str">
            <v>Domestic</v>
          </cell>
          <cell r="K145" t="str">
            <v>Other</v>
          </cell>
          <cell r="L145" t="str">
            <v>Non-Sugar</v>
          </cell>
          <cell r="M145" t="str">
            <v>OEM</v>
          </cell>
          <cell r="O145" t="str">
            <v>-</v>
          </cell>
          <cell r="P145" t="str">
            <v>NI</v>
          </cell>
          <cell r="Q145" t="str">
            <v>HIMANSHU KUSHWAHA</v>
          </cell>
          <cell r="R145" t="str">
            <v>-</v>
          </cell>
          <cell r="S145" t="str">
            <v>https://maps.app.goo.gl/GJboMGsF5k5d2ZzA7</v>
          </cell>
          <cell r="T145" t="str">
            <v>-</v>
          </cell>
          <cell r="U145" t="str">
            <v>-</v>
          </cell>
        </row>
        <row r="146">
          <cell r="F146" t="str">
            <v>DLHI01Y009</v>
          </cell>
          <cell r="G146" t="str">
            <v>BLUE PLANET YASASU SOLUTIONS PVT. LTD.</v>
          </cell>
          <cell r="H146">
            <v>2016</v>
          </cell>
          <cell r="I146" t="str">
            <v>-</v>
          </cell>
          <cell r="J146" t="str">
            <v>Domestic</v>
          </cell>
          <cell r="K146" t="str">
            <v>Other</v>
          </cell>
          <cell r="L146" t="str">
            <v>Non-Sugar</v>
          </cell>
          <cell r="M146" t="str">
            <v>OEM</v>
          </cell>
          <cell r="O146" t="str">
            <v>-</v>
          </cell>
          <cell r="P146" t="str">
            <v>NI</v>
          </cell>
          <cell r="Q146" t="str">
            <v>AVIRAL SHUKLA</v>
          </cell>
          <cell r="R146" t="str">
            <v>-</v>
          </cell>
          <cell r="S146" t="str">
            <v>https://share.google/bRY2X7meG13oF3yap</v>
          </cell>
          <cell r="T146" t="str">
            <v>-</v>
          </cell>
          <cell r="U146" t="str">
            <v>-</v>
          </cell>
        </row>
        <row r="147">
          <cell r="F147" t="str">
            <v>CUTT01B134</v>
          </cell>
          <cell r="G147" t="str">
            <v>BREATHEGREEN INDIA PRIVATE LIMITED (UNITED LOGISTICS)</v>
          </cell>
          <cell r="H147" t="str">
            <v>23-24</v>
          </cell>
          <cell r="I147" t="str">
            <v>-</v>
          </cell>
          <cell r="J147" t="str">
            <v>Domestic</v>
          </cell>
          <cell r="K147" t="str">
            <v>Other</v>
          </cell>
          <cell r="L147" t="str">
            <v>Non-Sugar</v>
          </cell>
          <cell r="M147" t="str">
            <v>End User</v>
          </cell>
          <cell r="O147" t="str">
            <v>-</v>
          </cell>
          <cell r="P147" t="str">
            <v>NI</v>
          </cell>
          <cell r="Q147" t="str">
            <v>AVIRAL SHUKLA</v>
          </cell>
          <cell r="R147" t="str">
            <v>-</v>
          </cell>
          <cell r="S147" t="str">
            <v>https://share.google/4QGCONervSKL75Gyk</v>
          </cell>
          <cell r="T147" t="str">
            <v>-</v>
          </cell>
          <cell r="U147" t="str">
            <v>-</v>
          </cell>
        </row>
        <row r="148">
          <cell r="F148" t="str">
            <v>KOLK01B185</v>
          </cell>
          <cell r="G148" t="str">
            <v>BRIGHT ENTERPRISE</v>
          </cell>
          <cell r="H148" t="str">
            <v>-</v>
          </cell>
          <cell r="J148" t="str">
            <v>Domestic</v>
          </cell>
          <cell r="P148" t="str">
            <v>HO</v>
          </cell>
          <cell r="Q148" t="str">
            <v>-</v>
          </cell>
        </row>
        <row r="149">
          <cell r="F149" t="str">
            <v>BHOP01B123</v>
          </cell>
          <cell r="G149" t="str">
            <v>BROKEN HILL MINIING COMPANY</v>
          </cell>
          <cell r="H149" t="str">
            <v>22-23</v>
          </cell>
          <cell r="I149" t="str">
            <v>-</v>
          </cell>
          <cell r="J149" t="str">
            <v>Domestic</v>
          </cell>
          <cell r="K149" t="str">
            <v>OTHERS</v>
          </cell>
          <cell r="L149" t="str">
            <v>Non-Sugar</v>
          </cell>
          <cell r="M149" t="str">
            <v>End User</v>
          </cell>
          <cell r="O149" t="str">
            <v>-</v>
          </cell>
          <cell r="P149" t="str">
            <v>NI</v>
          </cell>
          <cell r="Q149" t="str">
            <v>AVIRAL SHUKLA</v>
          </cell>
          <cell r="S149" t="str">
            <v>https://maps.app.goo.gl/dovuvPF3EA3z5D867</v>
          </cell>
          <cell r="T149" t="str">
            <v>-</v>
          </cell>
          <cell r="U149" t="str">
            <v>24-25</v>
          </cell>
          <cell r="W149">
            <v>45749</v>
          </cell>
        </row>
        <row r="150">
          <cell r="F150" t="str">
            <v>WEBU01B069</v>
          </cell>
          <cell r="G150" t="str">
            <v>BUTALI SUGAR MILLS LIMITED</v>
          </cell>
          <cell r="H150">
            <v>2015</v>
          </cell>
          <cell r="I150" t="str">
            <v>-</v>
          </cell>
          <cell r="J150" t="str">
            <v>Export</v>
          </cell>
          <cell r="K150" t="str">
            <v>Sugar</v>
          </cell>
          <cell r="L150" t="str">
            <v>Sugar</v>
          </cell>
          <cell r="M150" t="str">
            <v>End User</v>
          </cell>
          <cell r="O150" t="str">
            <v>-</v>
          </cell>
          <cell r="P150" t="str">
            <v>NI</v>
          </cell>
          <cell r="Q150" t="str">
            <v>AKSHAY AWASTHI</v>
          </cell>
          <cell r="S150" t="str">
            <v>https://share.google/Uy9UzEVxfAPTxCvhr</v>
          </cell>
          <cell r="T150" t="str">
            <v>Kenya tour</v>
          </cell>
          <cell r="U150" t="str">
            <v>24-25</v>
          </cell>
          <cell r="W150">
            <v>45472</v>
          </cell>
        </row>
        <row r="151">
          <cell r="F151" t="str">
            <v>BATA01B099</v>
          </cell>
          <cell r="G151" t="str">
            <v>BUTTAR BIOFULELS PVT LTD (RANA UNIT)</v>
          </cell>
          <cell r="H151" t="str">
            <v>22-23</v>
          </cell>
          <cell r="I151" t="str">
            <v>RANA GROUP</v>
          </cell>
          <cell r="J151" t="str">
            <v>Domestic</v>
          </cell>
          <cell r="K151" t="str">
            <v>Distillery(Sugar)</v>
          </cell>
          <cell r="L151" t="str">
            <v>Non-Sugar</v>
          </cell>
          <cell r="M151" t="str">
            <v>Group (Mills)</v>
          </cell>
          <cell r="O151" t="str">
            <v>-</v>
          </cell>
          <cell r="P151" t="str">
            <v>NI</v>
          </cell>
          <cell r="Q151" t="str">
            <v>AKSHAY AWASTHI</v>
          </cell>
          <cell r="S151" t="str">
            <v>https://maps.app.goo.gl/sKcsmxxy1YH9oGyCA</v>
          </cell>
          <cell r="T151" t="str">
            <v>-</v>
          </cell>
          <cell r="U151" t="str">
            <v>24-25</v>
          </cell>
          <cell r="W151" t="str">
            <v>01-10-2024
24-04-2024</v>
          </cell>
        </row>
        <row r="152">
          <cell r="F152" t="str">
            <v>MYSR01C095</v>
          </cell>
          <cell r="G152" t="str">
            <v>CAUVERY BIO REFINERIES</v>
          </cell>
          <cell r="H152" t="str">
            <v>24-25</v>
          </cell>
          <cell r="I152" t="str">
            <v>-</v>
          </cell>
          <cell r="J152" t="str">
            <v>Domestic</v>
          </cell>
          <cell r="K152" t="str">
            <v>Others</v>
          </cell>
          <cell r="L152" t="str">
            <v>Non-Sugar</v>
          </cell>
          <cell r="M152" t="str">
            <v>End User</v>
          </cell>
          <cell r="P152" t="str">
            <v>SI-GS</v>
          </cell>
          <cell r="Q152" t="str">
            <v>SI-GS</v>
          </cell>
          <cell r="S152" t="str">
            <v>https://share.google/bEWgRXdKC37OYRIL0</v>
          </cell>
          <cell r="W152">
            <v>45516</v>
          </cell>
        </row>
        <row r="153">
          <cell r="F153" t="str">
            <v>NANA01C030</v>
          </cell>
          <cell r="G153" t="str">
            <v>CDT CONSULTANT AND TECHNOLOGY -</v>
          </cell>
          <cell r="H153">
            <v>2016</v>
          </cell>
          <cell r="I153" t="str">
            <v>-</v>
          </cell>
          <cell r="J153" t="str">
            <v>Export</v>
          </cell>
          <cell r="K153" t="str">
            <v>Sugar</v>
          </cell>
          <cell r="L153" t="str">
            <v>Sugar</v>
          </cell>
          <cell r="M153" t="str">
            <v>OEM</v>
          </cell>
          <cell r="O153" t="str">
            <v>-</v>
          </cell>
          <cell r="P153" t="str">
            <v>VA-SS</v>
          </cell>
          <cell r="Q153" t="str">
            <v>SHIVANU SHUKLA</v>
          </cell>
          <cell r="R153" t="str">
            <v>-</v>
          </cell>
          <cell r="S153" t="str">
            <v>NA</v>
          </cell>
          <cell r="T153" t="str">
            <v>-</v>
          </cell>
          <cell r="U153" t="str">
            <v>-</v>
          </cell>
          <cell r="W153" t="str">
            <v>-</v>
          </cell>
        </row>
        <row r="154">
          <cell r="F154" t="str">
            <v>PUNE01C049</v>
          </cell>
          <cell r="G154" t="str">
            <v>CEE DEE VACUUM EQUIPMENT PVT LTD</v>
          </cell>
          <cell r="H154" t="str">
            <v>20-21</v>
          </cell>
          <cell r="I154" t="str">
            <v>-</v>
          </cell>
          <cell r="J154" t="str">
            <v>Domestic</v>
          </cell>
          <cell r="K154" t="str">
            <v>Other</v>
          </cell>
          <cell r="L154" t="str">
            <v>Non-Sugar</v>
          </cell>
          <cell r="M154" t="str">
            <v>Trader</v>
          </cell>
          <cell r="O154" t="str">
            <v>-</v>
          </cell>
          <cell r="P154" t="str">
            <v>NI</v>
          </cell>
          <cell r="Q154" t="str">
            <v>AVIRAL SHUKLA</v>
          </cell>
          <cell r="R154" t="str">
            <v>-</v>
          </cell>
          <cell r="S154" t="str">
            <v>https://maps.app.goo.gl/DRgfiwtQA6ehhZu38</v>
          </cell>
          <cell r="T154" t="str">
            <v>-</v>
          </cell>
          <cell r="U154" t="str">
            <v>-</v>
          </cell>
          <cell r="W154" t="str">
            <v>-</v>
          </cell>
        </row>
        <row r="155">
          <cell r="F155" t="str">
            <v>FAZI01C117</v>
          </cell>
          <cell r="G155" t="str">
            <v>CEID CONSULTANTS &amp; ENGINEERING PVT LTD</v>
          </cell>
          <cell r="H155" t="str">
            <v>-</v>
          </cell>
          <cell r="J155" t="str">
            <v>Domestic</v>
          </cell>
          <cell r="P155" t="str">
            <v>SI-GS</v>
          </cell>
          <cell r="Q155" t="str">
            <v>SI-GS</v>
          </cell>
        </row>
        <row r="156">
          <cell r="F156" t="str">
            <v>NODA01C069</v>
          </cell>
          <cell r="G156" t="str">
            <v>CELLUTECH PHARMA PVT. LTD.</v>
          </cell>
          <cell r="H156" t="str">
            <v>23-24</v>
          </cell>
          <cell r="I156" t="str">
            <v>-</v>
          </cell>
          <cell r="J156" t="str">
            <v>Domestic</v>
          </cell>
          <cell r="K156" t="str">
            <v>PHARMA</v>
          </cell>
          <cell r="L156" t="str">
            <v>Non-Sugar</v>
          </cell>
          <cell r="M156" t="str">
            <v>End User</v>
          </cell>
          <cell r="O156" t="str">
            <v>-</v>
          </cell>
          <cell r="P156" t="str">
            <v>NI</v>
          </cell>
          <cell r="Q156" t="str">
            <v>AKSHAY AWASTHI</v>
          </cell>
          <cell r="S156" t="str">
            <v>https://share.google/rODne5m4vHOwkIrf1</v>
          </cell>
          <cell r="T156" t="str">
            <v>GUJARAT + PUNE</v>
          </cell>
          <cell r="U156" t="str">
            <v>25-26</v>
          </cell>
          <cell r="W156" t="str">
            <v>15-09-2025
4/20/2024</v>
          </cell>
        </row>
        <row r="157">
          <cell r="F157" t="str">
            <v>SONI01C002</v>
          </cell>
          <cell r="G157" t="str">
            <v>CH. DEVI LAL CO-OPERATIVE SUGAR MILLS LTD.</v>
          </cell>
          <cell r="H157" t="str">
            <v>-</v>
          </cell>
          <cell r="I157" t="str">
            <v>-</v>
          </cell>
          <cell r="J157" t="str">
            <v>Domestic</v>
          </cell>
          <cell r="K157" t="str">
            <v>Sugar</v>
          </cell>
          <cell r="L157" t="str">
            <v>Sugar</v>
          </cell>
          <cell r="M157" t="str">
            <v>End User</v>
          </cell>
          <cell r="N157" t="str">
            <v>(0-5000)</v>
          </cell>
          <cell r="O157">
            <v>2500</v>
          </cell>
          <cell r="P157" t="str">
            <v>NI</v>
          </cell>
          <cell r="Q157" t="str">
            <v>HIMANSHU KUSHWAHA</v>
          </cell>
          <cell r="S157" t="str">
            <v>https://maps.app.goo.gl/61vTMzYV5c5Y7cYn7</v>
          </cell>
          <cell r="T157" t="str">
            <v>-</v>
          </cell>
          <cell r="U157" t="str">
            <v>24-25</v>
          </cell>
          <cell r="W157">
            <v>45534</v>
          </cell>
        </row>
        <row r="158">
          <cell r="F158" t="str">
            <v>MOGA01C105</v>
          </cell>
          <cell r="G158" t="str">
            <v>Chadda milk plant punjab</v>
          </cell>
          <cell r="H158" t="str">
            <v>24-25</v>
          </cell>
          <cell r="I158" t="str">
            <v>-</v>
          </cell>
          <cell r="J158" t="str">
            <v>Domestic</v>
          </cell>
          <cell r="K158" t="str">
            <v>DAIRY</v>
          </cell>
          <cell r="L158" t="str">
            <v>Non-Sugar</v>
          </cell>
          <cell r="M158" t="str">
            <v>End User</v>
          </cell>
          <cell r="O158" t="str">
            <v>-</v>
          </cell>
          <cell r="P158" t="str">
            <v>NI</v>
          </cell>
          <cell r="Q158" t="str">
            <v>AVIRAL SHUKLA</v>
          </cell>
          <cell r="S158" t="str">
            <v>https://share.google/kUXK636phYhzsgQd1</v>
          </cell>
        </row>
        <row r="159">
          <cell r="F159" t="str">
            <v>RAMP01C055</v>
          </cell>
          <cell r="G159" t="str">
            <v>CHADHA PAPERS LIMITED</v>
          </cell>
          <cell r="H159" t="str">
            <v>22-23</v>
          </cell>
          <cell r="I159" t="str">
            <v>-</v>
          </cell>
          <cell r="J159" t="str">
            <v>Domestic</v>
          </cell>
          <cell r="K159" t="str">
            <v>Paper</v>
          </cell>
          <cell r="L159" t="str">
            <v>Non-Sugar</v>
          </cell>
          <cell r="M159" t="str">
            <v>End User</v>
          </cell>
          <cell r="O159" t="str">
            <v>-</v>
          </cell>
          <cell r="P159" t="str">
            <v>NI</v>
          </cell>
          <cell r="Q159" t="str">
            <v>AVIRAL SHUKLA</v>
          </cell>
          <cell r="R159" t="str">
            <v>AVIRAL SHUKLA</v>
          </cell>
          <cell r="S159" t="str">
            <v>https://share.google/hdIMUzVAdKhU6cQyH</v>
          </cell>
          <cell r="T159" t="str">
            <v>CENTRAL TOUR</v>
          </cell>
          <cell r="U159" t="str">
            <v>25-26</v>
          </cell>
          <cell r="W159" t="str">
            <v>04-02-2026
29-07-2025
14-05-2025
05-05-2025
24-10-2024
12-02-2024
26-12-2023
02-02-2023
30-09-2022</v>
          </cell>
        </row>
        <row r="160">
          <cell r="F160" t="str">
            <v>GURD01C050</v>
          </cell>
          <cell r="G160" t="str">
            <v>CHADHA SUGAR &amp; INDUSTRIES PVT LTD (MBD)(DISL)</v>
          </cell>
          <cell r="H160" t="str">
            <v>20-21</v>
          </cell>
          <cell r="I160" t="str">
            <v>-</v>
          </cell>
          <cell r="J160" t="str">
            <v>Domestic</v>
          </cell>
          <cell r="K160" t="str">
            <v>Distillery</v>
          </cell>
          <cell r="L160" t="str">
            <v>Non-Sugar</v>
          </cell>
          <cell r="M160" t="str">
            <v>End User</v>
          </cell>
          <cell r="O160" t="str">
            <v>-</v>
          </cell>
          <cell r="P160" t="str">
            <v>NI</v>
          </cell>
          <cell r="Q160" t="str">
            <v>AKSHAY AWASTHI</v>
          </cell>
          <cell r="S160" t="str">
            <v>https://share.google/r6e7dkZ4m4Oy9exWZ</v>
          </cell>
          <cell r="T160" t="str">
            <v>-</v>
          </cell>
          <cell r="U160" t="str">
            <v>25-26</v>
          </cell>
          <cell r="W160" t="str">
            <v>27-12-2025
4/2/2025</v>
          </cell>
        </row>
        <row r="161">
          <cell r="F161" t="str">
            <v>GURD01C019</v>
          </cell>
          <cell r="G161" t="str">
            <v>CHADHA SUGARS AND INDUSTRIES PRIVATE LIMITED</v>
          </cell>
          <cell r="H161">
            <v>2014</v>
          </cell>
          <cell r="I161" t="str">
            <v>-</v>
          </cell>
          <cell r="J161" t="str">
            <v>Domestic</v>
          </cell>
          <cell r="K161" t="str">
            <v>Sugar</v>
          </cell>
          <cell r="L161" t="str">
            <v>Sugar</v>
          </cell>
          <cell r="M161" t="str">
            <v>End User</v>
          </cell>
          <cell r="N161" t="str">
            <v>(5001-9000)</v>
          </cell>
          <cell r="O161">
            <v>7500</v>
          </cell>
          <cell r="P161" t="str">
            <v>NI</v>
          </cell>
          <cell r="Q161" t="str">
            <v>AKSHAY AWASTHI</v>
          </cell>
          <cell r="S161" t="str">
            <v>https://maps.app.goo.gl/oxDnbqNUhnk21bz8A</v>
          </cell>
          <cell r="T161" t="str">
            <v>-</v>
          </cell>
          <cell r="U161" t="str">
            <v>25-26</v>
          </cell>
          <cell r="W161" t="str">
            <v>27-12-2025
17-7-2025
4-2-2025</v>
          </cell>
        </row>
        <row r="162">
          <cell r="F162" t="str">
            <v>CHEN01C116</v>
          </cell>
          <cell r="G162" t="str">
            <v>CHAKARA ENGINEERING PRIVATE LIMITED</v>
          </cell>
          <cell r="H162" t="str">
            <v>-</v>
          </cell>
          <cell r="J162" t="str">
            <v>Domestic</v>
          </cell>
          <cell r="P162" t="str">
            <v>SI-GS</v>
          </cell>
          <cell r="Q162" t="str">
            <v>SI-GS</v>
          </cell>
        </row>
        <row r="163">
          <cell r="F163" t="str">
            <v>MUHO01C034</v>
          </cell>
          <cell r="G163" t="str">
            <v>CHEMELI SUGAR MILL</v>
          </cell>
          <cell r="H163" t="str">
            <v>25-26</v>
          </cell>
          <cell r="I163" t="str">
            <v>-</v>
          </cell>
          <cell r="J163" t="str">
            <v>Export</v>
          </cell>
          <cell r="K163" t="str">
            <v>Sugar</v>
          </cell>
          <cell r="L163" t="str">
            <v>Sugar</v>
          </cell>
          <cell r="M163" t="str">
            <v>End User</v>
          </cell>
          <cell r="O163" t="str">
            <v>-</v>
          </cell>
          <cell r="P163" t="str">
            <v>NI</v>
          </cell>
          <cell r="Q163" t="str">
            <v>AKSHAY AWASTHI</v>
          </cell>
          <cell r="R163" t="str">
            <v>-</v>
          </cell>
          <cell r="S163" t="str">
            <v>https://share.google/h3R5MeJZJECIwuLt6</v>
          </cell>
          <cell r="T163" t="str">
            <v>-</v>
          </cell>
          <cell r="U163" t="str">
            <v>-</v>
          </cell>
          <cell r="W163" t="str">
            <v>-</v>
          </cell>
        </row>
        <row r="164">
          <cell r="F164" t="str">
            <v>NODA01C052</v>
          </cell>
          <cell r="G164" t="str">
            <v>CHEMICAL SYSTEMS</v>
          </cell>
          <cell r="H164" t="str">
            <v>21-22</v>
          </cell>
          <cell r="I164" t="str">
            <v>-</v>
          </cell>
          <cell r="J164" t="str">
            <v>Domestic</v>
          </cell>
          <cell r="K164" t="str">
            <v>Sugar</v>
          </cell>
          <cell r="L164" t="str">
            <v>Sugar</v>
          </cell>
          <cell r="M164" t="str">
            <v>OEM</v>
          </cell>
          <cell r="O164" t="str">
            <v>-</v>
          </cell>
          <cell r="P164" t="str">
            <v>NI</v>
          </cell>
          <cell r="Q164" t="str">
            <v>HIMANSHU KUSHWAHA</v>
          </cell>
          <cell r="R164" t="str">
            <v>-</v>
          </cell>
          <cell r="S164" t="str">
            <v>NA</v>
          </cell>
          <cell r="T164" t="str">
            <v>-</v>
          </cell>
          <cell r="U164" t="str">
            <v>26-27</v>
          </cell>
          <cell r="V164" t="str">
            <v>Apr</v>
          </cell>
          <cell r="W164">
            <v>46126</v>
          </cell>
        </row>
        <row r="165">
          <cell r="F165" t="str">
            <v>DLHI01C018</v>
          </cell>
          <cell r="G165" t="str">
            <v>CHEMICAL SYSTEMS TECHNOLOGIES (INDIA) PVT. LTD.</v>
          </cell>
          <cell r="H165">
            <v>2014</v>
          </cell>
          <cell r="I165" t="str">
            <v>-</v>
          </cell>
          <cell r="J165" t="str">
            <v>Domestic</v>
          </cell>
          <cell r="K165" t="str">
            <v>Sugar</v>
          </cell>
          <cell r="L165" t="str">
            <v>Sugar</v>
          </cell>
          <cell r="M165" t="str">
            <v>OEM</v>
          </cell>
          <cell r="O165" t="str">
            <v>-</v>
          </cell>
          <cell r="P165" t="str">
            <v>NI</v>
          </cell>
          <cell r="Q165" t="str">
            <v>HIMANSHU KUSHWAHA</v>
          </cell>
          <cell r="S165" t="str">
            <v>https://maps.app.goo.gl/iNoU3KTR8uk3Hdus8</v>
          </cell>
          <cell r="T165" t="str">
            <v>Delhi-NCR tour</v>
          </cell>
          <cell r="U165" t="str">
            <v>26-27</v>
          </cell>
          <cell r="V165" t="str">
            <v>May</v>
          </cell>
          <cell r="W165" t="str">
            <v>21.05.2026
14-4-2026
14-10-2025
16-04-2025</v>
          </cell>
        </row>
        <row r="166">
          <cell r="F166" t="str">
            <v>BHIA01C100</v>
          </cell>
          <cell r="G166" t="str">
            <v>CHEMIE PRODUCTS PVT LTD</v>
          </cell>
          <cell r="H166" t="str">
            <v>24-25</v>
          </cell>
          <cell r="I166" t="str">
            <v>-</v>
          </cell>
          <cell r="J166" t="str">
            <v>Domestic</v>
          </cell>
          <cell r="K166" t="str">
            <v>CHEMICAL</v>
          </cell>
          <cell r="L166" t="str">
            <v>Non-Sugar</v>
          </cell>
          <cell r="M166" t="str">
            <v>End User</v>
          </cell>
          <cell r="O166" t="str">
            <v>-</v>
          </cell>
          <cell r="P166" t="str">
            <v>NI</v>
          </cell>
          <cell r="Q166" t="str">
            <v>HIMANSHU KUSHWAHA</v>
          </cell>
          <cell r="S166" t="str">
            <v>NA</v>
          </cell>
          <cell r="U166" t="str">
            <v>24-25</v>
          </cell>
          <cell r="W166">
            <v>45632</v>
          </cell>
        </row>
        <row r="167">
          <cell r="F167" t="str">
            <v>VILL01C006</v>
          </cell>
          <cell r="G167" t="str">
            <v>CHENGALRAYAN CO-OPERATIVE SUGAR MILLS LTD.</v>
          </cell>
          <cell r="H167">
            <v>2013</v>
          </cell>
          <cell r="I167" t="str">
            <v>-</v>
          </cell>
          <cell r="J167" t="str">
            <v>Domestic</v>
          </cell>
          <cell r="K167" t="str">
            <v>Sugar</v>
          </cell>
          <cell r="L167" t="str">
            <v>Sugar</v>
          </cell>
          <cell r="M167" t="str">
            <v>End User</v>
          </cell>
          <cell r="N167" t="str">
            <v>(0-5000)</v>
          </cell>
          <cell r="O167">
            <v>2500</v>
          </cell>
          <cell r="P167" t="str">
            <v>SI-GS</v>
          </cell>
          <cell r="Q167" t="str">
            <v>SI-GS</v>
          </cell>
          <cell r="S167" t="str">
            <v>https://maps.app.goo.gl/fpyZBAps4wNJrKKZA</v>
          </cell>
          <cell r="W167">
            <v>45545</v>
          </cell>
        </row>
        <row r="168">
          <cell r="F168" t="str">
            <v>BEED01C022</v>
          </cell>
          <cell r="G168" t="str">
            <v>CHHATRAPATI SAHAKARI SAKHAR KARKHANA LTD.</v>
          </cell>
          <cell r="H168">
            <v>2016</v>
          </cell>
          <cell r="I168" t="str">
            <v>Powar Group</v>
          </cell>
          <cell r="J168" t="str">
            <v>Domestic</v>
          </cell>
          <cell r="K168" t="str">
            <v>Sugar</v>
          </cell>
          <cell r="L168" t="str">
            <v>Sugar</v>
          </cell>
          <cell r="M168" t="str">
            <v>Group (Mills)</v>
          </cell>
          <cell r="N168" t="str">
            <v>(0-5000)</v>
          </cell>
          <cell r="O168">
            <v>2500</v>
          </cell>
          <cell r="P168" t="str">
            <v>AV</v>
          </cell>
          <cell r="Q168" t="str">
            <v>AV</v>
          </cell>
          <cell r="R168" t="str">
            <v>PD</v>
          </cell>
          <cell r="S168" t="str">
            <v>https://share.google/XnT0peOoFLZU1ilHk</v>
          </cell>
          <cell r="T168" t="str">
            <v>Beed - 1</v>
          </cell>
          <cell r="U168" t="str">
            <v>25-26</v>
          </cell>
          <cell r="W168" t="str">
            <v>6-1-2026
20-3-2025
8-06-2024
12-03-2024
08-11-2023</v>
          </cell>
        </row>
        <row r="169">
          <cell r="F169" t="str">
            <v>SAMB01C008</v>
          </cell>
          <cell r="G169" t="str">
            <v>CHHATRAPATI SAMBHAJI RAJE SAKHAR UDYOG LIMITED</v>
          </cell>
          <cell r="H169" t="str">
            <v>25-26</v>
          </cell>
          <cell r="I169" t="str">
            <v>-</v>
          </cell>
          <cell r="J169" t="str">
            <v>Domestic</v>
          </cell>
          <cell r="K169" t="str">
            <v>Sugar</v>
          </cell>
          <cell r="L169" t="str">
            <v>Sugar</v>
          </cell>
          <cell r="M169" t="str">
            <v>End User</v>
          </cell>
          <cell r="N169" t="str">
            <v>(0-5000)</v>
          </cell>
          <cell r="O169" t="str">
            <v>Sugar 2500
Distillery 30 KLPD</v>
          </cell>
          <cell r="P169" t="str">
            <v>AV</v>
          </cell>
          <cell r="Q169" t="str">
            <v>AV</v>
          </cell>
          <cell r="R169" t="str">
            <v>VG</v>
          </cell>
          <cell r="S169" t="str">
            <v>https://share.google/kIvuQVxjLabDO1zve</v>
          </cell>
          <cell r="T169" t="str">
            <v>Aurangabad - 1</v>
          </cell>
          <cell r="U169" t="str">
            <v>23-24</v>
          </cell>
          <cell r="W169">
            <v>45166</v>
          </cell>
        </row>
        <row r="170">
          <cell r="F170" t="str">
            <v>BELG01S062</v>
          </cell>
          <cell r="G170" t="str">
            <v>CHIDANAND BASAPRABHU SAHAKARI SAKKARE KARKHANA NIYAMIT(Formerly SHREE DOODHGANGA KRISHNA SSK NIYMI)</v>
          </cell>
          <cell r="H170">
            <v>2013</v>
          </cell>
          <cell r="I170" t="str">
            <v>Kore group (same owner)</v>
          </cell>
          <cell r="J170" t="str">
            <v>Domestic</v>
          </cell>
          <cell r="K170" t="str">
            <v>Sugar</v>
          </cell>
          <cell r="L170" t="str">
            <v>Sugar</v>
          </cell>
          <cell r="M170" t="str">
            <v>Group (Mills)</v>
          </cell>
          <cell r="N170" t="str">
            <v>(9001 &amp; above)</v>
          </cell>
          <cell r="O170" t="str">
            <v>Sugar 10000
Distillery 30 KLPD</v>
          </cell>
          <cell r="P170" t="str">
            <v>MRK</v>
          </cell>
          <cell r="Q170" t="str">
            <v>MRK</v>
          </cell>
          <cell r="R170" t="str">
            <v>VG</v>
          </cell>
          <cell r="S170" t="str">
            <v>https://share.google/8LcBdsLISOG65T0jB</v>
          </cell>
          <cell r="T170" t="str">
            <v>Belagavi - 1</v>
          </cell>
          <cell r="U170" t="str">
            <v>26-27</v>
          </cell>
          <cell r="V170" t="str">
            <v>May</v>
          </cell>
          <cell r="W170" t="str">
            <v>26-05-2026
19-05-2025
07/04/2025
04-12-2024
16-11-2024
25-11-2023
08-02-2023
22-09-2022</v>
          </cell>
        </row>
        <row r="171">
          <cell r="F171" t="str">
            <v>SANG01C010</v>
          </cell>
          <cell r="G171" t="str">
            <v>CHINCHWADE &amp; ASSOCIATES</v>
          </cell>
          <cell r="H171">
            <v>2020</v>
          </cell>
          <cell r="I171" t="str">
            <v>-</v>
          </cell>
          <cell r="J171" t="str">
            <v>Domestic</v>
          </cell>
          <cell r="K171" t="str">
            <v>Sugar</v>
          </cell>
          <cell r="L171" t="str">
            <v>Sugar</v>
          </cell>
          <cell r="M171" t="str">
            <v>OEM</v>
          </cell>
          <cell r="O171" t="str">
            <v>-</v>
          </cell>
          <cell r="P171" t="str">
            <v>AV</v>
          </cell>
          <cell r="Q171" t="str">
            <v>AV</v>
          </cell>
          <cell r="R171" t="str">
            <v>OEM</v>
          </cell>
          <cell r="S171" t="str">
            <v>https://maps.app.goo.gl/JMGk76zrKTCkpyWUA</v>
          </cell>
          <cell r="T171" t="str">
            <v>-</v>
          </cell>
          <cell r="W171" t="str">
            <v>-</v>
          </cell>
        </row>
        <row r="172">
          <cell r="F172" t="str">
            <v>BHIA01C099</v>
          </cell>
          <cell r="G172" t="str">
            <v>CHITALA DAIRY</v>
          </cell>
          <cell r="H172" t="str">
            <v>-</v>
          </cell>
          <cell r="J172" t="str">
            <v>Domestic</v>
          </cell>
          <cell r="P172" t="str">
            <v>MRK</v>
          </cell>
          <cell r="Q172" t="str">
            <v>-</v>
          </cell>
        </row>
        <row r="173">
          <cell r="F173" t="str">
            <v>MUMB01C067</v>
          </cell>
          <cell r="G173" t="str">
            <v>CLEAN DROPS AQUA PVT LIMITED</v>
          </cell>
          <cell r="H173" t="str">
            <v>23-24</v>
          </cell>
          <cell r="I173" t="str">
            <v>-</v>
          </cell>
          <cell r="J173" t="str">
            <v>Domestic</v>
          </cell>
          <cell r="K173" t="str">
            <v>Other</v>
          </cell>
          <cell r="L173" t="str">
            <v>Non-Sugar</v>
          </cell>
          <cell r="M173" t="str">
            <v>OEM</v>
          </cell>
          <cell r="O173" t="str">
            <v>-</v>
          </cell>
          <cell r="P173" t="str">
            <v>NI</v>
          </cell>
          <cell r="Q173" t="str">
            <v>HIMANSHU KUSHWAHA</v>
          </cell>
          <cell r="R173" t="str">
            <v>-</v>
          </cell>
          <cell r="S173" t="str">
            <v>https://share.google/CaqN3slNcc79W8CbW</v>
          </cell>
          <cell r="T173" t="str">
            <v>-</v>
          </cell>
          <cell r="U173" t="str">
            <v>-</v>
          </cell>
        </row>
        <row r="174">
          <cell r="F174" t="str">
            <v>AHME01C077</v>
          </cell>
          <cell r="G174" t="str">
            <v>CLEANTECH WATER</v>
          </cell>
          <cell r="H174" t="str">
            <v>24-25</v>
          </cell>
          <cell r="I174" t="str">
            <v>-</v>
          </cell>
          <cell r="J174" t="str">
            <v>Domestic</v>
          </cell>
          <cell r="K174" t="str">
            <v>ETP/STP/WTP</v>
          </cell>
          <cell r="L174" t="str">
            <v>Non-Sugar</v>
          </cell>
          <cell r="M174" t="str">
            <v>End User</v>
          </cell>
          <cell r="O174" t="str">
            <v>-</v>
          </cell>
          <cell r="P174" t="str">
            <v>NI</v>
          </cell>
          <cell r="Q174" t="str">
            <v>AKSHAY AWASTHI</v>
          </cell>
          <cell r="S174" t="str">
            <v>https://share.google/j2bSiZoi6GF9uuiNX</v>
          </cell>
          <cell r="T174" t="str">
            <v>GUJARAT+ PUNE</v>
          </cell>
          <cell r="U174" t="str">
            <v>25-26</v>
          </cell>
          <cell r="W174" t="str">
            <v>16-09-2025
15-04-2025
12/18/2024</v>
          </cell>
        </row>
        <row r="175">
          <cell r="F175" t="str">
            <v>SURE01C104</v>
          </cell>
          <cell r="G175" t="str">
            <v>CMR Aluminium Private Limited-GJ</v>
          </cell>
          <cell r="H175" t="str">
            <v>24-25</v>
          </cell>
          <cell r="I175" t="str">
            <v>-</v>
          </cell>
          <cell r="J175" t="str">
            <v>Domestic</v>
          </cell>
          <cell r="K175" t="str">
            <v>OTHERS</v>
          </cell>
          <cell r="L175" t="str">
            <v>Non-Sugar</v>
          </cell>
          <cell r="M175" t="str">
            <v>End User</v>
          </cell>
          <cell r="O175" t="str">
            <v>-</v>
          </cell>
          <cell r="P175" t="str">
            <v>NI</v>
          </cell>
          <cell r="Q175" t="str">
            <v>AKSHAY AWASTHI</v>
          </cell>
          <cell r="S175" t="str">
            <v>https://share.google/iOhMBVPMXhvivmK8u</v>
          </cell>
        </row>
        <row r="176">
          <cell r="F176" t="str">
            <v>DLHI01C083</v>
          </cell>
          <cell r="G176" t="str">
            <v>CMR GREEN TECHNOLOGIES LIMITED</v>
          </cell>
          <cell r="H176" t="str">
            <v>23-24</v>
          </cell>
          <cell r="I176" t="str">
            <v>-</v>
          </cell>
          <cell r="J176" t="str">
            <v>Domestic</v>
          </cell>
          <cell r="K176" t="str">
            <v>Other</v>
          </cell>
          <cell r="L176" t="str">
            <v>Non-Sugar</v>
          </cell>
          <cell r="M176" t="str">
            <v>End User</v>
          </cell>
          <cell r="O176" t="str">
            <v>-</v>
          </cell>
          <cell r="P176" t="str">
            <v>NI</v>
          </cell>
          <cell r="Q176" t="str">
            <v>AKSHAY AWASTHI</v>
          </cell>
          <cell r="S176" t="str">
            <v>https://share.google/0lw9v0zJRESq3fIQI</v>
          </cell>
          <cell r="T176" t="str">
            <v>-</v>
          </cell>
          <cell r="U176" t="str">
            <v>26-27</v>
          </cell>
          <cell r="V176" t="str">
            <v>Apr</v>
          </cell>
          <cell r="W176" t="str">
            <v>16-4-2026
17-04-2025</v>
          </cell>
        </row>
        <row r="177">
          <cell r="F177" t="str">
            <v>RICH01C028</v>
          </cell>
          <cell r="G177" t="str">
            <v>COMPAGNIE SUCRIERE SENEGALAISE</v>
          </cell>
          <cell r="H177">
            <v>2014</v>
          </cell>
          <cell r="I177" t="str">
            <v>-</v>
          </cell>
          <cell r="J177" t="str">
            <v>Export</v>
          </cell>
          <cell r="K177" t="str">
            <v>Sugar</v>
          </cell>
          <cell r="L177" t="str">
            <v>Sugar</v>
          </cell>
          <cell r="M177" t="str">
            <v>End User</v>
          </cell>
          <cell r="O177" t="str">
            <v>-</v>
          </cell>
          <cell r="P177" t="str">
            <v>NI</v>
          </cell>
          <cell r="Q177" t="str">
            <v>AVIRAL SHUKLA</v>
          </cell>
          <cell r="R177" t="str">
            <v>-</v>
          </cell>
          <cell r="S177" t="str">
            <v>https://share.google/BIZDhdWfSo3u6YVPN</v>
          </cell>
          <cell r="T177" t="str">
            <v>-</v>
          </cell>
          <cell r="U177" t="str">
            <v>-</v>
          </cell>
          <cell r="W177" t="str">
            <v>-</v>
          </cell>
        </row>
        <row r="178">
          <cell r="F178" t="str">
            <v>CALI01C060</v>
          </cell>
          <cell r="G178" t="str">
            <v>CONNEQTED TECH LLC</v>
          </cell>
          <cell r="H178" t="str">
            <v>23-24</v>
          </cell>
          <cell r="I178" t="str">
            <v>-</v>
          </cell>
          <cell r="J178" t="str">
            <v>Export</v>
          </cell>
          <cell r="K178" t="str">
            <v>Sugar</v>
          </cell>
          <cell r="L178" t="str">
            <v>Sugar</v>
          </cell>
          <cell r="M178" t="str">
            <v>OEM</v>
          </cell>
          <cell r="O178" t="str">
            <v>-</v>
          </cell>
          <cell r="P178" t="str">
            <v>NI</v>
          </cell>
          <cell r="Q178" t="str">
            <v>AVIRAL SHUKLA</v>
          </cell>
          <cell r="R178" t="str">
            <v>-</v>
          </cell>
          <cell r="S178" t="str">
            <v>https://share.google/8eNTBUh0Ap4eeve2j</v>
          </cell>
          <cell r="T178" t="str">
            <v>-</v>
          </cell>
          <cell r="U178" t="str">
            <v>-</v>
          </cell>
        </row>
        <row r="179">
          <cell r="F179" t="str">
            <v>PUNE01C054</v>
          </cell>
          <cell r="G179" t="str">
            <v>CONSTRUCTIVE ENGINEERING</v>
          </cell>
          <cell r="H179" t="str">
            <v>21-22</v>
          </cell>
          <cell r="I179" t="str">
            <v>-</v>
          </cell>
          <cell r="J179" t="str">
            <v>Domestic</v>
          </cell>
          <cell r="K179" t="str">
            <v>Sugar</v>
          </cell>
          <cell r="L179" t="str">
            <v>Sugar</v>
          </cell>
          <cell r="M179" t="str">
            <v>Merchant Exporter</v>
          </cell>
          <cell r="O179" t="str">
            <v>-</v>
          </cell>
          <cell r="P179" t="str">
            <v>NI</v>
          </cell>
          <cell r="Q179" t="str">
            <v>AKSHAY AWASTHI</v>
          </cell>
          <cell r="R179" t="str">
            <v>-</v>
          </cell>
          <cell r="S179" t="str">
            <v>https://maps.app.goo.gl/WCcFby15sK4Jkh8BA</v>
          </cell>
          <cell r="T179" t="str">
            <v>-</v>
          </cell>
          <cell r="U179" t="str">
            <v>-</v>
          </cell>
        </row>
        <row r="180">
          <cell r="F180" t="str">
            <v>HARD01C123</v>
          </cell>
          <cell r="G180" t="str">
            <v>CONSUMER CARE &amp; LIGHTING LTD</v>
          </cell>
          <cell r="H180" t="str">
            <v>-</v>
          </cell>
          <cell r="J180" t="str">
            <v>Domestic</v>
          </cell>
          <cell r="L180" t="str">
            <v>Non-Sugar</v>
          </cell>
          <cell r="M180" t="str">
            <v>End User</v>
          </cell>
          <cell r="P180" t="str">
            <v>HO</v>
          </cell>
          <cell r="Q180" t="str">
            <v>-</v>
          </cell>
          <cell r="R180" t="str">
            <v>AMRESH</v>
          </cell>
        </row>
        <row r="181">
          <cell r="F181" t="str">
            <v>TAPI01C014</v>
          </cell>
          <cell r="G181" t="str">
            <v>COPER CO-OPERATIVE SUGAR LTD.</v>
          </cell>
          <cell r="H181">
            <v>2013</v>
          </cell>
          <cell r="I181" t="str">
            <v>-</v>
          </cell>
          <cell r="J181" t="str">
            <v>Domestic</v>
          </cell>
          <cell r="K181" t="str">
            <v>Sugar</v>
          </cell>
          <cell r="L181" t="str">
            <v>Sugar</v>
          </cell>
          <cell r="M181" t="str">
            <v>End User</v>
          </cell>
          <cell r="N181" t="str">
            <v>(0-5000)</v>
          </cell>
          <cell r="O181">
            <v>2500</v>
          </cell>
          <cell r="P181" t="str">
            <v>NI</v>
          </cell>
          <cell r="Q181" t="str">
            <v>AKSHAY AWASTHI</v>
          </cell>
          <cell r="S181" t="str">
            <v>https://maps.app.goo.gl/bcg1gW96rsr2kU4D9</v>
          </cell>
          <cell r="T181" t="str">
            <v>-</v>
          </cell>
          <cell r="U181" t="str">
            <v>25-26</v>
          </cell>
          <cell r="W181" t="str">
            <v>18-04-2025
4/5/2024</v>
          </cell>
        </row>
        <row r="182">
          <cell r="F182" t="str">
            <v>YADG01C015</v>
          </cell>
          <cell r="G182" t="str">
            <v>CORE GREEN SUGAR AND FUELS PVT. LTD.</v>
          </cell>
          <cell r="H182">
            <v>2013</v>
          </cell>
          <cell r="I182" t="str">
            <v>-</v>
          </cell>
          <cell r="J182" t="str">
            <v>Domestic</v>
          </cell>
          <cell r="K182" t="str">
            <v>Sugar</v>
          </cell>
          <cell r="L182" t="str">
            <v>Sugar</v>
          </cell>
          <cell r="M182" t="str">
            <v>End User</v>
          </cell>
          <cell r="N182" t="str">
            <v>(0-5000)</v>
          </cell>
          <cell r="O182">
            <v>5000</v>
          </cell>
          <cell r="P182" t="str">
            <v>AV</v>
          </cell>
          <cell r="Q182" t="str">
            <v>AV</v>
          </cell>
          <cell r="R182" t="str">
            <v>VG</v>
          </cell>
          <cell r="S182" t="str">
            <v>https://maps.app.goo.gl/2F9Ti2iB7TG9ebGU8</v>
          </cell>
          <cell r="T182" t="str">
            <v>Vijaypura - 1</v>
          </cell>
          <cell r="U182" t="str">
            <v>23-24</v>
          </cell>
          <cell r="W182">
            <v>45219</v>
          </cell>
        </row>
        <row r="183">
          <cell r="F183" t="str">
            <v>CHEN01C036</v>
          </cell>
          <cell r="G183" t="str">
            <v>COROMANDEL PAINTS PVT. LTD. (UNIT -II)</v>
          </cell>
          <cell r="H183">
            <v>2016</v>
          </cell>
          <cell r="I183" t="str">
            <v>-</v>
          </cell>
          <cell r="J183" t="str">
            <v>Domestic</v>
          </cell>
          <cell r="K183" t="str">
            <v>Paint</v>
          </cell>
          <cell r="L183" t="str">
            <v>Non-Sugar</v>
          </cell>
          <cell r="M183" t="str">
            <v>End User</v>
          </cell>
          <cell r="P183" t="str">
            <v>SI-GS</v>
          </cell>
          <cell r="Q183" t="str">
            <v>SI-GS</v>
          </cell>
          <cell r="S183" t="str">
            <v>https://share.google/UQlzg3WmldYjQ8Hlx</v>
          </cell>
          <cell r="W183" t="str">
            <v>-</v>
          </cell>
        </row>
        <row r="184">
          <cell r="F184" t="str">
            <v>MAND01C016</v>
          </cell>
          <cell r="G184" t="str">
            <v>COROMANDEL SUGARS LIMITED</v>
          </cell>
          <cell r="H184">
            <v>2013</v>
          </cell>
          <cell r="I184" t="str">
            <v>-</v>
          </cell>
          <cell r="J184" t="str">
            <v>Domestic</v>
          </cell>
          <cell r="K184" t="str">
            <v>Sugar</v>
          </cell>
          <cell r="L184" t="str">
            <v>Sugar</v>
          </cell>
          <cell r="M184" t="str">
            <v>End User</v>
          </cell>
          <cell r="N184" t="str">
            <v>(0-5000)</v>
          </cell>
          <cell r="O184">
            <v>4800</v>
          </cell>
          <cell r="P184" t="str">
            <v>SI-GS</v>
          </cell>
          <cell r="Q184" t="str">
            <v>SI-GS</v>
          </cell>
          <cell r="S184" t="str">
            <v>https://maps.app.goo.gl/rtt7e2BbLfnkxAau5</v>
          </cell>
          <cell r="W184" t="str">
            <v>18-03-2025</v>
          </cell>
        </row>
        <row r="185">
          <cell r="F185" t="str">
            <v>PHIL01C031</v>
          </cell>
          <cell r="G185" t="str">
            <v>CRYSCOO TRADERS</v>
          </cell>
          <cell r="H185" t="str">
            <v>23-24</v>
          </cell>
          <cell r="I185" t="str">
            <v>-</v>
          </cell>
          <cell r="J185" t="str">
            <v>Export</v>
          </cell>
          <cell r="K185" t="str">
            <v>Sugar</v>
          </cell>
          <cell r="L185" t="str">
            <v>Sugar</v>
          </cell>
          <cell r="M185" t="str">
            <v>OEM</v>
          </cell>
          <cell r="O185" t="str">
            <v>-</v>
          </cell>
          <cell r="P185" t="str">
            <v>VA-SS</v>
          </cell>
          <cell r="Q185" t="str">
            <v>SHIVANU SHUKLA</v>
          </cell>
          <cell r="R185" t="str">
            <v>-</v>
          </cell>
          <cell r="S185" t="str">
            <v>https://share.google/ZJxbSiahC4zBmtdKE</v>
          </cell>
          <cell r="T185" t="str">
            <v>-</v>
          </cell>
          <cell r="U185" t="str">
            <v>-</v>
          </cell>
          <cell r="W185" t="str">
            <v>-</v>
          </cell>
        </row>
        <row r="186">
          <cell r="F186" t="str">
            <v>PUNE01C046</v>
          </cell>
          <cell r="G186" t="str">
            <v>CRYSTAL CLEAR WATER TECHNOLOGY</v>
          </cell>
          <cell r="H186" t="str">
            <v>19-20</v>
          </cell>
          <cell r="I186" t="str">
            <v>-</v>
          </cell>
          <cell r="J186" t="str">
            <v>Domestic</v>
          </cell>
          <cell r="K186" t="str">
            <v>Other</v>
          </cell>
          <cell r="L186" t="str">
            <v>Non-Sugar</v>
          </cell>
          <cell r="M186" t="str">
            <v>OEM</v>
          </cell>
          <cell r="O186" t="str">
            <v>-</v>
          </cell>
          <cell r="P186" t="str">
            <v>NI</v>
          </cell>
          <cell r="Q186" t="str">
            <v>AKSHAY AWASTHI</v>
          </cell>
          <cell r="R186" t="str">
            <v>-</v>
          </cell>
          <cell r="S186" t="str">
            <v>https://maps.app.goo.gl/5A8A7DT9Qu2dfur1A</v>
          </cell>
          <cell r="T186" t="str">
            <v>-</v>
          </cell>
          <cell r="U186" t="str">
            <v>-</v>
          </cell>
          <cell r="W186" t="str">
            <v>-</v>
          </cell>
        </row>
        <row r="187">
          <cell r="F187" t="str">
            <v>AHMD01C024</v>
          </cell>
          <cell r="G187" t="str">
            <v>CRYSTAL ENGINEERS</v>
          </cell>
          <cell r="H187">
            <v>2013</v>
          </cell>
          <cell r="J187" t="str">
            <v>Domestic</v>
          </cell>
          <cell r="K187" t="str">
            <v>Sugar</v>
          </cell>
          <cell r="L187" t="str">
            <v>Sugar</v>
          </cell>
          <cell r="M187" t="str">
            <v>OEM</v>
          </cell>
          <cell r="O187" t="str">
            <v>-</v>
          </cell>
          <cell r="P187" t="str">
            <v>AV</v>
          </cell>
          <cell r="Q187" t="str">
            <v>AV</v>
          </cell>
          <cell r="R187" t="str">
            <v>OEM</v>
          </cell>
          <cell r="T187" t="str">
            <v>-</v>
          </cell>
          <cell r="W187" t="str">
            <v>-</v>
          </cell>
        </row>
        <row r="188">
          <cell r="F188" t="str">
            <v>SAHJ01D052</v>
          </cell>
          <cell r="G188" t="str">
            <v>DALMIA BHARAT SUGAR &amp; INDUSTRIES LTD- NIGOHI</v>
          </cell>
          <cell r="H188">
            <v>2015</v>
          </cell>
          <cell r="I188" t="str">
            <v>Dalmia Group</v>
          </cell>
          <cell r="J188" t="str">
            <v>Domestic</v>
          </cell>
          <cell r="K188" t="str">
            <v>Sugar</v>
          </cell>
          <cell r="L188" t="str">
            <v>Sugar</v>
          </cell>
          <cell r="M188" t="str">
            <v>Group (Mills)</v>
          </cell>
          <cell r="N188" t="str">
            <v>(9001 &amp; above)</v>
          </cell>
          <cell r="O188">
            <v>10000</v>
          </cell>
          <cell r="P188" t="str">
            <v>NI</v>
          </cell>
          <cell r="Q188" t="str">
            <v>AKSHAY AWASTHI</v>
          </cell>
          <cell r="S188" t="str">
            <v>https://maps.app.goo.gl/ukqBHREBcUPsEpv76</v>
          </cell>
          <cell r="T188" t="str">
            <v>CENTRAL - 2</v>
          </cell>
          <cell r="U188" t="str">
            <v>25-26</v>
          </cell>
          <cell r="W188" t="str">
            <v>06-02-2026
13-05-2025
29-05-2024
14-02-2024</v>
          </cell>
        </row>
        <row r="189">
          <cell r="F189" t="str">
            <v>SITP01D053</v>
          </cell>
          <cell r="G189" t="str">
            <v>DALMIA BHARAT SUGAR &amp; INDUSTRIES LTD- JAWAHARPUR</v>
          </cell>
          <cell r="H189">
            <v>2015</v>
          </cell>
          <cell r="I189" t="str">
            <v>Dalmia Group</v>
          </cell>
          <cell r="J189" t="str">
            <v>Domestic</v>
          </cell>
          <cell r="K189" t="str">
            <v>Sugar</v>
          </cell>
          <cell r="L189" t="str">
            <v>Sugar</v>
          </cell>
          <cell r="M189" t="str">
            <v>Group (Mills)</v>
          </cell>
          <cell r="N189" t="str">
            <v>(9001 &amp; above)</v>
          </cell>
          <cell r="O189">
            <v>8000</v>
          </cell>
          <cell r="P189" t="str">
            <v>NI</v>
          </cell>
          <cell r="Q189" t="str">
            <v>AVIRAL SHUKLA</v>
          </cell>
          <cell r="R189" t="str">
            <v>AVIRAL SHUKLA</v>
          </cell>
          <cell r="S189" t="str">
            <v>NA</v>
          </cell>
          <cell r="T189" t="str">
            <v>CENTRAL TOUR</v>
          </cell>
          <cell r="U189" t="str">
            <v>25-26</v>
          </cell>
          <cell r="W189" t="str">
            <v>17-01-2026
30-08-2025</v>
          </cell>
        </row>
        <row r="190">
          <cell r="F190" t="str">
            <v>SITP01D049</v>
          </cell>
          <cell r="G190" t="str">
            <v>DALMIA BHARAT SUGAR &amp; INDUSTRIES LTD-RAMGARH</v>
          </cell>
          <cell r="H190">
            <v>2014</v>
          </cell>
          <cell r="I190" t="str">
            <v>Dalmia Group</v>
          </cell>
          <cell r="J190" t="str">
            <v>Domestic</v>
          </cell>
          <cell r="K190" t="str">
            <v>Sugar</v>
          </cell>
          <cell r="L190" t="str">
            <v>Sugar</v>
          </cell>
          <cell r="M190" t="str">
            <v>Group (Mills)</v>
          </cell>
          <cell r="N190" t="str">
            <v>(5001-9000)</v>
          </cell>
          <cell r="O190">
            <v>7500</v>
          </cell>
          <cell r="P190" t="str">
            <v>NI</v>
          </cell>
          <cell r="Q190" t="str">
            <v>AVIRAL SHUKLA</v>
          </cell>
          <cell r="R190" t="str">
            <v>AKSHAY 
AWASTHI</v>
          </cell>
          <cell r="S190" t="str">
            <v>https://maps.app.goo.gl/Z1y4bzJzBVsCRr81A</v>
          </cell>
          <cell r="T190" t="str">
            <v>CENTRAL -1</v>
          </cell>
          <cell r="U190" t="str">
            <v>25-26</v>
          </cell>
          <cell r="W190" t="str">
            <v>16-1-2026
30-08-2025
10/29/2024</v>
          </cell>
        </row>
        <row r="191">
          <cell r="F191" t="str">
            <v>HRDO01D121</v>
          </cell>
          <cell r="G191" t="str">
            <v>DALMIA BHARAT SUGAR AND INDUSTRIES LIMITED-SUGAR UNIT- GANGA</v>
          </cell>
          <cell r="H191" t="str">
            <v>25-26</v>
          </cell>
          <cell r="I191" t="str">
            <v>Dalmia Group</v>
          </cell>
          <cell r="J191" t="str">
            <v>Domestic</v>
          </cell>
          <cell r="K191" t="str">
            <v>Sugar</v>
          </cell>
          <cell r="L191" t="str">
            <v>Sugar</v>
          </cell>
          <cell r="M191" t="str">
            <v>Group (Mills)</v>
          </cell>
          <cell r="N191" t="str">
            <v>(9001 &amp; above)</v>
          </cell>
          <cell r="O191">
            <v>12500</v>
          </cell>
          <cell r="P191" t="str">
            <v>NI</v>
          </cell>
          <cell r="Q191" t="str">
            <v>AVIRAL SHUKLA</v>
          </cell>
          <cell r="S191" t="str">
            <v>NA</v>
          </cell>
        </row>
        <row r="192">
          <cell r="F192" t="str">
            <v>SANG01N052</v>
          </cell>
          <cell r="G192" t="str">
            <v>DALMIA BHARAT SUGAR AND INDUSTRIES LTD (NINAIDEVI)</v>
          </cell>
          <cell r="H192">
            <v>2015</v>
          </cell>
          <cell r="I192" t="str">
            <v>Dalmia Group</v>
          </cell>
          <cell r="J192" t="str">
            <v>Domestic</v>
          </cell>
          <cell r="K192" t="str">
            <v>Sugar</v>
          </cell>
          <cell r="L192" t="str">
            <v>Sugar</v>
          </cell>
          <cell r="M192" t="str">
            <v>Group (Mills)</v>
          </cell>
          <cell r="N192" t="str">
            <v>(0-5000)</v>
          </cell>
          <cell r="O192">
            <v>4000</v>
          </cell>
          <cell r="P192" t="str">
            <v>NI</v>
          </cell>
          <cell r="Q192" t="str">
            <v>HIMANSHU KUSHWAHA</v>
          </cell>
          <cell r="S192" t="str">
            <v>https://maps.app.goo.gl/m4xPqMbgCkCfusQn6</v>
          </cell>
          <cell r="T192" t="str">
            <v>MAHARASHTRA + KARNATAKA</v>
          </cell>
          <cell r="U192" t="str">
            <v>25-26</v>
          </cell>
          <cell r="W192" t="str">
            <v>28-1-2026
07-07-2025
12/30/2024</v>
          </cell>
        </row>
        <row r="193">
          <cell r="F193" t="str">
            <v>KOLH01S060</v>
          </cell>
          <cell r="G193" t="str">
            <v>DALMIA BHARAT SUGAR AND INDUSTRIES LTD. (SHRI DATTA SHETKARI SAHAKARI SAKAR KARKHANA LIMITED)</v>
          </cell>
          <cell r="H193">
            <v>2013</v>
          </cell>
          <cell r="I193" t="str">
            <v>Dalmia Group</v>
          </cell>
          <cell r="J193" t="str">
            <v>Domestic</v>
          </cell>
          <cell r="K193" t="str">
            <v>Sugar</v>
          </cell>
          <cell r="L193" t="str">
            <v>Sugar</v>
          </cell>
          <cell r="M193" t="str">
            <v>Group (Mills)</v>
          </cell>
          <cell r="N193" t="str">
            <v>(5001-9000)</v>
          </cell>
          <cell r="O193">
            <v>9000</v>
          </cell>
          <cell r="P193" t="str">
            <v>NI</v>
          </cell>
          <cell r="Q193" t="str">
            <v>HIMANSHU KUSHWAHA</v>
          </cell>
          <cell r="S193" t="str">
            <v>https://maps.app.goo.gl/EoRpwNxjC1cyivJU8</v>
          </cell>
          <cell r="T193" t="str">
            <v>MAHARASHTRA + KARNATAKA</v>
          </cell>
          <cell r="U193" t="str">
            <v>25-26</v>
          </cell>
          <cell r="W193" t="str">
            <v>29-1-2026
07-07-2025
12/30/2024</v>
          </cell>
        </row>
        <row r="194">
          <cell r="F194" t="str">
            <v>NIGE01M114</v>
          </cell>
          <cell r="G194" t="str">
            <v>DANGOTE SUGAR REFINERY LTD</v>
          </cell>
          <cell r="H194" t="str">
            <v>23-24</v>
          </cell>
          <cell r="I194" t="str">
            <v>-</v>
          </cell>
          <cell r="J194" t="str">
            <v>Export</v>
          </cell>
          <cell r="K194" t="str">
            <v>Sugar</v>
          </cell>
          <cell r="L194" t="str">
            <v>Sugar</v>
          </cell>
          <cell r="M194" t="str">
            <v>End User</v>
          </cell>
          <cell r="O194" t="str">
            <v>-</v>
          </cell>
          <cell r="P194" t="str">
            <v>NI</v>
          </cell>
          <cell r="Q194" t="str">
            <v>AVIRAL SHUKLA</v>
          </cell>
          <cell r="R194" t="str">
            <v>-</v>
          </cell>
          <cell r="S194" t="str">
            <v>https://share.google/0ibcKokEhpckLxzFS</v>
          </cell>
          <cell r="T194" t="str">
            <v>-</v>
          </cell>
          <cell r="U194" t="str">
            <v>-</v>
          </cell>
          <cell r="W194" t="str">
            <v>-</v>
          </cell>
        </row>
        <row r="195">
          <cell r="F195" t="str">
            <v>DURG01D001</v>
          </cell>
          <cell r="G195" t="str">
            <v>DANTESHWARI MAIYA SAHAKARI SHAKKAR</v>
          </cell>
          <cell r="H195">
            <v>2013</v>
          </cell>
          <cell r="I195" t="str">
            <v>-</v>
          </cell>
          <cell r="J195" t="str">
            <v>Domestic</v>
          </cell>
          <cell r="K195" t="str">
            <v>Sugar</v>
          </cell>
          <cell r="L195" t="str">
            <v>Sugar</v>
          </cell>
          <cell r="M195" t="str">
            <v>End User</v>
          </cell>
          <cell r="N195" t="str">
            <v>(0-5000)</v>
          </cell>
          <cell r="O195">
            <v>2500</v>
          </cell>
          <cell r="P195" t="str">
            <v>NI</v>
          </cell>
          <cell r="Q195" t="str">
            <v>HIMANSHU KUSHWAHA</v>
          </cell>
          <cell r="S195" t="str">
            <v>NA</v>
          </cell>
          <cell r="T195" t="str">
            <v>Chhatisgarh &amp; Orissa</v>
          </cell>
          <cell r="U195" t="str">
            <v>25-26</v>
          </cell>
          <cell r="W195" t="str">
            <v>29-10-2025
11/9/2024</v>
          </cell>
        </row>
        <row r="196">
          <cell r="F196" t="str">
            <v>SOLP01D093</v>
          </cell>
          <cell r="G196" t="str">
            <v>DARSHANA SOLVENT EXTACTION PVT LTD</v>
          </cell>
          <cell r="H196" t="str">
            <v>23-24</v>
          </cell>
          <cell r="I196" t="str">
            <v>-</v>
          </cell>
          <cell r="J196" t="str">
            <v>Domestic</v>
          </cell>
          <cell r="K196" t="str">
            <v>Edible Oil</v>
          </cell>
          <cell r="L196" t="str">
            <v>Non-Sugar</v>
          </cell>
          <cell r="M196" t="str">
            <v>End User</v>
          </cell>
          <cell r="O196" t="str">
            <v>-</v>
          </cell>
          <cell r="P196" t="str">
            <v>MRK</v>
          </cell>
          <cell r="Q196" t="str">
            <v>MRK</v>
          </cell>
          <cell r="R196" t="str">
            <v>VG</v>
          </cell>
          <cell r="S196" t="str">
            <v>https://share.google/8nwpBOboFw5vS4N1z</v>
          </cell>
          <cell r="T196" t="str">
            <v>Solapur - 2</v>
          </cell>
          <cell r="W196" t="str">
            <v>-</v>
          </cell>
        </row>
        <row r="197">
          <cell r="F197" t="str">
            <v>PUNE01D004</v>
          </cell>
          <cell r="G197" t="str">
            <v>DAUND SUGAR PVT LTD.ALEGAON (KADAM VASTI)</v>
          </cell>
          <cell r="H197">
            <v>2013</v>
          </cell>
          <cell r="I197" t="str">
            <v>Powar Group</v>
          </cell>
          <cell r="J197" t="str">
            <v>Domestic</v>
          </cell>
          <cell r="K197" t="str">
            <v>Sugar</v>
          </cell>
          <cell r="L197" t="str">
            <v>Sugar</v>
          </cell>
          <cell r="M197" t="str">
            <v>Group (Mills)</v>
          </cell>
          <cell r="N197" t="str">
            <v>(9001 &amp; above)</v>
          </cell>
          <cell r="O197" t="str">
            <v>20000
Distillery 120 KLPD</v>
          </cell>
          <cell r="P197" t="str">
            <v>AV</v>
          </cell>
          <cell r="Q197" t="str">
            <v>AV</v>
          </cell>
          <cell r="R197" t="str">
            <v>PD</v>
          </cell>
          <cell r="S197" t="str">
            <v>https://share.google/bRd9WuM6YcxVibaW3</v>
          </cell>
          <cell r="T197" t="str">
            <v>Pune - 1</v>
          </cell>
          <cell r="U197" t="str">
            <v>24-25</v>
          </cell>
          <cell r="W197" t="str">
            <v>30-12-2024
29-12-2024
09-10-2024
9-5-2024
19-01-2024</v>
          </cell>
        </row>
        <row r="198">
          <cell r="F198" t="str">
            <v>MERT01D005</v>
          </cell>
          <cell r="G198" t="str">
            <v>DAURALA SUGAR WORKS</v>
          </cell>
          <cell r="H198">
            <v>2014</v>
          </cell>
          <cell r="I198" t="str">
            <v>-</v>
          </cell>
          <cell r="J198" t="str">
            <v>Domestic</v>
          </cell>
          <cell r="K198" t="str">
            <v>Sugar</v>
          </cell>
          <cell r="L198" t="str">
            <v>Sugar</v>
          </cell>
          <cell r="M198" t="str">
            <v>End User</v>
          </cell>
          <cell r="N198" t="str">
            <v>(9001 &amp; above)</v>
          </cell>
          <cell r="O198">
            <v>12500</v>
          </cell>
          <cell r="P198" t="str">
            <v>NI</v>
          </cell>
          <cell r="Q198" t="str">
            <v>AKSHAY AWASTHI</v>
          </cell>
          <cell r="S198" t="str">
            <v>https://maps.app.goo.gl/y9CQ3ZDaBSafXwBK8</v>
          </cell>
          <cell r="T198" t="str">
            <v>WESTERN</v>
          </cell>
          <cell r="U198" t="str">
            <v>25-26</v>
          </cell>
          <cell r="W198" t="str">
            <v>24-06-2025
30-11-2022
26-06-2022
22-06-2022
26-02-2022
04-08-2021</v>
          </cell>
        </row>
        <row r="199">
          <cell r="F199" t="str">
            <v>DAVA01D006</v>
          </cell>
          <cell r="G199" t="str">
            <v>DAVANGERE SUGAR COMPANY LTD.</v>
          </cell>
          <cell r="H199">
            <v>2013</v>
          </cell>
          <cell r="I199" t="str">
            <v>-</v>
          </cell>
          <cell r="J199" t="str">
            <v>Domestic</v>
          </cell>
          <cell r="K199" t="str">
            <v>Sugar</v>
          </cell>
          <cell r="L199" t="str">
            <v>Sugar</v>
          </cell>
          <cell r="M199" t="str">
            <v>End User</v>
          </cell>
          <cell r="N199" t="str">
            <v>(0-5000)</v>
          </cell>
          <cell r="O199" t="str">
            <v>5000
Distillery 120 KLPD</v>
          </cell>
          <cell r="P199" t="str">
            <v>AV</v>
          </cell>
          <cell r="Q199" t="str">
            <v>AV</v>
          </cell>
          <cell r="R199" t="str">
            <v>VG</v>
          </cell>
          <cell r="S199" t="str">
            <v>https://share.google/UOLuy7PZGjK4Ff4kv</v>
          </cell>
          <cell r="T199" t="str">
            <v>Bellary_Bidar - 1</v>
          </cell>
          <cell r="U199" t="str">
            <v>25-26</v>
          </cell>
          <cell r="W199" t="str">
            <v>16-06-2025
18-04-2024
03-06-2023
25-11-2022</v>
          </cell>
        </row>
        <row r="200">
          <cell r="F200" t="str">
            <v>SAHA01D007</v>
          </cell>
          <cell r="G200" t="str">
            <v>DAYA SUGAR</v>
          </cell>
          <cell r="H200" t="str">
            <v>22-23</v>
          </cell>
          <cell r="I200" t="str">
            <v>-</v>
          </cell>
          <cell r="J200" t="str">
            <v>Domestic</v>
          </cell>
          <cell r="K200" t="str">
            <v>Sugar</v>
          </cell>
          <cell r="L200" t="str">
            <v>Sugar</v>
          </cell>
          <cell r="M200" t="str">
            <v>End User</v>
          </cell>
          <cell r="N200" t="str">
            <v>(0-5000)</v>
          </cell>
          <cell r="O200">
            <v>5000</v>
          </cell>
          <cell r="P200" t="str">
            <v>NI</v>
          </cell>
          <cell r="Q200" t="str">
            <v>AVIRAL SHUKLA</v>
          </cell>
          <cell r="S200" t="str">
            <v>https://share.google/UB32bTtykLWJwKqKi</v>
          </cell>
          <cell r="T200" t="str">
            <v>-</v>
          </cell>
          <cell r="U200" t="str">
            <v>22-23</v>
          </cell>
          <cell r="W200" t="str">
            <v>27-02-2023
30-06-2021</v>
          </cell>
        </row>
        <row r="201">
          <cell r="F201" t="str">
            <v>KANP01D078</v>
          </cell>
          <cell r="G201" t="str">
            <v>DAZZLING INDIA</v>
          </cell>
          <cell r="H201" t="str">
            <v>21-22</v>
          </cell>
          <cell r="I201" t="str">
            <v>-</v>
          </cell>
          <cell r="J201" t="str">
            <v>Domestic</v>
          </cell>
          <cell r="K201" t="str">
            <v>Sugar</v>
          </cell>
          <cell r="L201" t="str">
            <v>Sugar</v>
          </cell>
          <cell r="M201" t="str">
            <v>OEM</v>
          </cell>
          <cell r="O201" t="str">
            <v>-</v>
          </cell>
          <cell r="P201" t="str">
            <v>NI</v>
          </cell>
          <cell r="Q201" t="str">
            <v>AKSHAY AWASTHI</v>
          </cell>
          <cell r="R201" t="str">
            <v>-</v>
          </cell>
          <cell r="S201" t="str">
            <v>NA</v>
          </cell>
          <cell r="T201" t="str">
            <v>-</v>
          </cell>
          <cell r="U201" t="str">
            <v>24-25</v>
          </cell>
          <cell r="W201">
            <v>45383</v>
          </cell>
        </row>
        <row r="202">
          <cell r="F202" t="str">
            <v>HRDO01D028</v>
          </cell>
          <cell r="G202" t="str">
            <v>DCM SHRIRAM LIMITED - LONI</v>
          </cell>
          <cell r="H202">
            <v>2014</v>
          </cell>
          <cell r="I202" t="str">
            <v>DCM Shriram group</v>
          </cell>
          <cell r="J202" t="str">
            <v>Domestic</v>
          </cell>
          <cell r="K202" t="str">
            <v>Distillery(Sugar)</v>
          </cell>
          <cell r="L202" t="str">
            <v>Sugar</v>
          </cell>
          <cell r="M202" t="str">
            <v>Group (Mills)</v>
          </cell>
          <cell r="N202" t="str">
            <v>(5001-9000)</v>
          </cell>
          <cell r="O202">
            <v>7500</v>
          </cell>
          <cell r="P202" t="str">
            <v>NI</v>
          </cell>
          <cell r="Q202" t="str">
            <v>AKSHAY AWASTHI</v>
          </cell>
          <cell r="S202" t="str">
            <v>https://maps.app.goo.gl/zHy7nU9zLRtuDx928</v>
          </cell>
          <cell r="T202" t="str">
            <v>CENTRAL - 2</v>
          </cell>
          <cell r="U202" t="str">
            <v>23-24</v>
          </cell>
          <cell r="W202">
            <v>45335</v>
          </cell>
        </row>
        <row r="203">
          <cell r="F203" t="str">
            <v>KHER01D026</v>
          </cell>
          <cell r="G203" t="str">
            <v>DCM SHRIRAM LIMITED (DSCL SUGAR) - AJBAPUR</v>
          </cell>
          <cell r="H203">
            <v>2013</v>
          </cell>
          <cell r="I203" t="str">
            <v>DCM Shriram group</v>
          </cell>
          <cell r="J203" t="str">
            <v>Domestic</v>
          </cell>
          <cell r="K203" t="str">
            <v>Sugar</v>
          </cell>
          <cell r="L203" t="str">
            <v>Sugar</v>
          </cell>
          <cell r="M203" t="str">
            <v>Group (Mills)</v>
          </cell>
          <cell r="N203" t="str">
            <v>(9001 &amp; above)</v>
          </cell>
          <cell r="O203">
            <v>13500</v>
          </cell>
          <cell r="P203" t="str">
            <v>NI</v>
          </cell>
          <cell r="Q203" t="str">
            <v>AKSHAY AWASTHI</v>
          </cell>
          <cell r="S203" t="str">
            <v>https://maps.app.goo.gl/GKsfh4KXiEKqdyHN7</v>
          </cell>
          <cell r="T203" t="str">
            <v>-</v>
          </cell>
          <cell r="U203" t="str">
            <v>23-24</v>
          </cell>
          <cell r="W203">
            <v>45337</v>
          </cell>
        </row>
        <row r="204">
          <cell r="F204" t="str">
            <v>HRDO01D029</v>
          </cell>
          <cell r="G204" t="str">
            <v>DCM SHRIRAM LIMITED (DSCL SUGAR) -RUPAPUR</v>
          </cell>
          <cell r="H204">
            <v>2013</v>
          </cell>
          <cell r="I204" t="str">
            <v>DCM Shriram group</v>
          </cell>
          <cell r="J204" t="str">
            <v>Domestic</v>
          </cell>
          <cell r="K204" t="str">
            <v>Sugar</v>
          </cell>
          <cell r="L204" t="str">
            <v>Sugar</v>
          </cell>
          <cell r="M204" t="str">
            <v>Group (Mills)</v>
          </cell>
          <cell r="N204" t="str">
            <v>(5001-9000)</v>
          </cell>
          <cell r="O204">
            <v>6500</v>
          </cell>
          <cell r="P204" t="str">
            <v>NI</v>
          </cell>
          <cell r="Q204" t="str">
            <v>AVIRAL SHUKLA</v>
          </cell>
          <cell r="R204" t="str">
            <v>AVIRAL SHUKLA</v>
          </cell>
          <cell r="S204" t="str">
            <v>https://maps.app.goo.gl/U5skPyKzymcuXPXj9</v>
          </cell>
          <cell r="T204" t="str">
            <v>CENTRAL-3</v>
          </cell>
          <cell r="U204" t="str">
            <v>25-26</v>
          </cell>
          <cell r="W204" t="str">
            <v>07-02-2026
17-05-2025
25-12-2023
29-02-2020
11-07-2018
29-06-2018
22-12-2017
12-08-2017
20-04-2017
12-10-2016
23-04-2016
21-02-2015
19-01-2015
04-01-2014
14-11-2013</v>
          </cell>
        </row>
        <row r="205">
          <cell r="F205" t="str">
            <v>HRDO01D069</v>
          </cell>
          <cell r="G205" t="str">
            <v>DCM SHRIRAM LIMITED (sugar unit ) - Hariawan</v>
          </cell>
          <cell r="H205" t="str">
            <v>19-20</v>
          </cell>
          <cell r="I205" t="str">
            <v>DCM Shriram group</v>
          </cell>
          <cell r="J205" t="str">
            <v>Domestic</v>
          </cell>
          <cell r="K205" t="str">
            <v>Sugar</v>
          </cell>
          <cell r="L205" t="str">
            <v>Sugar</v>
          </cell>
          <cell r="M205" t="str">
            <v>Group (Mills)</v>
          </cell>
          <cell r="N205" t="str">
            <v>(9001 &amp; above)</v>
          </cell>
          <cell r="O205">
            <v>13500</v>
          </cell>
          <cell r="P205" t="str">
            <v>NI</v>
          </cell>
          <cell r="Q205" t="str">
            <v>AVIRAL SHUKLA</v>
          </cell>
          <cell r="S205" t="str">
            <v>https://maps.app.goo.gl/zcoFQmkLooMUWRCv5</v>
          </cell>
          <cell r="T205" t="str">
            <v>CENTRAL - 2</v>
          </cell>
          <cell r="U205" t="str">
            <v>25-26</v>
          </cell>
          <cell r="W205" t="str">
            <v>28-10-2025
2/13/2024</v>
          </cell>
        </row>
        <row r="206">
          <cell r="F206" t="str">
            <v>ESGO01D118</v>
          </cell>
          <cell r="G206" t="str">
            <v>DECCAN FINE CHEMICALS ( INDIA ) PVT LTD</v>
          </cell>
          <cell r="H206" t="str">
            <v>-</v>
          </cell>
          <cell r="J206" t="str">
            <v>Domestic</v>
          </cell>
          <cell r="P206" t="str">
            <v>-</v>
          </cell>
          <cell r="Q206" t="str">
            <v>-</v>
          </cell>
        </row>
        <row r="207">
          <cell r="F207" t="str">
            <v>ANKL01D112</v>
          </cell>
          <cell r="G207" t="str">
            <v>DECCAN FINE CHEMICALS (INDIA )PVT LTD</v>
          </cell>
          <cell r="H207" t="str">
            <v>25-26</v>
          </cell>
          <cell r="I207" t="str">
            <v>-</v>
          </cell>
          <cell r="J207" t="str">
            <v>Domestic</v>
          </cell>
          <cell r="K207" t="str">
            <v>OTHERS</v>
          </cell>
          <cell r="L207" t="str">
            <v>Non-Sugar</v>
          </cell>
          <cell r="M207" t="str">
            <v>End User</v>
          </cell>
          <cell r="O207" t="str">
            <v>-</v>
          </cell>
          <cell r="P207" t="str">
            <v>NI</v>
          </cell>
          <cell r="Q207" t="str">
            <v>AKSHAY AWASTHI</v>
          </cell>
          <cell r="S207" t="str">
            <v>https://maps.app.goo.gl/zNmkN37GSjpk2Nn17</v>
          </cell>
          <cell r="U207" t="str">
            <v>25-26</v>
          </cell>
          <cell r="W207" t="str">
            <v>15-11-2025
6/6/2025(GS)</v>
          </cell>
        </row>
        <row r="208">
          <cell r="F208" t="str">
            <v>KOLH01D110</v>
          </cell>
          <cell r="G208" t="str">
            <v>DECCAN POLYMER</v>
          </cell>
          <cell r="H208" t="str">
            <v>24-25</v>
          </cell>
          <cell r="I208" t="str">
            <v>-</v>
          </cell>
          <cell r="J208" t="str">
            <v>Domestic</v>
          </cell>
          <cell r="K208" t="str">
            <v>PLASTIC</v>
          </cell>
          <cell r="L208" t="str">
            <v>Non-Sugar</v>
          </cell>
          <cell r="M208" t="str">
            <v>Trader</v>
          </cell>
          <cell r="N208" t="str">
            <v>-</v>
          </cell>
          <cell r="O208" t="str">
            <v>-</v>
          </cell>
          <cell r="P208" t="str">
            <v>AV</v>
          </cell>
          <cell r="Q208" t="str">
            <v>AV</v>
          </cell>
          <cell r="R208" t="str">
            <v>VG</v>
          </cell>
        </row>
        <row r="209">
          <cell r="F209" t="str">
            <v>PUNE01D088</v>
          </cell>
          <cell r="G209" t="str">
            <v>DECCAN SUGAR PVT. LTD.</v>
          </cell>
          <cell r="H209" t="str">
            <v>-</v>
          </cell>
          <cell r="I209" t="str">
            <v>-</v>
          </cell>
          <cell r="J209" t="str">
            <v>Domestic</v>
          </cell>
          <cell r="K209" t="str">
            <v>Sugar</v>
          </cell>
          <cell r="L209" t="str">
            <v>Sugar</v>
          </cell>
          <cell r="M209" t="str">
            <v>End User</v>
          </cell>
          <cell r="N209" t="str">
            <v>(0-5000)</v>
          </cell>
          <cell r="O209">
            <v>2500</v>
          </cell>
          <cell r="P209" t="str">
            <v>AV</v>
          </cell>
          <cell r="Q209" t="str">
            <v>AV</v>
          </cell>
          <cell r="R209" t="str">
            <v>PD</v>
          </cell>
          <cell r="S209" t="str">
            <v>https://share.google/RdO5DfOaYstOMs4wD</v>
          </cell>
          <cell r="T209" t="str">
            <v>Hingoli_Nanded- 1</v>
          </cell>
          <cell r="U209" t="str">
            <v>26-27</v>
          </cell>
          <cell r="V209" t="str">
            <v>Apr</v>
          </cell>
          <cell r="W209" t="str">
            <v>8-4-2026
6/28/2024</v>
          </cell>
        </row>
        <row r="210">
          <cell r="F210" t="str">
            <v>PUNE01D063</v>
          </cell>
          <cell r="G210" t="str">
            <v>DEEPAK ENGINEERS</v>
          </cell>
          <cell r="H210" t="str">
            <v>-</v>
          </cell>
          <cell r="I210" t="str">
            <v>-</v>
          </cell>
          <cell r="J210" t="str">
            <v>Domestic</v>
          </cell>
          <cell r="L210" t="str">
            <v>Non-Sugar</v>
          </cell>
          <cell r="M210" t="str">
            <v>Trader</v>
          </cell>
          <cell r="O210" t="str">
            <v>-</v>
          </cell>
          <cell r="P210" t="str">
            <v>WI-SV</v>
          </cell>
          <cell r="Q210" t="str">
            <v>SUDHIR</v>
          </cell>
          <cell r="R210" t="str">
            <v>-</v>
          </cell>
          <cell r="S210" t="str">
            <v>NA</v>
          </cell>
        </row>
        <row r="211">
          <cell r="F211" t="str">
            <v>JASP01D107</v>
          </cell>
          <cell r="G211" t="str">
            <v>DEV KHAND CANE AGRO</v>
          </cell>
          <cell r="H211" t="str">
            <v>24-25</v>
          </cell>
          <cell r="I211" t="str">
            <v>-</v>
          </cell>
          <cell r="J211" t="str">
            <v>Domestic</v>
          </cell>
          <cell r="K211" t="str">
            <v>Sugar</v>
          </cell>
          <cell r="L211" t="str">
            <v>Sugar</v>
          </cell>
          <cell r="M211" t="str">
            <v>End User</v>
          </cell>
          <cell r="N211" t="str">
            <v>(0-5000)</v>
          </cell>
          <cell r="O211">
            <v>3000</v>
          </cell>
          <cell r="P211" t="str">
            <v>NI</v>
          </cell>
          <cell r="Q211" t="str">
            <v>AMIT SRIVASTAVA</v>
          </cell>
          <cell r="S211" t="str">
            <v>NA</v>
          </cell>
        </row>
        <row r="212">
          <cell r="F212" t="str">
            <v>UDAM01D109</v>
          </cell>
          <cell r="G212" t="str">
            <v>DEVKHAND CANE AGRO</v>
          </cell>
          <cell r="H212" t="str">
            <v>-</v>
          </cell>
          <cell r="J212" t="str">
            <v>Domestic</v>
          </cell>
          <cell r="M212" t="str">
            <v>End User</v>
          </cell>
          <cell r="P212" t="str">
            <v>HO</v>
          </cell>
          <cell r="Q212" t="str">
            <v>AMIT SRIVASTAVA</v>
          </cell>
        </row>
        <row r="213">
          <cell r="F213" t="str">
            <v>UDAM01H097</v>
          </cell>
          <cell r="G213" t="str">
            <v>DEVKHAND CANE AGRO (HYDROCHEM SPECIALITIES CHEMICALS)</v>
          </cell>
          <cell r="H213" t="str">
            <v>25-26</v>
          </cell>
          <cell r="I213" t="str">
            <v>-</v>
          </cell>
          <cell r="J213" t="str">
            <v>Domestic</v>
          </cell>
          <cell r="K213" t="str">
            <v>OTHERS</v>
          </cell>
          <cell r="L213" t="str">
            <v>Non-Sugar</v>
          </cell>
          <cell r="M213" t="str">
            <v>End User</v>
          </cell>
          <cell r="O213" t="str">
            <v>-</v>
          </cell>
          <cell r="P213" t="str">
            <v>NI</v>
          </cell>
          <cell r="Q213" t="str">
            <v>AMIT SRIVASTAVA</v>
          </cell>
          <cell r="S213" t="str">
            <v>https://share.google/HtTAGix1Wu3ijmrup</v>
          </cell>
        </row>
        <row r="214">
          <cell r="F214" t="str">
            <v>MORA01D011</v>
          </cell>
          <cell r="G214" t="str">
            <v>DEWAN SUGARS LIMITED</v>
          </cell>
          <cell r="H214">
            <v>2018</v>
          </cell>
          <cell r="I214" t="str">
            <v>-</v>
          </cell>
          <cell r="J214" t="str">
            <v>Domestic</v>
          </cell>
          <cell r="K214" t="str">
            <v>Sugar</v>
          </cell>
          <cell r="L214" t="str">
            <v>Sugar</v>
          </cell>
          <cell r="M214" t="str">
            <v>End User</v>
          </cell>
          <cell r="N214" t="str">
            <v>(5001-9000)</v>
          </cell>
          <cell r="O214">
            <v>10000</v>
          </cell>
          <cell r="P214" t="str">
            <v>NI</v>
          </cell>
          <cell r="Q214" t="str">
            <v>AVIRAL SHUKLA</v>
          </cell>
          <cell r="S214" t="str">
            <v>https://maps.app.goo.gl/vUxB5dd7p83SWAjm6</v>
          </cell>
          <cell r="T214" t="str">
            <v>CENTRAL</v>
          </cell>
          <cell r="U214" t="str">
            <v>25-26</v>
          </cell>
          <cell r="W214" t="str">
            <v>05-02-2026
16-05-2025
17-01-2025</v>
          </cell>
        </row>
        <row r="215">
          <cell r="F215" t="str">
            <v>MORA01D082</v>
          </cell>
          <cell r="G215" t="str">
            <v>DHAMPUR BIO ORGANICS LIMITED (MANSURPUR)</v>
          </cell>
          <cell r="H215" t="str">
            <v>21-22</v>
          </cell>
          <cell r="I215" t="str">
            <v>DBO Group</v>
          </cell>
          <cell r="J215" t="str">
            <v>Domestic</v>
          </cell>
          <cell r="K215" t="str">
            <v>Sugar</v>
          </cell>
          <cell r="L215" t="str">
            <v>Sugar</v>
          </cell>
          <cell r="M215" t="str">
            <v>Group (Mills)</v>
          </cell>
          <cell r="N215" t="str">
            <v>(5001-9000)</v>
          </cell>
          <cell r="O215">
            <v>9000</v>
          </cell>
          <cell r="P215" t="str">
            <v>NI</v>
          </cell>
          <cell r="Q215" t="str">
            <v>AVIRAL SHUKLA</v>
          </cell>
          <cell r="S215" t="str">
            <v>https://share.google/bEWq093IdrFavWfuA</v>
          </cell>
          <cell r="T215" t="str">
            <v>WESTREN -1</v>
          </cell>
          <cell r="U215" t="str">
            <v>25-26</v>
          </cell>
          <cell r="W215" t="str">
            <v>30-10-2025
11-07-2025
29-05-2024
02-03-2024
25-05-2023
01-02-2023</v>
          </cell>
        </row>
        <row r="216">
          <cell r="F216" t="str">
            <v>DLHI01D083</v>
          </cell>
          <cell r="G216" t="str">
            <v>DHAMPUR BIO ORGANICS LIMITED(Head office)</v>
          </cell>
          <cell r="H216" t="str">
            <v>-</v>
          </cell>
          <cell r="I216" t="str">
            <v>DBO Group</v>
          </cell>
          <cell r="J216" t="str">
            <v>Domestic</v>
          </cell>
          <cell r="K216" t="str">
            <v>Sugar</v>
          </cell>
          <cell r="L216" t="str">
            <v>Sugar</v>
          </cell>
          <cell r="M216" t="str">
            <v>Group (Mills)</v>
          </cell>
          <cell r="O216" t="str">
            <v>-</v>
          </cell>
          <cell r="P216" t="str">
            <v>NI</v>
          </cell>
          <cell r="Q216" t="str">
            <v>AVIRAL SHUKLA</v>
          </cell>
          <cell r="S216" t="str">
            <v>https://share.google/3s6x9pkpDAVEthgJi</v>
          </cell>
          <cell r="T216" t="str">
            <v>-</v>
          </cell>
          <cell r="U216" t="str">
            <v>26-27</v>
          </cell>
          <cell r="V216" t="str">
            <v>Apr</v>
          </cell>
          <cell r="W216" t="str">
            <v>14-4-2026
04-09-2024</v>
          </cell>
        </row>
        <row r="217">
          <cell r="F217" t="str">
            <v>MORA01D081</v>
          </cell>
          <cell r="G217" t="str">
            <v>DHAMPUR BIO ORGANICS LTD - UNIT ASMOLI</v>
          </cell>
          <cell r="H217">
            <v>2013</v>
          </cell>
          <cell r="I217" t="str">
            <v>DBO Group</v>
          </cell>
          <cell r="J217" t="str">
            <v>Domestic</v>
          </cell>
          <cell r="K217" t="str">
            <v>Sugar</v>
          </cell>
          <cell r="L217" t="str">
            <v>Sugar</v>
          </cell>
          <cell r="M217" t="str">
            <v>Group (Mills)</v>
          </cell>
          <cell r="N217" t="str">
            <v>(9001 &amp; above)</v>
          </cell>
          <cell r="O217">
            <v>10000</v>
          </cell>
          <cell r="P217" t="str">
            <v>NI</v>
          </cell>
          <cell r="Q217" t="str">
            <v>AVIRAL SHUKLA</v>
          </cell>
          <cell r="S217" t="str">
            <v>https://maps.app.goo.gl/meHes5XXzXfmkdML6</v>
          </cell>
          <cell r="T217" t="str">
            <v>CENTRAL + U.K</v>
          </cell>
          <cell r="U217" t="str">
            <v>25-26</v>
          </cell>
          <cell r="W217" t="str">
            <v>3-2-2026
16-05-2025
17-01-2025
25-05-2024</v>
          </cell>
        </row>
        <row r="218">
          <cell r="F218" t="str">
            <v>BARL01D079</v>
          </cell>
          <cell r="G218" t="str">
            <v>DHAMPUR BIO ORGANICS LTD UNIT - MEERGANJ</v>
          </cell>
          <cell r="H218" t="str">
            <v>21-22</v>
          </cell>
          <cell r="I218" t="str">
            <v>DBO Group</v>
          </cell>
          <cell r="J218" t="str">
            <v>Domestic</v>
          </cell>
          <cell r="K218" t="str">
            <v>Sugar</v>
          </cell>
          <cell r="L218" t="str">
            <v>Sugar</v>
          </cell>
          <cell r="M218" t="str">
            <v>Group (Mills)</v>
          </cell>
          <cell r="N218" t="str">
            <v>(5001-9000)</v>
          </cell>
          <cell r="O218">
            <v>6500</v>
          </cell>
          <cell r="P218" t="str">
            <v>NI</v>
          </cell>
          <cell r="Q218" t="str">
            <v>AVIRAL SHUKLA</v>
          </cell>
          <cell r="S218" t="str">
            <v>https://share.google/rNLu0XftdJDssggm1</v>
          </cell>
          <cell r="T218" t="str">
            <v>-</v>
          </cell>
          <cell r="U218" t="str">
            <v>25-26</v>
          </cell>
          <cell r="W218" t="str">
            <v>5-2-2026
17-05-2025
18-01-2025
5/22/2024</v>
          </cell>
        </row>
        <row r="219">
          <cell r="F219" t="str">
            <v>BIJN01D038</v>
          </cell>
          <cell r="G219" t="str">
            <v>DHAMPUR SUGAR MILLS LIMITED (DHAMPUR) (BIJNOR)</v>
          </cell>
          <cell r="H219">
            <v>2013</v>
          </cell>
          <cell r="I219" t="str">
            <v>DBO Group</v>
          </cell>
          <cell r="J219" t="str">
            <v>Domestic</v>
          </cell>
          <cell r="K219" t="str">
            <v>Sugar</v>
          </cell>
          <cell r="L219" t="str">
            <v>Sugar</v>
          </cell>
          <cell r="M219" t="str">
            <v>Group (Mills)</v>
          </cell>
          <cell r="N219" t="str">
            <v>(9001 &amp; above)</v>
          </cell>
          <cell r="O219">
            <v>14000</v>
          </cell>
          <cell r="P219" t="str">
            <v>NI</v>
          </cell>
          <cell r="Q219" t="str">
            <v>HIMANSHU KUSHWAHA</v>
          </cell>
          <cell r="S219" t="str">
            <v>https://maps.app.goo.gl/7xY5hYGnsphYq2ws8</v>
          </cell>
          <cell r="T219" t="str">
            <v>WESTREN -2</v>
          </cell>
          <cell r="U219" t="str">
            <v>25-26</v>
          </cell>
          <cell r="W219" t="str">
            <v>20-02-2026
21-08-2025
21-03-2025
02-02-2025
22-07-2024
15-02-2024
30-06-2022</v>
          </cell>
        </row>
        <row r="220">
          <cell r="F220" t="str">
            <v>BADA01D033</v>
          </cell>
          <cell r="G220" t="str">
            <v>DHAMPUR SUGAR MILLS LTD Badaun (RAJPURA)</v>
          </cell>
          <cell r="H220">
            <v>2013</v>
          </cell>
          <cell r="I220" t="str">
            <v>DBO Group</v>
          </cell>
          <cell r="J220" t="str">
            <v>Domestic</v>
          </cell>
          <cell r="K220" t="str">
            <v>Sugar</v>
          </cell>
          <cell r="L220" t="str">
            <v>Sugar</v>
          </cell>
          <cell r="M220" t="str">
            <v>Group (Mills)</v>
          </cell>
          <cell r="N220" t="str">
            <v>(5001-9000)</v>
          </cell>
          <cell r="O220">
            <v>9000</v>
          </cell>
          <cell r="P220" t="str">
            <v>NI</v>
          </cell>
          <cell r="Q220" t="str">
            <v>HIMANSHU KUSHWAHA</v>
          </cell>
          <cell r="S220" t="str">
            <v>https://maps.app.goo.gl/BucWW8HrPCmtUHH5A</v>
          </cell>
          <cell r="T220" t="str">
            <v>WESTERN</v>
          </cell>
          <cell r="U220" t="str">
            <v>25-26</v>
          </cell>
          <cell r="V220" t="str">
            <v>Feb</v>
          </cell>
          <cell r="W220" t="str">
            <v>26-02-2026
28-08-2025
04-03-2025
21-09-2024
22-12-2023
08-08-2022
15-09-2021</v>
          </cell>
        </row>
        <row r="221">
          <cell r="F221" t="str">
            <v>PERA01D012</v>
          </cell>
          <cell r="G221" t="str">
            <v>DHANALAKSHMI SRINIVASAN SUGARS PVT. LTD (VV Sugars)</v>
          </cell>
          <cell r="H221">
            <v>2013</v>
          </cell>
          <cell r="I221" t="str">
            <v>-</v>
          </cell>
          <cell r="J221" t="str">
            <v>Domestic</v>
          </cell>
          <cell r="K221" t="str">
            <v>Sugar</v>
          </cell>
          <cell r="L221" t="str">
            <v>Sugar</v>
          </cell>
          <cell r="M221" t="str">
            <v>End User</v>
          </cell>
          <cell r="N221" t="str">
            <v>(0-5000)</v>
          </cell>
          <cell r="O221">
            <v>3500</v>
          </cell>
          <cell r="P221" t="str">
            <v>SI-GS</v>
          </cell>
          <cell r="Q221" t="str">
            <v>SI-GS</v>
          </cell>
          <cell r="S221" t="str">
            <v>https://share.google/37rZaYltMBrSPZ5Yt.</v>
          </cell>
          <cell r="W221">
            <v>45191</v>
          </cell>
        </row>
        <row r="222">
          <cell r="F222" t="str">
            <v>MUMB01D106</v>
          </cell>
          <cell r="G222" t="str">
            <v>DHANVIR INDUSTRIES PVT LTD</v>
          </cell>
          <cell r="H222" t="str">
            <v>-</v>
          </cell>
          <cell r="J222" t="str">
            <v>Domestic</v>
          </cell>
          <cell r="L222" t="str">
            <v>Non-Sugar</v>
          </cell>
          <cell r="M222" t="str">
            <v>OEM</v>
          </cell>
          <cell r="P222" t="str">
            <v>HO</v>
          </cell>
          <cell r="Q222" t="str">
            <v>-</v>
          </cell>
        </row>
        <row r="223">
          <cell r="F223" t="str">
            <v>TIRV01D013</v>
          </cell>
          <cell r="G223" t="str">
            <v>DHARANI SUGARS AND CHEMICALS LIMITED - POLUR</v>
          </cell>
          <cell r="H223">
            <v>2013</v>
          </cell>
          <cell r="I223" t="str">
            <v>-</v>
          </cell>
          <cell r="J223" t="str">
            <v>Domestic</v>
          </cell>
          <cell r="K223" t="str">
            <v>Sugar</v>
          </cell>
          <cell r="L223" t="str">
            <v>Sugar</v>
          </cell>
          <cell r="M223" t="str">
            <v>End User</v>
          </cell>
          <cell r="N223" t="str">
            <v>(0-5000)</v>
          </cell>
          <cell r="O223">
            <v>4000</v>
          </cell>
          <cell r="P223" t="str">
            <v>SI-GS</v>
          </cell>
          <cell r="Q223" t="str">
            <v>SI-GS</v>
          </cell>
          <cell r="S223" t="str">
            <v>https://share.google/TSfVtjRj3xi78UeFs</v>
          </cell>
          <cell r="U223" t="str">
            <v>25-26</v>
          </cell>
          <cell r="W223">
            <v>45841</v>
          </cell>
        </row>
        <row r="224">
          <cell r="F224" t="str">
            <v>OSMA01D016</v>
          </cell>
          <cell r="G224" t="str">
            <v>DHARASHIV SAKHAR KARKHANA LTD.</v>
          </cell>
          <cell r="H224">
            <v>2017</v>
          </cell>
          <cell r="I224" t="str">
            <v>-</v>
          </cell>
          <cell r="J224" t="str">
            <v>Domestic</v>
          </cell>
          <cell r="K224" t="str">
            <v>Sugar</v>
          </cell>
          <cell r="L224" t="str">
            <v>Sugar</v>
          </cell>
          <cell r="M224" t="str">
            <v>End User</v>
          </cell>
          <cell r="N224" t="str">
            <v>(0-5000)</v>
          </cell>
          <cell r="O224">
            <v>2000</v>
          </cell>
          <cell r="P224" t="str">
            <v>AV</v>
          </cell>
          <cell r="Q224" t="str">
            <v>AV</v>
          </cell>
          <cell r="R224" t="str">
            <v>PD</v>
          </cell>
          <cell r="S224" t="str">
            <v>https://maps.app.goo.gl/Pj8VLU2gyK4Lw9RCA</v>
          </cell>
          <cell r="T224" t="str">
            <v>Dharashiv - 1</v>
          </cell>
          <cell r="U224" t="str">
            <v>25-26</v>
          </cell>
          <cell r="W224" t="str">
            <v>24-01-2026
4/23/2024</v>
          </cell>
        </row>
        <row r="225">
          <cell r="F225" t="str">
            <v>SOLP01D075</v>
          </cell>
          <cell r="G225" t="str">
            <v>DHARASHIV SAKHAR KARKHANA LTD.- SANCHALIT(Unit 4)(Operated by SANGOLA Taluka SSK L)</v>
          </cell>
          <cell r="H225">
            <v>2021</v>
          </cell>
          <cell r="I225" t="str">
            <v>-</v>
          </cell>
          <cell r="J225" t="str">
            <v>Domestic</v>
          </cell>
          <cell r="K225" t="str">
            <v>Sugar</v>
          </cell>
          <cell r="L225" t="str">
            <v>Sugar</v>
          </cell>
          <cell r="M225" t="str">
            <v>End User</v>
          </cell>
          <cell r="N225" t="str">
            <v>(0-5000)</v>
          </cell>
          <cell r="O225">
            <v>2500</v>
          </cell>
          <cell r="P225" t="str">
            <v>AV</v>
          </cell>
          <cell r="Q225" t="str">
            <v>AV</v>
          </cell>
          <cell r="R225" t="str">
            <v>PD</v>
          </cell>
          <cell r="S225" t="str">
            <v>https://maps.app.goo.gl/vAcHHSu6FiaFieuF6</v>
          </cell>
          <cell r="T225" t="str">
            <v>Solapur - 2</v>
          </cell>
          <cell r="U225" t="str">
            <v>26-27</v>
          </cell>
          <cell r="V225" t="str">
            <v>May</v>
          </cell>
          <cell r="W225" t="str">
            <v>28.05.2026</v>
          </cell>
        </row>
        <row r="226">
          <cell r="F226" t="str">
            <v>PUNE01D060</v>
          </cell>
          <cell r="G226" t="str">
            <v>DHAVAL DISTIL EVAP PRIVATE LIMITED (interis)</v>
          </cell>
          <cell r="H226" t="str">
            <v>22-23</v>
          </cell>
          <cell r="J226" t="str">
            <v>Domestic</v>
          </cell>
          <cell r="K226" t="str">
            <v>Sugar</v>
          </cell>
          <cell r="L226" t="str">
            <v>Sugar</v>
          </cell>
          <cell r="M226" t="str">
            <v>OEM</v>
          </cell>
          <cell r="O226" t="str">
            <v>-</v>
          </cell>
          <cell r="P226" t="str">
            <v>AV</v>
          </cell>
          <cell r="Q226" t="str">
            <v>AV</v>
          </cell>
          <cell r="R226" t="str">
            <v>OEM</v>
          </cell>
          <cell r="T226" t="str">
            <v>-</v>
          </cell>
          <cell r="W226" t="str">
            <v>-</v>
          </cell>
        </row>
        <row r="227">
          <cell r="F227" t="str">
            <v>DLHI01D018</v>
          </cell>
          <cell r="G227" t="str">
            <v>DIFTECH TECHNOLOGIES PVT. LTD.</v>
          </cell>
          <cell r="H227">
            <v>2016</v>
          </cell>
          <cell r="I227" t="str">
            <v>-</v>
          </cell>
          <cell r="J227" t="str">
            <v>Domestic</v>
          </cell>
          <cell r="K227" t="str">
            <v>Sugar</v>
          </cell>
          <cell r="L227" t="str">
            <v>Sugar</v>
          </cell>
          <cell r="M227" t="str">
            <v>OEM</v>
          </cell>
          <cell r="O227" t="str">
            <v>-</v>
          </cell>
          <cell r="P227" t="str">
            <v>NI</v>
          </cell>
          <cell r="Q227" t="str">
            <v>AKSHAY AWASTHI</v>
          </cell>
          <cell r="S227" t="str">
            <v>https://share.google/1TaGgpR4Mhn07Vk5f</v>
          </cell>
          <cell r="T227" t="str">
            <v>Delhi tour</v>
          </cell>
          <cell r="U227" t="str">
            <v>26-27</v>
          </cell>
          <cell r="V227" t="str">
            <v>Apr</v>
          </cell>
          <cell r="W227" t="str">
            <v>14-4-2026
14-10-2025</v>
          </cell>
        </row>
        <row r="228">
          <cell r="F228" t="str">
            <v>MUMB01D122</v>
          </cell>
          <cell r="G228" t="str">
            <v>DISTI CHEMI PROCESS ENGINEERING PVT LTD</v>
          </cell>
          <cell r="H228" t="str">
            <v>-</v>
          </cell>
          <cell r="J228" t="str">
            <v>Domestic</v>
          </cell>
          <cell r="P228" t="str">
            <v>HO</v>
          </cell>
          <cell r="Q228" t="str">
            <v>-</v>
          </cell>
        </row>
        <row r="229">
          <cell r="F229" t="str">
            <v>DEDH01D020</v>
          </cell>
          <cell r="G229" t="str">
            <v>DOIWALA SUGAR COMPANY LTD.</v>
          </cell>
          <cell r="H229">
            <v>2018</v>
          </cell>
          <cell r="I229" t="str">
            <v>-</v>
          </cell>
          <cell r="J229" t="str">
            <v>Domestic</v>
          </cell>
          <cell r="K229" t="str">
            <v>Sugar</v>
          </cell>
          <cell r="L229" t="str">
            <v>Sugar</v>
          </cell>
          <cell r="M229" t="str">
            <v>End User</v>
          </cell>
          <cell r="N229" t="str">
            <v>(0-5000)</v>
          </cell>
          <cell r="O229">
            <v>2500</v>
          </cell>
          <cell r="P229" t="str">
            <v>NI</v>
          </cell>
          <cell r="Q229" t="str">
            <v>AKSHAY AWASTHI</v>
          </cell>
          <cell r="S229" t="str">
            <v>https://share.google/JHT98xCwLIMwHhQPl</v>
          </cell>
          <cell r="T229" t="str">
            <v>UTTRAKHNAD</v>
          </cell>
          <cell r="U229" t="str">
            <v>21-22</v>
          </cell>
          <cell r="W229" t="str">
            <v>28-06-2021</v>
          </cell>
        </row>
        <row r="230">
          <cell r="F230" t="str">
            <v>GWAL01D087</v>
          </cell>
          <cell r="G230" t="str">
            <v>DOLLEX AGROTECH (PROJEXCEL)</v>
          </cell>
          <cell r="H230" t="str">
            <v>24-25</v>
          </cell>
          <cell r="I230" t="str">
            <v>-</v>
          </cell>
          <cell r="J230" t="str">
            <v>Domestic</v>
          </cell>
          <cell r="K230" t="str">
            <v>Distillery(Sugar)</v>
          </cell>
          <cell r="L230" t="str">
            <v>Non-Sugar</v>
          </cell>
          <cell r="M230" t="str">
            <v>End User</v>
          </cell>
          <cell r="O230" t="str">
            <v>-</v>
          </cell>
          <cell r="P230" t="str">
            <v>NI</v>
          </cell>
          <cell r="Q230" t="str">
            <v>AVIRAL SHUKLA</v>
          </cell>
          <cell r="S230" t="str">
            <v>https://share.google/dGvtV5jAlwNwpvaPZ</v>
          </cell>
          <cell r="T230" t="str">
            <v>-</v>
          </cell>
          <cell r="U230" t="str">
            <v>24-25</v>
          </cell>
          <cell r="W230" t="str">
            <v>07-08-2024
23-04-2024</v>
          </cell>
        </row>
        <row r="231">
          <cell r="F231" t="str">
            <v>OSMA01D076</v>
          </cell>
          <cell r="G231" t="str">
            <v>DR. BABASAHEB AMBEDKAR SSK LTD.</v>
          </cell>
          <cell r="H231">
            <v>2022</v>
          </cell>
          <cell r="I231" t="str">
            <v>-</v>
          </cell>
          <cell r="J231" t="str">
            <v>Domestic</v>
          </cell>
          <cell r="K231" t="str">
            <v>Sugar</v>
          </cell>
          <cell r="L231" t="str">
            <v>Sugar</v>
          </cell>
          <cell r="M231" t="str">
            <v>End User</v>
          </cell>
          <cell r="N231" t="str">
            <v>(0-5000)</v>
          </cell>
          <cell r="O231" t="str">
            <v>5000
Distillery 60 KLPD</v>
          </cell>
          <cell r="P231" t="str">
            <v>AV</v>
          </cell>
          <cell r="Q231" t="str">
            <v>AV</v>
          </cell>
          <cell r="R231" t="str">
            <v>PD</v>
          </cell>
          <cell r="S231" t="str">
            <v>https://share.google/gEXohhiVXC8GHpPSo</v>
          </cell>
          <cell r="T231" t="str">
            <v>Dharashiv - 1</v>
          </cell>
          <cell r="U231" t="str">
            <v>25-26</v>
          </cell>
          <cell r="W231" t="str">
            <v>22-1-2026
6/7/2023</v>
          </cell>
        </row>
        <row r="232">
          <cell r="F232" t="str">
            <v>SANG01S082</v>
          </cell>
          <cell r="G232" t="str">
            <v>DR. PATANGRAO KADAM SONHIRA SAHAKARI SAKHAR KARKHANA LTD</v>
          </cell>
          <cell r="H232">
            <v>2013</v>
          </cell>
          <cell r="I232" t="str">
            <v>SONHIRA GROUP (Owner same)</v>
          </cell>
          <cell r="J232" t="str">
            <v>Domestic</v>
          </cell>
          <cell r="K232" t="str">
            <v>Sugar</v>
          </cell>
          <cell r="L232" t="str">
            <v>Sugar</v>
          </cell>
          <cell r="M232" t="str">
            <v>Group (Mills)</v>
          </cell>
          <cell r="N232" t="str">
            <v>(5001-9000)</v>
          </cell>
          <cell r="O232" t="str">
            <v>Sugar 7000 
Distillery 60 KLPD</v>
          </cell>
          <cell r="P232" t="str">
            <v>MRK</v>
          </cell>
          <cell r="Q232" t="str">
            <v>MRK</v>
          </cell>
          <cell r="R232" t="str">
            <v>VG</v>
          </cell>
          <cell r="S232" t="str">
            <v>https://maps.app.goo.gl/Src91oboch3FuVy4A</v>
          </cell>
          <cell r="T232" t="str">
            <v>Sangli - 1</v>
          </cell>
          <cell r="U232" t="str">
            <v>26-27</v>
          </cell>
          <cell r="V232" t="str">
            <v>Apr</v>
          </cell>
          <cell r="W232" t="str">
            <v>24-4-2026
05-03-2026
20-05-2024
23-12-2022</v>
          </cell>
        </row>
        <row r="233">
          <cell r="F233" t="str">
            <v>NAND01D089</v>
          </cell>
          <cell r="G233" t="str">
            <v>DR. SHANKARRAO CHAVAN JAGGERY AND AGRO</v>
          </cell>
          <cell r="H233" t="str">
            <v>22-23</v>
          </cell>
          <cell r="I233" t="str">
            <v>-</v>
          </cell>
          <cell r="J233" t="str">
            <v>Domestic</v>
          </cell>
          <cell r="K233" t="str">
            <v>Sugar</v>
          </cell>
          <cell r="L233" t="str">
            <v>Sugar</v>
          </cell>
          <cell r="M233" t="str">
            <v>End User</v>
          </cell>
          <cell r="N233" t="str">
            <v>(0-5000)</v>
          </cell>
          <cell r="O233">
            <v>1500</v>
          </cell>
          <cell r="P233" t="str">
            <v>AV</v>
          </cell>
          <cell r="Q233" t="str">
            <v>AV</v>
          </cell>
          <cell r="R233" t="str">
            <v>PD</v>
          </cell>
          <cell r="S233" t="str">
            <v>https://share.google/EyLoEHjeiLUfMiqs5</v>
          </cell>
          <cell r="T233" t="str">
            <v>Hingoli_Nanded- 1</v>
          </cell>
          <cell r="U233" t="str">
            <v>26-27</v>
          </cell>
          <cell r="V233" t="str">
            <v>Apr</v>
          </cell>
          <cell r="W233" t="str">
            <v>9-4-2026
11/23/2023</v>
          </cell>
        </row>
        <row r="234">
          <cell r="F234" t="str">
            <v>AHMD01D025</v>
          </cell>
          <cell r="G234" t="str">
            <v>DR.BABURAO BAPUJI TANPURE SAHAKARI SAKHAR KARKHANA LTD.</v>
          </cell>
          <cell r="H234">
            <v>2018</v>
          </cell>
          <cell r="J234" t="str">
            <v>Domestic</v>
          </cell>
          <cell r="K234" t="str">
            <v>Sugar</v>
          </cell>
          <cell r="L234" t="str">
            <v>Sugar</v>
          </cell>
          <cell r="M234" t="str">
            <v>End User</v>
          </cell>
          <cell r="O234">
            <v>4250</v>
          </cell>
          <cell r="P234" t="str">
            <v>AV</v>
          </cell>
          <cell r="Q234" t="str">
            <v>AV</v>
          </cell>
          <cell r="R234" t="str">
            <v>PD</v>
          </cell>
          <cell r="T234" t="str">
            <v>VISIT NOT REQUIRED</v>
          </cell>
          <cell r="U234" t="str">
            <v>25-26</v>
          </cell>
          <cell r="W234" t="str">
            <v>19-11-2025</v>
          </cell>
        </row>
        <row r="235">
          <cell r="F235" t="str">
            <v>BARL01D061</v>
          </cell>
          <cell r="G235" t="str">
            <v>DWARIKESH SUAGR INDUSTRIES LIMITED (Dwarikesh Dham)</v>
          </cell>
          <cell r="H235">
            <v>2017</v>
          </cell>
          <cell r="I235" t="str">
            <v>DWARIKESH Group</v>
          </cell>
          <cell r="J235" t="str">
            <v>Domestic</v>
          </cell>
          <cell r="K235" t="str">
            <v>Sugar</v>
          </cell>
          <cell r="L235" t="str">
            <v>Sugar</v>
          </cell>
          <cell r="M235" t="str">
            <v>Group (Mills)</v>
          </cell>
          <cell r="N235" t="str">
            <v>(5001-9000)</v>
          </cell>
          <cell r="O235">
            <v>7500</v>
          </cell>
          <cell r="P235" t="str">
            <v>NI</v>
          </cell>
          <cell r="Q235" t="str">
            <v>HIMANSHU KUSHWAHA</v>
          </cell>
          <cell r="S235" t="str">
            <v>https://share.google/ockTl10llN0P7gnjp</v>
          </cell>
          <cell r="T235" t="str">
            <v>CENTRAL - 4</v>
          </cell>
          <cell r="U235" t="str">
            <v>25-26</v>
          </cell>
          <cell r="W235" t="str">
            <v>6.12.2025
28-05-2024
28-12-2023</v>
          </cell>
        </row>
        <row r="236">
          <cell r="F236" t="str">
            <v>BIJN01D034</v>
          </cell>
          <cell r="G236" t="str">
            <v>DWARIKESH SUGAR INDS. LTD. - (AFZALGARH)</v>
          </cell>
          <cell r="H236">
            <v>2013</v>
          </cell>
          <cell r="I236" t="str">
            <v>DWARIKESH Group</v>
          </cell>
          <cell r="J236" t="str">
            <v>Domestic</v>
          </cell>
          <cell r="K236" t="str">
            <v>Sugar</v>
          </cell>
          <cell r="L236" t="str">
            <v>Sugar</v>
          </cell>
          <cell r="M236" t="str">
            <v>Group (Mills)</v>
          </cell>
          <cell r="N236" t="str">
            <v>(5001-9000)</v>
          </cell>
          <cell r="O236">
            <v>6000</v>
          </cell>
          <cell r="P236" t="str">
            <v>NI</v>
          </cell>
          <cell r="Q236" t="str">
            <v>HIMANSHU KUSHWAHA</v>
          </cell>
          <cell r="R236" t="str">
            <v>HIMANSHU KUSHWAHA</v>
          </cell>
          <cell r="S236" t="str">
            <v>https://maps.app.goo.gl/MpgfmPSbiMbxuR45A</v>
          </cell>
          <cell r="T236" t="str">
            <v>WESTERN</v>
          </cell>
          <cell r="U236" t="str">
            <v>25-26</v>
          </cell>
          <cell r="W236" t="str">
            <v>23.05.2026(New Delhi)
20-02-2026
21-08-2025
24-07-2024
17-02-2024
18-06-2023
01-07-2022</v>
          </cell>
        </row>
        <row r="237">
          <cell r="F237" t="str">
            <v>BIJN01D035</v>
          </cell>
          <cell r="G237" t="str">
            <v>DWARIKESH SUGAR INDUSTRIES LTD- DWA - Dwarikesh Nagar - Bijnor (BUNDAKI)</v>
          </cell>
          <cell r="H237">
            <v>2013</v>
          </cell>
          <cell r="I237" t="str">
            <v>DWARIKESH Group</v>
          </cell>
          <cell r="J237" t="str">
            <v>Domestic</v>
          </cell>
          <cell r="K237" t="str">
            <v>Sugar</v>
          </cell>
          <cell r="L237" t="str">
            <v>Sugar</v>
          </cell>
          <cell r="M237" t="str">
            <v>Group (Mills)</v>
          </cell>
          <cell r="N237" t="str">
            <v>(5001-9000)</v>
          </cell>
          <cell r="O237">
            <v>7000</v>
          </cell>
          <cell r="P237" t="str">
            <v>NI</v>
          </cell>
          <cell r="Q237" t="str">
            <v>HIMANSHU KUSHWAHA</v>
          </cell>
          <cell r="S237" t="str">
            <v>https://maps.app.goo.gl/vTRbA9kYN4th2MFs6</v>
          </cell>
          <cell r="T237" t="str">
            <v>WESTERN</v>
          </cell>
          <cell r="U237" t="str">
            <v>25-26</v>
          </cell>
          <cell r="W237" t="str">
            <v>21-02-2026
23-08-2025
01-02-2025
23-07-2024
16-02-2024
19-06-2023
04-08-2022
01-07-2022</v>
          </cell>
        </row>
        <row r="238">
          <cell r="F238" t="str">
            <v>DHAN01E060</v>
          </cell>
          <cell r="G238" t="str">
            <v>EAGLE INFRA INDIA LIMITED</v>
          </cell>
          <cell r="H238" t="str">
            <v>24-25</v>
          </cell>
          <cell r="I238" t="str">
            <v>-</v>
          </cell>
          <cell r="J238" t="str">
            <v>Domestic</v>
          </cell>
          <cell r="K238" t="str">
            <v>OTHERS</v>
          </cell>
          <cell r="L238" t="str">
            <v>Non-Sugar</v>
          </cell>
          <cell r="M238" t="str">
            <v>End User</v>
          </cell>
          <cell r="O238" t="str">
            <v>-</v>
          </cell>
          <cell r="P238" t="str">
            <v>NI</v>
          </cell>
          <cell r="Q238" t="str">
            <v>AKSHAY AWASTHI</v>
          </cell>
          <cell r="R238" t="str">
            <v>-</v>
          </cell>
          <cell r="S238" t="str">
            <v>NA</v>
          </cell>
        </row>
        <row r="239">
          <cell r="F239" t="str">
            <v>SUNS01E003</v>
          </cell>
          <cell r="G239" t="str">
            <v>EASTERN SUGAR MILLS LTD.</v>
          </cell>
          <cell r="H239">
            <v>2013</v>
          </cell>
          <cell r="I239" t="str">
            <v>-</v>
          </cell>
          <cell r="J239" t="str">
            <v>Export</v>
          </cell>
          <cell r="K239" t="str">
            <v>Sugar</v>
          </cell>
          <cell r="L239" t="str">
            <v>Sugar</v>
          </cell>
          <cell r="M239" t="str">
            <v>End User</v>
          </cell>
          <cell r="N239" t="str">
            <v>(0-5000)</v>
          </cell>
          <cell r="O239">
            <v>3500</v>
          </cell>
          <cell r="P239" t="str">
            <v>NI</v>
          </cell>
          <cell r="Q239" t="str">
            <v>AKSHAY AWASTHI</v>
          </cell>
          <cell r="S239" t="str">
            <v>https://maps.app.goo.gl/ToZzcAc7dH1kPvJJ9</v>
          </cell>
          <cell r="T239" t="str">
            <v>Tour-Nepal</v>
          </cell>
          <cell r="U239" t="str">
            <v>24-25</v>
          </cell>
          <cell r="W239" t="str">
            <v>27-12-2024
01-07-2024
14-01-2024</v>
          </cell>
        </row>
        <row r="240">
          <cell r="F240" t="str">
            <v>HAPU01E074</v>
          </cell>
          <cell r="G240" t="str">
            <v>ECOMECH TECHNOLOGIES PRIVATE LIMITED</v>
          </cell>
          <cell r="H240" t="str">
            <v>-</v>
          </cell>
          <cell r="J240" t="str">
            <v>Domestic</v>
          </cell>
          <cell r="P240" t="str">
            <v>HO</v>
          </cell>
          <cell r="Q240" t="str">
            <v>-</v>
          </cell>
        </row>
        <row r="241">
          <cell r="F241" t="str">
            <v>CHEN01E038</v>
          </cell>
          <cell r="G241" t="str">
            <v>Eges Enviro Solutions Private Limited</v>
          </cell>
          <cell r="H241" t="str">
            <v>24-25</v>
          </cell>
          <cell r="I241" t="str">
            <v>-</v>
          </cell>
          <cell r="J241" t="str">
            <v>Domestic</v>
          </cell>
          <cell r="K241" t="str">
            <v>OTHERS</v>
          </cell>
          <cell r="L241" t="str">
            <v>Non-Sugar</v>
          </cell>
          <cell r="M241" t="str">
            <v>OEM</v>
          </cell>
          <cell r="O241" t="str">
            <v>-</v>
          </cell>
          <cell r="P241" t="str">
            <v>NI</v>
          </cell>
          <cell r="Q241" t="str">
            <v>HIMANSHU KUSHWAHA</v>
          </cell>
          <cell r="R241" t="str">
            <v>-</v>
          </cell>
          <cell r="S241" t="str">
            <v>https://maps.app.goo.gl/8ubg828y5Ee6hUgEA</v>
          </cell>
          <cell r="U241" t="str">
            <v>2023-24</v>
          </cell>
        </row>
        <row r="242">
          <cell r="F242" t="str">
            <v>CUDD01E010</v>
          </cell>
          <cell r="G242" t="str">
            <v>EID PARRY (INDIA) LIMITED (C)</v>
          </cell>
          <cell r="H242">
            <v>2013</v>
          </cell>
          <cell r="I242" t="str">
            <v>EID Group</v>
          </cell>
          <cell r="J242" t="str">
            <v>Domestic</v>
          </cell>
          <cell r="K242" t="str">
            <v>Sugar</v>
          </cell>
          <cell r="L242" t="str">
            <v>Sugar</v>
          </cell>
          <cell r="M242" t="str">
            <v>Group (Mills)</v>
          </cell>
          <cell r="N242" t="str">
            <v>(5001-9000)</v>
          </cell>
          <cell r="O242">
            <v>7500</v>
          </cell>
          <cell r="P242" t="str">
            <v>SI-GS</v>
          </cell>
          <cell r="Q242" t="str">
            <v>SI-GS</v>
          </cell>
          <cell r="S242" t="str">
            <v>https://share.google/2EjUL0ONf9RnayZam</v>
          </cell>
          <cell r="W242">
            <v>45446</v>
          </cell>
        </row>
        <row r="243">
          <cell r="F243" t="str">
            <v>BAGL01E023</v>
          </cell>
          <cell r="G243" t="str">
            <v>EID PARRY (INDIA) LIMITED -BAGALKOT</v>
          </cell>
          <cell r="H243">
            <v>2016</v>
          </cell>
          <cell r="I243" t="str">
            <v>EID Group</v>
          </cell>
          <cell r="J243" t="str">
            <v>Domestic</v>
          </cell>
          <cell r="K243" t="str">
            <v>Sugar</v>
          </cell>
          <cell r="L243" t="str">
            <v>Sugar</v>
          </cell>
          <cell r="M243" t="str">
            <v>Group (Mills)</v>
          </cell>
          <cell r="N243" t="str">
            <v>(5001-9000)</v>
          </cell>
          <cell r="O243">
            <v>7500</v>
          </cell>
          <cell r="P243" t="str">
            <v>AV</v>
          </cell>
          <cell r="Q243" t="str">
            <v>AV</v>
          </cell>
          <cell r="R243" t="str">
            <v>VG</v>
          </cell>
          <cell r="S243" t="str">
            <v>https://share.google/46oJ5ludpqFyXwmRY</v>
          </cell>
          <cell r="T243" t="str">
            <v>Bagalkot - 2</v>
          </cell>
          <cell r="U243" t="str">
            <v>25-26</v>
          </cell>
          <cell r="W243" t="str">
            <v>14-11-2025
23-03-2024
28-04-2023
05-11-2022</v>
          </cell>
        </row>
        <row r="244">
          <cell r="F244" t="str">
            <v>SRIK01P008</v>
          </cell>
          <cell r="G244" t="str">
            <v>EID PARRY (INDIA) LIMITED(SANKILI)</v>
          </cell>
          <cell r="H244">
            <v>2013</v>
          </cell>
          <cell r="I244" t="str">
            <v>EID Group</v>
          </cell>
          <cell r="J244" t="str">
            <v>Domestic</v>
          </cell>
          <cell r="K244" t="str">
            <v>Sugar</v>
          </cell>
          <cell r="L244" t="str">
            <v>Sugar</v>
          </cell>
          <cell r="M244" t="str">
            <v>Group (Mills)</v>
          </cell>
          <cell r="N244" t="str">
            <v>(0-5000)</v>
          </cell>
          <cell r="O244">
            <v>5000</v>
          </cell>
          <cell r="P244" t="str">
            <v>SI-GS</v>
          </cell>
          <cell r="Q244" t="str">
            <v>SI-GS</v>
          </cell>
          <cell r="S244" t="str">
            <v>https://maps.app.goo.gl/4yzP9XDa8r4CARgFA</v>
          </cell>
          <cell r="W244">
            <v>45270</v>
          </cell>
        </row>
        <row r="245">
          <cell r="F245" t="str">
            <v>KARR01E001</v>
          </cell>
          <cell r="G245" t="str">
            <v>EID PARRY (INDIA) LTD.(PUGALUR)</v>
          </cell>
          <cell r="H245">
            <v>2013</v>
          </cell>
          <cell r="I245" t="str">
            <v>EID Group</v>
          </cell>
          <cell r="J245" t="str">
            <v>Domestic</v>
          </cell>
          <cell r="K245" t="str">
            <v>Sugar</v>
          </cell>
          <cell r="L245" t="str">
            <v>Sugar</v>
          </cell>
          <cell r="M245" t="str">
            <v>Group (Mills)</v>
          </cell>
          <cell r="N245" t="str">
            <v>(0-5000)</v>
          </cell>
          <cell r="O245">
            <v>4800</v>
          </cell>
          <cell r="P245" t="str">
            <v>SI-GS</v>
          </cell>
          <cell r="Q245" t="str">
            <v>SI-GS</v>
          </cell>
          <cell r="S245" t="str">
            <v>https://share.google/fTwoNRL7cwF1uRSWn</v>
          </cell>
          <cell r="W245">
            <v>45098</v>
          </cell>
        </row>
        <row r="246">
          <cell r="F246" t="str">
            <v>BELG01E026</v>
          </cell>
          <cell r="G246" t="str">
            <v>EID PARRY INDIA LIMITED-(RAMDURG)</v>
          </cell>
          <cell r="H246">
            <v>2017</v>
          </cell>
          <cell r="I246" t="str">
            <v>EID Group</v>
          </cell>
          <cell r="J246" t="str">
            <v>Domestic</v>
          </cell>
          <cell r="K246" t="str">
            <v>Sugar</v>
          </cell>
          <cell r="L246" t="str">
            <v>Sugar</v>
          </cell>
          <cell r="M246" t="str">
            <v>Group (Mills)</v>
          </cell>
          <cell r="N246" t="str">
            <v>(0-5000)</v>
          </cell>
          <cell r="O246">
            <v>5000</v>
          </cell>
          <cell r="P246" t="str">
            <v>AV</v>
          </cell>
          <cell r="Q246" t="str">
            <v>AV</v>
          </cell>
          <cell r="R246" t="str">
            <v>VG</v>
          </cell>
          <cell r="S246" t="str">
            <v>https://maps.app.goo.gl/mxyZLoxWvCDzD6zc8</v>
          </cell>
          <cell r="T246" t="str">
            <v>Belagavi - 2</v>
          </cell>
          <cell r="U246" t="str">
            <v>26-27</v>
          </cell>
          <cell r="V246" t="str">
            <v>May</v>
          </cell>
          <cell r="W246" t="str">
            <v>20-5-2026
03-04-2023
22-11-2022</v>
          </cell>
        </row>
        <row r="247">
          <cell r="F247" t="str">
            <v>KANN01P007</v>
          </cell>
          <cell r="G247" t="str">
            <v>EID PARRY INDIA LTD-(HALIYAL)</v>
          </cell>
          <cell r="H247">
            <v>2013</v>
          </cell>
          <cell r="I247" t="str">
            <v>EID Group</v>
          </cell>
          <cell r="J247" t="str">
            <v>Domestic</v>
          </cell>
          <cell r="K247" t="str">
            <v>Sugar</v>
          </cell>
          <cell r="L247" t="str">
            <v>Sugar</v>
          </cell>
          <cell r="M247" t="str">
            <v>Group (Mills)</v>
          </cell>
          <cell r="N247" t="str">
            <v>(9001 &amp; above)</v>
          </cell>
          <cell r="O247">
            <v>12000</v>
          </cell>
          <cell r="P247" t="str">
            <v>SI-GS</v>
          </cell>
          <cell r="Q247" t="str">
            <v>SI-GS</v>
          </cell>
          <cell r="S247" t="str">
            <v>https://share.google/e7W6sHR1ue8anmrZT</v>
          </cell>
          <cell r="W247">
            <v>45559</v>
          </cell>
        </row>
        <row r="248">
          <cell r="F248" t="str">
            <v>DLHI01E039</v>
          </cell>
          <cell r="G248" t="str">
            <v>ELECTRICAL &amp; MECHANICAL COMPANY</v>
          </cell>
          <cell r="H248" t="str">
            <v>22-23</v>
          </cell>
          <cell r="I248" t="str">
            <v>-</v>
          </cell>
          <cell r="J248" t="str">
            <v>Domestic</v>
          </cell>
          <cell r="K248" t="str">
            <v>OTHERS</v>
          </cell>
          <cell r="L248" t="str">
            <v>Non-Sugar</v>
          </cell>
          <cell r="M248" t="str">
            <v>Trader</v>
          </cell>
          <cell r="O248" t="str">
            <v>-</v>
          </cell>
          <cell r="P248" t="str">
            <v>NI</v>
          </cell>
          <cell r="Q248" t="str">
            <v>AKSHAY AWASTHI</v>
          </cell>
          <cell r="R248" t="str">
            <v>-</v>
          </cell>
          <cell r="S248" t="str">
            <v>NA</v>
          </cell>
          <cell r="T248" t="str">
            <v>-</v>
          </cell>
          <cell r="U248" t="str">
            <v>-</v>
          </cell>
          <cell r="W248" t="str">
            <v>-</v>
          </cell>
        </row>
        <row r="249">
          <cell r="F249" t="str">
            <v>MUMB01E028</v>
          </cell>
          <cell r="G249" t="str">
            <v>ELECTRO PRODUCTS</v>
          </cell>
          <cell r="H249">
            <v>2018</v>
          </cell>
          <cell r="I249" t="str">
            <v>-</v>
          </cell>
          <cell r="J249" t="str">
            <v>Domestic</v>
          </cell>
          <cell r="K249" t="str">
            <v>Sugar</v>
          </cell>
          <cell r="L249" t="str">
            <v>Sugar</v>
          </cell>
          <cell r="M249" t="str">
            <v>Trader</v>
          </cell>
          <cell r="O249" t="str">
            <v>-</v>
          </cell>
          <cell r="P249" t="str">
            <v>NI</v>
          </cell>
          <cell r="Q249" t="str">
            <v>AKSHAY AWASTHI</v>
          </cell>
          <cell r="R249" t="str">
            <v>-</v>
          </cell>
          <cell r="S249" t="str">
            <v>NA</v>
          </cell>
          <cell r="T249" t="str">
            <v>-</v>
          </cell>
          <cell r="U249" t="str">
            <v>-</v>
          </cell>
        </row>
        <row r="250">
          <cell r="F250" t="str">
            <v>BHIW01E073</v>
          </cell>
          <cell r="G250" t="str">
            <v>ELECTRO PRODUCTS.</v>
          </cell>
          <cell r="H250" t="str">
            <v>-</v>
          </cell>
          <cell r="J250" t="str">
            <v>Domestic</v>
          </cell>
          <cell r="P250" t="str">
            <v>HO</v>
          </cell>
          <cell r="Q250" t="str">
            <v>-</v>
          </cell>
        </row>
        <row r="251">
          <cell r="F251" t="str">
            <v>VISH01E076</v>
          </cell>
          <cell r="G251" t="str">
            <v>ENERGY EQUIPMENT</v>
          </cell>
          <cell r="H251" t="str">
            <v>-</v>
          </cell>
          <cell r="J251" t="str">
            <v>Domestic</v>
          </cell>
          <cell r="P251" t="str">
            <v>SI-SIVA</v>
          </cell>
          <cell r="Q251" t="str">
            <v>M SIVA</v>
          </cell>
        </row>
        <row r="252">
          <cell r="F252" t="str">
            <v>CHEN01E083</v>
          </cell>
          <cell r="G252" t="str">
            <v>ENVIOTECH SOLUTION</v>
          </cell>
          <cell r="H252" t="str">
            <v>-</v>
          </cell>
          <cell r="J252" t="str">
            <v>Domestic</v>
          </cell>
          <cell r="P252" t="str">
            <v>SI-SIVA</v>
          </cell>
          <cell r="Q252" t="str">
            <v>M SIVA</v>
          </cell>
        </row>
        <row r="253">
          <cell r="F253" t="str">
            <v>SRIL01E032</v>
          </cell>
          <cell r="G253" t="str">
            <v>ETHIMALE PLANTATION (PVT) LTD</v>
          </cell>
          <cell r="H253" t="str">
            <v>20-21</v>
          </cell>
          <cell r="I253" t="str">
            <v>-</v>
          </cell>
          <cell r="J253" t="str">
            <v>Export</v>
          </cell>
          <cell r="K253" t="str">
            <v>Sugar</v>
          </cell>
          <cell r="L253" t="str">
            <v>Sugar</v>
          </cell>
          <cell r="M253" t="str">
            <v>End User</v>
          </cell>
          <cell r="O253" t="str">
            <v>-</v>
          </cell>
          <cell r="P253" t="str">
            <v>NI</v>
          </cell>
          <cell r="Q253" t="str">
            <v>AKSHAY AWASTHI</v>
          </cell>
          <cell r="R253" t="str">
            <v>-</v>
          </cell>
          <cell r="S253" t="str">
            <v>https://share.google/6Lcbr7vBHPvfis6EN</v>
          </cell>
          <cell r="T253" t="str">
            <v>-</v>
          </cell>
          <cell r="U253" t="str">
            <v>-</v>
          </cell>
        </row>
        <row r="254">
          <cell r="F254" t="str">
            <v>GHZB01E061</v>
          </cell>
          <cell r="G254" t="str">
            <v>Euroindustriel International Pvt Ltd</v>
          </cell>
          <cell r="H254" t="str">
            <v>24-25</v>
          </cell>
          <cell r="I254" t="str">
            <v>-</v>
          </cell>
          <cell r="J254" t="str">
            <v>Domestic</v>
          </cell>
          <cell r="K254" t="str">
            <v>Sugar</v>
          </cell>
          <cell r="L254" t="str">
            <v>Sugar</v>
          </cell>
          <cell r="M254" t="str">
            <v>Trader</v>
          </cell>
          <cell r="O254" t="str">
            <v>-</v>
          </cell>
          <cell r="P254" t="str">
            <v>NI</v>
          </cell>
          <cell r="Q254" t="str">
            <v>HIMANSHU KUSHWAHA</v>
          </cell>
          <cell r="R254" t="str">
            <v>-</v>
          </cell>
          <cell r="S254" t="str">
            <v>https://share.google/J9HusVZM02e5sbzX7</v>
          </cell>
        </row>
        <row r="255">
          <cell r="F255" t="str">
            <v>LUCK01E034</v>
          </cell>
          <cell r="G255" t="str">
            <v>EVA EXOTICA PVT LTD</v>
          </cell>
          <cell r="H255" t="str">
            <v>21-22</v>
          </cell>
          <cell r="I255" t="str">
            <v>-</v>
          </cell>
          <cell r="J255" t="str">
            <v>Domestic</v>
          </cell>
          <cell r="K255" t="str">
            <v>cattlefeed</v>
          </cell>
          <cell r="L255" t="str">
            <v>Non-Sugar</v>
          </cell>
          <cell r="M255" t="str">
            <v>End User</v>
          </cell>
          <cell r="O255" t="str">
            <v>-</v>
          </cell>
          <cell r="P255" t="str">
            <v>NI</v>
          </cell>
          <cell r="Q255" t="str">
            <v>AVIRAL SHUKLA</v>
          </cell>
          <cell r="R255" t="str">
            <v>-</v>
          </cell>
          <cell r="S255" t="str">
            <v>NA</v>
          </cell>
          <cell r="T255" t="str">
            <v>-</v>
          </cell>
          <cell r="U255" t="str">
            <v>-</v>
          </cell>
        </row>
        <row r="256">
          <cell r="F256" t="str">
            <v>MOHA01E007</v>
          </cell>
          <cell r="G256" t="str">
            <v>EVEREST SUGAR &amp; CHEMICALS IND. LTD.</v>
          </cell>
          <cell r="H256">
            <v>2013</v>
          </cell>
          <cell r="I256" t="str">
            <v>-</v>
          </cell>
          <cell r="J256" t="str">
            <v>Export</v>
          </cell>
          <cell r="K256" t="str">
            <v>Sugar</v>
          </cell>
          <cell r="L256" t="str">
            <v>Sugar</v>
          </cell>
          <cell r="M256" t="str">
            <v>End User</v>
          </cell>
          <cell r="O256">
            <v>6000</v>
          </cell>
          <cell r="P256" t="str">
            <v>NI</v>
          </cell>
          <cell r="Q256" t="str">
            <v>AKSHAY AWASTHI</v>
          </cell>
          <cell r="S256" t="str">
            <v>https://share.google/YE8eYLr0i6XZgaByF</v>
          </cell>
          <cell r="T256" t="str">
            <v>Tour-Nepal</v>
          </cell>
          <cell r="U256" t="str">
            <v>24-25</v>
          </cell>
          <cell r="W256" t="str">
            <v>23-12-2024
12-01-2024</v>
          </cell>
        </row>
        <row r="257">
          <cell r="F257" t="str">
            <v>AZAM01E081</v>
          </cell>
          <cell r="G257" t="str">
            <v>EVERGREEN ENTERPRISES</v>
          </cell>
          <cell r="H257" t="str">
            <v>25-26</v>
          </cell>
          <cell r="I257" t="str">
            <v>-</v>
          </cell>
          <cell r="J257" t="str">
            <v>Domestic</v>
          </cell>
          <cell r="K257" t="str">
            <v>OTHERS</v>
          </cell>
          <cell r="L257" t="str">
            <v>Non-Sugar</v>
          </cell>
          <cell r="M257" t="str">
            <v>End User</v>
          </cell>
          <cell r="P257" t="str">
            <v>NI</v>
          </cell>
          <cell r="Q257" t="str">
            <v>AVIRAL SHUKLA</v>
          </cell>
          <cell r="S257" t="str">
            <v>NA</v>
          </cell>
        </row>
        <row r="258">
          <cell r="F258" t="str">
            <v>BELP01E077</v>
          </cell>
          <cell r="G258" t="str">
            <v>EVOTECH HYDRO PVT LTD</v>
          </cell>
          <cell r="H258" t="str">
            <v>-</v>
          </cell>
          <cell r="J258" t="str">
            <v>Domestic</v>
          </cell>
          <cell r="P258" t="str">
            <v>WI-SV</v>
          </cell>
          <cell r="Q258" t="str">
            <v>SUDHIR</v>
          </cell>
          <cell r="U258" t="str">
            <v>25-26</v>
          </cell>
          <cell r="W258" t="str">
            <v>17-7-2026</v>
          </cell>
        </row>
        <row r="259">
          <cell r="F259" t="str">
            <v>PUNE01E031</v>
          </cell>
          <cell r="G259" t="str">
            <v>EXCEL ENGINEERS AND CONSULTANTS</v>
          </cell>
          <cell r="H259" t="str">
            <v>19-20</v>
          </cell>
          <cell r="I259" t="str">
            <v>-</v>
          </cell>
          <cell r="J259" t="str">
            <v>Domestic</v>
          </cell>
          <cell r="K259" t="str">
            <v>Sugar</v>
          </cell>
          <cell r="L259" t="str">
            <v>Sugar</v>
          </cell>
          <cell r="M259" t="str">
            <v>OEM</v>
          </cell>
          <cell r="O259" t="str">
            <v>-</v>
          </cell>
          <cell r="P259" t="str">
            <v>VA</v>
          </cell>
          <cell r="Q259" t="str">
            <v>AKSHAY AWASTHI</v>
          </cell>
          <cell r="R259" t="str">
            <v>-</v>
          </cell>
          <cell r="T259" t="str">
            <v>-</v>
          </cell>
          <cell r="U259" t="str">
            <v>-</v>
          </cell>
        </row>
        <row r="260">
          <cell r="F260" t="str">
            <v>AHMD01E009</v>
          </cell>
          <cell r="G260" t="str">
            <v>EXTRACT ENG WORKS P LTD</v>
          </cell>
          <cell r="H260" t="str">
            <v>25-26</v>
          </cell>
          <cell r="I260" t="str">
            <v>-</v>
          </cell>
          <cell r="J260" t="str">
            <v>Domestic</v>
          </cell>
          <cell r="K260" t="str">
            <v>others</v>
          </cell>
          <cell r="L260" t="str">
            <v>Non-Sugar</v>
          </cell>
          <cell r="M260" t="str">
            <v>OEM</v>
          </cell>
          <cell r="O260" t="str">
            <v>-</v>
          </cell>
          <cell r="P260" t="str">
            <v>AV</v>
          </cell>
          <cell r="Q260" t="str">
            <v>AV</v>
          </cell>
          <cell r="R260" t="str">
            <v>VG</v>
          </cell>
          <cell r="T260" t="str">
            <v>-</v>
          </cell>
          <cell r="U260" t="str">
            <v>25-26</v>
          </cell>
          <cell r="W260">
            <v>46206</v>
          </cell>
        </row>
        <row r="261">
          <cell r="F261" t="str">
            <v>GHZB01F030</v>
          </cell>
          <cell r="G261" t="str">
            <v>FAITH MERCANTILE PVT LTD</v>
          </cell>
          <cell r="H261" t="str">
            <v>22-23</v>
          </cell>
          <cell r="I261" t="str">
            <v>-</v>
          </cell>
          <cell r="J261" t="str">
            <v>Domestic</v>
          </cell>
          <cell r="K261" t="str">
            <v>Sugar</v>
          </cell>
          <cell r="L261" t="str">
            <v>Sugar</v>
          </cell>
          <cell r="M261" t="str">
            <v>Trader</v>
          </cell>
          <cell r="O261" t="str">
            <v>-</v>
          </cell>
          <cell r="P261" t="str">
            <v>NI</v>
          </cell>
          <cell r="Q261" t="str">
            <v>AKSHAY AWASTHI</v>
          </cell>
          <cell r="R261" t="str">
            <v>-</v>
          </cell>
          <cell r="S261" t="str">
            <v>https://share.google/TI33IIN26IDWki8Zc</v>
          </cell>
          <cell r="T261" t="str">
            <v>-</v>
          </cell>
          <cell r="U261" t="str">
            <v>-</v>
          </cell>
        </row>
        <row r="262">
          <cell r="F262" t="str">
            <v>PANI01F044</v>
          </cell>
          <cell r="G262" t="str">
            <v>FASH HOME INTERNATIONAL PVT LTD (PANIPAT)</v>
          </cell>
          <cell r="H262" t="str">
            <v>23-24</v>
          </cell>
          <cell r="I262" t="str">
            <v>-</v>
          </cell>
          <cell r="J262" t="str">
            <v>Domestic</v>
          </cell>
          <cell r="K262" t="str">
            <v>Textile</v>
          </cell>
          <cell r="L262" t="str">
            <v>Non-Sugar</v>
          </cell>
          <cell r="M262" t="str">
            <v>End User</v>
          </cell>
          <cell r="O262" t="str">
            <v>-</v>
          </cell>
          <cell r="P262" t="str">
            <v>NI</v>
          </cell>
          <cell r="Q262" t="str">
            <v>AVIRAL SHUKLA</v>
          </cell>
          <cell r="R262" t="str">
            <v>-</v>
          </cell>
          <cell r="S262" t="str">
            <v>https://share.google/Sipi0Fz2U5NU4ALgQ</v>
          </cell>
          <cell r="T262" t="str">
            <v>-</v>
          </cell>
          <cell r="U262" t="str">
            <v>-</v>
          </cell>
          <cell r="W262" t="str">
            <v>-</v>
          </cell>
        </row>
        <row r="263">
          <cell r="F263" t="str">
            <v>DLHI01F055</v>
          </cell>
          <cell r="G263" t="str">
            <v>FEI CARGO LTD</v>
          </cell>
          <cell r="H263" t="str">
            <v>-</v>
          </cell>
          <cell r="J263" t="str">
            <v>Domestic</v>
          </cell>
          <cell r="P263" t="str">
            <v>HO</v>
          </cell>
          <cell r="Q263" t="str">
            <v>-</v>
          </cell>
        </row>
        <row r="264">
          <cell r="F264" t="str">
            <v>THAN01F050</v>
          </cell>
          <cell r="G264" t="str">
            <v>FERTIEQUIP ENGINEERS &amp; CONSULTANTS</v>
          </cell>
          <cell r="H264" t="str">
            <v>25-26</v>
          </cell>
          <cell r="I264" t="str">
            <v>-</v>
          </cell>
          <cell r="J264" t="str">
            <v>Domestic</v>
          </cell>
          <cell r="L264" t="str">
            <v>Non-Sugar</v>
          </cell>
          <cell r="M264" t="str">
            <v>OEM</v>
          </cell>
          <cell r="P264" t="str">
            <v>WI-SV</v>
          </cell>
          <cell r="Q264" t="str">
            <v>SUDHIR</v>
          </cell>
          <cell r="S264" t="str">
            <v>https://share.google/eL3I0Sb5F6XwWwmvy</v>
          </cell>
          <cell r="U264" t="str">
            <v>25-26</v>
          </cell>
          <cell r="W264">
            <v>46272</v>
          </cell>
        </row>
        <row r="265">
          <cell r="F265" t="str">
            <v>BHAR01F019</v>
          </cell>
          <cell r="G265" t="str">
            <v>FILATEX INDIA LIMITED</v>
          </cell>
          <cell r="H265" t="str">
            <v>20-21</v>
          </cell>
          <cell r="I265" t="str">
            <v>-</v>
          </cell>
          <cell r="J265" t="str">
            <v>Domestic</v>
          </cell>
          <cell r="K265" t="str">
            <v>OTHERS</v>
          </cell>
          <cell r="L265" t="str">
            <v>Non-Sugar</v>
          </cell>
          <cell r="M265" t="str">
            <v>End User</v>
          </cell>
          <cell r="O265" t="str">
            <v>-</v>
          </cell>
          <cell r="P265" t="str">
            <v>NI</v>
          </cell>
          <cell r="Q265" t="str">
            <v>AKSHAY AWASTHI</v>
          </cell>
          <cell r="S265" t="str">
            <v>https://maps.app.goo.gl/riWaUbg46x5wXutf9</v>
          </cell>
          <cell r="T265" t="str">
            <v>-</v>
          </cell>
          <cell r="U265" t="str">
            <v>24-25</v>
          </cell>
          <cell r="W265">
            <v>45399</v>
          </cell>
        </row>
        <row r="266">
          <cell r="F266" t="str">
            <v>GUJA01F043</v>
          </cell>
          <cell r="G266" t="str">
            <v>FILATEX INDIA LTD</v>
          </cell>
          <cell r="H266" t="str">
            <v>25-26</v>
          </cell>
          <cell r="I266" t="str">
            <v>-</v>
          </cell>
          <cell r="J266" t="str">
            <v>Domestic</v>
          </cell>
          <cell r="K266" t="str">
            <v>OTHERS</v>
          </cell>
          <cell r="L266" t="str">
            <v>Non-Sugar</v>
          </cell>
          <cell r="M266" t="str">
            <v>End User</v>
          </cell>
          <cell r="O266" t="str">
            <v>-</v>
          </cell>
          <cell r="P266" t="str">
            <v>NI</v>
          </cell>
          <cell r="Q266" t="str">
            <v>AVIRAL SHUKLA</v>
          </cell>
          <cell r="S266" t="str">
            <v>NA</v>
          </cell>
        </row>
        <row r="267">
          <cell r="F267" t="str">
            <v>CHEN01F009</v>
          </cell>
          <cell r="G267" t="str">
            <v>FIVES CAIL - KCP LIMITED</v>
          </cell>
          <cell r="H267">
            <v>2013</v>
          </cell>
          <cell r="I267" t="str">
            <v>-</v>
          </cell>
          <cell r="J267" t="str">
            <v>Domestic</v>
          </cell>
          <cell r="K267" t="str">
            <v>Others</v>
          </cell>
          <cell r="L267" t="str">
            <v>Non-Sugar</v>
          </cell>
          <cell r="M267" t="str">
            <v>OEM</v>
          </cell>
          <cell r="P267" t="str">
            <v>SI-GS</v>
          </cell>
          <cell r="Q267" t="str">
            <v>SI-GS</v>
          </cell>
          <cell r="S267" t="str">
            <v>https://maps.app.goo.gl/WuE9TmCaiYeMzqGo8</v>
          </cell>
          <cell r="W267" t="str">
            <v>15-3-25</v>
          </cell>
        </row>
        <row r="268">
          <cell r="F268" t="str">
            <v>LUCK01F058</v>
          </cell>
          <cell r="G268" t="str">
            <v>FLOWAGE MECHATRONICS SYSTEM</v>
          </cell>
          <cell r="H268" t="str">
            <v>-</v>
          </cell>
          <cell r="J268" t="str">
            <v>Domestic</v>
          </cell>
          <cell r="P268" t="str">
            <v>HO</v>
          </cell>
          <cell r="Q268" t="str">
            <v>-</v>
          </cell>
        </row>
        <row r="269">
          <cell r="F269" t="str">
            <v>PUNE01F027</v>
          </cell>
          <cell r="G269" t="str">
            <v>FLOWTECH ENGINEERS</v>
          </cell>
          <cell r="H269" t="str">
            <v>22-23</v>
          </cell>
          <cell r="I269" t="str">
            <v>-</v>
          </cell>
          <cell r="J269" t="str">
            <v>Domestic</v>
          </cell>
          <cell r="K269" t="str">
            <v>Other</v>
          </cell>
          <cell r="L269" t="str">
            <v>Non-Sugar</v>
          </cell>
          <cell r="M269" t="str">
            <v>OEM</v>
          </cell>
          <cell r="O269" t="str">
            <v>-</v>
          </cell>
          <cell r="P269" t="str">
            <v>NI</v>
          </cell>
          <cell r="Q269" t="str">
            <v>AKSHAY AWASTHI</v>
          </cell>
          <cell r="R269" t="str">
            <v>-</v>
          </cell>
          <cell r="S269" t="str">
            <v>https://share.google/GfJFGjjaXJc5xQXon</v>
          </cell>
          <cell r="T269" t="str">
            <v>-</v>
          </cell>
          <cell r="U269" t="str">
            <v>24-25</v>
          </cell>
          <cell r="W269">
            <v>45405</v>
          </cell>
        </row>
        <row r="270">
          <cell r="F270" t="str">
            <v>DLHI01F018</v>
          </cell>
          <cell r="G270" t="str">
            <v>FLUID AIR SOLUTIONS</v>
          </cell>
          <cell r="H270" t="str">
            <v>20-21</v>
          </cell>
          <cell r="I270" t="str">
            <v>-</v>
          </cell>
          <cell r="J270" t="str">
            <v>Domestic</v>
          </cell>
          <cell r="K270" t="str">
            <v>OTHERS</v>
          </cell>
          <cell r="L270" t="str">
            <v>Non-Sugar</v>
          </cell>
          <cell r="M270" t="str">
            <v>Trader</v>
          </cell>
          <cell r="O270" t="str">
            <v>-</v>
          </cell>
          <cell r="P270" t="str">
            <v>NI</v>
          </cell>
          <cell r="Q270" t="str">
            <v>AKSHAY AWASTHI</v>
          </cell>
          <cell r="R270" t="str">
            <v>-</v>
          </cell>
          <cell r="S270" t="str">
            <v>NA</v>
          </cell>
          <cell r="T270" t="str">
            <v>-</v>
          </cell>
          <cell r="U270" t="str">
            <v>-</v>
          </cell>
          <cell r="W270" t="str">
            <v>-</v>
          </cell>
        </row>
        <row r="271">
          <cell r="F271" t="str">
            <v>PUNE01F045</v>
          </cell>
          <cell r="G271" t="str">
            <v>Fluid Flow Engineers</v>
          </cell>
          <cell r="H271" t="str">
            <v>25-26</v>
          </cell>
          <cell r="I271" t="str">
            <v>-</v>
          </cell>
          <cell r="J271" t="str">
            <v>Domestic</v>
          </cell>
          <cell r="K271" t="str">
            <v>CHEMICAL</v>
          </cell>
          <cell r="L271" t="str">
            <v>Non-Sugar</v>
          </cell>
          <cell r="M271" t="str">
            <v>End User</v>
          </cell>
          <cell r="O271" t="str">
            <v>-</v>
          </cell>
          <cell r="P271" t="str">
            <v>WI-SV</v>
          </cell>
          <cell r="Q271" t="str">
            <v>SUDHIR</v>
          </cell>
          <cell r="R271" t="str">
            <v>-</v>
          </cell>
          <cell r="S271" t="str">
            <v>NA</v>
          </cell>
          <cell r="T271" t="str">
            <v>TOUR-1 (Pune)</v>
          </cell>
          <cell r="U271" t="str">
            <v>25-26</v>
          </cell>
          <cell r="V271" t="str">
            <v>Apr</v>
          </cell>
          <cell r="W271" t="str">
            <v>29-04-2026
10/1/2026
03-12-2025
11-11-2025</v>
          </cell>
        </row>
        <row r="272">
          <cell r="F272" t="str">
            <v>PUNE01F042</v>
          </cell>
          <cell r="G272" t="str">
            <v>FLUID TECHNOCRAFT</v>
          </cell>
          <cell r="H272" t="str">
            <v>24-25</v>
          </cell>
          <cell r="I272" t="str">
            <v>-</v>
          </cell>
          <cell r="J272" t="str">
            <v>Domestic</v>
          </cell>
          <cell r="K272" t="str">
            <v>OTHERS</v>
          </cell>
          <cell r="L272" t="str">
            <v>Non-Sugar</v>
          </cell>
          <cell r="M272" t="str">
            <v>OEM</v>
          </cell>
          <cell r="O272" t="str">
            <v>-</v>
          </cell>
          <cell r="P272" t="str">
            <v>NI</v>
          </cell>
          <cell r="Q272" t="str">
            <v>AKSHAY AWASTHI</v>
          </cell>
          <cell r="S272" t="str">
            <v>https://share.google/dhX8EdVf4krL7njTW</v>
          </cell>
        </row>
        <row r="273">
          <cell r="F273" t="str">
            <v>BANG01F053</v>
          </cell>
          <cell r="G273" t="str">
            <v>FLUMIKZ TECHSOL</v>
          </cell>
          <cell r="H273" t="str">
            <v>-</v>
          </cell>
          <cell r="J273" t="str">
            <v>Domestic</v>
          </cell>
          <cell r="P273" t="str">
            <v>HO</v>
          </cell>
          <cell r="Q273" t="str">
            <v>-</v>
          </cell>
        </row>
        <row r="274">
          <cell r="F274" t="str">
            <v>DEOR01F018</v>
          </cell>
          <cell r="G274" t="str">
            <v>FOREVER DISTILLERY PVT. LTD.</v>
          </cell>
          <cell r="H274" t="str">
            <v>23-24</v>
          </cell>
          <cell r="I274" t="str">
            <v>-</v>
          </cell>
          <cell r="J274" t="str">
            <v>Domestic</v>
          </cell>
          <cell r="K274" t="str">
            <v>Distillery(Sugar)</v>
          </cell>
          <cell r="L274" t="str">
            <v>Non-Sugar</v>
          </cell>
          <cell r="M274" t="str">
            <v>End User</v>
          </cell>
          <cell r="O274" t="str">
            <v>-</v>
          </cell>
          <cell r="P274" t="str">
            <v>NI</v>
          </cell>
          <cell r="Q274" t="str">
            <v>AVIRAL SHUKLA</v>
          </cell>
          <cell r="S274" t="str">
            <v>https://share.google/7LcnLUAJxmDaJyU1n</v>
          </cell>
          <cell r="T274" t="str">
            <v>-</v>
          </cell>
          <cell r="U274" t="str">
            <v>-</v>
          </cell>
        </row>
        <row r="275">
          <cell r="F275" t="str">
            <v>UDAI01F015</v>
          </cell>
          <cell r="G275" t="str">
            <v>FRIENDS ENGINEERING WORKS</v>
          </cell>
          <cell r="H275">
            <v>2016</v>
          </cell>
          <cell r="I275" t="str">
            <v>-</v>
          </cell>
          <cell r="J275" t="str">
            <v>Domestic</v>
          </cell>
          <cell r="K275" t="str">
            <v>OTHERS</v>
          </cell>
          <cell r="L275" t="str">
            <v>Non-Sugar</v>
          </cell>
          <cell r="M275" t="str">
            <v>Trader</v>
          </cell>
          <cell r="O275" t="str">
            <v>-</v>
          </cell>
          <cell r="P275" t="str">
            <v>NI</v>
          </cell>
          <cell r="Q275" t="str">
            <v>AVIRAL SHUKLA</v>
          </cell>
          <cell r="R275" t="str">
            <v>-</v>
          </cell>
          <cell r="S275" t="str">
            <v>https://share.google/XpfQz5BgtebHj9boR</v>
          </cell>
          <cell r="T275" t="str">
            <v>-</v>
          </cell>
          <cell r="U275" t="str">
            <v>-</v>
          </cell>
        </row>
        <row r="276">
          <cell r="F276" t="str">
            <v>GUJA01F034</v>
          </cell>
          <cell r="G276" t="str">
            <v>FUTURE INDUSTRIES</v>
          </cell>
          <cell r="H276" t="str">
            <v>-</v>
          </cell>
          <cell r="J276" t="str">
            <v>Domestic</v>
          </cell>
          <cell r="P276" t="str">
            <v>HO</v>
          </cell>
          <cell r="Q276" t="str">
            <v>-</v>
          </cell>
        </row>
        <row r="277">
          <cell r="F277" t="str">
            <v>HRDO01G059</v>
          </cell>
          <cell r="G277" t="str">
            <v>G R INFRAPROJECTS LIMITED</v>
          </cell>
          <cell r="H277" t="str">
            <v>20-21</v>
          </cell>
          <cell r="I277" t="str">
            <v>-</v>
          </cell>
          <cell r="J277" t="str">
            <v>Domestic</v>
          </cell>
          <cell r="K277" t="str">
            <v>EPC</v>
          </cell>
          <cell r="L277" t="str">
            <v>Non-Sugar</v>
          </cell>
          <cell r="M277" t="str">
            <v>End User</v>
          </cell>
          <cell r="O277" t="str">
            <v>-</v>
          </cell>
          <cell r="P277" t="str">
            <v>NI</v>
          </cell>
          <cell r="Q277" t="str">
            <v>HIMANSHU KUSHWAHA</v>
          </cell>
          <cell r="S277" t="str">
            <v>https://share.google/CBk4O9rdjLe2IJMEo</v>
          </cell>
          <cell r="T277" t="str">
            <v>-</v>
          </cell>
          <cell r="U277" t="str">
            <v>25-26</v>
          </cell>
          <cell r="W277" t="str">
            <v>28-10-2025
15-01-2025</v>
          </cell>
        </row>
        <row r="278">
          <cell r="F278" t="str">
            <v>GHZB01G081</v>
          </cell>
          <cell r="G278" t="str">
            <v>G S ENGINEERING</v>
          </cell>
          <cell r="H278" t="str">
            <v>23-24</v>
          </cell>
          <cell r="I278" t="str">
            <v>-</v>
          </cell>
          <cell r="J278" t="str">
            <v>Domestic</v>
          </cell>
          <cell r="K278" t="str">
            <v>OTHERS</v>
          </cell>
          <cell r="L278" t="str">
            <v>Non-Sugar</v>
          </cell>
          <cell r="M278" t="str">
            <v>Trader</v>
          </cell>
          <cell r="O278" t="str">
            <v>-</v>
          </cell>
          <cell r="P278" t="str">
            <v>NI</v>
          </cell>
          <cell r="Q278" t="str">
            <v>AVIRAL SHUKLA</v>
          </cell>
          <cell r="R278" t="str">
            <v>-</v>
          </cell>
          <cell r="S278" t="str">
            <v>NA</v>
          </cell>
          <cell r="T278" t="str">
            <v>-</v>
          </cell>
          <cell r="U278" t="str">
            <v>-</v>
          </cell>
          <cell r="W278" t="str">
            <v>-</v>
          </cell>
        </row>
        <row r="279">
          <cell r="F279" t="str">
            <v>KOLK01G058</v>
          </cell>
          <cell r="G279" t="str">
            <v>G. B. ENTERPRISES</v>
          </cell>
          <cell r="H279" t="str">
            <v>20-21</v>
          </cell>
          <cell r="I279" t="str">
            <v>-</v>
          </cell>
          <cell r="J279" t="str">
            <v>Domestic</v>
          </cell>
          <cell r="K279" t="str">
            <v>OTHERS</v>
          </cell>
          <cell r="L279" t="str">
            <v>Non-Sugar</v>
          </cell>
          <cell r="M279" t="str">
            <v>Trader</v>
          </cell>
          <cell r="O279" t="str">
            <v>-</v>
          </cell>
          <cell r="P279" t="str">
            <v>NI</v>
          </cell>
          <cell r="Q279" t="str">
            <v>AVIRAL SHUKLA</v>
          </cell>
          <cell r="R279" t="str">
            <v>-</v>
          </cell>
          <cell r="S279" t="str">
            <v>NA</v>
          </cell>
          <cell r="T279" t="str">
            <v>-</v>
          </cell>
          <cell r="U279" t="str">
            <v>-</v>
          </cell>
        </row>
        <row r="280">
          <cell r="F280" t="str">
            <v>UGAN01G025</v>
          </cell>
          <cell r="G280" t="str">
            <v>G. M. SUGAR LTD</v>
          </cell>
          <cell r="H280" t="str">
            <v>-</v>
          </cell>
          <cell r="I280" t="str">
            <v>-</v>
          </cell>
          <cell r="J280" t="str">
            <v>Export</v>
          </cell>
          <cell r="K280" t="str">
            <v>Sugar</v>
          </cell>
          <cell r="L280" t="str">
            <v>Sugar</v>
          </cell>
          <cell r="M280" t="str">
            <v>End User</v>
          </cell>
          <cell r="O280" t="str">
            <v>-</v>
          </cell>
          <cell r="P280" t="str">
            <v>NI</v>
          </cell>
          <cell r="Q280" t="str">
            <v>AKSHAY AWASTHI</v>
          </cell>
          <cell r="R280" t="str">
            <v>-</v>
          </cell>
          <cell r="S280" t="str">
            <v>https://maps.app.goo.gl/2kSc9rMKK5B4BnBr6</v>
          </cell>
          <cell r="T280" t="str">
            <v>-</v>
          </cell>
          <cell r="U280" t="str">
            <v>-</v>
          </cell>
          <cell r="W280" t="str">
            <v>-</v>
          </cell>
        </row>
        <row r="281">
          <cell r="F281" t="str">
            <v>PARB01G125</v>
          </cell>
          <cell r="G281" t="str">
            <v>G7 SUGAR LIMITED (Formerly Gangakhed)</v>
          </cell>
          <cell r="H281" t="str">
            <v>24-25</v>
          </cell>
          <cell r="I281" t="str">
            <v>-</v>
          </cell>
          <cell r="J281" t="str">
            <v>Domestic</v>
          </cell>
          <cell r="K281" t="str">
            <v>Sugar</v>
          </cell>
          <cell r="L281" t="str">
            <v>Sugar</v>
          </cell>
          <cell r="M281" t="str">
            <v>End User</v>
          </cell>
          <cell r="N281" t="str">
            <v>(5001-9000)</v>
          </cell>
          <cell r="O281">
            <v>6000</v>
          </cell>
          <cell r="P281" t="str">
            <v>AV</v>
          </cell>
          <cell r="Q281" t="str">
            <v>AV</v>
          </cell>
          <cell r="R281" t="str">
            <v>PD</v>
          </cell>
          <cell r="S281" t="str">
            <v>https://share.google/W3uloHbcqulrCxpli</v>
          </cell>
          <cell r="T281" t="str">
            <v>Parbhani - 1</v>
          </cell>
          <cell r="U281" t="str">
            <v>26-27</v>
          </cell>
          <cell r="V281" t="str">
            <v>Apr</v>
          </cell>
          <cell r="W281" t="str">
            <v>23-4-2026
2/5/2024</v>
          </cell>
        </row>
        <row r="282">
          <cell r="F282" t="str">
            <v>PUNE01G111</v>
          </cell>
          <cell r="G282" t="str">
            <v>GALAXY ENGINEERING</v>
          </cell>
          <cell r="H282" t="str">
            <v>23-24</v>
          </cell>
          <cell r="I282" t="str">
            <v>-</v>
          </cell>
          <cell r="J282" t="str">
            <v>Domestic</v>
          </cell>
          <cell r="K282" t="str">
            <v>Sugar</v>
          </cell>
          <cell r="L282" t="str">
            <v>Sugar</v>
          </cell>
          <cell r="M282" t="str">
            <v>Merchant Exporter</v>
          </cell>
          <cell r="O282" t="str">
            <v>-</v>
          </cell>
          <cell r="P282" t="str">
            <v>NI</v>
          </cell>
          <cell r="Q282" t="str">
            <v>HIMANSHU KUSHWAHA</v>
          </cell>
          <cell r="R282" t="str">
            <v>-</v>
          </cell>
          <cell r="S282" t="str">
            <v>https://share.google/RzmnbsYihmQUSXaqB</v>
          </cell>
          <cell r="T282" t="str">
            <v>-</v>
          </cell>
          <cell r="U282" t="str">
            <v>-</v>
          </cell>
          <cell r="W282" t="str">
            <v>-</v>
          </cell>
        </row>
        <row r="283">
          <cell r="F283" t="str">
            <v>SURA01G134</v>
          </cell>
          <cell r="G283" t="str">
            <v>GANGAA OORJA LLP</v>
          </cell>
          <cell r="H283" t="str">
            <v>24-25</v>
          </cell>
          <cell r="I283" t="str">
            <v>-</v>
          </cell>
          <cell r="J283" t="str">
            <v>Domestic</v>
          </cell>
          <cell r="K283" t="str">
            <v>Biogas</v>
          </cell>
          <cell r="L283" t="str">
            <v>Non-Sugar</v>
          </cell>
          <cell r="M283" t="str">
            <v>End User</v>
          </cell>
          <cell r="P283" t="str">
            <v>WI-SV</v>
          </cell>
          <cell r="Q283" t="str">
            <v>SUDHIR</v>
          </cell>
          <cell r="S283" t="str">
            <v>https://share.google/bMOTncJ1UW2jdqrI4</v>
          </cell>
          <cell r="U283" t="str">
            <v>25-26</v>
          </cell>
          <cell r="W283">
            <v>45881</v>
          </cell>
        </row>
        <row r="284">
          <cell r="F284" t="str">
            <v>AHMD01G021</v>
          </cell>
          <cell r="G284" t="str">
            <v>GANGAMAI INDUSTRIES AND CONSTRUCTIONS LTD.</v>
          </cell>
          <cell r="H284">
            <v>2013</v>
          </cell>
          <cell r="I284" t="str">
            <v>-</v>
          </cell>
          <cell r="J284" t="str">
            <v>Domestic</v>
          </cell>
          <cell r="K284" t="str">
            <v>Sugar</v>
          </cell>
          <cell r="L284" t="str">
            <v>Sugar</v>
          </cell>
          <cell r="M284" t="str">
            <v>End User</v>
          </cell>
          <cell r="N284" t="str">
            <v>(9001 &amp; above)</v>
          </cell>
          <cell r="O284" t="str">
            <v>Sugar 10000
Distillery 250 KLPD</v>
          </cell>
          <cell r="P284" t="str">
            <v>AV</v>
          </cell>
          <cell r="Q284" t="str">
            <v>AV</v>
          </cell>
          <cell r="R284" t="str">
            <v>PD</v>
          </cell>
          <cell r="S284" t="str">
            <v>https://share.google/7iybUzkwaKfNRBWoM</v>
          </cell>
          <cell r="T284" t="str">
            <v>Ahmednagar - 2</v>
          </cell>
          <cell r="U284" t="str">
            <v>25-26</v>
          </cell>
          <cell r="W284" t="str">
            <v>17/11/2025
6/24/2023</v>
          </cell>
        </row>
        <row r="285">
          <cell r="F285" t="str">
            <v>BEED01G069</v>
          </cell>
          <cell r="G285" t="str">
            <v>GANGAMAULI SUGAR &amp; ALLIED INDUSTRIES PVT LTD (Lessee of padmashree.Dr.Vitthalrao Vikhe Patil Sahakari Sakhar Karkhana Pvt.Ltd.)</v>
          </cell>
          <cell r="H285" t="str">
            <v>22-23</v>
          </cell>
          <cell r="I285" t="str">
            <v>-</v>
          </cell>
          <cell r="J285" t="str">
            <v>Domestic</v>
          </cell>
          <cell r="K285" t="str">
            <v>Sugar</v>
          </cell>
          <cell r="L285" t="str">
            <v>Sugar</v>
          </cell>
          <cell r="M285" t="str">
            <v>End User</v>
          </cell>
          <cell r="N285" t="str">
            <v>(0-5000)</v>
          </cell>
          <cell r="O285">
            <v>4900</v>
          </cell>
          <cell r="P285" t="str">
            <v>AV</v>
          </cell>
          <cell r="Q285" t="str">
            <v>AV</v>
          </cell>
          <cell r="R285" t="str">
            <v>PD</v>
          </cell>
          <cell r="S285" t="str">
            <v>https://maps.app.goo.gl/Di1f9duugNZJcN2Q8</v>
          </cell>
          <cell r="T285" t="str">
            <v>Beed - 1</v>
          </cell>
          <cell r="U285" t="str">
            <v>25-26</v>
          </cell>
          <cell r="W285" t="str">
            <v>8-1-2026
11/9/2023</v>
          </cell>
        </row>
        <row r="286">
          <cell r="F286" t="str">
            <v>MEDA01G002</v>
          </cell>
          <cell r="G286" t="str">
            <v>GANPATI SUGAR INDUSTRIES LTD.</v>
          </cell>
          <cell r="H286">
            <v>2013</v>
          </cell>
          <cell r="I286" t="str">
            <v>-</v>
          </cell>
          <cell r="J286" t="str">
            <v>Domestic</v>
          </cell>
          <cell r="K286" t="str">
            <v>Sugar</v>
          </cell>
          <cell r="L286" t="str">
            <v>Sugar</v>
          </cell>
          <cell r="M286" t="str">
            <v>End User</v>
          </cell>
          <cell r="N286" t="str">
            <v>(0-5000)</v>
          </cell>
          <cell r="O286">
            <v>5000</v>
          </cell>
          <cell r="P286" t="str">
            <v>SI-GS</v>
          </cell>
          <cell r="Q286" t="str">
            <v>SI-GS</v>
          </cell>
          <cell r="S286" t="str">
            <v>https://maps.app.goo.gl/wkTW1TJo6rTbKYwB7</v>
          </cell>
          <cell r="W286" t="str">
            <v>-</v>
          </cell>
        </row>
        <row r="287">
          <cell r="F287" t="str">
            <v>KOLK01G090</v>
          </cell>
          <cell r="G287" t="str">
            <v>GARDEN REACH SHIP BUILDERS &amp; ENG LTD</v>
          </cell>
          <cell r="H287" t="str">
            <v>23-24</v>
          </cell>
          <cell r="I287" t="str">
            <v>-</v>
          </cell>
          <cell r="J287" t="str">
            <v>Domestic</v>
          </cell>
          <cell r="K287" t="str">
            <v>OTHERS</v>
          </cell>
          <cell r="L287" t="str">
            <v>Non-Sugar</v>
          </cell>
          <cell r="M287" t="str">
            <v>End User</v>
          </cell>
          <cell r="O287" t="str">
            <v>-</v>
          </cell>
          <cell r="P287" t="str">
            <v>VA</v>
          </cell>
          <cell r="Q287" t="str">
            <v>VA</v>
          </cell>
          <cell r="R287" t="str">
            <v>-</v>
          </cell>
          <cell r="S287" t="str">
            <v>https://maps.app.goo.gl/L25RQ9hqGRkhyQpD8</v>
          </cell>
          <cell r="T287" t="str">
            <v>-</v>
          </cell>
          <cell r="U287" t="str">
            <v>-</v>
          </cell>
          <cell r="W287" t="str">
            <v>-</v>
          </cell>
        </row>
        <row r="288">
          <cell r="F288" t="str">
            <v>BIDA01G144</v>
          </cell>
          <cell r="G288" t="str">
            <v>GAURI SUGAR AND DISTILLARIES PVT LIMITEDUNIT 13 (Formerly Bhalkeshwar sugars) (Taken over by onkar sugars &amp; allied industries)</v>
          </cell>
          <cell r="H288">
            <v>2019</v>
          </cell>
          <cell r="I288" t="str">
            <v>Onkar Group</v>
          </cell>
          <cell r="J288" t="str">
            <v>Domestic</v>
          </cell>
          <cell r="K288" t="str">
            <v>Sugar</v>
          </cell>
          <cell r="L288" t="str">
            <v>Sugar</v>
          </cell>
          <cell r="M288" t="str">
            <v>Group (Mills)</v>
          </cell>
          <cell r="N288" t="str">
            <v>(0-5000)</v>
          </cell>
          <cell r="O288">
            <v>4000</v>
          </cell>
          <cell r="P288" t="str">
            <v>SI-GS</v>
          </cell>
          <cell r="Q288" t="str">
            <v>SI-GS</v>
          </cell>
          <cell r="S288" t="str">
            <v>NA</v>
          </cell>
          <cell r="U288" t="str">
            <v>25-26</v>
          </cell>
          <cell r="W288" t="str">
            <v>23-1-2026
6/6/2023</v>
          </cell>
        </row>
        <row r="289">
          <cell r="F289" t="str">
            <v>PUNE01G105</v>
          </cell>
          <cell r="G289" t="str">
            <v>GAURI SUGAR AND DISTILLERIES PVT LTD UNIT 4 (Formerly Shri Saikrupa) (Taken over by onkar sugars &amp; allied industries unit no 4)</v>
          </cell>
          <cell r="H289">
            <v>2013</v>
          </cell>
          <cell r="I289" t="str">
            <v>Onkar Group</v>
          </cell>
          <cell r="J289" t="str">
            <v>Domestic</v>
          </cell>
          <cell r="K289" t="str">
            <v>Sugar</v>
          </cell>
          <cell r="L289" t="str">
            <v>Sugar</v>
          </cell>
          <cell r="M289" t="str">
            <v>Group (Mills)</v>
          </cell>
          <cell r="N289" t="str">
            <v>(9001 &amp; above)</v>
          </cell>
          <cell r="O289">
            <v>10000</v>
          </cell>
          <cell r="P289" t="str">
            <v>AV</v>
          </cell>
          <cell r="Q289" t="str">
            <v>AV</v>
          </cell>
          <cell r="R289" t="str">
            <v>PD</v>
          </cell>
          <cell r="S289" t="str">
            <v>https://maps.app.goo.gl/539EWWNgRRHoUyWq9</v>
          </cell>
          <cell r="T289" t="str">
            <v>Ahmednagar - 1</v>
          </cell>
          <cell r="U289" t="str">
            <v>25-26</v>
          </cell>
          <cell r="W289" t="str">
            <v>29-11-2025
13-06-2024
04-08-2023</v>
          </cell>
        </row>
        <row r="290">
          <cell r="F290" t="str">
            <v>NIZA01G004</v>
          </cell>
          <cell r="G290" t="str">
            <v>GAYATRI SUGARS LTD. (8S-5)</v>
          </cell>
          <cell r="H290">
            <v>2013</v>
          </cell>
          <cell r="I290" t="str">
            <v>-</v>
          </cell>
          <cell r="J290" t="str">
            <v>Domestic</v>
          </cell>
          <cell r="K290" t="str">
            <v>Sugar</v>
          </cell>
          <cell r="L290" t="str">
            <v>Sugar</v>
          </cell>
          <cell r="M290" t="str">
            <v>End User</v>
          </cell>
          <cell r="N290" t="str">
            <v>(0-5000)</v>
          </cell>
          <cell r="O290">
            <v>3500</v>
          </cell>
          <cell r="P290" t="str">
            <v>SI-GS</v>
          </cell>
          <cell r="Q290" t="str">
            <v>SI-GS</v>
          </cell>
          <cell r="S290" t="str">
            <v>https://maps.app.goo.gl/zT78MCjVBcidpJHw5</v>
          </cell>
          <cell r="W290">
            <v>45064</v>
          </cell>
        </row>
        <row r="291">
          <cell r="F291" t="str">
            <v>NIZA01G003</v>
          </cell>
          <cell r="G291" t="str">
            <v>GAYATRI SUGARS LTD. (KAMAREDDY UNIT)</v>
          </cell>
          <cell r="H291">
            <v>2013</v>
          </cell>
          <cell r="I291" t="str">
            <v>-</v>
          </cell>
          <cell r="J291" t="str">
            <v>Domestic</v>
          </cell>
          <cell r="K291" t="str">
            <v>Sugar</v>
          </cell>
          <cell r="L291" t="str">
            <v>Sugar</v>
          </cell>
          <cell r="M291" t="str">
            <v>End User</v>
          </cell>
          <cell r="N291" t="str">
            <v>(0-5000)</v>
          </cell>
          <cell r="O291">
            <v>3500</v>
          </cell>
          <cell r="P291" t="str">
            <v>SI-GS</v>
          </cell>
          <cell r="Q291" t="str">
            <v>SI-GS</v>
          </cell>
          <cell r="S291" t="str">
            <v>https://share.google/NOcRis0R4DVflXNx5</v>
          </cell>
          <cell r="W291" t="str">
            <v>-</v>
          </cell>
        </row>
        <row r="292">
          <cell r="F292" t="str">
            <v>SOLP01L053</v>
          </cell>
          <cell r="G292" t="str">
            <v>GEETANJALI SUGARS PRIVATE LIMITED (formerly Lokshakti Sugars)</v>
          </cell>
          <cell r="H292" t="str">
            <v>25-26</v>
          </cell>
          <cell r="I292" t="str">
            <v>-</v>
          </cell>
          <cell r="J292" t="str">
            <v>Domestic</v>
          </cell>
          <cell r="K292" t="str">
            <v>Sugar</v>
          </cell>
          <cell r="L292" t="str">
            <v>Sugar</v>
          </cell>
          <cell r="M292" t="str">
            <v>End User</v>
          </cell>
          <cell r="N292" t="str">
            <v>(0-5000)</v>
          </cell>
          <cell r="O292">
            <v>5000</v>
          </cell>
          <cell r="P292" t="str">
            <v>MRK</v>
          </cell>
          <cell r="Q292" t="str">
            <v>MRK</v>
          </cell>
          <cell r="R292" t="str">
            <v>VG</v>
          </cell>
          <cell r="S292" t="str">
            <v>https://maps.app.goo.gl/PcjQdnDJisPajKfc7</v>
          </cell>
          <cell r="T292" t="str">
            <v>Solapur - 2</v>
          </cell>
          <cell r="U292" t="str">
            <v>26-27</v>
          </cell>
          <cell r="V292" t="str">
            <v>Apr</v>
          </cell>
          <cell r="W292">
            <v>46207</v>
          </cell>
        </row>
        <row r="293">
          <cell r="F293" t="str">
            <v>BAGL01G017</v>
          </cell>
          <cell r="G293" t="str">
            <v>GEM SUGARS LIMITED</v>
          </cell>
          <cell r="H293">
            <v>2013</v>
          </cell>
          <cell r="I293" t="str">
            <v>-</v>
          </cell>
          <cell r="J293" t="str">
            <v>Domestic</v>
          </cell>
          <cell r="K293" t="str">
            <v>Sugar</v>
          </cell>
          <cell r="L293" t="str">
            <v>Sugar</v>
          </cell>
          <cell r="M293" t="str">
            <v>End User</v>
          </cell>
          <cell r="N293" t="str">
            <v>(5001-9000)</v>
          </cell>
          <cell r="O293" t="str">
            <v>sugar 6500
Distillery 90 KLPD</v>
          </cell>
          <cell r="P293" t="str">
            <v>AV</v>
          </cell>
          <cell r="Q293" t="str">
            <v>AV</v>
          </cell>
          <cell r="R293" t="str">
            <v>VG</v>
          </cell>
          <cell r="S293" t="str">
            <v>https://maps.app.goo.gl/k8nyrkVRFhT4Qgd27</v>
          </cell>
          <cell r="T293" t="str">
            <v>Bagalkot - 1</v>
          </cell>
          <cell r="U293" t="str">
            <v>24-25</v>
          </cell>
          <cell r="W293" t="str">
            <v>27/02/2025
28-02-2024
01-04-2023
13-10-2022</v>
          </cell>
        </row>
        <row r="294">
          <cell r="F294" t="str">
            <v>KOLH01G061</v>
          </cell>
          <cell r="G294" t="str">
            <v>GHODAWAT CONSUMER LIMITED (JAGGERY DIVISION) (takeover by Sharad SSK for operation)</v>
          </cell>
          <cell r="H294">
            <v>2021</v>
          </cell>
          <cell r="I294" t="str">
            <v>-</v>
          </cell>
          <cell r="J294" t="str">
            <v>Domestic</v>
          </cell>
          <cell r="K294" t="str">
            <v>Jaggery</v>
          </cell>
          <cell r="L294" t="str">
            <v>Non-Sugar</v>
          </cell>
          <cell r="M294" t="str">
            <v>End User</v>
          </cell>
          <cell r="O294">
            <v>1500</v>
          </cell>
          <cell r="P294" t="str">
            <v>MRK</v>
          </cell>
          <cell r="Q294" t="str">
            <v>MRK</v>
          </cell>
          <cell r="R294" t="str">
            <v>VG</v>
          </cell>
          <cell r="S294" t="str">
            <v>https://share.google/nIFvyC7k3AhhDb8Iu</v>
          </cell>
          <cell r="T294" t="str">
            <v>Kolhapur - 2</v>
          </cell>
          <cell r="U294" t="str">
            <v>24-25</v>
          </cell>
          <cell r="W294" t="str">
            <v>22-01-2025
17-05-2024
17-12-2024
12-12-2022</v>
          </cell>
        </row>
        <row r="295">
          <cell r="F295" t="str">
            <v>KARN01G055</v>
          </cell>
          <cell r="G295" t="str">
            <v>GLOBAL CANE SUGAR SERVICES PVT LTD</v>
          </cell>
          <cell r="H295" t="str">
            <v>18-19</v>
          </cell>
          <cell r="I295" t="str">
            <v>-</v>
          </cell>
          <cell r="J295" t="str">
            <v>Domestic</v>
          </cell>
          <cell r="K295" t="str">
            <v>Sugar</v>
          </cell>
          <cell r="L295" t="str">
            <v>Sugar</v>
          </cell>
          <cell r="M295" t="str">
            <v>OEM</v>
          </cell>
          <cell r="O295" t="str">
            <v>-</v>
          </cell>
          <cell r="P295" t="str">
            <v>NI</v>
          </cell>
          <cell r="Q295" t="str">
            <v>AVIRAL SHUKLA</v>
          </cell>
          <cell r="R295" t="str">
            <v>-</v>
          </cell>
          <cell r="S295" t="str">
            <v>NA</v>
          </cell>
          <cell r="T295" t="str">
            <v>-</v>
          </cell>
          <cell r="U295" t="str">
            <v>-</v>
          </cell>
        </row>
        <row r="296">
          <cell r="F296" t="str">
            <v>SANG01G056</v>
          </cell>
          <cell r="G296" t="str">
            <v>GLOBAL CANESUGAR SERVICES PVT. LTD.</v>
          </cell>
          <cell r="H296" t="str">
            <v>19-20</v>
          </cell>
          <cell r="I296" t="str">
            <v>-</v>
          </cell>
          <cell r="J296" t="str">
            <v>Domestic</v>
          </cell>
          <cell r="K296" t="str">
            <v>Sugar</v>
          </cell>
          <cell r="L296" t="str">
            <v>Sugar</v>
          </cell>
          <cell r="M296" t="str">
            <v>OEM</v>
          </cell>
          <cell r="O296" t="str">
            <v>-</v>
          </cell>
          <cell r="P296" t="str">
            <v>NI</v>
          </cell>
          <cell r="Q296" t="str">
            <v>AVIRAL SHUKLA</v>
          </cell>
          <cell r="R296" t="str">
            <v>-</v>
          </cell>
          <cell r="S296" t="str">
            <v>NA</v>
          </cell>
          <cell r="T296" t="str">
            <v>-</v>
          </cell>
          <cell r="U296" t="str">
            <v>-</v>
          </cell>
        </row>
        <row r="297">
          <cell r="F297" t="str">
            <v>DLHI01G036</v>
          </cell>
          <cell r="G297" t="str">
            <v>GLOBAL CANESUGAR SERVICES PVT. LTD.</v>
          </cell>
          <cell r="H297">
            <v>2015</v>
          </cell>
          <cell r="I297" t="str">
            <v>-</v>
          </cell>
          <cell r="J297" t="str">
            <v>Domestic</v>
          </cell>
          <cell r="K297" t="str">
            <v>Sugar</v>
          </cell>
          <cell r="L297" t="str">
            <v>Sugar</v>
          </cell>
          <cell r="M297" t="str">
            <v>OEM</v>
          </cell>
          <cell r="O297" t="str">
            <v>-</v>
          </cell>
          <cell r="P297" t="str">
            <v>NI</v>
          </cell>
          <cell r="Q297" t="str">
            <v>AVIRAL SHUKLA</v>
          </cell>
          <cell r="R297" t="str">
            <v>-</v>
          </cell>
          <cell r="S297" t="str">
            <v>https://share.google/tTQQHHVS1J2D6EROf</v>
          </cell>
          <cell r="T297" t="str">
            <v>-</v>
          </cell>
          <cell r="U297" t="str">
            <v>-</v>
          </cell>
          <cell r="W297" t="str">
            <v>-</v>
          </cell>
        </row>
        <row r="298">
          <cell r="F298" t="str">
            <v>YAND01G054</v>
          </cell>
          <cell r="G298" t="str">
            <v>GLOBAL ENVIRONMENT MANAGEMENT SERVICES</v>
          </cell>
          <cell r="H298">
            <v>2018</v>
          </cell>
          <cell r="I298" t="str">
            <v>-</v>
          </cell>
          <cell r="J298" t="str">
            <v>Export</v>
          </cell>
          <cell r="K298" t="str">
            <v>ETP/STP/WTP</v>
          </cell>
          <cell r="L298" t="str">
            <v>Non-Sugar</v>
          </cell>
          <cell r="M298" t="str">
            <v>OEM</v>
          </cell>
          <cell r="O298" t="str">
            <v>-</v>
          </cell>
          <cell r="P298" t="str">
            <v>VA</v>
          </cell>
          <cell r="Q298" t="str">
            <v>VG</v>
          </cell>
          <cell r="R298" t="str">
            <v>-</v>
          </cell>
          <cell r="T298" t="str">
            <v>-</v>
          </cell>
          <cell r="U298" t="str">
            <v>-</v>
          </cell>
          <cell r="W298" t="str">
            <v>-</v>
          </cell>
        </row>
        <row r="299">
          <cell r="F299" t="str">
            <v>YAND01G126</v>
          </cell>
          <cell r="G299" t="str">
            <v>GLOBAL ENVIRONMENTAL MANAGEMENT SERVICES CO. LLC</v>
          </cell>
          <cell r="H299" t="str">
            <v>24-25</v>
          </cell>
          <cell r="I299" t="str">
            <v>-</v>
          </cell>
          <cell r="J299" t="str">
            <v>Export</v>
          </cell>
          <cell r="K299" t="str">
            <v>ETP/STP/WTP</v>
          </cell>
          <cell r="L299" t="str">
            <v>Non-Sugar</v>
          </cell>
          <cell r="M299" t="str">
            <v>OEM</v>
          </cell>
          <cell r="O299" t="str">
            <v>-</v>
          </cell>
          <cell r="P299" t="str">
            <v>VA-SS</v>
          </cell>
          <cell r="Q299" t="str">
            <v>SHIVANU SHUKLA</v>
          </cell>
          <cell r="R299" t="str">
            <v>-</v>
          </cell>
          <cell r="S299" t="str">
            <v>https://share.google/NQTSfZCPsH8A1kfYB</v>
          </cell>
        </row>
        <row r="300">
          <cell r="F300" t="str">
            <v>RAIG01G065</v>
          </cell>
          <cell r="G300" t="str">
            <v>GLOBE ENTERPRISES (PUMP DISPATCH TO MAA MAHAMAYA)</v>
          </cell>
          <cell r="H300" t="str">
            <v>21-22</v>
          </cell>
          <cell r="I300" t="str">
            <v>-</v>
          </cell>
          <cell r="J300" t="str">
            <v>Domestic</v>
          </cell>
          <cell r="K300" t="str">
            <v>Sugar</v>
          </cell>
          <cell r="L300" t="str">
            <v>Sugar</v>
          </cell>
          <cell r="M300" t="str">
            <v>Trader</v>
          </cell>
          <cell r="O300" t="str">
            <v>-</v>
          </cell>
          <cell r="P300" t="str">
            <v>NI</v>
          </cell>
          <cell r="Q300" t="str">
            <v>HIMANSHU KUSHWAHA</v>
          </cell>
          <cell r="R300" t="str">
            <v>-</v>
          </cell>
          <cell r="S300" t="str">
            <v>https://maps.app.goo.gl/9kKhJ1FevKEgx4R2A</v>
          </cell>
        </row>
        <row r="301">
          <cell r="F301" t="str">
            <v>HAVE01G008</v>
          </cell>
          <cell r="G301" t="str">
            <v>GM SUGAR &amp; ENERGY LTD</v>
          </cell>
          <cell r="H301">
            <v>2015</v>
          </cell>
          <cell r="I301" t="str">
            <v>-</v>
          </cell>
          <cell r="J301" t="str">
            <v>Domestic</v>
          </cell>
          <cell r="K301" t="str">
            <v>Sugar</v>
          </cell>
          <cell r="L301" t="str">
            <v>Sugar</v>
          </cell>
          <cell r="M301" t="str">
            <v>End User</v>
          </cell>
          <cell r="N301" t="str">
            <v>(0-5000)</v>
          </cell>
          <cell r="O301">
            <v>5000</v>
          </cell>
          <cell r="P301" t="str">
            <v>AV</v>
          </cell>
          <cell r="Q301" t="str">
            <v>AV</v>
          </cell>
          <cell r="R301" t="str">
            <v>VG</v>
          </cell>
          <cell r="S301" t="str">
            <v>https://share.google/l3e6TRYo31kv7Nz32</v>
          </cell>
          <cell r="T301" t="str">
            <v>Bellary_Bidar - 1</v>
          </cell>
          <cell r="U301" t="str">
            <v>25-26</v>
          </cell>
          <cell r="W301" t="str">
            <v>16-06-2025
19-04-2024
03-06-2023
26-11-2022</v>
          </cell>
        </row>
        <row r="302">
          <cell r="F302" t="str">
            <v>END CLIENT</v>
          </cell>
          <cell r="G302" t="str">
            <v>GM SUGARS UNIT 2</v>
          </cell>
          <cell r="H302" t="str">
            <v>-</v>
          </cell>
          <cell r="I302" t="str">
            <v>-</v>
          </cell>
          <cell r="J302" t="str">
            <v>Domestic</v>
          </cell>
          <cell r="K302" t="str">
            <v>Sugar</v>
          </cell>
          <cell r="L302" t="str">
            <v>Sugar</v>
          </cell>
          <cell r="M302" t="str">
            <v>End User</v>
          </cell>
          <cell r="N302" t="str">
            <v>(9001 &amp; above)</v>
          </cell>
          <cell r="O302" t="str">
            <v>10000</v>
          </cell>
          <cell r="P302" t="str">
            <v>AV</v>
          </cell>
          <cell r="Q302" t="str">
            <v>AV</v>
          </cell>
          <cell r="R302" t="str">
            <v>VG</v>
          </cell>
          <cell r="S302" t="str">
            <v>https://maps.app.goo.gl/Gfxx2XgVFjbZQ2u38</v>
          </cell>
          <cell r="T302" t="str">
            <v>Bellary_Bidar - 1</v>
          </cell>
          <cell r="U302" t="str">
            <v>25-26</v>
          </cell>
          <cell r="W302" t="str">
            <v>18-6-2025</v>
          </cell>
        </row>
        <row r="303">
          <cell r="F303" t="str">
            <v>BAGA01G011</v>
          </cell>
          <cell r="G303" t="str">
            <v>GODAVARI BIOREFINERIES LTD.</v>
          </cell>
          <cell r="H303">
            <v>2014</v>
          </cell>
          <cell r="I303" t="str">
            <v>-</v>
          </cell>
          <cell r="J303" t="str">
            <v>Domestic</v>
          </cell>
          <cell r="K303" t="str">
            <v>Sugar</v>
          </cell>
          <cell r="L303" t="str">
            <v>Sugar</v>
          </cell>
          <cell r="M303" t="str">
            <v>End User</v>
          </cell>
          <cell r="N303" t="str">
            <v>(9001 &amp; above)</v>
          </cell>
          <cell r="O303" t="str">
            <v>Sugar 18000
Distillery 600 KLPD</v>
          </cell>
          <cell r="P303" t="str">
            <v>AV</v>
          </cell>
          <cell r="Q303" t="str">
            <v>AV</v>
          </cell>
          <cell r="R303" t="str">
            <v>VG</v>
          </cell>
          <cell r="S303" t="str">
            <v>https://share.google/c5Cl6S4peiKR9jet4</v>
          </cell>
          <cell r="T303" t="str">
            <v>Bagalkot - 1</v>
          </cell>
          <cell r="U303" t="str">
            <v>24-25</v>
          </cell>
          <cell r="W303" t="str">
            <v>24-02-2025
27-03-2023
06-10-2022</v>
          </cell>
        </row>
        <row r="304">
          <cell r="F304" t="str">
            <v>AHMD01G010</v>
          </cell>
          <cell r="G304" t="str">
            <v>GODAVARI EQUIPMENTS PVT.LTD.</v>
          </cell>
          <cell r="H304">
            <v>2015</v>
          </cell>
          <cell r="J304" t="str">
            <v>Domestic</v>
          </cell>
          <cell r="K304" t="str">
            <v>Sugar</v>
          </cell>
          <cell r="L304" t="str">
            <v>Sugar</v>
          </cell>
          <cell r="M304" t="str">
            <v>OEM</v>
          </cell>
          <cell r="O304" t="str">
            <v>-</v>
          </cell>
          <cell r="P304" t="str">
            <v>AV</v>
          </cell>
          <cell r="Q304" t="str">
            <v>AV</v>
          </cell>
          <cell r="R304" t="str">
            <v>OEM</v>
          </cell>
          <cell r="T304" t="str">
            <v>-</v>
          </cell>
          <cell r="W304" t="str">
            <v>-</v>
          </cell>
        </row>
        <row r="305">
          <cell r="F305" t="str">
            <v>HYDE01G127</v>
          </cell>
          <cell r="G305" t="str">
            <v>GODAVARIGANGA AGRO PRODUCTS PVT LTD-RAIKODE</v>
          </cell>
          <cell r="H305" t="str">
            <v>24-25</v>
          </cell>
          <cell r="I305" t="str">
            <v>-</v>
          </cell>
          <cell r="J305" t="str">
            <v>Domestic</v>
          </cell>
          <cell r="K305" t="str">
            <v>Sugar</v>
          </cell>
          <cell r="L305" t="str">
            <v>Sugar</v>
          </cell>
          <cell r="M305" t="str">
            <v>End User</v>
          </cell>
          <cell r="N305" t="str">
            <v>(0-5000)</v>
          </cell>
          <cell r="O305">
            <v>3000</v>
          </cell>
          <cell r="P305" t="str">
            <v>NI</v>
          </cell>
          <cell r="Q305" t="str">
            <v>HIMANSHU KUSHWAHA</v>
          </cell>
          <cell r="S305" t="str">
            <v>https://share.google/CPpqQgMFFMWGAHw15</v>
          </cell>
        </row>
        <row r="306">
          <cell r="F306" t="str">
            <v>BELG01G012</v>
          </cell>
          <cell r="G306" t="str">
            <v>GOKAK SUGARS LIMITED (shree renuka sugars)</v>
          </cell>
          <cell r="H306">
            <v>2013</v>
          </cell>
          <cell r="I306" t="str">
            <v>Renuka Group</v>
          </cell>
          <cell r="J306" t="str">
            <v>Domestic</v>
          </cell>
          <cell r="K306" t="str">
            <v>Sugar</v>
          </cell>
          <cell r="L306" t="str">
            <v>Sugar</v>
          </cell>
          <cell r="M306" t="str">
            <v>Group (Mills)</v>
          </cell>
          <cell r="N306" t="str">
            <v>(0-5000)</v>
          </cell>
          <cell r="O306">
            <v>4500</v>
          </cell>
          <cell r="P306" t="str">
            <v>NI</v>
          </cell>
          <cell r="Q306" t="str">
            <v>HIMANSHU KUSHWAHA</v>
          </cell>
          <cell r="S306" t="str">
            <v>https://share.google/wM7uiBrfpFjiamRFO</v>
          </cell>
          <cell r="T306" t="str">
            <v>MAHARASHTRA + KARNATAKA</v>
          </cell>
          <cell r="U306" t="str">
            <v>25-26</v>
          </cell>
          <cell r="W306" t="str">
            <v>30-1-2026
12/31/2024</v>
          </cell>
        </row>
        <row r="307">
          <cell r="F307" t="str">
            <v>SOLP01G033</v>
          </cell>
          <cell r="G307" t="str">
            <v>GOKUL SUGAR INDUSTRIES LTD.</v>
          </cell>
          <cell r="H307">
            <v>2017</v>
          </cell>
          <cell r="I307" t="str">
            <v>-</v>
          </cell>
          <cell r="J307" t="str">
            <v>Domestic</v>
          </cell>
          <cell r="K307" t="str">
            <v>Sugar</v>
          </cell>
          <cell r="L307" t="str">
            <v>Sugar</v>
          </cell>
          <cell r="M307" t="str">
            <v>End User</v>
          </cell>
          <cell r="N307" t="str">
            <v>(0-5000)</v>
          </cell>
          <cell r="O307">
            <v>3500</v>
          </cell>
          <cell r="P307" t="str">
            <v>AV</v>
          </cell>
          <cell r="Q307" t="str">
            <v>AV</v>
          </cell>
          <cell r="R307" t="str">
            <v>PD</v>
          </cell>
          <cell r="S307" t="str">
            <v>https://share.google/5uliiW8On36SvO89l</v>
          </cell>
          <cell r="T307" t="str">
            <v>Solapur - 1</v>
          </cell>
          <cell r="U307" t="str">
            <v>23-24</v>
          </cell>
          <cell r="W307">
            <v>45085</v>
          </cell>
        </row>
        <row r="308">
          <cell r="F308" t="str">
            <v>PHAG01G102</v>
          </cell>
          <cell r="G308" t="str">
            <v>GOLDEN SANDHAR MILLS LTD (formerly Wahid Sandar Sugars Ltd)</v>
          </cell>
          <cell r="H308" t="str">
            <v>23-24</v>
          </cell>
          <cell r="I308" t="str">
            <v>-</v>
          </cell>
          <cell r="J308" t="str">
            <v>Domestic</v>
          </cell>
          <cell r="K308" t="str">
            <v>Sugar</v>
          </cell>
          <cell r="L308" t="str">
            <v>Sugar</v>
          </cell>
          <cell r="M308" t="str">
            <v>End User</v>
          </cell>
          <cell r="N308" t="str">
            <v>(0-5000)</v>
          </cell>
          <cell r="O308">
            <v>5000</v>
          </cell>
          <cell r="P308" t="str">
            <v>NI</v>
          </cell>
          <cell r="Q308" t="str">
            <v>AKSHAY AWASTHI</v>
          </cell>
          <cell r="S308" t="str">
            <v>https://share.google/8TGO3HLl6oNTJWPFA</v>
          </cell>
          <cell r="T308" t="str">
            <v>TOUR - PUNJAB</v>
          </cell>
          <cell r="U308" t="str">
            <v>25-26</v>
          </cell>
          <cell r="W308" t="str">
            <v>20-12-2025
11-07-2025
30-01-2025
27-09-2024
28-12-2019
05-09-2019</v>
          </cell>
        </row>
        <row r="309">
          <cell r="F309" t="str">
            <v>THAN01G117</v>
          </cell>
          <cell r="G309" t="str">
            <v>GOMA PROCESS TECHNOLOGIES PVT LTD</v>
          </cell>
          <cell r="H309" t="str">
            <v>25-26</v>
          </cell>
          <cell r="I309" t="str">
            <v>-</v>
          </cell>
          <cell r="J309" t="str">
            <v>Domestic</v>
          </cell>
          <cell r="K309" t="str">
            <v>FOOD</v>
          </cell>
          <cell r="L309" t="str">
            <v>Non-Sugar</v>
          </cell>
          <cell r="M309" t="str">
            <v>OEM</v>
          </cell>
          <cell r="P309" t="str">
            <v>WI-SV</v>
          </cell>
          <cell r="Q309" t="str">
            <v>SUDHIR</v>
          </cell>
          <cell r="S309" t="str">
            <v>NA</v>
          </cell>
          <cell r="U309" t="str">
            <v>25-26</v>
          </cell>
          <cell r="W309">
            <v>45755</v>
          </cell>
        </row>
        <row r="310">
          <cell r="F310" t="str">
            <v>KARN01G138</v>
          </cell>
          <cell r="G310" t="str">
            <v>GOODRICH CEREALS LIMITED</v>
          </cell>
          <cell r="H310">
            <v>2016</v>
          </cell>
          <cell r="I310" t="str">
            <v>Goodrich</v>
          </cell>
          <cell r="J310" t="str">
            <v>Domestic</v>
          </cell>
          <cell r="K310" t="str">
            <v>Food</v>
          </cell>
          <cell r="L310" t="str">
            <v>Non-Sugar</v>
          </cell>
          <cell r="M310" t="str">
            <v>Group (Mills)</v>
          </cell>
          <cell r="O310" t="str">
            <v>-</v>
          </cell>
          <cell r="P310" t="str">
            <v>NI</v>
          </cell>
          <cell r="Q310" t="str">
            <v>AKSHAY AWASTHI</v>
          </cell>
          <cell r="S310" t="str">
            <v>https://maps.app.goo.gl/ti89JYoLjSvqWwWs6</v>
          </cell>
          <cell r="T310" t="str">
            <v>HARYANA + PUNJAB</v>
          </cell>
          <cell r="U310" t="str">
            <v>25-26</v>
          </cell>
          <cell r="W310" t="str">
            <v>25-02-2026
08-07-2025
19-10-2024
28-04-2024
08-01-2024</v>
          </cell>
        </row>
        <row r="311">
          <cell r="F311" t="str">
            <v>KARN01G048</v>
          </cell>
          <cell r="G311" t="str">
            <v>GOODRICH FOODTECH LTD.</v>
          </cell>
          <cell r="H311">
            <v>2017</v>
          </cell>
          <cell r="I311" t="str">
            <v>Goodrich</v>
          </cell>
          <cell r="J311" t="str">
            <v>Domestic</v>
          </cell>
          <cell r="K311" t="str">
            <v>Food</v>
          </cell>
          <cell r="L311" t="str">
            <v>Non-Sugar</v>
          </cell>
          <cell r="M311" t="str">
            <v>Group (Mills)</v>
          </cell>
          <cell r="O311" t="str">
            <v>-</v>
          </cell>
          <cell r="P311" t="str">
            <v>NI</v>
          </cell>
          <cell r="Q311" t="str">
            <v>AKSHAY AWASTHI</v>
          </cell>
          <cell r="S311" t="str">
            <v>https://share.google/SuuN1RVRndOSgqnAR</v>
          </cell>
          <cell r="T311" t="str">
            <v>HARYANA + PUNJAB</v>
          </cell>
          <cell r="U311" t="str">
            <v>25-26</v>
          </cell>
          <cell r="V311" t="str">
            <v>Feb</v>
          </cell>
          <cell r="W311" t="str">
            <v>25-02-2026
08-07-2025
19-10-2024
08-01-2024</v>
          </cell>
        </row>
        <row r="312">
          <cell r="F312" t="str">
            <v>CHIT01G060</v>
          </cell>
          <cell r="G312" t="str">
            <v>GOYAL MARBLES PVT LTD</v>
          </cell>
          <cell r="H312">
            <v>2021</v>
          </cell>
          <cell r="I312" t="str">
            <v>-</v>
          </cell>
          <cell r="J312" t="str">
            <v>Domestic</v>
          </cell>
          <cell r="K312" t="str">
            <v>Others</v>
          </cell>
          <cell r="L312" t="str">
            <v>Non-Sugar</v>
          </cell>
          <cell r="M312" t="str">
            <v>End User</v>
          </cell>
          <cell r="P312" t="str">
            <v>SI-GS</v>
          </cell>
          <cell r="Q312" t="str">
            <v>SI-GS</v>
          </cell>
          <cell r="S312" t="str">
            <v>https://share.google/MsN5EYbYQyGMzsp8V</v>
          </cell>
          <cell r="W312" t="str">
            <v>-</v>
          </cell>
        </row>
        <row r="313">
          <cell r="F313" t="str">
            <v>GURG01G066</v>
          </cell>
          <cell r="G313" t="str">
            <v>GRACE GREEN INFRA PVT LTD</v>
          </cell>
          <cell r="H313" t="str">
            <v>21-22</v>
          </cell>
          <cell r="I313" t="str">
            <v>-</v>
          </cell>
          <cell r="J313" t="str">
            <v>Domestic</v>
          </cell>
          <cell r="K313" t="str">
            <v>ETP/STP/WTP</v>
          </cell>
          <cell r="L313" t="str">
            <v>Non-Sugar</v>
          </cell>
          <cell r="M313" t="str">
            <v>OEM</v>
          </cell>
          <cell r="O313" t="str">
            <v>-</v>
          </cell>
          <cell r="P313" t="str">
            <v>NI</v>
          </cell>
          <cell r="Q313" t="str">
            <v>AVIRAL SHUKLA</v>
          </cell>
          <cell r="R313" t="str">
            <v>-</v>
          </cell>
          <cell r="S313" t="str">
            <v>https://share.google/E83itLcHF6XRCHqUB</v>
          </cell>
          <cell r="T313" t="str">
            <v>-</v>
          </cell>
          <cell r="U313" t="str">
            <v>-</v>
          </cell>
        </row>
        <row r="314">
          <cell r="F314" t="str">
            <v>AHME01G132</v>
          </cell>
          <cell r="G314" t="str">
            <v>GRAINSPAN NUTRIENTS PVT LTD</v>
          </cell>
          <cell r="H314" t="str">
            <v>24-25</v>
          </cell>
          <cell r="I314" t="str">
            <v>-</v>
          </cell>
          <cell r="J314" t="str">
            <v>Domestic</v>
          </cell>
          <cell r="K314" t="str">
            <v>OTHERS</v>
          </cell>
          <cell r="L314" t="str">
            <v>Non-Sugar</v>
          </cell>
          <cell r="M314" t="str">
            <v>End User</v>
          </cell>
          <cell r="O314" t="str">
            <v>-</v>
          </cell>
          <cell r="P314" t="str">
            <v>NI</v>
          </cell>
          <cell r="Q314" t="str">
            <v>AKSHAY AWASTHI</v>
          </cell>
          <cell r="S314" t="str">
            <v>https://share.google/uoR9SFfZsiu047hCc</v>
          </cell>
          <cell r="U314" t="str">
            <v>25-26</v>
          </cell>
          <cell r="W314" t="str">
            <v>16-04-2025</v>
          </cell>
        </row>
        <row r="315">
          <cell r="F315" t="str">
            <v>UJJA01G070</v>
          </cell>
          <cell r="G315" t="str">
            <v>GRASIM INDUSTRIES LIMITED</v>
          </cell>
          <cell r="H315" t="str">
            <v>22-23</v>
          </cell>
          <cell r="I315" t="str">
            <v>-</v>
          </cell>
          <cell r="J315" t="str">
            <v>Domestic</v>
          </cell>
          <cell r="K315" t="str">
            <v>OTHERS</v>
          </cell>
          <cell r="L315" t="str">
            <v>Non-Sugar</v>
          </cell>
          <cell r="M315" t="str">
            <v>End User</v>
          </cell>
          <cell r="O315" t="str">
            <v>-</v>
          </cell>
          <cell r="P315" t="str">
            <v>NI</v>
          </cell>
          <cell r="Q315" t="str">
            <v>AVIRAL SHUKLA</v>
          </cell>
          <cell r="R315" t="str">
            <v>AMIT SRIVASTAVA</v>
          </cell>
          <cell r="S315" t="str">
            <v>https://share.google/5xVVdwpXxOFLRj4P9</v>
          </cell>
          <cell r="U315" t="str">
            <v>25-26</v>
          </cell>
          <cell r="W315" t="str">
            <v>04-02-2026
5/24/2024</v>
          </cell>
        </row>
        <row r="316">
          <cell r="F316" t="str">
            <v>EGPT01G082</v>
          </cell>
          <cell r="G316" t="str">
            <v>GREEN FIELDS CO. (Supplied by Phaga industries)</v>
          </cell>
          <cell r="H316" t="str">
            <v>23-24</v>
          </cell>
          <cell r="I316" t="str">
            <v>-</v>
          </cell>
          <cell r="J316" t="str">
            <v>Export</v>
          </cell>
          <cell r="K316" t="str">
            <v>OTHERS</v>
          </cell>
          <cell r="L316" t="str">
            <v>Non-Sugar</v>
          </cell>
          <cell r="M316" t="str">
            <v>End User</v>
          </cell>
          <cell r="O316" t="str">
            <v>-</v>
          </cell>
          <cell r="P316" t="str">
            <v>NI</v>
          </cell>
          <cell r="Q316" t="str">
            <v>AVIRAL SHUKLA</v>
          </cell>
          <cell r="R316" t="str">
            <v>-</v>
          </cell>
          <cell r="S316" t="str">
            <v>https://maps.app.goo.gl/eFAuWF7NkvNUg9mM7</v>
          </cell>
          <cell r="T316" t="str">
            <v>-</v>
          </cell>
          <cell r="U316" t="str">
            <v>-</v>
          </cell>
        </row>
        <row r="317">
          <cell r="F317" t="str">
            <v>DHAK01G053</v>
          </cell>
          <cell r="G317" t="str">
            <v>GREEN GENESIS ENGINEERING LTD</v>
          </cell>
          <cell r="H317">
            <v>2018</v>
          </cell>
          <cell r="I317" t="str">
            <v>-</v>
          </cell>
          <cell r="J317" t="str">
            <v>Export</v>
          </cell>
          <cell r="K317" t="str">
            <v>Sugar</v>
          </cell>
          <cell r="L317" t="str">
            <v>Sugar</v>
          </cell>
          <cell r="M317" t="str">
            <v>Trader</v>
          </cell>
          <cell r="O317" t="str">
            <v>-</v>
          </cell>
          <cell r="P317" t="str">
            <v>NI</v>
          </cell>
          <cell r="Q317" t="str">
            <v>AVIRAL SHUKLA</v>
          </cell>
          <cell r="R317" t="str">
            <v>-</v>
          </cell>
          <cell r="S317" t="str">
            <v>https://share.google/rPP7WWea5LTaZtjeM</v>
          </cell>
          <cell r="T317" t="str">
            <v>-</v>
          </cell>
          <cell r="U317" t="str">
            <v>-</v>
          </cell>
          <cell r="W317" t="str">
            <v>-</v>
          </cell>
        </row>
        <row r="318">
          <cell r="F318" t="str">
            <v>MUZF01G139</v>
          </cell>
          <cell r="G318" t="str">
            <v>GREEN HOUSE BIO ENERGY PRIVATE LIMITED</v>
          </cell>
          <cell r="H318" t="str">
            <v>25-26</v>
          </cell>
          <cell r="I318" t="str">
            <v>-</v>
          </cell>
          <cell r="J318" t="str">
            <v>Domestic</v>
          </cell>
          <cell r="K318" t="str">
            <v>biogas</v>
          </cell>
          <cell r="L318" t="str">
            <v>Non-Sugar</v>
          </cell>
          <cell r="M318" t="str">
            <v>End User</v>
          </cell>
          <cell r="P318" t="str">
            <v>WI-SV</v>
          </cell>
          <cell r="Q318" t="str">
            <v>SUDHIR</v>
          </cell>
          <cell r="S318" t="str">
            <v>https://share.google/bibsfSEsThIEyLaJB</v>
          </cell>
          <cell r="U318" t="str">
            <v>25-26</v>
          </cell>
          <cell r="W318" t="str">
            <v>26-08-2025</v>
          </cell>
        </row>
        <row r="319">
          <cell r="F319" t="str">
            <v>UNNA01G146</v>
          </cell>
          <cell r="G319" t="str">
            <v>GREEN INDIA BIO FUEL PVT LTD</v>
          </cell>
          <cell r="H319" t="str">
            <v>-</v>
          </cell>
          <cell r="J319" t="str">
            <v>Domestic</v>
          </cell>
          <cell r="P319" t="str">
            <v>HO</v>
          </cell>
          <cell r="Q319" t="str">
            <v>-</v>
          </cell>
          <cell r="R319" t="str">
            <v>amit</v>
          </cell>
          <cell r="U319" t="str">
            <v>25-26</v>
          </cell>
          <cell r="W319" t="str">
            <v>14-03-2026</v>
          </cell>
        </row>
        <row r="320">
          <cell r="F320" t="str">
            <v>SATA01G023</v>
          </cell>
          <cell r="G320" t="str">
            <v>GREEN POWER SUGARS LTD.</v>
          </cell>
          <cell r="H320">
            <v>2015</v>
          </cell>
          <cell r="I320" t="str">
            <v>-</v>
          </cell>
          <cell r="J320" t="str">
            <v>Domestic</v>
          </cell>
          <cell r="K320" t="str">
            <v>Sugar</v>
          </cell>
          <cell r="L320" t="str">
            <v>Sugar</v>
          </cell>
          <cell r="M320" t="str">
            <v>End User</v>
          </cell>
          <cell r="N320" t="str">
            <v>(0-5000)</v>
          </cell>
          <cell r="O320" t="str">
            <v>Sugar 3500
Distillery 45 KLPD</v>
          </cell>
          <cell r="P320" t="str">
            <v>MRK</v>
          </cell>
          <cell r="Q320" t="str">
            <v>MRK</v>
          </cell>
          <cell r="R320" t="str">
            <v>VG</v>
          </cell>
          <cell r="S320" t="str">
            <v>https://share.google/Z6j4lfc4bx25uO2NW</v>
          </cell>
          <cell r="T320" t="str">
            <v>Satara - 1</v>
          </cell>
          <cell r="U320" t="str">
            <v>25-26</v>
          </cell>
          <cell r="W320" t="str">
            <v>15-05-2025
10-01-2023
26-08-2023</v>
          </cell>
        </row>
        <row r="321">
          <cell r="F321" t="str">
            <v>VAPI01G064</v>
          </cell>
          <cell r="G321" t="str">
            <v>GROWVEO</v>
          </cell>
          <cell r="H321" t="str">
            <v>21-22</v>
          </cell>
          <cell r="I321" t="str">
            <v>-</v>
          </cell>
          <cell r="J321" t="str">
            <v>Domestic</v>
          </cell>
          <cell r="K321" t="str">
            <v>Textile</v>
          </cell>
          <cell r="L321" t="str">
            <v>Non-Sugar</v>
          </cell>
          <cell r="M321" t="str">
            <v>End User</v>
          </cell>
          <cell r="O321" t="str">
            <v>-</v>
          </cell>
          <cell r="P321" t="str">
            <v>NI</v>
          </cell>
          <cell r="Q321" t="str">
            <v>AVIRAL SHUKLA</v>
          </cell>
          <cell r="R321" t="str">
            <v>-</v>
          </cell>
          <cell r="S321" t="str">
            <v>https://share.google/POyj7yaRX4X9sEPbP</v>
          </cell>
          <cell r="T321" t="str">
            <v>-</v>
          </cell>
          <cell r="U321" t="str">
            <v>-</v>
          </cell>
          <cell r="W321" t="str">
            <v>Will visit</v>
          </cell>
        </row>
        <row r="322">
          <cell r="F322" t="str">
            <v>ARGB01G051</v>
          </cell>
          <cell r="G322" t="str">
            <v>GRUSHNESHWAR SUGARS PVT. LTD.</v>
          </cell>
          <cell r="H322">
            <v>2018</v>
          </cell>
          <cell r="I322" t="str">
            <v>-</v>
          </cell>
          <cell r="J322" t="str">
            <v>Domestic</v>
          </cell>
          <cell r="K322" t="str">
            <v>Sugar</v>
          </cell>
          <cell r="L322" t="str">
            <v>Sugar</v>
          </cell>
          <cell r="M322" t="str">
            <v>End User</v>
          </cell>
          <cell r="N322" t="str">
            <v>(0-5000)</v>
          </cell>
          <cell r="O322">
            <v>2500</v>
          </cell>
          <cell r="P322" t="str">
            <v>AV</v>
          </cell>
          <cell r="Q322" t="str">
            <v>AV</v>
          </cell>
          <cell r="R322" t="str">
            <v>PD</v>
          </cell>
          <cell r="S322" t="str">
            <v>https://share.google/uziTu4QITMbnPP5gZ</v>
          </cell>
          <cell r="T322" t="str">
            <v>Aurangabad - 1</v>
          </cell>
          <cell r="U322" t="str">
            <v>23-24</v>
          </cell>
          <cell r="W322">
            <v>45167</v>
          </cell>
        </row>
        <row r="323">
          <cell r="F323" t="str">
            <v>PUNE01G122</v>
          </cell>
          <cell r="G323" t="str">
            <v>GUDAGUNTI SUGAR &amp; BIOENERGY PVT. LTD(FORMERLY ARIHANT SUGAR)</v>
          </cell>
          <cell r="H323" t="str">
            <v>24-25</v>
          </cell>
          <cell r="I323" t="str">
            <v>-</v>
          </cell>
          <cell r="J323" t="str">
            <v>Domestic</v>
          </cell>
          <cell r="K323" t="str">
            <v>Sugar</v>
          </cell>
          <cell r="L323" t="str">
            <v>Sugar</v>
          </cell>
          <cell r="M323" t="str">
            <v>End User</v>
          </cell>
          <cell r="N323" t="str">
            <v>(0-5000)</v>
          </cell>
          <cell r="O323">
            <v>4500</v>
          </cell>
          <cell r="P323" t="str">
            <v>AV</v>
          </cell>
          <cell r="Q323" t="str">
            <v>AV</v>
          </cell>
          <cell r="R323" t="str">
            <v>VG</v>
          </cell>
          <cell r="S323" t="str">
            <v>NA</v>
          </cell>
          <cell r="T323" t="str">
            <v>Belagavi - 2</v>
          </cell>
          <cell r="U323" t="str">
            <v>25-26</v>
          </cell>
          <cell r="W323" t="str">
            <v>18-9-2025
11/22/2022</v>
          </cell>
        </row>
        <row r="324">
          <cell r="F324" t="str">
            <v>JHAN01M206</v>
          </cell>
          <cell r="G324" t="str">
            <v>GUNPARK</v>
          </cell>
          <cell r="H324" t="str">
            <v>-</v>
          </cell>
          <cell r="J324" t="str">
            <v>Domestic</v>
          </cell>
          <cell r="P324" t="str">
            <v>HO</v>
          </cell>
          <cell r="Q324" t="str">
            <v>-</v>
          </cell>
        </row>
        <row r="325">
          <cell r="F325" t="str">
            <v>KOLK01G140</v>
          </cell>
          <cell r="G325" t="str">
            <v>GUTTA ENGINEERING</v>
          </cell>
          <cell r="H325" t="str">
            <v>-</v>
          </cell>
          <cell r="J325" t="str">
            <v>Domestic</v>
          </cell>
          <cell r="P325" t="str">
            <v>VA</v>
          </cell>
          <cell r="Q325" t="str">
            <v>-</v>
          </cell>
        </row>
        <row r="326">
          <cell r="F326" t="str">
            <v>PUNE01H067</v>
          </cell>
          <cell r="G326" t="str">
            <v>HALLMARK BOILERS PVT LTD</v>
          </cell>
          <cell r="H326" t="str">
            <v>23-24</v>
          </cell>
          <cell r="I326" t="str">
            <v>-</v>
          </cell>
          <cell r="J326" t="str">
            <v>Domestic</v>
          </cell>
          <cell r="K326" t="str">
            <v>Sugar</v>
          </cell>
          <cell r="L326" t="str">
            <v>Sugar</v>
          </cell>
          <cell r="M326" t="str">
            <v>OEM</v>
          </cell>
          <cell r="O326" t="str">
            <v>-</v>
          </cell>
          <cell r="P326" t="str">
            <v>NI</v>
          </cell>
          <cell r="Q326" t="str">
            <v>AVIRAL SHUKLA</v>
          </cell>
          <cell r="S326" t="str">
            <v>https://share.google/SxMBAjKtrK7gvGSnM</v>
          </cell>
          <cell r="T326" t="str">
            <v>-</v>
          </cell>
          <cell r="U326" t="str">
            <v>-</v>
          </cell>
          <cell r="W326" t="str">
            <v>-</v>
          </cell>
        </row>
        <row r="327">
          <cell r="F327" t="str">
            <v>LATU01H034</v>
          </cell>
          <cell r="G327" t="str">
            <v>HANUMAN KHANDSARI SUGAR MILLS</v>
          </cell>
          <cell r="H327">
            <v>2015</v>
          </cell>
          <cell r="I327" t="str">
            <v>-</v>
          </cell>
          <cell r="J327" t="str">
            <v>Domestic</v>
          </cell>
          <cell r="K327" t="str">
            <v>Khandsari</v>
          </cell>
          <cell r="L327" t="str">
            <v>Non-Sugar</v>
          </cell>
          <cell r="M327" t="str">
            <v>End User</v>
          </cell>
          <cell r="N327" t="str">
            <v>(0-5000)</v>
          </cell>
          <cell r="O327">
            <v>300</v>
          </cell>
          <cell r="P327" t="str">
            <v>AV</v>
          </cell>
          <cell r="Q327" t="str">
            <v>AV</v>
          </cell>
          <cell r="R327" t="str">
            <v>PD</v>
          </cell>
          <cell r="S327" t="str">
            <v>https://share.google/PPSGFu8dyaNfs7OXn</v>
          </cell>
          <cell r="T327" t="str">
            <v>Latur - 1</v>
          </cell>
          <cell r="U327" t="str">
            <v>23-24</v>
          </cell>
          <cell r="W327">
            <v>45207</v>
          </cell>
        </row>
        <row r="328">
          <cell r="F328" t="str">
            <v>BETU01H044</v>
          </cell>
          <cell r="G328" t="str">
            <v>HANUMANT SUGAR PVT LTD (Maheshwari Sugars)</v>
          </cell>
          <cell r="H328">
            <v>2017</v>
          </cell>
          <cell r="I328" t="str">
            <v>Maheshwari Group</v>
          </cell>
          <cell r="J328" t="str">
            <v>Domestic</v>
          </cell>
          <cell r="K328" t="str">
            <v>Sugar</v>
          </cell>
          <cell r="L328" t="str">
            <v>Sugar</v>
          </cell>
          <cell r="M328" t="str">
            <v>Group (Mills)</v>
          </cell>
          <cell r="N328" t="str">
            <v>(0-5000)</v>
          </cell>
          <cell r="O328">
            <v>3000</v>
          </cell>
          <cell r="P328" t="str">
            <v>NI</v>
          </cell>
          <cell r="Q328" t="str">
            <v>HIMANSHU KUSHWAHA</v>
          </cell>
          <cell r="S328" t="str">
            <v>https://share.google/zhcopPl3goytwVLYf</v>
          </cell>
          <cell r="T328" t="str">
            <v>MP</v>
          </cell>
          <cell r="U328" t="str">
            <v>25-26</v>
          </cell>
          <cell r="W328" t="str">
            <v>13-1-2026
17-12-2025
16-05-2025
30-05-2024
27-02-2024</v>
          </cell>
        </row>
        <row r="329">
          <cell r="F329" t="str">
            <v>WSCH01H001</v>
          </cell>
          <cell r="G329" t="str">
            <v>HARINAGAR SUGAR MILLS LIMITED</v>
          </cell>
          <cell r="H329">
            <v>2014</v>
          </cell>
          <cell r="I329" t="str">
            <v>-</v>
          </cell>
          <cell r="J329" t="str">
            <v>Domestic</v>
          </cell>
          <cell r="K329" t="str">
            <v>Sugar</v>
          </cell>
          <cell r="L329" t="str">
            <v>Sugar</v>
          </cell>
          <cell r="M329" t="str">
            <v>End User</v>
          </cell>
          <cell r="N329" t="str">
            <v>(9001 &amp; above)</v>
          </cell>
          <cell r="O329">
            <v>12000</v>
          </cell>
          <cell r="P329" t="str">
            <v>NI</v>
          </cell>
          <cell r="Q329" t="str">
            <v>AVIRAL SHUKLA</v>
          </cell>
          <cell r="S329" t="str">
            <v>https://maps.app.goo.gl/tbaXJqB5nsHSqRGr5</v>
          </cell>
          <cell r="T329" t="str">
            <v>-</v>
          </cell>
          <cell r="U329" t="str">
            <v>26-27</v>
          </cell>
          <cell r="V329" t="str">
            <v>May</v>
          </cell>
          <cell r="W329" t="str">
            <v>4-5-2026
11-06-2025
30-01-2025
26-11-2023</v>
          </cell>
        </row>
        <row r="330">
          <cell r="F330" t="str">
            <v>BELG01H045</v>
          </cell>
          <cell r="G330" t="str">
            <v>HARSHA SUGAR LTD</v>
          </cell>
          <cell r="H330">
            <v>2020</v>
          </cell>
          <cell r="I330" t="str">
            <v>-</v>
          </cell>
          <cell r="J330" t="str">
            <v>Domestic</v>
          </cell>
          <cell r="K330" t="str">
            <v>Sugar</v>
          </cell>
          <cell r="L330" t="str">
            <v>Sugar</v>
          </cell>
          <cell r="M330" t="str">
            <v>End User</v>
          </cell>
          <cell r="N330" t="str">
            <v>(5001-9000)</v>
          </cell>
          <cell r="O330">
            <v>7500</v>
          </cell>
          <cell r="P330" t="str">
            <v>MRK</v>
          </cell>
          <cell r="Q330" t="str">
            <v>MRK</v>
          </cell>
          <cell r="R330" t="str">
            <v>VG</v>
          </cell>
          <cell r="S330" t="str">
            <v>https://share.google/bd3It2OsZeOB7KW9V</v>
          </cell>
          <cell r="T330" t="str">
            <v>Belagavi - 2</v>
          </cell>
          <cell r="U330" t="str">
            <v>26-27</v>
          </cell>
          <cell r="V330" t="str">
            <v>Apr</v>
          </cell>
          <cell r="W330" t="str">
            <v>10-4-2026
18-02-2025
06-12-2024
03-12-2023
16-02-2023
28-09-2022</v>
          </cell>
        </row>
        <row r="331">
          <cell r="F331" t="str">
            <v>BHIW01H086</v>
          </cell>
          <cell r="G331" t="str">
            <v>Haryana non woven</v>
          </cell>
          <cell r="H331" t="str">
            <v>24-25</v>
          </cell>
          <cell r="I331" t="str">
            <v>-</v>
          </cell>
          <cell r="J331" t="str">
            <v>Domestic</v>
          </cell>
          <cell r="K331" t="str">
            <v>Textile</v>
          </cell>
          <cell r="L331" t="str">
            <v>Non-Sugar</v>
          </cell>
          <cell r="M331" t="str">
            <v>End User</v>
          </cell>
          <cell r="O331" t="str">
            <v>-</v>
          </cell>
          <cell r="P331" t="str">
            <v>NI</v>
          </cell>
          <cell r="Q331" t="str">
            <v>HIMANSHU KUSHWAHA</v>
          </cell>
          <cell r="S331" t="str">
            <v>https://share.google/ZD1d6RtpVj0bhFX1a</v>
          </cell>
        </row>
        <row r="332">
          <cell r="F332" t="str">
            <v>PANI01G020</v>
          </cell>
          <cell r="G332" t="str">
            <v>HARYANA ORGANICS</v>
          </cell>
          <cell r="H332" t="str">
            <v>20-21</v>
          </cell>
          <cell r="I332" t="str">
            <v>-</v>
          </cell>
          <cell r="J332" t="str">
            <v>Domestic</v>
          </cell>
          <cell r="K332" t="str">
            <v>Distillery(Sugar)</v>
          </cell>
          <cell r="L332" t="str">
            <v>Non-Sugar</v>
          </cell>
          <cell r="M332" t="str">
            <v>End User</v>
          </cell>
          <cell r="O332" t="str">
            <v>-</v>
          </cell>
          <cell r="P332" t="str">
            <v>NI</v>
          </cell>
          <cell r="Q332" t="str">
            <v>AVIRAL SHUKLA</v>
          </cell>
          <cell r="S332" t="str">
            <v>https://share.google/y0BtPZCOlnjPHFCVd</v>
          </cell>
          <cell r="T332" t="str">
            <v>-</v>
          </cell>
          <cell r="U332" t="str">
            <v>-</v>
          </cell>
        </row>
        <row r="333">
          <cell r="F333" t="str">
            <v>KASH01H089</v>
          </cell>
          <cell r="G333" t="str">
            <v>HEART TOUCH PAPER MILL</v>
          </cell>
          <cell r="H333" t="str">
            <v>25-26</v>
          </cell>
          <cell r="I333" t="str">
            <v>-</v>
          </cell>
          <cell r="J333" t="str">
            <v>Domestic</v>
          </cell>
          <cell r="K333" t="str">
            <v>Paper</v>
          </cell>
          <cell r="L333" t="str">
            <v>Non-Sugar</v>
          </cell>
          <cell r="M333" t="str">
            <v>End User</v>
          </cell>
          <cell r="O333" t="str">
            <v>-</v>
          </cell>
          <cell r="P333" t="str">
            <v>NI</v>
          </cell>
          <cell r="Q333" t="str">
            <v>HIMANSHU KUSHWAHA</v>
          </cell>
          <cell r="S333" t="str">
            <v>https://share.google/wyPCU2XMj8oHqnWY6</v>
          </cell>
        </row>
        <row r="334">
          <cell r="F334" t="str">
            <v>BELG01H040</v>
          </cell>
          <cell r="G334" t="str">
            <v>HERMES DISTILLERY PVT LTD</v>
          </cell>
          <cell r="H334">
            <v>2017</v>
          </cell>
          <cell r="I334" t="str">
            <v>Kore group (same owner)</v>
          </cell>
          <cell r="J334" t="str">
            <v>Domestic</v>
          </cell>
          <cell r="K334" t="str">
            <v>Distillery(Sugar)</v>
          </cell>
          <cell r="L334" t="str">
            <v>Non-Sugar</v>
          </cell>
          <cell r="M334" t="str">
            <v>Group (Mills)</v>
          </cell>
          <cell r="O334" t="str">
            <v>600 KLPD</v>
          </cell>
          <cell r="P334" t="str">
            <v>MRK</v>
          </cell>
          <cell r="Q334" t="str">
            <v>MRK</v>
          </cell>
          <cell r="R334" t="str">
            <v>VG</v>
          </cell>
          <cell r="S334" t="str">
            <v>https://share.google/XfkgsprShjIoaztLX</v>
          </cell>
          <cell r="T334" t="str">
            <v>Belagavi - 1</v>
          </cell>
          <cell r="U334" t="str">
            <v>23-24</v>
          </cell>
          <cell r="W334" t="str">
            <v>01-12-2023
08-02-2023</v>
          </cell>
        </row>
        <row r="335">
          <cell r="F335" t="str">
            <v>JANA01H031</v>
          </cell>
          <cell r="G335" t="str">
            <v>HIMALAYA SUGAR MILLS LIMITED</v>
          </cell>
          <cell r="H335">
            <v>2016</v>
          </cell>
          <cell r="I335" t="str">
            <v>-</v>
          </cell>
          <cell r="J335" t="str">
            <v>Export</v>
          </cell>
          <cell r="K335" t="str">
            <v>Sugar</v>
          </cell>
          <cell r="L335" t="str">
            <v>Sugar</v>
          </cell>
          <cell r="M335" t="str">
            <v>End User</v>
          </cell>
          <cell r="N335" t="str">
            <v>(0-5000)</v>
          </cell>
          <cell r="O335">
            <v>3500</v>
          </cell>
          <cell r="P335" t="str">
            <v>NI</v>
          </cell>
          <cell r="Q335" t="str">
            <v>AKSHAY AWASTHI</v>
          </cell>
          <cell r="S335" t="str">
            <v>https://maps.app.goo.gl/MFKtCxoPcgfhe7UUA</v>
          </cell>
          <cell r="T335" t="str">
            <v>Tour-Nepal</v>
          </cell>
          <cell r="U335" t="str">
            <v>24-25</v>
          </cell>
          <cell r="W335" t="str">
            <v>30-06-2024
13-01-2024</v>
          </cell>
        </row>
        <row r="336">
          <cell r="F336" t="str">
            <v>SAHA01H004</v>
          </cell>
          <cell r="G336" t="str">
            <v>HINDON FILTERS (P) LTD. (UNIT-II)</v>
          </cell>
          <cell r="H336">
            <v>2018</v>
          </cell>
          <cell r="I336" t="str">
            <v>-</v>
          </cell>
          <cell r="J336" t="str">
            <v>Domestic</v>
          </cell>
          <cell r="K336" t="str">
            <v>OTHERS</v>
          </cell>
          <cell r="L336" t="str">
            <v>Non-Sugar</v>
          </cell>
          <cell r="M336" t="str">
            <v>End User</v>
          </cell>
          <cell r="O336" t="str">
            <v>-</v>
          </cell>
          <cell r="P336" t="str">
            <v>NI</v>
          </cell>
          <cell r="Q336" t="str">
            <v>AMIT SRIVASTAVA</v>
          </cell>
          <cell r="S336" t="str">
            <v>https://share.google/AUU1WbWXT8f7XRtHd</v>
          </cell>
          <cell r="T336" t="str">
            <v>-</v>
          </cell>
          <cell r="U336" t="str">
            <v>24-25</v>
          </cell>
          <cell r="W336" t="str">
            <v>26-02-2025</v>
          </cell>
        </row>
        <row r="337">
          <cell r="F337" t="str">
            <v>JAIP01H066</v>
          </cell>
          <cell r="G337" t="str">
            <v>HINDUSTAN COPPER LIMITED</v>
          </cell>
          <cell r="H337" t="str">
            <v>23-24</v>
          </cell>
          <cell r="I337" t="str">
            <v>-</v>
          </cell>
          <cell r="J337" t="str">
            <v>Domestic</v>
          </cell>
          <cell r="K337" t="str">
            <v>OTHERS</v>
          </cell>
          <cell r="L337" t="str">
            <v>Non-Sugar</v>
          </cell>
          <cell r="M337" t="str">
            <v>End User</v>
          </cell>
          <cell r="O337" t="str">
            <v>-</v>
          </cell>
          <cell r="P337" t="str">
            <v>VA</v>
          </cell>
          <cell r="Q337" t="str">
            <v>VA</v>
          </cell>
          <cell r="S337" t="str">
            <v>https://share.google/tDGosIlxQMBfOF36H</v>
          </cell>
          <cell r="T337" t="str">
            <v>-</v>
          </cell>
          <cell r="U337" t="str">
            <v>-</v>
          </cell>
          <cell r="W337" t="str">
            <v>-</v>
          </cell>
        </row>
        <row r="338">
          <cell r="F338" t="str">
            <v>INDR01H047</v>
          </cell>
          <cell r="G338" t="str">
            <v>HINDUSTAN EQUIPMENTS PVT LTD</v>
          </cell>
          <cell r="H338" t="str">
            <v>21-22</v>
          </cell>
          <cell r="I338" t="str">
            <v>-</v>
          </cell>
          <cell r="J338" t="str">
            <v>Domestic</v>
          </cell>
          <cell r="K338" t="str">
            <v>OTHERS</v>
          </cell>
          <cell r="L338" t="str">
            <v>Non-Sugar</v>
          </cell>
          <cell r="M338" t="str">
            <v>OEM</v>
          </cell>
          <cell r="O338" t="str">
            <v>-</v>
          </cell>
          <cell r="P338" t="str">
            <v>NI</v>
          </cell>
          <cell r="Q338" t="str">
            <v>HIMANSHU KUSHWAHA</v>
          </cell>
          <cell r="S338" t="str">
            <v>https://share.google/RcTls1TSCGGeiFjWg</v>
          </cell>
          <cell r="T338" t="str">
            <v>M.P -2</v>
          </cell>
          <cell r="U338" t="str">
            <v>25-26</v>
          </cell>
          <cell r="W338" t="str">
            <v>16-09-2025</v>
          </cell>
        </row>
        <row r="339">
          <cell r="F339" t="str">
            <v>MUMB01H096</v>
          </cell>
          <cell r="G339" t="str">
            <v>HINDUSTAN PETROLEUM CORPORATION LTD</v>
          </cell>
          <cell r="H339" t="str">
            <v>-</v>
          </cell>
          <cell r="J339" t="str">
            <v>Domestic</v>
          </cell>
          <cell r="P339" t="str">
            <v>VA</v>
          </cell>
          <cell r="Q339" t="str">
            <v>-</v>
          </cell>
        </row>
        <row r="340">
          <cell r="F340" t="str">
            <v>DLHI01H045</v>
          </cell>
          <cell r="G340" t="str">
            <v>HI-TECH SWEET WATER TECH PVT LTD</v>
          </cell>
          <cell r="H340" t="str">
            <v>19-20</v>
          </cell>
          <cell r="I340" t="str">
            <v>-</v>
          </cell>
          <cell r="J340" t="str">
            <v>Domestic</v>
          </cell>
          <cell r="K340" t="str">
            <v>OTHERS</v>
          </cell>
          <cell r="L340" t="str">
            <v>Non-Sugar</v>
          </cell>
          <cell r="M340" t="str">
            <v>OEM</v>
          </cell>
          <cell r="O340" t="str">
            <v>-</v>
          </cell>
          <cell r="P340" t="str">
            <v>NI</v>
          </cell>
          <cell r="Q340" t="str">
            <v>AKSHAY AWASTHI</v>
          </cell>
          <cell r="S340" t="str">
            <v>https://maps.app.goo.gl/qT6QALAaXnRZK1rX7</v>
          </cell>
          <cell r="T340" t="str">
            <v>-</v>
          </cell>
          <cell r="U340">
            <v>2024</v>
          </cell>
        </row>
        <row r="341">
          <cell r="F341" t="str">
            <v>GURG01H076</v>
          </cell>
          <cell r="G341" t="str">
            <v>HITECK SERVICES_HARYANA</v>
          </cell>
          <cell r="H341" t="str">
            <v>24-25</v>
          </cell>
          <cell r="I341" t="str">
            <v>-</v>
          </cell>
          <cell r="J341" t="str">
            <v>Domestic</v>
          </cell>
          <cell r="K341" t="str">
            <v>others</v>
          </cell>
          <cell r="L341" t="str">
            <v>Non-Sugar</v>
          </cell>
          <cell r="M341" t="str">
            <v>Trader</v>
          </cell>
          <cell r="O341" t="str">
            <v>-</v>
          </cell>
          <cell r="P341" t="str">
            <v>NI</v>
          </cell>
          <cell r="Q341" t="str">
            <v>AKSHAY AWASTHI</v>
          </cell>
          <cell r="S341" t="str">
            <v>https://share.google/b6UR3yUtvkxrup0g7</v>
          </cell>
          <cell r="U341" t="str">
            <v>24-25</v>
          </cell>
          <cell r="W341" t="str">
            <v>25-02-2025</v>
          </cell>
        </row>
        <row r="342">
          <cell r="F342" t="str">
            <v>UGAN01H043</v>
          </cell>
          <cell r="G342" t="str">
            <v>HOIMA SUGARS LIMITED</v>
          </cell>
          <cell r="H342">
            <v>2017</v>
          </cell>
          <cell r="I342" t="str">
            <v>-</v>
          </cell>
          <cell r="J342" t="str">
            <v>Export</v>
          </cell>
          <cell r="K342" t="str">
            <v>Sugar</v>
          </cell>
          <cell r="L342" t="str">
            <v>Sugar</v>
          </cell>
          <cell r="M342" t="str">
            <v>End User</v>
          </cell>
          <cell r="O342" t="str">
            <v>-</v>
          </cell>
          <cell r="P342" t="str">
            <v>NI</v>
          </cell>
          <cell r="Q342" t="str">
            <v>AVIRAL SHUKLA</v>
          </cell>
          <cell r="S342" t="str">
            <v>https://share.google/VhYUawsGoPxxbKqlj</v>
          </cell>
          <cell r="T342" t="str">
            <v>-</v>
          </cell>
          <cell r="U342" t="str">
            <v>-</v>
          </cell>
          <cell r="W342" t="str">
            <v>-</v>
          </cell>
        </row>
        <row r="343">
          <cell r="F343" t="str">
            <v>PANI01H046</v>
          </cell>
          <cell r="G343" t="str">
            <v>HOME FLOOR INTERNATIONAL</v>
          </cell>
          <cell r="H343" t="str">
            <v>21-22</v>
          </cell>
          <cell r="I343" t="str">
            <v>-</v>
          </cell>
          <cell r="J343" t="str">
            <v>Domestic</v>
          </cell>
          <cell r="K343" t="str">
            <v>OTHERS</v>
          </cell>
          <cell r="L343" t="str">
            <v>Non-Sugar</v>
          </cell>
          <cell r="M343" t="str">
            <v>End User</v>
          </cell>
          <cell r="O343" t="str">
            <v>-</v>
          </cell>
          <cell r="P343" t="str">
            <v>NI</v>
          </cell>
          <cell r="Q343" t="str">
            <v>AVIRAL SHUKLA</v>
          </cell>
          <cell r="S343" t="str">
            <v>https://share.google/mQthn7OuKkVGWR1oK</v>
          </cell>
          <cell r="T343" t="str">
            <v>-</v>
          </cell>
          <cell r="U343" t="str">
            <v>-</v>
          </cell>
        </row>
        <row r="344">
          <cell r="F344" t="str">
            <v>WSCH01H008</v>
          </cell>
          <cell r="G344" t="str">
            <v>HPCL BIOFUELS LTD. (LAURIYA)</v>
          </cell>
          <cell r="H344">
            <v>2013</v>
          </cell>
          <cell r="I344" t="str">
            <v>-</v>
          </cell>
          <cell r="J344" t="str">
            <v>Domestic</v>
          </cell>
          <cell r="K344" t="str">
            <v>Sugar</v>
          </cell>
          <cell r="L344" t="str">
            <v>Sugar</v>
          </cell>
          <cell r="M344" t="str">
            <v>End User</v>
          </cell>
          <cell r="N344" t="str">
            <v>(0-5000)</v>
          </cell>
          <cell r="O344">
            <v>4000</v>
          </cell>
          <cell r="P344" t="str">
            <v>NI</v>
          </cell>
          <cell r="Q344" t="str">
            <v>AVIRAL SHUKLA</v>
          </cell>
          <cell r="S344" t="str">
            <v>https://maps.app.goo.gl/tERbxg4xk4qJUvG99</v>
          </cell>
          <cell r="T344" t="str">
            <v>-</v>
          </cell>
          <cell r="U344" t="str">
            <v>26-27</v>
          </cell>
          <cell r="V344" t="str">
            <v>May</v>
          </cell>
          <cell r="W344" t="str">
            <v>4-5-2026
18-12-2025
12-06-2025
31-01-2025
28-09-2024
26-11-2023
07-09-2022
21-01-2022
26-02-2021
26-02-2021
14-10-2020
22-10-2019
08-06-2019
05-02-2019</v>
          </cell>
        </row>
        <row r="345">
          <cell r="F345" t="str">
            <v>ESCH01H007</v>
          </cell>
          <cell r="G345" t="str">
            <v>HPCL BIOFUELS LTD. (Sugauli)</v>
          </cell>
          <cell r="H345">
            <v>2013</v>
          </cell>
          <cell r="I345" t="str">
            <v>-</v>
          </cell>
          <cell r="J345" t="str">
            <v>Domestic</v>
          </cell>
          <cell r="K345" t="str">
            <v>Sugar</v>
          </cell>
          <cell r="L345" t="str">
            <v>Sugar</v>
          </cell>
          <cell r="M345" t="str">
            <v>End User</v>
          </cell>
          <cell r="N345" t="str">
            <v>(0-5000)</v>
          </cell>
          <cell r="O345">
            <v>3500</v>
          </cell>
          <cell r="P345" t="str">
            <v>NI</v>
          </cell>
          <cell r="Q345" t="str">
            <v>AVIRAL SHUKLA</v>
          </cell>
          <cell r="S345" t="str">
            <v>https://share.google/Tm1DxJlwUDznrEWW6</v>
          </cell>
          <cell r="T345" t="str">
            <v>-</v>
          </cell>
          <cell r="U345" t="str">
            <v>26-27</v>
          </cell>
          <cell r="V345" t="str">
            <v>May</v>
          </cell>
          <cell r="W345" t="str">
            <v>4-5-2026
18-12-2025
12-06-2025
27-09-2024
25-11-2023</v>
          </cell>
        </row>
        <row r="346">
          <cell r="F346" t="str">
            <v>KUTC01H094</v>
          </cell>
          <cell r="G346" t="str">
            <v>HRMM ENTERPRISES PRIVATE LIMITED</v>
          </cell>
          <cell r="H346" t="str">
            <v>-</v>
          </cell>
          <cell r="J346" t="str">
            <v>Domestic</v>
          </cell>
          <cell r="P346" t="str">
            <v>HO</v>
          </cell>
          <cell r="Q346" t="str">
            <v>-</v>
          </cell>
        </row>
        <row r="347">
          <cell r="F347" t="str">
            <v>MUMB01H091</v>
          </cell>
          <cell r="G347" t="str">
            <v>HYDROSKILL INDIA PRIVATE LIMITED</v>
          </cell>
          <cell r="H347" t="str">
            <v>25-26</v>
          </cell>
          <cell r="I347" t="str">
            <v>-</v>
          </cell>
          <cell r="J347" t="str">
            <v>Domestic</v>
          </cell>
          <cell r="L347" t="str">
            <v>Non-Sugar</v>
          </cell>
          <cell r="M347" t="str">
            <v>OEM</v>
          </cell>
          <cell r="P347" t="str">
            <v>WI-SV</v>
          </cell>
          <cell r="Q347" t="str">
            <v>SUDHIR</v>
          </cell>
          <cell r="S347" t="str">
            <v>https://maps.app.goo.gl/3xFqw6T6bwYXFdtK9</v>
          </cell>
          <cell r="U347" t="str">
            <v>25-26</v>
          </cell>
          <cell r="W347" t="str">
            <v>31-10-2025</v>
          </cell>
        </row>
        <row r="348">
          <cell r="F348" t="str">
            <v>YAMN01I042</v>
          </cell>
          <cell r="G348" t="str">
            <v>IMPECCABLE WATER TECH LLP</v>
          </cell>
          <cell r="H348" t="str">
            <v>20-21</v>
          </cell>
          <cell r="I348" t="str">
            <v>-</v>
          </cell>
          <cell r="J348" t="str">
            <v>Domestic</v>
          </cell>
          <cell r="K348" t="str">
            <v>OTHERS</v>
          </cell>
          <cell r="L348" t="str">
            <v>Non-Sugar</v>
          </cell>
          <cell r="M348" t="str">
            <v>OEM</v>
          </cell>
          <cell r="O348" t="str">
            <v>-</v>
          </cell>
          <cell r="P348" t="str">
            <v>NI</v>
          </cell>
          <cell r="Q348" t="str">
            <v>AKSHAY AWASTHI</v>
          </cell>
          <cell r="S348" t="str">
            <v>https://maps.app.goo.gl/v7ZyJbRrosqdrntG6</v>
          </cell>
          <cell r="T348" t="str">
            <v>-</v>
          </cell>
          <cell r="U348" t="str">
            <v>-</v>
          </cell>
        </row>
        <row r="349">
          <cell r="F349" t="str">
            <v>GUJA01I079</v>
          </cell>
          <cell r="G349" t="str">
            <v>IMPULSE POLY PLAST LLP</v>
          </cell>
          <cell r="H349" t="str">
            <v>23-24</v>
          </cell>
          <cell r="I349" t="str">
            <v>-</v>
          </cell>
          <cell r="J349" t="str">
            <v>Domestic</v>
          </cell>
          <cell r="K349" t="str">
            <v>OTHERS</v>
          </cell>
          <cell r="L349" t="str">
            <v>Non-Sugar</v>
          </cell>
          <cell r="M349" t="str">
            <v>End User</v>
          </cell>
          <cell r="O349" t="str">
            <v>-</v>
          </cell>
          <cell r="P349" t="str">
            <v>NI</v>
          </cell>
          <cell r="Q349" t="str">
            <v>AKSHAY AWASTHI</v>
          </cell>
          <cell r="S349" t="str">
            <v>https://share.google/MoeJf9Ef0YIltdnAs</v>
          </cell>
          <cell r="T349" t="str">
            <v>-</v>
          </cell>
          <cell r="U349" t="str">
            <v>-</v>
          </cell>
          <cell r="W349" t="str">
            <v>-</v>
          </cell>
        </row>
        <row r="350">
          <cell r="F350" t="str">
            <v>BELA01I080</v>
          </cell>
          <cell r="G350" t="str">
            <v>INAMDAR SUGARS LTD.</v>
          </cell>
          <cell r="H350" t="str">
            <v>24-25</v>
          </cell>
          <cell r="I350" t="str">
            <v>Kore group (same owner)</v>
          </cell>
          <cell r="J350" t="str">
            <v>Domestic</v>
          </cell>
          <cell r="K350" t="str">
            <v>Sugar</v>
          </cell>
          <cell r="L350" t="str">
            <v>Sugar</v>
          </cell>
          <cell r="M350" t="str">
            <v>Group (Mills)</v>
          </cell>
          <cell r="N350" t="str">
            <v>(0-5000)</v>
          </cell>
          <cell r="O350" t="str">
            <v>5000 (proposed upto 15000)</v>
          </cell>
          <cell r="P350" t="str">
            <v>MRK</v>
          </cell>
          <cell r="Q350" t="str">
            <v>MRK</v>
          </cell>
          <cell r="R350" t="str">
            <v>VG</v>
          </cell>
          <cell r="S350" t="str">
            <v>https://share.google/ZqLOhfyp1kc9IiGH3</v>
          </cell>
          <cell r="T350" t="str">
            <v>Belagavi - 1</v>
          </cell>
          <cell r="U350" t="str">
            <v>25-26</v>
          </cell>
          <cell r="W350" t="str">
            <v>4-4-2025
11-12-2024
24-05-2024</v>
          </cell>
        </row>
        <row r="351">
          <cell r="F351" t="str">
            <v>BAGL01I003</v>
          </cell>
          <cell r="G351" t="str">
            <v>INDIAN CANE POWER LIMITED</v>
          </cell>
          <cell r="H351">
            <v>2013</v>
          </cell>
          <cell r="I351" t="str">
            <v>ICPL Group</v>
          </cell>
          <cell r="J351" t="str">
            <v>Domestic</v>
          </cell>
          <cell r="K351" t="str">
            <v>Sugar</v>
          </cell>
          <cell r="L351" t="str">
            <v>Sugar</v>
          </cell>
          <cell r="M351" t="str">
            <v>Group (Mills)</v>
          </cell>
          <cell r="N351" t="str">
            <v>(9001 &amp; above)</v>
          </cell>
          <cell r="O351">
            <v>25000</v>
          </cell>
          <cell r="P351" t="str">
            <v>MRK</v>
          </cell>
          <cell r="Q351" t="str">
            <v>MRK</v>
          </cell>
          <cell r="R351" t="str">
            <v>VG</v>
          </cell>
          <cell r="S351" t="str">
            <v>https://maps.app.goo.gl/KmjRBhbmDsuTraj5A</v>
          </cell>
          <cell r="T351" t="str">
            <v>Bagalkot - 1</v>
          </cell>
          <cell r="U351" t="str">
            <v>24-25</v>
          </cell>
          <cell r="W351" t="str">
            <v>06-12-2024
02-02-2024
28-03-2023
08-10-2022</v>
          </cell>
        </row>
        <row r="352">
          <cell r="F352" t="str">
            <v>DAVA01I037</v>
          </cell>
          <cell r="G352" t="str">
            <v>INDIAN CANE POWER LIMITED - SAMSON DISTILLERY</v>
          </cell>
          <cell r="H352">
            <v>2019</v>
          </cell>
          <cell r="I352" t="str">
            <v>ICPL Group</v>
          </cell>
          <cell r="J352" t="str">
            <v>Domestic</v>
          </cell>
          <cell r="K352" t="str">
            <v>Distillery</v>
          </cell>
          <cell r="L352" t="str">
            <v>Non-Sugar</v>
          </cell>
          <cell r="M352" t="str">
            <v>Group (Mills)</v>
          </cell>
          <cell r="O352" t="str">
            <v>120 KLPD</v>
          </cell>
          <cell r="P352" t="str">
            <v>MRK</v>
          </cell>
          <cell r="Q352" t="str">
            <v>MRK</v>
          </cell>
          <cell r="R352" t="str">
            <v>VG</v>
          </cell>
          <cell r="S352" t="str">
            <v>https://share.google/L9IDOzABfNeSUhu1b</v>
          </cell>
          <cell r="T352" t="str">
            <v>Bellary_Bidar - 1</v>
          </cell>
          <cell r="U352" t="str">
            <v>26-27</v>
          </cell>
          <cell r="V352" t="str">
            <v>May</v>
          </cell>
          <cell r="W352" t="str">
            <v>14-05-2026
10-2-26
17-06-2025
18-04-2024
02-06-2023
28-11-2022</v>
          </cell>
        </row>
        <row r="353">
          <cell r="F353" t="str">
            <v>DAVA01I094</v>
          </cell>
          <cell r="G353" t="str">
            <v>INDIAN CANE POWER LIMITED UNIT-DNYANYOGI</v>
          </cell>
          <cell r="H353" t="str">
            <v>25-26</v>
          </cell>
          <cell r="I353" t="str">
            <v>ICPL Group</v>
          </cell>
          <cell r="J353" t="str">
            <v>Domestic</v>
          </cell>
          <cell r="K353" t="str">
            <v>Sugar</v>
          </cell>
          <cell r="L353" t="str">
            <v>Sugar</v>
          </cell>
          <cell r="M353" t="str">
            <v>Group (Mills)</v>
          </cell>
          <cell r="N353" t="str">
            <v>(0-5000)</v>
          </cell>
          <cell r="O353">
            <v>2500</v>
          </cell>
          <cell r="P353" t="str">
            <v>MRK</v>
          </cell>
          <cell r="Q353" t="str">
            <v>MRK</v>
          </cell>
          <cell r="R353" t="str">
            <v>VG</v>
          </cell>
          <cell r="S353" t="str">
            <v>https://maps.app.goo.gl/CkYVPrSF5c1gLVvr5</v>
          </cell>
          <cell r="T353" t="str">
            <v>Vijaypura - 1</v>
          </cell>
          <cell r="U353" t="str">
            <v>26-27</v>
          </cell>
          <cell r="V353" t="str">
            <v>Apr</v>
          </cell>
          <cell r="W353" t="str">
            <v>8-4-2026
4-6-2025
12-07-2024
28-05-2024</v>
          </cell>
        </row>
        <row r="354">
          <cell r="F354" t="str">
            <v>BELG01I054</v>
          </cell>
          <cell r="G354" t="str">
            <v>INDIAN CANE POWER LTD - UNIT ALAGAWADI</v>
          </cell>
          <cell r="H354" t="str">
            <v>22-23</v>
          </cell>
          <cell r="I354" t="str">
            <v>ICPL Group</v>
          </cell>
          <cell r="J354" t="str">
            <v>Domestic</v>
          </cell>
          <cell r="K354" t="str">
            <v>Sugar</v>
          </cell>
          <cell r="L354" t="str">
            <v>Sugar</v>
          </cell>
          <cell r="M354" t="str">
            <v>Group (Mills)</v>
          </cell>
          <cell r="N354" t="str">
            <v>(9001 &amp; above)</v>
          </cell>
          <cell r="O354">
            <v>15000</v>
          </cell>
          <cell r="P354" t="str">
            <v>MRK</v>
          </cell>
          <cell r="Q354" t="str">
            <v>MRK</v>
          </cell>
          <cell r="R354" t="str">
            <v>VG</v>
          </cell>
          <cell r="S354" t="str">
            <v>https://maps.app.goo.gl/YRp82fUztWA28rrcA</v>
          </cell>
          <cell r="T354" t="str">
            <v>Belagavi - 2</v>
          </cell>
          <cell r="U354" t="str">
            <v>26-27</v>
          </cell>
          <cell r="V354" t="str">
            <v>Apr</v>
          </cell>
          <cell r="W354" t="str">
            <v>9-4-2026
19-9-2025
17-04-2025
5/3/2025
04-12-2024
24-05-2024
29-04-2024</v>
          </cell>
        </row>
        <row r="355">
          <cell r="F355" t="str">
            <v>GUWA01I087</v>
          </cell>
          <cell r="G355" t="str">
            <v>INDIAN OIL CORPORATION LTD.DIGBOI</v>
          </cell>
          <cell r="H355" t="str">
            <v>24-25</v>
          </cell>
          <cell r="I355" t="str">
            <v>-</v>
          </cell>
          <cell r="J355" t="str">
            <v>Domestic</v>
          </cell>
          <cell r="K355" t="str">
            <v>OIL</v>
          </cell>
          <cell r="L355" t="str">
            <v>Non-Sugar</v>
          </cell>
          <cell r="M355" t="str">
            <v>End User</v>
          </cell>
          <cell r="O355" t="str">
            <v>-</v>
          </cell>
          <cell r="P355" t="str">
            <v>VA</v>
          </cell>
          <cell r="Q355" t="str">
            <v>VA</v>
          </cell>
          <cell r="S355" t="str">
            <v>https://maps.app.goo.gl/jX7xNEphzvgmWNYy5</v>
          </cell>
        </row>
        <row r="356">
          <cell r="F356" t="str">
            <v>BAHR01I004</v>
          </cell>
          <cell r="G356" t="str">
            <v>INDIAN POTASH LIMITED (sugar div.)</v>
          </cell>
          <cell r="H356">
            <v>2014</v>
          </cell>
          <cell r="I356" t="str">
            <v>IPL Group</v>
          </cell>
          <cell r="J356" t="str">
            <v>Domestic</v>
          </cell>
          <cell r="K356" t="str">
            <v>Sugar</v>
          </cell>
          <cell r="L356" t="str">
            <v>Sugar</v>
          </cell>
          <cell r="M356" t="str">
            <v>Group (Mills)</v>
          </cell>
          <cell r="N356" t="str">
            <v>(0-5000)</v>
          </cell>
          <cell r="O356">
            <v>2500</v>
          </cell>
          <cell r="P356" t="str">
            <v>NI</v>
          </cell>
          <cell r="Q356" t="str">
            <v>AKSHAY AWASTHI</v>
          </cell>
          <cell r="S356" t="str">
            <v>https://maps.app.goo.gl/hxKnb39uB14Pndm9A</v>
          </cell>
          <cell r="T356" t="str">
            <v>-</v>
          </cell>
          <cell r="U356" t="str">
            <v>25-26</v>
          </cell>
          <cell r="W356" t="str">
            <v>19-1-2026
29-08-2025
5/30/2023</v>
          </cell>
        </row>
        <row r="357">
          <cell r="F357" t="str">
            <v>DHEN01I070</v>
          </cell>
          <cell r="G357" t="str">
            <v>INDIAN POTASH LIMITED - (V-033)</v>
          </cell>
          <cell r="H357" t="str">
            <v>23-24</v>
          </cell>
          <cell r="I357" t="str">
            <v>IPL Group</v>
          </cell>
          <cell r="J357" t="str">
            <v>Domestic</v>
          </cell>
          <cell r="K357" t="str">
            <v>Sugar</v>
          </cell>
          <cell r="L357" t="str">
            <v>Sugar</v>
          </cell>
          <cell r="M357" t="str">
            <v>Group (Mills)</v>
          </cell>
          <cell r="N357" t="str">
            <v>(0-5000)</v>
          </cell>
          <cell r="O357">
            <v>2500</v>
          </cell>
          <cell r="P357" t="str">
            <v>NI</v>
          </cell>
          <cell r="Q357" t="str">
            <v>AKSHAY AWASTHI</v>
          </cell>
          <cell r="S357" t="str">
            <v>NA</v>
          </cell>
          <cell r="T357" t="str">
            <v>-</v>
          </cell>
          <cell r="U357" t="str">
            <v>-</v>
          </cell>
          <cell r="W357" t="str">
            <v>-</v>
          </cell>
        </row>
        <row r="358">
          <cell r="F358" t="str">
            <v>MUZF01T068</v>
          </cell>
          <cell r="G358" t="str">
            <v>INDIAN POTASH LIMITED - 2I-18 © TITAWI SUGAR COMPLEX</v>
          </cell>
          <cell r="H358">
            <v>2014</v>
          </cell>
          <cell r="I358" t="str">
            <v>IPL Group</v>
          </cell>
          <cell r="J358" t="str">
            <v>Domestic</v>
          </cell>
          <cell r="K358" t="str">
            <v>Sugar</v>
          </cell>
          <cell r="L358" t="str">
            <v>Sugar</v>
          </cell>
          <cell r="M358" t="str">
            <v>Group (Mills)</v>
          </cell>
          <cell r="N358" t="str">
            <v>(9001 &amp; above)</v>
          </cell>
          <cell r="O358">
            <v>10500</v>
          </cell>
          <cell r="P358" t="str">
            <v>NI</v>
          </cell>
          <cell r="Q358" t="str">
            <v>AVIRAL SHUKLA</v>
          </cell>
          <cell r="S358" t="str">
            <v>https://share.google/vXWnxsXFj4bWsuUbk</v>
          </cell>
          <cell r="T358" t="str">
            <v>WESTERN -2</v>
          </cell>
          <cell r="U358" t="str">
            <v>25-26</v>
          </cell>
          <cell r="V358" t="str">
            <v>Mar</v>
          </cell>
          <cell r="W358" t="str">
            <v>22-3-2026
31-10-2025
10-07-2025
19-12-2024
05-09-2024
14-10-2022
30-06-2021</v>
          </cell>
        </row>
        <row r="359">
          <cell r="F359" t="str">
            <v>MUZF01I018</v>
          </cell>
          <cell r="G359" t="str">
            <v>INDIAN POTASH LIMITED (muzaffarnagar)</v>
          </cell>
          <cell r="H359">
            <v>2013</v>
          </cell>
          <cell r="I359" t="str">
            <v>IPL Group</v>
          </cell>
          <cell r="J359" t="str">
            <v>Domestic</v>
          </cell>
          <cell r="K359" t="str">
            <v>Sugar</v>
          </cell>
          <cell r="L359" t="str">
            <v>Sugar</v>
          </cell>
          <cell r="M359" t="str">
            <v>Group (Mills)</v>
          </cell>
          <cell r="N359" t="str">
            <v>(0-5000)</v>
          </cell>
          <cell r="O359">
            <v>2500</v>
          </cell>
          <cell r="P359" t="str">
            <v>NI</v>
          </cell>
          <cell r="Q359" t="str">
            <v>AVIRAL SHUKLA</v>
          </cell>
          <cell r="S359" t="str">
            <v>https://maps.app.goo.gl/8LC7Y8HbZ83nzv398</v>
          </cell>
          <cell r="T359" t="str">
            <v>WESTERN</v>
          </cell>
          <cell r="U359" t="str">
            <v>25-26</v>
          </cell>
          <cell r="W359" t="str">
            <v>1-11-2025
10-07-2025
18-12-2024
28-05-2024
02-03-2024</v>
          </cell>
        </row>
        <row r="360">
          <cell r="F360" t="str">
            <v>MAHA01I005</v>
          </cell>
          <cell r="G360" t="str">
            <v>INDIAN POTASH LIMITED (siswabazar)</v>
          </cell>
          <cell r="H360">
            <v>2017</v>
          </cell>
          <cell r="I360" t="str">
            <v>IPL Group</v>
          </cell>
          <cell r="J360" t="str">
            <v>Domestic</v>
          </cell>
          <cell r="K360" t="str">
            <v>Sugar</v>
          </cell>
          <cell r="L360" t="str">
            <v>Sugar</v>
          </cell>
          <cell r="M360" t="str">
            <v>Group (Mills)</v>
          </cell>
          <cell r="N360" t="str">
            <v>(0-5000)</v>
          </cell>
          <cell r="O360">
            <v>2500</v>
          </cell>
          <cell r="P360" t="str">
            <v>NI</v>
          </cell>
          <cell r="Q360" t="str">
            <v>HIMANSHU KUSHWAHA</v>
          </cell>
          <cell r="S360" t="str">
            <v>https://share.google/srcC8MQfRbmwIxvf4</v>
          </cell>
          <cell r="T360" t="str">
            <v>-</v>
          </cell>
          <cell r="U360" t="str">
            <v>26-27</v>
          </cell>
          <cell r="V360" t="str">
            <v>May</v>
          </cell>
          <cell r="W360" t="str">
            <v>5-5-2026
12-06-2025
08-08-2024
25-11-2023
14-07-2022
04-08-2021</v>
          </cell>
        </row>
        <row r="361">
          <cell r="F361" t="str">
            <v>KUSH01I006</v>
          </cell>
          <cell r="G361" t="str">
            <v>INDIAN POTASH LIMITED(V-004)</v>
          </cell>
          <cell r="H361" t="str">
            <v>20-21</v>
          </cell>
          <cell r="I361" t="str">
            <v>IPL Group</v>
          </cell>
          <cell r="J361" t="str">
            <v>Domestic</v>
          </cell>
          <cell r="K361" t="str">
            <v>Sugar</v>
          </cell>
          <cell r="L361" t="str">
            <v>Sugar</v>
          </cell>
          <cell r="M361" t="str">
            <v>Group (Mills)</v>
          </cell>
          <cell r="N361" t="str">
            <v>(0-5000)</v>
          </cell>
          <cell r="O361">
            <v>2500</v>
          </cell>
          <cell r="P361" t="str">
            <v>NI</v>
          </cell>
          <cell r="Q361" t="str">
            <v>HIMANSHU KUSHWAHA</v>
          </cell>
          <cell r="S361" t="str">
            <v>https://maps.app.goo.gl/H7CaKjDUKQKUPqPP7</v>
          </cell>
          <cell r="T361" t="str">
            <v>-</v>
          </cell>
          <cell r="U361" t="str">
            <v>26-27</v>
          </cell>
          <cell r="V361" t="str">
            <v>May</v>
          </cell>
          <cell r="W361" t="str">
            <v>5-5-2026
11-06-2025
07-08-2024
24-01-2024</v>
          </cell>
        </row>
        <row r="362">
          <cell r="F362" t="str">
            <v>GUJA01I099</v>
          </cell>
          <cell r="G362" t="str">
            <v>Indian Potash Ltd Unit Valsad Sugar</v>
          </cell>
          <cell r="H362" t="str">
            <v>25-26</v>
          </cell>
          <cell r="I362" t="str">
            <v>IPL Group</v>
          </cell>
          <cell r="J362" t="str">
            <v>Domestic</v>
          </cell>
          <cell r="K362" t="str">
            <v>Sugar</v>
          </cell>
          <cell r="L362" t="str">
            <v>Sugar</v>
          </cell>
          <cell r="M362" t="str">
            <v>Group (Mills)</v>
          </cell>
          <cell r="N362" t="str">
            <v>(0-5000)</v>
          </cell>
          <cell r="O362">
            <v>5000</v>
          </cell>
          <cell r="P362" t="str">
            <v>NI</v>
          </cell>
          <cell r="Q362" t="str">
            <v>AKSHAY AWASTHI</v>
          </cell>
          <cell r="S362" t="str">
            <v>https://share.google/yP4HHlIj0QEoglVfZ</v>
          </cell>
          <cell r="U362" t="str">
            <v>25-26</v>
          </cell>
          <cell r="W362">
            <v>45980</v>
          </cell>
        </row>
        <row r="363">
          <cell r="F363" t="str">
            <v>KUTC01I106</v>
          </cell>
          <cell r="G363" t="str">
            <v>INDIAN POTASH LTD.- TALALA SUGAR UNIT</v>
          </cell>
          <cell r="H363" t="str">
            <v>-</v>
          </cell>
          <cell r="J363" t="str">
            <v>Domestic</v>
          </cell>
          <cell r="P363" t="str">
            <v>HO</v>
          </cell>
          <cell r="Q363" t="str">
            <v>AKSHAY AWASTHI</v>
          </cell>
        </row>
        <row r="364">
          <cell r="F364" t="str">
            <v>KALA01I100</v>
          </cell>
          <cell r="G364" t="str">
            <v>INDIAN POTASH LTD.-DISTILLERY (ODISHA)</v>
          </cell>
          <cell r="H364" t="str">
            <v>25-26</v>
          </cell>
          <cell r="I364" t="str">
            <v>IPL Group</v>
          </cell>
          <cell r="J364" t="str">
            <v>Domestic</v>
          </cell>
          <cell r="K364" t="str">
            <v>Distillery(Sugar)</v>
          </cell>
          <cell r="L364" t="str">
            <v>Non-Sugar</v>
          </cell>
          <cell r="M364" t="str">
            <v>Group (Mills)</v>
          </cell>
          <cell r="O364" t="str">
            <v>-</v>
          </cell>
          <cell r="P364" t="str">
            <v>NI</v>
          </cell>
          <cell r="Q364" t="str">
            <v>AVIRAL SHUKLA</v>
          </cell>
          <cell r="S364" t="str">
            <v>https://share.google/rPpeU6IgYucf7WCYW</v>
          </cell>
        </row>
        <row r="365">
          <cell r="F365" t="str">
            <v>HOSH01I008</v>
          </cell>
          <cell r="G365" t="str">
            <v>INDIAN SUCROSE LIMITED</v>
          </cell>
          <cell r="H365">
            <v>2013</v>
          </cell>
          <cell r="I365" t="str">
            <v>-</v>
          </cell>
          <cell r="J365" t="str">
            <v>Domestic</v>
          </cell>
          <cell r="K365" t="str">
            <v>Sugar</v>
          </cell>
          <cell r="L365" t="str">
            <v>Sugar</v>
          </cell>
          <cell r="M365" t="str">
            <v>End User</v>
          </cell>
          <cell r="N365" t="str">
            <v>(5001-9000)</v>
          </cell>
          <cell r="O365">
            <v>9000</v>
          </cell>
          <cell r="P365" t="str">
            <v>NI</v>
          </cell>
          <cell r="Q365" t="str">
            <v>AKSHAY AWASTHI</v>
          </cell>
          <cell r="S365" t="str">
            <v>https://share.google/3i6UX6lUUPZK7q5PM</v>
          </cell>
          <cell r="T365" t="str">
            <v>HARYANA + PUNJAB</v>
          </cell>
          <cell r="U365" t="str">
            <v>25-26</v>
          </cell>
          <cell r="W365" t="str">
            <v>19-02-2026
22-12-2025
12-07-2025
31-01-2025
29-09-2024
01-11-2023
23-03-2023</v>
          </cell>
        </row>
        <row r="366">
          <cell r="F366" t="str">
            <v>AHMD01I045</v>
          </cell>
          <cell r="G366" t="str">
            <v>INDIANA SUCRO TECH (PUNE) PVT LTD</v>
          </cell>
          <cell r="H366" t="str">
            <v>22-23</v>
          </cell>
          <cell r="I366" t="str">
            <v>-</v>
          </cell>
          <cell r="J366" t="str">
            <v>Domestic</v>
          </cell>
          <cell r="K366" t="str">
            <v>Sugar</v>
          </cell>
          <cell r="L366" t="str">
            <v>Sugar</v>
          </cell>
          <cell r="M366" t="str">
            <v>OEM</v>
          </cell>
          <cell r="O366" t="str">
            <v>-</v>
          </cell>
          <cell r="P366" t="str">
            <v>NI</v>
          </cell>
          <cell r="Q366" t="str">
            <v>AKSHAY AWASTHI</v>
          </cell>
          <cell r="S366" t="str">
            <v>NA</v>
          </cell>
          <cell r="T366" t="str">
            <v>-</v>
          </cell>
          <cell r="U366" t="str">
            <v>26-27</v>
          </cell>
          <cell r="V366" t="str">
            <v>Apr</v>
          </cell>
          <cell r="W366">
            <v>46115</v>
          </cell>
        </row>
        <row r="367">
          <cell r="F367" t="str">
            <v>AHMD01I010</v>
          </cell>
          <cell r="G367" t="str">
            <v>INDIANA SUCRO-TECH (PUNE) PVT. LTD.</v>
          </cell>
          <cell r="H367">
            <v>2013</v>
          </cell>
          <cell r="I367" t="str">
            <v>-</v>
          </cell>
          <cell r="J367" t="str">
            <v>Domestic</v>
          </cell>
          <cell r="K367" t="str">
            <v>Sugar</v>
          </cell>
          <cell r="L367" t="str">
            <v>Sugar</v>
          </cell>
          <cell r="M367" t="str">
            <v>OEM</v>
          </cell>
          <cell r="O367" t="str">
            <v>-</v>
          </cell>
          <cell r="P367" t="str">
            <v>NI</v>
          </cell>
          <cell r="Q367" t="str">
            <v>AKSHAY AWASTHI</v>
          </cell>
          <cell r="S367" t="str">
            <v>https://maps.app.goo.gl/TeDJw199Y6KS9zpB9</v>
          </cell>
          <cell r="T367" t="str">
            <v>-</v>
          </cell>
          <cell r="U367" t="str">
            <v>26-27</v>
          </cell>
          <cell r="V367" t="str">
            <v>Apr</v>
          </cell>
          <cell r="W367">
            <v>46115</v>
          </cell>
        </row>
        <row r="368">
          <cell r="F368" t="str">
            <v>KOLH01I016</v>
          </cell>
          <cell r="G368" t="str">
            <v>INDIRA GANDHI MAHILA VIKASH SSK LTD (Renamed to Athani sugars Unit 4)</v>
          </cell>
          <cell r="H368">
            <v>2012</v>
          </cell>
          <cell r="I368" t="str">
            <v>Athani Group</v>
          </cell>
          <cell r="J368" t="str">
            <v>Domestic</v>
          </cell>
          <cell r="K368" t="str">
            <v>Sugar</v>
          </cell>
          <cell r="L368" t="str">
            <v>Sugar</v>
          </cell>
          <cell r="M368" t="str">
            <v>Group (Mills)</v>
          </cell>
          <cell r="N368" t="str">
            <v>(0-5000)</v>
          </cell>
          <cell r="O368">
            <v>4000</v>
          </cell>
          <cell r="P368" t="str">
            <v>AV</v>
          </cell>
          <cell r="Q368" t="str">
            <v>AV</v>
          </cell>
          <cell r="R368" t="str">
            <v>VG</v>
          </cell>
          <cell r="S368" t="str">
            <v>https://maps.app.goo.gl/Y6uqWbBng4i13FG56</v>
          </cell>
          <cell r="T368" t="str">
            <v>Kolhapur - 1</v>
          </cell>
          <cell r="U368" t="str">
            <v>24-25</v>
          </cell>
          <cell r="W368" t="str">
            <v>24-5-2024</v>
          </cell>
        </row>
        <row r="369">
          <cell r="F369" t="str">
            <v>SOLP01I011</v>
          </cell>
          <cell r="G369" t="str">
            <v>INDRESHWAR SUGAR MILLS LTD (renamed to vrindavan sugars _V115)</v>
          </cell>
          <cell r="H369">
            <v>2013</v>
          </cell>
          <cell r="J369" t="str">
            <v>Domestic</v>
          </cell>
          <cell r="K369" t="str">
            <v>Sugar</v>
          </cell>
          <cell r="L369" t="str">
            <v>Sugar</v>
          </cell>
          <cell r="M369" t="str">
            <v>End User</v>
          </cell>
          <cell r="O369">
            <v>4500</v>
          </cell>
          <cell r="P369" t="str">
            <v>AV</v>
          </cell>
          <cell r="Q369" t="str">
            <v>AV</v>
          </cell>
          <cell r="R369" t="str">
            <v>PD</v>
          </cell>
          <cell r="T369" t="str">
            <v>TOUR-4 (OSMANABAD)</v>
          </cell>
          <cell r="U369" t="str">
            <v>-</v>
          </cell>
          <cell r="W369" t="str">
            <v>-</v>
          </cell>
        </row>
        <row r="370">
          <cell r="F370" t="str">
            <v>PUNE01I086</v>
          </cell>
          <cell r="G370" t="str">
            <v>INDU CARE PHARMA</v>
          </cell>
          <cell r="H370" t="str">
            <v>-</v>
          </cell>
          <cell r="J370" t="str">
            <v>Domestic</v>
          </cell>
          <cell r="P370" t="str">
            <v>AV</v>
          </cell>
          <cell r="Q370" t="str">
            <v>-</v>
          </cell>
        </row>
        <row r="371">
          <cell r="F371" t="str">
            <v>BIRG01I047</v>
          </cell>
          <cell r="G371" t="str">
            <v>INDUSHANKAR CHINI UDYOG LTD.</v>
          </cell>
          <cell r="H371" t="str">
            <v>21-22</v>
          </cell>
          <cell r="I371" t="str">
            <v>-</v>
          </cell>
          <cell r="J371" t="str">
            <v>Export</v>
          </cell>
          <cell r="K371" t="str">
            <v>Sugar</v>
          </cell>
          <cell r="L371" t="str">
            <v>Sugar</v>
          </cell>
          <cell r="M371" t="str">
            <v>End User</v>
          </cell>
          <cell r="N371" t="str">
            <v>(0-5000)</v>
          </cell>
          <cell r="O371">
            <v>5000</v>
          </cell>
          <cell r="P371" t="str">
            <v>NI</v>
          </cell>
          <cell r="Q371" t="str">
            <v>AKSHAY AWASTHI</v>
          </cell>
          <cell r="S371" t="str">
            <v>NA</v>
          </cell>
          <cell r="T371" t="str">
            <v>Tour-Nepal</v>
          </cell>
          <cell r="U371" t="str">
            <v>24-25</v>
          </cell>
          <cell r="W371" t="str">
            <v>29-06-2024
12-01-2024</v>
          </cell>
        </row>
        <row r="372">
          <cell r="F372" t="str">
            <v>KABI01I046</v>
          </cell>
          <cell r="G372" t="str">
            <v>INDUSTRIAL PRODUCTS AND SERVICES</v>
          </cell>
          <cell r="H372" t="str">
            <v>21-22</v>
          </cell>
          <cell r="I372" t="str">
            <v>-</v>
          </cell>
          <cell r="J372" t="str">
            <v>Domestic</v>
          </cell>
          <cell r="K372" t="str">
            <v>Sugar</v>
          </cell>
          <cell r="L372" t="str">
            <v>Sugar</v>
          </cell>
          <cell r="M372" t="str">
            <v>Trader</v>
          </cell>
          <cell r="O372" t="str">
            <v>-</v>
          </cell>
          <cell r="P372" t="str">
            <v>NI</v>
          </cell>
          <cell r="Q372" t="str">
            <v>AVIRAL SHUKLA</v>
          </cell>
          <cell r="S372" t="str">
            <v>https://share.google/8hTmsEiZAlhs6XfyL</v>
          </cell>
          <cell r="T372" t="str">
            <v>-</v>
          </cell>
          <cell r="U372" t="str">
            <v>-</v>
          </cell>
          <cell r="W372" t="str">
            <v>-</v>
          </cell>
        </row>
        <row r="373">
          <cell r="F373" t="str">
            <v>COIM01I030</v>
          </cell>
          <cell r="G373" t="str">
            <v>INGENIO PROVIDENCIA S.A.</v>
          </cell>
          <cell r="H373">
            <v>2015</v>
          </cell>
          <cell r="I373" t="str">
            <v>-</v>
          </cell>
          <cell r="J373" t="str">
            <v>Export</v>
          </cell>
          <cell r="K373" t="str">
            <v>Sugar</v>
          </cell>
          <cell r="L373" t="str">
            <v>Sugar</v>
          </cell>
          <cell r="M373" t="str">
            <v>End User</v>
          </cell>
          <cell r="O373" t="str">
            <v>-</v>
          </cell>
          <cell r="P373" t="str">
            <v>NI</v>
          </cell>
          <cell r="Q373" t="str">
            <v>AVIRAL SHUKLA</v>
          </cell>
          <cell r="S373" t="str">
            <v>https://share.google/hMARvWICQmpIB1jD0</v>
          </cell>
          <cell r="T373" t="str">
            <v>-</v>
          </cell>
          <cell r="U373" t="str">
            <v>-</v>
          </cell>
        </row>
        <row r="374">
          <cell r="F374" t="str">
            <v>PUNE01I076</v>
          </cell>
          <cell r="G374" t="str">
            <v>INTERIS INDIA PVT LTD</v>
          </cell>
          <cell r="H374" t="str">
            <v>25-26</v>
          </cell>
          <cell r="I374" t="str">
            <v>-</v>
          </cell>
          <cell r="J374" t="str">
            <v>Domestic</v>
          </cell>
          <cell r="K374" t="str">
            <v>Sugar</v>
          </cell>
          <cell r="L374" t="str">
            <v>Sugar</v>
          </cell>
          <cell r="M374" t="str">
            <v>OEM</v>
          </cell>
          <cell r="O374" t="str">
            <v>-</v>
          </cell>
          <cell r="P374" t="str">
            <v>NI</v>
          </cell>
          <cell r="Q374" t="str">
            <v>AVIRAL SHUKLA</v>
          </cell>
          <cell r="S374" t="str">
            <v>https://share.google/tDRP1hnhL2jz4SBnw</v>
          </cell>
        </row>
        <row r="375">
          <cell r="F375" t="str">
            <v>DLHI01I066</v>
          </cell>
          <cell r="G375" t="str">
            <v>INVENTIVE SUGAR AND ALLIED ENGINEERS</v>
          </cell>
          <cell r="H375" t="str">
            <v>23-24</v>
          </cell>
          <cell r="I375" t="str">
            <v>-</v>
          </cell>
          <cell r="J375" t="str">
            <v>Domestic</v>
          </cell>
          <cell r="K375" t="str">
            <v>Sugar</v>
          </cell>
          <cell r="L375" t="str">
            <v>Sugar</v>
          </cell>
          <cell r="M375" t="str">
            <v>Trader</v>
          </cell>
          <cell r="O375" t="str">
            <v>-</v>
          </cell>
          <cell r="P375" t="str">
            <v>NI</v>
          </cell>
          <cell r="Q375" t="str">
            <v>AKSHAY AWASTHI</v>
          </cell>
          <cell r="S375" t="str">
            <v>https://maps.app.goo.gl/Qt1DcK78go3usrAg7</v>
          </cell>
          <cell r="T375" t="str">
            <v>-</v>
          </cell>
          <cell r="U375" t="str">
            <v>-</v>
          </cell>
        </row>
        <row r="376">
          <cell r="F376" t="str">
            <v>KOLK01I109</v>
          </cell>
          <cell r="G376" t="str">
            <v>INVENTOMATIC SEALS INDIA</v>
          </cell>
          <cell r="H376" t="str">
            <v>-</v>
          </cell>
          <cell r="J376" t="str">
            <v>Domestic</v>
          </cell>
          <cell r="P376" t="str">
            <v>HO</v>
          </cell>
          <cell r="Q376" t="str">
            <v>-</v>
          </cell>
        </row>
        <row r="377">
          <cell r="F377" t="str">
            <v>NASK01I036</v>
          </cell>
          <cell r="G377" t="str">
            <v>INVEST ENGINEERING</v>
          </cell>
          <cell r="H377" t="str">
            <v>19-20</v>
          </cell>
          <cell r="I377" t="str">
            <v>-</v>
          </cell>
          <cell r="J377" t="str">
            <v>Domestic</v>
          </cell>
          <cell r="K377" t="str">
            <v>OTHERS</v>
          </cell>
          <cell r="L377" t="str">
            <v>Non-Sugar</v>
          </cell>
          <cell r="M377" t="str">
            <v>Trader</v>
          </cell>
          <cell r="O377" t="str">
            <v>-</v>
          </cell>
          <cell r="P377" t="str">
            <v>NI</v>
          </cell>
          <cell r="Q377" t="str">
            <v>AKSHAY AWASTHI</v>
          </cell>
          <cell r="S377" t="str">
            <v>NA</v>
          </cell>
          <cell r="T377" t="str">
            <v>-</v>
          </cell>
          <cell r="U377" t="str">
            <v>-</v>
          </cell>
        </row>
        <row r="378">
          <cell r="F378" t="str">
            <v>FARD01I075</v>
          </cell>
          <cell r="G378" t="str">
            <v>ISEPCONTROL</v>
          </cell>
          <cell r="H378" t="str">
            <v>23-24</v>
          </cell>
          <cell r="I378" t="str">
            <v>-</v>
          </cell>
          <cell r="J378" t="str">
            <v>Domestic</v>
          </cell>
          <cell r="K378" t="str">
            <v>Sugar</v>
          </cell>
          <cell r="L378" t="str">
            <v>Sugar</v>
          </cell>
          <cell r="M378" t="str">
            <v>OEM</v>
          </cell>
          <cell r="O378" t="str">
            <v>-</v>
          </cell>
          <cell r="P378" t="str">
            <v>NI</v>
          </cell>
          <cell r="Q378" t="str">
            <v>AVIRAL SHUKLA</v>
          </cell>
          <cell r="S378" t="str">
            <v>NA</v>
          </cell>
          <cell r="T378" t="str">
            <v>-</v>
          </cell>
          <cell r="U378" t="str">
            <v>-</v>
          </cell>
        </row>
        <row r="379">
          <cell r="F379" t="str">
            <v>BHAR01I105</v>
          </cell>
          <cell r="G379" t="str">
            <v>ISGEC HEAVY ENGINEERING LIMITED</v>
          </cell>
          <cell r="H379" t="str">
            <v>25-26</v>
          </cell>
          <cell r="I379" t="str">
            <v>-</v>
          </cell>
          <cell r="J379" t="str">
            <v>Domestic</v>
          </cell>
          <cell r="K379" t="str">
            <v>Sugar</v>
          </cell>
          <cell r="L379" t="str">
            <v>Sugar</v>
          </cell>
          <cell r="M379" t="str">
            <v>OEM</v>
          </cell>
          <cell r="O379" t="str">
            <v>-</v>
          </cell>
          <cell r="P379" t="str">
            <v>NI</v>
          </cell>
          <cell r="Q379" t="str">
            <v>AVIRAL SHUKLA</v>
          </cell>
          <cell r="S379" t="str">
            <v xml:space="preserve">NA </v>
          </cell>
          <cell r="U379" t="str">
            <v>26-27</v>
          </cell>
          <cell r="V379" t="str">
            <v>Apr</v>
          </cell>
          <cell r="W379">
            <v>46127</v>
          </cell>
        </row>
        <row r="380">
          <cell r="F380" t="str">
            <v>NODA01I015</v>
          </cell>
          <cell r="G380" t="str">
            <v>ISGEC HEAVY ENGINEERING LTD.</v>
          </cell>
          <cell r="H380">
            <v>2013</v>
          </cell>
          <cell r="I380" t="str">
            <v>-</v>
          </cell>
          <cell r="J380" t="str">
            <v>Domestic</v>
          </cell>
          <cell r="K380" t="str">
            <v>Sugar</v>
          </cell>
          <cell r="L380" t="str">
            <v>Sugar</v>
          </cell>
          <cell r="M380" t="str">
            <v>OEM</v>
          </cell>
          <cell r="O380" t="str">
            <v>-</v>
          </cell>
          <cell r="P380" t="str">
            <v>NI</v>
          </cell>
          <cell r="Q380" t="str">
            <v>AVIRAL SHUKLA</v>
          </cell>
          <cell r="S380" t="str">
            <v>https://maps.app.goo.gl/G8zB4CJLdpqEWgBr8</v>
          </cell>
          <cell r="T380" t="str">
            <v>Delhi-NCR tour</v>
          </cell>
          <cell r="U380" t="str">
            <v>26-27</v>
          </cell>
          <cell r="V380" t="str">
            <v>Apr</v>
          </cell>
          <cell r="W380" t="str">
            <v>15-4-2026
14-10-2025
16-04-2025</v>
          </cell>
        </row>
        <row r="381">
          <cell r="F381" t="str">
            <v>PANC01I043</v>
          </cell>
          <cell r="G381" t="str">
            <v>ISHAN PARYAVARAN</v>
          </cell>
          <cell r="H381" t="str">
            <v>20-21</v>
          </cell>
          <cell r="I381" t="str">
            <v>-</v>
          </cell>
          <cell r="J381" t="str">
            <v>Domestic</v>
          </cell>
          <cell r="K381" t="str">
            <v>OTHERS</v>
          </cell>
          <cell r="L381" t="str">
            <v>Non-Sugar</v>
          </cell>
          <cell r="M381" t="str">
            <v>OEM</v>
          </cell>
          <cell r="O381" t="str">
            <v>-</v>
          </cell>
          <cell r="P381" t="str">
            <v>NI</v>
          </cell>
          <cell r="Q381" t="str">
            <v>AMIT SRIVASTAVA</v>
          </cell>
          <cell r="S381" t="str">
            <v>https://share.google/beI9J3BNOwXXk0mAd</v>
          </cell>
          <cell r="T381" t="str">
            <v>-</v>
          </cell>
          <cell r="U381" t="str">
            <v>-</v>
          </cell>
          <cell r="W381">
            <v>46112</v>
          </cell>
        </row>
        <row r="382">
          <cell r="F382" t="str">
            <v>PUNE01I060</v>
          </cell>
          <cell r="G382" t="str">
            <v>ISTPPL SUCRO - TECH LLP</v>
          </cell>
          <cell r="H382" t="str">
            <v>23-24</v>
          </cell>
          <cell r="I382" t="str">
            <v>-</v>
          </cell>
          <cell r="J382" t="str">
            <v>Domestic</v>
          </cell>
          <cell r="K382" t="str">
            <v>Sugar</v>
          </cell>
          <cell r="L382" t="str">
            <v>Sugar</v>
          </cell>
          <cell r="M382" t="str">
            <v>OEM</v>
          </cell>
          <cell r="O382" t="str">
            <v>-</v>
          </cell>
          <cell r="P382" t="str">
            <v>NI</v>
          </cell>
          <cell r="Q382" t="str">
            <v>AKSHAY AWASTHI</v>
          </cell>
          <cell r="S382" t="str">
            <v>https://share.google/qxIEvORr2swWs7kuF</v>
          </cell>
          <cell r="T382" t="str">
            <v>-</v>
          </cell>
          <cell r="U382" t="str">
            <v>-</v>
          </cell>
        </row>
        <row r="383">
          <cell r="F383" t="str">
            <v>BELA01I061</v>
          </cell>
          <cell r="G383" t="str">
            <v>ITD CEMENTATION INDIA LTD</v>
          </cell>
          <cell r="H383" t="str">
            <v>-</v>
          </cell>
          <cell r="I383" t="str">
            <v>-</v>
          </cell>
          <cell r="J383" t="str">
            <v>Domestic</v>
          </cell>
          <cell r="K383" t="str">
            <v>Construction</v>
          </cell>
          <cell r="L383" t="str">
            <v>Non-Sugar</v>
          </cell>
          <cell r="M383" t="str">
            <v>OEM</v>
          </cell>
          <cell r="O383" t="str">
            <v>-</v>
          </cell>
          <cell r="P383" t="str">
            <v>MRK</v>
          </cell>
          <cell r="Q383" t="str">
            <v>MRK</v>
          </cell>
          <cell r="R383" t="str">
            <v>OEM</v>
          </cell>
          <cell r="T383" t="str">
            <v>-</v>
          </cell>
          <cell r="W383" t="str">
            <v>-</v>
          </cell>
        </row>
        <row r="384">
          <cell r="F384" t="str">
            <v>SAML01J088</v>
          </cell>
          <cell r="G384" t="str">
            <v>J R SERVICES</v>
          </cell>
          <cell r="H384" t="str">
            <v>-</v>
          </cell>
          <cell r="J384" t="str">
            <v>Domestic</v>
          </cell>
          <cell r="P384" t="str">
            <v>HO</v>
          </cell>
          <cell r="Q384" t="str">
            <v>HIMANSHU KUSHWAHA</v>
          </cell>
        </row>
        <row r="385">
          <cell r="F385" t="str">
            <v>TUMK01J003</v>
          </cell>
          <cell r="G385" t="str">
            <v>J.P. DISTILLERIES PVT. LTD</v>
          </cell>
          <cell r="H385">
            <v>2013</v>
          </cell>
          <cell r="I385" t="str">
            <v>-</v>
          </cell>
          <cell r="J385" t="str">
            <v>Domestic</v>
          </cell>
          <cell r="K385" t="str">
            <v>Distillery</v>
          </cell>
          <cell r="L385" t="str">
            <v>Non-Sugar</v>
          </cell>
          <cell r="M385" t="str">
            <v>End User</v>
          </cell>
          <cell r="P385" t="str">
            <v>SI-GS</v>
          </cell>
          <cell r="Q385" t="str">
            <v>SI-GS</v>
          </cell>
          <cell r="S385" t="str">
            <v>https://maps.app.goo.gl/7nMmsdX6Hz3JUHNg7</v>
          </cell>
          <cell r="W385" t="str">
            <v>-</v>
          </cell>
        </row>
        <row r="386">
          <cell r="F386" t="str">
            <v>LATU01J017</v>
          </cell>
          <cell r="G386" t="str">
            <v>JAGRUTI SUGAR &amp; ALLIED INDUSTRIES LTD.</v>
          </cell>
          <cell r="H386">
            <v>2013</v>
          </cell>
          <cell r="I386" t="str">
            <v>-</v>
          </cell>
          <cell r="J386" t="str">
            <v>Domestic</v>
          </cell>
          <cell r="K386" t="str">
            <v>Sugar</v>
          </cell>
          <cell r="L386" t="str">
            <v>Sugar</v>
          </cell>
          <cell r="M386" t="str">
            <v>End User</v>
          </cell>
          <cell r="N386" t="str">
            <v>(0-5000)</v>
          </cell>
          <cell r="O386">
            <v>4800</v>
          </cell>
          <cell r="P386" t="str">
            <v>AV</v>
          </cell>
          <cell r="Q386" t="str">
            <v>AV</v>
          </cell>
          <cell r="R386" t="str">
            <v>PD</v>
          </cell>
          <cell r="S386" t="str">
            <v>NA</v>
          </cell>
          <cell r="T386" t="str">
            <v>Latur - 1</v>
          </cell>
          <cell r="U386" t="str">
            <v>23-24</v>
          </cell>
          <cell r="W386">
            <v>45203</v>
          </cell>
        </row>
        <row r="387">
          <cell r="F387" t="str">
            <v>PANI01J083</v>
          </cell>
          <cell r="G387" t="str">
            <v>JAI BALA JI TEXTILE</v>
          </cell>
          <cell r="H387" t="str">
            <v>25-26</v>
          </cell>
          <cell r="I387" t="str">
            <v>-</v>
          </cell>
          <cell r="J387" t="str">
            <v>Domestic</v>
          </cell>
          <cell r="K387" t="str">
            <v>TEXTILE</v>
          </cell>
          <cell r="L387" t="str">
            <v>Non-Sugar</v>
          </cell>
          <cell r="M387" t="str">
            <v>End User</v>
          </cell>
          <cell r="O387" t="str">
            <v>-</v>
          </cell>
          <cell r="P387" t="str">
            <v>NI</v>
          </cell>
          <cell r="Q387" t="str">
            <v>AVIRAL SHUKLA</v>
          </cell>
          <cell r="S387" t="str">
            <v>https://share.google/vxQ0u3UsHONvAc1iC</v>
          </cell>
        </row>
        <row r="388">
          <cell r="F388" t="str">
            <v>SOLP01J034</v>
          </cell>
          <cell r="G388" t="str">
            <v>JAI HIND SUGAR PVT LTD</v>
          </cell>
          <cell r="H388">
            <v>2017</v>
          </cell>
          <cell r="I388" t="str">
            <v>-</v>
          </cell>
          <cell r="J388" t="str">
            <v>Domestic</v>
          </cell>
          <cell r="K388" t="str">
            <v>Sugar</v>
          </cell>
          <cell r="L388" t="str">
            <v>Sugar</v>
          </cell>
          <cell r="M388" t="str">
            <v>End User</v>
          </cell>
          <cell r="N388" t="str">
            <v>(5001-9000)</v>
          </cell>
          <cell r="O388" t="str">
            <v>9000
Distillery 45 KLPD</v>
          </cell>
          <cell r="P388" t="str">
            <v>AV</v>
          </cell>
          <cell r="Q388" t="str">
            <v>AV</v>
          </cell>
          <cell r="R388" t="str">
            <v>PD</v>
          </cell>
          <cell r="S388" t="str">
            <v>https://maps.app.goo.gl/qBHhLuAqEHom6Jky5</v>
          </cell>
          <cell r="T388" t="str">
            <v>Solapur - 1</v>
          </cell>
          <cell r="U388" t="str">
            <v>23-24</v>
          </cell>
          <cell r="W388">
            <v>45070</v>
          </cell>
        </row>
        <row r="389">
          <cell r="F389" t="str">
            <v>JABA01J044</v>
          </cell>
          <cell r="G389" t="str">
            <v>JAIN MINES &amp; MINERALS (I) PVT. LTD.</v>
          </cell>
          <cell r="H389" t="str">
            <v>23-24</v>
          </cell>
          <cell r="I389" t="str">
            <v>-</v>
          </cell>
          <cell r="J389" t="str">
            <v>Domestic</v>
          </cell>
          <cell r="K389" t="str">
            <v>OTHERS</v>
          </cell>
          <cell r="L389" t="str">
            <v>Non-Sugar</v>
          </cell>
          <cell r="M389" t="str">
            <v>End User</v>
          </cell>
          <cell r="O389" t="str">
            <v>-</v>
          </cell>
          <cell r="P389" t="str">
            <v>NI</v>
          </cell>
          <cell r="Q389" t="str">
            <v>AVIRAL SHUKLA</v>
          </cell>
          <cell r="S389" t="str">
            <v>https://share.google/fUNUXeDEVGyzFOiHT</v>
          </cell>
          <cell r="T389" t="str">
            <v>-</v>
          </cell>
          <cell r="U389" t="str">
            <v>-</v>
          </cell>
          <cell r="W389" t="str">
            <v>-</v>
          </cell>
        </row>
        <row r="390">
          <cell r="F390" t="str">
            <v>MUMB01J026</v>
          </cell>
          <cell r="G390" t="str">
            <v>JAINAM ENGINEERS(megh dhanush)</v>
          </cell>
          <cell r="H390">
            <v>2016</v>
          </cell>
          <cell r="I390" t="str">
            <v>-</v>
          </cell>
          <cell r="J390" t="str">
            <v>Domestic</v>
          </cell>
          <cell r="K390" t="str">
            <v>Sugar</v>
          </cell>
          <cell r="L390" t="str">
            <v>Sugar</v>
          </cell>
          <cell r="M390" t="str">
            <v>Trader</v>
          </cell>
          <cell r="O390" t="str">
            <v>-</v>
          </cell>
          <cell r="P390" t="str">
            <v>NI</v>
          </cell>
          <cell r="Q390" t="str">
            <v>AKSHAY AWASTHI</v>
          </cell>
          <cell r="S390" t="str">
            <v>NA</v>
          </cell>
          <cell r="T390" t="str">
            <v>-</v>
          </cell>
          <cell r="U390" t="str">
            <v>-</v>
          </cell>
          <cell r="W390" t="str">
            <v>-</v>
          </cell>
        </row>
        <row r="391">
          <cell r="F391" t="str">
            <v>SOLP01J006</v>
          </cell>
          <cell r="G391" t="str">
            <v>JAKRAYA SUGAR LIMITED</v>
          </cell>
          <cell r="H391">
            <v>2014</v>
          </cell>
          <cell r="I391" t="str">
            <v>-</v>
          </cell>
          <cell r="J391" t="str">
            <v>Domestic</v>
          </cell>
          <cell r="K391" t="str">
            <v>Sugar</v>
          </cell>
          <cell r="L391" t="str">
            <v>Sugar</v>
          </cell>
          <cell r="M391" t="str">
            <v>End User</v>
          </cell>
          <cell r="N391" t="str">
            <v>(0-5000)</v>
          </cell>
          <cell r="O391" t="str">
            <v>3500
Distillery 200 KLPD (Expn plan upto 40 KLPD)</v>
          </cell>
          <cell r="P391" t="str">
            <v>AV</v>
          </cell>
          <cell r="Q391" t="str">
            <v>AV</v>
          </cell>
          <cell r="R391" t="str">
            <v>PD</v>
          </cell>
          <cell r="S391" t="str">
            <v>https://maps.app.goo.gl/wKhB1kGFsGc16bzo6</v>
          </cell>
          <cell r="T391" t="str">
            <v>Solapur - 1</v>
          </cell>
          <cell r="U391" t="str">
            <v>23-24</v>
          </cell>
          <cell r="W391">
            <v>45084</v>
          </cell>
        </row>
        <row r="392">
          <cell r="F392" t="str">
            <v>BAGL01J007</v>
          </cell>
          <cell r="G392" t="str">
            <v>JAMKHANDI SUGARS LIMITED (UNIT - 1)</v>
          </cell>
          <cell r="H392">
            <v>2012</v>
          </cell>
          <cell r="I392" t="str">
            <v>-</v>
          </cell>
          <cell r="J392" t="str">
            <v>Domestic</v>
          </cell>
          <cell r="K392" t="str">
            <v>Sugar</v>
          </cell>
          <cell r="L392" t="str">
            <v>Sugar</v>
          </cell>
          <cell r="M392" t="str">
            <v>End User</v>
          </cell>
          <cell r="N392" t="str">
            <v>(0-5000)</v>
          </cell>
          <cell r="O392" t="str">
            <v>11500
Distillery 250 KLPD</v>
          </cell>
          <cell r="P392" t="str">
            <v>AV</v>
          </cell>
          <cell r="Q392" t="str">
            <v>AV</v>
          </cell>
          <cell r="R392" t="str">
            <v>VG</v>
          </cell>
          <cell r="S392" t="str">
            <v>https://maps.app.goo.gl/Nu7ARbakegBYXUFf8</v>
          </cell>
          <cell r="T392" t="str">
            <v>Bagalkot - 1</v>
          </cell>
          <cell r="U392" t="str">
            <v>26-27</v>
          </cell>
          <cell r="V392" t="str">
            <v>May</v>
          </cell>
          <cell r="W392" t="str">
            <v>9-5-26(Service)
19-08-2025
27-02-2024
30-03-2023
10-10-2022</v>
          </cell>
        </row>
        <row r="393">
          <cell r="F393" t="str">
            <v>BIJA01J016</v>
          </cell>
          <cell r="G393" t="str">
            <v>JAMKHANDI SUGARS LTD. (UNIT-II)</v>
          </cell>
          <cell r="H393">
            <v>2013</v>
          </cell>
          <cell r="I393" t="str">
            <v>-</v>
          </cell>
          <cell r="J393" t="str">
            <v>Domestic</v>
          </cell>
          <cell r="K393" t="str">
            <v>Sugar</v>
          </cell>
          <cell r="L393" t="str">
            <v>Sugar</v>
          </cell>
          <cell r="M393" t="str">
            <v>End User</v>
          </cell>
          <cell r="N393" t="str">
            <v>(0-5000)</v>
          </cell>
          <cell r="O393">
            <v>4500</v>
          </cell>
          <cell r="P393" t="str">
            <v>AV</v>
          </cell>
          <cell r="Q393" t="str">
            <v>AV</v>
          </cell>
          <cell r="R393" t="str">
            <v>VG</v>
          </cell>
          <cell r="S393" t="str">
            <v>https://maps.app.goo.gl/8DiKFwWDy2DCU8fh8</v>
          </cell>
          <cell r="T393" t="str">
            <v>Vijaypura - 1</v>
          </cell>
          <cell r="U393" t="str">
            <v>25-26</v>
          </cell>
          <cell r="W393" t="str">
            <v>12-11-2025
6-6-2025
21-04-2023
08-11-2022</v>
          </cell>
        </row>
        <row r="394">
          <cell r="F394" t="str">
            <v>MERT01J084</v>
          </cell>
          <cell r="G394" t="str">
            <v>JANKI PAPER</v>
          </cell>
          <cell r="H394" t="str">
            <v>-</v>
          </cell>
          <cell r="J394" t="str">
            <v>Domestic</v>
          </cell>
          <cell r="P394" t="str">
            <v>HO</v>
          </cell>
          <cell r="Q394" t="str">
            <v>-</v>
          </cell>
        </row>
        <row r="395">
          <cell r="F395" t="str">
            <v>SATA01J036</v>
          </cell>
          <cell r="G395" t="str">
            <v>JARANDESHWAR SUGAR MILLS PVT LTD</v>
          </cell>
          <cell r="H395">
            <v>2017</v>
          </cell>
          <cell r="I395" t="str">
            <v>Powar Group</v>
          </cell>
          <cell r="J395" t="str">
            <v>Domestic</v>
          </cell>
          <cell r="K395" t="str">
            <v>Sugar</v>
          </cell>
          <cell r="L395" t="str">
            <v>Sugar</v>
          </cell>
          <cell r="M395" t="str">
            <v>Group (Mills)</v>
          </cell>
          <cell r="N395" t="str">
            <v>(9001 &amp; above)</v>
          </cell>
          <cell r="O395">
            <v>17000</v>
          </cell>
          <cell r="P395" t="str">
            <v>AV</v>
          </cell>
          <cell r="Q395" t="str">
            <v>AV</v>
          </cell>
          <cell r="R395" t="str">
            <v>VG</v>
          </cell>
          <cell r="S395" t="str">
            <v>https://maps.app.goo.gl/8YgnV4JpqTnCtw5S8</v>
          </cell>
          <cell r="T395" t="str">
            <v>Satara - 1</v>
          </cell>
          <cell r="U395" t="str">
            <v>25-26</v>
          </cell>
          <cell r="W395" t="str">
            <v>20-01-2026(AV)
31-12-2024
05-01-2023</v>
          </cell>
        </row>
        <row r="396">
          <cell r="F396" t="str">
            <v>TRUL01J080</v>
          </cell>
          <cell r="G396" t="str">
            <v>JAVA GREEN ECO</v>
          </cell>
          <cell r="H396" t="str">
            <v>-</v>
          </cell>
          <cell r="J396" t="str">
            <v>Domestic</v>
          </cell>
          <cell r="P396" t="str">
            <v>SI-GS</v>
          </cell>
          <cell r="Q396" t="str">
            <v>SI-GS</v>
          </cell>
        </row>
        <row r="397">
          <cell r="F397" t="str">
            <v>KHAR01J009</v>
          </cell>
          <cell r="G397" t="str">
            <v>JAWAHARLAL NEHRU SAHAKARI AGRICULTURAL PRODUCE PROCESS- ING SOCIETY LTD</v>
          </cell>
          <cell r="H397">
            <v>2014</v>
          </cell>
          <cell r="I397" t="str">
            <v>-</v>
          </cell>
          <cell r="J397" t="str">
            <v>Domestic</v>
          </cell>
          <cell r="K397" t="str">
            <v>Sugar</v>
          </cell>
          <cell r="L397" t="str">
            <v>Sugar</v>
          </cell>
          <cell r="M397" t="str">
            <v>End User</v>
          </cell>
          <cell r="N397" t="str">
            <v>(0-5000)</v>
          </cell>
          <cell r="O397">
            <v>2000</v>
          </cell>
          <cell r="P397" t="str">
            <v>NI</v>
          </cell>
          <cell r="Q397" t="str">
            <v>HIMANSHU KUSHWAHA</v>
          </cell>
          <cell r="S397" t="str">
            <v>https://share.google/BtHLQtquxYHJoUIzl</v>
          </cell>
          <cell r="U397" t="str">
            <v>24-25</v>
          </cell>
          <cell r="W397">
            <v>45590</v>
          </cell>
        </row>
        <row r="398">
          <cell r="F398" t="str">
            <v>MUMB01J011</v>
          </cell>
          <cell r="G398" t="str">
            <v>JAYA IMPEX</v>
          </cell>
          <cell r="H398">
            <v>2014</v>
          </cell>
          <cell r="I398" t="str">
            <v>-</v>
          </cell>
          <cell r="J398" t="str">
            <v>Domestic</v>
          </cell>
          <cell r="K398" t="str">
            <v>Sugar</v>
          </cell>
          <cell r="L398" t="str">
            <v>Sugar</v>
          </cell>
          <cell r="M398" t="str">
            <v>Trader</v>
          </cell>
          <cell r="O398" t="str">
            <v>-</v>
          </cell>
          <cell r="P398" t="str">
            <v>NI</v>
          </cell>
          <cell r="Q398" t="str">
            <v>AKSHAY AWASTHI</v>
          </cell>
          <cell r="S398" t="str">
            <v>https://share.google/xFAGlfbaN5Sraajsg</v>
          </cell>
          <cell r="T398" t="str">
            <v>-</v>
          </cell>
          <cell r="U398" t="str">
            <v>-</v>
          </cell>
          <cell r="W398" t="str">
            <v>no need</v>
          </cell>
        </row>
        <row r="399">
          <cell r="F399" t="str">
            <v>BANG01J049</v>
          </cell>
          <cell r="G399" t="str">
            <v>JAYADITYA SUGAR CONSULTANCY SERIVICES PVT LTD</v>
          </cell>
          <cell r="H399" t="str">
            <v>23-24</v>
          </cell>
          <cell r="I399" t="str">
            <v>-</v>
          </cell>
          <cell r="J399" t="str">
            <v>Domestic</v>
          </cell>
          <cell r="K399" t="str">
            <v>Sugar</v>
          </cell>
          <cell r="L399" t="str">
            <v>Sugar</v>
          </cell>
          <cell r="M399" t="str">
            <v>OEM</v>
          </cell>
          <cell r="O399" t="str">
            <v>-</v>
          </cell>
          <cell r="P399" t="str">
            <v>NI</v>
          </cell>
          <cell r="Q399" t="str">
            <v>AVIRAL SHUKLA</v>
          </cell>
          <cell r="S399" t="str">
            <v>NA</v>
          </cell>
          <cell r="T399" t="str">
            <v>-</v>
          </cell>
          <cell r="U399" t="str">
            <v>-</v>
          </cell>
        </row>
        <row r="400">
          <cell r="F400" t="str">
            <v>GUJA01J090</v>
          </cell>
          <cell r="G400" t="str">
            <v>JAYANT AGRO ORGANICS LTD</v>
          </cell>
          <cell r="H400" t="str">
            <v>-</v>
          </cell>
          <cell r="J400" t="str">
            <v>Domestic</v>
          </cell>
          <cell r="P400" t="str">
            <v>HO</v>
          </cell>
          <cell r="Q400" t="str">
            <v>AKSHAY AWASTHI</v>
          </cell>
        </row>
        <row r="401">
          <cell r="F401" t="str">
            <v>SATA01J012</v>
          </cell>
          <cell r="G401" t="str">
            <v>JAYWANT SUGARS LIMITED</v>
          </cell>
          <cell r="H401">
            <v>2013</v>
          </cell>
          <cell r="I401" t="str">
            <v>-</v>
          </cell>
          <cell r="J401" t="str">
            <v>Domestic</v>
          </cell>
          <cell r="K401" t="str">
            <v>Sugar</v>
          </cell>
          <cell r="L401" t="str">
            <v>Sugar</v>
          </cell>
          <cell r="M401" t="str">
            <v>End User</v>
          </cell>
          <cell r="N401" t="str">
            <v>(0-5000)</v>
          </cell>
          <cell r="O401" t="str">
            <v>4500
55KLPD</v>
          </cell>
          <cell r="P401" t="str">
            <v>AV</v>
          </cell>
          <cell r="Q401" t="str">
            <v>AV</v>
          </cell>
          <cell r="R401" t="str">
            <v>VG</v>
          </cell>
          <cell r="S401" t="str">
            <v>https://maps.app.goo.gl/E5AKKpBEgA8YqALk6</v>
          </cell>
          <cell r="T401" t="str">
            <v>Satara - 1</v>
          </cell>
          <cell r="U401" t="str">
            <v>25-26</v>
          </cell>
          <cell r="W401" t="str">
            <v>29/04/2025</v>
          </cell>
        </row>
        <row r="402">
          <cell r="F402" t="str">
            <v>UDAM01J054</v>
          </cell>
          <cell r="G402" t="str">
            <v>JGN SUGAR &amp; BIOFUELS PVT LTD</v>
          </cell>
          <cell r="H402" t="str">
            <v>23-24</v>
          </cell>
          <cell r="I402" t="str">
            <v>-</v>
          </cell>
          <cell r="J402" t="str">
            <v>Domestic</v>
          </cell>
          <cell r="K402" t="str">
            <v>Sugar</v>
          </cell>
          <cell r="L402" t="str">
            <v>Sugar</v>
          </cell>
          <cell r="M402" t="str">
            <v>End User</v>
          </cell>
          <cell r="N402" t="str">
            <v>(0-5000)</v>
          </cell>
          <cell r="O402">
            <v>3000</v>
          </cell>
          <cell r="P402" t="str">
            <v>NI</v>
          </cell>
          <cell r="Q402" t="str">
            <v>AKSHAY AWASTHI</v>
          </cell>
          <cell r="S402" t="str">
            <v>https://maps.app.goo.gl/cCZukrj6eyz2T17a6</v>
          </cell>
          <cell r="T402" t="str">
            <v>CENTRAL-3</v>
          </cell>
          <cell r="U402" t="str">
            <v>25-26</v>
          </cell>
          <cell r="W402" t="str">
            <v>3-12-2025
14-05-2025
23-10-2024
26-12-2023</v>
          </cell>
        </row>
        <row r="403">
          <cell r="F403" t="str">
            <v>RNCH01J078</v>
          </cell>
          <cell r="G403" t="str">
            <v>JHARKHAND URJA UTPADAN NIGAM</v>
          </cell>
          <cell r="H403" t="str">
            <v>-</v>
          </cell>
          <cell r="J403" t="str">
            <v>Domestic</v>
          </cell>
          <cell r="P403" t="str">
            <v>HO</v>
          </cell>
          <cell r="Q403" t="str">
            <v>-</v>
          </cell>
        </row>
        <row r="404">
          <cell r="F404" t="str">
            <v>MUMB01J082</v>
          </cell>
          <cell r="G404" t="str">
            <v>JM BAXI PORTS &amp; LOGISTICS PVT LTD</v>
          </cell>
          <cell r="H404" t="str">
            <v>-</v>
          </cell>
          <cell r="J404" t="str">
            <v>Domestic</v>
          </cell>
          <cell r="P404" t="str">
            <v>HO</v>
          </cell>
          <cell r="Q404" t="str">
            <v>-</v>
          </cell>
        </row>
        <row r="405">
          <cell r="F405" t="str">
            <v>THAN01J070</v>
          </cell>
          <cell r="G405" t="str">
            <v>JNK India Ltd.</v>
          </cell>
          <cell r="H405" t="str">
            <v>25-26</v>
          </cell>
          <cell r="I405" t="str">
            <v>-</v>
          </cell>
          <cell r="J405" t="str">
            <v>Domestic</v>
          </cell>
          <cell r="K405" t="str">
            <v>OTHERS</v>
          </cell>
          <cell r="L405" t="str">
            <v>Non-Sugar</v>
          </cell>
          <cell r="M405" t="str">
            <v>OEM</v>
          </cell>
          <cell r="O405" t="str">
            <v>-</v>
          </cell>
          <cell r="P405" t="str">
            <v>NI</v>
          </cell>
          <cell r="Q405" t="str">
            <v>HIMANSHU KUSHWAHA</v>
          </cell>
          <cell r="S405" t="str">
            <v>https://share.google/bw6mx4VTbDpxNH8Cw</v>
          </cell>
          <cell r="U405" t="str">
            <v>25-26</v>
          </cell>
        </row>
        <row r="406">
          <cell r="F406" t="str">
            <v>KANP01J014</v>
          </cell>
          <cell r="G406" t="str">
            <v>JSR INDUSTRIES PVT LTD.</v>
          </cell>
          <cell r="H406">
            <v>2016</v>
          </cell>
          <cell r="I406" t="str">
            <v>-</v>
          </cell>
          <cell r="J406" t="str">
            <v>Domestic</v>
          </cell>
          <cell r="K406" t="str">
            <v>OTHERS</v>
          </cell>
          <cell r="L406" t="str">
            <v>Non-Sugar</v>
          </cell>
          <cell r="M406" t="str">
            <v>End User</v>
          </cell>
          <cell r="O406" t="str">
            <v>-</v>
          </cell>
          <cell r="P406" t="str">
            <v>NI</v>
          </cell>
          <cell r="Q406" t="str">
            <v>AVIRAL SHUKLA</v>
          </cell>
          <cell r="R406" t="str">
            <v>AMIT SRIVASTAVA</v>
          </cell>
          <cell r="S406" t="str">
            <v>https://share.google/TNdNBER8D2W04PxvZ</v>
          </cell>
          <cell r="T406" t="str">
            <v>-</v>
          </cell>
          <cell r="U406" t="str">
            <v>25-26</v>
          </cell>
          <cell r="W406" t="str">
            <v>24-01-2026</v>
          </cell>
        </row>
        <row r="407">
          <cell r="F407" t="str">
            <v>MUMB01J089</v>
          </cell>
          <cell r="G407" t="str">
            <v>JWC LOGISTICS PARK PVT LTD</v>
          </cell>
          <cell r="H407" t="str">
            <v>-</v>
          </cell>
          <cell r="J407" t="str">
            <v>Domestic</v>
          </cell>
          <cell r="P407" t="str">
            <v>-</v>
          </cell>
          <cell r="Q407" t="str">
            <v>-</v>
          </cell>
        </row>
        <row r="408">
          <cell r="F408" t="str">
            <v>PUNE01J056</v>
          </cell>
          <cell r="G408" t="str">
            <v>JYOTI ENGINEERING PVT LTD</v>
          </cell>
          <cell r="H408" t="str">
            <v>-</v>
          </cell>
          <cell r="J408" t="str">
            <v>Domestic</v>
          </cell>
          <cell r="P408" t="str">
            <v>AV</v>
          </cell>
          <cell r="Q408" t="str">
            <v>-</v>
          </cell>
        </row>
        <row r="409">
          <cell r="F409" t="str">
            <v>PUNE01J028</v>
          </cell>
          <cell r="G409" t="str">
            <v>JYOTI SUGAR ENGINEERING PVT LTD</v>
          </cell>
          <cell r="H409" t="str">
            <v>23-24</v>
          </cell>
          <cell r="J409" t="str">
            <v>Domestic</v>
          </cell>
          <cell r="K409" t="str">
            <v>Sugar</v>
          </cell>
          <cell r="L409" t="str">
            <v>Sugar</v>
          </cell>
          <cell r="M409" t="str">
            <v>OEM</v>
          </cell>
          <cell r="O409" t="str">
            <v>-</v>
          </cell>
          <cell r="P409" t="str">
            <v>AV</v>
          </cell>
          <cell r="Q409" t="str">
            <v>AV</v>
          </cell>
          <cell r="R409" t="str">
            <v>OEM</v>
          </cell>
          <cell r="T409" t="str">
            <v>-</v>
          </cell>
          <cell r="W409" t="str">
            <v>-</v>
          </cell>
        </row>
        <row r="410">
          <cell r="F410" t="str">
            <v>MUMB01J018</v>
          </cell>
          <cell r="G410" t="str">
            <v>JYOTI TRADERS</v>
          </cell>
          <cell r="H410">
            <v>2018</v>
          </cell>
          <cell r="I410" t="str">
            <v>-</v>
          </cell>
          <cell r="J410" t="str">
            <v>Domestic</v>
          </cell>
          <cell r="K410" t="str">
            <v>OTHERS</v>
          </cell>
          <cell r="L410" t="str">
            <v>Non-Sugar</v>
          </cell>
          <cell r="M410" t="str">
            <v>Trader</v>
          </cell>
          <cell r="O410" t="str">
            <v>-</v>
          </cell>
          <cell r="P410" t="str">
            <v>NI</v>
          </cell>
          <cell r="Q410" t="str">
            <v>AVIRAL SHUKLA</v>
          </cell>
          <cell r="S410" t="str">
            <v>NA</v>
          </cell>
          <cell r="T410" t="str">
            <v>-</v>
          </cell>
          <cell r="U410" t="str">
            <v>-</v>
          </cell>
        </row>
        <row r="411">
          <cell r="F411" t="str">
            <v>KANP01K073</v>
          </cell>
          <cell r="G411" t="str">
            <v>K. EXPORT TRADING COMPANY</v>
          </cell>
          <cell r="H411" t="str">
            <v>19-20</v>
          </cell>
          <cell r="I411" t="str">
            <v>-</v>
          </cell>
          <cell r="J411" t="str">
            <v>Domestic</v>
          </cell>
          <cell r="K411" t="str">
            <v>OTHERS</v>
          </cell>
          <cell r="L411" t="str">
            <v>Non-Sugar</v>
          </cell>
          <cell r="M411" t="str">
            <v>Trader</v>
          </cell>
          <cell r="O411" t="str">
            <v>-</v>
          </cell>
          <cell r="P411" t="str">
            <v>NI</v>
          </cell>
          <cell r="Q411" t="str">
            <v>AVIRAL SHUKLA</v>
          </cell>
          <cell r="S411" t="str">
            <v>NA</v>
          </cell>
          <cell r="T411" t="str">
            <v>-</v>
          </cell>
          <cell r="U411" t="str">
            <v>-</v>
          </cell>
        </row>
        <row r="412">
          <cell r="F412" t="str">
            <v>FAIZ01K001</v>
          </cell>
          <cell r="G412" t="str">
            <v>K. M. SUGAR MILLS LTD</v>
          </cell>
          <cell r="H412">
            <v>2013</v>
          </cell>
          <cell r="I412" t="str">
            <v>-</v>
          </cell>
          <cell r="J412" t="str">
            <v>Domestic</v>
          </cell>
          <cell r="K412" t="str">
            <v>Sugar</v>
          </cell>
          <cell r="L412" t="str">
            <v>Sugar</v>
          </cell>
          <cell r="M412" t="str">
            <v>End User</v>
          </cell>
          <cell r="N412" t="str">
            <v>(5001-9000)</v>
          </cell>
          <cell r="O412">
            <v>9000</v>
          </cell>
          <cell r="P412" t="str">
            <v>NI</v>
          </cell>
          <cell r="Q412" t="str">
            <v>AKSHAY AWASTHI</v>
          </cell>
          <cell r="S412" t="str">
            <v>KM Sugar Mills Ltd.</v>
          </cell>
          <cell r="T412" t="str">
            <v>-</v>
          </cell>
          <cell r="U412" t="str">
            <v>25-26</v>
          </cell>
          <cell r="W412" t="str">
            <v>21-1-2026
03-09-2025
01-01-2025
24-11-2023
23-01-2022</v>
          </cell>
        </row>
        <row r="413">
          <cell r="F413" t="str">
            <v>FAIZ01K036</v>
          </cell>
          <cell r="G413" t="str">
            <v>K. M. SUGAR MILLS LTD. (DISTILLERY DIVISION)</v>
          </cell>
          <cell r="H413">
            <v>2013</v>
          </cell>
          <cell r="I413" t="str">
            <v>-</v>
          </cell>
          <cell r="J413" t="str">
            <v>Domestic</v>
          </cell>
          <cell r="K413" t="str">
            <v>Distillery(Sugar)</v>
          </cell>
          <cell r="L413" t="str">
            <v>Non-Sugar</v>
          </cell>
          <cell r="M413" t="str">
            <v>End User</v>
          </cell>
          <cell r="N413" t="str">
            <v>(9001 &amp; above)</v>
          </cell>
          <cell r="O413">
            <v>9500</v>
          </cell>
          <cell r="P413" t="str">
            <v>NI</v>
          </cell>
          <cell r="Q413" t="str">
            <v>AKSHAY AWASTHI</v>
          </cell>
          <cell r="T413" t="str">
            <v>-</v>
          </cell>
          <cell r="U413" t="str">
            <v>21-22</v>
          </cell>
          <cell r="W413">
            <v>44375</v>
          </cell>
        </row>
        <row r="414">
          <cell r="F414" t="str">
            <v>TANZ01K155</v>
          </cell>
          <cell r="G414" t="str">
            <v>KAGERA SUGAR LTD</v>
          </cell>
          <cell r="H414" t="str">
            <v>25-26</v>
          </cell>
          <cell r="I414" t="str">
            <v>-</v>
          </cell>
          <cell r="J414" t="str">
            <v>Export</v>
          </cell>
          <cell r="K414" t="str">
            <v>Sugar</v>
          </cell>
          <cell r="L414" t="str">
            <v>Sugar</v>
          </cell>
          <cell r="M414" t="str">
            <v>End User</v>
          </cell>
          <cell r="O414" t="str">
            <v>-</v>
          </cell>
          <cell r="P414" t="str">
            <v>NI</v>
          </cell>
          <cell r="Q414" t="str">
            <v>AVIRAL SHUKLA</v>
          </cell>
        </row>
        <row r="415">
          <cell r="F415" t="str">
            <v>KHMM01K003</v>
          </cell>
          <cell r="G415" t="str">
            <v>KAKATIYA CEMENT SUGAR &amp; INDUSTRIES LIMITED</v>
          </cell>
          <cell r="H415">
            <v>2014</v>
          </cell>
          <cell r="I415" t="str">
            <v>-</v>
          </cell>
          <cell r="J415" t="str">
            <v>Domestic</v>
          </cell>
          <cell r="K415" t="str">
            <v>Sugar</v>
          </cell>
          <cell r="L415" t="str">
            <v>Sugar</v>
          </cell>
          <cell r="M415" t="str">
            <v>End User</v>
          </cell>
          <cell r="N415" t="str">
            <v>(0-5000)</v>
          </cell>
          <cell r="O415">
            <v>3200</v>
          </cell>
          <cell r="P415" t="str">
            <v>SI-GS</v>
          </cell>
          <cell r="Q415" t="str">
            <v>SI-GS</v>
          </cell>
          <cell r="S415" t="str">
            <v>Kakatiya Cement Sugar &amp; Industries Limited</v>
          </cell>
          <cell r="W415" t="str">
            <v>-</v>
          </cell>
        </row>
        <row r="416">
          <cell r="F416" t="str">
            <v>SATA01S076</v>
          </cell>
          <cell r="G416" t="str">
            <v>KALLAPPANNA AWADE JAWAHAR SHETKARI SSK LTD.(SHRI RAM JAWAHAR)</v>
          </cell>
          <cell r="H416">
            <v>2013</v>
          </cell>
          <cell r="I416" t="str">
            <v>-</v>
          </cell>
          <cell r="J416" t="str">
            <v>Domestic</v>
          </cell>
          <cell r="K416" t="str">
            <v>Sugar</v>
          </cell>
          <cell r="L416" t="str">
            <v>Sugar</v>
          </cell>
          <cell r="M416" t="str">
            <v>End User</v>
          </cell>
          <cell r="N416" t="str">
            <v>(0-5000)</v>
          </cell>
          <cell r="O416">
            <v>5000</v>
          </cell>
          <cell r="P416" t="str">
            <v>AV</v>
          </cell>
          <cell r="Q416" t="str">
            <v>AV</v>
          </cell>
          <cell r="R416" t="str">
            <v>PD</v>
          </cell>
          <cell r="S416" t="str">
            <v>https://maps.app.goo.gl/dYbv1QKMp7z1Zm9A7</v>
          </cell>
          <cell r="T416" t="str">
            <v>Satara - 2</v>
          </cell>
          <cell r="U416" t="str">
            <v>26-27</v>
          </cell>
          <cell r="V416" t="str">
            <v>May</v>
          </cell>
          <cell r="W416" t="str">
            <v>5-5-26(service)
12-7-2025
25-04-2023
08-01-2023</v>
          </cell>
        </row>
        <row r="417">
          <cell r="F417" t="str">
            <v>MEHS01K069</v>
          </cell>
          <cell r="G417" t="str">
            <v>KAMAL INDUSTRIES</v>
          </cell>
          <cell r="H417">
            <v>2018</v>
          </cell>
          <cell r="I417" t="str">
            <v>-</v>
          </cell>
          <cell r="J417" t="str">
            <v>Domestic</v>
          </cell>
          <cell r="K417" t="str">
            <v>OTHERS</v>
          </cell>
          <cell r="L417" t="str">
            <v>Non-Sugar</v>
          </cell>
          <cell r="M417" t="str">
            <v>Trader</v>
          </cell>
          <cell r="O417" t="str">
            <v>-</v>
          </cell>
          <cell r="P417" t="str">
            <v>NI</v>
          </cell>
          <cell r="Q417" t="str">
            <v>AKSHAY AWASTHI</v>
          </cell>
          <cell r="T417" t="str">
            <v>-</v>
          </cell>
          <cell r="U417" t="str">
            <v>-</v>
          </cell>
          <cell r="W417" t="str">
            <v>will visit</v>
          </cell>
        </row>
        <row r="418">
          <cell r="F418" t="str">
            <v>SOLP01K143</v>
          </cell>
          <cell r="G418" t="str">
            <v>KAMALABHAVANI GLOBAL CORP LTD (formerly VITTHAL REFINED SUGARS LTD )</v>
          </cell>
          <cell r="H418" t="str">
            <v>18-19</v>
          </cell>
          <cell r="I418" t="str">
            <v>-</v>
          </cell>
          <cell r="J418" t="str">
            <v>Domestic</v>
          </cell>
          <cell r="K418" t="str">
            <v>Sugar</v>
          </cell>
          <cell r="L418" t="str">
            <v>Sugar</v>
          </cell>
          <cell r="M418" t="str">
            <v>End User</v>
          </cell>
          <cell r="N418" t="str">
            <v>(5001-9000)</v>
          </cell>
          <cell r="O418">
            <v>6000</v>
          </cell>
          <cell r="P418" t="str">
            <v>AV</v>
          </cell>
          <cell r="Q418" t="str">
            <v>AV</v>
          </cell>
          <cell r="R418" t="str">
            <v>PD</v>
          </cell>
          <cell r="S418" t="str">
            <v>https://maps.app.goo.gl/Y7wW1X9yiQHCbAfB9</v>
          </cell>
          <cell r="T418" t="str">
            <v>Solapur - 2</v>
          </cell>
          <cell r="U418" t="str">
            <v>24-25</v>
          </cell>
          <cell r="W418" t="str">
            <v>06-05-2024
12-05-2023</v>
          </cell>
        </row>
        <row r="419">
          <cell r="F419" t="str">
            <v>KANP01K049</v>
          </cell>
          <cell r="G419" t="str">
            <v>KAMDHENU CATTLE FEEDS PVT LTD</v>
          </cell>
          <cell r="H419" t="str">
            <v>20-21</v>
          </cell>
          <cell r="I419" t="str">
            <v>-</v>
          </cell>
          <cell r="J419" t="str">
            <v>Domestic</v>
          </cell>
          <cell r="K419" t="str">
            <v>Cattlefeed</v>
          </cell>
          <cell r="L419" t="str">
            <v>Non-Sugar</v>
          </cell>
          <cell r="M419" t="str">
            <v>End User</v>
          </cell>
          <cell r="O419" t="str">
            <v>-</v>
          </cell>
          <cell r="P419" t="str">
            <v>NI</v>
          </cell>
          <cell r="Q419" t="str">
            <v>AKSHAY AWASTHI</v>
          </cell>
          <cell r="T419" t="str">
            <v>-</v>
          </cell>
          <cell r="U419" t="str">
            <v>-</v>
          </cell>
          <cell r="W419" t="str">
            <v>-</v>
          </cell>
        </row>
        <row r="420">
          <cell r="F420" t="str">
            <v>PUNE01K078</v>
          </cell>
          <cell r="G420" t="str">
            <v>KANHAIYYA AGRO</v>
          </cell>
          <cell r="H420">
            <v>2022</v>
          </cell>
          <cell r="I420" t="str">
            <v>-</v>
          </cell>
          <cell r="J420" t="str">
            <v>Domestic</v>
          </cell>
          <cell r="K420" t="str">
            <v>Cattle Feed</v>
          </cell>
          <cell r="L420" t="str">
            <v>Non-Sugar</v>
          </cell>
          <cell r="M420" t="str">
            <v>End User</v>
          </cell>
          <cell r="N420" t="str">
            <v>-</v>
          </cell>
          <cell r="O420" t="str">
            <v>-</v>
          </cell>
          <cell r="P420" t="str">
            <v>AV</v>
          </cell>
          <cell r="Q420" t="str">
            <v>AV</v>
          </cell>
          <cell r="R420" t="str">
            <v>PD</v>
          </cell>
          <cell r="T420" t="str">
            <v>Ahmednagar - 2</v>
          </cell>
          <cell r="U420" t="str">
            <v>25-26</v>
          </cell>
          <cell r="W420" t="str">
            <v>27-11-2025
22-8-2025
21-8-2025
08/04/2025
12/7/2023</v>
          </cell>
        </row>
        <row r="421">
          <cell r="F421" t="str">
            <v>CHEN01K138</v>
          </cell>
          <cell r="G421" t="str">
            <v>KANKYO BERT PVT. LTD</v>
          </cell>
          <cell r="H421" t="str">
            <v>25-26</v>
          </cell>
          <cell r="I421" t="str">
            <v>-</v>
          </cell>
          <cell r="J421" t="str">
            <v>Domestic</v>
          </cell>
          <cell r="K421" t="str">
            <v>BIOGAS</v>
          </cell>
          <cell r="L421" t="str">
            <v>Non-Sugar</v>
          </cell>
          <cell r="M421" t="str">
            <v>OEM</v>
          </cell>
          <cell r="P421" t="str">
            <v>SI-GS</v>
          </cell>
          <cell r="Q421" t="str">
            <v>SI-GS</v>
          </cell>
          <cell r="W421">
            <v>45532</v>
          </cell>
        </row>
        <row r="422">
          <cell r="F422" t="str">
            <v>GURG01K134</v>
          </cell>
          <cell r="G422" t="str">
            <v>KANWAL ENTERPRISES</v>
          </cell>
          <cell r="H422" t="str">
            <v>24-25</v>
          </cell>
          <cell r="I422" t="str">
            <v>-</v>
          </cell>
          <cell r="J422" t="str">
            <v>Domestic</v>
          </cell>
          <cell r="K422" t="str">
            <v>Other</v>
          </cell>
          <cell r="L422" t="str">
            <v>Non-Sugar</v>
          </cell>
          <cell r="M422" t="str">
            <v>End User</v>
          </cell>
          <cell r="O422" t="str">
            <v>-</v>
          </cell>
          <cell r="P422" t="str">
            <v>NI</v>
          </cell>
          <cell r="Q422" t="str">
            <v>AVIRAL SHUKLA</v>
          </cell>
          <cell r="T422" t="str">
            <v>Delhi-NCR tour</v>
          </cell>
          <cell r="U422" t="str">
            <v>25-26</v>
          </cell>
          <cell r="W422" t="str">
            <v>15-10-2025</v>
          </cell>
        </row>
        <row r="423">
          <cell r="F423" t="str">
            <v>KANP01K082</v>
          </cell>
          <cell r="G423" t="str">
            <v>KAPILA KRISHI UDYOG LIMITED(VARANASI)</v>
          </cell>
          <cell r="H423" t="str">
            <v>23-24</v>
          </cell>
          <cell r="I423" t="str">
            <v>-</v>
          </cell>
          <cell r="J423" t="str">
            <v>Domestic</v>
          </cell>
          <cell r="K423" t="str">
            <v>Cattlefeed</v>
          </cell>
          <cell r="L423" t="str">
            <v>Non-Sugar</v>
          </cell>
          <cell r="M423" t="str">
            <v>End User</v>
          </cell>
          <cell r="O423" t="str">
            <v>-</v>
          </cell>
          <cell r="P423" t="str">
            <v>NI</v>
          </cell>
          <cell r="Q423" t="str">
            <v>HIMANSHU KUSHWAHA</v>
          </cell>
          <cell r="R423" t="str">
            <v>AMIT SRIVASTAVA</v>
          </cell>
          <cell r="T423" t="str">
            <v>-</v>
          </cell>
          <cell r="U423" t="str">
            <v>25-26</v>
          </cell>
          <cell r="W423">
            <v>46083</v>
          </cell>
        </row>
        <row r="424">
          <cell r="F424" t="str">
            <v>KABR01K067</v>
          </cell>
          <cell r="G424" t="str">
            <v>KAPILA KRISHI UDYOG LTD</v>
          </cell>
          <cell r="H424">
            <v>2017</v>
          </cell>
          <cell r="I424" t="str">
            <v>-</v>
          </cell>
          <cell r="J424" t="str">
            <v>Domestic</v>
          </cell>
          <cell r="K424" t="str">
            <v>Cattlefeed</v>
          </cell>
          <cell r="L424" t="str">
            <v>Non-Sugar</v>
          </cell>
          <cell r="M424" t="str">
            <v>End User</v>
          </cell>
          <cell r="O424" t="str">
            <v>-</v>
          </cell>
          <cell r="P424" t="str">
            <v>NI</v>
          </cell>
          <cell r="Q424" t="str">
            <v>HIMANSHU KUSHWAHA</v>
          </cell>
          <cell r="T424" t="str">
            <v>-</v>
          </cell>
          <cell r="U424" t="str">
            <v>-</v>
          </cell>
          <cell r="W424" t="str">
            <v>-</v>
          </cell>
        </row>
        <row r="425">
          <cell r="F425" t="str">
            <v>KANP01K043</v>
          </cell>
          <cell r="G425" t="str">
            <v>KAPILA KRISHI UDYOG LTD.</v>
          </cell>
          <cell r="H425">
            <v>2015</v>
          </cell>
          <cell r="I425" t="str">
            <v>-</v>
          </cell>
          <cell r="J425" t="str">
            <v>Domestic</v>
          </cell>
          <cell r="K425" t="str">
            <v>Cattlefeed</v>
          </cell>
          <cell r="L425" t="str">
            <v>Non-Sugar</v>
          </cell>
          <cell r="M425" t="str">
            <v>End User</v>
          </cell>
          <cell r="O425" t="str">
            <v>-</v>
          </cell>
          <cell r="P425" t="str">
            <v>NI</v>
          </cell>
          <cell r="Q425" t="str">
            <v>HIMANSHU KUSHWAHA</v>
          </cell>
          <cell r="T425" t="str">
            <v>-</v>
          </cell>
          <cell r="U425" t="str">
            <v>-</v>
          </cell>
          <cell r="W425" t="str">
            <v>-</v>
          </cell>
        </row>
        <row r="426">
          <cell r="F426" t="str">
            <v>LUDH01K068</v>
          </cell>
          <cell r="G426" t="str">
            <v>KAPILA KRISHI UDYOUG LTD</v>
          </cell>
          <cell r="H426">
            <v>2017</v>
          </cell>
          <cell r="I426" t="str">
            <v>-</v>
          </cell>
          <cell r="J426" t="str">
            <v>Domestic</v>
          </cell>
          <cell r="K426" t="str">
            <v>Cattlefeed</v>
          </cell>
          <cell r="L426" t="str">
            <v>Non-Sugar</v>
          </cell>
          <cell r="M426" t="str">
            <v>End User</v>
          </cell>
          <cell r="O426" t="str">
            <v>-</v>
          </cell>
          <cell r="P426" t="str">
            <v>NI</v>
          </cell>
          <cell r="Q426" t="str">
            <v>HIMANSHU KUSHWAHA</v>
          </cell>
          <cell r="T426" t="str">
            <v>-</v>
          </cell>
          <cell r="U426" t="str">
            <v>-</v>
          </cell>
          <cell r="W426" t="str">
            <v>-</v>
          </cell>
        </row>
        <row r="427">
          <cell r="F427" t="str">
            <v>NARS01K005</v>
          </cell>
          <cell r="G427" t="str">
            <v>KARELI SUGAR MILL (P) LTD</v>
          </cell>
          <cell r="H427">
            <v>2012</v>
          </cell>
          <cell r="I427" t="str">
            <v>-</v>
          </cell>
          <cell r="J427" t="str">
            <v>Domestic</v>
          </cell>
          <cell r="K427" t="str">
            <v>Sugar</v>
          </cell>
          <cell r="L427" t="str">
            <v>Sugar</v>
          </cell>
          <cell r="M427" t="str">
            <v>End User</v>
          </cell>
          <cell r="N427" t="str">
            <v>(5001-9000)</v>
          </cell>
          <cell r="O427">
            <v>6000</v>
          </cell>
          <cell r="P427" t="str">
            <v>NI</v>
          </cell>
          <cell r="Q427" t="str">
            <v>AVIRAL SHUKLA</v>
          </cell>
          <cell r="S427" t="str">
            <v>Kareli Sugar Mill</v>
          </cell>
          <cell r="T427" t="str">
            <v>M.P -1</v>
          </cell>
          <cell r="U427" t="str">
            <v>25-26</v>
          </cell>
          <cell r="V427" t="str">
            <v>Mar</v>
          </cell>
          <cell r="W427" t="str">
            <v>20-03-2026
17-09-2025
04-03-2025
20-07-2024
01-03-2024</v>
          </cell>
        </row>
        <row r="428">
          <cell r="F428" t="str">
            <v>MORA01K081</v>
          </cell>
          <cell r="G428" t="str">
            <v>KARIMGANJ BIOFUELS PVT LTD
RANA GROUP)</v>
          </cell>
          <cell r="H428" t="str">
            <v>22-23</v>
          </cell>
          <cell r="I428" t="str">
            <v>-</v>
          </cell>
          <cell r="J428" t="str">
            <v>Domestic</v>
          </cell>
          <cell r="K428" t="str">
            <v>Distillery(Sugar)</v>
          </cell>
          <cell r="L428" t="str">
            <v>Non-Sugar</v>
          </cell>
          <cell r="M428" t="str">
            <v>End User</v>
          </cell>
          <cell r="O428" t="str">
            <v>-</v>
          </cell>
          <cell r="P428" t="str">
            <v>NI</v>
          </cell>
          <cell r="Q428" t="str">
            <v>AMIT SRIVASTAVA</v>
          </cell>
          <cell r="T428" t="str">
            <v>-</v>
          </cell>
          <cell r="U428" t="str">
            <v>24-25</v>
          </cell>
          <cell r="W428">
            <v>45649</v>
          </cell>
        </row>
        <row r="429">
          <cell r="F429" t="str">
            <v>AHMD01K114</v>
          </cell>
          <cell r="G429" t="str">
            <v>KARMAVEER SHANKARRAO KALE SAHAKARI SAKHAR KARKHANA LTD. GAUTAMNAGAR</v>
          </cell>
          <cell r="H429" t="str">
            <v>-</v>
          </cell>
          <cell r="I429" t="str">
            <v>-</v>
          </cell>
          <cell r="J429" t="str">
            <v>Domestic</v>
          </cell>
          <cell r="K429" t="str">
            <v>Sugar</v>
          </cell>
          <cell r="L429" t="str">
            <v>Sugar</v>
          </cell>
          <cell r="M429" t="str">
            <v>End User</v>
          </cell>
          <cell r="N429" t="str">
            <v>(0-5000)</v>
          </cell>
          <cell r="O429">
            <v>4000</v>
          </cell>
          <cell r="P429" t="str">
            <v>AV</v>
          </cell>
          <cell r="Q429" t="str">
            <v>AV</v>
          </cell>
          <cell r="R429" t="str">
            <v>PD</v>
          </cell>
          <cell r="S429" t="str">
            <v>https://maps.app.goo.gl/LkYVbnX2MReAhf1U7</v>
          </cell>
          <cell r="T429" t="str">
            <v>Ahmednagar - 1</v>
          </cell>
          <cell r="U429" t="str">
            <v>23-24</v>
          </cell>
          <cell r="W429">
            <v>45104</v>
          </cell>
        </row>
        <row r="430">
          <cell r="F430" t="str">
            <v>JALN01K064</v>
          </cell>
          <cell r="G430" t="str">
            <v>KARMYOGI ANKUSHRAO TOPE SAMARTH SSK LTD- Ankushnagar</v>
          </cell>
          <cell r="H430">
            <v>2013</v>
          </cell>
          <cell r="I430" t="str">
            <v>-</v>
          </cell>
          <cell r="J430" t="str">
            <v>Domestic</v>
          </cell>
          <cell r="K430" t="str">
            <v>Sugar</v>
          </cell>
          <cell r="L430" t="str">
            <v>Sugar</v>
          </cell>
          <cell r="M430" t="str">
            <v>End User</v>
          </cell>
          <cell r="N430" t="str">
            <v>(5001-9000)</v>
          </cell>
          <cell r="O430">
            <v>8000</v>
          </cell>
          <cell r="P430" t="str">
            <v>AV</v>
          </cell>
          <cell r="Q430" t="str">
            <v>AV</v>
          </cell>
          <cell r="R430" t="str">
            <v>PD</v>
          </cell>
          <cell r="S430" t="str">
            <v>https://maps.app.goo.gl/VsoCHKDHfv5VL4DK9</v>
          </cell>
          <cell r="T430" t="str">
            <v>Jalna - 1</v>
          </cell>
          <cell r="U430" t="str">
            <v>23-24</v>
          </cell>
          <cell r="W430">
            <v>45330</v>
          </cell>
        </row>
        <row r="431">
          <cell r="F431" t="str">
            <v>JALN01K063</v>
          </cell>
          <cell r="G431" t="str">
            <v>KARMYOGI ANKUSHRAO TOPE SAMARTH SSK LTD -TIRTHPURI</v>
          </cell>
          <cell r="H431">
            <v>2015</v>
          </cell>
          <cell r="I431" t="str">
            <v>-</v>
          </cell>
          <cell r="J431" t="str">
            <v>Domestic</v>
          </cell>
          <cell r="K431" t="str">
            <v>Sugar</v>
          </cell>
          <cell r="L431" t="str">
            <v>Sugar</v>
          </cell>
          <cell r="M431" t="str">
            <v>End User</v>
          </cell>
          <cell r="N431" t="str">
            <v>(0-5000)</v>
          </cell>
          <cell r="O431">
            <v>3500</v>
          </cell>
          <cell r="P431" t="str">
            <v>AV</v>
          </cell>
          <cell r="Q431" t="str">
            <v>AV</v>
          </cell>
          <cell r="R431" t="str">
            <v>PD</v>
          </cell>
          <cell r="T431" t="str">
            <v>Jalna - 1</v>
          </cell>
          <cell r="U431" t="str">
            <v>23-24</v>
          </cell>
          <cell r="W431">
            <v>45330</v>
          </cell>
        </row>
        <row r="432">
          <cell r="F432" t="str">
            <v>PUNE01K006</v>
          </cell>
          <cell r="G432" t="str">
            <v>KARMYOGI SHANKARRAOJI PATIL SAHAKARI SAKHAR KARKHANA LTD unit 11 (taken over by Onkar group)</v>
          </cell>
          <cell r="H432">
            <v>2013</v>
          </cell>
          <cell r="I432" t="str">
            <v>Onkar Group</v>
          </cell>
          <cell r="J432" t="str">
            <v>Domestic</v>
          </cell>
          <cell r="K432" t="str">
            <v>Sugar</v>
          </cell>
          <cell r="L432" t="str">
            <v>Sugar</v>
          </cell>
          <cell r="M432" t="str">
            <v>Group (Mills)</v>
          </cell>
          <cell r="O432">
            <v>7200</v>
          </cell>
          <cell r="P432" t="str">
            <v>AV</v>
          </cell>
          <cell r="Q432" t="str">
            <v>AV</v>
          </cell>
          <cell r="R432" t="str">
            <v>PD</v>
          </cell>
          <cell r="T432" t="str">
            <v>TOUR-3 (Pune &amp; Solapur)</v>
          </cell>
          <cell r="U432" t="str">
            <v>24-25</v>
          </cell>
          <cell r="W432" t="str">
            <v>16-07-2024
05-05-2023</v>
          </cell>
        </row>
        <row r="433">
          <cell r="F433" t="str">
            <v>BELA01K160</v>
          </cell>
          <cell r="G433" t="str">
            <v>KARNATAKA CO-OPERATIVE MILK PRODUCERS FEDERATION LTD.</v>
          </cell>
          <cell r="H433" t="str">
            <v>-</v>
          </cell>
          <cell r="J433" t="str">
            <v>Domestic</v>
          </cell>
          <cell r="P433" t="str">
            <v>SI-GS</v>
          </cell>
          <cell r="Q433" t="str">
            <v>SI-GS</v>
          </cell>
        </row>
        <row r="434">
          <cell r="F434" t="str">
            <v>HASS01J087</v>
          </cell>
          <cell r="G434" t="str">
            <v>KARNATAKA MILK FEDERATION BANGALORE</v>
          </cell>
          <cell r="H434" t="str">
            <v>-</v>
          </cell>
          <cell r="J434" t="str">
            <v>Domestic</v>
          </cell>
          <cell r="P434" t="str">
            <v>SI-GS</v>
          </cell>
          <cell r="Q434" t="str">
            <v>SI-GS</v>
          </cell>
        </row>
        <row r="435">
          <cell r="F435" t="str">
            <v>KANP01K157</v>
          </cell>
          <cell r="G435" t="str">
            <v>KATARIA EDIBLES LLP UNIT2</v>
          </cell>
          <cell r="H435" t="str">
            <v>-</v>
          </cell>
          <cell r="J435" t="str">
            <v>Domestic</v>
          </cell>
          <cell r="P435" t="str">
            <v>HO</v>
          </cell>
          <cell r="Q435" t="str">
            <v>AVIRAL SHUKLA</v>
          </cell>
        </row>
        <row r="436">
          <cell r="F436" t="str">
            <v>KANP01K074</v>
          </cell>
          <cell r="G436" t="str">
            <v>KATARIA EDIBLES LLP</v>
          </cell>
          <cell r="H436" t="str">
            <v>20-21</v>
          </cell>
          <cell r="I436" t="str">
            <v>-</v>
          </cell>
          <cell r="J436" t="str">
            <v>Domestic</v>
          </cell>
          <cell r="K436" t="str">
            <v>OTHERS</v>
          </cell>
          <cell r="L436" t="str">
            <v>Non-Sugar</v>
          </cell>
          <cell r="M436" t="str">
            <v>End User</v>
          </cell>
          <cell r="O436" t="str">
            <v>-</v>
          </cell>
          <cell r="P436" t="str">
            <v>NI</v>
          </cell>
          <cell r="Q436" t="str">
            <v>AVIRAL SHUKLA</v>
          </cell>
          <cell r="T436" t="str">
            <v>-</v>
          </cell>
          <cell r="U436" t="str">
            <v>-</v>
          </cell>
          <cell r="W436" t="str">
            <v>-</v>
          </cell>
        </row>
        <row r="437">
          <cell r="F437" t="str">
            <v>KASH01K084</v>
          </cell>
          <cell r="G437" t="str">
            <v>KATYAYINI PAPER MILLS PVT LTD</v>
          </cell>
          <cell r="H437" t="str">
            <v>22-23</v>
          </cell>
          <cell r="I437" t="str">
            <v>-</v>
          </cell>
          <cell r="J437" t="str">
            <v>Domestic</v>
          </cell>
          <cell r="K437" t="str">
            <v>Paper</v>
          </cell>
          <cell r="L437" t="str">
            <v>Non-Sugar</v>
          </cell>
          <cell r="M437" t="str">
            <v>End User</v>
          </cell>
          <cell r="O437" t="str">
            <v>-</v>
          </cell>
          <cell r="P437" t="str">
            <v>NI</v>
          </cell>
          <cell r="Q437" t="str">
            <v>AVIRAL SHUKLA</v>
          </cell>
          <cell r="S437" t="str">
            <v>https://maps.app.goo.gl/SFxZgZ35DfVLpuJRA</v>
          </cell>
          <cell r="T437" t="str">
            <v>-</v>
          </cell>
          <cell r="U437" t="str">
            <v>25-26</v>
          </cell>
          <cell r="W437" t="str">
            <v>3-2-2026
15-05-2025
16-01-2025
07-11-2023
17-03-2021
01-02-2020</v>
          </cell>
        </row>
        <row r="438">
          <cell r="F438" t="str">
            <v>UDAM01K083</v>
          </cell>
          <cell r="G438" t="str">
            <v>KATYAYINI TISSUES PVT LTD</v>
          </cell>
          <cell r="H438" t="str">
            <v>22-23</v>
          </cell>
          <cell r="I438" t="str">
            <v>-</v>
          </cell>
          <cell r="J438" t="str">
            <v>Domestic</v>
          </cell>
          <cell r="K438" t="str">
            <v>OTHERS</v>
          </cell>
          <cell r="L438" t="str">
            <v>Non-Sugar</v>
          </cell>
          <cell r="M438" t="str">
            <v>End User</v>
          </cell>
          <cell r="O438" t="str">
            <v>-</v>
          </cell>
          <cell r="P438" t="str">
            <v>NI</v>
          </cell>
          <cell r="Q438" t="str">
            <v>AVIRAL SHUKLA</v>
          </cell>
          <cell r="T438" t="str">
            <v>-</v>
          </cell>
          <cell r="U438" t="str">
            <v>-</v>
          </cell>
          <cell r="W438" t="str">
            <v>-</v>
          </cell>
        </row>
        <row r="439">
          <cell r="F439" t="str">
            <v>VADO01K007</v>
          </cell>
          <cell r="G439" t="str">
            <v>KAVIN TECHNOLOGIES</v>
          </cell>
          <cell r="H439">
            <v>2013</v>
          </cell>
          <cell r="I439" t="str">
            <v>-</v>
          </cell>
          <cell r="J439" t="str">
            <v>Domestic</v>
          </cell>
          <cell r="K439" t="str">
            <v>Sugar</v>
          </cell>
          <cell r="L439" t="str">
            <v>Sugar</v>
          </cell>
          <cell r="M439" t="str">
            <v>Trader</v>
          </cell>
          <cell r="O439" t="str">
            <v>-</v>
          </cell>
          <cell r="P439" t="str">
            <v>NI</v>
          </cell>
          <cell r="Q439" t="str">
            <v>AKSHAY AWASTHI</v>
          </cell>
          <cell r="T439" t="str">
            <v>-</v>
          </cell>
          <cell r="U439" t="str">
            <v>-</v>
          </cell>
        </row>
        <row r="440">
          <cell r="F440" t="str">
            <v>SATA01K008</v>
          </cell>
          <cell r="G440" t="str">
            <v>KAY BOUVET ENGINEERING LIMITED</v>
          </cell>
          <cell r="H440" t="str">
            <v>25-26</v>
          </cell>
          <cell r="I440" t="str">
            <v>-</v>
          </cell>
          <cell r="J440" t="str">
            <v>Domestic</v>
          </cell>
          <cell r="K440" t="str">
            <v>Sugar</v>
          </cell>
          <cell r="L440" t="str">
            <v>Sugar</v>
          </cell>
          <cell r="M440" t="str">
            <v>OEM</v>
          </cell>
          <cell r="O440" t="str">
            <v>-</v>
          </cell>
          <cell r="P440" t="str">
            <v>WI-SV</v>
          </cell>
          <cell r="Q440" t="str">
            <v>SUDHIR</v>
          </cell>
          <cell r="R440" t="str">
            <v>-</v>
          </cell>
          <cell r="T440" t="str">
            <v>-</v>
          </cell>
          <cell r="U440" t="str">
            <v>25-26</v>
          </cell>
          <cell r="W440" t="str">
            <v>26-11-2025</v>
          </cell>
        </row>
        <row r="441">
          <cell r="F441" t="str">
            <v>PUNE01K129</v>
          </cell>
          <cell r="G441" t="str">
            <v>KBK BIOTECH PRIVATE LIMITED</v>
          </cell>
          <cell r="H441" t="str">
            <v>-</v>
          </cell>
          <cell r="I441" t="str">
            <v>-</v>
          </cell>
          <cell r="J441" t="str">
            <v>Domestic</v>
          </cell>
          <cell r="K441" t="str">
            <v>BIOGAS</v>
          </cell>
          <cell r="L441" t="str">
            <v>Non-Sugar</v>
          </cell>
          <cell r="M441" t="str">
            <v>End User</v>
          </cell>
          <cell r="P441" t="str">
            <v>NI</v>
          </cell>
          <cell r="Q441" t="str">
            <v>AKSHAY AWASTHI</v>
          </cell>
        </row>
        <row r="442">
          <cell r="F442" t="str">
            <v>PUNE01K029</v>
          </cell>
          <cell r="G442" t="str">
            <v>KBK CHEM-ENGINEERING PVT. LTD.</v>
          </cell>
          <cell r="H442" t="str">
            <v>19-20</v>
          </cell>
          <cell r="I442" t="str">
            <v>-</v>
          </cell>
          <cell r="J442" t="str">
            <v>Domestic</v>
          </cell>
          <cell r="K442" t="str">
            <v>Sugar</v>
          </cell>
          <cell r="L442" t="str">
            <v>Sugar</v>
          </cell>
          <cell r="M442" t="str">
            <v>OEM</v>
          </cell>
          <cell r="O442" t="str">
            <v>-</v>
          </cell>
          <cell r="P442" t="str">
            <v>NI</v>
          </cell>
          <cell r="Q442" t="str">
            <v>AKSHAY AWASTHI</v>
          </cell>
          <cell r="S442" t="str">
            <v>https://maps.app.goo.gl/kEyV9eexKpbg7DrZ7</v>
          </cell>
          <cell r="T442" t="str">
            <v>-</v>
          </cell>
          <cell r="U442">
            <v>2025</v>
          </cell>
          <cell r="W442" t="str">
            <v>-</v>
          </cell>
        </row>
        <row r="443">
          <cell r="F443" t="str">
            <v>KRSH01K010</v>
          </cell>
          <cell r="G443" t="str">
            <v>KCP SUGAR AND INDUSTRIES CORPORATION LIMITED</v>
          </cell>
          <cell r="H443">
            <v>2013</v>
          </cell>
          <cell r="I443" t="str">
            <v>-</v>
          </cell>
          <cell r="J443" t="str">
            <v>Domestic</v>
          </cell>
          <cell r="K443" t="str">
            <v>Sugar</v>
          </cell>
          <cell r="L443" t="str">
            <v>Sugar</v>
          </cell>
          <cell r="M443" t="str">
            <v>End User</v>
          </cell>
          <cell r="N443" t="str">
            <v>(5001-9000)</v>
          </cell>
          <cell r="O443">
            <v>7500</v>
          </cell>
          <cell r="P443" t="str">
            <v>SI-GS</v>
          </cell>
          <cell r="Q443" t="str">
            <v>SI-GS</v>
          </cell>
          <cell r="S443" t="str">
            <v>https://maps.app.goo.gl/xg4gcCoNrRpwnd5Z8</v>
          </cell>
          <cell r="W443">
            <v>45474</v>
          </cell>
        </row>
        <row r="444">
          <cell r="F444" t="str">
            <v>VIET01K037</v>
          </cell>
          <cell r="G444" t="str">
            <v>KCP VIETNAM INDUSTRIES LIMITED</v>
          </cell>
          <cell r="H444">
            <v>2014</v>
          </cell>
          <cell r="I444" t="str">
            <v>-</v>
          </cell>
          <cell r="J444" t="str">
            <v>Export</v>
          </cell>
          <cell r="K444" t="str">
            <v>OTHERS</v>
          </cell>
          <cell r="L444" t="str">
            <v>Sugar</v>
          </cell>
          <cell r="M444" t="str">
            <v>End User</v>
          </cell>
          <cell r="O444" t="str">
            <v>-</v>
          </cell>
          <cell r="P444" t="str">
            <v>NI</v>
          </cell>
          <cell r="Q444" t="str">
            <v>AVIRAL SHUKLA</v>
          </cell>
          <cell r="T444" t="str">
            <v>-</v>
          </cell>
          <cell r="U444" t="str">
            <v>-</v>
          </cell>
        </row>
        <row r="445">
          <cell r="F445" t="str">
            <v>TAPI01K126</v>
          </cell>
          <cell r="G445" t="str">
            <v>KEDARESHWAR KHANDSARI UDYOG PVT LTD. (Formerly-SHREE KEDARESHWAR KHANDSARI UDYOG)</v>
          </cell>
          <cell r="H445" t="str">
            <v>23-24</v>
          </cell>
          <cell r="I445" t="str">
            <v>-</v>
          </cell>
          <cell r="J445" t="str">
            <v>Domestic</v>
          </cell>
          <cell r="K445" t="str">
            <v>Sugar</v>
          </cell>
          <cell r="L445" t="str">
            <v>Sugar</v>
          </cell>
          <cell r="M445" t="str">
            <v>End User</v>
          </cell>
          <cell r="N445" t="str">
            <v>(0-5000)</v>
          </cell>
          <cell r="O445">
            <v>4000</v>
          </cell>
          <cell r="P445" t="str">
            <v>NI</v>
          </cell>
          <cell r="Q445" t="str">
            <v>HIMANSHU KUSHWAHA</v>
          </cell>
          <cell r="S445" t="str">
            <v>Kedareshwar Khandsari Udyog Pvt Ltd Nimbhora</v>
          </cell>
          <cell r="T445" t="str">
            <v>-</v>
          </cell>
          <cell r="U445" t="str">
            <v>25-26</v>
          </cell>
          <cell r="W445" t="str">
            <v>8-1-2026
10/23/2024</v>
          </cell>
        </row>
        <row r="446">
          <cell r="F446" t="str">
            <v>PUNE01K072</v>
          </cell>
          <cell r="G446" t="str">
            <v>KELVION INDIA PRIVATE LIMITED</v>
          </cell>
          <cell r="H446" t="str">
            <v>19-20</v>
          </cell>
          <cell r="I446" t="str">
            <v>-</v>
          </cell>
          <cell r="J446" t="str">
            <v>Domestic</v>
          </cell>
          <cell r="K446" t="str">
            <v>OTHERS</v>
          </cell>
          <cell r="L446" t="str">
            <v>Non-Sugar</v>
          </cell>
          <cell r="M446" t="str">
            <v>Trader</v>
          </cell>
          <cell r="O446" t="str">
            <v>-</v>
          </cell>
          <cell r="P446" t="str">
            <v>NI</v>
          </cell>
          <cell r="Q446" t="str">
            <v>HIMANSHU KUSHWAHA</v>
          </cell>
          <cell r="T446" t="str">
            <v>-</v>
          </cell>
          <cell r="U446" t="str">
            <v>-</v>
          </cell>
        </row>
        <row r="447">
          <cell r="F447" t="str">
            <v>BARL01K012</v>
          </cell>
          <cell r="G447" t="str">
            <v>KESAR ENTERPRISES LTD</v>
          </cell>
          <cell r="H447">
            <v>2015</v>
          </cell>
          <cell r="I447" t="str">
            <v>-</v>
          </cell>
          <cell r="J447" t="str">
            <v>Domestic</v>
          </cell>
          <cell r="K447" t="str">
            <v>Sugar</v>
          </cell>
          <cell r="L447" t="str">
            <v>Sugar</v>
          </cell>
          <cell r="M447" t="str">
            <v>End User</v>
          </cell>
          <cell r="N447" t="str">
            <v>(5001-9000)</v>
          </cell>
          <cell r="O447">
            <v>7200</v>
          </cell>
          <cell r="P447" t="str">
            <v>NI</v>
          </cell>
          <cell r="Q447" t="str">
            <v>AKSHAY AWASTHI</v>
          </cell>
          <cell r="S447" t="str">
            <v>https://share.google/sJ8TmwSQs39Dujfgt</v>
          </cell>
          <cell r="U447" t="str">
            <v>25-26</v>
          </cell>
          <cell r="W447" t="str">
            <v>14-05-2025
5/21/2024</v>
          </cell>
        </row>
        <row r="448">
          <cell r="F448" t="str">
            <v>SATA01K069</v>
          </cell>
          <cell r="G448" t="str">
            <v>KHATAV MAN TALUKA AGRO PROCESSING LTD</v>
          </cell>
          <cell r="H448">
            <v>2019</v>
          </cell>
          <cell r="I448" t="str">
            <v>-</v>
          </cell>
          <cell r="J448" t="str">
            <v>Domestic</v>
          </cell>
          <cell r="K448" t="str">
            <v>Sugar</v>
          </cell>
          <cell r="L448" t="str">
            <v>Sugar</v>
          </cell>
          <cell r="M448" t="str">
            <v>End User</v>
          </cell>
          <cell r="N448" t="str">
            <v>(5001-9000)</v>
          </cell>
          <cell r="O448">
            <v>6000</v>
          </cell>
          <cell r="P448" t="str">
            <v>AV</v>
          </cell>
          <cell r="Q448" t="str">
            <v>AV</v>
          </cell>
          <cell r="R448" t="str">
            <v>VG</v>
          </cell>
          <cell r="S448" t="str">
            <v>https://maps.app.goo.gl/FfeS3u4z1xingPJJ6</v>
          </cell>
          <cell r="T448" t="str">
            <v>Satara - 2</v>
          </cell>
          <cell r="U448" t="str">
            <v>25-26</v>
          </cell>
          <cell r="W448" t="str">
            <v>15-05-2025
12-07-2024
24-06-2024
01-06-2024
24-04-2024
10-01-2023</v>
          </cell>
        </row>
        <row r="449">
          <cell r="F449" t="str">
            <v>KISM01K135</v>
          </cell>
          <cell r="G449" t="str">
            <v>KIBOS DISTILLERS LIMITED</v>
          </cell>
          <cell r="H449" t="str">
            <v>24-25</v>
          </cell>
          <cell r="I449" t="str">
            <v>-</v>
          </cell>
          <cell r="J449" t="str">
            <v>Export</v>
          </cell>
          <cell r="K449" t="str">
            <v>Sugar</v>
          </cell>
          <cell r="L449" t="str">
            <v>Sugar</v>
          </cell>
          <cell r="M449" t="str">
            <v>End User</v>
          </cell>
          <cell r="O449" t="str">
            <v>-</v>
          </cell>
          <cell r="P449" t="str">
            <v>NI</v>
          </cell>
          <cell r="Q449" t="str">
            <v>AKSHAY AWASTHI</v>
          </cell>
        </row>
        <row r="450">
          <cell r="F450" t="str">
            <v>KISM01K086</v>
          </cell>
          <cell r="G450" t="str">
            <v>KIBOS PAPER &amp; PACKAGING LTD</v>
          </cell>
          <cell r="H450" t="str">
            <v>22-23</v>
          </cell>
          <cell r="I450" t="str">
            <v>-</v>
          </cell>
          <cell r="J450" t="str">
            <v>Export</v>
          </cell>
          <cell r="K450" t="str">
            <v>Paper</v>
          </cell>
          <cell r="L450" t="str">
            <v>Non-Sugar</v>
          </cell>
          <cell r="M450" t="str">
            <v>End User</v>
          </cell>
          <cell r="O450" t="str">
            <v>-</v>
          </cell>
          <cell r="P450" t="str">
            <v>NI</v>
          </cell>
          <cell r="Q450" t="str">
            <v>AKSHAY AWASTHI</v>
          </cell>
          <cell r="S450" t="str">
            <v>https://share.google/A2cphUPPriKenU0lx</v>
          </cell>
          <cell r="T450" t="str">
            <v>Kenya tour</v>
          </cell>
          <cell r="U450" t="str">
            <v>24-25</v>
          </cell>
          <cell r="W450">
            <v>45469</v>
          </cell>
        </row>
        <row r="451">
          <cell r="F451" t="str">
            <v>KISM01K044</v>
          </cell>
          <cell r="G451" t="str">
            <v>KIBOS SUGAR &amp; ALLIED INDUSTRIES LTD</v>
          </cell>
          <cell r="H451">
            <v>2018</v>
          </cell>
          <cell r="I451" t="str">
            <v>-</v>
          </cell>
          <cell r="J451" t="str">
            <v>Export</v>
          </cell>
          <cell r="K451" t="str">
            <v>Sugar</v>
          </cell>
          <cell r="L451" t="str">
            <v>Sugar</v>
          </cell>
          <cell r="M451" t="str">
            <v>End User</v>
          </cell>
          <cell r="N451" t="str">
            <v>(0-5000)</v>
          </cell>
          <cell r="O451">
            <v>4500</v>
          </cell>
          <cell r="P451" t="str">
            <v>NI</v>
          </cell>
          <cell r="Q451" t="str">
            <v>AKSHAY AWASTHI</v>
          </cell>
          <cell r="T451" t="str">
            <v>Kenya tour</v>
          </cell>
          <cell r="U451" t="str">
            <v>24-25</v>
          </cell>
          <cell r="W451" t="str">
            <v>26-6-2024</v>
          </cell>
        </row>
        <row r="452">
          <cell r="F452" t="str">
            <v>UDAM01K014</v>
          </cell>
          <cell r="G452" t="str">
            <v>KICHHA SUGAR COMPANY LTD</v>
          </cell>
          <cell r="H452">
            <v>2013</v>
          </cell>
          <cell r="I452" t="str">
            <v>-</v>
          </cell>
          <cell r="J452" t="str">
            <v>Domestic</v>
          </cell>
          <cell r="K452" t="str">
            <v>Sugar</v>
          </cell>
          <cell r="L452" t="str">
            <v>Sugar</v>
          </cell>
          <cell r="M452" t="str">
            <v>End User</v>
          </cell>
          <cell r="N452" t="str">
            <v>(0-5000)</v>
          </cell>
          <cell r="O452">
            <v>4000</v>
          </cell>
          <cell r="P452" t="str">
            <v>NI</v>
          </cell>
          <cell r="Q452" t="str">
            <v>AKSHAY AWASTHI</v>
          </cell>
          <cell r="S452" t="str">
            <v>https://maps.app.goo.gl/bqzF1ybotDbwmT9Z7</v>
          </cell>
          <cell r="T452" t="str">
            <v>CENTRAL</v>
          </cell>
          <cell r="U452" t="str">
            <v>25-26</v>
          </cell>
          <cell r="W452" t="str">
            <v>3-12-2025
23-10-2024
21-05-2024
01-02-2023
28-09-2022
10-09-2020</v>
          </cell>
        </row>
        <row r="453">
          <cell r="F453" t="str">
            <v>MUMB01K118</v>
          </cell>
          <cell r="G453" t="str">
            <v>KILOMBERO SUGAR COMPANY LIMITED</v>
          </cell>
          <cell r="H453" t="str">
            <v>-</v>
          </cell>
          <cell r="I453" t="str">
            <v>-</v>
          </cell>
          <cell r="J453" t="str">
            <v>Export</v>
          </cell>
          <cell r="K453" t="str">
            <v>Sugar</v>
          </cell>
          <cell r="L453" t="str">
            <v>Sugar</v>
          </cell>
          <cell r="M453" t="str">
            <v>End User</v>
          </cell>
          <cell r="O453" t="str">
            <v>-</v>
          </cell>
          <cell r="P453" t="str">
            <v>HO</v>
          </cell>
          <cell r="Q453" t="str">
            <v>AVIRAL SHUKLA</v>
          </cell>
          <cell r="T453" t="str">
            <v>-</v>
          </cell>
          <cell r="U453" t="str">
            <v>-</v>
          </cell>
          <cell r="W453" t="str">
            <v>-</v>
          </cell>
        </row>
        <row r="454">
          <cell r="F454" t="str">
            <v>UGAN01K027</v>
          </cell>
          <cell r="G454" t="str">
            <v>KINYARA SUGAR LIMITED</v>
          </cell>
          <cell r="H454">
            <v>2013</v>
          </cell>
          <cell r="I454" t="str">
            <v>-</v>
          </cell>
          <cell r="J454" t="str">
            <v>Export</v>
          </cell>
          <cell r="K454" t="str">
            <v>Sugar</v>
          </cell>
          <cell r="L454" t="str">
            <v>Sugar</v>
          </cell>
          <cell r="M454" t="str">
            <v>End User</v>
          </cell>
          <cell r="N454" t="str">
            <v>(5001-9000)</v>
          </cell>
          <cell r="O454">
            <v>9000</v>
          </cell>
          <cell r="P454" t="str">
            <v>NI</v>
          </cell>
          <cell r="Q454" t="str">
            <v>AVIRAL SHUKLA</v>
          </cell>
          <cell r="T454" t="str">
            <v>-</v>
          </cell>
          <cell r="U454" t="str">
            <v>-</v>
          </cell>
          <cell r="W454" t="str">
            <v>-</v>
          </cell>
        </row>
        <row r="455">
          <cell r="F455" t="str">
            <v>EGPT01K041</v>
          </cell>
          <cell r="G455" t="str">
            <v>KIRLOSKAR BROTHERS (THAILAND) LTD</v>
          </cell>
          <cell r="H455">
            <v>2018</v>
          </cell>
          <cell r="I455" t="str">
            <v>-</v>
          </cell>
          <cell r="J455" t="str">
            <v>Export</v>
          </cell>
          <cell r="K455" t="str">
            <v>OTHERS</v>
          </cell>
          <cell r="L455" t="str">
            <v>Non-Sugar</v>
          </cell>
          <cell r="M455" t="str">
            <v>OEM</v>
          </cell>
          <cell r="O455" t="str">
            <v>-</v>
          </cell>
          <cell r="P455" t="str">
            <v>VA-SS</v>
          </cell>
          <cell r="Q455" t="str">
            <v>SHIVANU SHUKLA</v>
          </cell>
          <cell r="T455" t="str">
            <v>-</v>
          </cell>
          <cell r="U455" t="str">
            <v>-</v>
          </cell>
        </row>
        <row r="456">
          <cell r="F456" t="str">
            <v>KHER01K080</v>
          </cell>
          <cell r="G456" t="str">
            <v>KIRYANDONGO SUGAR LTD</v>
          </cell>
          <cell r="H456" t="str">
            <v>22-23</v>
          </cell>
          <cell r="I456" t="str">
            <v>-</v>
          </cell>
          <cell r="J456" t="str">
            <v>Export</v>
          </cell>
          <cell r="K456" t="str">
            <v>Sugar</v>
          </cell>
          <cell r="L456" t="str">
            <v>Sugar</v>
          </cell>
          <cell r="M456" t="str">
            <v>End User</v>
          </cell>
          <cell r="N456" t="str">
            <v>(0-5000)</v>
          </cell>
          <cell r="O456">
            <v>3000</v>
          </cell>
          <cell r="P456" t="str">
            <v>NI</v>
          </cell>
          <cell r="Q456" t="str">
            <v>AVIRAL SHUKLA</v>
          </cell>
          <cell r="T456" t="str">
            <v>-</v>
          </cell>
          <cell r="U456" t="str">
            <v>-</v>
          </cell>
          <cell r="W456" t="str">
            <v>-</v>
          </cell>
        </row>
        <row r="457">
          <cell r="F457" t="str">
            <v>SAMP01K026</v>
          </cell>
          <cell r="G457" t="str">
            <v>KISAN SAH. CHINI MILLS LTD. (sampurnanagar)</v>
          </cell>
          <cell r="H457">
            <v>2018</v>
          </cell>
          <cell r="I457" t="str">
            <v>UP Federation</v>
          </cell>
          <cell r="J457" t="str">
            <v>Domestic</v>
          </cell>
          <cell r="K457" t="str">
            <v>Sugar</v>
          </cell>
          <cell r="L457" t="str">
            <v>Sugar</v>
          </cell>
          <cell r="M457" t="str">
            <v>Group (Mills)</v>
          </cell>
          <cell r="N457" t="str">
            <v>(0-5000)</v>
          </cell>
          <cell r="O457">
            <v>3500</v>
          </cell>
          <cell r="P457" t="str">
            <v>NI</v>
          </cell>
          <cell r="Q457" t="str">
            <v>AVIRAL SHUKLA</v>
          </cell>
          <cell r="T457" t="str">
            <v>Tour-Central</v>
          </cell>
          <cell r="U457" t="str">
            <v>25-26</v>
          </cell>
          <cell r="W457" t="str">
            <v>18-1-2026
23-10-2024
18-04-2024</v>
          </cell>
        </row>
        <row r="458">
          <cell r="F458" t="str">
            <v>GHOS01K064</v>
          </cell>
          <cell r="G458" t="str">
            <v>KISAN SAHAKARI CHINI MILL LTD - GHOSI</v>
          </cell>
          <cell r="H458">
            <v>2017</v>
          </cell>
          <cell r="I458" t="str">
            <v>UP Federation</v>
          </cell>
          <cell r="J458" t="str">
            <v>Domestic</v>
          </cell>
          <cell r="K458" t="str">
            <v>Sugar</v>
          </cell>
          <cell r="L458" t="str">
            <v>Sugar</v>
          </cell>
          <cell r="M458" t="str">
            <v>Group (Mills)</v>
          </cell>
          <cell r="N458" t="str">
            <v>(0-5000)</v>
          </cell>
          <cell r="O458">
            <v>2500</v>
          </cell>
          <cell r="P458" t="str">
            <v>NI</v>
          </cell>
          <cell r="Q458" t="str">
            <v>AKSHAY AWASTHI</v>
          </cell>
          <cell r="T458" t="str">
            <v>-</v>
          </cell>
          <cell r="U458" t="str">
            <v>-</v>
          </cell>
          <cell r="W458" t="str">
            <v>-</v>
          </cell>
        </row>
        <row r="459">
          <cell r="F459" t="str">
            <v>BIJN01K066</v>
          </cell>
          <cell r="G459" t="str">
            <v>KISAN SAHKARI CHINI MILLS LTD - NAJIBABAD</v>
          </cell>
          <cell r="H459">
            <v>2017</v>
          </cell>
          <cell r="I459" t="str">
            <v>UP Federation</v>
          </cell>
          <cell r="J459" t="str">
            <v>Domestic</v>
          </cell>
          <cell r="K459" t="str">
            <v>Sugar</v>
          </cell>
          <cell r="L459" t="str">
            <v>Sugar</v>
          </cell>
          <cell r="M459" t="str">
            <v>Group (Mills)</v>
          </cell>
          <cell r="N459" t="str">
            <v>(0-5000)</v>
          </cell>
          <cell r="O459">
            <v>3000</v>
          </cell>
          <cell r="P459" t="str">
            <v>NI</v>
          </cell>
          <cell r="Q459" t="str">
            <v>HIMANSHU KUSHWAHA</v>
          </cell>
          <cell r="T459" t="str">
            <v>WESTERN</v>
          </cell>
          <cell r="U459" t="str">
            <v>25-26</v>
          </cell>
          <cell r="W459" t="str">
            <v>23-02-2026
26-08-2025</v>
          </cell>
        </row>
        <row r="460">
          <cell r="F460" t="str">
            <v>SULT01K018</v>
          </cell>
          <cell r="G460" t="str">
            <v>KISAN SAHKARI CHINI MILLS LTD. (sultanpur)</v>
          </cell>
          <cell r="H460">
            <v>2013</v>
          </cell>
          <cell r="I460" t="str">
            <v>UP Federation</v>
          </cell>
          <cell r="J460" t="str">
            <v>Domestic</v>
          </cell>
          <cell r="K460" t="str">
            <v>Sugar</v>
          </cell>
          <cell r="L460" t="str">
            <v>Sugar</v>
          </cell>
          <cell r="M460" t="str">
            <v>Group (Mills)</v>
          </cell>
          <cell r="N460" t="str">
            <v>(0-5000)</v>
          </cell>
          <cell r="O460">
            <v>2500</v>
          </cell>
          <cell r="P460" t="str">
            <v>NI</v>
          </cell>
          <cell r="Q460" t="str">
            <v>HIMANSHU KUSHWAHA</v>
          </cell>
          <cell r="T460" t="str">
            <v>-</v>
          </cell>
          <cell r="U460" t="str">
            <v>21-22</v>
          </cell>
          <cell r="W460">
            <v>44375</v>
          </cell>
        </row>
        <row r="461">
          <cell r="F461" t="str">
            <v>SAHA01K028</v>
          </cell>
          <cell r="G461" t="str">
            <v>KISAN SAHKARI CHINI MILLS LTD. (NANAUTA)</v>
          </cell>
          <cell r="H461" t="str">
            <v>21-22</v>
          </cell>
          <cell r="I461" t="str">
            <v>-</v>
          </cell>
          <cell r="J461" t="str">
            <v>Domestic</v>
          </cell>
          <cell r="K461" t="str">
            <v>Sugar</v>
          </cell>
          <cell r="L461" t="str">
            <v>Sugar</v>
          </cell>
          <cell r="M461" t="str">
            <v>End User</v>
          </cell>
          <cell r="N461" t="str">
            <v>(0-5000)</v>
          </cell>
          <cell r="O461">
            <v>2500</v>
          </cell>
          <cell r="P461" t="str">
            <v>NI</v>
          </cell>
          <cell r="Q461" t="str">
            <v>AVIRAL SHUKLA</v>
          </cell>
          <cell r="T461" t="str">
            <v>-</v>
          </cell>
          <cell r="U461" t="str">
            <v>24-25</v>
          </cell>
          <cell r="W461" t="str">
            <v>30-05-2024
26-06-2022</v>
          </cell>
        </row>
        <row r="462">
          <cell r="F462" t="str">
            <v>END CLIENT</v>
          </cell>
          <cell r="G462" t="str">
            <v>KISAN VEER SATARA SAHAKARI SAKHAR KARKHANA LTD BHUINJ (Unit-1)</v>
          </cell>
          <cell r="H462" t="str">
            <v>-</v>
          </cell>
          <cell r="I462" t="str">
            <v>-</v>
          </cell>
          <cell r="J462" t="str">
            <v>Domestic</v>
          </cell>
          <cell r="K462" t="str">
            <v>Sugar</v>
          </cell>
          <cell r="L462" t="str">
            <v>Sugar</v>
          </cell>
          <cell r="M462" t="str">
            <v>End User</v>
          </cell>
          <cell r="N462" t="str">
            <v>(0-5000)</v>
          </cell>
          <cell r="O462">
            <v>2500</v>
          </cell>
          <cell r="P462" t="str">
            <v>AV</v>
          </cell>
          <cell r="Q462" t="str">
            <v>AV</v>
          </cell>
          <cell r="R462" t="str">
            <v>VG</v>
          </cell>
          <cell r="T462" t="str">
            <v>Satara - 1</v>
          </cell>
          <cell r="U462" t="str">
            <v>25-26</v>
          </cell>
          <cell r="W462" t="str">
            <v>13-05-2025
1/6/2023</v>
          </cell>
        </row>
        <row r="463">
          <cell r="F463" t="str">
            <v>SATA01K054</v>
          </cell>
          <cell r="G463" t="str">
            <v>KISAN VEER SATARA SAHAKARI SAKHAR KARKHANA LTD BHUINJ (Unit-2)(KHANDALA)</v>
          </cell>
          <cell r="H463" t="str">
            <v>-</v>
          </cell>
          <cell r="I463" t="str">
            <v>-</v>
          </cell>
          <cell r="J463" t="str">
            <v>Domestic</v>
          </cell>
          <cell r="K463" t="str">
            <v>Sugar</v>
          </cell>
          <cell r="L463" t="str">
            <v>Sugar</v>
          </cell>
          <cell r="M463" t="str">
            <v>End User</v>
          </cell>
          <cell r="N463" t="str">
            <v>(0-5000)</v>
          </cell>
          <cell r="O463">
            <v>4000</v>
          </cell>
          <cell r="P463" t="str">
            <v>AV</v>
          </cell>
          <cell r="Q463" t="str">
            <v>AV</v>
          </cell>
          <cell r="R463" t="str">
            <v>VG</v>
          </cell>
          <cell r="T463" t="str">
            <v>Satara - 2</v>
          </cell>
          <cell r="U463" t="str">
            <v>23-24</v>
          </cell>
          <cell r="W463">
            <v>44934</v>
          </cell>
        </row>
        <row r="464">
          <cell r="F464" t="str">
            <v>VIET01K065</v>
          </cell>
          <cell r="G464" t="str">
            <v>KON TUM SUGAR JOINT STOCK COMPANY</v>
          </cell>
          <cell r="H464">
            <v>2017</v>
          </cell>
          <cell r="I464" t="str">
            <v>-</v>
          </cell>
          <cell r="J464" t="str">
            <v>Export</v>
          </cell>
          <cell r="K464" t="str">
            <v>Sugar</v>
          </cell>
          <cell r="L464" t="str">
            <v>Sugar</v>
          </cell>
          <cell r="M464" t="str">
            <v>End User</v>
          </cell>
          <cell r="O464" t="str">
            <v>-</v>
          </cell>
          <cell r="P464" t="str">
            <v>VA</v>
          </cell>
          <cell r="Q464" t="str">
            <v>VA</v>
          </cell>
          <cell r="T464" t="str">
            <v>-</v>
          </cell>
          <cell r="U464" t="str">
            <v>-</v>
          </cell>
        </row>
        <row r="465">
          <cell r="F465" t="str">
            <v>TRIC01K019</v>
          </cell>
          <cell r="G465" t="str">
            <v>KOTHARI SUGARS &amp; CHEMICALS LTD</v>
          </cell>
          <cell r="H465">
            <v>2013</v>
          </cell>
          <cell r="I465" t="str">
            <v>-</v>
          </cell>
          <cell r="J465" t="str">
            <v>Domestic</v>
          </cell>
          <cell r="K465" t="str">
            <v>Sugar</v>
          </cell>
          <cell r="L465" t="str">
            <v>Sugar</v>
          </cell>
          <cell r="M465" t="str">
            <v>End User</v>
          </cell>
          <cell r="N465" t="str">
            <v>(0-5000)</v>
          </cell>
          <cell r="O465">
            <v>2900</v>
          </cell>
          <cell r="P465" t="str">
            <v>SI-GS</v>
          </cell>
          <cell r="Q465" t="str">
            <v>SI-GS</v>
          </cell>
          <cell r="W465">
            <v>45157</v>
          </cell>
        </row>
        <row r="466">
          <cell r="F466" t="str">
            <v>SATH01K020</v>
          </cell>
          <cell r="G466" t="str">
            <v>KOTHARI SUGARS &amp;CHEMICALS LTD</v>
          </cell>
          <cell r="H466">
            <v>2013</v>
          </cell>
          <cell r="I466" t="str">
            <v>-</v>
          </cell>
          <cell r="J466" t="str">
            <v>Domestic</v>
          </cell>
          <cell r="K466" t="str">
            <v>Sugar</v>
          </cell>
          <cell r="L466" t="str">
            <v>Sugar</v>
          </cell>
          <cell r="M466" t="str">
            <v>End User</v>
          </cell>
          <cell r="N466" t="str">
            <v>(0-5000)</v>
          </cell>
          <cell r="O466">
            <v>3000</v>
          </cell>
          <cell r="P466" t="str">
            <v>SI-GS</v>
          </cell>
          <cell r="Q466" t="str">
            <v>SI-GS</v>
          </cell>
          <cell r="W466" t="str">
            <v>-</v>
          </cell>
        </row>
        <row r="467">
          <cell r="F467" t="str">
            <v>BELG01K076</v>
          </cell>
          <cell r="G467" t="str">
            <v>KPR SUGAR AND APPARELS LIMITED</v>
          </cell>
          <cell r="H467">
            <v>2022</v>
          </cell>
          <cell r="I467" t="str">
            <v>-</v>
          </cell>
          <cell r="J467" t="str">
            <v>Domestic</v>
          </cell>
          <cell r="K467" t="str">
            <v>Sugar</v>
          </cell>
          <cell r="L467" t="str">
            <v>Sugar</v>
          </cell>
          <cell r="M467" t="str">
            <v>End User</v>
          </cell>
          <cell r="N467" t="str">
            <v>(9001 &amp; above)</v>
          </cell>
          <cell r="O467">
            <v>10000</v>
          </cell>
          <cell r="P467" t="str">
            <v>SI-GS</v>
          </cell>
          <cell r="Q467" t="str">
            <v>SI-GS</v>
          </cell>
          <cell r="S467" t="str">
            <v>https://maps.app.goo.gl/gbV89dKXVXcvnxYw5</v>
          </cell>
          <cell r="W467" t="str">
            <v>18-02-2025</v>
          </cell>
        </row>
        <row r="468">
          <cell r="F468" t="str">
            <v>BIJA01K035</v>
          </cell>
          <cell r="G468" t="str">
            <v>KPR SUGAR MILLS PRIVATE LTD.</v>
          </cell>
          <cell r="H468">
            <v>2013</v>
          </cell>
          <cell r="I468" t="str">
            <v>-</v>
          </cell>
          <cell r="J468" t="str">
            <v>Domestic</v>
          </cell>
          <cell r="K468" t="str">
            <v>Sugar</v>
          </cell>
          <cell r="L468" t="str">
            <v>Sugar</v>
          </cell>
          <cell r="M468" t="str">
            <v>End User</v>
          </cell>
          <cell r="N468" t="str">
            <v>(9001 &amp; above)</v>
          </cell>
          <cell r="O468">
            <v>10000</v>
          </cell>
          <cell r="P468" t="str">
            <v>SI-GS</v>
          </cell>
          <cell r="Q468" t="str">
            <v>SI-GS</v>
          </cell>
          <cell r="W468" t="str">
            <v>18-02-2025</v>
          </cell>
        </row>
        <row r="469">
          <cell r="F469" t="str">
            <v>SANG01K021</v>
          </cell>
          <cell r="G469" t="str">
            <v>KRANTIAGRANI DR.G.D.BAPU LAD S.S.K. LTD.</v>
          </cell>
          <cell r="H469">
            <v>2013</v>
          </cell>
          <cell r="I469" t="str">
            <v>-</v>
          </cell>
          <cell r="J469" t="str">
            <v>Domestic</v>
          </cell>
          <cell r="K469" t="str">
            <v>Sugar</v>
          </cell>
          <cell r="L469" t="str">
            <v>Sugar</v>
          </cell>
          <cell r="M469" t="str">
            <v>End User</v>
          </cell>
          <cell r="N469" t="str">
            <v>(5001-9000)</v>
          </cell>
          <cell r="O469">
            <v>7500</v>
          </cell>
          <cell r="P469" t="str">
            <v>MRK</v>
          </cell>
          <cell r="Q469" t="str">
            <v>MRK</v>
          </cell>
          <cell r="R469" t="str">
            <v>VG</v>
          </cell>
          <cell r="S469" t="str">
            <v>https://maps.app.goo.gl/qZiSfYZ1cii828Go7</v>
          </cell>
          <cell r="T469" t="str">
            <v>Sangli - 1</v>
          </cell>
          <cell r="U469" t="str">
            <v>26-27</v>
          </cell>
          <cell r="V469" t="str">
            <v>Apr</v>
          </cell>
          <cell r="W469" t="str">
            <v>24-4-2026
5-3-2026
2-12-2025
30-7-2025
14-08-2025
23-12-2024
18-12-2024
14-09-2024
22-12-2022</v>
          </cell>
        </row>
        <row r="470">
          <cell r="F470" t="str">
            <v>PUNE01K128</v>
          </cell>
          <cell r="G470" t="str">
            <v>KRESTON INDUSTRIAL &amp; INFRA PROJECT LL</v>
          </cell>
          <cell r="H470" t="str">
            <v>25-26</v>
          </cell>
          <cell r="I470" t="str">
            <v>-</v>
          </cell>
          <cell r="J470" t="str">
            <v>Domestic</v>
          </cell>
          <cell r="K470" t="str">
            <v>Sugar</v>
          </cell>
          <cell r="L470" t="str">
            <v>Sugar</v>
          </cell>
          <cell r="M470" t="str">
            <v>OEM</v>
          </cell>
          <cell r="O470" t="str">
            <v>-</v>
          </cell>
          <cell r="P470" t="str">
            <v>NI</v>
          </cell>
          <cell r="Q470" t="str">
            <v>AKSHAY AWASTHI</v>
          </cell>
          <cell r="S470" t="str">
            <v>https://maps.app.goo.gl/q4GbX1RxS95jWEic6</v>
          </cell>
          <cell r="T470" t="str">
            <v>GUJARAT +PUNE</v>
          </cell>
          <cell r="U470" t="str">
            <v>26-27</v>
          </cell>
          <cell r="V470" t="str">
            <v>May</v>
          </cell>
          <cell r="W470" t="str">
            <v>18-05-2026
30-03-2026
25-09-2025</v>
          </cell>
        </row>
        <row r="471">
          <cell r="F471" t="str">
            <v>MEHS01K075</v>
          </cell>
          <cell r="G471" t="str">
            <v>KRISHNA ENTERPRISE</v>
          </cell>
          <cell r="H471" t="str">
            <v>21-22</v>
          </cell>
          <cell r="I471" t="str">
            <v>-</v>
          </cell>
          <cell r="J471" t="str">
            <v>Domestic</v>
          </cell>
          <cell r="K471" t="str">
            <v>OTHERS</v>
          </cell>
          <cell r="L471" t="str">
            <v>Non-Sugar</v>
          </cell>
          <cell r="M471" t="str">
            <v>Merchant Exporter</v>
          </cell>
          <cell r="O471" t="str">
            <v>-</v>
          </cell>
          <cell r="P471" t="str">
            <v>NI</v>
          </cell>
          <cell r="Q471" t="str">
            <v>AKSHAY AWASTHI</v>
          </cell>
          <cell r="S471" t="str">
            <v>https://maps.app.goo.gl/pgRNLC9VVbH4H5iN8</v>
          </cell>
          <cell r="T471" t="str">
            <v>-</v>
          </cell>
          <cell r="U471" t="str">
            <v>-</v>
          </cell>
          <cell r="W471" t="str">
            <v>no need</v>
          </cell>
        </row>
        <row r="472">
          <cell r="F472" t="str">
            <v>AHMD01K133</v>
          </cell>
          <cell r="G472" t="str">
            <v>KRUSHINATH GREEN ENERGY LTD. (Formerly SOPANRAO BALKRUSHNA DHASAL AGRO POWER LTD.)</v>
          </cell>
          <cell r="H472" t="str">
            <v>24-25</v>
          </cell>
          <cell r="I472" t="str">
            <v>-</v>
          </cell>
          <cell r="J472" t="str">
            <v>Domestic</v>
          </cell>
          <cell r="K472" t="str">
            <v>Sugar</v>
          </cell>
          <cell r="L472" t="str">
            <v>Sugar</v>
          </cell>
          <cell r="M472" t="str">
            <v>End User</v>
          </cell>
          <cell r="N472" t="str">
            <v>(0-5000)</v>
          </cell>
          <cell r="O472">
            <v>2500</v>
          </cell>
          <cell r="P472" t="str">
            <v>AV</v>
          </cell>
          <cell r="Q472" t="str">
            <v>AV</v>
          </cell>
          <cell r="R472" t="str">
            <v>PD</v>
          </cell>
          <cell r="S472" t="str">
            <v>https://maps.app.goo.gl/pHSDuPe7SqhDzqve6</v>
          </cell>
          <cell r="T472" t="str">
            <v>Ahmednagar - 1</v>
          </cell>
          <cell r="U472" t="str">
            <v>24-25</v>
          </cell>
          <cell r="W472" t="str">
            <v>19-07-2024
22-03-2024
27-02-2024</v>
          </cell>
        </row>
        <row r="473">
          <cell r="F473" t="str">
            <v>HOSH01K113</v>
          </cell>
          <cell r="G473" t="str">
            <v>KUANTUM PAPERS LIMITED</v>
          </cell>
          <cell r="H473" t="str">
            <v>24-25</v>
          </cell>
          <cell r="I473" t="str">
            <v>-</v>
          </cell>
          <cell r="J473" t="str">
            <v>Domestic</v>
          </cell>
          <cell r="K473" t="str">
            <v>Paper</v>
          </cell>
          <cell r="L473" t="str">
            <v>Non-Sugar</v>
          </cell>
          <cell r="M473" t="str">
            <v>End User</v>
          </cell>
          <cell r="O473" t="str">
            <v>-</v>
          </cell>
          <cell r="P473" t="str">
            <v>NI</v>
          </cell>
          <cell r="Q473" t="str">
            <v>AKSHAY AWASTHI</v>
          </cell>
          <cell r="T473" t="str">
            <v>-</v>
          </cell>
          <cell r="U473" t="str">
            <v>-</v>
          </cell>
          <cell r="W473" t="str">
            <v>-</v>
          </cell>
        </row>
        <row r="474">
          <cell r="F474" t="str">
            <v>DHRS01K156</v>
          </cell>
          <cell r="G474" t="str">
            <v>KULSWAMINI NATURAL SUGAR PVT LTD</v>
          </cell>
          <cell r="H474" t="str">
            <v>25-26</v>
          </cell>
          <cell r="I474" t="str">
            <v>-</v>
          </cell>
          <cell r="J474" t="str">
            <v>Domestic</v>
          </cell>
          <cell r="K474" t="str">
            <v>Sugar</v>
          </cell>
          <cell r="L474" t="str">
            <v>Sugar</v>
          </cell>
          <cell r="M474" t="str">
            <v>End User</v>
          </cell>
          <cell r="N474" t="str">
            <v>(0-5000)</v>
          </cell>
          <cell r="O474">
            <v>1000</v>
          </cell>
          <cell r="P474" t="str">
            <v>AV</v>
          </cell>
          <cell r="Q474" t="str">
            <v>AV</v>
          </cell>
          <cell r="R474" t="str">
            <v>PD</v>
          </cell>
          <cell r="T474" t="str">
            <v>Dharashiv - 2</v>
          </cell>
          <cell r="U474" t="str">
            <v>25-26</v>
          </cell>
          <cell r="W474" t="str">
            <v>20-1-2026</v>
          </cell>
        </row>
        <row r="475">
          <cell r="F475" t="str">
            <v>KOLH01K048</v>
          </cell>
          <cell r="G475" t="str">
            <v>KUMBHI KASARI SAHAKARI SAKHAR KARKHANA LTD.</v>
          </cell>
          <cell r="H475" t="str">
            <v>23-24</v>
          </cell>
          <cell r="I475" t="str">
            <v>-</v>
          </cell>
          <cell r="J475" t="str">
            <v>Domestic</v>
          </cell>
          <cell r="K475" t="str">
            <v>Sugar</v>
          </cell>
          <cell r="L475" t="str">
            <v>Sugar</v>
          </cell>
          <cell r="M475" t="str">
            <v>End User</v>
          </cell>
          <cell r="N475" t="str">
            <v>(5001-9000)</v>
          </cell>
          <cell r="O475">
            <v>7500</v>
          </cell>
          <cell r="P475" t="str">
            <v>MRK</v>
          </cell>
          <cell r="Q475" t="str">
            <v>MRK</v>
          </cell>
          <cell r="R475" t="str">
            <v>VG</v>
          </cell>
          <cell r="S475" t="str">
            <v>16° 41' 22.4279" N 74° 7' 13.0919" E</v>
          </cell>
          <cell r="T475" t="str">
            <v>Kolhapur - 2</v>
          </cell>
          <cell r="U475" t="str">
            <v>26-27</v>
          </cell>
          <cell r="V475" t="str">
            <v>Apr</v>
          </cell>
          <cell r="W475" t="str">
            <v>21-4-2026
16-02-26
14-01-2026(PD)
8-8-2025
15/04/2025
12/2/2025
08-10-2024
13-09-2024
08-09-2024
23-08-2024
05-08-2024
4-7-2024
15-06-2024
9-2-2024</v>
          </cell>
        </row>
        <row r="476">
          <cell r="F476" t="str">
            <v>PUNE01K125</v>
          </cell>
          <cell r="G476" t="str">
            <v>KUNJIR BIOENERGY INDIA LLP</v>
          </cell>
          <cell r="H476" t="str">
            <v>24-25</v>
          </cell>
          <cell r="I476" t="str">
            <v>-</v>
          </cell>
          <cell r="J476" t="str">
            <v>Domestic</v>
          </cell>
          <cell r="K476" t="str">
            <v>Distillery</v>
          </cell>
          <cell r="L476" t="str">
            <v>Non-Sugar</v>
          </cell>
          <cell r="M476" t="str">
            <v>End User</v>
          </cell>
          <cell r="N476" t="str">
            <v>-</v>
          </cell>
          <cell r="O476" t="str">
            <v>-</v>
          </cell>
          <cell r="P476" t="str">
            <v>AV</v>
          </cell>
          <cell r="Q476" t="str">
            <v>AV</v>
          </cell>
          <cell r="R476" t="str">
            <v>PD</v>
          </cell>
          <cell r="T476" t="str">
            <v>Pune - 1</v>
          </cell>
          <cell r="U476" t="str">
            <v>23-24</v>
          </cell>
          <cell r="W476">
            <v>45266</v>
          </cell>
        </row>
        <row r="477">
          <cell r="F477" t="str">
            <v>NANE01K040</v>
          </cell>
          <cell r="G477" t="str">
            <v>KUNTURKAR SUGAR &amp; AGRO PVT LTD. (Formerly JAI AMBIKA SSK LTD)</v>
          </cell>
          <cell r="H477">
            <v>2014</v>
          </cell>
          <cell r="I477" t="str">
            <v>-</v>
          </cell>
          <cell r="J477" t="str">
            <v>Domestic</v>
          </cell>
          <cell r="K477" t="str">
            <v>Sugar</v>
          </cell>
          <cell r="L477" t="str">
            <v>Sugar</v>
          </cell>
          <cell r="M477" t="str">
            <v>End User</v>
          </cell>
          <cell r="N477" t="str">
            <v>(0-5000)</v>
          </cell>
          <cell r="O477">
            <v>2500</v>
          </cell>
          <cell r="P477" t="str">
            <v>AV</v>
          </cell>
          <cell r="Q477" t="str">
            <v>AV</v>
          </cell>
          <cell r="R477" t="str">
            <v>PD</v>
          </cell>
          <cell r="S477" t="str">
            <v>Kunturkar Sugar &amp; Agro Pvt. Ltd.</v>
          </cell>
          <cell r="T477" t="str">
            <v>Hingoli_Nanded- 1</v>
          </cell>
          <cell r="U477" t="str">
            <v>26-27</v>
          </cell>
          <cell r="V477" t="str">
            <v>Apr</v>
          </cell>
          <cell r="W477" t="str">
            <v>10-4-2026
11/24/2023</v>
          </cell>
        </row>
        <row r="478">
          <cell r="F478" t="str">
            <v>PUNE01K090</v>
          </cell>
          <cell r="G478" t="str">
            <v>KUSHWAHA INDUSTRIES</v>
          </cell>
          <cell r="H478" t="str">
            <v>22-23</v>
          </cell>
          <cell r="I478" t="str">
            <v>-</v>
          </cell>
          <cell r="J478" t="str">
            <v>Domestic</v>
          </cell>
          <cell r="K478" t="str">
            <v>Sugar</v>
          </cell>
          <cell r="L478" t="str">
            <v>Sugar</v>
          </cell>
          <cell r="M478" t="str">
            <v>OEM</v>
          </cell>
          <cell r="O478" t="str">
            <v>-</v>
          </cell>
          <cell r="P478" t="str">
            <v>NI</v>
          </cell>
          <cell r="Q478" t="str">
            <v>AKSHAY AWASTHI</v>
          </cell>
          <cell r="S478" t="str">
            <v>https://maps.app.goo.gl/558jQpqndg3XnXQT6</v>
          </cell>
          <cell r="T478" t="str">
            <v>-</v>
          </cell>
          <cell r="U478" t="str">
            <v>-</v>
          </cell>
          <cell r="W478" t="str">
            <v>will visit</v>
          </cell>
        </row>
        <row r="479">
          <cell r="F479" t="str">
            <v>KUTC01K094</v>
          </cell>
          <cell r="G479" t="str">
            <v>KUTCH CHEMICAL INDUSTRIES LTD</v>
          </cell>
          <cell r="H479" t="str">
            <v>24-25</v>
          </cell>
          <cell r="I479" t="str">
            <v>-</v>
          </cell>
          <cell r="J479" t="str">
            <v>Domestic</v>
          </cell>
          <cell r="K479" t="str">
            <v>CHEMICAL</v>
          </cell>
          <cell r="L479" t="str">
            <v>Non-Sugar</v>
          </cell>
          <cell r="M479" t="str">
            <v>End User</v>
          </cell>
          <cell r="O479" t="str">
            <v>-</v>
          </cell>
          <cell r="P479" t="str">
            <v>NI</v>
          </cell>
          <cell r="Q479" t="str">
            <v>AKSHAY AWASTHI</v>
          </cell>
          <cell r="T479" t="str">
            <v>-</v>
          </cell>
          <cell r="U479" t="str">
            <v>25-26</v>
          </cell>
          <cell r="W479" t="str">
            <v>28-04-2025</v>
          </cell>
        </row>
        <row r="480">
          <cell r="F480" t="str">
            <v>PILI01L025</v>
          </cell>
          <cell r="G480" t="str">
            <v>L.H .SUGAR FACTORIES LIMITED (DISTILLERY DIV.)</v>
          </cell>
          <cell r="H480" t="str">
            <v>21-22</v>
          </cell>
          <cell r="I480" t="str">
            <v>-</v>
          </cell>
          <cell r="J480" t="str">
            <v>Domestic</v>
          </cell>
          <cell r="K480" t="str">
            <v>Distillery</v>
          </cell>
          <cell r="L480" t="str">
            <v>Non-Sugar</v>
          </cell>
          <cell r="M480" t="str">
            <v>End User</v>
          </cell>
          <cell r="O480" t="str">
            <v>60 KLPD
100 KLPD</v>
          </cell>
          <cell r="P480" t="str">
            <v>NI</v>
          </cell>
          <cell r="Q480" t="str">
            <v>AKSHAY AWASTHI</v>
          </cell>
          <cell r="T480" t="str">
            <v>CENTRAL</v>
          </cell>
          <cell r="U480" t="str">
            <v>25-26</v>
          </cell>
          <cell r="W480" t="str">
            <v>6-2-2026
08-11-2024
27-05-2024</v>
          </cell>
        </row>
        <row r="481">
          <cell r="F481" t="str">
            <v>PILI01L001</v>
          </cell>
          <cell r="G481" t="str">
            <v>L.H. SUGAR FACTORIES LTD.</v>
          </cell>
          <cell r="H481">
            <v>2013</v>
          </cell>
          <cell r="I481" t="str">
            <v>-</v>
          </cell>
          <cell r="J481" t="str">
            <v>Domestic</v>
          </cell>
          <cell r="K481" t="str">
            <v>Sugar</v>
          </cell>
          <cell r="L481" t="str">
            <v>Sugar</v>
          </cell>
          <cell r="M481" t="str">
            <v>End User</v>
          </cell>
          <cell r="N481" t="str">
            <v>(9001 &amp; above)</v>
          </cell>
          <cell r="O481">
            <v>12500</v>
          </cell>
          <cell r="P481" t="str">
            <v>NI</v>
          </cell>
          <cell r="Q481" t="str">
            <v>AKSHAY AWASTHI</v>
          </cell>
          <cell r="T481" t="str">
            <v>CENTRAL- 3</v>
          </cell>
          <cell r="U481" t="str">
            <v>25-26</v>
          </cell>
          <cell r="W481" t="str">
            <v>6-2-2026
07-11-2024
27-12-2023</v>
          </cell>
        </row>
        <row r="482">
          <cell r="F482" t="str">
            <v>MUMB01L029</v>
          </cell>
          <cell r="G482" t="str">
            <v>LACTOSE INDIA PVT LTD</v>
          </cell>
          <cell r="H482" t="str">
            <v>22-23</v>
          </cell>
          <cell r="I482" t="str">
            <v>-</v>
          </cell>
          <cell r="J482" t="str">
            <v>Domestic</v>
          </cell>
          <cell r="K482" t="str">
            <v>OTHERS</v>
          </cell>
          <cell r="L482" t="str">
            <v>Non-Sugar</v>
          </cell>
          <cell r="M482" t="str">
            <v>End User</v>
          </cell>
          <cell r="O482" t="str">
            <v>-</v>
          </cell>
          <cell r="P482" t="str">
            <v>NI</v>
          </cell>
          <cell r="Q482" t="str">
            <v>AVIRAL SHUKLA</v>
          </cell>
          <cell r="T482" t="str">
            <v>-</v>
          </cell>
          <cell r="U482" t="str">
            <v>22-23</v>
          </cell>
          <cell r="W482" t="str">
            <v>24-12-2022</v>
          </cell>
        </row>
        <row r="483">
          <cell r="F483" t="str">
            <v>BELG01L003</v>
          </cell>
          <cell r="G483" t="str">
            <v>LAILA SUGARS (P) LTD</v>
          </cell>
          <cell r="H483">
            <v>2013</v>
          </cell>
          <cell r="I483" t="str">
            <v>-</v>
          </cell>
          <cell r="J483" t="str">
            <v>Domestic</v>
          </cell>
          <cell r="K483" t="str">
            <v>Sugar</v>
          </cell>
          <cell r="L483" t="str">
            <v>Sugar</v>
          </cell>
          <cell r="M483" t="str">
            <v>End User</v>
          </cell>
          <cell r="N483" t="str">
            <v>(0-5000)</v>
          </cell>
          <cell r="O483">
            <v>4500</v>
          </cell>
          <cell r="P483" t="str">
            <v>SI-GS</v>
          </cell>
          <cell r="Q483" t="str">
            <v>SI-GS</v>
          </cell>
          <cell r="S483" t="str">
            <v>https://share.google/MK6w7Qh5LQnMVJEkJ</v>
          </cell>
          <cell r="W483">
            <v>45484</v>
          </cell>
        </row>
        <row r="484">
          <cell r="F484" t="str">
            <v>MORA01L023</v>
          </cell>
          <cell r="G484" t="str">
            <v>LAKSHMI JI SUGAR MILLS COMPANY LTD (SHREE AJUDHIA SUGAR MILLS) (BILARI)</v>
          </cell>
          <cell r="H484">
            <v>2017</v>
          </cell>
          <cell r="I484" t="str">
            <v>Rana Group</v>
          </cell>
          <cell r="J484" t="str">
            <v>Domestic</v>
          </cell>
          <cell r="K484" t="str">
            <v>Sugar</v>
          </cell>
          <cell r="L484" t="str">
            <v>Sugar</v>
          </cell>
          <cell r="M484" t="str">
            <v>Group (Mills)</v>
          </cell>
          <cell r="N484" t="str">
            <v>(5001-9000)</v>
          </cell>
          <cell r="O484">
            <v>6500</v>
          </cell>
          <cell r="P484" t="str">
            <v>NI</v>
          </cell>
          <cell r="Q484" t="str">
            <v>AKSHAY AWASTHI</v>
          </cell>
          <cell r="S484" t="str">
            <v>https://maps.app.goo.gl/6UGMw1NvWYGHFTnYA</v>
          </cell>
          <cell r="T484" t="str">
            <v>CENTRAL + U.K</v>
          </cell>
          <cell r="U484" t="str">
            <v>25-26</v>
          </cell>
          <cell r="W484" t="str">
            <v>4-2-2026
17-01-2025
24-05-2024</v>
          </cell>
        </row>
        <row r="485">
          <cell r="F485" t="str">
            <v>CHEN01L049</v>
          </cell>
          <cell r="G485" t="str">
            <v>LARSEN &amp; TOUBRO LIMITED</v>
          </cell>
          <cell r="H485" t="str">
            <v>25-26</v>
          </cell>
          <cell r="I485" t="str">
            <v>-</v>
          </cell>
          <cell r="J485" t="str">
            <v>Domestic</v>
          </cell>
          <cell r="K485" t="str">
            <v>OTHERS</v>
          </cell>
          <cell r="L485" t="str">
            <v>Non-Sugar</v>
          </cell>
          <cell r="M485" t="str">
            <v>OEM</v>
          </cell>
          <cell r="O485" t="str">
            <v>-</v>
          </cell>
          <cell r="P485" t="str">
            <v>NI</v>
          </cell>
          <cell r="Q485" t="str">
            <v>HIMANSHU KUSHWAHA</v>
          </cell>
        </row>
        <row r="486">
          <cell r="F486" t="str">
            <v>KABI01L020</v>
          </cell>
          <cell r="G486" t="str">
            <v>LAUH Purush Sardar Vallabhbhai Patel Sahkari Shakkar Karkhana</v>
          </cell>
          <cell r="H486" t="str">
            <v>24-25</v>
          </cell>
          <cell r="I486" t="str">
            <v>-</v>
          </cell>
          <cell r="J486" t="str">
            <v>Domestic</v>
          </cell>
          <cell r="K486" t="str">
            <v>Sugar</v>
          </cell>
          <cell r="L486" t="str">
            <v>Sugar</v>
          </cell>
          <cell r="M486" t="str">
            <v>End User</v>
          </cell>
          <cell r="N486" t="str">
            <v>(0-5000)</v>
          </cell>
          <cell r="O486">
            <v>3000</v>
          </cell>
          <cell r="P486" t="str">
            <v>NI</v>
          </cell>
          <cell r="Q486" t="str">
            <v>HIMANSHU KUSHWAHA</v>
          </cell>
          <cell r="T486" t="str">
            <v>Chhatisgarh &amp; Orissa</v>
          </cell>
          <cell r="U486" t="str">
            <v>25-26</v>
          </cell>
          <cell r="W486" t="str">
            <v>30-10-2025
10-11-2024
04-05-2024</v>
          </cell>
        </row>
        <row r="487">
          <cell r="F487" t="str">
            <v>PANI01L048</v>
          </cell>
          <cell r="G487" t="str">
            <v>LIBERTY FLOORINGS PVT LTD</v>
          </cell>
          <cell r="H487" t="str">
            <v>20-21</v>
          </cell>
          <cell r="I487" t="str">
            <v>-</v>
          </cell>
          <cell r="J487" t="str">
            <v>Domestic</v>
          </cell>
          <cell r="K487" t="str">
            <v>OTHERS</v>
          </cell>
          <cell r="L487" t="str">
            <v>Non-Sugar</v>
          </cell>
          <cell r="M487" t="str">
            <v>End User</v>
          </cell>
          <cell r="O487" t="str">
            <v>-</v>
          </cell>
          <cell r="P487" t="str">
            <v>NI</v>
          </cell>
          <cell r="Q487" t="str">
            <v>AVIRAL SHUKLA</v>
          </cell>
          <cell r="T487" t="str">
            <v>-</v>
          </cell>
          <cell r="U487" t="str">
            <v>24-25</v>
          </cell>
          <cell r="W487" t="str">
            <v>26-02-2025</v>
          </cell>
        </row>
        <row r="488">
          <cell r="F488" t="str">
            <v>CHEN01L057</v>
          </cell>
          <cell r="G488" t="str">
            <v>LKS INDUSTRIES</v>
          </cell>
          <cell r="H488" t="str">
            <v>-</v>
          </cell>
          <cell r="J488" t="str">
            <v>Domestic</v>
          </cell>
          <cell r="P488" t="str">
            <v>-</v>
          </cell>
          <cell r="Q488" t="str">
            <v>-</v>
          </cell>
        </row>
        <row r="489">
          <cell r="F489" t="str">
            <v>SOLP01L007</v>
          </cell>
          <cell r="G489" t="str">
            <v>LOKMANGAL AGRO INDUSTRIES LTD</v>
          </cell>
          <cell r="H489">
            <v>2023</v>
          </cell>
          <cell r="I489" t="str">
            <v>-</v>
          </cell>
          <cell r="J489" t="str">
            <v>Domestic</v>
          </cell>
          <cell r="K489" t="str">
            <v>Sugar</v>
          </cell>
          <cell r="L489" t="str">
            <v>Sugar</v>
          </cell>
          <cell r="M489" t="str">
            <v>End User</v>
          </cell>
          <cell r="N489" t="str">
            <v>(0-5000)</v>
          </cell>
          <cell r="O489" t="str">
            <v>2500
Distillery 200 KLPD</v>
          </cell>
          <cell r="P489" t="str">
            <v>AV</v>
          </cell>
          <cell r="Q489" t="str">
            <v>AV</v>
          </cell>
          <cell r="R489" t="str">
            <v>PD</v>
          </cell>
          <cell r="S489" t="str">
            <v>https://maps.app.goo.gl/ihLu31WBMX8RFSCJ6</v>
          </cell>
          <cell r="T489" t="str">
            <v>Solapur - 1</v>
          </cell>
          <cell r="U489" t="str">
            <v>23-24</v>
          </cell>
          <cell r="W489">
            <v>45069</v>
          </cell>
        </row>
        <row r="490">
          <cell r="F490" t="str">
            <v>OSMA01L011</v>
          </cell>
          <cell r="G490" t="str">
            <v>LOKMANGAL MAULI INDUSTRIES LIMITED</v>
          </cell>
          <cell r="H490">
            <v>2014</v>
          </cell>
          <cell r="I490" t="str">
            <v>-</v>
          </cell>
          <cell r="J490" t="str">
            <v>Domestic</v>
          </cell>
          <cell r="K490" t="str">
            <v>Sugar</v>
          </cell>
          <cell r="L490" t="str">
            <v>Sugar</v>
          </cell>
          <cell r="M490" t="str">
            <v>End User</v>
          </cell>
          <cell r="N490" t="str">
            <v>(5001-9000)</v>
          </cell>
          <cell r="O490">
            <v>6000</v>
          </cell>
          <cell r="P490" t="str">
            <v>AV</v>
          </cell>
          <cell r="Q490" t="str">
            <v>AV</v>
          </cell>
          <cell r="R490" t="str">
            <v>PD</v>
          </cell>
          <cell r="S490" t="str">
            <v>https://maps.app.goo.gl/pwDcKzTa8n2o5bLX8</v>
          </cell>
          <cell r="T490" t="str">
            <v>Dharashiv - 1</v>
          </cell>
          <cell r="U490" t="str">
            <v>25-26</v>
          </cell>
          <cell r="W490" t="str">
            <v>21-1-2026
4/25/2024</v>
          </cell>
        </row>
        <row r="491">
          <cell r="F491" t="str">
            <v>SOLP01L008</v>
          </cell>
          <cell r="G491" t="str">
            <v>LOKMANGAL SUGAR ETHANOL &amp; CO-GENERATION IND LTD</v>
          </cell>
          <cell r="H491">
            <v>2013</v>
          </cell>
          <cell r="I491" t="str">
            <v>-</v>
          </cell>
          <cell r="J491" t="str">
            <v>Domestic</v>
          </cell>
          <cell r="K491" t="str">
            <v>Sugar</v>
          </cell>
          <cell r="L491" t="str">
            <v>Sugar</v>
          </cell>
          <cell r="M491" t="str">
            <v>End User</v>
          </cell>
          <cell r="N491" t="str">
            <v>(5001-9000)</v>
          </cell>
          <cell r="O491">
            <v>7000</v>
          </cell>
          <cell r="P491" t="str">
            <v>AV</v>
          </cell>
          <cell r="Q491" t="str">
            <v>AV</v>
          </cell>
          <cell r="R491" t="str">
            <v>PD</v>
          </cell>
          <cell r="S491" t="str">
            <v>https://maps.app.goo.gl/ZE31sr1CgHQRoqQy6</v>
          </cell>
          <cell r="T491" t="str">
            <v>Solapur - 1</v>
          </cell>
          <cell r="W491" t="str">
            <v>-</v>
          </cell>
        </row>
        <row r="492">
          <cell r="F492" t="str">
            <v>SOLP01L009</v>
          </cell>
          <cell r="G492" t="str">
            <v>LOKNETE BABURAO PATIL AGRO INDUSTRIES LTD</v>
          </cell>
          <cell r="H492">
            <v>2013</v>
          </cell>
          <cell r="I492" t="str">
            <v>-</v>
          </cell>
          <cell r="J492" t="str">
            <v>Domestic</v>
          </cell>
          <cell r="K492" t="str">
            <v>Sugar</v>
          </cell>
          <cell r="L492" t="str">
            <v>Sugar</v>
          </cell>
          <cell r="M492" t="str">
            <v>End User</v>
          </cell>
          <cell r="N492" t="str">
            <v>(0-5000)</v>
          </cell>
          <cell r="O492">
            <v>5000</v>
          </cell>
          <cell r="P492" t="str">
            <v>AV</v>
          </cell>
          <cell r="Q492" t="str">
            <v>AV</v>
          </cell>
          <cell r="R492" t="str">
            <v>PD</v>
          </cell>
          <cell r="T492" t="str">
            <v>Solapur - 1</v>
          </cell>
          <cell r="U492" t="str">
            <v>23-24</v>
          </cell>
          <cell r="W492">
            <v>45068</v>
          </cell>
        </row>
        <row r="493">
          <cell r="F493" t="str">
            <v>MUMB01L044</v>
          </cell>
          <cell r="G493" t="str">
            <v>LOKNETE BALASAHEB DESAI S.S.K.</v>
          </cell>
          <cell r="H493" t="str">
            <v>-</v>
          </cell>
          <cell r="J493" t="str">
            <v>Domestic</v>
          </cell>
          <cell r="P493" t="str">
            <v>MRK</v>
          </cell>
          <cell r="Q493" t="str">
            <v>-</v>
          </cell>
        </row>
        <row r="494">
          <cell r="F494" t="str">
            <v>AHMD01L038</v>
          </cell>
          <cell r="G494" t="str">
            <v>LOKNETE MARUTRAO GHULE PATIL DNYANESHWAR SAHAKARI SAKHAR KARKHANA LTD. (OLD NAME SHRI DNYANESHWAR SSK LTD)</v>
          </cell>
          <cell r="H494" t="str">
            <v>-</v>
          </cell>
          <cell r="I494" t="str">
            <v>-</v>
          </cell>
          <cell r="J494" t="str">
            <v>Domestic</v>
          </cell>
          <cell r="K494" t="str">
            <v>Sugar</v>
          </cell>
          <cell r="L494" t="str">
            <v>Sugar</v>
          </cell>
          <cell r="M494" t="str">
            <v>End User</v>
          </cell>
          <cell r="N494" t="str">
            <v>(5001-9000)</v>
          </cell>
          <cell r="O494" t="str">
            <v>Sugar 7000 TCD
Distillery 55 KLPD (Expn plan up to 100 KLPD through Universal process)</v>
          </cell>
          <cell r="P494" t="str">
            <v>AV</v>
          </cell>
          <cell r="Q494" t="str">
            <v>AV</v>
          </cell>
          <cell r="R494" t="str">
            <v>PD</v>
          </cell>
          <cell r="S494" t="str">
            <v>NA</v>
          </cell>
          <cell r="T494" t="str">
            <v>Ahmednagar - 2</v>
          </cell>
          <cell r="U494" t="str">
            <v>25-26</v>
          </cell>
          <cell r="W494" t="str">
            <v>18-11-2025
02-04-2024
24-06-2023</v>
          </cell>
        </row>
        <row r="495">
          <cell r="F495" t="str">
            <v>KOLH01L054</v>
          </cell>
          <cell r="G495" t="str">
            <v>LOKNETE SADASHIVRAO MANDIK KAGAL TALUKA</v>
          </cell>
          <cell r="H495" t="str">
            <v>-</v>
          </cell>
          <cell r="J495" t="str">
            <v>Domestic</v>
          </cell>
          <cell r="P495" t="str">
            <v>AV</v>
          </cell>
          <cell r="Q495" t="str">
            <v>-</v>
          </cell>
        </row>
        <row r="496">
          <cell r="F496" t="str">
            <v>KOLH01S003</v>
          </cell>
          <cell r="G496" t="str">
            <v>LOKNETE SADASHIVRAO MANDLIK KAGAL -TALUKA SAHAKARI SAKHAR -KARKHANA LIMITED</v>
          </cell>
          <cell r="H496">
            <v>2013</v>
          </cell>
          <cell r="I496" t="str">
            <v>-</v>
          </cell>
          <cell r="J496" t="str">
            <v>Domestic</v>
          </cell>
          <cell r="K496" t="str">
            <v>Sugar</v>
          </cell>
          <cell r="L496" t="str">
            <v>Sugar</v>
          </cell>
          <cell r="M496" t="str">
            <v>End User</v>
          </cell>
          <cell r="N496" t="str">
            <v>(0-5000)</v>
          </cell>
          <cell r="O496">
            <v>4000</v>
          </cell>
          <cell r="P496" t="str">
            <v>MRK</v>
          </cell>
          <cell r="Q496" t="str">
            <v>MRK</v>
          </cell>
          <cell r="R496" t="str">
            <v>VG</v>
          </cell>
          <cell r="T496" t="str">
            <v>Kolhapur - 1</v>
          </cell>
          <cell r="U496" t="str">
            <v>26-27</v>
          </cell>
          <cell r="V496" t="str">
            <v>Apr</v>
          </cell>
          <cell r="W496" t="str">
            <v>15-4-2026
02-05-2025
12/04/2025
21-03-2025
13-07-2023
07-12-2022</v>
          </cell>
        </row>
        <row r="497">
          <cell r="F497" t="str">
            <v>AHMD01L022</v>
          </cell>
          <cell r="G497" t="str">
            <v>LUNAR ENGINEERINGS (NAGAR)</v>
          </cell>
          <cell r="H497">
            <v>2017</v>
          </cell>
          <cell r="I497" t="str">
            <v>-</v>
          </cell>
          <cell r="J497" t="str">
            <v>Domestic</v>
          </cell>
          <cell r="K497" t="str">
            <v>Sugar</v>
          </cell>
          <cell r="L497" t="str">
            <v>Sugar</v>
          </cell>
          <cell r="M497" t="str">
            <v>OEM</v>
          </cell>
          <cell r="O497" t="str">
            <v>-</v>
          </cell>
          <cell r="P497" t="str">
            <v>AV</v>
          </cell>
          <cell r="Q497" t="str">
            <v>AV</v>
          </cell>
          <cell r="R497" t="str">
            <v>OEM</v>
          </cell>
          <cell r="S497" t="str">
            <v>https://maps.app.goo.gl/DdsuPg97JR7YNsLeA</v>
          </cell>
          <cell r="T497" t="str">
            <v>-</v>
          </cell>
          <cell r="U497" t="str">
            <v>26-27</v>
          </cell>
          <cell r="V497" t="str">
            <v>May</v>
          </cell>
          <cell r="W497" t="str">
            <v>28.05.26</v>
          </cell>
        </row>
        <row r="498">
          <cell r="F498" t="str">
            <v>MUMB01L050</v>
          </cell>
          <cell r="G498" t="str">
            <v>LUTHRA PROJECTS</v>
          </cell>
          <cell r="H498" t="str">
            <v>-</v>
          </cell>
          <cell r="J498" t="str">
            <v>Domestic</v>
          </cell>
          <cell r="P498" t="str">
            <v>HO</v>
          </cell>
          <cell r="Q498" t="str">
            <v>-</v>
          </cell>
        </row>
        <row r="499">
          <cell r="F499" t="str">
            <v>SITM01M197</v>
          </cell>
          <cell r="G499" t="str">
            <v>M P ENGINEERING WORKS- (SITAMARHI )</v>
          </cell>
          <cell r="H499" t="str">
            <v>24-25</v>
          </cell>
          <cell r="I499" t="str">
            <v>-</v>
          </cell>
          <cell r="J499" t="str">
            <v>Domestic</v>
          </cell>
          <cell r="K499" t="str">
            <v>Sugar</v>
          </cell>
          <cell r="L499" t="str">
            <v>Sugar</v>
          </cell>
          <cell r="M499" t="str">
            <v>OEM</v>
          </cell>
          <cell r="P499" t="str">
            <v>AV</v>
          </cell>
          <cell r="Q499" t="str">
            <v>AV</v>
          </cell>
          <cell r="R499" t="str">
            <v>OEM</v>
          </cell>
        </row>
        <row r="500">
          <cell r="F500" t="str">
            <v>MUDH01M052</v>
          </cell>
          <cell r="G500" t="str">
            <v>M. P. ENGINEERING WORKS</v>
          </cell>
          <cell r="H500">
            <v>2015</v>
          </cell>
          <cell r="I500" t="str">
            <v>-</v>
          </cell>
          <cell r="J500" t="str">
            <v>Domestic</v>
          </cell>
          <cell r="K500" t="str">
            <v>Sugar</v>
          </cell>
          <cell r="L500" t="str">
            <v>Sugar</v>
          </cell>
          <cell r="M500" t="str">
            <v>OEM</v>
          </cell>
          <cell r="O500" t="str">
            <v>-</v>
          </cell>
          <cell r="P500" t="str">
            <v>AV</v>
          </cell>
          <cell r="Q500" t="str">
            <v>AV</v>
          </cell>
          <cell r="R500" t="str">
            <v>OEM</v>
          </cell>
          <cell r="S500" t="str">
            <v>https://maps.app.goo.gl/4e67eZ54vPK13KEX8</v>
          </cell>
          <cell r="T500" t="str">
            <v>-</v>
          </cell>
          <cell r="W500" t="str">
            <v>-</v>
          </cell>
        </row>
        <row r="501">
          <cell r="F501" t="str">
            <v>CUDD01M001</v>
          </cell>
          <cell r="G501" t="str">
            <v>M.R.KRISHNAMURTHY CO-OPERATIVE SUGAR MILLS LTD</v>
          </cell>
          <cell r="H501">
            <v>2013</v>
          </cell>
          <cell r="I501" t="str">
            <v>-</v>
          </cell>
          <cell r="J501" t="str">
            <v>Domestic</v>
          </cell>
          <cell r="K501" t="str">
            <v>Sugar</v>
          </cell>
          <cell r="L501" t="str">
            <v>Sugar</v>
          </cell>
          <cell r="M501" t="str">
            <v>End User</v>
          </cell>
          <cell r="N501" t="str">
            <v>(0-5000)</v>
          </cell>
          <cell r="O501">
            <v>2500</v>
          </cell>
          <cell r="P501" t="str">
            <v>SI-GS</v>
          </cell>
          <cell r="Q501" t="str">
            <v>SI-GS</v>
          </cell>
          <cell r="W501">
            <v>45237</v>
          </cell>
        </row>
        <row r="502">
          <cell r="F502" t="str">
            <v>LAKH01M178</v>
          </cell>
          <cell r="G502" t="str">
            <v>MAA SHARDA KHANDSARI UDYOG</v>
          </cell>
          <cell r="H502" t="str">
            <v>24-25</v>
          </cell>
          <cell r="I502" t="str">
            <v>-</v>
          </cell>
          <cell r="J502" t="str">
            <v>Domestic</v>
          </cell>
          <cell r="K502" t="str">
            <v>Sugar</v>
          </cell>
          <cell r="L502" t="str">
            <v>Sugar</v>
          </cell>
          <cell r="M502" t="str">
            <v>End User</v>
          </cell>
          <cell r="N502" t="str">
            <v>(0-5000)</v>
          </cell>
          <cell r="O502">
            <v>3000</v>
          </cell>
          <cell r="P502" t="str">
            <v>NI</v>
          </cell>
          <cell r="Q502" t="str">
            <v>AVIRAL SHUKLA</v>
          </cell>
          <cell r="R502" t="str">
            <v>AMIT SRIVASTAVA</v>
          </cell>
          <cell r="U502" t="str">
            <v>25-26</v>
          </cell>
          <cell r="W502" t="str">
            <v>13-02-2026
11-01-2025
4/17/2024</v>
          </cell>
        </row>
        <row r="503">
          <cell r="F503" t="str">
            <v>NARS01M219</v>
          </cell>
          <cell r="G503" t="str">
            <v>MAA VINDHYAWASINI SUGAR &amp; BIOFUELS PVT LTD</v>
          </cell>
          <cell r="H503" t="str">
            <v>25-26</v>
          </cell>
          <cell r="I503" t="str">
            <v>-</v>
          </cell>
          <cell r="J503" t="str">
            <v>Domestic</v>
          </cell>
          <cell r="K503" t="str">
            <v>Sugar</v>
          </cell>
          <cell r="L503" t="str">
            <v>Sugar</v>
          </cell>
          <cell r="M503" t="str">
            <v>End User</v>
          </cell>
          <cell r="N503" t="str">
            <v>(0-5000)</v>
          </cell>
          <cell r="O503">
            <v>3500</v>
          </cell>
          <cell r="P503" t="str">
            <v>NI</v>
          </cell>
          <cell r="Q503" t="str">
            <v>AVIRAL SHUKLA</v>
          </cell>
          <cell r="U503" t="str">
            <v>25-26</v>
          </cell>
          <cell r="V503" t="str">
            <v>Mar</v>
          </cell>
          <cell r="W503" t="str">
            <v>20-03-2026</v>
          </cell>
        </row>
        <row r="504">
          <cell r="F504" t="str">
            <v>KHMM01M003</v>
          </cell>
          <cell r="G504" t="str">
            <v>MADHUCON SUGAR AND POWER INDUSTRIES LIMITED</v>
          </cell>
          <cell r="H504">
            <v>2013</v>
          </cell>
          <cell r="I504" t="str">
            <v>-</v>
          </cell>
          <cell r="J504" t="str">
            <v>Domestic</v>
          </cell>
          <cell r="K504" t="str">
            <v>Sugar</v>
          </cell>
          <cell r="L504" t="str">
            <v>Sugar</v>
          </cell>
          <cell r="M504" t="str">
            <v>End User</v>
          </cell>
          <cell r="N504" t="str">
            <v>(0-5000)</v>
          </cell>
          <cell r="O504">
            <v>3500</v>
          </cell>
          <cell r="P504" t="str">
            <v>SI-GS</v>
          </cell>
          <cell r="Q504" t="str">
            <v>SI-GS</v>
          </cell>
          <cell r="S504" t="str">
            <v>https://maps.app.goo.gl/XgLjEmspcCsv2tHL7</v>
          </cell>
          <cell r="W504">
            <v>45475</v>
          </cell>
        </row>
        <row r="505">
          <cell r="F505" t="str">
            <v>SURA01M218</v>
          </cell>
          <cell r="G505" t="str">
            <v>MADHUR CORPORATION-(BUSIA SUGAR UGANDA)</v>
          </cell>
          <cell r="H505" t="str">
            <v>25-26</v>
          </cell>
          <cell r="I505" t="str">
            <v>-</v>
          </cell>
          <cell r="J505" t="str">
            <v>Domestic</v>
          </cell>
          <cell r="K505" t="str">
            <v>Sugar</v>
          </cell>
          <cell r="L505" t="str">
            <v>Sugar</v>
          </cell>
          <cell r="M505" t="str">
            <v>Merchant Exporter</v>
          </cell>
          <cell r="O505" t="str">
            <v>-</v>
          </cell>
          <cell r="P505" t="str">
            <v>NI</v>
          </cell>
          <cell r="Q505" t="str">
            <v>AKSHAY AWASTHI</v>
          </cell>
        </row>
        <row r="506">
          <cell r="F506" t="str">
            <v>AHMD01M004</v>
          </cell>
          <cell r="G506" t="str">
            <v>MADHURYA CHEMICAL</v>
          </cell>
          <cell r="H506" t="str">
            <v>22-23</v>
          </cell>
          <cell r="I506" t="str">
            <v>-</v>
          </cell>
          <cell r="J506" t="str">
            <v>Domestic</v>
          </cell>
          <cell r="K506" t="str">
            <v>Cattle feed</v>
          </cell>
          <cell r="L506" t="str">
            <v>Non-Sugar</v>
          </cell>
          <cell r="M506" t="str">
            <v>End User</v>
          </cell>
          <cell r="N506" t="str">
            <v>-</v>
          </cell>
          <cell r="O506" t="str">
            <v>-</v>
          </cell>
          <cell r="P506" t="str">
            <v>AV</v>
          </cell>
          <cell r="Q506" t="str">
            <v>AV</v>
          </cell>
          <cell r="R506" t="str">
            <v>PD</v>
          </cell>
          <cell r="S506" t="str">
            <v>https://share.google/3emoqJ2jxWRZd6BPe</v>
          </cell>
          <cell r="T506" t="str">
            <v>visit not required</v>
          </cell>
          <cell r="W506" t="str">
            <v>-</v>
          </cell>
        </row>
        <row r="507">
          <cell r="F507" t="str">
            <v>KOLK01M208</v>
          </cell>
          <cell r="G507" t="str">
            <v>MAG TECH TECHNOLOGY SIMPLIFIED</v>
          </cell>
          <cell r="H507" t="str">
            <v>-</v>
          </cell>
          <cell r="J507" t="str">
            <v>Domestic</v>
          </cell>
          <cell r="P507" t="str">
            <v>VA</v>
          </cell>
          <cell r="Q507" t="str">
            <v>-</v>
          </cell>
        </row>
        <row r="508">
          <cell r="F508" t="str">
            <v>WSCH01M066</v>
          </cell>
          <cell r="G508" t="str">
            <v>MAGADH SUGAR &amp; ENERGY LTD (NARKATIAGANJ) (Formerly New Swadeshi)</v>
          </cell>
          <cell r="H508">
            <v>2017</v>
          </cell>
          <cell r="I508" t="str">
            <v>Magadh Group</v>
          </cell>
          <cell r="J508" t="str">
            <v>Domestic</v>
          </cell>
          <cell r="K508" t="str">
            <v>Sugar</v>
          </cell>
          <cell r="L508" t="str">
            <v>Sugar</v>
          </cell>
          <cell r="M508" t="str">
            <v>Group (Mills)</v>
          </cell>
          <cell r="N508" t="str">
            <v>(9001 &amp; above)</v>
          </cell>
          <cell r="O508">
            <v>10000</v>
          </cell>
          <cell r="P508" t="str">
            <v>NI</v>
          </cell>
          <cell r="Q508" t="str">
            <v>AVIRAL SHUKLA</v>
          </cell>
          <cell r="S508" t="str">
            <v>https://maps.app.goo.gl/E8ki9mPCEkXB6oEU6</v>
          </cell>
          <cell r="T508" t="str">
            <v>-</v>
          </cell>
          <cell r="U508" t="str">
            <v>26-27</v>
          </cell>
          <cell r="V508" t="str">
            <v>May</v>
          </cell>
          <cell r="W508" t="str">
            <v>4-5-2026
17-12-2025
11-06-2025
30-01-2025
05-12-2024
26-11-2023
08-01-2023</v>
          </cell>
        </row>
        <row r="509">
          <cell r="F509" t="str">
            <v>GOPA01B062</v>
          </cell>
          <cell r="G509" t="str">
            <v>MAGADH SUGAR &amp; ENERGY LTD (new bharat sugar mill)</v>
          </cell>
          <cell r="H509">
            <v>2016</v>
          </cell>
          <cell r="I509" t="str">
            <v>Magadh Group</v>
          </cell>
          <cell r="J509" t="str">
            <v>Domestic</v>
          </cell>
          <cell r="K509" t="str">
            <v>Sugar</v>
          </cell>
          <cell r="L509" t="str">
            <v>Sugar</v>
          </cell>
          <cell r="M509" t="str">
            <v>Group (Mills)</v>
          </cell>
          <cell r="N509" t="str">
            <v>(0-5000)</v>
          </cell>
          <cell r="O509">
            <v>5000</v>
          </cell>
          <cell r="P509" t="str">
            <v>NI</v>
          </cell>
          <cell r="Q509" t="str">
            <v>AVIRAL SHUKLA</v>
          </cell>
          <cell r="T509" t="str">
            <v>-</v>
          </cell>
          <cell r="U509" t="str">
            <v>26-27</v>
          </cell>
          <cell r="V509" t="str">
            <v>May</v>
          </cell>
          <cell r="W509" t="str">
            <v>2-5-2026
16-12-2025
10-06-2025
29-01-2025
26-09-2024</v>
          </cell>
        </row>
        <row r="510">
          <cell r="F510" t="str">
            <v>SANR01M039</v>
          </cell>
          <cell r="G510" t="str">
            <v>MAGHAN PAPER MILLS</v>
          </cell>
          <cell r="H510">
            <v>2010</v>
          </cell>
          <cell r="I510" t="str">
            <v>-</v>
          </cell>
          <cell r="J510" t="str">
            <v>Domestic</v>
          </cell>
          <cell r="K510" t="str">
            <v>Paper</v>
          </cell>
          <cell r="L510" t="str">
            <v>Non-Sugar</v>
          </cell>
          <cell r="M510" t="str">
            <v>End User</v>
          </cell>
          <cell r="O510" t="str">
            <v>150/TPD</v>
          </cell>
          <cell r="P510" t="str">
            <v>NI</v>
          </cell>
          <cell r="Q510" t="str">
            <v>AKSHAY AWASTHI</v>
          </cell>
          <cell r="T510" t="str">
            <v>-</v>
          </cell>
          <cell r="U510" t="str">
            <v>24-25</v>
          </cell>
          <cell r="W510">
            <v>45561</v>
          </cell>
        </row>
        <row r="511">
          <cell r="F511" t="str">
            <v>KANC01M005</v>
          </cell>
          <cell r="G511" t="str">
            <v>MAHAKALI SUGAR IND. PVT. LTD</v>
          </cell>
          <cell r="H511">
            <v>2014</v>
          </cell>
          <cell r="I511" t="str">
            <v>-</v>
          </cell>
          <cell r="J511" t="str">
            <v>Export</v>
          </cell>
          <cell r="K511" t="str">
            <v>Sugar</v>
          </cell>
          <cell r="L511" t="str">
            <v>Sugar</v>
          </cell>
          <cell r="M511" t="str">
            <v>End User</v>
          </cell>
          <cell r="N511" t="str">
            <v>(0-5000)</v>
          </cell>
          <cell r="O511">
            <v>3000</v>
          </cell>
          <cell r="P511" t="str">
            <v>NI</v>
          </cell>
          <cell r="Q511" t="str">
            <v>HIMANSHU KUSHWAHA</v>
          </cell>
          <cell r="T511" t="str">
            <v>-</v>
          </cell>
          <cell r="U511" t="str">
            <v>24-25</v>
          </cell>
          <cell r="W511">
            <v>45901</v>
          </cell>
        </row>
        <row r="512">
          <cell r="F512" t="str">
            <v>NARS01M034</v>
          </cell>
          <cell r="G512" t="str">
            <v>MAHAKAUSHAL SUGAR &amp; POWER IND. LTD.</v>
          </cell>
          <cell r="H512" t="str">
            <v>20-21</v>
          </cell>
          <cell r="I512" t="str">
            <v>-</v>
          </cell>
          <cell r="J512" t="str">
            <v>Domestic</v>
          </cell>
          <cell r="K512" t="str">
            <v>Sugar</v>
          </cell>
          <cell r="L512" t="str">
            <v>Sugar</v>
          </cell>
          <cell r="M512" t="str">
            <v>End User</v>
          </cell>
          <cell r="N512" t="str">
            <v>(5001-9000)</v>
          </cell>
          <cell r="O512">
            <v>7000</v>
          </cell>
          <cell r="P512" t="str">
            <v>NI</v>
          </cell>
          <cell r="Q512" t="str">
            <v>AVIRAL SHUKLA</v>
          </cell>
          <cell r="T512" t="str">
            <v>M.P - 1</v>
          </cell>
          <cell r="U512" t="str">
            <v>25-26</v>
          </cell>
          <cell r="W512" t="str">
            <v>18-09-2025
06-03-2025
18-07-2024
28-02-2024</v>
          </cell>
        </row>
        <row r="513">
          <cell r="F513" t="str">
            <v>GUJA01M140</v>
          </cell>
          <cell r="G513" t="str">
            <v>MAHALAXMI OIL MILL</v>
          </cell>
          <cell r="H513" t="str">
            <v>23-24</v>
          </cell>
          <cell r="I513" t="str">
            <v>-</v>
          </cell>
          <cell r="J513" t="str">
            <v>Domestic</v>
          </cell>
          <cell r="K513" t="str">
            <v>Cattlefeed</v>
          </cell>
          <cell r="L513" t="str">
            <v>Non-Sugar</v>
          </cell>
          <cell r="M513" t="str">
            <v>End User</v>
          </cell>
          <cell r="O513" t="str">
            <v>-</v>
          </cell>
          <cell r="P513" t="str">
            <v>NI</v>
          </cell>
          <cell r="Q513" t="str">
            <v>AKSHAY AWASTHI</v>
          </cell>
          <cell r="T513" t="str">
            <v>-</v>
          </cell>
          <cell r="U513" t="str">
            <v>-</v>
          </cell>
          <cell r="W513" t="str">
            <v>-</v>
          </cell>
        </row>
        <row r="514">
          <cell r="F514" t="str">
            <v>KOLK01M225</v>
          </cell>
          <cell r="G514" t="str">
            <v>MAHESHWARI MINING PVT LTD</v>
          </cell>
          <cell r="H514" t="str">
            <v>-</v>
          </cell>
          <cell r="J514" t="str">
            <v>Domestic</v>
          </cell>
          <cell r="P514" t="str">
            <v>VA</v>
          </cell>
          <cell r="Q514" t="str">
            <v>ANKUR</v>
          </cell>
        </row>
        <row r="515">
          <cell r="F515" t="str">
            <v>MUMB01M006</v>
          </cell>
          <cell r="G515" t="str">
            <v>MAIND INVESTMENT PVT. LTD</v>
          </cell>
          <cell r="H515">
            <v>2013</v>
          </cell>
          <cell r="I515" t="str">
            <v>-</v>
          </cell>
          <cell r="J515" t="str">
            <v>Domestic</v>
          </cell>
          <cell r="K515" t="str">
            <v>Sugar</v>
          </cell>
          <cell r="L515" t="str">
            <v>Sugar</v>
          </cell>
          <cell r="M515" t="str">
            <v>Trader</v>
          </cell>
          <cell r="O515" t="str">
            <v>-</v>
          </cell>
          <cell r="P515" t="str">
            <v>NI</v>
          </cell>
          <cell r="Q515" t="str">
            <v>AVIRAL SHUKLA</v>
          </cell>
          <cell r="T515" t="str">
            <v>-</v>
          </cell>
          <cell r="U515" t="str">
            <v>-</v>
          </cell>
        </row>
        <row r="516">
          <cell r="F516" t="str">
            <v>HALD01M210</v>
          </cell>
          <cell r="G516" t="str">
            <v>MAITY ENGINEERING WORKSHOP</v>
          </cell>
          <cell r="H516" t="str">
            <v>-</v>
          </cell>
          <cell r="J516" t="str">
            <v>Domestic</v>
          </cell>
          <cell r="P516" t="str">
            <v>HO</v>
          </cell>
          <cell r="Q516" t="str">
            <v>-</v>
          </cell>
        </row>
        <row r="517">
          <cell r="F517" t="str">
            <v>WSCH01M116</v>
          </cell>
          <cell r="G517" t="str">
            <v>MAJHAULIA SUGAR INDUSTRIES (Jay shree)</v>
          </cell>
          <cell r="H517" t="str">
            <v>22-23</v>
          </cell>
          <cell r="I517" t="str">
            <v>-</v>
          </cell>
          <cell r="J517" t="str">
            <v>Domestic</v>
          </cell>
          <cell r="K517" t="str">
            <v>Sugar</v>
          </cell>
          <cell r="L517" t="str">
            <v>Sugar</v>
          </cell>
          <cell r="M517" t="str">
            <v>End User</v>
          </cell>
          <cell r="N517" t="str">
            <v>(0-5000)</v>
          </cell>
          <cell r="O517">
            <v>5000</v>
          </cell>
          <cell r="P517" t="str">
            <v>NI</v>
          </cell>
          <cell r="Q517" t="str">
            <v>AVIRAL SHUKLA</v>
          </cell>
          <cell r="T517" t="str">
            <v>-</v>
          </cell>
          <cell r="U517" t="str">
            <v>26-27</v>
          </cell>
          <cell r="V517" t="str">
            <v>May</v>
          </cell>
          <cell r="W517" t="str">
            <v>4-5-2026
18-12-2025
12-06-2025
27-09-2024
07-01-2023
22-01-2022
23-10-2019
21-10-2019
07-06-2019
06-02-2019</v>
          </cell>
        </row>
        <row r="518">
          <cell r="F518" t="str">
            <v>OSMA01M184</v>
          </cell>
          <cell r="G518" t="str">
            <v>MANJRA SUGAR INDUSTRIES PRIVATE LTD (formerly GANGA CANE ENERGY PVT LTD (Formerly KANCHESHWAR SUGAR LTD)</v>
          </cell>
          <cell r="H518">
            <v>2023</v>
          </cell>
          <cell r="I518" t="str">
            <v>-</v>
          </cell>
          <cell r="J518" t="str">
            <v>Domestic</v>
          </cell>
          <cell r="K518" t="str">
            <v>Sugar</v>
          </cell>
          <cell r="L518" t="str">
            <v>Sugar</v>
          </cell>
          <cell r="M518" t="str">
            <v>End User</v>
          </cell>
          <cell r="N518" t="str">
            <v>(0-5000)</v>
          </cell>
          <cell r="O518" t="str">
            <v>5000
Distillery 45 KLPD (Expn plan upto 65 KLPD through SS Engg)</v>
          </cell>
          <cell r="P518" t="str">
            <v>AV</v>
          </cell>
          <cell r="Q518" t="str">
            <v>AV</v>
          </cell>
          <cell r="R518" t="str">
            <v>PD</v>
          </cell>
          <cell r="S518" t="str">
            <v>https://maps.app.goo.gl/9cWqkp1gMAQbCb1m7</v>
          </cell>
          <cell r="T518" t="str">
            <v>Dharashiv - 2</v>
          </cell>
          <cell r="U518" t="str">
            <v>25-26</v>
          </cell>
          <cell r="W518" t="str">
            <v>11-2-26
22-1-2026
6/8/2023</v>
          </cell>
        </row>
        <row r="519">
          <cell r="F519" t="str">
            <v>OSMA01M226</v>
          </cell>
          <cell r="G519" t="str">
            <v>MANORAMA RUPAMATA NATURAL SUGAR PVT LTD</v>
          </cell>
          <cell r="H519" t="str">
            <v>-</v>
          </cell>
          <cell r="J519" t="str">
            <v>Domestic</v>
          </cell>
          <cell r="P519" t="str">
            <v>HO</v>
          </cell>
          <cell r="Q519" t="str">
            <v>-</v>
          </cell>
        </row>
        <row r="520">
          <cell r="F520" t="str">
            <v>MANS01M092</v>
          </cell>
          <cell r="G520" t="str">
            <v>MANSA SUGAR LIMITED</v>
          </cell>
          <cell r="H520" t="str">
            <v>20-21</v>
          </cell>
          <cell r="I520" t="str">
            <v>-</v>
          </cell>
          <cell r="J520" t="str">
            <v>Export</v>
          </cell>
          <cell r="K520" t="str">
            <v>Sugar</v>
          </cell>
          <cell r="L520" t="str">
            <v>Sugar</v>
          </cell>
          <cell r="M520" t="str">
            <v>End User</v>
          </cell>
          <cell r="O520" t="str">
            <v>-</v>
          </cell>
          <cell r="P520" t="str">
            <v>NI</v>
          </cell>
          <cell r="Q520" t="str">
            <v>AVIRAL SHUKLA</v>
          </cell>
          <cell r="T520" t="str">
            <v>-</v>
          </cell>
          <cell r="U520" t="str">
            <v>-</v>
          </cell>
          <cell r="W520" t="str">
            <v>-</v>
          </cell>
        </row>
        <row r="521">
          <cell r="F521" t="str">
            <v>AHME01M008</v>
          </cell>
          <cell r="G521" t="str">
            <v>MARJ EXPORT PRIVATE LIMITED</v>
          </cell>
          <cell r="H521">
            <v>2013</v>
          </cell>
          <cell r="I521" t="str">
            <v>-</v>
          </cell>
          <cell r="J521" t="str">
            <v>Domestic</v>
          </cell>
          <cell r="K521" t="str">
            <v>Sugar</v>
          </cell>
          <cell r="L521" t="str">
            <v>Sugar</v>
          </cell>
          <cell r="M521" t="str">
            <v>Trader</v>
          </cell>
          <cell r="O521" t="str">
            <v>-</v>
          </cell>
          <cell r="P521" t="str">
            <v>NI</v>
          </cell>
          <cell r="Q521" t="str">
            <v>AKSHAY AWASTHI</v>
          </cell>
          <cell r="S521" t="str">
            <v>NA</v>
          </cell>
          <cell r="T521" t="str">
            <v>-</v>
          </cell>
          <cell r="U521" t="str">
            <v>-</v>
          </cell>
        </row>
        <row r="522">
          <cell r="F522" t="str">
            <v>KAPU01M084</v>
          </cell>
          <cell r="G522" t="str">
            <v>MARKFED CATTLE FEED &amp; ALLIED INDUSTRIES</v>
          </cell>
          <cell r="H522" t="str">
            <v>19-20</v>
          </cell>
          <cell r="I522" t="str">
            <v>-</v>
          </cell>
          <cell r="J522" t="str">
            <v>Domestic</v>
          </cell>
          <cell r="K522" t="str">
            <v>Cattlefeed</v>
          </cell>
          <cell r="L522" t="str">
            <v>Non-Sugar</v>
          </cell>
          <cell r="M522" t="str">
            <v>End User</v>
          </cell>
          <cell r="O522" t="str">
            <v>-</v>
          </cell>
          <cell r="P522" t="str">
            <v>NI</v>
          </cell>
          <cell r="Q522" t="str">
            <v>AKSHAY AWASTHI</v>
          </cell>
          <cell r="T522" t="str">
            <v>TOUR - PUNJAB</v>
          </cell>
          <cell r="U522" t="str">
            <v>25-26</v>
          </cell>
          <cell r="W522" t="str">
            <v>24/12/2021
20/03/2021</v>
          </cell>
        </row>
        <row r="523">
          <cell r="F523" t="str">
            <v>SHAM01M113</v>
          </cell>
          <cell r="G523" t="str">
            <v>MARUTI PAPERS LTD</v>
          </cell>
          <cell r="H523" t="str">
            <v>22-23</v>
          </cell>
          <cell r="I523" t="str">
            <v>-</v>
          </cell>
          <cell r="J523" t="str">
            <v>Domestic</v>
          </cell>
          <cell r="K523" t="str">
            <v>Paper</v>
          </cell>
          <cell r="L523" t="str">
            <v>Non-Sugar</v>
          </cell>
          <cell r="M523" t="str">
            <v>End User</v>
          </cell>
          <cell r="O523" t="str">
            <v>-</v>
          </cell>
          <cell r="P523" t="str">
            <v>NI</v>
          </cell>
          <cell r="Q523" t="str">
            <v>AKSHAY AWASTHI</v>
          </cell>
          <cell r="S523" t="str">
            <v>https://share.google/6bBtR34StphCievTF</v>
          </cell>
          <cell r="T523" t="str">
            <v>WESTERN-2</v>
          </cell>
          <cell r="U523" t="str">
            <v>25-26</v>
          </cell>
          <cell r="W523" t="str">
            <v>31-10-2025
06-10-2025
26-06-2025
03-03-2025
17-07-2024
27-06-2024
28-02-2024
10-01-2024</v>
          </cell>
        </row>
        <row r="524">
          <cell r="F524" t="str">
            <v>SHAM01M170</v>
          </cell>
          <cell r="G524" t="str">
            <v>MARUTI PAPERS PRIVATE LIMITED</v>
          </cell>
          <cell r="H524" t="str">
            <v>23-24</v>
          </cell>
          <cell r="I524" t="str">
            <v>-</v>
          </cell>
          <cell r="J524" t="str">
            <v>Domestic</v>
          </cell>
          <cell r="K524" t="str">
            <v>Paper</v>
          </cell>
          <cell r="L524" t="str">
            <v>Non-Sugar</v>
          </cell>
          <cell r="M524" t="str">
            <v>End User</v>
          </cell>
          <cell r="O524" t="str">
            <v>-</v>
          </cell>
          <cell r="P524" t="str">
            <v>NI</v>
          </cell>
          <cell r="Q524" t="str">
            <v>AKSHAY AWASTHI</v>
          </cell>
          <cell r="R524" t="str">
            <v>AKSHAY AWASTHI</v>
          </cell>
          <cell r="S524" t="str">
            <v>https://maps.app.goo.gl/UYgGVXdX2treTpeZ8</v>
          </cell>
          <cell r="T524" t="str">
            <v>-</v>
          </cell>
          <cell r="U524" t="str">
            <v>25-26</v>
          </cell>
          <cell r="V524" t="str">
            <v>Mar</v>
          </cell>
          <cell r="W524" t="str">
            <v>19-03-2026
03-03-2025</v>
          </cell>
        </row>
        <row r="525">
          <cell r="F525" t="str">
            <v>JAKA01M209</v>
          </cell>
          <cell r="G525" t="str">
            <v>MASTER LOGISTICS PTE LTD</v>
          </cell>
          <cell r="H525" t="str">
            <v>-</v>
          </cell>
          <cell r="J525" t="str">
            <v>Domestic</v>
          </cell>
          <cell r="P525" t="str">
            <v>HO</v>
          </cell>
          <cell r="Q525" t="str">
            <v>-</v>
          </cell>
        </row>
        <row r="526">
          <cell r="F526" t="str">
            <v>PATN01M102</v>
          </cell>
          <cell r="G526" t="str">
            <v>MATESHWARI PAPER MILL PVT LTD</v>
          </cell>
          <cell r="H526" t="str">
            <v>21-22</v>
          </cell>
          <cell r="I526" t="str">
            <v>-</v>
          </cell>
          <cell r="J526" t="str">
            <v>Domestic</v>
          </cell>
          <cell r="K526" t="str">
            <v>Paper</v>
          </cell>
          <cell r="L526" t="str">
            <v>Non-Sugar</v>
          </cell>
          <cell r="M526" t="str">
            <v>End User</v>
          </cell>
          <cell r="O526" t="str">
            <v>-</v>
          </cell>
          <cell r="P526" t="str">
            <v>NI</v>
          </cell>
          <cell r="Q526" t="str">
            <v>AVIRAL SHUKLA</v>
          </cell>
          <cell r="T526" t="str">
            <v>-</v>
          </cell>
          <cell r="U526" t="str">
            <v>21-22</v>
          </cell>
          <cell r="W526">
            <v>44562</v>
          </cell>
        </row>
        <row r="527">
          <cell r="F527" t="str">
            <v>SOLP01M033</v>
          </cell>
          <cell r="G527" t="str">
            <v>MATOSHRI LAXMI SUGAR CO-GENERATION INDUSTRIES LTD. (factory is closed for now)</v>
          </cell>
          <cell r="H527">
            <v>2013</v>
          </cell>
          <cell r="I527" t="str">
            <v>-</v>
          </cell>
          <cell r="J527" t="str">
            <v>Domestic</v>
          </cell>
          <cell r="K527" t="str">
            <v>Sugar</v>
          </cell>
          <cell r="L527" t="str">
            <v>Sugar</v>
          </cell>
          <cell r="M527" t="str">
            <v>End User</v>
          </cell>
          <cell r="N527" t="str">
            <v>(0-5000)</v>
          </cell>
          <cell r="O527">
            <v>3500</v>
          </cell>
          <cell r="P527" t="str">
            <v>AV</v>
          </cell>
          <cell r="Q527" t="str">
            <v>AV</v>
          </cell>
          <cell r="R527" t="str">
            <v>PD</v>
          </cell>
          <cell r="T527" t="str">
            <v>visit not required for now</v>
          </cell>
          <cell r="W527" t="str">
            <v>-</v>
          </cell>
        </row>
        <row r="528">
          <cell r="F528" t="str">
            <v>MERT01M037</v>
          </cell>
          <cell r="G528" t="str">
            <v>MAWANA SUGAR WORKS</v>
          </cell>
          <cell r="H528" t="str">
            <v>21-22</v>
          </cell>
          <cell r="I528" t="str">
            <v>-</v>
          </cell>
          <cell r="J528" t="str">
            <v>Domestic</v>
          </cell>
          <cell r="K528" t="str">
            <v>Sugar</v>
          </cell>
          <cell r="L528" t="str">
            <v>Sugar</v>
          </cell>
          <cell r="M528" t="str">
            <v>End User</v>
          </cell>
          <cell r="N528" t="str">
            <v>(9001 &amp; above)</v>
          </cell>
          <cell r="O528">
            <v>12500</v>
          </cell>
          <cell r="P528" t="str">
            <v>NI</v>
          </cell>
          <cell r="Q528" t="str">
            <v>HIMANSHU KUSHWAHA</v>
          </cell>
          <cell r="R528" t="str">
            <v>AMIT SRIVASTAVA</v>
          </cell>
          <cell r="T528" t="str">
            <v>WESTERN</v>
          </cell>
          <cell r="U528" t="str">
            <v>25-26</v>
          </cell>
          <cell r="W528" t="str">
            <v>14-10-2025
07-12-2024
26-01-2022
04-08-2021</v>
          </cell>
        </row>
        <row r="529">
          <cell r="F529" t="str">
            <v>GULB01M194</v>
          </cell>
          <cell r="G529" t="str">
            <v>MAX OVERSEAS COMPANY</v>
          </cell>
          <cell r="H529" t="str">
            <v>24-25</v>
          </cell>
          <cell r="I529" t="str">
            <v>-</v>
          </cell>
          <cell r="J529" t="str">
            <v>Domestic</v>
          </cell>
          <cell r="K529" t="str">
            <v>OTHERS</v>
          </cell>
          <cell r="L529" t="str">
            <v>Non-Sugar</v>
          </cell>
          <cell r="M529" t="str">
            <v>End User</v>
          </cell>
          <cell r="N529" t="str">
            <v>-</v>
          </cell>
          <cell r="O529" t="str">
            <v>-</v>
          </cell>
          <cell r="P529" t="str">
            <v>AV</v>
          </cell>
          <cell r="Q529" t="str">
            <v>AV</v>
          </cell>
          <cell r="R529" t="str">
            <v>VG</v>
          </cell>
          <cell r="T529" t="str">
            <v>Visit not required</v>
          </cell>
        </row>
        <row r="530">
          <cell r="F530" t="str">
            <v>MYSR01M139</v>
          </cell>
          <cell r="G530" t="str">
            <v>MCNALLY SAYAJI ENGINEERING LTD</v>
          </cell>
          <cell r="H530" t="str">
            <v>23-24</v>
          </cell>
          <cell r="I530" t="str">
            <v>-</v>
          </cell>
          <cell r="J530" t="str">
            <v>Domestic</v>
          </cell>
          <cell r="K530" t="str">
            <v>OTHERS</v>
          </cell>
          <cell r="L530" t="str">
            <v>Non-Sugar</v>
          </cell>
          <cell r="M530" t="str">
            <v>End User</v>
          </cell>
          <cell r="O530" t="str">
            <v>-</v>
          </cell>
          <cell r="P530" t="str">
            <v>NI</v>
          </cell>
          <cell r="Q530" t="str">
            <v>AVIRAL SHUKLA</v>
          </cell>
          <cell r="T530" t="str">
            <v>-</v>
          </cell>
          <cell r="U530" t="str">
            <v>-</v>
          </cell>
        </row>
        <row r="531">
          <cell r="F531" t="str">
            <v>PUNE01M102</v>
          </cell>
          <cell r="G531" t="str">
            <v>MEGA EPC PROJECTS PVT LTD</v>
          </cell>
          <cell r="H531" t="str">
            <v>22-23</v>
          </cell>
          <cell r="I531" t="str">
            <v>-</v>
          </cell>
          <cell r="J531" t="str">
            <v>Domestic</v>
          </cell>
          <cell r="K531" t="str">
            <v>Sugar</v>
          </cell>
          <cell r="L531" t="str">
            <v>Sugar</v>
          </cell>
          <cell r="M531" t="str">
            <v>OEM</v>
          </cell>
          <cell r="O531" t="str">
            <v>-</v>
          </cell>
          <cell r="P531" t="str">
            <v>NI</v>
          </cell>
          <cell r="Q531" t="str">
            <v>AKSHAY AWASTHI</v>
          </cell>
          <cell r="S531" t="str">
            <v>https://share.google/fjebPkOfL2eJLaYGA</v>
          </cell>
          <cell r="T531" t="str">
            <v>GUJARAT + PUNE</v>
          </cell>
          <cell r="U531" t="str">
            <v>25-26</v>
          </cell>
          <cell r="V531" t="str">
            <v>Mar</v>
          </cell>
          <cell r="W531" t="str">
            <v>30-03-2026
25-09-2025</v>
          </cell>
        </row>
        <row r="532">
          <cell r="F532" t="str">
            <v>NAGP01M090</v>
          </cell>
          <cell r="G532" t="str">
            <v>MEGATAJ AGROVET PVT LTD</v>
          </cell>
          <cell r="H532" t="str">
            <v>19-20</v>
          </cell>
          <cell r="I532" t="str">
            <v>-</v>
          </cell>
          <cell r="J532" t="str">
            <v>Domestic</v>
          </cell>
          <cell r="K532" t="str">
            <v>Cattlefeed</v>
          </cell>
          <cell r="L532" t="str">
            <v>Non-Sugar</v>
          </cell>
          <cell r="M532" t="str">
            <v>End User</v>
          </cell>
          <cell r="O532" t="str">
            <v>-</v>
          </cell>
          <cell r="P532" t="str">
            <v>NI</v>
          </cell>
          <cell r="Q532" t="str">
            <v>AVIRAL SHUKLA</v>
          </cell>
          <cell r="U532" t="str">
            <v>24-25</v>
          </cell>
          <cell r="W532">
            <v>45497</v>
          </cell>
        </row>
        <row r="533">
          <cell r="F533" t="str">
            <v>AHMD01M104</v>
          </cell>
          <cell r="G533" t="str">
            <v>MEGH DHANUSH ENTERPRISE</v>
          </cell>
          <cell r="H533" t="str">
            <v>22-23</v>
          </cell>
          <cell r="I533" t="str">
            <v>-</v>
          </cell>
          <cell r="J533" t="str">
            <v>Domestic</v>
          </cell>
          <cell r="K533" t="str">
            <v>Sugar</v>
          </cell>
          <cell r="L533" t="str">
            <v>Sugar</v>
          </cell>
          <cell r="M533" t="str">
            <v>Merchant Exporter</v>
          </cell>
          <cell r="O533" t="str">
            <v>-</v>
          </cell>
          <cell r="P533" t="str">
            <v>NI</v>
          </cell>
          <cell r="Q533" t="str">
            <v>AKSHAY AWASTHI</v>
          </cell>
          <cell r="S533" t="str">
            <v>NA</v>
          </cell>
          <cell r="T533" t="str">
            <v>-</v>
          </cell>
          <cell r="U533" t="str">
            <v>-</v>
          </cell>
          <cell r="W533" t="str">
            <v>no need</v>
          </cell>
        </row>
        <row r="534">
          <cell r="F534" t="str">
            <v>LUCK01M078</v>
          </cell>
          <cell r="G534" t="str">
            <v>MEGHDOOT GRAMODYOG SEWA SANSTHAN</v>
          </cell>
          <cell r="H534">
            <v>2018</v>
          </cell>
          <cell r="I534" t="str">
            <v>-</v>
          </cell>
          <cell r="J534" t="str">
            <v>Domestic</v>
          </cell>
          <cell r="K534" t="str">
            <v>OTHERS</v>
          </cell>
          <cell r="L534" t="str">
            <v>Non-Sugar</v>
          </cell>
          <cell r="M534" t="str">
            <v>End User</v>
          </cell>
          <cell r="O534" t="str">
            <v>-</v>
          </cell>
          <cell r="P534" t="str">
            <v>NI</v>
          </cell>
          <cell r="Q534" t="str">
            <v>AVIRAL SHUKLA</v>
          </cell>
          <cell r="T534" t="str">
            <v>-</v>
          </cell>
          <cell r="U534" t="str">
            <v>-</v>
          </cell>
          <cell r="W534" t="str">
            <v>-</v>
          </cell>
        </row>
        <row r="535">
          <cell r="F535" t="str">
            <v>BARW01M094</v>
          </cell>
          <cell r="G535" t="str">
            <v>MEKALSUTA SUGARS PVT LTD (Maheshwari group)</v>
          </cell>
          <cell r="H535" t="str">
            <v>20-21</v>
          </cell>
          <cell r="I535" t="str">
            <v>Maheshwari Group</v>
          </cell>
          <cell r="J535" t="str">
            <v>Domestic</v>
          </cell>
          <cell r="K535" t="str">
            <v>Sugar</v>
          </cell>
          <cell r="L535" t="str">
            <v>Sugar</v>
          </cell>
          <cell r="M535" t="str">
            <v>Group (Mills)</v>
          </cell>
          <cell r="N535" t="str">
            <v>(0-5000)</v>
          </cell>
          <cell r="O535">
            <v>3500</v>
          </cell>
          <cell r="P535" t="str">
            <v>NI</v>
          </cell>
          <cell r="Q535" t="str">
            <v>HIMANSHU KUSHWAHA</v>
          </cell>
          <cell r="S535" t="str">
            <v>https://maps.app.goo.gl/pG9EHS7tFmNzunaW6</v>
          </cell>
          <cell r="T535" t="str">
            <v>M.P.-2</v>
          </cell>
          <cell r="U535" t="str">
            <v>25-26</v>
          </cell>
          <cell r="W535" t="str">
            <v>10-1-2026
01-02-2025
10/25/2024</v>
          </cell>
        </row>
        <row r="536">
          <cell r="F536" t="str">
            <v>BAGL01M101</v>
          </cell>
          <cell r="G536" t="str">
            <v>MELLBRO SUGAR PRIVATE LIMITED</v>
          </cell>
          <cell r="H536">
            <v>2021</v>
          </cell>
          <cell r="I536" t="str">
            <v>-</v>
          </cell>
          <cell r="J536" t="str">
            <v>Domestic</v>
          </cell>
          <cell r="K536" t="str">
            <v>Sugar</v>
          </cell>
          <cell r="L536" t="str">
            <v>Sugar</v>
          </cell>
          <cell r="M536" t="str">
            <v>End User</v>
          </cell>
          <cell r="N536" t="str">
            <v>(9001 &amp; above)</v>
          </cell>
          <cell r="O536">
            <v>11000</v>
          </cell>
          <cell r="P536" t="str">
            <v>AV</v>
          </cell>
          <cell r="Q536" t="str">
            <v>AV</v>
          </cell>
          <cell r="R536" t="str">
            <v>VG</v>
          </cell>
          <cell r="S536" t="str">
            <v>https://share.google/o2cODGzHY9HMQcHsb</v>
          </cell>
          <cell r="T536" t="str">
            <v>Bagalkot - 2</v>
          </cell>
          <cell r="U536" t="str">
            <v>25-26</v>
          </cell>
          <cell r="W536" t="str">
            <v>21-06-2025
16-04-2024
30-05-2023
23-11-2022</v>
          </cell>
        </row>
        <row r="537">
          <cell r="F537" t="str">
            <v>PUNE01M010</v>
          </cell>
          <cell r="G537" t="str">
            <v>MERU INDUSTRIES LLP</v>
          </cell>
          <cell r="H537">
            <v>2013</v>
          </cell>
          <cell r="I537" t="str">
            <v>-</v>
          </cell>
          <cell r="J537" t="str">
            <v>Domestic</v>
          </cell>
          <cell r="K537" t="str">
            <v>Sugar</v>
          </cell>
          <cell r="L537" t="str">
            <v>Sugar</v>
          </cell>
          <cell r="M537" t="str">
            <v>OEM</v>
          </cell>
          <cell r="O537" t="str">
            <v>-</v>
          </cell>
          <cell r="P537" t="str">
            <v>AV</v>
          </cell>
          <cell r="Q537" t="str">
            <v>AV</v>
          </cell>
          <cell r="R537" t="str">
            <v>OEM</v>
          </cell>
          <cell r="S537" t="str">
            <v>https://maps.app.goo.gl/s2WHikMssQ2FNk787</v>
          </cell>
          <cell r="T537" t="str">
            <v>-</v>
          </cell>
          <cell r="W537" t="str">
            <v>-</v>
          </cell>
        </row>
        <row r="538">
          <cell r="F538" t="str">
            <v>SIRM01M085</v>
          </cell>
          <cell r="G538" t="str">
            <v>METRO DECORATIVE PVT LTD</v>
          </cell>
          <cell r="H538" t="str">
            <v>19-20</v>
          </cell>
          <cell r="I538" t="str">
            <v>-</v>
          </cell>
          <cell r="J538" t="str">
            <v>Domestic</v>
          </cell>
          <cell r="K538" t="str">
            <v>Adhesive</v>
          </cell>
          <cell r="L538" t="str">
            <v>Non-Sugar</v>
          </cell>
          <cell r="M538" t="str">
            <v>End User</v>
          </cell>
          <cell r="O538" t="str">
            <v>-</v>
          </cell>
          <cell r="P538" t="str">
            <v>NI</v>
          </cell>
          <cell r="Q538" t="str">
            <v>HIMANSHU KUSHWAHA</v>
          </cell>
          <cell r="T538" t="str">
            <v>-</v>
          </cell>
          <cell r="U538" t="str">
            <v>24-25</v>
          </cell>
          <cell r="W538" t="str">
            <v>05-12-2024
11-01-2024</v>
          </cell>
        </row>
        <row r="539">
          <cell r="F539" t="str">
            <v>VVIE01M043</v>
          </cell>
          <cell r="G539" t="str">
            <v>MF TRADING &amp; ENGINEERING CO LTD.</v>
          </cell>
          <cell r="H539">
            <v>2016</v>
          </cell>
          <cell r="I539" t="str">
            <v>-</v>
          </cell>
          <cell r="J539" t="str">
            <v>Export</v>
          </cell>
          <cell r="K539" t="str">
            <v>OTHERS</v>
          </cell>
          <cell r="L539" t="str">
            <v>Non-Sugar</v>
          </cell>
          <cell r="M539" t="str">
            <v>OEM</v>
          </cell>
          <cell r="O539" t="str">
            <v>-</v>
          </cell>
          <cell r="P539" t="str">
            <v>VA</v>
          </cell>
          <cell r="Q539" t="str">
            <v>VA</v>
          </cell>
          <cell r="T539" t="str">
            <v>-</v>
          </cell>
          <cell r="U539" t="str">
            <v>-</v>
          </cell>
        </row>
        <row r="540">
          <cell r="F540" t="str">
            <v>MUMB01M089</v>
          </cell>
          <cell r="G540" t="str">
            <v>MIDAS TANKERS PVT LTD</v>
          </cell>
          <cell r="H540" t="str">
            <v>20-21</v>
          </cell>
          <cell r="I540" t="str">
            <v>-</v>
          </cell>
          <cell r="J540" t="str">
            <v>Domestic</v>
          </cell>
          <cell r="K540" t="str">
            <v>OTHERS</v>
          </cell>
          <cell r="L540" t="str">
            <v>Non-Sugar</v>
          </cell>
          <cell r="M540" t="str">
            <v>Trader</v>
          </cell>
          <cell r="O540" t="str">
            <v>-</v>
          </cell>
          <cell r="P540" t="str">
            <v>NI</v>
          </cell>
          <cell r="Q540" t="str">
            <v>AVIRAL SHUKLA</v>
          </cell>
          <cell r="T540" t="str">
            <v>-</v>
          </cell>
          <cell r="U540" t="str">
            <v>-</v>
          </cell>
        </row>
        <row r="541">
          <cell r="F541" t="str">
            <v>RIYA01M079</v>
          </cell>
          <cell r="G541" t="str">
            <v>MIDDLE EAST FOOD SOLUTIONS COMPANY</v>
          </cell>
          <cell r="H541">
            <v>2018</v>
          </cell>
          <cell r="I541" t="str">
            <v>-</v>
          </cell>
          <cell r="J541" t="str">
            <v>Export</v>
          </cell>
          <cell r="K541" t="str">
            <v>Food</v>
          </cell>
          <cell r="L541" t="str">
            <v>Non-Sugar</v>
          </cell>
          <cell r="M541" t="str">
            <v>End User</v>
          </cell>
          <cell r="O541" t="str">
            <v>-</v>
          </cell>
          <cell r="P541" t="str">
            <v>MIDDLE EAST</v>
          </cell>
          <cell r="Q541" t="str">
            <v>ANTON</v>
          </cell>
          <cell r="T541" t="str">
            <v>-</v>
          </cell>
          <cell r="U541" t="str">
            <v>-</v>
          </cell>
        </row>
        <row r="542">
          <cell r="F542" t="str">
            <v>VIET01M065</v>
          </cell>
          <cell r="G542" t="str">
            <v>MK SUGAR VIETNAM COMPANY LIMITED</v>
          </cell>
          <cell r="H542">
            <v>2016</v>
          </cell>
          <cell r="I542" t="str">
            <v>-</v>
          </cell>
          <cell r="J542" t="str">
            <v>Export</v>
          </cell>
          <cell r="K542" t="str">
            <v>Sugar</v>
          </cell>
          <cell r="L542" t="str">
            <v>Sugar</v>
          </cell>
          <cell r="M542" t="str">
            <v>End User</v>
          </cell>
          <cell r="O542" t="str">
            <v>-</v>
          </cell>
          <cell r="P542" t="str">
            <v>VA</v>
          </cell>
          <cell r="Q542" t="str">
            <v>VA</v>
          </cell>
          <cell r="T542" t="str">
            <v>-</v>
          </cell>
          <cell r="U542" t="str">
            <v>-</v>
          </cell>
          <cell r="W542" t="str">
            <v>-</v>
          </cell>
        </row>
        <row r="543">
          <cell r="F543" t="str">
            <v>NAGP01M095</v>
          </cell>
          <cell r="G543" t="str">
            <v>MM ENVIRO PROJECTS PRIVATE LIMITED</v>
          </cell>
          <cell r="H543" t="str">
            <v>20-21</v>
          </cell>
          <cell r="I543" t="str">
            <v>-</v>
          </cell>
          <cell r="J543" t="str">
            <v>Domestic</v>
          </cell>
          <cell r="K543" t="str">
            <v>OTHERS</v>
          </cell>
          <cell r="L543" t="str">
            <v>Non-Sugar</v>
          </cell>
          <cell r="M543" t="str">
            <v>OEM</v>
          </cell>
          <cell r="O543" t="str">
            <v>-</v>
          </cell>
          <cell r="P543" t="str">
            <v>NI</v>
          </cell>
          <cell r="Q543" t="str">
            <v>HIMANSHU KUSHWAHA</v>
          </cell>
          <cell r="T543" t="str">
            <v>-</v>
          </cell>
          <cell r="U543" t="str">
            <v>24-25</v>
          </cell>
          <cell r="W543">
            <v>45500</v>
          </cell>
        </row>
        <row r="544">
          <cell r="F544" t="str">
            <v>PUNE01M020</v>
          </cell>
          <cell r="G544" t="str">
            <v>MODERN ENGINEERS WALCHANDNAGR</v>
          </cell>
          <cell r="H544" t="str">
            <v>-</v>
          </cell>
          <cell r="J544" t="str">
            <v>Domestic</v>
          </cell>
          <cell r="K544" t="str">
            <v>Sugar</v>
          </cell>
          <cell r="L544" t="str">
            <v>Sugar</v>
          </cell>
          <cell r="M544" t="str">
            <v>OEM</v>
          </cell>
          <cell r="O544" t="str">
            <v>-</v>
          </cell>
          <cell r="P544" t="str">
            <v>AV</v>
          </cell>
          <cell r="Q544" t="str">
            <v>AV</v>
          </cell>
          <cell r="R544" t="str">
            <v>OEM</v>
          </cell>
          <cell r="T544" t="str">
            <v>-</v>
          </cell>
          <cell r="W544" t="str">
            <v>-</v>
          </cell>
        </row>
        <row r="545">
          <cell r="F545" t="str">
            <v>MODI01M012</v>
          </cell>
          <cell r="G545" t="str">
            <v>MODI INDUSTRIES LTD.</v>
          </cell>
          <cell r="H545">
            <v>2013</v>
          </cell>
          <cell r="I545" t="str">
            <v>-</v>
          </cell>
          <cell r="J545" t="str">
            <v>Domestic</v>
          </cell>
          <cell r="K545" t="str">
            <v>Sugar</v>
          </cell>
          <cell r="L545" t="str">
            <v>Sugar</v>
          </cell>
          <cell r="M545" t="str">
            <v>End User</v>
          </cell>
          <cell r="N545" t="str">
            <v>(0-5000)</v>
          </cell>
          <cell r="O545">
            <v>5000</v>
          </cell>
          <cell r="P545" t="str">
            <v>NI</v>
          </cell>
          <cell r="Q545" t="str">
            <v>AKSHAY AWASTHI</v>
          </cell>
          <cell r="S545" t="str">
            <v>https://maps.app.goo.gl/YkfuJqgNooopRcjJ7</v>
          </cell>
          <cell r="T545" t="str">
            <v>WESTERN- 2</v>
          </cell>
          <cell r="U545" t="str">
            <v>25-26</v>
          </cell>
          <cell r="V545" t="str">
            <v>Mar</v>
          </cell>
          <cell r="W545" t="str">
            <v>23-03-2026
30-10-2025
28-06-2025
08-03-2025
21-12-2024
16-07-2024
31-05-2024
31-01-2024</v>
          </cell>
        </row>
        <row r="546">
          <cell r="F546" t="str">
            <v>BIJN01M076</v>
          </cell>
          <cell r="G546" t="str">
            <v>MOHIT PAPER MILLS LTD</v>
          </cell>
          <cell r="H546">
            <v>2017</v>
          </cell>
          <cell r="I546" t="str">
            <v>-</v>
          </cell>
          <cell r="J546" t="str">
            <v>Domestic</v>
          </cell>
          <cell r="K546" t="str">
            <v>Paper</v>
          </cell>
          <cell r="L546" t="str">
            <v>Non-Sugar</v>
          </cell>
          <cell r="M546" t="str">
            <v>End User</v>
          </cell>
          <cell r="O546">
            <v>150</v>
          </cell>
          <cell r="P546" t="str">
            <v>NI</v>
          </cell>
          <cell r="Q546" t="str">
            <v>HIMANSHU KUSHWAHA</v>
          </cell>
          <cell r="S546" t="str">
            <v>https://maps.app.goo.gl/mPCKx8kFVoD581YaA</v>
          </cell>
          <cell r="T546" t="str">
            <v>WESTREN</v>
          </cell>
          <cell r="U546" t="str">
            <v>26-27</v>
          </cell>
          <cell r="V546" t="str">
            <v>May</v>
          </cell>
          <cell r="W546" t="str">
            <v>25.05.2026
21-02-2026
23-08-2025
01-02-2025
2/16/2024</v>
          </cell>
        </row>
        <row r="547">
          <cell r="F547" t="str">
            <v>BIJN01M106</v>
          </cell>
          <cell r="G547" t="str">
            <v>MOHIT TISSUES PVT LTD</v>
          </cell>
          <cell r="H547" t="str">
            <v>22-23</v>
          </cell>
          <cell r="I547" t="str">
            <v>-</v>
          </cell>
          <cell r="J547" t="str">
            <v>Domestic</v>
          </cell>
          <cell r="K547" t="str">
            <v>OTHERS</v>
          </cell>
          <cell r="L547" t="str">
            <v>Non-Sugar</v>
          </cell>
          <cell r="M547" t="str">
            <v>End User</v>
          </cell>
          <cell r="O547" t="str">
            <v>-</v>
          </cell>
          <cell r="P547" t="str">
            <v>NI</v>
          </cell>
          <cell r="Q547" t="str">
            <v>HIMANSHU KUSHWAHA</v>
          </cell>
          <cell r="T547" t="str">
            <v>-</v>
          </cell>
          <cell r="U547" t="str">
            <v>24-25</v>
          </cell>
          <cell r="W547">
            <v>45558</v>
          </cell>
        </row>
        <row r="548">
          <cell r="F548" t="str">
            <v>MUZF01M212</v>
          </cell>
          <cell r="G548" t="str">
            <v>MOHRAJ GREENS PRIVATE LIMITED</v>
          </cell>
          <cell r="H548" t="str">
            <v>25-26</v>
          </cell>
          <cell r="I548" t="str">
            <v>-</v>
          </cell>
          <cell r="J548" t="str">
            <v>Domestic</v>
          </cell>
          <cell r="K548" t="str">
            <v>BIOGAS</v>
          </cell>
          <cell r="L548" t="str">
            <v>Non-Sugar</v>
          </cell>
          <cell r="M548" t="str">
            <v>End User</v>
          </cell>
          <cell r="P548" t="str">
            <v>WI-SV</v>
          </cell>
          <cell r="Q548" t="str">
            <v>SUDHIR</v>
          </cell>
          <cell r="U548" t="str">
            <v>25-26</v>
          </cell>
          <cell r="W548" t="str">
            <v>26-08-2025</v>
          </cell>
        </row>
        <row r="549">
          <cell r="F549" t="str">
            <v>PUNE01M013</v>
          </cell>
          <cell r="G549" t="str">
            <v>MOJJ ENGINEERING SYSTEMS LTD</v>
          </cell>
          <cell r="H549">
            <v>2015</v>
          </cell>
          <cell r="I549" t="str">
            <v>-</v>
          </cell>
          <cell r="J549" t="str">
            <v>Domestic</v>
          </cell>
          <cell r="K549" t="str">
            <v>Sugar</v>
          </cell>
          <cell r="L549" t="str">
            <v>Sugar</v>
          </cell>
          <cell r="M549" t="str">
            <v>OEM</v>
          </cell>
          <cell r="O549" t="str">
            <v>-</v>
          </cell>
          <cell r="P549" t="str">
            <v>AV</v>
          </cell>
          <cell r="Q549" t="str">
            <v>AV</v>
          </cell>
          <cell r="R549" t="str">
            <v>OEM</v>
          </cell>
          <cell r="S549" t="str">
            <v>https://maps.app.goo.gl/TexnzWiTDbZiaovv9</v>
          </cell>
          <cell r="T549" t="str">
            <v>-</v>
          </cell>
          <cell r="W549" t="str">
            <v>-</v>
          </cell>
        </row>
        <row r="550">
          <cell r="F550" t="str">
            <v>PUNE01M068</v>
          </cell>
          <cell r="G550" t="str">
            <v>MOJJ ENGINEERING SYSTEMS LTD (UNIT-2)</v>
          </cell>
          <cell r="H550" t="str">
            <v>-</v>
          </cell>
          <cell r="I550" t="str">
            <v>-</v>
          </cell>
          <cell r="J550" t="str">
            <v>Domestic</v>
          </cell>
          <cell r="K550" t="str">
            <v>Sugar</v>
          </cell>
          <cell r="L550" t="str">
            <v>Sugar</v>
          </cell>
          <cell r="M550" t="str">
            <v>OEM</v>
          </cell>
          <cell r="O550" t="str">
            <v>-</v>
          </cell>
          <cell r="P550" t="str">
            <v>AV</v>
          </cell>
          <cell r="Q550" t="str">
            <v>AV</v>
          </cell>
          <cell r="R550" t="str">
            <v>OEM</v>
          </cell>
          <cell r="T550" t="str">
            <v>-</v>
          </cell>
          <cell r="W550" t="str">
            <v>-</v>
          </cell>
        </row>
        <row r="551">
          <cell r="F551" t="str">
            <v>PUNE01M179</v>
          </cell>
          <cell r="G551" t="str">
            <v>MOJJ ENGINEERING SYSTEMS LTD (UNIT-3)</v>
          </cell>
          <cell r="H551" t="str">
            <v>24-25</v>
          </cell>
          <cell r="I551" t="str">
            <v>-</v>
          </cell>
          <cell r="J551" t="str">
            <v>Domestic</v>
          </cell>
          <cell r="K551" t="str">
            <v>Sugar</v>
          </cell>
          <cell r="L551" t="str">
            <v>Sugar</v>
          </cell>
          <cell r="M551" t="str">
            <v>OEM</v>
          </cell>
          <cell r="O551" t="str">
            <v>-</v>
          </cell>
          <cell r="P551" t="str">
            <v>AV</v>
          </cell>
          <cell r="Q551" t="str">
            <v>AV</v>
          </cell>
          <cell r="R551" t="str">
            <v>OEM</v>
          </cell>
          <cell r="T551" t="str">
            <v>-</v>
          </cell>
          <cell r="W551" t="str">
            <v>-</v>
          </cell>
        </row>
        <row r="552">
          <cell r="F552" t="str">
            <v>KISM01M214</v>
          </cell>
          <cell r="G552" t="str">
            <v>Mombasa Sugar Refinery Limited</v>
          </cell>
          <cell r="H552" t="str">
            <v>25-26</v>
          </cell>
          <cell r="I552" t="str">
            <v>-</v>
          </cell>
          <cell r="J552" t="str">
            <v>Export</v>
          </cell>
          <cell r="K552" t="str">
            <v>Sugar</v>
          </cell>
          <cell r="L552" t="str">
            <v>Sugar</v>
          </cell>
          <cell r="M552" t="str">
            <v>End User</v>
          </cell>
          <cell r="O552" t="str">
            <v>-</v>
          </cell>
          <cell r="P552" t="str">
            <v>NI</v>
          </cell>
          <cell r="Q552" t="str">
            <v>AKSHAY AWASTHI</v>
          </cell>
        </row>
        <row r="553">
          <cell r="F553" t="str">
            <v>UDAI01M163</v>
          </cell>
          <cell r="G553" t="str">
            <v>MOTHER MIND FOODS PVT LTD</v>
          </cell>
          <cell r="H553" t="str">
            <v>25-26</v>
          </cell>
          <cell r="I553" t="str">
            <v>-</v>
          </cell>
          <cell r="J553" t="str">
            <v>Domestic</v>
          </cell>
          <cell r="K553" t="str">
            <v>FOOD</v>
          </cell>
          <cell r="L553" t="str">
            <v>Non-Sugar</v>
          </cell>
          <cell r="M553" t="str">
            <v>End User</v>
          </cell>
          <cell r="O553" t="str">
            <v>-</v>
          </cell>
          <cell r="P553" t="str">
            <v>NI</v>
          </cell>
          <cell r="Q553" t="str">
            <v>AKSHAY AWASTHI</v>
          </cell>
        </row>
        <row r="554">
          <cell r="F554" t="str">
            <v>PUNE01M130</v>
          </cell>
          <cell r="G554" t="str">
            <v>MRN BHIMA SUGAR AND POWER PVT LTD (Operated Bhima SSK Ltd)</v>
          </cell>
          <cell r="H554" t="str">
            <v>22-23</v>
          </cell>
          <cell r="I554" t="str">
            <v>Nirani Group</v>
          </cell>
          <cell r="J554" t="str">
            <v>Domestic</v>
          </cell>
          <cell r="K554" t="str">
            <v>Sugar</v>
          </cell>
          <cell r="L554" t="str">
            <v>Sugar</v>
          </cell>
          <cell r="M554" t="str">
            <v>Group (Mills)</v>
          </cell>
          <cell r="N554" t="str">
            <v>(9001 &amp; above)</v>
          </cell>
          <cell r="O554">
            <v>10000</v>
          </cell>
          <cell r="P554" t="str">
            <v>AV</v>
          </cell>
          <cell r="Q554" t="str">
            <v>AV</v>
          </cell>
          <cell r="R554" t="str">
            <v>PD</v>
          </cell>
          <cell r="T554" t="str">
            <v>Pune - 1</v>
          </cell>
          <cell r="U554" t="str">
            <v>25-26</v>
          </cell>
          <cell r="W554" t="str">
            <v>25-8-2025
08-08-2023
19-04-2023</v>
          </cell>
        </row>
        <row r="555">
          <cell r="F555" t="str">
            <v>MAND01M097</v>
          </cell>
          <cell r="G555" t="str">
            <v>MRN CANE POWER AND BIOREFINERIES PVT LTD Unit 1 (THE PANDAVAPURA S.S.K. LTD.)</v>
          </cell>
          <cell r="H555">
            <v>2021</v>
          </cell>
          <cell r="I555" t="str">
            <v>Nirani Group</v>
          </cell>
          <cell r="J555" t="str">
            <v>Domestic</v>
          </cell>
          <cell r="K555" t="str">
            <v>Sugar</v>
          </cell>
          <cell r="L555" t="str">
            <v>Sugar</v>
          </cell>
          <cell r="M555" t="str">
            <v>Group (Mills)</v>
          </cell>
          <cell r="N555" t="str">
            <v>(0-5000)</v>
          </cell>
          <cell r="O555">
            <v>5000</v>
          </cell>
          <cell r="P555" t="str">
            <v>AV</v>
          </cell>
          <cell r="Q555" t="str">
            <v>AV</v>
          </cell>
          <cell r="R555" t="str">
            <v>VG</v>
          </cell>
          <cell r="S555" t="str">
            <v>https://maps.app.goo.gl/MpP16bZ8c9B8B9s17</v>
          </cell>
          <cell r="T555" t="str">
            <v>Mandya_Mysore - 1</v>
          </cell>
          <cell r="U555" t="str">
            <v>25-26</v>
          </cell>
          <cell r="W555" t="str">
            <v>7-2-2026
12/2/2024</v>
          </cell>
        </row>
        <row r="556">
          <cell r="F556" t="str">
            <v>TANZ01M108</v>
          </cell>
          <cell r="G556" t="str">
            <v>MTIBWA SUGAR ESTATES LIMITED</v>
          </cell>
          <cell r="H556" t="str">
            <v>22-23</v>
          </cell>
          <cell r="I556" t="str">
            <v>-</v>
          </cell>
          <cell r="J556" t="str">
            <v>Export</v>
          </cell>
          <cell r="K556" t="str">
            <v>Sugar</v>
          </cell>
          <cell r="L556" t="str">
            <v>Sugar</v>
          </cell>
          <cell r="M556" t="str">
            <v>End User</v>
          </cell>
          <cell r="O556" t="str">
            <v>-</v>
          </cell>
          <cell r="P556" t="str">
            <v>NI</v>
          </cell>
          <cell r="Q556" t="str">
            <v>AVIRAL SHUKLA</v>
          </cell>
          <cell r="T556" t="str">
            <v>-</v>
          </cell>
          <cell r="U556" t="str">
            <v>-</v>
          </cell>
          <cell r="W556" t="str">
            <v>-</v>
          </cell>
        </row>
        <row r="557">
          <cell r="F557" t="str">
            <v>AHMD01M014</v>
          </cell>
          <cell r="G557" t="str">
            <v>MULA SAHAKARI SAKHAR KARKHANA LIMITED</v>
          </cell>
          <cell r="H557">
            <v>2013</v>
          </cell>
          <cell r="I557" t="str">
            <v>-</v>
          </cell>
          <cell r="J557" t="str">
            <v>Domestic</v>
          </cell>
          <cell r="K557" t="str">
            <v>Sugar</v>
          </cell>
          <cell r="L557" t="str">
            <v>Sugar</v>
          </cell>
          <cell r="M557" t="str">
            <v>End User</v>
          </cell>
          <cell r="N557" t="str">
            <v>(5001-9000)</v>
          </cell>
          <cell r="O557" t="str">
            <v>8000
Distillery 110 KLPD</v>
          </cell>
          <cell r="P557" t="str">
            <v>AV</v>
          </cell>
          <cell r="Q557" t="str">
            <v>AV</v>
          </cell>
          <cell r="R557" t="str">
            <v>PD</v>
          </cell>
          <cell r="S557" t="str">
            <v>https://share.google/7UbJsjUSQxxd1Tih6</v>
          </cell>
          <cell r="T557" t="str">
            <v>Ahmednagar - 2</v>
          </cell>
          <cell r="U557" t="str">
            <v>25-26</v>
          </cell>
          <cell r="W557" t="str">
            <v>19-11-2025
2-8-23
23-06-2023</v>
          </cell>
        </row>
        <row r="558">
          <cell r="F558" t="str">
            <v>NANA01M062</v>
          </cell>
          <cell r="G558" t="str">
            <v>Mumias Sugar</v>
          </cell>
          <cell r="H558" t="str">
            <v>22-23</v>
          </cell>
          <cell r="I558" t="str">
            <v>-</v>
          </cell>
          <cell r="J558" t="str">
            <v>Export</v>
          </cell>
          <cell r="K558" t="str">
            <v>Sugar</v>
          </cell>
          <cell r="L558" t="str">
            <v>Sugar</v>
          </cell>
          <cell r="M558" t="str">
            <v>End User</v>
          </cell>
          <cell r="N558" t="str">
            <v>(5001-9000)</v>
          </cell>
          <cell r="O558">
            <v>8000</v>
          </cell>
          <cell r="P558" t="str">
            <v>NI</v>
          </cell>
          <cell r="Q558" t="str">
            <v>AKSHAY AWASTHI</v>
          </cell>
          <cell r="T558" t="str">
            <v>Kenya tour</v>
          </cell>
          <cell r="U558" t="str">
            <v>24-25</v>
          </cell>
          <cell r="W558">
            <v>45471</v>
          </cell>
        </row>
        <row r="559">
          <cell r="F559" t="str">
            <v>CHEN01M216</v>
          </cell>
          <cell r="G559" t="str">
            <v>MUNITIONS INDIA LIMITED</v>
          </cell>
          <cell r="H559" t="str">
            <v>-</v>
          </cell>
          <cell r="J559" t="str">
            <v>Domestic</v>
          </cell>
          <cell r="P559" t="str">
            <v>SI-SIVA</v>
          </cell>
          <cell r="Q559" t="str">
            <v>M SIVA</v>
          </cell>
        </row>
        <row r="560">
          <cell r="F560" t="str">
            <v>UGAN01M071</v>
          </cell>
          <cell r="G560" t="str">
            <v>MUZURI INTERNATIONAL U LTD</v>
          </cell>
          <cell r="H560">
            <v>2017</v>
          </cell>
          <cell r="I560" t="str">
            <v>-</v>
          </cell>
          <cell r="J560" t="str">
            <v>Export</v>
          </cell>
          <cell r="K560" t="str">
            <v>OTHERS</v>
          </cell>
          <cell r="L560" t="str">
            <v>Non-Sugar</v>
          </cell>
          <cell r="M560" t="str">
            <v>OEM</v>
          </cell>
          <cell r="O560" t="str">
            <v>-</v>
          </cell>
          <cell r="P560" t="str">
            <v>VA</v>
          </cell>
          <cell r="Q560" t="str">
            <v>VA</v>
          </cell>
          <cell r="T560" t="str">
            <v>-</v>
          </cell>
          <cell r="U560" t="str">
            <v>-</v>
          </cell>
        </row>
        <row r="561">
          <cell r="F561" t="str">
            <v>BELL01M081</v>
          </cell>
          <cell r="G561" t="str">
            <v>MYLAR SUGAR LIMITED</v>
          </cell>
          <cell r="H561">
            <v>2018</v>
          </cell>
          <cell r="I561" t="str">
            <v>-</v>
          </cell>
          <cell r="J561" t="str">
            <v>Domestic</v>
          </cell>
          <cell r="K561" t="str">
            <v>Sugar</v>
          </cell>
          <cell r="L561" t="str">
            <v>Sugar</v>
          </cell>
          <cell r="M561" t="str">
            <v>End User</v>
          </cell>
          <cell r="N561" t="str">
            <v>(0-5000)</v>
          </cell>
          <cell r="O561">
            <v>5000</v>
          </cell>
          <cell r="P561" t="str">
            <v>MRK</v>
          </cell>
          <cell r="Q561" t="str">
            <v>MRK</v>
          </cell>
          <cell r="R561" t="str">
            <v>VG</v>
          </cell>
          <cell r="S561" t="str">
            <v>https://maps.app.goo.gl/tcGW1qVPecEkqjyx5</v>
          </cell>
          <cell r="T561" t="str">
            <v>Bellary_Bidar - 1</v>
          </cell>
          <cell r="U561" t="str">
            <v>26-27</v>
          </cell>
          <cell r="V561" t="str">
            <v>May</v>
          </cell>
          <cell r="W561" t="str">
            <v>14-05-2026
30-04-2024
01-06-2023
03-03-2023
28-11-2022</v>
          </cell>
        </row>
        <row r="562">
          <cell r="F562" t="str">
            <v>AHME01M202</v>
          </cell>
          <cell r="G562" t="str">
            <v>MYMIX BUILDPRO PRIVATE LIMITED -CELLUTECH</v>
          </cell>
          <cell r="H562" t="str">
            <v>24-25</v>
          </cell>
          <cell r="I562" t="str">
            <v>-</v>
          </cell>
          <cell r="J562" t="str">
            <v>Domestic</v>
          </cell>
          <cell r="K562" t="str">
            <v>pharma</v>
          </cell>
          <cell r="L562" t="str">
            <v>Non-Sugar</v>
          </cell>
          <cell r="M562" t="str">
            <v>End User</v>
          </cell>
          <cell r="O562" t="str">
            <v>-</v>
          </cell>
          <cell r="P562" t="str">
            <v>NI</v>
          </cell>
          <cell r="Q562" t="str">
            <v>AKSHAY AWASTHI</v>
          </cell>
          <cell r="S562" t="str">
            <v>https://share.google/OyErcRPwUlwLs98aE</v>
          </cell>
          <cell r="U562" t="str">
            <v>25-26</v>
          </cell>
          <cell r="W562" t="str">
            <v>16-04-2025</v>
          </cell>
        </row>
        <row r="563">
          <cell r="F563" t="str">
            <v>SANG01N179</v>
          </cell>
          <cell r="G563" t="str">
            <v>N D PATIL SUGAR LTD</v>
          </cell>
          <cell r="H563" t="str">
            <v>-</v>
          </cell>
          <cell r="I563" t="str">
            <v>-</v>
          </cell>
          <cell r="J563" t="str">
            <v>Domestic</v>
          </cell>
          <cell r="K563" t="str">
            <v>Sugar</v>
          </cell>
          <cell r="L563" t="str">
            <v>Sugar</v>
          </cell>
          <cell r="M563" t="str">
            <v>End User</v>
          </cell>
          <cell r="N563" t="str">
            <v>(0-5000)</v>
          </cell>
          <cell r="O563">
            <v>2000</v>
          </cell>
          <cell r="P563" t="str">
            <v>AV</v>
          </cell>
          <cell r="Q563" t="str">
            <v>AV</v>
          </cell>
          <cell r="R563" t="str">
            <v>VG</v>
          </cell>
          <cell r="S563" t="str">
            <v>https://maps.app.goo.gl/tqPKjZ4Yy6b4NXRA8</v>
          </cell>
          <cell r="T563" t="str">
            <v>Sangli - 1</v>
          </cell>
          <cell r="U563" t="str">
            <v>26-27</v>
          </cell>
          <cell r="V563" t="str">
            <v>May</v>
          </cell>
          <cell r="W563" t="str">
            <v>23.05.2026
31-05-2025
19/02/2025</v>
          </cell>
        </row>
        <row r="564">
          <cell r="F564" t="str">
            <v>BETU01N082</v>
          </cell>
          <cell r="G564" t="str">
            <v>N PUNJAB SUGARS PVT LTD</v>
          </cell>
          <cell r="H564" t="str">
            <v>20-21</v>
          </cell>
          <cell r="I564" t="str">
            <v>-</v>
          </cell>
          <cell r="J564" t="str">
            <v>Domestic</v>
          </cell>
          <cell r="K564" t="str">
            <v>Sugar</v>
          </cell>
          <cell r="L564" t="str">
            <v>Sugar</v>
          </cell>
          <cell r="M564" t="str">
            <v>End User</v>
          </cell>
          <cell r="N564" t="str">
            <v>(0-5000)</v>
          </cell>
          <cell r="O564">
            <v>3000</v>
          </cell>
          <cell r="P564" t="str">
            <v>NI</v>
          </cell>
          <cell r="Q564" t="str">
            <v>HIMANSHU KUSHWAHA</v>
          </cell>
          <cell r="S564" t="str">
            <v>https://maps.app.goo.gl/5JrC5C1qsUfAm5KcA</v>
          </cell>
          <cell r="T564" t="str">
            <v>MP</v>
          </cell>
          <cell r="U564" t="str">
            <v>25-26</v>
          </cell>
          <cell r="W564" t="str">
            <v>15-1-2026
13-05-2025
02-06-2024
29-02-2024
23-01-2022</v>
          </cell>
        </row>
        <row r="565">
          <cell r="F565" t="str">
            <v>AHMD01N042</v>
          </cell>
          <cell r="G565" t="str">
            <v>N.R. FABRICATORS &amp; ERECTORS</v>
          </cell>
          <cell r="H565">
            <v>2013</v>
          </cell>
          <cell r="I565" t="str">
            <v>-</v>
          </cell>
          <cell r="J565" t="str">
            <v>Domestic</v>
          </cell>
          <cell r="K565" t="str">
            <v>Sugar</v>
          </cell>
          <cell r="L565" t="str">
            <v>Sugar</v>
          </cell>
          <cell r="M565" t="str">
            <v>Trader</v>
          </cell>
          <cell r="O565" t="str">
            <v>-</v>
          </cell>
          <cell r="P565" t="str">
            <v>AV</v>
          </cell>
          <cell r="Q565" t="str">
            <v>AV</v>
          </cell>
          <cell r="R565" t="str">
            <v>OEM</v>
          </cell>
          <cell r="S565" t="str">
            <v>https://share.google/3KfzxNuSc1Z0sk2mz</v>
          </cell>
          <cell r="T565" t="str">
            <v>-</v>
          </cell>
          <cell r="U565" t="str">
            <v>26-27</v>
          </cell>
          <cell r="V565" t="str">
            <v>May</v>
          </cell>
          <cell r="W565" t="str">
            <v>28.05.26</v>
          </cell>
        </row>
        <row r="566">
          <cell r="F566" t="str">
            <v>VISA01N174</v>
          </cell>
          <cell r="G566" t="str">
            <v>NAAZ ENGINEERS AND CONTRACTOR</v>
          </cell>
          <cell r="H566" t="str">
            <v>-</v>
          </cell>
          <cell r="J566" t="str">
            <v>Domestic</v>
          </cell>
          <cell r="P566" t="str">
            <v>-</v>
          </cell>
          <cell r="Q566" t="str">
            <v>-</v>
          </cell>
        </row>
        <row r="567">
          <cell r="F567" t="str">
            <v>MALE01N039</v>
          </cell>
          <cell r="G567" t="str">
            <v>NABHA PAPER MILLS PVT. LTD.</v>
          </cell>
          <cell r="H567">
            <v>2013</v>
          </cell>
          <cell r="I567" t="str">
            <v>-</v>
          </cell>
          <cell r="J567" t="str">
            <v>Domestic</v>
          </cell>
          <cell r="K567" t="str">
            <v>Paper</v>
          </cell>
          <cell r="L567" t="str">
            <v>Non-Sugar</v>
          </cell>
          <cell r="M567" t="str">
            <v>End User</v>
          </cell>
          <cell r="O567" t="str">
            <v>100/TPD</v>
          </cell>
          <cell r="P567" t="str">
            <v>NI</v>
          </cell>
          <cell r="Q567" t="str">
            <v>AVIRAL SHUKLA</v>
          </cell>
          <cell r="T567" t="str">
            <v>-</v>
          </cell>
          <cell r="U567" t="str">
            <v>24-25</v>
          </cell>
          <cell r="W567">
            <v>45561</v>
          </cell>
        </row>
        <row r="568">
          <cell r="F568" t="str">
            <v>FATE01N004</v>
          </cell>
          <cell r="G568" t="str">
            <v>NAHAR INDUSTRIAL ENTERPRISES LTD.</v>
          </cell>
          <cell r="H568">
            <v>2013</v>
          </cell>
          <cell r="I568" t="str">
            <v>-</v>
          </cell>
          <cell r="J568" t="str">
            <v>Domestic</v>
          </cell>
          <cell r="K568" t="str">
            <v>Sugar</v>
          </cell>
          <cell r="L568" t="str">
            <v>Sugar</v>
          </cell>
          <cell r="M568" t="str">
            <v>End User</v>
          </cell>
          <cell r="N568" t="str">
            <v>(0-5000)</v>
          </cell>
          <cell r="O568">
            <v>4000</v>
          </cell>
          <cell r="P568" t="str">
            <v>NI</v>
          </cell>
          <cell r="Q568" t="str">
            <v>AKSHAY AWASTHI</v>
          </cell>
          <cell r="T568" t="str">
            <v>-</v>
          </cell>
          <cell r="U568" t="str">
            <v>21-22</v>
          </cell>
          <cell r="W568">
            <v>44294</v>
          </cell>
        </row>
        <row r="569">
          <cell r="F569" t="str">
            <v>KAKA01N146</v>
          </cell>
          <cell r="G569" t="str">
            <v>NAITIRI PAPER</v>
          </cell>
          <cell r="H569" t="str">
            <v>17-18</v>
          </cell>
          <cell r="I569" t="str">
            <v>-</v>
          </cell>
          <cell r="J569" t="str">
            <v>Export</v>
          </cell>
          <cell r="K569" t="str">
            <v>Paper</v>
          </cell>
          <cell r="L569" t="str">
            <v>Non-Sugar</v>
          </cell>
          <cell r="M569" t="str">
            <v>End User</v>
          </cell>
          <cell r="O569">
            <v>6000</v>
          </cell>
          <cell r="P569" t="str">
            <v>NI</v>
          </cell>
          <cell r="Q569" t="str">
            <v>AKSHAY AWASTHI</v>
          </cell>
          <cell r="T569" t="str">
            <v>Kenya tour</v>
          </cell>
          <cell r="U569" t="str">
            <v>24-25</v>
          </cell>
          <cell r="W569">
            <v>45474</v>
          </cell>
        </row>
        <row r="570">
          <cell r="F570" t="str">
            <v>JAKA01N171</v>
          </cell>
          <cell r="G570" t="str">
            <v>NAMANDLA</v>
          </cell>
          <cell r="H570" t="str">
            <v>-</v>
          </cell>
          <cell r="J570" t="str">
            <v>Domestic</v>
          </cell>
          <cell r="P570" t="str">
            <v>HO</v>
          </cell>
          <cell r="Q570" t="str">
            <v>-</v>
          </cell>
        </row>
        <row r="571">
          <cell r="F571" t="str">
            <v>NAMD01N170</v>
          </cell>
          <cell r="G571" t="str">
            <v>NAMANDLA AFRICA</v>
          </cell>
          <cell r="H571" t="str">
            <v>-</v>
          </cell>
          <cell r="J571" t="str">
            <v>Export</v>
          </cell>
          <cell r="P571" t="str">
            <v>HO</v>
          </cell>
          <cell r="Q571" t="str">
            <v>-</v>
          </cell>
        </row>
        <row r="572">
          <cell r="F572" t="str">
            <v>MERT01N005</v>
          </cell>
          <cell r="G572" t="str">
            <v>NANGLAMAL SUGAR COMPLEX (Unit of Mawana Sugars)</v>
          </cell>
          <cell r="H572">
            <v>2013</v>
          </cell>
          <cell r="I572" t="str">
            <v>-</v>
          </cell>
          <cell r="J572" t="str">
            <v>Domestic</v>
          </cell>
          <cell r="K572" t="str">
            <v>Sugar</v>
          </cell>
          <cell r="L572" t="str">
            <v>Sugar</v>
          </cell>
          <cell r="M572" t="str">
            <v>End User</v>
          </cell>
          <cell r="N572" t="str">
            <v>(5001-9000)</v>
          </cell>
          <cell r="O572">
            <v>6000</v>
          </cell>
          <cell r="P572" t="str">
            <v>NI</v>
          </cell>
          <cell r="Q572" t="str">
            <v>AKSHAY AWASTHI</v>
          </cell>
          <cell r="S572" t="str">
            <v>https://maps.app.goo.gl/gERUtRhgJLMsV2SP8</v>
          </cell>
          <cell r="T572" t="str">
            <v>WESTERN- 3</v>
          </cell>
          <cell r="U572" t="str">
            <v>25-26</v>
          </cell>
          <cell r="V572" t="str">
            <v>Mar</v>
          </cell>
          <cell r="W572" t="str">
            <v>21-03-2026
07-03-2025
20-07-2024
03-12-2022
03-08-2021</v>
          </cell>
        </row>
        <row r="573">
          <cell r="F573" t="str">
            <v>AMBA01N006</v>
          </cell>
          <cell r="G573" t="str">
            <v>NARAINGARH SUGAR MILLS LTD</v>
          </cell>
          <cell r="H573">
            <v>2013</v>
          </cell>
          <cell r="I573" t="str">
            <v>-</v>
          </cell>
          <cell r="J573" t="str">
            <v>Domestic</v>
          </cell>
          <cell r="K573" t="str">
            <v>Sugar</v>
          </cell>
          <cell r="L573" t="str">
            <v>Sugar</v>
          </cell>
          <cell r="M573" t="str">
            <v>End User</v>
          </cell>
          <cell r="N573" t="str">
            <v>(0-5000)</v>
          </cell>
          <cell r="O573">
            <v>4000</v>
          </cell>
          <cell r="P573" t="str">
            <v>NI</v>
          </cell>
          <cell r="Q573" t="str">
            <v>HIMANSHU KUSHWAHA</v>
          </cell>
          <cell r="R573" t="str">
            <v>HIMANSHU KUSHWAHA</v>
          </cell>
          <cell r="S573" t="str">
            <v>https://maps.app.goo.gl/og7kiqpyLb154mDp8</v>
          </cell>
          <cell r="T573" t="str">
            <v>-</v>
          </cell>
          <cell r="U573" t="str">
            <v>26-27</v>
          </cell>
          <cell r="V573" t="str">
            <v>Mar</v>
          </cell>
          <cell r="W573" t="str">
            <v>16-03-2026
05-12-2024
11-01-2024</v>
          </cell>
        </row>
        <row r="574">
          <cell r="F574" t="str">
            <v>NAVS01N055</v>
          </cell>
          <cell r="G574" t="str">
            <v>NARAN LALA PVT LTD.</v>
          </cell>
          <cell r="H574" t="str">
            <v>18-19</v>
          </cell>
          <cell r="I574" t="str">
            <v>-</v>
          </cell>
          <cell r="J574" t="str">
            <v>Domestic</v>
          </cell>
          <cell r="K574" t="str">
            <v>Sugar</v>
          </cell>
          <cell r="L574" t="str">
            <v>Sugar</v>
          </cell>
          <cell r="M574" t="str">
            <v>OEM</v>
          </cell>
          <cell r="O574" t="str">
            <v>-</v>
          </cell>
          <cell r="P574" t="str">
            <v>NI</v>
          </cell>
          <cell r="Q574" t="str">
            <v>AKSHAY AWASTHI</v>
          </cell>
          <cell r="T574" t="str">
            <v>-</v>
          </cell>
          <cell r="U574" t="str">
            <v>25-26</v>
          </cell>
          <cell r="V574" t="str">
            <v>Nov</v>
          </cell>
          <cell r="W574" t="str">
            <v>19-11-2025
09-04-2024</v>
          </cell>
        </row>
        <row r="575">
          <cell r="F575" t="str">
            <v>HOSN01N027</v>
          </cell>
          <cell r="G575" t="str">
            <v>NARMADA SUGARS PVT. LTD. (Maheshwari group)</v>
          </cell>
          <cell r="H575">
            <v>2015</v>
          </cell>
          <cell r="I575" t="str">
            <v>Maheshwari Group</v>
          </cell>
          <cell r="J575" t="str">
            <v>Domestic</v>
          </cell>
          <cell r="K575" t="str">
            <v>Sugar</v>
          </cell>
          <cell r="L575" t="str">
            <v>Sugar</v>
          </cell>
          <cell r="M575" t="str">
            <v>Group (Mills)</v>
          </cell>
          <cell r="N575" t="str">
            <v>(5001-9000)</v>
          </cell>
          <cell r="O575">
            <v>8000</v>
          </cell>
          <cell r="P575" t="str">
            <v>NI</v>
          </cell>
          <cell r="Q575" t="str">
            <v>AVIRAL SHUKLA</v>
          </cell>
          <cell r="S575" t="str">
            <v>https://maps.app.goo.gl/EkwuAHC8XLBtbZMS6</v>
          </cell>
          <cell r="T575" t="str">
            <v>M.P.-1</v>
          </cell>
          <cell r="U575" t="str">
            <v>25-26</v>
          </cell>
          <cell r="V575" t="str">
            <v>Mar</v>
          </cell>
          <cell r="W575" t="str">
            <v>19-03-2026
16-09-2025
05-03-2025
20-12-2024
19-07-2024
17-04-2024
29-02-2024</v>
          </cell>
        </row>
        <row r="576">
          <cell r="F576" t="str">
            <v>FAZI01N105</v>
          </cell>
          <cell r="G576" t="str">
            <v>NASA AGRO INDUSTRIES PVT LTD</v>
          </cell>
          <cell r="H576" t="str">
            <v>22-23</v>
          </cell>
          <cell r="I576" t="str">
            <v>-</v>
          </cell>
          <cell r="J576" t="str">
            <v>Domestic</v>
          </cell>
          <cell r="K576" t="str">
            <v>OTHERS</v>
          </cell>
          <cell r="L576" t="str">
            <v>Non-Sugar</v>
          </cell>
          <cell r="M576" t="str">
            <v>End User</v>
          </cell>
          <cell r="O576" t="str">
            <v>-</v>
          </cell>
          <cell r="P576" t="str">
            <v>NI</v>
          </cell>
          <cell r="Q576" t="str">
            <v>AVIRAL SHUKLA</v>
          </cell>
          <cell r="T576" t="str">
            <v>-</v>
          </cell>
          <cell r="U576" t="str">
            <v>-</v>
          </cell>
        </row>
        <row r="577">
          <cell r="F577" t="str">
            <v>ANGU01N041</v>
          </cell>
          <cell r="G577" t="str">
            <v>NATIONAL ALUMINIUM COMPANY LIMITED</v>
          </cell>
          <cell r="H577">
            <v>2015</v>
          </cell>
          <cell r="I577" t="str">
            <v>-</v>
          </cell>
          <cell r="J577" t="str">
            <v>Domestic</v>
          </cell>
          <cell r="K577" t="str">
            <v>OTHERS</v>
          </cell>
          <cell r="L577" t="str">
            <v>Non-Sugar</v>
          </cell>
          <cell r="M577" t="str">
            <v>End User</v>
          </cell>
          <cell r="O577" t="str">
            <v>-</v>
          </cell>
          <cell r="P577" t="str">
            <v>VA</v>
          </cell>
          <cell r="Q577" t="str">
            <v>VA</v>
          </cell>
          <cell r="S577" t="str">
            <v>https://share.google/hEdKots3b24iTtTIb</v>
          </cell>
          <cell r="T577" t="str">
            <v>-</v>
          </cell>
          <cell r="U577" t="str">
            <v>-</v>
          </cell>
        </row>
        <row r="578">
          <cell r="F578" t="str">
            <v>DUBA01N181</v>
          </cell>
          <cell r="G578" t="str">
            <v>NATIONAL ENVIRONMENTAL PRESERVATION CO.</v>
          </cell>
          <cell r="H578" t="str">
            <v>-</v>
          </cell>
          <cell r="J578" t="str">
            <v>Domestic</v>
          </cell>
          <cell r="P578" t="str">
            <v>VA</v>
          </cell>
          <cell r="Q578" t="str">
            <v>-</v>
          </cell>
        </row>
        <row r="579">
          <cell r="F579" t="str">
            <v>KANP01N077</v>
          </cell>
          <cell r="G579" t="str">
            <v>NATIONAL SUGAR INSTITUTE</v>
          </cell>
          <cell r="H579">
            <v>2017</v>
          </cell>
          <cell r="I579" t="str">
            <v>-</v>
          </cell>
          <cell r="J579" t="str">
            <v>Domestic</v>
          </cell>
          <cell r="K579" t="str">
            <v>Sugar</v>
          </cell>
          <cell r="L579" t="str">
            <v>Sugar</v>
          </cell>
          <cell r="M579" t="str">
            <v>Head Office</v>
          </cell>
          <cell r="O579" t="str">
            <v>-</v>
          </cell>
          <cell r="P579" t="str">
            <v>NI</v>
          </cell>
          <cell r="Q579" t="str">
            <v>AVIRAL SHUKLA</v>
          </cell>
          <cell r="T579" t="str">
            <v>-</v>
          </cell>
          <cell r="U579" t="str">
            <v>-</v>
          </cell>
          <cell r="W579" t="str">
            <v>-</v>
          </cell>
        </row>
        <row r="580">
          <cell r="F580" t="str">
            <v>NAGP01N028</v>
          </cell>
          <cell r="G580" t="str">
            <v>NATURAL GROWERS PVT. LTD.</v>
          </cell>
          <cell r="H580">
            <v>2013</v>
          </cell>
          <cell r="I580" t="str">
            <v>-</v>
          </cell>
          <cell r="J580" t="str">
            <v>Domestic</v>
          </cell>
          <cell r="K580" t="str">
            <v>Sugar</v>
          </cell>
          <cell r="L580" t="str">
            <v>Sugar</v>
          </cell>
          <cell r="M580" t="str">
            <v>End User</v>
          </cell>
          <cell r="N580" t="str">
            <v>(0-5000)</v>
          </cell>
          <cell r="O580">
            <v>600</v>
          </cell>
          <cell r="P580" t="str">
            <v>AV</v>
          </cell>
          <cell r="Q580" t="str">
            <v>AV</v>
          </cell>
          <cell r="R580" t="str">
            <v>PD</v>
          </cell>
          <cell r="T580" t="str">
            <v>Nagpur - 1</v>
          </cell>
          <cell r="U580" t="str">
            <v>24-25</v>
          </cell>
          <cell r="W580">
            <v>45470</v>
          </cell>
        </row>
        <row r="581">
          <cell r="F581" t="str">
            <v>OSMA01N031</v>
          </cell>
          <cell r="G581" t="str">
            <v>NATURAL SUGAR AND ALLIED INDUSTRIES LTD.</v>
          </cell>
          <cell r="H581">
            <v>2013</v>
          </cell>
          <cell r="I581" t="str">
            <v>-</v>
          </cell>
          <cell r="J581" t="str">
            <v>Domestic</v>
          </cell>
          <cell r="K581" t="str">
            <v>Sugar</v>
          </cell>
          <cell r="L581" t="str">
            <v>Sugar</v>
          </cell>
          <cell r="M581" t="str">
            <v>End User</v>
          </cell>
          <cell r="N581" t="str">
            <v>(0-5000)</v>
          </cell>
          <cell r="O581">
            <v>5000</v>
          </cell>
          <cell r="P581" t="str">
            <v>AV</v>
          </cell>
          <cell r="Q581" t="str">
            <v>AV</v>
          </cell>
          <cell r="R581" t="str">
            <v>PD</v>
          </cell>
          <cell r="T581" t="str">
            <v>Dharashiv - 2</v>
          </cell>
          <cell r="U581" t="str">
            <v>25-26</v>
          </cell>
          <cell r="W581" t="str">
            <v>6-2-2026
4/17/2024</v>
          </cell>
        </row>
        <row r="582">
          <cell r="F582" t="str">
            <v>KHAN01N009</v>
          </cell>
          <cell r="G582" t="str">
            <v>NAVALSINGH SAHAKARI SHAKKAR - KARKHANA MARYADIT</v>
          </cell>
          <cell r="H582">
            <v>2013</v>
          </cell>
          <cell r="I582" t="str">
            <v>-</v>
          </cell>
          <cell r="J582" t="str">
            <v>Domestic</v>
          </cell>
          <cell r="K582" t="str">
            <v>Sugar</v>
          </cell>
          <cell r="L582" t="str">
            <v>Sugar</v>
          </cell>
          <cell r="M582" t="str">
            <v>End User</v>
          </cell>
          <cell r="N582" t="str">
            <v>(0-5000)</v>
          </cell>
          <cell r="O582">
            <v>2500</v>
          </cell>
          <cell r="P582" t="str">
            <v>NI</v>
          </cell>
          <cell r="Q582" t="str">
            <v>HIMANSHU KUSHWAHA</v>
          </cell>
          <cell r="T582" t="str">
            <v>-</v>
          </cell>
          <cell r="U582" t="str">
            <v>24-25</v>
          </cell>
          <cell r="W582">
            <v>45591</v>
          </cell>
        </row>
        <row r="583">
          <cell r="F583" t="str">
            <v>BAGL01N087</v>
          </cell>
          <cell r="G583" t="str">
            <v>NAVAYUGA ENGINEERING COMPANY LTD</v>
          </cell>
          <cell r="H583" t="str">
            <v>22-23</v>
          </cell>
          <cell r="I583" t="str">
            <v>-</v>
          </cell>
          <cell r="J583" t="str">
            <v>Domestic</v>
          </cell>
          <cell r="K583" t="str">
            <v>OTHERS</v>
          </cell>
          <cell r="L583" t="str">
            <v>Non-Sugar</v>
          </cell>
          <cell r="M583" t="str">
            <v>OEM</v>
          </cell>
          <cell r="O583" t="str">
            <v>-</v>
          </cell>
          <cell r="P583" t="str">
            <v>NI</v>
          </cell>
          <cell r="Q583" t="str">
            <v>AVIRAL SHUKLA</v>
          </cell>
          <cell r="S583" t="str">
            <v>https://maps.app.goo.gl/jZpYP4NH7WsT1f568</v>
          </cell>
          <cell r="T583" t="str">
            <v>-</v>
          </cell>
          <cell r="U583" t="str">
            <v>-</v>
          </cell>
          <cell r="W583" t="str">
            <v>-</v>
          </cell>
        </row>
        <row r="584">
          <cell r="F584" t="str">
            <v>NAGP01N032</v>
          </cell>
          <cell r="G584" t="str">
            <v>NB ENTREPRENEURS</v>
          </cell>
          <cell r="H584">
            <v>2018</v>
          </cell>
          <cell r="I584" t="str">
            <v>-</v>
          </cell>
          <cell r="J584" t="str">
            <v>Domestic</v>
          </cell>
          <cell r="K584" t="str">
            <v>OTHERS</v>
          </cell>
          <cell r="L584" t="str">
            <v>Non-Sugar</v>
          </cell>
          <cell r="M584" t="str">
            <v>End User</v>
          </cell>
          <cell r="O584" t="str">
            <v>-</v>
          </cell>
          <cell r="P584" t="str">
            <v>NI</v>
          </cell>
          <cell r="Q584" t="str">
            <v>AVIRAL SHUKLA</v>
          </cell>
          <cell r="T584" t="str">
            <v>-</v>
          </cell>
          <cell r="U584" t="str">
            <v>24-25</v>
          </cell>
          <cell r="W584">
            <v>45497</v>
          </cell>
        </row>
        <row r="585">
          <cell r="F585" t="str">
            <v>NAGP01N094</v>
          </cell>
          <cell r="G585" t="str">
            <v>NB LABORATORIES PVT LTD</v>
          </cell>
          <cell r="H585" t="str">
            <v>21-22</v>
          </cell>
          <cell r="I585" t="str">
            <v>-</v>
          </cell>
          <cell r="J585" t="str">
            <v>Domestic</v>
          </cell>
          <cell r="K585" t="str">
            <v>OTHERS</v>
          </cell>
          <cell r="L585" t="str">
            <v>Non-Sugar</v>
          </cell>
          <cell r="M585" t="str">
            <v>End User</v>
          </cell>
          <cell r="O585" t="str">
            <v>-</v>
          </cell>
          <cell r="P585" t="str">
            <v>NI</v>
          </cell>
          <cell r="Q585" t="str">
            <v>AVIRAL SHUKLA</v>
          </cell>
          <cell r="T585" t="str">
            <v>-</v>
          </cell>
          <cell r="U585" t="str">
            <v>-</v>
          </cell>
          <cell r="W585" t="str">
            <v>-</v>
          </cell>
        </row>
        <row r="586">
          <cell r="F586" t="str">
            <v>GUJA01N103</v>
          </cell>
          <cell r="G586" t="str">
            <v>NEOTECH PROJECTS PVT LTD</v>
          </cell>
          <cell r="H586" t="str">
            <v>25-26</v>
          </cell>
          <cell r="I586" t="str">
            <v>-</v>
          </cell>
          <cell r="J586" t="str">
            <v>Domestic</v>
          </cell>
          <cell r="K586" t="str">
            <v>FEED</v>
          </cell>
          <cell r="L586" t="str">
            <v>Non-Sugar</v>
          </cell>
          <cell r="M586" t="str">
            <v>End User</v>
          </cell>
          <cell r="O586" t="str">
            <v>-</v>
          </cell>
          <cell r="P586" t="str">
            <v>NI</v>
          </cell>
          <cell r="Q586" t="str">
            <v>AVIRAL SHUKLA</v>
          </cell>
          <cell r="T586" t="str">
            <v>-</v>
          </cell>
          <cell r="U586" t="str">
            <v>-</v>
          </cell>
          <cell r="W586" t="str">
            <v>-</v>
          </cell>
        </row>
        <row r="587">
          <cell r="F587" t="str">
            <v>NODA01N172</v>
          </cell>
          <cell r="G587" t="str">
            <v>NETXEROC PRIVATE LIMITED</v>
          </cell>
          <cell r="H587" t="str">
            <v>-</v>
          </cell>
          <cell r="J587" t="str">
            <v>Domestic</v>
          </cell>
          <cell r="P587" t="str">
            <v>HO</v>
          </cell>
          <cell r="Q587" t="str">
            <v>-</v>
          </cell>
          <cell r="S587" t="str">
            <v>https://maps.app.goo.gl/EZTh8mGfqe2knoM8A</v>
          </cell>
          <cell r="U587" t="str">
            <v>26-27</v>
          </cell>
          <cell r="V587" t="str">
            <v>May</v>
          </cell>
          <cell r="W587" t="str">
            <v>20-05-26</v>
          </cell>
        </row>
        <row r="588">
          <cell r="F588" t="str">
            <v>GWAL01N162</v>
          </cell>
          <cell r="G588" t="str">
            <v>NEWRYAN GLOBAL PRIVATE LIMITED</v>
          </cell>
          <cell r="H588" t="str">
            <v>25-26</v>
          </cell>
          <cell r="I588" t="str">
            <v>-</v>
          </cell>
          <cell r="J588" t="str">
            <v>Domestic</v>
          </cell>
          <cell r="K588" t="str">
            <v>OTHERS</v>
          </cell>
          <cell r="L588" t="str">
            <v>Non-Sugar</v>
          </cell>
          <cell r="M588" t="str">
            <v>End User</v>
          </cell>
          <cell r="O588" t="str">
            <v>-</v>
          </cell>
          <cell r="P588" t="str">
            <v>NI</v>
          </cell>
          <cell r="Q588" t="str">
            <v>AVIRAL SHUKLA</v>
          </cell>
        </row>
        <row r="589">
          <cell r="F589" t="str">
            <v>VIET01N025</v>
          </cell>
          <cell r="G589" t="str">
            <v>NGHE AN SUGAR LIMITED LIABILITY COMPANY</v>
          </cell>
          <cell r="H589">
            <v>2015</v>
          </cell>
          <cell r="I589" t="str">
            <v>-</v>
          </cell>
          <cell r="J589" t="str">
            <v>Export</v>
          </cell>
          <cell r="K589" t="str">
            <v>Sugar</v>
          </cell>
          <cell r="L589" t="str">
            <v>Sugar</v>
          </cell>
          <cell r="M589" t="str">
            <v>End User</v>
          </cell>
          <cell r="O589" t="str">
            <v>-</v>
          </cell>
          <cell r="P589" t="str">
            <v>VA</v>
          </cell>
          <cell r="Q589" t="str">
            <v>VA</v>
          </cell>
          <cell r="T589" t="str">
            <v>-</v>
          </cell>
          <cell r="U589" t="str">
            <v>-</v>
          </cell>
        </row>
        <row r="590">
          <cell r="F590" t="str">
            <v>SHAM01N096</v>
          </cell>
          <cell r="G590" t="str">
            <v>NIKITA PAPER LIMITED</v>
          </cell>
          <cell r="H590" t="str">
            <v>22-23</v>
          </cell>
          <cell r="I590" t="str">
            <v>-</v>
          </cell>
          <cell r="J590" t="str">
            <v>Domestic</v>
          </cell>
          <cell r="K590" t="str">
            <v>Paper</v>
          </cell>
          <cell r="L590" t="str">
            <v>Non-Sugar</v>
          </cell>
          <cell r="M590" t="str">
            <v>End User</v>
          </cell>
          <cell r="O590" t="str">
            <v>TPD- 400</v>
          </cell>
          <cell r="P590" t="str">
            <v>NI</v>
          </cell>
          <cell r="Q590" t="str">
            <v>AKSHAY AWASTHI</v>
          </cell>
          <cell r="R590" t="str">
            <v>AKSHAY AWASTHI</v>
          </cell>
          <cell r="T590" t="str">
            <v>WESTERN</v>
          </cell>
          <cell r="U590" t="str">
            <v>25-26</v>
          </cell>
          <cell r="W590" t="str">
            <v>19-03-2026
06-10-2025
26-06-2025
04-03-2025
18-07-2024
23-05-2024
01-02-2024</v>
          </cell>
        </row>
        <row r="591">
          <cell r="F591" t="str">
            <v>PUNE01N019</v>
          </cell>
          <cell r="G591" t="str">
            <v>NIRA - BHIMA SAHAKARI SAKHAR -KARKHANA LTD</v>
          </cell>
          <cell r="H591">
            <v>2013</v>
          </cell>
          <cell r="I591" t="str">
            <v>-</v>
          </cell>
          <cell r="J591" t="str">
            <v>Domestic</v>
          </cell>
          <cell r="K591" t="str">
            <v>Sugar</v>
          </cell>
          <cell r="L591" t="str">
            <v>Sugar</v>
          </cell>
          <cell r="M591" t="str">
            <v>End User</v>
          </cell>
          <cell r="N591" t="str">
            <v>(0-5000)</v>
          </cell>
          <cell r="O591">
            <v>3500</v>
          </cell>
          <cell r="P591" t="str">
            <v>AV</v>
          </cell>
          <cell r="Q591" t="str">
            <v>AV</v>
          </cell>
          <cell r="R591" t="str">
            <v>PD</v>
          </cell>
          <cell r="T591" t="str">
            <v>Pune - 1</v>
          </cell>
          <cell r="U591" t="str">
            <v>26-27</v>
          </cell>
          <cell r="V591" t="str">
            <v>Apr</v>
          </cell>
          <cell r="W591" t="str">
            <v>25-04-2026
26-8-2025
16-07-2024
09-12-2023</v>
          </cell>
        </row>
        <row r="592">
          <cell r="F592" t="str">
            <v>MUDH01N144</v>
          </cell>
          <cell r="G592" t="str">
            <v>NIRANI SUGAR LTD(NSL-UNIT 1)(formerly N020)</v>
          </cell>
          <cell r="H592">
            <v>2014</v>
          </cell>
          <cell r="I592" t="str">
            <v>Nirani Group</v>
          </cell>
          <cell r="J592" t="str">
            <v>Domestic</v>
          </cell>
          <cell r="K592" t="str">
            <v>Sugar</v>
          </cell>
          <cell r="L592" t="str">
            <v>Sugar</v>
          </cell>
          <cell r="M592" t="str">
            <v>Group (Mills)</v>
          </cell>
          <cell r="N592" t="str">
            <v>(9001 &amp; above)</v>
          </cell>
          <cell r="O592" t="str">
            <v>25000
Distillery 700 KLPD</v>
          </cell>
          <cell r="P592" t="str">
            <v>AV</v>
          </cell>
          <cell r="Q592" t="str">
            <v>AV</v>
          </cell>
          <cell r="R592" t="str">
            <v>VG</v>
          </cell>
          <cell r="S592" t="str">
            <v>https://maps.app.goo.gl/2XU7MCTHMnTZjUXX8</v>
          </cell>
          <cell r="T592" t="str">
            <v>Bagalkot - 1</v>
          </cell>
          <cell r="U592" t="str">
            <v>25-26</v>
          </cell>
          <cell r="W592" t="str">
            <v>18-08-2025
25/02/2025
2-2-2024
28-03-2023
12-10-2022
07-10-2022</v>
          </cell>
        </row>
        <row r="593">
          <cell r="F593" t="str">
            <v>MUDH01N159</v>
          </cell>
          <cell r="G593" t="str">
            <v>NIRANI SUGARS LIMITED ( UNIT-III) (formerly MRNCane Power Ltd)</v>
          </cell>
          <cell r="H593">
            <v>2017</v>
          </cell>
          <cell r="I593" t="str">
            <v>Nirani Group</v>
          </cell>
          <cell r="J593" t="str">
            <v>Domestic</v>
          </cell>
          <cell r="K593" t="str">
            <v>Sugar</v>
          </cell>
          <cell r="L593" t="str">
            <v>Sugar</v>
          </cell>
          <cell r="M593" t="str">
            <v>Group (Mills)</v>
          </cell>
          <cell r="N593" t="str">
            <v>(9001 &amp; above)</v>
          </cell>
          <cell r="O593">
            <v>10000</v>
          </cell>
          <cell r="P593" t="str">
            <v>AV</v>
          </cell>
          <cell r="Q593" t="str">
            <v>AV</v>
          </cell>
          <cell r="R593" t="str">
            <v>VG</v>
          </cell>
          <cell r="S593" t="str">
            <v>https://maps.app.goo.gl/SGdtEk6kaH4cLLJ77</v>
          </cell>
          <cell r="T593" t="str">
            <v>Bagalkot - 2</v>
          </cell>
          <cell r="U593" t="str">
            <v>23-24</v>
          </cell>
          <cell r="W593" t="str">
            <v>29-02-2024
02-04-2023
15-10-2022</v>
          </cell>
        </row>
        <row r="594">
          <cell r="F594" t="str">
            <v>BAGL01N178</v>
          </cell>
          <cell r="G594" t="str">
            <v>NIRANI SUGARS LIMITED UNIT-II</v>
          </cell>
          <cell r="H594" t="str">
            <v>-</v>
          </cell>
          <cell r="J594" t="str">
            <v>Domestic</v>
          </cell>
          <cell r="P594" t="str">
            <v>AV</v>
          </cell>
          <cell r="Q594" t="str">
            <v>-</v>
          </cell>
        </row>
        <row r="595">
          <cell r="F595" t="str">
            <v>BAGL01N168</v>
          </cell>
          <cell r="G595" t="str">
            <v>NIRANI SUGARS LIMITED UNIT-V (formerly Badami Sugars)</v>
          </cell>
          <cell r="H595" t="str">
            <v>20-21</v>
          </cell>
          <cell r="I595" t="str">
            <v>Nirani Group</v>
          </cell>
          <cell r="J595" t="str">
            <v>Domestic</v>
          </cell>
          <cell r="K595" t="str">
            <v>Sugar</v>
          </cell>
          <cell r="L595" t="str">
            <v>Sugar</v>
          </cell>
          <cell r="M595" t="str">
            <v>Group (Mills)</v>
          </cell>
          <cell r="N595" t="str">
            <v>(9001 &amp; above)</v>
          </cell>
          <cell r="O595">
            <v>12000</v>
          </cell>
          <cell r="P595" t="str">
            <v>AV</v>
          </cell>
          <cell r="Q595" t="str">
            <v>AV</v>
          </cell>
          <cell r="R595" t="str">
            <v>VG</v>
          </cell>
          <cell r="S595" t="str">
            <v>https://maps.app.goo.gl/4PbYfynVaAtQabrMA</v>
          </cell>
          <cell r="T595" t="str">
            <v>Bagalkot - 2</v>
          </cell>
          <cell r="U595" t="str">
            <v>24-25</v>
          </cell>
          <cell r="W595" t="str">
            <v>28/02/2025
29-02-2024
02-04-2023
15-10-2022</v>
          </cell>
        </row>
        <row r="596">
          <cell r="F596" t="str">
            <v>JAMK01N158</v>
          </cell>
          <cell r="G596" t="str">
            <v>NIRANI SUGARS LIMITED(UNIT-II) (formerly Sai Priya Sugars)</v>
          </cell>
          <cell r="H596">
            <v>2014</v>
          </cell>
          <cell r="I596" t="str">
            <v>Nirani Group</v>
          </cell>
          <cell r="J596" t="str">
            <v>Domestic</v>
          </cell>
          <cell r="K596" t="str">
            <v>Sugar</v>
          </cell>
          <cell r="L596" t="str">
            <v>Sugar</v>
          </cell>
          <cell r="M596" t="str">
            <v>Group (Mills)</v>
          </cell>
          <cell r="N596" t="str">
            <v>(9001 &amp; above)</v>
          </cell>
          <cell r="O596">
            <v>16000</v>
          </cell>
          <cell r="P596" t="str">
            <v>AV</v>
          </cell>
          <cell r="Q596" t="str">
            <v>AV</v>
          </cell>
          <cell r="R596" t="str">
            <v>VG</v>
          </cell>
          <cell r="S596" t="str">
            <v>https://maps.app.goo.gl/izDhBanKwk8fdb4H8</v>
          </cell>
          <cell r="T596" t="str">
            <v>Bagalkot - 2</v>
          </cell>
        </row>
        <row r="597">
          <cell r="F597" t="str">
            <v>BAGL01N161</v>
          </cell>
          <cell r="G597" t="str">
            <v>NIRANI SUGARS LIMITED(UNIT-IV) (formerly Kedarnath sugars)</v>
          </cell>
          <cell r="H597">
            <v>2017</v>
          </cell>
          <cell r="I597" t="str">
            <v>Nirani Group</v>
          </cell>
          <cell r="J597" t="str">
            <v>Domestic</v>
          </cell>
          <cell r="K597" t="str">
            <v>Sugar</v>
          </cell>
          <cell r="L597" t="str">
            <v>Sugar</v>
          </cell>
          <cell r="M597" t="str">
            <v>Group (Mills)</v>
          </cell>
          <cell r="N597" t="str">
            <v>(5001-9000)</v>
          </cell>
          <cell r="O597">
            <v>6500</v>
          </cell>
          <cell r="P597" t="str">
            <v>AV</v>
          </cell>
          <cell r="Q597" t="str">
            <v>AV</v>
          </cell>
          <cell r="R597" t="str">
            <v>VG</v>
          </cell>
          <cell r="S597" t="str">
            <v>https://maps.app.goo.gl/AxXCHajmN1mEaQkR9</v>
          </cell>
          <cell r="T597" t="str">
            <v>Bagalkot - 2</v>
          </cell>
        </row>
        <row r="598">
          <cell r="F598" t="str">
            <v>KABI01N099</v>
          </cell>
          <cell r="G598" t="str">
            <v>NKJ BIOFUEL PRIVATE LIMITED</v>
          </cell>
          <cell r="H598" t="str">
            <v>24-25</v>
          </cell>
          <cell r="I598" t="str">
            <v>-</v>
          </cell>
          <cell r="J598" t="str">
            <v>Domestic</v>
          </cell>
          <cell r="K598" t="str">
            <v>Distillery(Sugar)</v>
          </cell>
          <cell r="L598" t="str">
            <v>Non-Sugar</v>
          </cell>
          <cell r="M598" t="str">
            <v>End User</v>
          </cell>
          <cell r="O598" t="str">
            <v>-</v>
          </cell>
          <cell r="P598" t="str">
            <v>NI</v>
          </cell>
          <cell r="Q598" t="str">
            <v>HIMANSHU KUSHWAHA</v>
          </cell>
          <cell r="T598" t="str">
            <v>Chhatisgarh &amp; Orissa</v>
          </cell>
          <cell r="U598" t="str">
            <v>25-26</v>
          </cell>
          <cell r="W598" t="str">
            <v>31-10-2025
11/11/2024</v>
          </cell>
        </row>
        <row r="599">
          <cell r="F599" t="str">
            <v>NAGP01N143</v>
          </cell>
          <cell r="G599" t="str">
            <v>NNOWETA PERFORMANCE CHEMICALS PVT LTD(NAGPUR)</v>
          </cell>
          <cell r="H599" t="str">
            <v>23-24</v>
          </cell>
          <cell r="I599" t="str">
            <v>-</v>
          </cell>
          <cell r="J599" t="str">
            <v>Domestic</v>
          </cell>
          <cell r="K599" t="str">
            <v>CHEMICAL</v>
          </cell>
          <cell r="L599" t="str">
            <v>Non-Sugar</v>
          </cell>
          <cell r="M599" t="str">
            <v>End User</v>
          </cell>
          <cell r="O599" t="str">
            <v>-</v>
          </cell>
          <cell r="P599" t="str">
            <v>NI</v>
          </cell>
          <cell r="Q599" t="str">
            <v>HIMANSHU KUSHWAHA</v>
          </cell>
          <cell r="T599" t="str">
            <v>-</v>
          </cell>
          <cell r="U599" t="str">
            <v>-</v>
          </cell>
          <cell r="W599" t="str">
            <v>-</v>
          </cell>
        </row>
        <row r="600">
          <cell r="F600" t="str">
            <v>HALD01N095</v>
          </cell>
          <cell r="G600" t="str">
            <v>NORTHERN ANIMATED ANIMAL FEED (P) LTD</v>
          </cell>
          <cell r="H600" t="str">
            <v>22-23</v>
          </cell>
          <cell r="I600" t="str">
            <v>-</v>
          </cell>
          <cell r="J600" t="str">
            <v>Domestic</v>
          </cell>
          <cell r="K600" t="str">
            <v>Cattlefeed</v>
          </cell>
          <cell r="L600" t="str">
            <v>Non-Sugar</v>
          </cell>
          <cell r="M600" t="str">
            <v>End User</v>
          </cell>
          <cell r="O600" t="str">
            <v>-</v>
          </cell>
          <cell r="P600" t="str">
            <v>NI</v>
          </cell>
          <cell r="Q600" t="str">
            <v>AVIRAL SHUKLA</v>
          </cell>
          <cell r="T600" t="str">
            <v>-</v>
          </cell>
          <cell r="U600" t="str">
            <v>-</v>
          </cell>
        </row>
        <row r="601">
          <cell r="F601" t="str">
            <v>PILI01N049</v>
          </cell>
          <cell r="G601" t="str">
            <v>NOVEL SUGAR LIMITED</v>
          </cell>
          <cell r="H601">
            <v>2015</v>
          </cell>
          <cell r="I601" t="str">
            <v>-</v>
          </cell>
          <cell r="J601" t="str">
            <v>Domestic</v>
          </cell>
          <cell r="K601" t="str">
            <v>Sugar</v>
          </cell>
          <cell r="L601" t="str">
            <v>Sugar</v>
          </cell>
          <cell r="M601" t="str">
            <v>End User</v>
          </cell>
          <cell r="N601" t="str">
            <v>(0-5000)</v>
          </cell>
          <cell r="O601">
            <v>3500</v>
          </cell>
          <cell r="P601" t="str">
            <v>NI</v>
          </cell>
          <cell r="Q601" t="str">
            <v>AKSHAY AWASTHI</v>
          </cell>
          <cell r="R601" t="str">
            <v>AVIRAL SHUKLA</v>
          </cell>
          <cell r="T601" t="str">
            <v>CENTRAL</v>
          </cell>
          <cell r="U601" t="str">
            <v>25-26</v>
          </cell>
          <cell r="W601" t="str">
            <v>6-2-2026
13-05-2025
08-11-2024
27-05-2024</v>
          </cell>
        </row>
        <row r="602">
          <cell r="F602" t="str">
            <v>MUMB01N180</v>
          </cell>
          <cell r="G602" t="str">
            <v>NOVICE CORPORATIONc(JAINAM ENGINEERING)</v>
          </cell>
          <cell r="H602" t="str">
            <v>25-26</v>
          </cell>
          <cell r="I602" t="str">
            <v>-</v>
          </cell>
          <cell r="J602" t="str">
            <v>Domestic</v>
          </cell>
          <cell r="K602" t="str">
            <v>OTHERS</v>
          </cell>
          <cell r="L602" t="str">
            <v>Non-Sugar</v>
          </cell>
          <cell r="M602" t="str">
            <v>Trader</v>
          </cell>
          <cell r="P602" t="str">
            <v>NI</v>
          </cell>
          <cell r="Q602" t="str">
            <v>AKSHAY AWASTHI</v>
          </cell>
        </row>
        <row r="603">
          <cell r="F603" t="str">
            <v>INDR01N091</v>
          </cell>
          <cell r="G603" t="str">
            <v>NPS SUGAR INDUSTRIES PVT LTD.</v>
          </cell>
          <cell r="H603" t="str">
            <v>22-23</v>
          </cell>
          <cell r="I603" t="str">
            <v>-</v>
          </cell>
          <cell r="J603" t="str">
            <v>Domestic</v>
          </cell>
          <cell r="K603" t="str">
            <v>Sugar</v>
          </cell>
          <cell r="L603" t="str">
            <v>Sugar</v>
          </cell>
          <cell r="M603" t="str">
            <v>End User</v>
          </cell>
          <cell r="N603" t="str">
            <v>(0-5000)</v>
          </cell>
          <cell r="O603">
            <v>1800</v>
          </cell>
          <cell r="P603" t="str">
            <v>NI</v>
          </cell>
          <cell r="Q603" t="str">
            <v>HIMANSHU KUSHWAHA</v>
          </cell>
          <cell r="T603" t="str">
            <v>-</v>
          </cell>
          <cell r="U603" t="str">
            <v>25-26</v>
          </cell>
          <cell r="W603" t="str">
            <v>16-1-2026
14-05-2025
03-06-2024
29-02-2024
22-01-2022</v>
          </cell>
        </row>
        <row r="604">
          <cell r="F604" t="str">
            <v>SAMA01N092</v>
          </cell>
          <cell r="G604" t="str">
            <v>NS3 PROJECTS</v>
          </cell>
          <cell r="H604">
            <v>2021</v>
          </cell>
          <cell r="I604" t="str">
            <v>-</v>
          </cell>
          <cell r="J604" t="str">
            <v>Domestic</v>
          </cell>
          <cell r="K604" t="str">
            <v>Others</v>
          </cell>
          <cell r="L604" t="str">
            <v>Non-Sugar</v>
          </cell>
          <cell r="M604" t="str">
            <v>OEM</v>
          </cell>
          <cell r="P604" t="str">
            <v>SI-GS</v>
          </cell>
          <cell r="Q604" t="str">
            <v>SI-GS</v>
          </cell>
          <cell r="S604" t="str">
            <v>https://maps.app.goo.gl/TwmyY5UEqbKqsFhk8</v>
          </cell>
          <cell r="W604" t="str">
            <v>-</v>
          </cell>
        </row>
        <row r="605">
          <cell r="F605" t="str">
            <v>WANA01N093</v>
          </cell>
          <cell r="G605" t="str">
            <v>NSL KRISHNAVENI SUGARS LIMITED</v>
          </cell>
          <cell r="H605">
            <v>2021</v>
          </cell>
          <cell r="I605" t="str">
            <v>NSL Group</v>
          </cell>
          <cell r="J605" t="str">
            <v>Domestic</v>
          </cell>
          <cell r="K605" t="str">
            <v>Sugar</v>
          </cell>
          <cell r="L605" t="str">
            <v>Sugar</v>
          </cell>
          <cell r="M605" t="str">
            <v>Group (Mills)</v>
          </cell>
          <cell r="N605" t="str">
            <v>(0-5000)</v>
          </cell>
          <cell r="O605">
            <v>3500</v>
          </cell>
          <cell r="P605" t="str">
            <v>SI-GS</v>
          </cell>
          <cell r="Q605" t="str">
            <v>SI-GS</v>
          </cell>
          <cell r="W605" t="str">
            <v>-</v>
          </cell>
        </row>
        <row r="606">
          <cell r="F606" t="str">
            <v>BEED01N030</v>
          </cell>
          <cell r="G606" t="str">
            <v>NSL SUGAR LTD UNIT- III JAY MAHESH</v>
          </cell>
          <cell r="H606">
            <v>2013</v>
          </cell>
          <cell r="I606" t="str">
            <v>NSL Group</v>
          </cell>
          <cell r="J606" t="str">
            <v>Domestic</v>
          </cell>
          <cell r="K606" t="str">
            <v>Sugar</v>
          </cell>
          <cell r="L606" t="str">
            <v>Sugar</v>
          </cell>
          <cell r="M606" t="str">
            <v>Group (Mills)</v>
          </cell>
          <cell r="N606" t="str">
            <v>(9001 &amp; above)</v>
          </cell>
          <cell r="O606">
            <v>11000</v>
          </cell>
          <cell r="P606" t="str">
            <v>AV</v>
          </cell>
          <cell r="Q606" t="str">
            <v>AV</v>
          </cell>
          <cell r="R606" t="str">
            <v>PD</v>
          </cell>
          <cell r="S606" t="str">
            <v>https://maps.app.goo.gl/Fr7hNWKXM9HmtYoNA</v>
          </cell>
          <cell r="T606" t="str">
            <v>Beed - 1</v>
          </cell>
          <cell r="U606" t="str">
            <v>25-26</v>
          </cell>
          <cell r="W606" t="str">
            <v>9-1-2026 
11/8/2023</v>
          </cell>
        </row>
        <row r="607">
          <cell r="F607" t="str">
            <v>BELL01N022</v>
          </cell>
          <cell r="G607" t="str">
            <v>NSL SUGARS (TUNGABHADRA) LTD</v>
          </cell>
          <cell r="H607">
            <v>2013</v>
          </cell>
          <cell r="I607" t="str">
            <v>NSL Group</v>
          </cell>
          <cell r="J607" t="str">
            <v>Domestic</v>
          </cell>
          <cell r="K607" t="str">
            <v>Sugar</v>
          </cell>
          <cell r="L607" t="str">
            <v>Sugar</v>
          </cell>
          <cell r="M607" t="str">
            <v>Group (Mills)</v>
          </cell>
          <cell r="N607" t="str">
            <v>(0-5000)</v>
          </cell>
          <cell r="O607">
            <v>3500</v>
          </cell>
          <cell r="P607" t="str">
            <v>AV</v>
          </cell>
          <cell r="Q607" t="str">
            <v>AV</v>
          </cell>
          <cell r="R607" t="str">
            <v>VG</v>
          </cell>
          <cell r="T607" t="str">
            <v>Bellary_Bidar - 1</v>
          </cell>
          <cell r="U607" t="str">
            <v>25-26</v>
          </cell>
          <cell r="W607" t="str">
            <v>20-06-2025
31-05-2023
24-11-2022</v>
          </cell>
        </row>
        <row r="608">
          <cell r="F608" t="str">
            <v>MAND01N023</v>
          </cell>
          <cell r="G608" t="str">
            <v>NSL SUGARS LTD (Koppa)</v>
          </cell>
          <cell r="H608">
            <v>2013</v>
          </cell>
          <cell r="I608" t="str">
            <v>NSL Group</v>
          </cell>
          <cell r="J608" t="str">
            <v>Domestic</v>
          </cell>
          <cell r="K608" t="str">
            <v>Sugar</v>
          </cell>
          <cell r="L608" t="str">
            <v>Sugar</v>
          </cell>
          <cell r="M608" t="str">
            <v>Group (Mills)</v>
          </cell>
          <cell r="N608" t="str">
            <v>(0-5000)</v>
          </cell>
          <cell r="O608">
            <v>5000</v>
          </cell>
          <cell r="P608" t="str">
            <v>SI-GS</v>
          </cell>
          <cell r="Q608" t="str">
            <v>SI-GS</v>
          </cell>
          <cell r="S608" t="str">
            <v>https://maps.app.goo.gl/4vXFTfG6JrUEC2Bw9</v>
          </cell>
          <cell r="W608" t="str">
            <v>20-3-2025</v>
          </cell>
        </row>
        <row r="609">
          <cell r="F609" t="str">
            <v>GULB01N024</v>
          </cell>
          <cell r="G609" t="str">
            <v>NSL SUGARS LTD. UNIT-II (Aland)</v>
          </cell>
          <cell r="H609">
            <v>2013</v>
          </cell>
          <cell r="I609" t="str">
            <v>NSL Group</v>
          </cell>
          <cell r="J609" t="str">
            <v>Domestic</v>
          </cell>
          <cell r="K609" t="str">
            <v>Sugar</v>
          </cell>
          <cell r="L609" t="str">
            <v>Sugar</v>
          </cell>
          <cell r="M609" t="str">
            <v>Group (Mills)</v>
          </cell>
          <cell r="N609" t="str">
            <v>(5001-9000)</v>
          </cell>
          <cell r="O609">
            <v>7000</v>
          </cell>
          <cell r="P609" t="str">
            <v>SI-GS</v>
          </cell>
          <cell r="Q609" t="str">
            <v>SI-GS</v>
          </cell>
          <cell r="S609" t="str">
            <v>https://maps.app.goo.gl/gZg7ge2ftRSqsAQZ9</v>
          </cell>
          <cell r="W609" t="str">
            <v>19-3-2025</v>
          </cell>
        </row>
        <row r="610">
          <cell r="F610" t="str">
            <v>BHII01N173</v>
          </cell>
          <cell r="G610" t="str">
            <v>NTPC-SAIL POWER COMPANY LTD</v>
          </cell>
          <cell r="H610" t="str">
            <v>-</v>
          </cell>
          <cell r="J610" t="str">
            <v>Domestic</v>
          </cell>
          <cell r="P610" t="str">
            <v>VA</v>
          </cell>
          <cell r="Q610" t="str">
            <v>-</v>
          </cell>
        </row>
        <row r="611">
          <cell r="F611" t="str">
            <v>GOLA01N150</v>
          </cell>
          <cell r="G611" t="str">
            <v>NUMALIGARH REFINERY LIMITED-(NRL)</v>
          </cell>
          <cell r="H611" t="str">
            <v>24-25</v>
          </cell>
          <cell r="I611" t="str">
            <v>-</v>
          </cell>
          <cell r="J611" t="str">
            <v>Domestic</v>
          </cell>
          <cell r="K611" t="str">
            <v>Oil Refinery</v>
          </cell>
          <cell r="L611" t="str">
            <v>Non-Sugar</v>
          </cell>
          <cell r="M611" t="str">
            <v>End User</v>
          </cell>
          <cell r="O611" t="str">
            <v>-</v>
          </cell>
          <cell r="P611" t="str">
            <v>VA</v>
          </cell>
          <cell r="Q611" t="str">
            <v>VA</v>
          </cell>
        </row>
        <row r="612">
          <cell r="F612" t="str">
            <v>OSMA01N140</v>
          </cell>
          <cell r="G612" t="str">
            <v>NVP SUGAR</v>
          </cell>
          <cell r="H612" t="str">
            <v>-</v>
          </cell>
          <cell r="J612" t="str">
            <v>Domestic</v>
          </cell>
          <cell r="P612" t="str">
            <v>AV</v>
          </cell>
          <cell r="Q612" t="str">
            <v>AV</v>
          </cell>
          <cell r="R612" t="str">
            <v>PD</v>
          </cell>
          <cell r="U612" t="str">
            <v>25-26</v>
          </cell>
          <cell r="W612">
            <v>46114</v>
          </cell>
        </row>
        <row r="613">
          <cell r="F613" t="str">
            <v>NANA01N056</v>
          </cell>
          <cell r="G613" t="str">
            <v>NZOIA SUGAR COMPANY</v>
          </cell>
          <cell r="H613" t="str">
            <v>25-26</v>
          </cell>
          <cell r="I613" t="str">
            <v>-</v>
          </cell>
          <cell r="J613" t="str">
            <v>Export</v>
          </cell>
          <cell r="K613" t="str">
            <v>Sugar</v>
          </cell>
          <cell r="L613" t="str">
            <v>Sugar</v>
          </cell>
          <cell r="M613" t="str">
            <v>End User</v>
          </cell>
          <cell r="O613" t="str">
            <v>-</v>
          </cell>
          <cell r="P613" t="str">
            <v>NI</v>
          </cell>
          <cell r="Q613" t="str">
            <v>AKSHAY AWASTHI</v>
          </cell>
        </row>
        <row r="614">
          <cell r="F614" t="str">
            <v>OBRA01O043</v>
          </cell>
          <cell r="G614" t="str">
            <v>OBRA THERMAL POWER STATION</v>
          </cell>
          <cell r="H614" t="str">
            <v>-</v>
          </cell>
          <cell r="J614" t="str">
            <v>Domestic</v>
          </cell>
          <cell r="P614" t="str">
            <v>VA</v>
          </cell>
          <cell r="Q614" t="str">
            <v>-</v>
          </cell>
        </row>
        <row r="615">
          <cell r="F615" t="str">
            <v>BANG01O045</v>
          </cell>
          <cell r="G615" t="str">
            <v>OHMIUM OPERATIONS PVT LTD</v>
          </cell>
          <cell r="H615" t="str">
            <v>-</v>
          </cell>
          <cell r="J615" t="str">
            <v>Domestic</v>
          </cell>
          <cell r="L615" t="str">
            <v>Non-Sugar</v>
          </cell>
          <cell r="P615" t="str">
            <v>SI-SIVA</v>
          </cell>
          <cell r="Q615" t="str">
            <v>M SIVA</v>
          </cell>
        </row>
        <row r="616">
          <cell r="F616" t="str">
            <v>BARO01O002</v>
          </cell>
          <cell r="G616" t="str">
            <v>OIL GAS INDUSTRIES SERVICES</v>
          </cell>
          <cell r="H616">
            <v>2014</v>
          </cell>
          <cell r="I616" t="str">
            <v>-</v>
          </cell>
          <cell r="J616" t="str">
            <v>Domestic</v>
          </cell>
          <cell r="K616" t="str">
            <v>Sugar</v>
          </cell>
          <cell r="L616" t="str">
            <v>Sugar</v>
          </cell>
          <cell r="M616" t="str">
            <v>Merchant Exporter</v>
          </cell>
          <cell r="O616" t="str">
            <v>-</v>
          </cell>
          <cell r="P616" t="str">
            <v>NI</v>
          </cell>
          <cell r="Q616" t="str">
            <v>AVIRAL SHUKLA</v>
          </cell>
          <cell r="S616" t="str">
            <v>NA</v>
          </cell>
          <cell r="T616" t="str">
            <v>-</v>
          </cell>
          <cell r="U616" t="str">
            <v>-</v>
          </cell>
          <cell r="W616" t="str">
            <v>-</v>
          </cell>
        </row>
        <row r="617">
          <cell r="F617" t="str">
            <v>PUNE01O019</v>
          </cell>
          <cell r="G617" t="str">
            <v>OLAM GLOBAL AGRI COMMODITIES INDIA PVT LTD</v>
          </cell>
          <cell r="H617" t="str">
            <v>22-23</v>
          </cell>
          <cell r="I617" t="str">
            <v>-</v>
          </cell>
          <cell r="J617" t="str">
            <v>Domestic</v>
          </cell>
          <cell r="K617" t="str">
            <v>Sugar</v>
          </cell>
          <cell r="L617" t="str">
            <v>Sugar</v>
          </cell>
          <cell r="M617" t="str">
            <v>End User</v>
          </cell>
          <cell r="O617" t="str">
            <v>-</v>
          </cell>
          <cell r="P617" t="str">
            <v>WI-SV</v>
          </cell>
          <cell r="Q617" t="str">
            <v>SUDHIR</v>
          </cell>
          <cell r="T617" t="str">
            <v>-</v>
          </cell>
          <cell r="U617" t="str">
            <v>-</v>
          </cell>
        </row>
        <row r="618">
          <cell r="F618" t="str">
            <v>KABI01O015</v>
          </cell>
          <cell r="G618" t="str">
            <v>OM ENTERPRISES</v>
          </cell>
          <cell r="H618" t="str">
            <v>19-20</v>
          </cell>
          <cell r="I618" t="str">
            <v>-</v>
          </cell>
          <cell r="J618" t="str">
            <v>Domestic</v>
          </cell>
          <cell r="K618" t="str">
            <v>Sugar</v>
          </cell>
          <cell r="L618" t="str">
            <v>Sugar</v>
          </cell>
          <cell r="M618" t="str">
            <v>Trader</v>
          </cell>
          <cell r="O618" t="str">
            <v>-</v>
          </cell>
          <cell r="P618" t="str">
            <v>NI</v>
          </cell>
          <cell r="Q618" t="str">
            <v>HIMANSHU KUSHWAHA</v>
          </cell>
          <cell r="T618" t="str">
            <v>-</v>
          </cell>
          <cell r="U618" t="str">
            <v>-</v>
          </cell>
          <cell r="W618" t="str">
            <v>-</v>
          </cell>
        </row>
        <row r="619">
          <cell r="F619" t="str">
            <v>DLHI01O050</v>
          </cell>
          <cell r="G619" t="str">
            <v>OM ENVIRO PVT LTD</v>
          </cell>
          <cell r="H619" t="str">
            <v>-</v>
          </cell>
          <cell r="J619" t="str">
            <v>Domestic</v>
          </cell>
          <cell r="P619" t="str">
            <v>HO</v>
          </cell>
          <cell r="Q619" t="str">
            <v>AVIRAL SHUKLA</v>
          </cell>
        </row>
        <row r="620">
          <cell r="F620" t="str">
            <v>PUNE01O038</v>
          </cell>
          <cell r="G620" t="str">
            <v>OM TOOLS &amp; PRESSING WORKS PUNE</v>
          </cell>
          <cell r="H620" t="str">
            <v>24-25</v>
          </cell>
          <cell r="I620" t="str">
            <v>-</v>
          </cell>
          <cell r="J620" t="str">
            <v>Domestic</v>
          </cell>
          <cell r="K620" t="str">
            <v>OTHERS</v>
          </cell>
          <cell r="L620" t="str">
            <v>Non-Sugar</v>
          </cell>
          <cell r="M620" t="str">
            <v>End User</v>
          </cell>
          <cell r="O620" t="str">
            <v>-</v>
          </cell>
          <cell r="P620" t="str">
            <v>NI</v>
          </cell>
          <cell r="Q620" t="str">
            <v>HIMANSHU KUSHWAHA</v>
          </cell>
        </row>
        <row r="621">
          <cell r="F621" t="str">
            <v>MUMB01O022</v>
          </cell>
          <cell r="G621" t="str">
            <v>OMIOM CLEANTECH LLP</v>
          </cell>
          <cell r="H621" t="str">
            <v>22-23</v>
          </cell>
          <cell r="I621" t="str">
            <v>-</v>
          </cell>
          <cell r="J621" t="str">
            <v>Domestic</v>
          </cell>
          <cell r="K621" t="str">
            <v>OTHERS</v>
          </cell>
          <cell r="L621" t="str">
            <v>Non-Sugar</v>
          </cell>
          <cell r="M621" t="str">
            <v>OEM</v>
          </cell>
          <cell r="O621" t="str">
            <v>-</v>
          </cell>
          <cell r="P621" t="str">
            <v>NI</v>
          </cell>
          <cell r="Q621" t="str">
            <v>HIMANSHU KUSHWAHA</v>
          </cell>
          <cell r="T621" t="str">
            <v>-</v>
          </cell>
          <cell r="U621" t="str">
            <v>-</v>
          </cell>
        </row>
        <row r="622">
          <cell r="F622" t="str">
            <v>JALN01O048</v>
          </cell>
          <cell r="G622" t="str">
            <v>ONKAR SAKHAR KARKHANA PRIVATE LIMITED UNIT 10 (Formerly Shree Rameshwar SSK)</v>
          </cell>
          <cell r="H622" t="str">
            <v>-</v>
          </cell>
          <cell r="I622" t="str">
            <v>Onkar Group</v>
          </cell>
          <cell r="J622" t="str">
            <v>Domestic</v>
          </cell>
          <cell r="K622" t="str">
            <v>Sugar</v>
          </cell>
          <cell r="L622" t="str">
            <v>Sugar</v>
          </cell>
          <cell r="M622" t="str">
            <v>Group (Mills)</v>
          </cell>
          <cell r="N622" t="str">
            <v>(0-5000)</v>
          </cell>
          <cell r="O622">
            <v>2500</v>
          </cell>
          <cell r="P622" t="str">
            <v>AV</v>
          </cell>
          <cell r="Q622" t="str">
            <v>AV</v>
          </cell>
          <cell r="R622" t="str">
            <v>PD</v>
          </cell>
          <cell r="T622" t="str">
            <v>Jalna - 1</v>
          </cell>
          <cell r="U622" t="str">
            <v>25-26</v>
          </cell>
          <cell r="W622">
            <v>46003</v>
          </cell>
        </row>
        <row r="623">
          <cell r="F623" t="str">
            <v>SOLP01O018</v>
          </cell>
          <cell r="G623" t="str">
            <v>ONKAR SAKHAR KARKHANA PVT LTD UNIT 1 (Formerly Shetakari Sugars)</v>
          </cell>
          <cell r="H623">
            <v>2022</v>
          </cell>
          <cell r="I623" t="str">
            <v>Onkar Group</v>
          </cell>
          <cell r="J623" t="str">
            <v>Domestic</v>
          </cell>
          <cell r="K623" t="str">
            <v>Sugar</v>
          </cell>
          <cell r="L623" t="str">
            <v>Sugar</v>
          </cell>
          <cell r="M623" t="str">
            <v>Group (Mills)</v>
          </cell>
          <cell r="N623" t="str">
            <v>(5001-9000)</v>
          </cell>
          <cell r="O623">
            <v>6500</v>
          </cell>
          <cell r="P623" t="str">
            <v>AV</v>
          </cell>
          <cell r="Q623" t="str">
            <v>AV</v>
          </cell>
          <cell r="R623" t="str">
            <v>PD</v>
          </cell>
          <cell r="S623" t="str">
            <v>https://maps.app.goo.gl/91SuyvSAAvASARS98</v>
          </cell>
          <cell r="T623" t="str">
            <v>Solapur - 2</v>
          </cell>
          <cell r="U623" t="str">
            <v>26-27</v>
          </cell>
          <cell r="W623" t="str">
            <v>27-05-2026
4/27/2023</v>
          </cell>
        </row>
        <row r="624">
          <cell r="F624" t="str">
            <v>LATU01O034</v>
          </cell>
          <cell r="G624" t="str">
            <v>ONKAR SAKHAR KARKHANA PVT.LTD. UNIT-2 (LEASE SHIVAJIRAO PATIL NILANGEKAR SAHAKARI SAKHAR KARKHANA LTD.)</v>
          </cell>
          <cell r="H624" t="str">
            <v>24-25</v>
          </cell>
          <cell r="I624" t="str">
            <v>Onkar Group</v>
          </cell>
          <cell r="J624" t="str">
            <v>Domestic</v>
          </cell>
          <cell r="K624" t="str">
            <v>Sugar</v>
          </cell>
          <cell r="L624" t="str">
            <v>Sugar</v>
          </cell>
          <cell r="M624" t="str">
            <v>Group (Mills)</v>
          </cell>
          <cell r="N624" t="str">
            <v>(0-5000)</v>
          </cell>
          <cell r="O624">
            <v>4500</v>
          </cell>
          <cell r="P624" t="str">
            <v>AV</v>
          </cell>
          <cell r="Q624" t="str">
            <v>AV</v>
          </cell>
          <cell r="R624" t="str">
            <v>PD</v>
          </cell>
          <cell r="T624" t="str">
            <v>Latur - 1</v>
          </cell>
          <cell r="U624" t="str">
            <v>23-24</v>
          </cell>
          <cell r="W624">
            <v>45203</v>
          </cell>
        </row>
        <row r="625">
          <cell r="F625" t="str">
            <v>KOLH01O033</v>
          </cell>
          <cell r="G625" t="str">
            <v>ONKAR SUGAR &amp; DISTILLERY POWER PVT LTD FARALE UNIT NO 3 (Formerly RELIABLE SUGAR &amp; DISTILLERY POWER LTD)</v>
          </cell>
          <cell r="H625">
            <v>2024</v>
          </cell>
          <cell r="I625" t="str">
            <v>Onkar Group</v>
          </cell>
          <cell r="J625" t="str">
            <v>Domestic</v>
          </cell>
          <cell r="K625" t="str">
            <v>Sugar</v>
          </cell>
          <cell r="L625" t="str">
            <v>Sugar</v>
          </cell>
          <cell r="M625" t="str">
            <v>Group (Mills)</v>
          </cell>
          <cell r="N625" t="str">
            <v>(0-5000)</v>
          </cell>
          <cell r="O625">
            <v>2500</v>
          </cell>
          <cell r="P625" t="str">
            <v>AV</v>
          </cell>
          <cell r="Q625" t="str">
            <v>AV</v>
          </cell>
          <cell r="R625" t="str">
            <v>VG</v>
          </cell>
          <cell r="T625" t="str">
            <v>Kolhapur - 1</v>
          </cell>
          <cell r="U625" t="str">
            <v>25-26</v>
          </cell>
          <cell r="V625" t="str">
            <v>May</v>
          </cell>
          <cell r="W625" t="str">
            <v>04.05.2026
11-7-2025
21-02-2025
10/27/2023</v>
          </cell>
        </row>
        <row r="626">
          <cell r="F626" t="str">
            <v>SOLP01O039</v>
          </cell>
          <cell r="G626" t="str">
            <v>ONKAR SUGAR CORPORATION PVT LTD-UNIT-6 (formerly Vitthal corporation)</v>
          </cell>
          <cell r="H626" t="str">
            <v>24-25</v>
          </cell>
          <cell r="I626" t="str">
            <v>Onkar Group</v>
          </cell>
          <cell r="J626" t="str">
            <v>Domestic</v>
          </cell>
          <cell r="K626" t="str">
            <v>Sugar</v>
          </cell>
          <cell r="L626" t="str">
            <v>Sugar</v>
          </cell>
          <cell r="M626" t="str">
            <v>Group (Mills)</v>
          </cell>
          <cell r="N626" t="str">
            <v>(5001-9000)</v>
          </cell>
          <cell r="O626">
            <v>6000</v>
          </cell>
          <cell r="P626" t="str">
            <v>AV</v>
          </cell>
          <cell r="Q626" t="str">
            <v>AV</v>
          </cell>
          <cell r="R626" t="str">
            <v>PD</v>
          </cell>
          <cell r="T626" t="str">
            <v>Solapur - 2</v>
          </cell>
        </row>
        <row r="627">
          <cell r="F627" t="str">
            <v>MUMB01O016</v>
          </cell>
          <cell r="G627" t="str">
            <v>ORGANIC RECYCLING SYSTEMS PVT LTD</v>
          </cell>
          <cell r="H627" t="str">
            <v>21-22</v>
          </cell>
          <cell r="I627" t="str">
            <v>-</v>
          </cell>
          <cell r="J627" t="str">
            <v>Domestic</v>
          </cell>
          <cell r="K627" t="str">
            <v>OTHERS</v>
          </cell>
          <cell r="L627" t="str">
            <v>Non-Sugar</v>
          </cell>
          <cell r="M627" t="str">
            <v>OEM</v>
          </cell>
          <cell r="O627" t="str">
            <v>-</v>
          </cell>
          <cell r="P627" t="str">
            <v>WI-SV</v>
          </cell>
          <cell r="Q627" t="str">
            <v>SUDHIR</v>
          </cell>
          <cell r="T627" t="str">
            <v>-</v>
          </cell>
          <cell r="U627" t="str">
            <v>-</v>
          </cell>
        </row>
        <row r="628">
          <cell r="F628" t="str">
            <v>PUNE01O047</v>
          </cell>
          <cell r="G628" t="str">
            <v>OSG GREEN ENERGY PVT LTD-UNIT12 (formerly Onkar group/Anuraj sugars)</v>
          </cell>
          <cell r="H628">
            <v>2014</v>
          </cell>
          <cell r="I628" t="str">
            <v>Onkar Group</v>
          </cell>
          <cell r="J628" t="str">
            <v>Domestic</v>
          </cell>
          <cell r="K628" t="str">
            <v>Sugar</v>
          </cell>
          <cell r="L628" t="str">
            <v>Sugar</v>
          </cell>
          <cell r="M628" t="str">
            <v>Group (Mills)</v>
          </cell>
          <cell r="N628" t="str">
            <v>(0-5000)</v>
          </cell>
          <cell r="O628">
            <v>2500</v>
          </cell>
          <cell r="P628" t="str">
            <v>AV</v>
          </cell>
          <cell r="Q628" t="str">
            <v>AV</v>
          </cell>
          <cell r="R628" t="str">
            <v>PD</v>
          </cell>
          <cell r="T628" t="str">
            <v>Pune - 2</v>
          </cell>
        </row>
        <row r="629">
          <cell r="F629" t="str">
            <v>BARL01O005</v>
          </cell>
          <cell r="G629" t="str">
            <v>OSWAL OVERSEAS LIMITED</v>
          </cell>
          <cell r="H629">
            <v>2013</v>
          </cell>
          <cell r="I629" t="str">
            <v>-</v>
          </cell>
          <cell r="J629" t="str">
            <v>Domestic</v>
          </cell>
          <cell r="K629" t="str">
            <v>Sugar</v>
          </cell>
          <cell r="L629" t="str">
            <v>Sugar</v>
          </cell>
          <cell r="M629" t="str">
            <v>End User</v>
          </cell>
          <cell r="N629" t="str">
            <v>(5001-9000)</v>
          </cell>
          <cell r="O629">
            <v>3500</v>
          </cell>
          <cell r="P629" t="str">
            <v>NI</v>
          </cell>
          <cell r="Q629" t="str">
            <v>AVIRAL SHUKLA</v>
          </cell>
          <cell r="S629" t="str">
            <v>https://share.google/MkBgZERWWVFVFkXv7</v>
          </cell>
          <cell r="T629" t="str">
            <v>-</v>
          </cell>
          <cell r="U629" t="str">
            <v>-</v>
          </cell>
        </row>
        <row r="630">
          <cell r="F630" t="str">
            <v>BIJN01P001</v>
          </cell>
          <cell r="G630" t="str">
            <v>P B S FOODS (SUGAR) PVT. LTD</v>
          </cell>
          <cell r="H630">
            <v>2015</v>
          </cell>
          <cell r="I630" t="str">
            <v>-</v>
          </cell>
          <cell r="J630" t="str">
            <v>Domestic</v>
          </cell>
          <cell r="K630" t="str">
            <v>Sugar</v>
          </cell>
          <cell r="L630" t="str">
            <v>Sugar</v>
          </cell>
          <cell r="M630" t="str">
            <v>End User</v>
          </cell>
          <cell r="N630" t="str">
            <v>(0-5000)</v>
          </cell>
          <cell r="O630">
            <v>5000</v>
          </cell>
          <cell r="P630" t="str">
            <v>NI</v>
          </cell>
          <cell r="Q630" t="str">
            <v>HIMANSHU KUSHWAHA</v>
          </cell>
          <cell r="T630" t="str">
            <v>WESTERN - 2</v>
          </cell>
          <cell r="U630" t="str">
            <v>25-26</v>
          </cell>
          <cell r="W630" t="str">
            <v>24-02-2026
27-08-2025
19-09-2024
02-07-2022</v>
          </cell>
        </row>
        <row r="631">
          <cell r="F631" t="str">
            <v>MUMB01P163</v>
          </cell>
          <cell r="G631" t="str">
            <v>P.S. PRAJAPATI EXIM PVT LTD</v>
          </cell>
          <cell r="H631" t="str">
            <v>-</v>
          </cell>
          <cell r="J631" t="str">
            <v>Domestic</v>
          </cell>
          <cell r="P631" t="str">
            <v>HO</v>
          </cell>
          <cell r="Q631" t="str">
            <v>-</v>
          </cell>
        </row>
        <row r="632">
          <cell r="F632" t="str">
            <v>SANG01H009</v>
          </cell>
          <cell r="G632" t="str">
            <v>PADMABHUSHAN KRANTIVEER DR. NAGNATHANNA NAYAKAWADI</v>
          </cell>
          <cell r="H632">
            <v>2013</v>
          </cell>
          <cell r="I632" t="str">
            <v>-</v>
          </cell>
          <cell r="J632" t="str">
            <v>Domestic</v>
          </cell>
          <cell r="K632" t="str">
            <v>Sugar</v>
          </cell>
          <cell r="L632" t="str">
            <v>Sugar</v>
          </cell>
          <cell r="M632" t="str">
            <v>End User</v>
          </cell>
          <cell r="N632" t="str">
            <v>(0-5000)</v>
          </cell>
          <cell r="O632" t="str">
            <v>Sugar 3500
Distillery 45 KLPD</v>
          </cell>
          <cell r="P632" t="str">
            <v>AV</v>
          </cell>
          <cell r="Q632" t="str">
            <v>AV</v>
          </cell>
          <cell r="R632" t="str">
            <v>VG</v>
          </cell>
          <cell r="T632" t="str">
            <v>Sangli - 1</v>
          </cell>
          <cell r="U632" t="str">
            <v>24-25</v>
          </cell>
          <cell r="W632" t="str">
            <v>04-09-2024
16-08-2023
12-07-2023
22-12-2022</v>
          </cell>
        </row>
        <row r="633">
          <cell r="F633" t="str">
            <v>KOLH01P003</v>
          </cell>
          <cell r="G633" t="str">
            <v>PADMASHREE DR.D.Y.PATIL SAHAKARI SAKHAR KARKHNA LTD.</v>
          </cell>
          <cell r="H633">
            <v>2013</v>
          </cell>
          <cell r="I633" t="str">
            <v>-</v>
          </cell>
          <cell r="J633" t="str">
            <v>Domestic</v>
          </cell>
          <cell r="K633" t="str">
            <v>Sugar</v>
          </cell>
          <cell r="L633" t="str">
            <v>Sugar</v>
          </cell>
          <cell r="M633" t="str">
            <v>End User</v>
          </cell>
          <cell r="N633" t="str">
            <v>(0-5000)</v>
          </cell>
          <cell r="O633" t="str">
            <v>Sugar 5000
Distillery 45 KLPD</v>
          </cell>
          <cell r="P633" t="str">
            <v>MRK</v>
          </cell>
          <cell r="Q633" t="str">
            <v>MRK</v>
          </cell>
          <cell r="R633" t="str">
            <v>VG</v>
          </cell>
          <cell r="S633" t="str">
            <v>https://maps.app.goo.gl/oeAJYiEwKgc44Dbd9</v>
          </cell>
          <cell r="T633" t="str">
            <v>Kolhapur - 2</v>
          </cell>
          <cell r="U633" t="str">
            <v>26-27</v>
          </cell>
          <cell r="V633" t="str">
            <v>Apr</v>
          </cell>
          <cell r="W633" t="str">
            <v>21-4-2026
8-7-2025
13-9-2024
08-06-2024
03-06-2024
22-06-2023
09-12-2022</v>
          </cell>
        </row>
        <row r="634">
          <cell r="F634" t="str">
            <v>AHMD01P004</v>
          </cell>
          <cell r="G634" t="str">
            <v>PADMASHRI DR.VITHALRAO VIKHE PATIL SAHAKARI SAKHAR-KARKHANA LTD.</v>
          </cell>
          <cell r="H634">
            <v>2014</v>
          </cell>
          <cell r="I634" t="str">
            <v>-</v>
          </cell>
          <cell r="J634" t="str">
            <v>Domestic</v>
          </cell>
          <cell r="K634" t="str">
            <v>Sugar</v>
          </cell>
          <cell r="L634" t="str">
            <v>Sugar</v>
          </cell>
          <cell r="M634" t="str">
            <v>End User</v>
          </cell>
          <cell r="N634" t="str">
            <v>(0-5000)</v>
          </cell>
          <cell r="O634" t="str">
            <v>Sugar 5000
Distillery 240 KLPD</v>
          </cell>
          <cell r="P634" t="str">
            <v>AV</v>
          </cell>
          <cell r="Q634" t="str">
            <v>AV</v>
          </cell>
          <cell r="R634" t="str">
            <v>PD</v>
          </cell>
          <cell r="S634" t="str">
            <v>https://share.google/24oNI3NYvESVQ8jt4</v>
          </cell>
          <cell r="T634" t="str">
            <v>Ahmednagar - 1</v>
          </cell>
          <cell r="U634" t="str">
            <v>25-26</v>
          </cell>
          <cell r="W634" t="str">
            <v>20-11-2025
15-06-2024
03-04-2024
18-07-2023</v>
          </cell>
        </row>
        <row r="635">
          <cell r="F635" t="str">
            <v>MUMB01P114</v>
          </cell>
          <cell r="G635" t="str">
            <v>PADMAVATI PULP &amp; PAPER</v>
          </cell>
          <cell r="H635" t="str">
            <v>-</v>
          </cell>
          <cell r="J635" t="str">
            <v>Domestic</v>
          </cell>
          <cell r="P635" t="str">
            <v>HO</v>
          </cell>
          <cell r="Q635" t="str">
            <v>-</v>
          </cell>
        </row>
        <row r="636">
          <cell r="F636" t="str">
            <v>MOHL01P067</v>
          </cell>
          <cell r="G636" t="str">
            <v>PALEOCRYSTAL ENVIRO TECHOLOGIES (P) LTD</v>
          </cell>
          <cell r="H636">
            <v>2017</v>
          </cell>
          <cell r="I636" t="str">
            <v>-</v>
          </cell>
          <cell r="J636" t="str">
            <v>Domestic</v>
          </cell>
          <cell r="K636" t="str">
            <v>OTHERS</v>
          </cell>
          <cell r="L636" t="str">
            <v>Non-Sugar</v>
          </cell>
          <cell r="M636" t="str">
            <v>Trader</v>
          </cell>
          <cell r="O636" t="str">
            <v>-</v>
          </cell>
          <cell r="P636" t="str">
            <v>NI</v>
          </cell>
          <cell r="Q636" t="str">
            <v>AVIRAL SHUKLA</v>
          </cell>
          <cell r="T636" t="str">
            <v>-</v>
          </cell>
          <cell r="U636" t="str">
            <v>-</v>
          </cell>
        </row>
        <row r="637">
          <cell r="F637" t="str">
            <v>BETU01P140</v>
          </cell>
          <cell r="G637" t="str">
            <v>PALIWAL BIO ENERGY</v>
          </cell>
          <cell r="H637" t="str">
            <v>24-25</v>
          </cell>
          <cell r="I637" t="str">
            <v>-</v>
          </cell>
          <cell r="J637" t="str">
            <v>Domestic</v>
          </cell>
          <cell r="K637" t="str">
            <v>OTHERS</v>
          </cell>
          <cell r="L637" t="str">
            <v>Non-Sugar</v>
          </cell>
          <cell r="M637" t="str">
            <v>End User</v>
          </cell>
          <cell r="O637" t="str">
            <v>-</v>
          </cell>
          <cell r="P637" t="str">
            <v>NI</v>
          </cell>
          <cell r="Q637" t="str">
            <v>HIMANSHU KUSHWAHA</v>
          </cell>
          <cell r="T637" t="str">
            <v>M.P -2</v>
          </cell>
          <cell r="U637" t="str">
            <v>25-26</v>
          </cell>
          <cell r="W637" t="str">
            <v>17-09-2025
31-01-2025</v>
          </cell>
        </row>
        <row r="638">
          <cell r="F638" t="str">
            <v>ARGB01P104</v>
          </cell>
          <cell r="G638" t="str">
            <v>PANCHAGANGA SUGAR &amp; POWER PVT LTD</v>
          </cell>
          <cell r="H638" t="str">
            <v>24-25</v>
          </cell>
          <cell r="I638" t="str">
            <v>-</v>
          </cell>
          <cell r="J638" t="str">
            <v>Domestic</v>
          </cell>
          <cell r="K638" t="str">
            <v>Sugar</v>
          </cell>
          <cell r="L638" t="str">
            <v>Sugar</v>
          </cell>
          <cell r="M638" t="str">
            <v>End User</v>
          </cell>
          <cell r="N638" t="str">
            <v>(5001-9000)</v>
          </cell>
          <cell r="O638">
            <v>6500</v>
          </cell>
          <cell r="P638" t="str">
            <v>AV</v>
          </cell>
          <cell r="Q638" t="str">
            <v>AV</v>
          </cell>
          <cell r="R638" t="str">
            <v>PD</v>
          </cell>
          <cell r="S638" t="str">
            <v>https://share.google/axunizRa1OiKgzqLT</v>
          </cell>
          <cell r="T638" t="str">
            <v>Aurangabad - 1</v>
          </cell>
          <cell r="W638" t="str">
            <v>-</v>
          </cell>
        </row>
        <row r="639">
          <cell r="F639" t="str">
            <v>PITA01P158</v>
          </cell>
          <cell r="G639" t="str">
            <v>PAPER EXPERT INC.</v>
          </cell>
          <cell r="H639" t="str">
            <v>-</v>
          </cell>
          <cell r="J639" t="str">
            <v>Domestic</v>
          </cell>
          <cell r="P639" t="str">
            <v>HO</v>
          </cell>
          <cell r="Q639" t="str">
            <v>-</v>
          </cell>
        </row>
        <row r="640">
          <cell r="F640" t="str">
            <v>AMRI01P065</v>
          </cell>
          <cell r="G640" t="str">
            <v>PAPERTEX SPECIALITY CHEMICALS P. LTD.</v>
          </cell>
          <cell r="H640" t="str">
            <v>21-22</v>
          </cell>
          <cell r="I640" t="str">
            <v>-</v>
          </cell>
          <cell r="J640" t="str">
            <v>Domestic</v>
          </cell>
          <cell r="K640" t="str">
            <v>Paper</v>
          </cell>
          <cell r="L640" t="str">
            <v>Non-Sugar</v>
          </cell>
          <cell r="M640" t="str">
            <v>End User</v>
          </cell>
          <cell r="O640" t="str">
            <v>-</v>
          </cell>
          <cell r="P640" t="str">
            <v>NI</v>
          </cell>
          <cell r="Q640" t="str">
            <v>AKSHAY AWASTHI</v>
          </cell>
          <cell r="S640" t="str">
            <v>https://share.google/50EHRTj5kvhAzsuHC</v>
          </cell>
          <cell r="T640" t="str">
            <v>-</v>
          </cell>
          <cell r="U640" t="str">
            <v>21-22</v>
          </cell>
          <cell r="W640" t="str">
            <v>29-10-2021</v>
          </cell>
        </row>
        <row r="641">
          <cell r="F641" t="str">
            <v>CHEN01P081</v>
          </cell>
          <cell r="G641" t="str">
            <v>PAQUES ENVIROMENTAL TECHNOLOGY INDIA PVT LTD</v>
          </cell>
          <cell r="H641" t="str">
            <v>23-24</v>
          </cell>
          <cell r="I641" t="str">
            <v>-</v>
          </cell>
          <cell r="J641" t="str">
            <v>Domestic</v>
          </cell>
          <cell r="K641" t="str">
            <v>OTHERS</v>
          </cell>
          <cell r="L641" t="str">
            <v>Non-Sugar</v>
          </cell>
          <cell r="M641" t="str">
            <v>OEM</v>
          </cell>
          <cell r="O641" t="str">
            <v>-</v>
          </cell>
          <cell r="P641" t="str">
            <v>NI</v>
          </cell>
          <cell r="Q641" t="str">
            <v>HIMANSHU KUSHWAHA</v>
          </cell>
          <cell r="T641" t="str">
            <v>-</v>
          </cell>
          <cell r="U641">
            <v>2023</v>
          </cell>
          <cell r="W641" t="str">
            <v>-</v>
          </cell>
        </row>
        <row r="642">
          <cell r="F642" t="str">
            <v>PUNE01P052</v>
          </cell>
          <cell r="G642" t="str">
            <v>PARAG AGRO FOODS &amp; ALLIED PRODUCTS PVT LTD</v>
          </cell>
          <cell r="H642">
            <v>2018</v>
          </cell>
          <cell r="I642" t="str">
            <v>-</v>
          </cell>
          <cell r="J642" t="str">
            <v>Domestic</v>
          </cell>
          <cell r="K642" t="str">
            <v>Sugar</v>
          </cell>
          <cell r="L642" t="str">
            <v>Sugar</v>
          </cell>
          <cell r="M642" t="str">
            <v>End User</v>
          </cell>
          <cell r="N642" t="str">
            <v>(5001-9000)</v>
          </cell>
          <cell r="O642" t="str">
            <v>Sugar 5500
Distillery 84 KLPd</v>
          </cell>
          <cell r="P642" t="str">
            <v>AV</v>
          </cell>
          <cell r="Q642" t="str">
            <v>AV</v>
          </cell>
          <cell r="R642" t="str">
            <v>PD</v>
          </cell>
          <cell r="S642" t="str">
            <v>https://maps.app.goo.gl/Hq8Gr2Q9o424RaMA8</v>
          </cell>
          <cell r="T642" t="str">
            <v>Pune - 2</v>
          </cell>
          <cell r="U642" t="str">
            <v>23-24</v>
          </cell>
          <cell r="W642">
            <v>45098</v>
          </cell>
        </row>
        <row r="643">
          <cell r="F643" t="str">
            <v>VADO01P112</v>
          </cell>
          <cell r="G643" t="str">
            <v>PARAGON MACHINES</v>
          </cell>
          <cell r="H643" t="str">
            <v>23-24</v>
          </cell>
          <cell r="I643" t="str">
            <v>-</v>
          </cell>
          <cell r="J643" t="str">
            <v>Domestic</v>
          </cell>
          <cell r="K643" t="str">
            <v>OTHERS</v>
          </cell>
          <cell r="L643" t="str">
            <v>Non-Sugar</v>
          </cell>
          <cell r="M643" t="str">
            <v>OEM</v>
          </cell>
          <cell r="O643" t="str">
            <v>-</v>
          </cell>
          <cell r="P643" t="str">
            <v>NI</v>
          </cell>
          <cell r="Q643" t="str">
            <v>AKSHAY AWASTHI</v>
          </cell>
          <cell r="T643" t="str">
            <v>-</v>
          </cell>
          <cell r="U643" t="str">
            <v>-</v>
          </cell>
        </row>
        <row r="644">
          <cell r="F644" t="str">
            <v>BAHR01P006</v>
          </cell>
          <cell r="G644" t="str">
            <v>PARLE BISCUITS (P) LIMITED</v>
          </cell>
          <cell r="H644">
            <v>2013</v>
          </cell>
          <cell r="I644" t="str">
            <v>-</v>
          </cell>
          <cell r="J644" t="str">
            <v>Domestic</v>
          </cell>
          <cell r="K644" t="str">
            <v>Sugar</v>
          </cell>
          <cell r="L644" t="str">
            <v>Sugar</v>
          </cell>
          <cell r="M644" t="str">
            <v>End User</v>
          </cell>
          <cell r="N644" t="str">
            <v>(5001-9000)</v>
          </cell>
          <cell r="O644">
            <v>8600</v>
          </cell>
          <cell r="P644" t="str">
            <v>NI</v>
          </cell>
          <cell r="Q644" t="str">
            <v>AKSHAY AWASTHI</v>
          </cell>
          <cell r="S644" t="str">
            <v>https://maps.app.goo.gl/rGi9EEoZjtMTrwP97</v>
          </cell>
          <cell r="T644" t="str">
            <v>-</v>
          </cell>
          <cell r="U644" t="str">
            <v>26-27</v>
          </cell>
          <cell r="V644" t="str">
            <v>May</v>
          </cell>
          <cell r="W644" t="str">
            <v>26-05-2026
19-1-2026
30-08-2025
22-04-2025
5/20/2024</v>
          </cell>
        </row>
        <row r="645">
          <cell r="F645" t="str">
            <v>GUJA01P094</v>
          </cell>
          <cell r="G645" t="str">
            <v>PARAM KRAFT PAPER</v>
          </cell>
          <cell r="H645" t="str">
            <v>23-24</v>
          </cell>
          <cell r="I645" t="str">
            <v>-</v>
          </cell>
          <cell r="J645" t="str">
            <v>Domestic</v>
          </cell>
          <cell r="K645" t="str">
            <v>Paper</v>
          </cell>
          <cell r="L645" t="str">
            <v>Non-Sugar</v>
          </cell>
          <cell r="M645" t="str">
            <v>End User</v>
          </cell>
          <cell r="O645" t="str">
            <v>180 TPD</v>
          </cell>
          <cell r="P645" t="str">
            <v>NI</v>
          </cell>
          <cell r="Q645" t="str">
            <v>AVIRAL SHUKLA</v>
          </cell>
          <cell r="T645" t="str">
            <v>GUJARAT + PUNE</v>
          </cell>
          <cell r="U645" t="str">
            <v>25-26</v>
          </cell>
          <cell r="W645" t="str">
            <v>18-09-2025
4/24/2024</v>
          </cell>
        </row>
        <row r="646">
          <cell r="F646" t="str">
            <v>SOLP01P146</v>
          </cell>
          <cell r="G646" t="str">
            <v>PARVATI ENGINEERS</v>
          </cell>
          <cell r="H646" t="str">
            <v>24-25</v>
          </cell>
          <cell r="I646" t="str">
            <v>-</v>
          </cell>
          <cell r="J646" t="str">
            <v>Domestic</v>
          </cell>
          <cell r="K646" t="str">
            <v>OTHERS</v>
          </cell>
          <cell r="L646" t="str">
            <v>Non-Sugar</v>
          </cell>
          <cell r="M646" t="str">
            <v>OEM</v>
          </cell>
          <cell r="N646" t="str">
            <v>-</v>
          </cell>
          <cell r="O646" t="str">
            <v>-</v>
          </cell>
          <cell r="P646" t="str">
            <v>AV</v>
          </cell>
          <cell r="Q646" t="str">
            <v>AV</v>
          </cell>
          <cell r="R646" t="str">
            <v>oem</v>
          </cell>
        </row>
        <row r="647">
          <cell r="F647" t="str">
            <v>GWAL01P055</v>
          </cell>
          <cell r="G647" t="str">
            <v>PARVATI SWEETNERS AND POWER LIMITED</v>
          </cell>
          <cell r="H647">
            <v>2018</v>
          </cell>
          <cell r="I647" t="str">
            <v>-</v>
          </cell>
          <cell r="J647" t="str">
            <v>Domestic</v>
          </cell>
          <cell r="K647" t="str">
            <v>Sugar</v>
          </cell>
          <cell r="L647" t="str">
            <v>Sugar</v>
          </cell>
          <cell r="M647" t="str">
            <v>End User</v>
          </cell>
          <cell r="N647" t="str">
            <v>(0-5000)</v>
          </cell>
          <cell r="O647">
            <v>2500</v>
          </cell>
          <cell r="P647" t="str">
            <v>NI</v>
          </cell>
          <cell r="Q647" t="str">
            <v>HIMANSHU KUSHWAHA</v>
          </cell>
          <cell r="T647" t="str">
            <v>-</v>
          </cell>
          <cell r="U647" t="str">
            <v>26-27</v>
          </cell>
          <cell r="V647" t="str">
            <v>Apr</v>
          </cell>
          <cell r="W647" t="str">
            <v>24-4-2026
07-08-2024
22-02-2024</v>
          </cell>
        </row>
        <row r="648">
          <cell r="F648" t="str">
            <v>HARD01P173</v>
          </cell>
          <cell r="G648" t="str">
            <v>PATANJALI NATURAL COLOROMA PVT LTD</v>
          </cell>
          <cell r="H648" t="str">
            <v>-</v>
          </cell>
          <cell r="J648" t="str">
            <v>Domestic</v>
          </cell>
          <cell r="P648" t="str">
            <v>HO</v>
          </cell>
          <cell r="Q648" t="str">
            <v>-</v>
          </cell>
        </row>
        <row r="649">
          <cell r="F649" t="str">
            <v>ARGB01P143</v>
          </cell>
          <cell r="G649" t="str">
            <v>PENGANGA SAKHAR KARKHANA PVT. LTD</v>
          </cell>
          <cell r="H649" t="str">
            <v>24-25</v>
          </cell>
          <cell r="I649" t="str">
            <v>-</v>
          </cell>
          <cell r="J649" t="str">
            <v>Domestic</v>
          </cell>
          <cell r="K649" t="str">
            <v>Sugar</v>
          </cell>
          <cell r="L649" t="str">
            <v>Sugar</v>
          </cell>
          <cell r="M649" t="str">
            <v>End User</v>
          </cell>
          <cell r="N649" t="str">
            <v>(0-5000)</v>
          </cell>
          <cell r="O649">
            <v>800</v>
          </cell>
          <cell r="P649" t="str">
            <v>AV</v>
          </cell>
          <cell r="Q649" t="str">
            <v>AV</v>
          </cell>
          <cell r="R649" t="str">
            <v>PD</v>
          </cell>
          <cell r="S649" t="str">
            <v>NA</v>
          </cell>
          <cell r="T649" t="str">
            <v>Aurangabad - 1</v>
          </cell>
          <cell r="U649" t="str">
            <v>25-26</v>
          </cell>
          <cell r="W649" t="str">
            <v>13-12-2025</v>
          </cell>
        </row>
        <row r="650">
          <cell r="F650" t="str">
            <v>PERA01P011</v>
          </cell>
          <cell r="G650" t="str">
            <v>PERAMBALUR SUGAR MILLS LTD.</v>
          </cell>
          <cell r="H650">
            <v>2013</v>
          </cell>
          <cell r="I650" t="str">
            <v>-</v>
          </cell>
          <cell r="J650" t="str">
            <v>Domestic</v>
          </cell>
          <cell r="K650" t="str">
            <v>Sugar</v>
          </cell>
          <cell r="L650" t="str">
            <v>Sugar</v>
          </cell>
          <cell r="M650" t="str">
            <v>End User</v>
          </cell>
          <cell r="N650" t="str">
            <v>(0-5000)</v>
          </cell>
          <cell r="O650">
            <v>3000</v>
          </cell>
          <cell r="P650" t="str">
            <v>SI-GS</v>
          </cell>
          <cell r="Q650" t="str">
            <v>SI-GS</v>
          </cell>
          <cell r="S650" t="str">
            <v>https://maps.app.goo.gl/MfEaQzGD6SwoADVG6</v>
          </cell>
          <cell r="W650">
            <v>45405</v>
          </cell>
        </row>
        <row r="651">
          <cell r="F651" t="str">
            <v>EGPT01P059</v>
          </cell>
          <cell r="G651" t="str">
            <v>PHAGA INDUSTRIES S.A.E. (Green field)</v>
          </cell>
          <cell r="H651" t="str">
            <v>20-21</v>
          </cell>
          <cell r="I651" t="str">
            <v>-</v>
          </cell>
          <cell r="J651" t="str">
            <v>Export</v>
          </cell>
          <cell r="K651" t="str">
            <v>Sugar</v>
          </cell>
          <cell r="L651" t="str">
            <v>Sugar</v>
          </cell>
          <cell r="M651" t="str">
            <v>Trader</v>
          </cell>
          <cell r="O651" t="str">
            <v>-</v>
          </cell>
          <cell r="P651" t="str">
            <v>NI</v>
          </cell>
          <cell r="Q651" t="str">
            <v>AVIRAL SHUKLA</v>
          </cell>
          <cell r="S651" t="str">
            <v>https://maps.app.goo.gl/6NwHGb15iKpVAwrt9</v>
          </cell>
          <cell r="T651" t="str">
            <v>-</v>
          </cell>
          <cell r="U651" t="str">
            <v>-</v>
          </cell>
        </row>
        <row r="652">
          <cell r="F652" t="str">
            <v>INDR01P033</v>
          </cell>
          <cell r="G652" t="str">
            <v>PHARMACEUTICAL MACHINERY-MFG. WORKS</v>
          </cell>
          <cell r="H652" t="str">
            <v>19-20</v>
          </cell>
          <cell r="I652" t="str">
            <v>-</v>
          </cell>
          <cell r="J652" t="str">
            <v>Domestic</v>
          </cell>
          <cell r="K652" t="str">
            <v>OTHERS</v>
          </cell>
          <cell r="L652" t="str">
            <v>Non-Sugar</v>
          </cell>
          <cell r="M652" t="str">
            <v>OEM</v>
          </cell>
          <cell r="O652" t="str">
            <v>-</v>
          </cell>
          <cell r="P652" t="str">
            <v>NI</v>
          </cell>
          <cell r="Q652" t="str">
            <v>HIMANSHU KUSHWAHA</v>
          </cell>
          <cell r="T652" t="str">
            <v>-</v>
          </cell>
          <cell r="U652" t="str">
            <v>24-25</v>
          </cell>
          <cell r="W652" t="str">
            <v>29-01-2025</v>
          </cell>
        </row>
        <row r="653">
          <cell r="F653" t="str">
            <v>KARN01P030</v>
          </cell>
          <cell r="G653" t="str">
            <v>PICCADILY AGRO INDUSTRIES LTD</v>
          </cell>
          <cell r="H653">
            <v>2017</v>
          </cell>
          <cell r="I653" t="str">
            <v>-</v>
          </cell>
          <cell r="J653" t="str">
            <v>Domestic</v>
          </cell>
          <cell r="K653" t="str">
            <v>Sugar</v>
          </cell>
          <cell r="L653" t="str">
            <v>Sugar</v>
          </cell>
          <cell r="M653" t="str">
            <v>End User</v>
          </cell>
          <cell r="N653" t="str">
            <v>(0-5000)</v>
          </cell>
          <cell r="O653">
            <v>3000</v>
          </cell>
          <cell r="P653" t="str">
            <v>NI</v>
          </cell>
          <cell r="Q653" t="str">
            <v>AKSHAY AWASTHI</v>
          </cell>
          <cell r="S653" t="str">
            <v>https://maps.app.goo.gl/HpuJ3uBt7n2c37tg7</v>
          </cell>
          <cell r="T653" t="str">
            <v>Punjab + Haryana tour</v>
          </cell>
          <cell r="U653" t="str">
            <v>25-26</v>
          </cell>
          <cell r="V653" t="str">
            <v>Feb</v>
          </cell>
          <cell r="W653" t="str">
            <v>26-02-2026</v>
          </cell>
        </row>
        <row r="654">
          <cell r="F654" t="str">
            <v>RAIG01P012</v>
          </cell>
          <cell r="G654" t="str">
            <v>PIDILITE INDUSTRIES LIMITED</v>
          </cell>
          <cell r="H654">
            <v>2016</v>
          </cell>
          <cell r="I654" t="str">
            <v>-</v>
          </cell>
          <cell r="J654" t="str">
            <v>Domestic</v>
          </cell>
          <cell r="K654" t="str">
            <v>OTHERS</v>
          </cell>
          <cell r="L654" t="str">
            <v>Non-Sugar</v>
          </cell>
          <cell r="M654" t="str">
            <v>End User</v>
          </cell>
          <cell r="O654" t="str">
            <v>-</v>
          </cell>
          <cell r="P654" t="str">
            <v>NI</v>
          </cell>
          <cell r="Q654" t="str">
            <v>AVIRAL SHUKLA</v>
          </cell>
          <cell r="T654" t="str">
            <v>-</v>
          </cell>
          <cell r="U654" t="str">
            <v>-</v>
          </cell>
        </row>
        <row r="655">
          <cell r="F655" t="str">
            <v>AHMD01P053</v>
          </cell>
          <cell r="G655" t="str">
            <v>PIYUSH SUGAR AND POWER PVT. LTD (formerly NAGAR TALUKA SSKL)</v>
          </cell>
          <cell r="H655">
            <v>2017</v>
          </cell>
          <cell r="I655" t="str">
            <v>-</v>
          </cell>
          <cell r="J655" t="str">
            <v>Domestic</v>
          </cell>
          <cell r="K655" t="str">
            <v>Sugar</v>
          </cell>
          <cell r="L655" t="str">
            <v>Sugar</v>
          </cell>
          <cell r="M655" t="str">
            <v>End User</v>
          </cell>
          <cell r="N655" t="str">
            <v>(0-5000)</v>
          </cell>
          <cell r="O655" t="str">
            <v>Sugar 2500
Distillery 45 KLPD</v>
          </cell>
          <cell r="P655" t="str">
            <v>AV</v>
          </cell>
          <cell r="Q655" t="str">
            <v>AV</v>
          </cell>
          <cell r="R655" t="str">
            <v>PD</v>
          </cell>
          <cell r="T655" t="str">
            <v>Ahmednagar - 2</v>
          </cell>
          <cell r="U655" t="str">
            <v>23-24</v>
          </cell>
          <cell r="W655">
            <v>45141</v>
          </cell>
        </row>
        <row r="656">
          <cell r="F656" t="str">
            <v>KANP01P100</v>
          </cell>
          <cell r="G656" t="str">
            <v>PLASTIC ENGINEERS &amp; FABRICATORS</v>
          </cell>
          <cell r="H656" t="str">
            <v>23-24</v>
          </cell>
          <cell r="I656" t="str">
            <v>-</v>
          </cell>
          <cell r="J656" t="str">
            <v>Domestic</v>
          </cell>
          <cell r="K656" t="str">
            <v>OTHERS</v>
          </cell>
          <cell r="L656" t="str">
            <v>Non-Sugar</v>
          </cell>
          <cell r="M656" t="str">
            <v>Trader</v>
          </cell>
          <cell r="O656" t="str">
            <v>-</v>
          </cell>
          <cell r="P656" t="str">
            <v>NI</v>
          </cell>
          <cell r="Q656" t="str">
            <v>AVIRAL SHUKLA</v>
          </cell>
          <cell r="T656" t="str">
            <v>-</v>
          </cell>
          <cell r="U656" t="str">
            <v>-</v>
          </cell>
          <cell r="W656" t="str">
            <v>-</v>
          </cell>
        </row>
        <row r="657">
          <cell r="F657" t="str">
            <v>EROD01P014</v>
          </cell>
          <cell r="G657" t="str">
            <v>PONNI SUGARS (ERODE) LIMITED</v>
          </cell>
          <cell r="H657">
            <v>2013</v>
          </cell>
          <cell r="I657" t="str">
            <v>-</v>
          </cell>
          <cell r="J657" t="str">
            <v>Domestic</v>
          </cell>
          <cell r="K657" t="str">
            <v>Sugar</v>
          </cell>
          <cell r="L657" t="str">
            <v>Sugar</v>
          </cell>
          <cell r="M657" t="str">
            <v>End User</v>
          </cell>
          <cell r="N657" t="str">
            <v>(0-5000)</v>
          </cell>
          <cell r="O657">
            <v>3500</v>
          </cell>
          <cell r="P657" t="str">
            <v>SI-GS</v>
          </cell>
          <cell r="Q657" t="str">
            <v>SI-GS</v>
          </cell>
          <cell r="S657" t="str">
            <v>https://maps.app.goo.gl/MYttnt4J2mmvUby18</v>
          </cell>
          <cell r="W657" t="str">
            <v>29-3-2025</v>
          </cell>
        </row>
        <row r="658">
          <cell r="F658" t="str">
            <v>DLHI01P122</v>
          </cell>
          <cell r="G658" t="str">
            <v>Power2sme Pvt Ltd (VEDANTA)</v>
          </cell>
          <cell r="H658" t="str">
            <v>24-25</v>
          </cell>
          <cell r="I658" t="str">
            <v>-</v>
          </cell>
          <cell r="J658" t="str">
            <v>Domestic</v>
          </cell>
          <cell r="K658" t="str">
            <v>OTHERS</v>
          </cell>
          <cell r="L658" t="str">
            <v>Non-Sugar</v>
          </cell>
          <cell r="M658" t="str">
            <v>Trader</v>
          </cell>
          <cell r="O658" t="str">
            <v>-</v>
          </cell>
          <cell r="P658" t="str">
            <v>NI</v>
          </cell>
          <cell r="Q658" t="str">
            <v>AKSHAY AWASTHI</v>
          </cell>
          <cell r="T658" t="str">
            <v>-</v>
          </cell>
          <cell r="U658" t="str">
            <v>-</v>
          </cell>
          <cell r="W658" t="str">
            <v>-</v>
          </cell>
        </row>
        <row r="659">
          <cell r="F659" t="str">
            <v>SANG01P069</v>
          </cell>
          <cell r="G659" t="str">
            <v>PRAGATI ENGINEERING WORKS SHIROL(PRATEEK FABRICATORS)</v>
          </cell>
          <cell r="H659" t="str">
            <v>22-23</v>
          </cell>
          <cell r="I659" t="str">
            <v>-</v>
          </cell>
          <cell r="J659" t="str">
            <v>Domestic</v>
          </cell>
          <cell r="K659" t="str">
            <v>Other</v>
          </cell>
          <cell r="L659" t="str">
            <v>Non-Sugar</v>
          </cell>
          <cell r="M659" t="str">
            <v>OEM</v>
          </cell>
          <cell r="O659" t="str">
            <v>-</v>
          </cell>
          <cell r="P659" t="str">
            <v>NI</v>
          </cell>
          <cell r="Q659" t="str">
            <v>AKSHAY AWASTHI</v>
          </cell>
          <cell r="T659" t="str">
            <v>-</v>
          </cell>
          <cell r="U659" t="str">
            <v>-</v>
          </cell>
        </row>
        <row r="660">
          <cell r="F660" t="str">
            <v>PUNE01P175</v>
          </cell>
          <cell r="G660" t="str">
            <v>PRAJ INDUSTRIES LIMITED</v>
          </cell>
          <cell r="H660" t="str">
            <v>25-26</v>
          </cell>
          <cell r="J660" t="str">
            <v>Domestic</v>
          </cell>
          <cell r="K660" t="str">
            <v>Sugar</v>
          </cell>
          <cell r="L660" t="str">
            <v>Sugar</v>
          </cell>
          <cell r="M660" t="str">
            <v>OEM</v>
          </cell>
          <cell r="P660" t="str">
            <v>NI</v>
          </cell>
          <cell r="Q660" t="str">
            <v>AKSHAY AWASTHI</v>
          </cell>
          <cell r="S660" t="str">
            <v>https://maps.app.goo.gl/oGASXo9wcnXFFUSf6</v>
          </cell>
          <cell r="U660" t="str">
            <v>26-27</v>
          </cell>
          <cell r="V660" t="str">
            <v>Mar</v>
          </cell>
          <cell r="W660" t="str">
            <v>18-03-2026</v>
          </cell>
        </row>
        <row r="661">
          <cell r="F661" t="str">
            <v>MUMB01P176</v>
          </cell>
          <cell r="G661" t="str">
            <v>PRAJ INDUSTRIES LIMITED - NAVI</v>
          </cell>
          <cell r="H661" t="str">
            <v>-</v>
          </cell>
          <cell r="J661" t="str">
            <v>Domestic</v>
          </cell>
          <cell r="P661" t="str">
            <v>HO</v>
          </cell>
          <cell r="Q661" t="str">
            <v>-</v>
          </cell>
        </row>
        <row r="662">
          <cell r="F662" t="str">
            <v>PUNE01P015</v>
          </cell>
          <cell r="G662" t="str">
            <v>PRAJ INDUSTRIES LTD</v>
          </cell>
          <cell r="H662">
            <v>2016</v>
          </cell>
          <cell r="I662" t="str">
            <v>-</v>
          </cell>
          <cell r="J662" t="str">
            <v>Domestic</v>
          </cell>
          <cell r="K662" t="str">
            <v>Sugar</v>
          </cell>
          <cell r="L662" t="str">
            <v>Sugar</v>
          </cell>
          <cell r="M662" t="str">
            <v>OEM</v>
          </cell>
          <cell r="O662" t="str">
            <v>-</v>
          </cell>
          <cell r="P662" t="str">
            <v>NI</v>
          </cell>
          <cell r="Q662" t="str">
            <v>AKSHAY AWASTHI</v>
          </cell>
          <cell r="T662" t="str">
            <v>-</v>
          </cell>
          <cell r="U662" t="str">
            <v>24-25</v>
          </cell>
          <cell r="W662" t="str">
            <v>30-08-2024
12-11-2024</v>
          </cell>
        </row>
        <row r="663">
          <cell r="F663" t="str">
            <v>AHMD01P021</v>
          </cell>
          <cell r="G663" t="str">
            <v>PRASAD SUGAR AND ALLIED AGRO PRODUCTS LTD. VAMBORI</v>
          </cell>
          <cell r="H663">
            <v>2013</v>
          </cell>
          <cell r="I663" t="str">
            <v>-</v>
          </cell>
          <cell r="J663" t="str">
            <v>Domestic</v>
          </cell>
          <cell r="K663" t="str">
            <v>Sugar</v>
          </cell>
          <cell r="L663" t="str">
            <v>Sugar</v>
          </cell>
          <cell r="M663" t="str">
            <v>End User</v>
          </cell>
          <cell r="N663" t="str">
            <v>(0-5000)</v>
          </cell>
          <cell r="O663">
            <v>4000</v>
          </cell>
          <cell r="P663" t="str">
            <v>AV</v>
          </cell>
          <cell r="Q663" t="str">
            <v>AV</v>
          </cell>
          <cell r="R663" t="str">
            <v>PD</v>
          </cell>
          <cell r="S663" t="str">
            <v>https://share.google/VKdVbUkHZqMTWegx4</v>
          </cell>
          <cell r="T663" t="str">
            <v>Ahmednagar - 2</v>
          </cell>
          <cell r="U663" t="str">
            <v>25-26</v>
          </cell>
          <cell r="W663" t="str">
            <v>19-11-2025
8/2/2023</v>
          </cell>
        </row>
        <row r="664">
          <cell r="F664" t="str">
            <v>PUNE01P016</v>
          </cell>
          <cell r="G664" t="str">
            <v>PRAVIN MASALEWALE</v>
          </cell>
          <cell r="H664">
            <v>2013</v>
          </cell>
          <cell r="I664" t="str">
            <v>-</v>
          </cell>
          <cell r="J664" t="str">
            <v>Domestic</v>
          </cell>
          <cell r="K664" t="str">
            <v>OTHERS</v>
          </cell>
          <cell r="L664" t="str">
            <v>Non-Sugar</v>
          </cell>
          <cell r="M664" t="str">
            <v>End User</v>
          </cell>
          <cell r="O664" t="str">
            <v>-</v>
          </cell>
          <cell r="P664" t="str">
            <v>NI</v>
          </cell>
          <cell r="Q664" t="str">
            <v>AVIRAL SHUKLA</v>
          </cell>
          <cell r="T664" t="str">
            <v>MAHARASHTRA + KARNATAKA</v>
          </cell>
          <cell r="U664" t="str">
            <v>25-26</v>
          </cell>
          <cell r="W664">
            <v>45876</v>
          </cell>
        </row>
        <row r="665">
          <cell r="F665" t="str">
            <v>JAMM01P071</v>
          </cell>
          <cell r="G665" t="str">
            <v>PREVEST DENPRO LIMITED</v>
          </cell>
          <cell r="H665" t="str">
            <v>22-23</v>
          </cell>
          <cell r="I665" t="str">
            <v>-</v>
          </cell>
          <cell r="J665" t="str">
            <v>Domestic</v>
          </cell>
          <cell r="K665" t="str">
            <v>OTHERS</v>
          </cell>
          <cell r="L665" t="str">
            <v>Non-Sugar</v>
          </cell>
          <cell r="M665" t="str">
            <v>End User</v>
          </cell>
          <cell r="O665" t="str">
            <v>-</v>
          </cell>
          <cell r="P665" t="str">
            <v>NI</v>
          </cell>
          <cell r="Q665" t="str">
            <v>AVIRAL SHUKLA</v>
          </cell>
          <cell r="T665" t="str">
            <v>-</v>
          </cell>
          <cell r="U665" t="str">
            <v>-</v>
          </cell>
          <cell r="W665" t="str">
            <v>-</v>
          </cell>
        </row>
        <row r="666">
          <cell r="F666" t="str">
            <v>PUNE01P061</v>
          </cell>
          <cell r="G666" t="str">
            <v>PROCIENT ENGINEERING PVT LTD</v>
          </cell>
          <cell r="H666" t="str">
            <v>21-22</v>
          </cell>
          <cell r="I666" t="str">
            <v>-</v>
          </cell>
          <cell r="J666" t="str">
            <v>Domestic</v>
          </cell>
          <cell r="K666" t="str">
            <v>Sugar</v>
          </cell>
          <cell r="L666" t="str">
            <v>Sugar</v>
          </cell>
          <cell r="M666" t="str">
            <v>OEM</v>
          </cell>
          <cell r="O666" t="str">
            <v>-</v>
          </cell>
          <cell r="P666" t="str">
            <v>NI</v>
          </cell>
          <cell r="Q666" t="str">
            <v>AKSHAY AWASTHI</v>
          </cell>
          <cell r="T666" t="str">
            <v>GUJARAT + PUNE</v>
          </cell>
          <cell r="U666" t="str">
            <v>26-27</v>
          </cell>
          <cell r="V666" t="str">
            <v>Apr</v>
          </cell>
          <cell r="W666" t="str">
            <v>2-4-2026
24-09-2025
14-11-2024
31-08-2024</v>
          </cell>
        </row>
        <row r="667">
          <cell r="F667" t="str">
            <v>PHIL01P035</v>
          </cell>
          <cell r="G667" t="str">
            <v>PROFOOD INTERNATIONAL CORP.</v>
          </cell>
          <cell r="H667">
            <v>2015</v>
          </cell>
          <cell r="I667" t="str">
            <v>-</v>
          </cell>
          <cell r="J667" t="str">
            <v>Export</v>
          </cell>
          <cell r="K667" t="str">
            <v>Food</v>
          </cell>
          <cell r="L667" t="str">
            <v>Non-Sugar</v>
          </cell>
          <cell r="M667" t="str">
            <v>End User</v>
          </cell>
          <cell r="O667" t="str">
            <v>-</v>
          </cell>
          <cell r="P667" t="str">
            <v>VA-SS</v>
          </cell>
          <cell r="Q667" t="str">
            <v>SHIVANU SHUKLA</v>
          </cell>
          <cell r="T667" t="str">
            <v>-</v>
          </cell>
          <cell r="U667" t="str">
            <v>-</v>
          </cell>
        </row>
        <row r="668">
          <cell r="F668" t="str">
            <v>PUNE01P142</v>
          </cell>
          <cell r="G668" t="str">
            <v>PROJEXCEL_ DOLLEX AGROTECH-GWALIOR (DOLLEX AGROTECH)</v>
          </cell>
          <cell r="H668" t="str">
            <v>24-25</v>
          </cell>
          <cell r="I668" t="str">
            <v>-</v>
          </cell>
          <cell r="J668" t="str">
            <v>Domestic</v>
          </cell>
          <cell r="K668" t="str">
            <v>Sugar</v>
          </cell>
          <cell r="L668" t="str">
            <v>Sugar</v>
          </cell>
          <cell r="M668" t="str">
            <v>End User</v>
          </cell>
          <cell r="O668" t="str">
            <v>-</v>
          </cell>
          <cell r="P668" t="str">
            <v>NI</v>
          </cell>
          <cell r="Q668" t="str">
            <v>AVIRAL SHUKLA</v>
          </cell>
        </row>
        <row r="669">
          <cell r="F669" t="str">
            <v>KASH01P120</v>
          </cell>
          <cell r="G669" t="str">
            <v>PROLIFIC PAPERS PRIVATE LIMITED</v>
          </cell>
          <cell r="H669" t="str">
            <v>23-24</v>
          </cell>
          <cell r="I669" t="str">
            <v>-</v>
          </cell>
          <cell r="J669" t="str">
            <v>Domestic</v>
          </cell>
          <cell r="K669" t="str">
            <v>Paper</v>
          </cell>
          <cell r="L669" t="str">
            <v>Non-Sugar</v>
          </cell>
          <cell r="M669" t="str">
            <v>End User</v>
          </cell>
          <cell r="O669" t="str">
            <v>-</v>
          </cell>
          <cell r="P669" t="str">
            <v>NI</v>
          </cell>
          <cell r="Q669" t="str">
            <v>AVIRAL SHUKLA</v>
          </cell>
          <cell r="T669" t="str">
            <v>CENTRAL</v>
          </cell>
          <cell r="U669" t="str">
            <v>25-26</v>
          </cell>
          <cell r="W669" t="str">
            <v>3-2-2026
16-01-2025</v>
          </cell>
        </row>
        <row r="670">
          <cell r="F670" t="str">
            <v>AGRA01P174</v>
          </cell>
          <cell r="G670" t="str">
            <v>PROTAGON BIOCHEM</v>
          </cell>
          <cell r="H670" t="str">
            <v>-</v>
          </cell>
          <cell r="J670" t="str">
            <v>Domestic</v>
          </cell>
          <cell r="P670" t="str">
            <v>HO</v>
          </cell>
          <cell r="Q670" t="str">
            <v>AVIRAL SHUKLA</v>
          </cell>
          <cell r="R670" t="str">
            <v>AMIT SRIVASTAVA</v>
          </cell>
          <cell r="U670" t="str">
            <v>25-26</v>
          </cell>
          <cell r="W670">
            <v>46268</v>
          </cell>
        </row>
        <row r="671">
          <cell r="F671" t="str">
            <v>JAKA01P098</v>
          </cell>
          <cell r="G671" t="str">
            <v>PT GALATIAN INDUSTRIAL SYESTEM</v>
          </cell>
          <cell r="H671" t="str">
            <v>25-26</v>
          </cell>
          <cell r="I671" t="str">
            <v>-</v>
          </cell>
          <cell r="J671" t="str">
            <v>Export</v>
          </cell>
          <cell r="K671" t="str">
            <v>Sugar</v>
          </cell>
          <cell r="L671" t="str">
            <v>Sugar</v>
          </cell>
          <cell r="M671" t="str">
            <v>OEM</v>
          </cell>
          <cell r="O671" t="str">
            <v>-</v>
          </cell>
          <cell r="P671" t="str">
            <v>VA-SS</v>
          </cell>
          <cell r="Q671" t="str">
            <v>SHIVANU SHUKLA</v>
          </cell>
          <cell r="T671" t="str">
            <v>-</v>
          </cell>
          <cell r="U671" t="str">
            <v>-</v>
          </cell>
          <cell r="W671" t="str">
            <v>-</v>
          </cell>
        </row>
        <row r="672">
          <cell r="F672" t="str">
            <v>JAKA01P083</v>
          </cell>
          <cell r="G672" t="str">
            <v>PT CAHYA BINTANG KAMULYAN</v>
          </cell>
          <cell r="H672" t="str">
            <v>24-25</v>
          </cell>
          <cell r="I672" t="str">
            <v>-</v>
          </cell>
          <cell r="J672" t="str">
            <v>Export</v>
          </cell>
          <cell r="K672" t="str">
            <v>Sugar</v>
          </cell>
          <cell r="L672" t="str">
            <v>Sugar</v>
          </cell>
          <cell r="M672" t="str">
            <v>OEM</v>
          </cell>
          <cell r="O672" t="str">
            <v>-</v>
          </cell>
          <cell r="P672" t="str">
            <v>VA-SS</v>
          </cell>
          <cell r="Q672" t="str">
            <v>SHIVANU SHUKLA</v>
          </cell>
          <cell r="T672" t="str">
            <v>-</v>
          </cell>
          <cell r="U672" t="str">
            <v>-</v>
          </cell>
          <cell r="W672" t="str">
            <v>-</v>
          </cell>
        </row>
        <row r="673">
          <cell r="F673" t="str">
            <v>JAKA01P136</v>
          </cell>
          <cell r="G673" t="str">
            <v>PT DHARMAPALA USAHA SUKSES(unit 2)</v>
          </cell>
          <cell r="H673">
            <v>2013</v>
          </cell>
          <cell r="I673" t="str">
            <v>-</v>
          </cell>
          <cell r="J673" t="str">
            <v>Export</v>
          </cell>
          <cell r="K673" t="str">
            <v>Sugar</v>
          </cell>
          <cell r="L673" t="str">
            <v>Sugar</v>
          </cell>
          <cell r="M673" t="str">
            <v>OEM</v>
          </cell>
          <cell r="O673" t="str">
            <v>-</v>
          </cell>
          <cell r="P673" t="str">
            <v>VA-SS</v>
          </cell>
          <cell r="Q673" t="str">
            <v>SHIVANU SHUKLA</v>
          </cell>
        </row>
        <row r="674">
          <cell r="F674" t="str">
            <v>JAKA01P105</v>
          </cell>
          <cell r="G674" t="str">
            <v>PT PUTRA ANDALAN PERKASA</v>
          </cell>
          <cell r="H674" t="str">
            <v>25-26</v>
          </cell>
          <cell r="I674" t="str">
            <v>-</v>
          </cell>
          <cell r="J674" t="str">
            <v>Export</v>
          </cell>
          <cell r="K674" t="str">
            <v>Sugar</v>
          </cell>
          <cell r="L674" t="str">
            <v>Non-Sugar</v>
          </cell>
          <cell r="M674" t="str">
            <v>OEM</v>
          </cell>
          <cell r="O674" t="str">
            <v>-</v>
          </cell>
          <cell r="P674" t="str">
            <v>VA-SS</v>
          </cell>
          <cell r="Q674" t="str">
            <v>SHIVANU SHUKLA</v>
          </cell>
          <cell r="T674" t="str">
            <v>-</v>
          </cell>
          <cell r="U674" t="str">
            <v>-</v>
          </cell>
          <cell r="W674" t="str">
            <v>-</v>
          </cell>
        </row>
        <row r="675">
          <cell r="F675" t="str">
            <v>JAKA01P156</v>
          </cell>
          <cell r="G675" t="str">
            <v>PT. ALSA ENGINEERING SOLUTION TRADING</v>
          </cell>
          <cell r="H675" t="str">
            <v>25-26</v>
          </cell>
          <cell r="I675" t="str">
            <v>-</v>
          </cell>
          <cell r="J675" t="str">
            <v>Export</v>
          </cell>
          <cell r="K675" t="str">
            <v>Sugar</v>
          </cell>
          <cell r="L675" t="str">
            <v>Sugar</v>
          </cell>
          <cell r="M675" t="str">
            <v>OEM</v>
          </cell>
          <cell r="O675" t="str">
            <v>-</v>
          </cell>
          <cell r="P675" t="str">
            <v>VA-SS</v>
          </cell>
          <cell r="Q675" t="str">
            <v>SHIVANU SHUKLA</v>
          </cell>
        </row>
        <row r="676">
          <cell r="F676" t="str">
            <v>JAKA01P043</v>
          </cell>
          <cell r="G676" t="str">
            <v>PT. DAYA ESA MULYA MANDIRI</v>
          </cell>
          <cell r="H676">
            <v>2015</v>
          </cell>
          <cell r="I676" t="str">
            <v>-</v>
          </cell>
          <cell r="J676" t="str">
            <v>Export</v>
          </cell>
          <cell r="K676" t="str">
            <v>Sugar</v>
          </cell>
          <cell r="L676" t="str">
            <v>Sugar</v>
          </cell>
          <cell r="M676" t="str">
            <v>OEM</v>
          </cell>
          <cell r="O676" t="str">
            <v>-</v>
          </cell>
          <cell r="P676" t="str">
            <v>VA-SS</v>
          </cell>
          <cell r="Q676" t="str">
            <v>SHIVANU SHUKLA</v>
          </cell>
          <cell r="T676" t="str">
            <v>-</v>
          </cell>
          <cell r="U676" t="str">
            <v>-</v>
          </cell>
          <cell r="W676" t="str">
            <v>-</v>
          </cell>
        </row>
        <row r="677">
          <cell r="F677" t="str">
            <v>JAKA01P024</v>
          </cell>
          <cell r="G677" t="str">
            <v>PT. DHARMAPALA USAHA SUKSES(unit 1)</v>
          </cell>
          <cell r="H677">
            <v>2013</v>
          </cell>
          <cell r="I677" t="str">
            <v>-</v>
          </cell>
          <cell r="J677" t="str">
            <v>Export</v>
          </cell>
          <cell r="K677" t="str">
            <v>Sugar</v>
          </cell>
          <cell r="L677" t="str">
            <v>Sugar</v>
          </cell>
          <cell r="M677" t="str">
            <v>OEM</v>
          </cell>
          <cell r="O677" t="str">
            <v>-</v>
          </cell>
          <cell r="P677" t="str">
            <v>VA-SS</v>
          </cell>
          <cell r="Q677" t="str">
            <v>SHIVANU SHUKLA</v>
          </cell>
          <cell r="S677" t="str">
            <v>https://maps.app.goo.gl/MZvS37KNy22jqkvA6</v>
          </cell>
          <cell r="T677" t="str">
            <v>-</v>
          </cell>
          <cell r="U677" t="str">
            <v>-</v>
          </cell>
          <cell r="W677" t="str">
            <v>-</v>
          </cell>
        </row>
        <row r="678">
          <cell r="F678" t="str">
            <v>SURD01P028</v>
          </cell>
          <cell r="G678" t="str">
            <v>PT. INTER MULTICON KRISTAL SENTRA</v>
          </cell>
          <cell r="H678" t="str">
            <v>20-21</v>
          </cell>
          <cell r="I678" t="str">
            <v>-</v>
          </cell>
          <cell r="J678" t="str">
            <v>Export</v>
          </cell>
          <cell r="K678" t="str">
            <v>Sugar</v>
          </cell>
          <cell r="L678" t="str">
            <v>Sugar</v>
          </cell>
          <cell r="M678" t="str">
            <v>OEM</v>
          </cell>
          <cell r="O678" t="str">
            <v>-</v>
          </cell>
          <cell r="P678" t="str">
            <v>VA-SS</v>
          </cell>
          <cell r="Q678" t="str">
            <v>SHIVANU SHUKLA</v>
          </cell>
          <cell r="T678" t="str">
            <v>-</v>
          </cell>
          <cell r="U678" t="str">
            <v>-</v>
          </cell>
          <cell r="W678" t="str">
            <v>-</v>
          </cell>
        </row>
        <row r="679">
          <cell r="F679" t="str">
            <v>JAKA01P063</v>
          </cell>
          <cell r="G679" t="str">
            <v>PT. LIENETIC JAYA</v>
          </cell>
          <cell r="H679" t="str">
            <v>21-22</v>
          </cell>
          <cell r="I679" t="str">
            <v>-</v>
          </cell>
          <cell r="J679" t="str">
            <v>Export</v>
          </cell>
          <cell r="K679" t="str">
            <v>Sugar</v>
          </cell>
          <cell r="L679" t="str">
            <v>Sugar</v>
          </cell>
          <cell r="M679" t="str">
            <v>OEM</v>
          </cell>
          <cell r="O679" t="str">
            <v>-</v>
          </cell>
          <cell r="P679" t="str">
            <v>VA-SS</v>
          </cell>
          <cell r="Q679" t="str">
            <v>SHIVANU SHUKLA</v>
          </cell>
          <cell r="T679" t="str">
            <v>-</v>
          </cell>
          <cell r="U679" t="str">
            <v>-</v>
          </cell>
          <cell r="W679" t="str">
            <v>-</v>
          </cell>
        </row>
        <row r="680">
          <cell r="F680" t="str">
            <v>JAKA01P106</v>
          </cell>
          <cell r="G680" t="str">
            <v>PT. PEMUKASAKTI MANISINDAH</v>
          </cell>
          <cell r="H680" t="str">
            <v>23-24</v>
          </cell>
          <cell r="I680" t="str">
            <v>-</v>
          </cell>
          <cell r="J680" t="str">
            <v>Export</v>
          </cell>
          <cell r="K680" t="str">
            <v>Sugar</v>
          </cell>
          <cell r="L680" t="str">
            <v>Sugar</v>
          </cell>
          <cell r="M680" t="str">
            <v>End User</v>
          </cell>
          <cell r="O680" t="str">
            <v>-</v>
          </cell>
          <cell r="P680" t="str">
            <v>NI</v>
          </cell>
          <cell r="Q680" t="str">
            <v>AVIRAL SHUKLA</v>
          </cell>
          <cell r="T680" t="str">
            <v>-</v>
          </cell>
          <cell r="U680" t="str">
            <v>-</v>
          </cell>
          <cell r="W680" t="str">
            <v>-</v>
          </cell>
        </row>
        <row r="681">
          <cell r="F681" t="str">
            <v>JAKA01P057</v>
          </cell>
          <cell r="G681" t="str">
            <v>PT. WIRA RANGA CIPTA</v>
          </cell>
          <cell r="H681" t="str">
            <v>19-20</v>
          </cell>
          <cell r="I681" t="str">
            <v>-</v>
          </cell>
          <cell r="J681" t="str">
            <v>Export</v>
          </cell>
          <cell r="K681" t="str">
            <v>Sugar</v>
          </cell>
          <cell r="L681" t="str">
            <v>Sugar</v>
          </cell>
          <cell r="M681" t="str">
            <v>OEM</v>
          </cell>
          <cell r="O681" t="str">
            <v>-</v>
          </cell>
          <cell r="P681" t="str">
            <v>VA-SS</v>
          </cell>
          <cell r="Q681" t="str">
            <v>SHIVANU SHUKLA</v>
          </cell>
          <cell r="T681" t="str">
            <v>-</v>
          </cell>
          <cell r="U681" t="str">
            <v>-</v>
          </cell>
        </row>
        <row r="682">
          <cell r="F682" t="str">
            <v>PUNE01P165</v>
          </cell>
          <cell r="G682" t="str">
            <v>PTC WATERTECH LLP</v>
          </cell>
          <cell r="H682" t="str">
            <v>25-26</v>
          </cell>
          <cell r="I682" t="str">
            <v>-</v>
          </cell>
          <cell r="J682" t="str">
            <v>Domestic</v>
          </cell>
          <cell r="K682" t="str">
            <v>OTHERS</v>
          </cell>
          <cell r="L682" t="str">
            <v>Non-Sugar</v>
          </cell>
          <cell r="M682" t="str">
            <v>End User</v>
          </cell>
          <cell r="O682" t="str">
            <v>-</v>
          </cell>
          <cell r="P682" t="str">
            <v>NI</v>
          </cell>
          <cell r="Q682" t="str">
            <v>AKSHAY AWASTHI</v>
          </cell>
        </row>
        <row r="683">
          <cell r="F683" t="str">
            <v>MELO01P171</v>
          </cell>
          <cell r="G683" t="str">
            <v>PUMP POWER AUSTRALIA PVT LTD</v>
          </cell>
          <cell r="H683" t="str">
            <v>-</v>
          </cell>
          <cell r="J683" t="str">
            <v>Export</v>
          </cell>
          <cell r="P683" t="str">
            <v>VA</v>
          </cell>
          <cell r="Q683" t="str">
            <v>ANKUR</v>
          </cell>
        </row>
        <row r="684">
          <cell r="F684" t="str">
            <v>GUWA01P118</v>
          </cell>
          <cell r="G684" t="str">
            <v>PURBANCHAL PAPER MILL LLP</v>
          </cell>
          <cell r="H684" t="str">
            <v>23-24</v>
          </cell>
          <cell r="I684" t="str">
            <v>-</v>
          </cell>
          <cell r="J684" t="str">
            <v>Domestic</v>
          </cell>
          <cell r="K684" t="str">
            <v>Paper</v>
          </cell>
          <cell r="L684" t="str">
            <v>Non-Sugar</v>
          </cell>
          <cell r="M684" t="str">
            <v>End User</v>
          </cell>
          <cell r="O684" t="str">
            <v>-</v>
          </cell>
          <cell r="P684" t="str">
            <v>NI</v>
          </cell>
          <cell r="Q684" t="str">
            <v>AKSHAY AWASTHI</v>
          </cell>
          <cell r="T684" t="str">
            <v>-</v>
          </cell>
          <cell r="U684" t="str">
            <v>-</v>
          </cell>
        </row>
        <row r="685">
          <cell r="F685" t="str">
            <v>VISA01P162</v>
          </cell>
          <cell r="G685" t="str">
            <v>PURE SUSTAIN ENERING</v>
          </cell>
          <cell r="H685" t="str">
            <v>-</v>
          </cell>
          <cell r="J685" t="str">
            <v>Domestic</v>
          </cell>
          <cell r="P685" t="str">
            <v>HO</v>
          </cell>
          <cell r="Q685" t="str">
            <v>-</v>
          </cell>
        </row>
        <row r="686">
          <cell r="F686" t="str">
            <v>HING01P020</v>
          </cell>
          <cell r="G686" t="str">
            <v>PURNA SAHAKARI SAKHAR KARKHANA LTD</v>
          </cell>
          <cell r="H686">
            <v>2021</v>
          </cell>
          <cell r="I686" t="str">
            <v>-</v>
          </cell>
          <cell r="J686" t="str">
            <v>Domestic</v>
          </cell>
          <cell r="K686" t="str">
            <v>Sugar</v>
          </cell>
          <cell r="L686" t="str">
            <v>Sugar</v>
          </cell>
          <cell r="M686" t="str">
            <v>End User</v>
          </cell>
          <cell r="N686" t="str">
            <v>(0-5000)</v>
          </cell>
          <cell r="O686">
            <v>2500</v>
          </cell>
          <cell r="P686" t="str">
            <v>AV</v>
          </cell>
          <cell r="Q686" t="str">
            <v>AV</v>
          </cell>
          <cell r="R686" t="str">
            <v>PD</v>
          </cell>
          <cell r="T686" t="str">
            <v>Hingoli_Nanded- 1</v>
          </cell>
          <cell r="U686" t="str">
            <v>26-27</v>
          </cell>
          <cell r="V686" t="str">
            <v>Apr</v>
          </cell>
          <cell r="W686" t="str">
            <v>27-04-2026
2/23/2024</v>
          </cell>
        </row>
        <row r="687">
          <cell r="F687" t="str">
            <v>OSMA01Q002</v>
          </cell>
          <cell r="G687" t="str">
            <v>QUINERGY INDUSTRIES LTD</v>
          </cell>
          <cell r="H687">
            <v>2019</v>
          </cell>
          <cell r="I687" t="str">
            <v>Powar Group</v>
          </cell>
          <cell r="J687" t="str">
            <v>Domestic</v>
          </cell>
          <cell r="K687" t="str">
            <v>Sugar</v>
          </cell>
          <cell r="L687" t="str">
            <v>Sugar</v>
          </cell>
          <cell r="M687" t="str">
            <v>Group (Mills)</v>
          </cell>
          <cell r="N687" t="str">
            <v>(0-5000)</v>
          </cell>
          <cell r="O687" t="str">
            <v>3500
Dist. 500 KLPD</v>
          </cell>
          <cell r="P687" t="str">
            <v>AV</v>
          </cell>
          <cell r="Q687" t="str">
            <v>AV</v>
          </cell>
          <cell r="R687" t="str">
            <v>PD</v>
          </cell>
          <cell r="S687" t="str">
            <v>https://share.google/8kzK1HsOOHOIZNvhn</v>
          </cell>
          <cell r="T687" t="str">
            <v>Dharashiv - 2</v>
          </cell>
          <cell r="U687" t="str">
            <v>25-26</v>
          </cell>
          <cell r="W687" t="str">
            <v>21-1-2026
4/25/2024</v>
          </cell>
        </row>
        <row r="688">
          <cell r="F688" t="str">
            <v>SAHA01R091</v>
          </cell>
          <cell r="G688" t="str">
            <v>R. C. PAPER MACHINE</v>
          </cell>
          <cell r="H688" t="str">
            <v>24-25</v>
          </cell>
          <cell r="I688" t="str">
            <v>-</v>
          </cell>
          <cell r="J688" t="str">
            <v>Domestic</v>
          </cell>
          <cell r="K688" t="str">
            <v>Paper</v>
          </cell>
          <cell r="L688" t="str">
            <v>Non-Sugar</v>
          </cell>
          <cell r="M688" t="str">
            <v>End User</v>
          </cell>
          <cell r="O688" t="str">
            <v>-</v>
          </cell>
          <cell r="P688" t="str">
            <v>NI</v>
          </cell>
          <cell r="Q688" t="str">
            <v>AKSHAY AWASTHI</v>
          </cell>
          <cell r="T688" t="str">
            <v>-</v>
          </cell>
          <cell r="U688" t="str">
            <v>23-24</v>
          </cell>
          <cell r="W688">
            <v>45323</v>
          </cell>
        </row>
        <row r="689">
          <cell r="F689" t="str">
            <v>RAIP01R088</v>
          </cell>
          <cell r="G689" t="str">
            <v>R.R.ISPAT</v>
          </cell>
          <cell r="H689" t="str">
            <v>23-24</v>
          </cell>
          <cell r="I689" t="str">
            <v>-</v>
          </cell>
          <cell r="J689" t="str">
            <v>Domestic</v>
          </cell>
          <cell r="K689" t="str">
            <v>OTHERS</v>
          </cell>
          <cell r="L689" t="str">
            <v>Non-Sugar</v>
          </cell>
          <cell r="M689" t="str">
            <v>End User</v>
          </cell>
          <cell r="O689" t="str">
            <v>-</v>
          </cell>
          <cell r="P689" t="str">
            <v>NI</v>
          </cell>
          <cell r="Q689" t="str">
            <v>HIMANSHU KUSHWAHA</v>
          </cell>
          <cell r="T689" t="str">
            <v>Chhatisgarh &amp; Orissa</v>
          </cell>
          <cell r="U689" t="str">
            <v>25-26</v>
          </cell>
          <cell r="W689" t="str">
            <v>28-10-2025
13-11-2024
07-05-2024</v>
          </cell>
        </row>
        <row r="690">
          <cell r="F690" t="str">
            <v>HYDE01R135</v>
          </cell>
          <cell r="G690" t="str">
            <v>R.S. PLUMBING WORKS</v>
          </cell>
          <cell r="H690" t="str">
            <v>25-26</v>
          </cell>
          <cell r="I690" t="str">
            <v>-</v>
          </cell>
          <cell r="J690" t="str">
            <v>Domestic</v>
          </cell>
          <cell r="K690" t="str">
            <v>OTHERS</v>
          </cell>
          <cell r="L690" t="str">
            <v>Non-Sugar</v>
          </cell>
          <cell r="M690" t="str">
            <v>End User</v>
          </cell>
          <cell r="O690" t="str">
            <v>-</v>
          </cell>
          <cell r="P690" t="str">
            <v>NI</v>
          </cell>
          <cell r="Q690" t="str">
            <v>AVIRAL SHUKLA</v>
          </cell>
        </row>
        <row r="691">
          <cell r="F691" t="str">
            <v>CHEN01R107</v>
          </cell>
          <cell r="G691" t="str">
            <v>RACON BIDDING AND SOURCING
PRIVATE LIMITED(RBS GROUP)</v>
          </cell>
          <cell r="H691" t="str">
            <v>24-25</v>
          </cell>
          <cell r="I691" t="str">
            <v>-</v>
          </cell>
          <cell r="J691" t="str">
            <v>Domestic</v>
          </cell>
          <cell r="K691" t="str">
            <v>OTHERS</v>
          </cell>
          <cell r="L691" t="str">
            <v>Non-Sugar</v>
          </cell>
          <cell r="M691" t="str">
            <v>End User</v>
          </cell>
          <cell r="O691" t="str">
            <v>-</v>
          </cell>
          <cell r="P691" t="str">
            <v>NI</v>
          </cell>
          <cell r="Q691" t="str">
            <v>AVIRAL SHUKLA</v>
          </cell>
        </row>
        <row r="692">
          <cell r="F692" t="str">
            <v>BARL01R103</v>
          </cell>
          <cell r="G692" t="str">
            <v>RADHEYLAL SUGAR MILL</v>
          </cell>
          <cell r="H692" t="str">
            <v>23-24</v>
          </cell>
          <cell r="I692" t="str">
            <v>-</v>
          </cell>
          <cell r="J692" t="str">
            <v>Domestic</v>
          </cell>
          <cell r="K692" t="str">
            <v>Sugar</v>
          </cell>
          <cell r="L692" t="str">
            <v>Sugar</v>
          </cell>
          <cell r="M692" t="str">
            <v>End User</v>
          </cell>
          <cell r="N692" t="str">
            <v>(0-5000)</v>
          </cell>
          <cell r="O692">
            <v>2500</v>
          </cell>
          <cell r="P692" t="str">
            <v>NI</v>
          </cell>
          <cell r="Q692" t="str">
            <v>AKSHAY AWASTHI</v>
          </cell>
          <cell r="S692" t="str">
            <v>https://share.google/BdXCaRQzyQHXJghrh</v>
          </cell>
          <cell r="T692" t="str">
            <v>-</v>
          </cell>
          <cell r="U692" t="str">
            <v>-</v>
          </cell>
          <cell r="W692" t="str">
            <v>-</v>
          </cell>
        </row>
        <row r="693">
          <cell r="F693" t="str">
            <v>SANG01R105</v>
          </cell>
          <cell r="G693" t="str">
            <v>RAIGAON SUGAR &amp; POWER LTD Unit 16 (FORMERLY CANE AGRO ENERGY INDIA LTD. _C001)(taken over by Onkar sugars unit no 16)</v>
          </cell>
          <cell r="H693" t="str">
            <v>-</v>
          </cell>
          <cell r="I693" t="str">
            <v>Onkar Group</v>
          </cell>
          <cell r="J693" t="str">
            <v>Domestic</v>
          </cell>
          <cell r="K693" t="str">
            <v>Sugar</v>
          </cell>
          <cell r="L693" t="str">
            <v>Sugar</v>
          </cell>
          <cell r="M693" t="str">
            <v>Group (Mills)</v>
          </cell>
          <cell r="O693">
            <v>3500</v>
          </cell>
          <cell r="P693" t="str">
            <v>AV</v>
          </cell>
          <cell r="Q693" t="str">
            <v>AV</v>
          </cell>
          <cell r="R693" t="str">
            <v>VG</v>
          </cell>
          <cell r="T693" t="str">
            <v>TOUR-7 (SATARA)</v>
          </cell>
          <cell r="U693" t="str">
            <v>24-25</v>
          </cell>
          <cell r="W693" t="str">
            <v>18-06-2024</v>
          </cell>
        </row>
        <row r="694">
          <cell r="F694" t="str">
            <v>KANP01R096</v>
          </cell>
          <cell r="G694" t="str">
            <v>RAJ MILL STORE</v>
          </cell>
          <cell r="H694" t="str">
            <v>23-24</v>
          </cell>
          <cell r="I694" t="str">
            <v>-</v>
          </cell>
          <cell r="J694" t="str">
            <v>Domestic</v>
          </cell>
          <cell r="K694" t="str">
            <v>OTHERS</v>
          </cell>
          <cell r="L694" t="str">
            <v>Non-Sugar</v>
          </cell>
          <cell r="M694" t="str">
            <v>End User</v>
          </cell>
          <cell r="O694" t="str">
            <v>-</v>
          </cell>
          <cell r="P694" t="str">
            <v>NI</v>
          </cell>
          <cell r="Q694" t="str">
            <v>AVIRAL SHUKLA</v>
          </cell>
          <cell r="T694" t="str">
            <v>-</v>
          </cell>
          <cell r="U694" t="str">
            <v>-</v>
          </cell>
        </row>
        <row r="695">
          <cell r="F695" t="str">
            <v>PUNE01R071</v>
          </cell>
          <cell r="G695" t="str">
            <v>RAJ PROCESS EQUIPMENTS AND SYSTEMS PVT. LTD.</v>
          </cell>
          <cell r="H695" t="str">
            <v>23-24</v>
          </cell>
          <cell r="I695" t="str">
            <v>-</v>
          </cell>
          <cell r="J695" t="str">
            <v>Domestic</v>
          </cell>
          <cell r="K695" t="str">
            <v>Sugar</v>
          </cell>
          <cell r="L695" t="str">
            <v>Sugar</v>
          </cell>
          <cell r="M695" t="str">
            <v>OEM</v>
          </cell>
          <cell r="O695" t="str">
            <v>-</v>
          </cell>
          <cell r="P695" t="str">
            <v>NI</v>
          </cell>
          <cell r="Q695" t="str">
            <v>AKSHAY AWASTHI</v>
          </cell>
          <cell r="S695" t="str">
            <v>https://maps.app.goo.gl/MYWqBuHkkV7HvNNd8</v>
          </cell>
          <cell r="T695" t="str">
            <v>GUJARAT + PUNE</v>
          </cell>
          <cell r="U695" t="str">
            <v>25-26</v>
          </cell>
          <cell r="V695" t="str">
            <v>May</v>
          </cell>
          <cell r="W695" t="str">
            <v>18-05-2026
17-03-2026
25-09-2025</v>
          </cell>
        </row>
        <row r="696">
          <cell r="F696" t="str">
            <v>SANG01R004</v>
          </cell>
          <cell r="G696" t="str">
            <v>RAJARAMBAPU PATIL SAHAKARI SAKHAR KARKHANA LTD (UNIT III - Karanwadi)</v>
          </cell>
          <cell r="H696">
            <v>2013</v>
          </cell>
          <cell r="I696" t="str">
            <v>Ramarambapu patil Group</v>
          </cell>
          <cell r="J696" t="str">
            <v>Domestic</v>
          </cell>
          <cell r="K696" t="str">
            <v>Sugar</v>
          </cell>
          <cell r="L696" t="str">
            <v>Sugar</v>
          </cell>
          <cell r="M696" t="str">
            <v>Group (Mills)</v>
          </cell>
          <cell r="N696" t="str">
            <v>(0-5000)</v>
          </cell>
          <cell r="O696">
            <v>3000</v>
          </cell>
          <cell r="P696" t="str">
            <v>AV</v>
          </cell>
          <cell r="Q696" t="str">
            <v>AV</v>
          </cell>
          <cell r="R696" t="str">
            <v>VG</v>
          </cell>
          <cell r="T696" t="str">
            <v>Sangli - 1</v>
          </cell>
          <cell r="U696" t="str">
            <v>24-25</v>
          </cell>
          <cell r="W696" t="str">
            <v>04-09-2024
14-08-2023
20-12-2022</v>
          </cell>
        </row>
        <row r="697">
          <cell r="F697" t="str">
            <v>SANG01R005</v>
          </cell>
          <cell r="G697" t="str">
            <v>RAJARAMBAPU PATIL SAHAKARI SAKHAR KARKHANA LTD.(UNIT-I) (Distillery Plant)</v>
          </cell>
          <cell r="H697">
            <v>2015</v>
          </cell>
          <cell r="I697" t="str">
            <v>Ramarambapu patil Group</v>
          </cell>
          <cell r="J697" t="str">
            <v>Domestic</v>
          </cell>
          <cell r="K697" t="str">
            <v>Distillery(Sugar)</v>
          </cell>
          <cell r="L697" t="str">
            <v>Non-Sugar</v>
          </cell>
          <cell r="M697" t="str">
            <v>Group (Mills)</v>
          </cell>
          <cell r="N697" t="str">
            <v>(0-5000)</v>
          </cell>
          <cell r="O697" t="str">
            <v>150 KLPd
Distillery expn 40 KLPD(on syrup base)</v>
          </cell>
          <cell r="P697" t="str">
            <v>AV</v>
          </cell>
          <cell r="Q697" t="str">
            <v>AV</v>
          </cell>
          <cell r="R697" t="str">
            <v>VG</v>
          </cell>
          <cell r="T697" t="str">
            <v>Sangli - 1</v>
          </cell>
          <cell r="U697" t="str">
            <v>22-23</v>
          </cell>
          <cell r="W697">
            <v>44922</v>
          </cell>
        </row>
        <row r="698">
          <cell r="F698" t="str">
            <v>SANG01R002</v>
          </cell>
          <cell r="G698" t="str">
            <v>RAJARAMBAPU PATIL SAHAKARI-SAKHAR KARKHANA LTD(Unit No.2 WATEGAON</v>
          </cell>
          <cell r="H698">
            <v>2013</v>
          </cell>
          <cell r="I698" t="str">
            <v>Ramarambapu patil Group</v>
          </cell>
          <cell r="J698" t="str">
            <v>Domestic</v>
          </cell>
          <cell r="K698" t="str">
            <v>Sugar</v>
          </cell>
          <cell r="L698" t="str">
            <v>Sugar</v>
          </cell>
          <cell r="M698" t="str">
            <v>Group (Mills)</v>
          </cell>
          <cell r="N698" t="str">
            <v>(0-5000)</v>
          </cell>
          <cell r="O698" t="str">
            <v>4000
Distillery 75 KLPD</v>
          </cell>
          <cell r="P698" t="str">
            <v>AV</v>
          </cell>
          <cell r="Q698" t="str">
            <v>AV</v>
          </cell>
          <cell r="R698" t="str">
            <v>VG</v>
          </cell>
          <cell r="S698" t="str">
            <v>https://maps.app.goo.gl/KZP8V1RJWRRSTTnz7</v>
          </cell>
          <cell r="T698" t="str">
            <v>Sangli - 1</v>
          </cell>
          <cell r="U698" t="str">
            <v>26-27</v>
          </cell>
          <cell r="V698" t="str">
            <v>May</v>
          </cell>
          <cell r="W698" t="str">
            <v>23.05.2026
12/21/2022</v>
          </cell>
        </row>
        <row r="699">
          <cell r="F699" t="str">
            <v>SANG01R003</v>
          </cell>
          <cell r="G699" t="str">
            <v>RAJARAMBAPU PATIL SSK LTD.(UNIT-I SAKHARALESugar unit)</v>
          </cell>
          <cell r="H699">
            <v>2013</v>
          </cell>
          <cell r="I699" t="str">
            <v>Ramarambapu patil Group</v>
          </cell>
          <cell r="J699" t="str">
            <v>Domestic</v>
          </cell>
          <cell r="K699" t="str">
            <v>Sugar</v>
          </cell>
          <cell r="L699" t="str">
            <v>Sugar</v>
          </cell>
          <cell r="M699" t="str">
            <v>Group (Mills)</v>
          </cell>
          <cell r="N699" t="str">
            <v>(5001-9000)</v>
          </cell>
          <cell r="O699">
            <v>7000</v>
          </cell>
          <cell r="P699" t="str">
            <v>AV</v>
          </cell>
          <cell r="Q699" t="str">
            <v>AV</v>
          </cell>
          <cell r="R699" t="str">
            <v>VG</v>
          </cell>
          <cell r="T699" t="str">
            <v>Sangli - 1</v>
          </cell>
          <cell r="U699" t="str">
            <v>25-26</v>
          </cell>
          <cell r="W699" t="str">
            <v>24-9-2025
09-05-2025
14-08-2023
21-12-2022</v>
          </cell>
        </row>
        <row r="700">
          <cell r="F700" t="str">
            <v>SRIG01R039</v>
          </cell>
          <cell r="G700" t="str">
            <v>RAJASTHAN STATE GANGANAGAR SUGAR MILLS LTD</v>
          </cell>
          <cell r="H700">
            <v>2018</v>
          </cell>
          <cell r="I700" t="str">
            <v>-</v>
          </cell>
          <cell r="J700" t="str">
            <v>Domestic</v>
          </cell>
          <cell r="K700" t="str">
            <v>Sugar</v>
          </cell>
          <cell r="L700" t="str">
            <v>Sugar</v>
          </cell>
          <cell r="M700" t="str">
            <v>End User</v>
          </cell>
          <cell r="N700" t="str">
            <v>(0-5000)</v>
          </cell>
          <cell r="O700">
            <v>5000</v>
          </cell>
          <cell r="P700" t="str">
            <v>NI</v>
          </cell>
          <cell r="Q700" t="str">
            <v>AVIRAL SHUKLA</v>
          </cell>
          <cell r="T700" t="str">
            <v>RAJASTHAN TOUR</v>
          </cell>
          <cell r="U700" t="str">
            <v>25-26</v>
          </cell>
          <cell r="W700" t="str">
            <v>16-01-2026</v>
          </cell>
        </row>
        <row r="701">
          <cell r="F701" t="str">
            <v>SAHJ01R057</v>
          </cell>
          <cell r="G701" t="str">
            <v>RAJSHREE FINE CHEMICAL INDUSTRIES INDIA PVT. LTD.</v>
          </cell>
          <cell r="H701" t="str">
            <v>23-24</v>
          </cell>
          <cell r="I701" t="str">
            <v>-</v>
          </cell>
          <cell r="J701" t="str">
            <v>Domestic</v>
          </cell>
          <cell r="K701" t="str">
            <v>Distillery(Sugar)</v>
          </cell>
          <cell r="L701" t="str">
            <v>Non-Sugar</v>
          </cell>
          <cell r="M701" t="str">
            <v>End User</v>
          </cell>
          <cell r="O701" t="str">
            <v>160KLPD</v>
          </cell>
          <cell r="P701" t="str">
            <v>NI</v>
          </cell>
          <cell r="Q701" t="str">
            <v>AKSHAY AWASTHI</v>
          </cell>
          <cell r="T701" t="str">
            <v>CENTRAL- 3</v>
          </cell>
          <cell r="U701" t="str">
            <v>23-24</v>
          </cell>
          <cell r="W701">
            <v>45288</v>
          </cell>
        </row>
        <row r="702">
          <cell r="F702" t="str">
            <v>VILL01R006</v>
          </cell>
          <cell r="G702" t="str">
            <v>RAJSHREE SUGARS &amp;CHEMICALS LTD (Unit-II)</v>
          </cell>
          <cell r="H702">
            <v>2013</v>
          </cell>
          <cell r="I702" t="str">
            <v>-</v>
          </cell>
          <cell r="J702" t="str">
            <v>Domestic</v>
          </cell>
          <cell r="K702" t="str">
            <v>Sugar</v>
          </cell>
          <cell r="L702" t="str">
            <v>Sugar</v>
          </cell>
          <cell r="M702" t="str">
            <v>End User</v>
          </cell>
          <cell r="N702" t="str">
            <v>(0-5000)</v>
          </cell>
          <cell r="O702">
            <v>5000</v>
          </cell>
          <cell r="P702" t="str">
            <v>SI-GS</v>
          </cell>
          <cell r="Q702" t="str">
            <v>SI-GS</v>
          </cell>
          <cell r="W702">
            <v>45149</v>
          </cell>
        </row>
        <row r="703">
          <cell r="F703" t="str">
            <v>SOLP01R146</v>
          </cell>
          <cell r="G703" t="str">
            <v>RAJVEE AGRO POWER PVT LTD</v>
          </cell>
          <cell r="H703" t="str">
            <v>-</v>
          </cell>
          <cell r="J703" t="str">
            <v>Domestic</v>
          </cell>
          <cell r="P703" t="str">
            <v>AV</v>
          </cell>
          <cell r="Q703" t="str">
            <v>-</v>
          </cell>
        </row>
        <row r="704">
          <cell r="F704" t="str">
            <v>SOLP01R133</v>
          </cell>
          <cell r="G704" t="str">
            <v>RAJVEE SUGAR</v>
          </cell>
          <cell r="H704" t="str">
            <v>-</v>
          </cell>
          <cell r="J704" t="str">
            <v>Domestic</v>
          </cell>
          <cell r="P704" t="str">
            <v>AV</v>
          </cell>
          <cell r="Q704" t="str">
            <v>-</v>
          </cell>
        </row>
        <row r="705">
          <cell r="F705" t="str">
            <v>BARL01R061</v>
          </cell>
          <cell r="G705" t="str">
            <v>RAMAA SHYAMA PAPERS PVT LTD</v>
          </cell>
          <cell r="H705" t="str">
            <v>22-23</v>
          </cell>
          <cell r="I705" t="str">
            <v>-</v>
          </cell>
          <cell r="J705" t="str">
            <v>Domestic</v>
          </cell>
          <cell r="K705" t="str">
            <v>Paper</v>
          </cell>
          <cell r="L705" t="str">
            <v>Non-Sugar</v>
          </cell>
          <cell r="M705" t="str">
            <v>End User</v>
          </cell>
          <cell r="O705" t="str">
            <v>-</v>
          </cell>
          <cell r="P705" t="str">
            <v>NI</v>
          </cell>
          <cell r="Q705" t="str">
            <v>AVIRAL SHUKLA</v>
          </cell>
          <cell r="S705" t="str">
            <v>https://share.google/CQckMTIEgkdvFXizn</v>
          </cell>
          <cell r="T705" t="str">
            <v>-</v>
          </cell>
          <cell r="U705" t="str">
            <v>-</v>
          </cell>
          <cell r="W705" t="str">
            <v>-</v>
          </cell>
        </row>
        <row r="706">
          <cell r="F706" t="str">
            <v>BAGH01R045</v>
          </cell>
          <cell r="G706" t="str">
            <v>RAMALA SAHKARI CHINI MILLS LTD</v>
          </cell>
          <cell r="H706">
            <v>2017</v>
          </cell>
          <cell r="I706" t="str">
            <v>UP Federation</v>
          </cell>
          <cell r="J706" t="str">
            <v>Domestic</v>
          </cell>
          <cell r="K706" t="str">
            <v>Sugar</v>
          </cell>
          <cell r="L706" t="str">
            <v>Sugar</v>
          </cell>
          <cell r="M706" t="str">
            <v>Group (Mills)</v>
          </cell>
          <cell r="N706" t="str">
            <v>(0-5000)</v>
          </cell>
          <cell r="O706">
            <v>5000</v>
          </cell>
          <cell r="P706" t="str">
            <v>NI</v>
          </cell>
          <cell r="Q706" t="str">
            <v>AKSHAY AWASTHI</v>
          </cell>
          <cell r="S706" t="str">
            <v>https://maps.app.goo.gl/BKP6oVFFJBXvqMFq8</v>
          </cell>
          <cell r="T706" t="str">
            <v>WESTERN</v>
          </cell>
          <cell r="U706" t="str">
            <v>25-26</v>
          </cell>
          <cell r="V706" t="str">
            <v>Mar</v>
          </cell>
          <cell r="W706" t="str">
            <v>18-03-2026
07-10-2025
27-08-2025
30-06-2025
04-03-2025
23-10-2024
19-07-2024
25-07-2023
22-06-2022
25-02-2022</v>
          </cell>
        </row>
        <row r="707">
          <cell r="F707" t="str">
            <v>HOSA01R037</v>
          </cell>
          <cell r="G707" t="str">
            <v>RAMDEV SUGARS PVT LTD. (Maheshwari Group)</v>
          </cell>
          <cell r="H707">
            <v>2015</v>
          </cell>
          <cell r="I707" t="str">
            <v>Maheshwari Group</v>
          </cell>
          <cell r="J707" t="str">
            <v>Domestic</v>
          </cell>
          <cell r="K707" t="str">
            <v>Sugar</v>
          </cell>
          <cell r="L707" t="str">
            <v>Sugar</v>
          </cell>
          <cell r="M707" t="str">
            <v>Group (Mills)</v>
          </cell>
          <cell r="N707" t="str">
            <v>(0-5000)</v>
          </cell>
          <cell r="O707">
            <v>5000</v>
          </cell>
          <cell r="P707" t="str">
            <v>NI</v>
          </cell>
          <cell r="Q707" t="str">
            <v>AVIRAL SHUKLA</v>
          </cell>
          <cell r="S707" t="str">
            <v>https://maps.app.goo.gl/NA5faXkjiubRvRXt7</v>
          </cell>
          <cell r="T707" t="str">
            <v>M.P. 1</v>
          </cell>
          <cell r="U707" t="str">
            <v>25-26</v>
          </cell>
          <cell r="V707" t="str">
            <v>Mar</v>
          </cell>
          <cell r="W707" t="str">
            <v>19-03-2026
16-09-2025
19-07-2024
29-02-2024</v>
          </cell>
        </row>
        <row r="708">
          <cell r="F708" t="str">
            <v>TARN01R025</v>
          </cell>
          <cell r="G708" t="str">
            <v>RANA SUGAR LIMITED (lauhka)</v>
          </cell>
          <cell r="H708">
            <v>2013</v>
          </cell>
          <cell r="I708" t="str">
            <v>Rana Group</v>
          </cell>
          <cell r="J708" t="str">
            <v>Domestic</v>
          </cell>
          <cell r="K708" t="str">
            <v>Sugar</v>
          </cell>
          <cell r="L708" t="str">
            <v>Sugar</v>
          </cell>
          <cell r="M708" t="str">
            <v>Group (Mills)</v>
          </cell>
          <cell r="N708" t="str">
            <v>(0-5000)</v>
          </cell>
          <cell r="O708">
            <v>5000</v>
          </cell>
          <cell r="P708" t="str">
            <v>NI</v>
          </cell>
          <cell r="Q708" t="str">
            <v>AKSHAY AWASTHI</v>
          </cell>
          <cell r="R708" t="str">
            <v>AMIT SRIVASTAVA</v>
          </cell>
          <cell r="T708" t="str">
            <v>-</v>
          </cell>
          <cell r="U708" t="str">
            <v>-</v>
          </cell>
        </row>
        <row r="709">
          <cell r="F709" t="str">
            <v>MORA01R009</v>
          </cell>
          <cell r="G709" t="str">
            <v>RANA SUGARS LIMITED (belwara)</v>
          </cell>
          <cell r="H709">
            <v>2014</v>
          </cell>
          <cell r="I709" t="str">
            <v>Rana Group</v>
          </cell>
          <cell r="J709" t="str">
            <v>Domestic</v>
          </cell>
          <cell r="K709" t="str">
            <v>Sugar</v>
          </cell>
          <cell r="L709" t="str">
            <v>Sugar</v>
          </cell>
          <cell r="M709" t="str">
            <v>Group (Mills)</v>
          </cell>
          <cell r="N709" t="str">
            <v>(5001-9000)</v>
          </cell>
          <cell r="O709">
            <v>6000</v>
          </cell>
          <cell r="P709" t="str">
            <v>NI</v>
          </cell>
          <cell r="Q709" t="str">
            <v>AVIRAL SHUKLA</v>
          </cell>
          <cell r="T709" t="str">
            <v>CENTRAL + U.K</v>
          </cell>
          <cell r="U709" t="str">
            <v>25-26</v>
          </cell>
          <cell r="W709" t="str">
            <v>16-05-2025
18-01-2025
23-05-2024
26-12-2023</v>
          </cell>
        </row>
        <row r="710">
          <cell r="F710" t="str">
            <v>RAMP01R011</v>
          </cell>
          <cell r="G710" t="str">
            <v>RANA SUGARS LIMITED ( shahabad - rampur) KARIMGANJ</v>
          </cell>
          <cell r="H710">
            <v>2014</v>
          </cell>
          <cell r="I710" t="str">
            <v>Rana Group</v>
          </cell>
          <cell r="J710" t="str">
            <v>Domestic</v>
          </cell>
          <cell r="K710" t="str">
            <v>Sugar</v>
          </cell>
          <cell r="L710" t="str">
            <v>Sugar</v>
          </cell>
          <cell r="M710" t="str">
            <v>Group (Mills)</v>
          </cell>
          <cell r="N710" t="str">
            <v>(5001-9000)</v>
          </cell>
          <cell r="O710">
            <v>6500</v>
          </cell>
          <cell r="P710" t="str">
            <v>NI</v>
          </cell>
          <cell r="Q710" t="str">
            <v>AVIRAL SHUKLA</v>
          </cell>
          <cell r="T710" t="str">
            <v>CENTRAL + U.K</v>
          </cell>
          <cell r="U710" t="str">
            <v>24-25</v>
          </cell>
          <cell r="W710" t="str">
            <v>17-01-2025
24-05-2024</v>
          </cell>
        </row>
        <row r="711">
          <cell r="F711" t="str">
            <v>AMRI01R008</v>
          </cell>
          <cell r="G711" t="str">
            <v>RANA SUGARS LIMITED (butter seviyan)</v>
          </cell>
          <cell r="H711">
            <v>2013</v>
          </cell>
          <cell r="I711" t="str">
            <v>Rana Group</v>
          </cell>
          <cell r="J711" t="str">
            <v>Domestic</v>
          </cell>
          <cell r="K711" t="str">
            <v>Sugar</v>
          </cell>
          <cell r="L711" t="str">
            <v>Sugar</v>
          </cell>
          <cell r="M711" t="str">
            <v>Group (Mills)</v>
          </cell>
          <cell r="N711" t="str">
            <v>(0-5000)</v>
          </cell>
          <cell r="O711">
            <v>4000</v>
          </cell>
          <cell r="P711" t="str">
            <v>NI</v>
          </cell>
          <cell r="Q711" t="str">
            <v>AKSHAY AWASTHI</v>
          </cell>
          <cell r="S711" t="str">
            <v>https://share.google/lrjp6mhkQDNaG4Q17</v>
          </cell>
          <cell r="T711" t="str">
            <v>-</v>
          </cell>
          <cell r="U711" t="str">
            <v>25-26</v>
          </cell>
          <cell r="W711" t="str">
            <v>23-02-2026
25-12-2025
26-01-2025
01-10-2024
30-10-2023
24-03-2023
27-10-2021
16-03-2021
16-02-2020</v>
          </cell>
        </row>
        <row r="712">
          <cell r="F712" t="str">
            <v>CHAN01R031</v>
          </cell>
          <cell r="G712" t="str">
            <v>RANA SUGARS LTD.(Head office)</v>
          </cell>
          <cell r="H712" t="str">
            <v>-</v>
          </cell>
          <cell r="I712" t="str">
            <v>Rana Group</v>
          </cell>
          <cell r="J712" t="str">
            <v>Domestic</v>
          </cell>
          <cell r="K712" t="str">
            <v>Sugar</v>
          </cell>
          <cell r="L712" t="str">
            <v>Sugar</v>
          </cell>
          <cell r="M712" t="str">
            <v>Group (Mills)</v>
          </cell>
          <cell r="O712" t="str">
            <v>-</v>
          </cell>
          <cell r="P712" t="str">
            <v>NI</v>
          </cell>
          <cell r="Q712" t="str">
            <v>AVIRAL SHUKLA</v>
          </cell>
          <cell r="T712" t="str">
            <v>-</v>
          </cell>
          <cell r="U712" t="str">
            <v>-</v>
          </cell>
          <cell r="W712" t="str">
            <v>-</v>
          </cell>
        </row>
        <row r="713">
          <cell r="F713" t="str">
            <v>MUZF01R066</v>
          </cell>
          <cell r="G713" t="str">
            <v>RAVI ORGANICS LIMITED</v>
          </cell>
          <cell r="H713" t="str">
            <v>22-23</v>
          </cell>
          <cell r="I713" t="str">
            <v>-</v>
          </cell>
          <cell r="J713" t="str">
            <v>Domestic</v>
          </cell>
          <cell r="K713" t="str">
            <v>OTHERS</v>
          </cell>
          <cell r="L713" t="str">
            <v>Non-Sugar</v>
          </cell>
          <cell r="M713" t="str">
            <v>End User</v>
          </cell>
          <cell r="O713" t="str">
            <v>-</v>
          </cell>
          <cell r="P713" t="str">
            <v>NI</v>
          </cell>
          <cell r="Q713" t="str">
            <v>AVIRAL SHUKLA</v>
          </cell>
          <cell r="T713" t="str">
            <v>-</v>
          </cell>
          <cell r="U713" t="str">
            <v>-</v>
          </cell>
        </row>
        <row r="714">
          <cell r="F714" t="str">
            <v>ANAN01R014</v>
          </cell>
          <cell r="G714" t="str">
            <v>RAYMON PATEL GELATINE PVT.LTD.</v>
          </cell>
          <cell r="H714">
            <v>2013</v>
          </cell>
          <cell r="I714" t="str">
            <v>-</v>
          </cell>
          <cell r="J714" t="str">
            <v>Domestic</v>
          </cell>
          <cell r="K714" t="str">
            <v>OTHERS</v>
          </cell>
          <cell r="L714" t="str">
            <v>Non-Sugar</v>
          </cell>
          <cell r="M714" t="str">
            <v>End User</v>
          </cell>
          <cell r="O714" t="str">
            <v>-</v>
          </cell>
          <cell r="P714" t="str">
            <v>NI</v>
          </cell>
          <cell r="Q714" t="str">
            <v>AKSHAY AWASTHI</v>
          </cell>
          <cell r="S714" t="str">
            <v>https://share.google/hhXAlanXzYGaSndA0</v>
          </cell>
          <cell r="T714" t="str">
            <v>-</v>
          </cell>
          <cell r="U714" t="str">
            <v>23-24</v>
          </cell>
          <cell r="W714" t="str">
            <v>26-06-23</v>
          </cell>
        </row>
        <row r="715">
          <cell r="F715" t="str">
            <v>DEDH01R051</v>
          </cell>
          <cell r="G715" t="str">
            <v>RECRON ARMOUR PVT LTD</v>
          </cell>
          <cell r="H715" t="str">
            <v>20-21</v>
          </cell>
          <cell r="I715" t="str">
            <v>-</v>
          </cell>
          <cell r="J715" t="str">
            <v>Domestic</v>
          </cell>
          <cell r="K715" t="str">
            <v>OTHERS</v>
          </cell>
          <cell r="L715" t="str">
            <v>Non-Sugar</v>
          </cell>
          <cell r="M715" t="str">
            <v>Trader</v>
          </cell>
          <cell r="O715" t="str">
            <v>-</v>
          </cell>
          <cell r="P715" t="str">
            <v>NI</v>
          </cell>
          <cell r="Q715" t="str">
            <v>AVIRAL SHUKLA</v>
          </cell>
          <cell r="T715" t="str">
            <v>-</v>
          </cell>
          <cell r="U715" t="str">
            <v>-</v>
          </cell>
        </row>
        <row r="716">
          <cell r="F716" t="str">
            <v>PUNE01R055</v>
          </cell>
          <cell r="G716" t="str">
            <v>REGREEN EXCEL EPC INDIA PRIVATE LTD</v>
          </cell>
          <cell r="H716" t="str">
            <v>21-22</v>
          </cell>
          <cell r="I716" t="str">
            <v>-</v>
          </cell>
          <cell r="J716" t="str">
            <v>Domestic</v>
          </cell>
          <cell r="K716" t="str">
            <v>Sugar</v>
          </cell>
          <cell r="L716" t="str">
            <v>Sugar</v>
          </cell>
          <cell r="M716" t="str">
            <v>OEM</v>
          </cell>
          <cell r="O716" t="str">
            <v>-</v>
          </cell>
          <cell r="P716" t="str">
            <v>NI</v>
          </cell>
          <cell r="Q716" t="str">
            <v>AKSHAY AWASTHI</v>
          </cell>
          <cell r="S716" t="str">
            <v>https://maps.app.goo.gl/6eVwMVfx46cpZgXB8</v>
          </cell>
          <cell r="T716" t="str">
            <v>GUJARAT + PUNE</v>
          </cell>
          <cell r="U716" t="str">
            <v>25-26</v>
          </cell>
          <cell r="W716" t="str">
            <v>26-09-2025</v>
          </cell>
        </row>
        <row r="717">
          <cell r="F717" t="str">
            <v>SONI01R138</v>
          </cell>
          <cell r="G717" t="str">
            <v>RELIANCE BIOGAS PLANT</v>
          </cell>
          <cell r="H717" t="str">
            <v>-</v>
          </cell>
          <cell r="J717" t="str">
            <v>Domestic</v>
          </cell>
          <cell r="P717" t="str">
            <v>HO</v>
          </cell>
          <cell r="Q717" t="str">
            <v>-</v>
          </cell>
        </row>
        <row r="718">
          <cell r="F718" t="str">
            <v>KAPI01R060</v>
          </cell>
          <cell r="G718" t="str">
            <v>RELIANCE SUGAR &amp; CHEMICAL INDUSTRIES PVT LTD.</v>
          </cell>
          <cell r="H718" t="str">
            <v>21-22</v>
          </cell>
          <cell r="I718" t="str">
            <v>-</v>
          </cell>
          <cell r="J718" t="str">
            <v>Export</v>
          </cell>
          <cell r="K718" t="str">
            <v>Sugar</v>
          </cell>
          <cell r="L718" t="str">
            <v>Sugar</v>
          </cell>
          <cell r="M718" t="str">
            <v>End User</v>
          </cell>
          <cell r="N718" t="str">
            <v>(0-5000)</v>
          </cell>
          <cell r="O718">
            <v>3000</v>
          </cell>
          <cell r="P718" t="str">
            <v>NI</v>
          </cell>
          <cell r="Q718" t="str">
            <v>AVIRAL SHUKLA</v>
          </cell>
          <cell r="T718" t="str">
            <v>Tour-Nepal</v>
          </cell>
          <cell r="U718" t="str">
            <v>25-26</v>
          </cell>
          <cell r="W718" t="str">
            <v>15-12-2025
19-12-2024
26-06-2024
09-01-2024</v>
          </cell>
        </row>
        <row r="719">
          <cell r="F719" t="str">
            <v>LATU01R068</v>
          </cell>
          <cell r="G719" t="str">
            <v>RENA SAHAKARI SAKHAR KARKHANA LTD</v>
          </cell>
          <cell r="H719" t="str">
            <v>-</v>
          </cell>
          <cell r="I719" t="str">
            <v>-</v>
          </cell>
          <cell r="J719" t="str">
            <v>Domestic</v>
          </cell>
          <cell r="K719" t="str">
            <v>Sugar</v>
          </cell>
          <cell r="L719" t="str">
            <v>Sugar</v>
          </cell>
          <cell r="M719" t="str">
            <v>End User</v>
          </cell>
          <cell r="N719" t="str">
            <v>(0-5000)</v>
          </cell>
          <cell r="O719">
            <v>4950</v>
          </cell>
          <cell r="P719" t="str">
            <v>AV</v>
          </cell>
          <cell r="Q719" t="str">
            <v>AV</v>
          </cell>
          <cell r="R719" t="str">
            <v>PD</v>
          </cell>
          <cell r="T719" t="str">
            <v>Latur - 1</v>
          </cell>
          <cell r="U719" t="str">
            <v>23-24</v>
          </cell>
          <cell r="W719">
            <v>45206</v>
          </cell>
        </row>
        <row r="720">
          <cell r="F720" t="str">
            <v>PUNE01R140</v>
          </cell>
          <cell r="G720" t="str">
            <v>REVA ENERGY &amp; EQUIPMENTS PVT LTD</v>
          </cell>
          <cell r="H720" t="str">
            <v>-</v>
          </cell>
          <cell r="J720" t="str">
            <v>Domestic</v>
          </cell>
          <cell r="P720" t="str">
            <v>HO</v>
          </cell>
          <cell r="Q720" t="str">
            <v>-</v>
          </cell>
        </row>
        <row r="721">
          <cell r="F721" t="str">
            <v>PUNE01R042</v>
          </cell>
          <cell r="G721" t="str">
            <v>REVA PROCESS TECHNOLOGIES</v>
          </cell>
          <cell r="H721">
            <v>2016</v>
          </cell>
          <cell r="I721" t="str">
            <v>-</v>
          </cell>
          <cell r="J721" t="str">
            <v>Domestic</v>
          </cell>
          <cell r="K721" t="str">
            <v xml:space="preserve">Oil &amp; Gas </v>
          </cell>
          <cell r="L721" t="str">
            <v>Non-Sugar</v>
          </cell>
          <cell r="M721" t="str">
            <v>OEM</v>
          </cell>
          <cell r="O721" t="str">
            <v>-</v>
          </cell>
          <cell r="P721" t="str">
            <v>NI</v>
          </cell>
          <cell r="Q721" t="str">
            <v>AVIRAL SHUKLA</v>
          </cell>
          <cell r="S721" t="str">
            <v>https://maps.app.goo.gl/MLgME4841EgCmoeN6</v>
          </cell>
          <cell r="T721" t="str">
            <v>-</v>
          </cell>
          <cell r="U721" t="str">
            <v>-</v>
          </cell>
          <cell r="W721" t="str">
            <v>-</v>
          </cell>
        </row>
        <row r="722">
          <cell r="F722" t="str">
            <v>JABA01R024</v>
          </cell>
          <cell r="G722" t="str">
            <v>REVAKRIPA SUGARS PRIVATE LIMITED</v>
          </cell>
          <cell r="H722">
            <v>2013</v>
          </cell>
          <cell r="I722" t="str">
            <v>-</v>
          </cell>
          <cell r="J722" t="str">
            <v>Domestic</v>
          </cell>
          <cell r="K722" t="str">
            <v>Sugar</v>
          </cell>
          <cell r="L722" t="str">
            <v>Sugar</v>
          </cell>
          <cell r="M722" t="str">
            <v>End User</v>
          </cell>
          <cell r="N722" t="str">
            <v>(0-5000)</v>
          </cell>
          <cell r="O722">
            <v>3000</v>
          </cell>
          <cell r="P722" t="str">
            <v>NI</v>
          </cell>
          <cell r="Q722" t="str">
            <v>AVIRAL SHUKLA</v>
          </cell>
          <cell r="T722" t="str">
            <v>-</v>
          </cell>
          <cell r="U722" t="str">
            <v>24-25</v>
          </cell>
          <cell r="W722">
            <v>45749</v>
          </cell>
        </row>
        <row r="723">
          <cell r="F723" t="str">
            <v>YAND01R094</v>
          </cell>
          <cell r="G723" t="str">
            <v>GLOBAL ENVIRONMENTAL MANAGEMENT SYSTEM REVIVA YANBU</v>
          </cell>
          <cell r="H723">
            <v>2016</v>
          </cell>
          <cell r="I723" t="str">
            <v>-</v>
          </cell>
          <cell r="J723" t="str">
            <v>Export</v>
          </cell>
          <cell r="K723" t="str">
            <v>WTP</v>
          </cell>
          <cell r="L723" t="str">
            <v>Non-Sugar</v>
          </cell>
          <cell r="M723" t="str">
            <v>OEM</v>
          </cell>
          <cell r="O723" t="str">
            <v>-</v>
          </cell>
          <cell r="P723" t="str">
            <v>VA-SS</v>
          </cell>
          <cell r="Q723" t="str">
            <v>SHIVANU SHUKLA</v>
          </cell>
        </row>
        <row r="724">
          <cell r="F724" t="str">
            <v>PUNE01R145</v>
          </cell>
          <cell r="G724" t="str">
            <v>RIECO</v>
          </cell>
          <cell r="H724" t="str">
            <v>-</v>
          </cell>
          <cell r="J724" t="str">
            <v>Domestic</v>
          </cell>
          <cell r="P724" t="str">
            <v>HO</v>
          </cell>
          <cell r="Q724" t="str">
            <v>-</v>
          </cell>
        </row>
        <row r="725">
          <cell r="F725" t="str">
            <v>SITM01R015</v>
          </cell>
          <cell r="G725" t="str">
            <v>RIGA SUGAR COMPANY LIMITED(MRN Group pf Industries)</v>
          </cell>
          <cell r="H725">
            <v>2013</v>
          </cell>
          <cell r="I725" t="str">
            <v>Nirani Group</v>
          </cell>
          <cell r="J725" t="str">
            <v>Domestic</v>
          </cell>
          <cell r="K725" t="str">
            <v>Sugar</v>
          </cell>
          <cell r="L725" t="str">
            <v>Sugar</v>
          </cell>
          <cell r="M725" t="str">
            <v>Group (Mills)</v>
          </cell>
          <cell r="N725" t="str">
            <v>(5001-9000)</v>
          </cell>
          <cell r="O725">
            <v>5500</v>
          </cell>
          <cell r="P725" t="str">
            <v>AV</v>
          </cell>
          <cell r="Q725" t="str">
            <v>AV</v>
          </cell>
          <cell r="R725" t="str">
            <v>HO</v>
          </cell>
          <cell r="T725" t="str">
            <v>TOUR-HO</v>
          </cell>
        </row>
        <row r="726">
          <cell r="F726" t="str">
            <v>UNNA01R116</v>
          </cell>
          <cell r="G726" t="str">
            <v>RIMJHIM ISPAT LIMITED</v>
          </cell>
          <cell r="H726" t="str">
            <v>24-25</v>
          </cell>
          <cell r="I726" t="str">
            <v>-</v>
          </cell>
          <cell r="J726" t="str">
            <v>Domestic</v>
          </cell>
          <cell r="K726" t="str">
            <v>OTHERS</v>
          </cell>
          <cell r="L726" t="str">
            <v>Non-Sugar</v>
          </cell>
          <cell r="M726" t="str">
            <v>End User</v>
          </cell>
          <cell r="O726" t="str">
            <v>-</v>
          </cell>
          <cell r="P726" t="str">
            <v>NI</v>
          </cell>
          <cell r="Q726" t="str">
            <v>HIMANSHU KUSHWAHA</v>
          </cell>
        </row>
        <row r="727">
          <cell r="F727" t="str">
            <v>UNNA01R054</v>
          </cell>
          <cell r="G727" t="str">
            <v>RIMJHIM STAINLESS LIMITED</v>
          </cell>
          <cell r="H727" t="str">
            <v>21-22</v>
          </cell>
          <cell r="I727" t="str">
            <v>-</v>
          </cell>
          <cell r="J727" t="str">
            <v>Domestic</v>
          </cell>
          <cell r="K727" t="str">
            <v>OTHERS</v>
          </cell>
          <cell r="L727" t="str">
            <v>Non-Sugar</v>
          </cell>
          <cell r="M727" t="str">
            <v>End User</v>
          </cell>
          <cell r="O727" t="str">
            <v>-</v>
          </cell>
          <cell r="P727" t="str">
            <v>NI</v>
          </cell>
          <cell r="Q727" t="str">
            <v>HIMANSHU KUSHWAHA</v>
          </cell>
          <cell r="U727" t="str">
            <v>25-26</v>
          </cell>
          <cell r="W727" t="str">
            <v>18-06-2025</v>
          </cell>
        </row>
        <row r="728">
          <cell r="F728" t="str">
            <v>DLHI01R143</v>
          </cell>
          <cell r="G728" t="str">
            <v>RISE ELEVEN</v>
          </cell>
          <cell r="H728" t="str">
            <v>-</v>
          </cell>
          <cell r="J728" t="str">
            <v>Domestic</v>
          </cell>
          <cell r="P728" t="str">
            <v>HO</v>
          </cell>
          <cell r="Q728" t="str">
            <v>AVIRAL SHUKLA</v>
          </cell>
        </row>
        <row r="729">
          <cell r="F729" t="str">
            <v>PUNE01R059</v>
          </cell>
          <cell r="G729" t="str">
            <v>RONSA ENGINEERING SOLUTIONS PVT LTD</v>
          </cell>
          <cell r="H729">
            <v>2021</v>
          </cell>
          <cell r="I729" t="str">
            <v>-</v>
          </cell>
          <cell r="J729" t="str">
            <v>Domestic</v>
          </cell>
          <cell r="K729" t="str">
            <v>OTHERS</v>
          </cell>
          <cell r="L729" t="str">
            <v>Non-Sugar</v>
          </cell>
          <cell r="M729" t="str">
            <v>OEM</v>
          </cell>
          <cell r="O729" t="str">
            <v>-</v>
          </cell>
          <cell r="P729" t="str">
            <v>NI</v>
          </cell>
          <cell r="Q729" t="str">
            <v>AKSHAY AWASTHI</v>
          </cell>
          <cell r="T729" t="str">
            <v>-</v>
          </cell>
          <cell r="W729" t="str">
            <v>-</v>
          </cell>
        </row>
        <row r="730">
          <cell r="F730" t="str">
            <v>PUNE01R047</v>
          </cell>
          <cell r="G730" t="str">
            <v>RPM EXIM PVT LTD.</v>
          </cell>
          <cell r="H730" t="str">
            <v>18-19</v>
          </cell>
          <cell r="I730" t="str">
            <v>-</v>
          </cell>
          <cell r="J730" t="str">
            <v>Domestic</v>
          </cell>
          <cell r="K730" t="str">
            <v>OTHERS</v>
          </cell>
          <cell r="L730" t="str">
            <v>Non-Sugar</v>
          </cell>
          <cell r="M730" t="str">
            <v>Merchant Exporter</v>
          </cell>
          <cell r="O730" t="str">
            <v>-</v>
          </cell>
          <cell r="P730" t="str">
            <v>NI</v>
          </cell>
          <cell r="Q730" t="str">
            <v>AVIRAL SHUKLA</v>
          </cell>
          <cell r="T730" t="str">
            <v>-</v>
          </cell>
          <cell r="U730" t="str">
            <v>-</v>
          </cell>
          <cell r="W730" t="str">
            <v>-</v>
          </cell>
        </row>
        <row r="731">
          <cell r="F731" t="str">
            <v>DHAM01R136</v>
          </cell>
          <cell r="G731" t="str">
            <v>RSPL-FAD-DHENKANAL</v>
          </cell>
          <cell r="H731" t="str">
            <v>-</v>
          </cell>
          <cell r="J731" t="str">
            <v>Domestic</v>
          </cell>
          <cell r="P731" t="str">
            <v>VA</v>
          </cell>
          <cell r="Q731" t="str">
            <v>-</v>
          </cell>
        </row>
        <row r="732">
          <cell r="F732" t="str">
            <v>SIRM01R052</v>
          </cell>
          <cell r="G732" t="str">
            <v>RUCHIRA PAPERS LIMITED</v>
          </cell>
          <cell r="H732" t="str">
            <v>20-21</v>
          </cell>
          <cell r="I732" t="str">
            <v>-</v>
          </cell>
          <cell r="J732" t="str">
            <v>Domestic</v>
          </cell>
          <cell r="K732" t="str">
            <v>Paper</v>
          </cell>
          <cell r="L732" t="str">
            <v>Non-Sugar</v>
          </cell>
          <cell r="M732" t="str">
            <v>End User</v>
          </cell>
          <cell r="O732" t="str">
            <v>-</v>
          </cell>
          <cell r="P732" t="str">
            <v>NI</v>
          </cell>
          <cell r="Q732" t="str">
            <v>HIMANSHU KUSHWAHA</v>
          </cell>
          <cell r="R732" t="str">
            <v>HIMANSHU KUSHWAHA</v>
          </cell>
          <cell r="T732" t="str">
            <v>-</v>
          </cell>
          <cell r="U732" t="str">
            <v>26-27</v>
          </cell>
          <cell r="V732" t="str">
            <v>Mar</v>
          </cell>
          <cell r="W732" t="str">
            <v>16-03-2026
05-12-2024
11-01-2024</v>
          </cell>
        </row>
        <row r="733">
          <cell r="F733" t="str">
            <v>RAMP01R018</v>
          </cell>
          <cell r="G733" t="str">
            <v>RUDRA-BILAS KISAN SAHKARI CHINI MILLS LTD.</v>
          </cell>
          <cell r="H733">
            <v>2013</v>
          </cell>
          <cell r="I733" t="str">
            <v>UP Federation</v>
          </cell>
          <cell r="J733" t="str">
            <v>Domestic</v>
          </cell>
          <cell r="K733" t="str">
            <v>Sugar</v>
          </cell>
          <cell r="L733" t="str">
            <v>Sugar</v>
          </cell>
          <cell r="M733" t="str">
            <v>Group (Mills)</v>
          </cell>
          <cell r="N733" t="str">
            <v>(0-5000)</v>
          </cell>
          <cell r="O733">
            <v>2500</v>
          </cell>
          <cell r="P733" t="str">
            <v>NI</v>
          </cell>
          <cell r="Q733" t="str">
            <v>AKSHAY AWASTHI</v>
          </cell>
          <cell r="T733" t="str">
            <v>-</v>
          </cell>
          <cell r="U733" t="str">
            <v>25-26</v>
          </cell>
          <cell r="W733" t="str">
            <v>5-12-2025
24-10-2024</v>
          </cell>
        </row>
        <row r="734">
          <cell r="F734" t="str">
            <v>OSMA01R048</v>
          </cell>
          <cell r="G734" t="str">
            <v>RUPAMATA AGROTECH PVT LTD (ROOPMATA NATURAL SUGAR)</v>
          </cell>
          <cell r="H734">
            <v>2020</v>
          </cell>
          <cell r="I734" t="str">
            <v>-</v>
          </cell>
          <cell r="J734" t="str">
            <v>Domestic</v>
          </cell>
          <cell r="K734" t="str">
            <v>Khandsari and Jaggery</v>
          </cell>
          <cell r="L734" t="str">
            <v>Non-Sugar</v>
          </cell>
          <cell r="M734" t="str">
            <v>End User</v>
          </cell>
          <cell r="N734" t="str">
            <v>-</v>
          </cell>
          <cell r="O734" t="str">
            <v>-</v>
          </cell>
          <cell r="P734" t="str">
            <v>AV</v>
          </cell>
          <cell r="Q734" t="str">
            <v>AV</v>
          </cell>
          <cell r="R734" t="str">
            <v>PD</v>
          </cell>
          <cell r="T734" t="str">
            <v>Dharashiv - 2</v>
          </cell>
          <cell r="U734" t="str">
            <v>25-26</v>
          </cell>
          <cell r="W734" t="str">
            <v>12-2-26
24-4-2024</v>
          </cell>
        </row>
        <row r="735">
          <cell r="F735" t="str">
            <v>PUNE01R019</v>
          </cell>
          <cell r="G735" t="str">
            <v>RUSHI ENGINEERING WORKS</v>
          </cell>
          <cell r="H735" t="str">
            <v>23-24</v>
          </cell>
          <cell r="I735" t="str">
            <v>-</v>
          </cell>
          <cell r="J735" t="str">
            <v>Domestic</v>
          </cell>
          <cell r="K735" t="str">
            <v>Sugar</v>
          </cell>
          <cell r="L735" t="str">
            <v>Sugar</v>
          </cell>
          <cell r="M735" t="str">
            <v>OEM</v>
          </cell>
          <cell r="O735" t="str">
            <v>-</v>
          </cell>
          <cell r="P735" t="str">
            <v>AV</v>
          </cell>
          <cell r="Q735" t="str">
            <v>AV</v>
          </cell>
          <cell r="R735" t="str">
            <v>OEM</v>
          </cell>
          <cell r="T735" t="str">
            <v>-</v>
          </cell>
          <cell r="W735" t="str">
            <v>-</v>
          </cell>
        </row>
        <row r="736">
          <cell r="F736" t="str">
            <v>BAGL01R062</v>
          </cell>
          <cell r="G736" t="str">
            <v>RYATAR SAHAKARI SAKKARE KARAKHANE NIYAMIT (take over by Bilagi sugars unit 2)</v>
          </cell>
          <cell r="H736" t="str">
            <v>22-23</v>
          </cell>
          <cell r="I736" t="str">
            <v>-</v>
          </cell>
          <cell r="J736" t="str">
            <v>Domestic</v>
          </cell>
          <cell r="K736" t="str">
            <v>Sugar</v>
          </cell>
          <cell r="L736" t="str">
            <v>Sugar</v>
          </cell>
          <cell r="M736" t="str">
            <v>End User</v>
          </cell>
          <cell r="N736" t="str">
            <v>(0-5000)</v>
          </cell>
          <cell r="O736">
            <v>5000</v>
          </cell>
          <cell r="P736" t="str">
            <v>AV</v>
          </cell>
          <cell r="Q736" t="str">
            <v>AV</v>
          </cell>
          <cell r="R736" t="str">
            <v>VG</v>
          </cell>
          <cell r="S736" t="str">
            <v>NA</v>
          </cell>
          <cell r="T736" t="str">
            <v>Bagalkot - 1</v>
          </cell>
          <cell r="U736" t="str">
            <v>25-26</v>
          </cell>
          <cell r="W736" t="str">
            <v>18-9-2025
03-04-2023
08-10-2022</v>
          </cell>
        </row>
        <row r="737">
          <cell r="F737" t="str">
            <v>NODA01S546</v>
          </cell>
          <cell r="G737" t="str">
            <v>S K TECHNICAL GROUP</v>
          </cell>
          <cell r="H737" t="str">
            <v>-</v>
          </cell>
          <cell r="J737" t="str">
            <v>Domestic</v>
          </cell>
          <cell r="P737" t="str">
            <v>VA</v>
          </cell>
          <cell r="Q737" t="str">
            <v>-</v>
          </cell>
        </row>
        <row r="738">
          <cell r="F738" t="str">
            <v>BIJN01S269</v>
          </cell>
          <cell r="G738" t="str">
            <v>S. KUMAR TRANSPORT COMPANY</v>
          </cell>
          <cell r="H738" t="str">
            <v>19-20</v>
          </cell>
          <cell r="I738" t="str">
            <v>-</v>
          </cell>
          <cell r="J738" t="str">
            <v>Domestic</v>
          </cell>
          <cell r="K738" t="str">
            <v>Other</v>
          </cell>
          <cell r="L738" t="str">
            <v>Non-Sugar</v>
          </cell>
          <cell r="M738" t="str">
            <v>End User</v>
          </cell>
          <cell r="O738" t="str">
            <v>-</v>
          </cell>
          <cell r="P738" t="str">
            <v>NI</v>
          </cell>
          <cell r="Q738" t="str">
            <v>AKSHAY AWASTHI</v>
          </cell>
          <cell r="T738" t="str">
            <v>-</v>
          </cell>
          <cell r="U738" t="str">
            <v>-</v>
          </cell>
        </row>
        <row r="739">
          <cell r="F739" t="str">
            <v>AMRI01S459</v>
          </cell>
          <cell r="G739" t="str">
            <v>S. R. PARYAVARAN ENGINEERS PVT LTD.</v>
          </cell>
          <cell r="H739" t="str">
            <v>24-25</v>
          </cell>
          <cell r="I739" t="str">
            <v>-</v>
          </cell>
          <cell r="J739" t="str">
            <v>Domestic</v>
          </cell>
          <cell r="K739" t="str">
            <v>ETP/STP/WTP</v>
          </cell>
          <cell r="L739" t="str">
            <v>Non-Sugar</v>
          </cell>
          <cell r="M739" t="str">
            <v>End User</v>
          </cell>
          <cell r="O739" t="str">
            <v>-</v>
          </cell>
          <cell r="P739" t="str">
            <v>NI</v>
          </cell>
          <cell r="Q739" t="str">
            <v>HIMANSHU KUSHWAHA</v>
          </cell>
          <cell r="S739" t="str">
            <v>NA</v>
          </cell>
          <cell r="T739" t="str">
            <v>-</v>
          </cell>
          <cell r="U739" t="str">
            <v>-</v>
          </cell>
          <cell r="W739" t="str">
            <v>-</v>
          </cell>
        </row>
        <row r="740">
          <cell r="F740" t="str">
            <v>PANI01S336</v>
          </cell>
          <cell r="G740" t="str">
            <v>S.D. ENGINEERING</v>
          </cell>
          <cell r="H740" t="str">
            <v>22-23</v>
          </cell>
          <cell r="I740" t="str">
            <v>-</v>
          </cell>
          <cell r="J740" t="str">
            <v>Domestic</v>
          </cell>
          <cell r="K740" t="str">
            <v>OTHERS</v>
          </cell>
          <cell r="L740" t="str">
            <v>Non-Sugar</v>
          </cell>
          <cell r="M740" t="str">
            <v>Trader</v>
          </cell>
          <cell r="O740" t="str">
            <v>-</v>
          </cell>
          <cell r="P740" t="str">
            <v>NI</v>
          </cell>
          <cell r="Q740" t="str">
            <v>AVIRAL SHUKLA</v>
          </cell>
          <cell r="T740" t="str">
            <v>-</v>
          </cell>
          <cell r="U740" t="str">
            <v>-</v>
          </cell>
        </row>
        <row r="741">
          <cell r="F741" t="str">
            <v>SANG01S436</v>
          </cell>
          <cell r="G741" t="str">
            <v>S.G.Z. AND S.G.A. SUGARS LTD. (TASGAON - PALUS SAKHAR KARKHANA)(previously take over by sharad ssk  bharati sugars taken over)</v>
          </cell>
          <cell r="H741" t="str">
            <v>23-24</v>
          </cell>
          <cell r="I741" t="str">
            <v>-</v>
          </cell>
          <cell r="J741" t="str">
            <v>Domestic</v>
          </cell>
          <cell r="K741" t="str">
            <v>Sugar</v>
          </cell>
          <cell r="L741" t="str">
            <v>Sugar</v>
          </cell>
          <cell r="M741" t="str">
            <v>End User</v>
          </cell>
          <cell r="N741" t="str">
            <v>(0-5000)</v>
          </cell>
          <cell r="O741">
            <v>2500</v>
          </cell>
          <cell r="P741" t="str">
            <v>MRK</v>
          </cell>
          <cell r="Q741" t="str">
            <v>MRK</v>
          </cell>
          <cell r="R741" t="str">
            <v>VG</v>
          </cell>
          <cell r="T741" t="str">
            <v>Sangli - 1</v>
          </cell>
          <cell r="U741" t="str">
            <v>23-24</v>
          </cell>
          <cell r="W741">
            <v>45288</v>
          </cell>
        </row>
        <row r="742">
          <cell r="F742" t="str">
            <v>SANG01S117</v>
          </cell>
          <cell r="G742" t="str">
            <v>SADGURU SRI SRI SAKHAR KARKHANA LTD.</v>
          </cell>
          <cell r="H742">
            <v>2013</v>
          </cell>
          <cell r="I742" t="str">
            <v>-</v>
          </cell>
          <cell r="J742" t="str">
            <v>Domestic</v>
          </cell>
          <cell r="K742" t="str">
            <v>Sugar</v>
          </cell>
          <cell r="L742" t="str">
            <v>Sugar</v>
          </cell>
          <cell r="M742" t="str">
            <v>End User</v>
          </cell>
          <cell r="N742" t="str">
            <v>(0-5000)</v>
          </cell>
          <cell r="O742">
            <v>5000</v>
          </cell>
          <cell r="P742" t="str">
            <v>AV</v>
          </cell>
          <cell r="Q742" t="str">
            <v>AV</v>
          </cell>
          <cell r="R742" t="str">
            <v>VG</v>
          </cell>
          <cell r="T742" t="str">
            <v>Sangli - 1</v>
          </cell>
          <cell r="U742" t="str">
            <v>23-24</v>
          </cell>
          <cell r="W742">
            <v>45320</v>
          </cell>
        </row>
        <row r="743">
          <cell r="F743" t="str">
            <v>AHMD01S297</v>
          </cell>
          <cell r="G743" t="str">
            <v>SAHAKAR MAHARSHI SHANKARRAO KOLHE SSK LTD</v>
          </cell>
          <cell r="H743" t="str">
            <v>23-24</v>
          </cell>
          <cell r="I743" t="str">
            <v>-</v>
          </cell>
          <cell r="J743" t="str">
            <v>Domestic</v>
          </cell>
          <cell r="K743" t="str">
            <v>Sugar</v>
          </cell>
          <cell r="L743" t="str">
            <v>Sugar</v>
          </cell>
          <cell r="M743" t="str">
            <v>End User</v>
          </cell>
          <cell r="N743" t="str">
            <v>(5001-9000)</v>
          </cell>
          <cell r="O743" t="str">
            <v>Sugar 6500
Distillery 120 KLPD</v>
          </cell>
          <cell r="P743" t="str">
            <v>AV</v>
          </cell>
          <cell r="Q743" t="str">
            <v>AV</v>
          </cell>
          <cell r="R743" t="str">
            <v>PD</v>
          </cell>
          <cell r="S743" t="str">
            <v>https://share.google/x7rKHyMrwhWQhG1fA</v>
          </cell>
          <cell r="T743" t="str">
            <v>Ahmednagar - 1</v>
          </cell>
          <cell r="U743" t="str">
            <v>23-24</v>
          </cell>
          <cell r="W743">
            <v>45104</v>
          </cell>
        </row>
        <row r="744">
          <cell r="F744" t="str">
            <v>SOLP01S296</v>
          </cell>
          <cell r="G744" t="str">
            <v>SAHAKAR SHIROMANI VASANTRAO KALE SSK LTD UNIT NO 14 (TAKEN OVER BY ONKAR SUGARS)</v>
          </cell>
          <cell r="H744">
            <v>2022</v>
          </cell>
          <cell r="I744" t="str">
            <v>Onkar Group</v>
          </cell>
          <cell r="J744" t="str">
            <v>Domestic</v>
          </cell>
          <cell r="K744" t="str">
            <v>Sugar</v>
          </cell>
          <cell r="L744" t="str">
            <v>Sugar</v>
          </cell>
          <cell r="M744" t="str">
            <v>Group (Mills)</v>
          </cell>
          <cell r="N744" t="str">
            <v>(0-5000)</v>
          </cell>
          <cell r="O744" t="str">
            <v>Sugar 4000
Distillery 30 KLPD</v>
          </cell>
          <cell r="P744" t="str">
            <v>AV</v>
          </cell>
          <cell r="Q744" t="str">
            <v>AV</v>
          </cell>
          <cell r="R744" t="str">
            <v>PD</v>
          </cell>
          <cell r="S744" t="str">
            <v>https://maps.app.goo.gl/5gVLcKN3NTGBcfFm7</v>
          </cell>
          <cell r="T744" t="str">
            <v>Solapur - 2</v>
          </cell>
          <cell r="U744" t="str">
            <v>26-27</v>
          </cell>
          <cell r="V744" t="str">
            <v>May</v>
          </cell>
          <cell r="W744" t="str">
            <v>23.05.2026
5/2/2023</v>
          </cell>
        </row>
        <row r="745">
          <cell r="F745" t="str">
            <v>NAVS01S005</v>
          </cell>
          <cell r="G745" t="str">
            <v>SAHAKARI KHAND UDYOG MANDAL LIMITED (Gandevi sugar mill)</v>
          </cell>
          <cell r="H745">
            <v>2013</v>
          </cell>
          <cell r="I745" t="str">
            <v>-</v>
          </cell>
          <cell r="J745" t="str">
            <v>Domestic</v>
          </cell>
          <cell r="K745" t="str">
            <v>Sugar</v>
          </cell>
          <cell r="L745" t="str">
            <v>Sugar</v>
          </cell>
          <cell r="M745" t="str">
            <v>End User</v>
          </cell>
          <cell r="N745" t="str">
            <v>(0-5000)</v>
          </cell>
          <cell r="O745">
            <v>5000</v>
          </cell>
          <cell r="P745" t="str">
            <v>NI</v>
          </cell>
          <cell r="Q745" t="str">
            <v>AKSHAY AWASTHI</v>
          </cell>
          <cell r="S745" t="str">
            <v>https://maps.app.goo.gl/QLWHQfYLrUdVZYvL7</v>
          </cell>
          <cell r="T745" t="str">
            <v>-</v>
          </cell>
          <cell r="U745" t="str">
            <v>25-26</v>
          </cell>
          <cell r="W745" t="str">
            <v>19-11-2025
22-04-2025
4/9/2024</v>
          </cell>
        </row>
        <row r="746">
          <cell r="F746" t="str">
            <v>AHMD01S179</v>
          </cell>
          <cell r="G746" t="str">
            <v>SAHAKARMAHARSHI BHAUSAHEB THORAT SSK LTD</v>
          </cell>
          <cell r="H746">
            <v>2017</v>
          </cell>
          <cell r="I746" t="str">
            <v>-</v>
          </cell>
          <cell r="J746" t="str">
            <v>Domestic</v>
          </cell>
          <cell r="K746" t="str">
            <v>Sugar</v>
          </cell>
          <cell r="L746" t="str">
            <v>Sugar</v>
          </cell>
          <cell r="M746" t="str">
            <v>End User</v>
          </cell>
          <cell r="N746" t="str">
            <v>(5001-9000)</v>
          </cell>
          <cell r="O746" t="str">
            <v>7500
Distillery 40 KLPD</v>
          </cell>
          <cell r="P746" t="str">
            <v>AV</v>
          </cell>
          <cell r="Q746" t="str">
            <v>AV</v>
          </cell>
          <cell r="R746" t="str">
            <v>PD</v>
          </cell>
          <cell r="S746" t="str">
            <v>https://maps.app.goo.gl/gTBffYB6FeiTCEJz8</v>
          </cell>
          <cell r="T746" t="str">
            <v>Ahmednagar - 1</v>
          </cell>
          <cell r="U746" t="str">
            <v>25-26</v>
          </cell>
          <cell r="W746" t="str">
            <v>10-12-2025
2-8-25
14-01-2025
21-07-2023</v>
          </cell>
        </row>
        <row r="747">
          <cell r="F747" t="str">
            <v>KASH01S540</v>
          </cell>
          <cell r="G747" t="str">
            <v>SAHOTA PAPER MILL</v>
          </cell>
          <cell r="H747" t="str">
            <v>-</v>
          </cell>
          <cell r="J747" t="str">
            <v>Domestic</v>
          </cell>
          <cell r="P747" t="str">
            <v>HO</v>
          </cell>
          <cell r="Q747" t="str">
            <v>-</v>
          </cell>
        </row>
        <row r="748">
          <cell r="F748" t="str">
            <v>SATA01S295</v>
          </cell>
          <cell r="G748" t="str">
            <v>SAHYADRI SSK LTD.</v>
          </cell>
          <cell r="H748">
            <v>2012</v>
          </cell>
          <cell r="I748" t="str">
            <v>-</v>
          </cell>
          <cell r="J748" t="str">
            <v>Domestic</v>
          </cell>
          <cell r="K748" t="str">
            <v>Sugar</v>
          </cell>
          <cell r="L748" t="str">
            <v>Sugar</v>
          </cell>
          <cell r="M748" t="str">
            <v>End User</v>
          </cell>
          <cell r="N748" t="str">
            <v>(0-5000)</v>
          </cell>
          <cell r="O748" t="str">
            <v>Sugar 5000
Distillery 45 &amp; 100 KLPD</v>
          </cell>
          <cell r="P748" t="str">
            <v>MRK</v>
          </cell>
          <cell r="Q748" t="str">
            <v>MRK</v>
          </cell>
          <cell r="R748" t="str">
            <v>VG</v>
          </cell>
          <cell r="T748" t="str">
            <v>Satara - 1</v>
          </cell>
          <cell r="U748" t="str">
            <v>25-26</v>
          </cell>
          <cell r="W748" t="str">
            <v>30/04/2025
8/25/2023</v>
          </cell>
        </row>
        <row r="749">
          <cell r="F749" t="str">
            <v>KOLH01S131</v>
          </cell>
          <cell r="G749" t="str">
            <v>SAI DEEP TRADERS (LAXMI ORGANICS)(formerly DESHBHAKTA RATNAPPANNA KUMBHAR PANCHGANGA SSKL)</v>
          </cell>
          <cell r="H749">
            <v>2013</v>
          </cell>
          <cell r="J749" t="str">
            <v>Domestic</v>
          </cell>
          <cell r="K749" t="str">
            <v>Sugar</v>
          </cell>
          <cell r="L749" t="str">
            <v>Sugar</v>
          </cell>
          <cell r="M749" t="str">
            <v>Trader</v>
          </cell>
          <cell r="O749">
            <v>7500</v>
          </cell>
          <cell r="P749" t="str">
            <v>AV</v>
          </cell>
          <cell r="Q749" t="str">
            <v>AV</v>
          </cell>
          <cell r="R749" t="str">
            <v>OEM</v>
          </cell>
          <cell r="T749" t="str">
            <v>TOUR NOT MAPPED</v>
          </cell>
          <cell r="W749" t="str">
            <v>-</v>
          </cell>
        </row>
        <row r="750">
          <cell r="F750" t="str">
            <v>PUNE01S333</v>
          </cell>
          <cell r="G750" t="str">
            <v>SAI SHRUTI INDUSTRIES PVT LTD</v>
          </cell>
          <cell r="H750" t="str">
            <v>22-23</v>
          </cell>
          <cell r="I750" t="str">
            <v>-</v>
          </cell>
          <cell r="J750" t="str">
            <v>Domestic</v>
          </cell>
          <cell r="K750" t="str">
            <v>Sugar</v>
          </cell>
          <cell r="L750" t="str">
            <v>Sugar</v>
          </cell>
          <cell r="M750" t="str">
            <v>OEM</v>
          </cell>
          <cell r="O750" t="str">
            <v>-</v>
          </cell>
          <cell r="P750" t="str">
            <v>NI</v>
          </cell>
          <cell r="Q750" t="str">
            <v>AKSHAY AWASTHI</v>
          </cell>
          <cell r="T750" t="str">
            <v>GUJARAT + PUNE</v>
          </cell>
          <cell r="U750" t="str">
            <v>25-26</v>
          </cell>
          <cell r="W750" t="str">
            <v>24-09-2025</v>
          </cell>
        </row>
        <row r="751">
          <cell r="F751" t="str">
            <v>BEED01S359</v>
          </cell>
          <cell r="G751" t="str">
            <v>SAIPRASAD NATURAL SUGAR PVT LTD (Khandsari and Jaggery)</v>
          </cell>
          <cell r="H751" t="str">
            <v>22-23</v>
          </cell>
          <cell r="I751" t="str">
            <v>-</v>
          </cell>
          <cell r="J751" t="str">
            <v>Domestic</v>
          </cell>
          <cell r="K751" t="str">
            <v>Khandsari and Jaggery</v>
          </cell>
          <cell r="L751" t="str">
            <v>Non-Sugar</v>
          </cell>
          <cell r="M751" t="str">
            <v>End User</v>
          </cell>
          <cell r="N751" t="str">
            <v>(0-5000)</v>
          </cell>
          <cell r="O751">
            <v>2000</v>
          </cell>
          <cell r="P751" t="str">
            <v>AV</v>
          </cell>
          <cell r="Q751" t="str">
            <v>AV</v>
          </cell>
          <cell r="R751" t="str">
            <v>PD</v>
          </cell>
          <cell r="S751" t="str">
            <v>https://share.google/1AQqV3IG5SlkJeC9I</v>
          </cell>
          <cell r="T751" t="str">
            <v>Beed - 1</v>
          </cell>
          <cell r="U751" t="str">
            <v>25-26</v>
          </cell>
          <cell r="W751" t="str">
            <v>7-1-2026
11/10/2023</v>
          </cell>
        </row>
        <row r="752">
          <cell r="F752" t="str">
            <v>PUNE01S550</v>
          </cell>
          <cell r="G752" t="str">
            <v>SAISIDHA ENGINEERING INDUSTRIES PVT LTD</v>
          </cell>
          <cell r="H752">
            <v>2015</v>
          </cell>
          <cell r="J752" t="str">
            <v>Domestic</v>
          </cell>
          <cell r="K752" t="str">
            <v>Sugar</v>
          </cell>
          <cell r="L752" t="str">
            <v>Sugar</v>
          </cell>
          <cell r="M752" t="str">
            <v>OEM</v>
          </cell>
          <cell r="P752" t="str">
            <v>AV</v>
          </cell>
          <cell r="Q752" t="str">
            <v>AV</v>
          </cell>
          <cell r="R752" t="str">
            <v>OEM</v>
          </cell>
          <cell r="S752" t="str">
            <v>https://maps.app.goo.gl/mxFebn5oRirqgwHs7</v>
          </cell>
        </row>
        <row r="753">
          <cell r="F753" t="str">
            <v>SOLP01S007</v>
          </cell>
          <cell r="G753" t="str">
            <v>SAISIDHA SUGAR EQUIPMENT &amp; ENGG. CO. PVT. LTD.</v>
          </cell>
          <cell r="H753">
            <v>2015</v>
          </cell>
          <cell r="I753" t="str">
            <v>-</v>
          </cell>
          <cell r="J753" t="str">
            <v>Domestic</v>
          </cell>
          <cell r="K753" t="str">
            <v>Sugar</v>
          </cell>
          <cell r="L753" t="str">
            <v>Sugar</v>
          </cell>
          <cell r="M753" t="str">
            <v>OEM</v>
          </cell>
          <cell r="O753" t="str">
            <v>-</v>
          </cell>
          <cell r="P753" t="str">
            <v>AV</v>
          </cell>
          <cell r="Q753" t="str">
            <v>AV</v>
          </cell>
          <cell r="R753" t="str">
            <v>OEM</v>
          </cell>
          <cell r="S753" t="str">
            <v>https://maps.app.goo.gl/mxFebn5oRirqgwHs7</v>
          </cell>
          <cell r="T753" t="str">
            <v>-</v>
          </cell>
          <cell r="W753" t="str">
            <v>-</v>
          </cell>
        </row>
        <row r="754">
          <cell r="F754" t="str">
            <v>MADU01S009</v>
          </cell>
          <cell r="G754" t="str">
            <v>SAKTHI SUGARS LIMITED</v>
          </cell>
          <cell r="H754">
            <v>2013</v>
          </cell>
          <cell r="I754" t="str">
            <v>-</v>
          </cell>
          <cell r="J754" t="str">
            <v>Domestic</v>
          </cell>
          <cell r="K754" t="str">
            <v>Sugar</v>
          </cell>
          <cell r="L754" t="str">
            <v>Sugar</v>
          </cell>
          <cell r="M754" t="str">
            <v>End User</v>
          </cell>
          <cell r="N754" t="str">
            <v>(0-5000)</v>
          </cell>
          <cell r="O754">
            <v>4000</v>
          </cell>
          <cell r="P754" t="str">
            <v>SI-GS</v>
          </cell>
          <cell r="Q754" t="str">
            <v>SI-GS</v>
          </cell>
          <cell r="W754" t="str">
            <v>19-02-2025</v>
          </cell>
        </row>
        <row r="755">
          <cell r="F755" t="str">
            <v>EROD01S008</v>
          </cell>
          <cell r="G755" t="str">
            <v>SAKTHI SUGARS LIMITED unit 1</v>
          </cell>
          <cell r="H755">
            <v>2013</v>
          </cell>
          <cell r="I755" t="str">
            <v>-</v>
          </cell>
          <cell r="J755" t="str">
            <v>Domestic</v>
          </cell>
          <cell r="K755" t="str">
            <v>Sugar</v>
          </cell>
          <cell r="L755" t="str">
            <v>Sugar</v>
          </cell>
          <cell r="M755" t="str">
            <v>End User</v>
          </cell>
          <cell r="N755" t="str">
            <v>(5001-9000)</v>
          </cell>
          <cell r="O755">
            <v>9000</v>
          </cell>
          <cell r="P755" t="str">
            <v>SI-GS</v>
          </cell>
          <cell r="Q755" t="str">
            <v>SI-GS</v>
          </cell>
          <cell r="S755" t="str">
            <v>https://maps.app.goo.gl/jKvwZiR47fk6Rasi9</v>
          </cell>
          <cell r="W755" t="str">
            <v>19-02-2025</v>
          </cell>
        </row>
        <row r="756">
          <cell r="F756" t="str">
            <v>EROD01S010</v>
          </cell>
          <cell r="G756" t="str">
            <v>SAKTHI SUGARS LTD.</v>
          </cell>
          <cell r="H756">
            <v>2013</v>
          </cell>
          <cell r="I756" t="str">
            <v>-</v>
          </cell>
          <cell r="J756" t="str">
            <v>Domestic</v>
          </cell>
          <cell r="K756" t="str">
            <v>Sugar</v>
          </cell>
          <cell r="L756" t="str">
            <v>Sugar</v>
          </cell>
          <cell r="M756" t="str">
            <v>End User</v>
          </cell>
          <cell r="N756" t="str">
            <v>(0-5000)</v>
          </cell>
          <cell r="O756">
            <v>3500</v>
          </cell>
          <cell r="P756" t="str">
            <v>SI-GS</v>
          </cell>
          <cell r="Q756" t="str">
            <v>SI-GS</v>
          </cell>
          <cell r="W756" t="str">
            <v>19-02-2025</v>
          </cell>
        </row>
        <row r="757">
          <cell r="F757" t="str">
            <v>CHAN01S245</v>
          </cell>
          <cell r="G757" t="str">
            <v>SAMPURN AGRI VENTURES PVT LTD</v>
          </cell>
          <cell r="H757">
            <v>2018</v>
          </cell>
          <cell r="I757" t="str">
            <v>-</v>
          </cell>
          <cell r="J757" t="str">
            <v>Domestic</v>
          </cell>
          <cell r="K757" t="str">
            <v>OTHERS</v>
          </cell>
          <cell r="L757" t="str">
            <v>Non-Sugar</v>
          </cell>
          <cell r="M757" t="str">
            <v>End User</v>
          </cell>
          <cell r="O757" t="str">
            <v>-</v>
          </cell>
          <cell r="P757" t="str">
            <v>NI</v>
          </cell>
          <cell r="Q757" t="str">
            <v>AKSHAY AWASTHI</v>
          </cell>
          <cell r="T757" t="str">
            <v>-</v>
          </cell>
          <cell r="U757" t="str">
            <v>-</v>
          </cell>
        </row>
        <row r="758">
          <cell r="F758" t="str">
            <v>PANI01S282</v>
          </cell>
          <cell r="G758" t="str">
            <v>SAMRAT ENGINEERING &amp; FABRICATION WORK</v>
          </cell>
          <cell r="H758" t="str">
            <v>21-22</v>
          </cell>
          <cell r="I758" t="str">
            <v>-</v>
          </cell>
          <cell r="J758" t="str">
            <v>Domestic</v>
          </cell>
          <cell r="K758" t="str">
            <v>TEXTILE</v>
          </cell>
          <cell r="L758" t="str">
            <v>Non-Sugar</v>
          </cell>
          <cell r="M758" t="str">
            <v>Trader</v>
          </cell>
          <cell r="O758" t="str">
            <v>-</v>
          </cell>
          <cell r="P758" t="str">
            <v>NI</v>
          </cell>
          <cell r="Q758" t="str">
            <v>AVIRAL SHUKLA</v>
          </cell>
          <cell r="T758" t="str">
            <v>-</v>
          </cell>
          <cell r="U758" t="str">
            <v>-</v>
          </cell>
        </row>
        <row r="759">
          <cell r="F759" t="str">
            <v>PUNE01S303</v>
          </cell>
          <cell r="G759" t="str">
            <v>SAMRUDDHA SUGAR ENGINEERS PVT. LTD. (Same as SS Engineers)</v>
          </cell>
          <cell r="H759" t="str">
            <v>22-23</v>
          </cell>
          <cell r="I759" t="str">
            <v>-</v>
          </cell>
          <cell r="J759" t="str">
            <v>Domestic</v>
          </cell>
          <cell r="K759" t="str">
            <v>Sugar</v>
          </cell>
          <cell r="L759" t="str">
            <v>Sugar</v>
          </cell>
          <cell r="M759" t="str">
            <v>OEM</v>
          </cell>
          <cell r="O759" t="str">
            <v>-</v>
          </cell>
          <cell r="P759" t="str">
            <v>AV</v>
          </cell>
          <cell r="Q759" t="str">
            <v>AV</v>
          </cell>
          <cell r="R759" t="str">
            <v>OEM</v>
          </cell>
          <cell r="T759" t="str">
            <v>-</v>
          </cell>
          <cell r="W759" t="str">
            <v>-</v>
          </cell>
        </row>
        <row r="760">
          <cell r="F760" t="str">
            <v>JALN01S013</v>
          </cell>
          <cell r="G760" t="str">
            <v>SAMRUDHI SUGARS LTD.</v>
          </cell>
          <cell r="H760">
            <v>2015</v>
          </cell>
          <cell r="I760" t="str">
            <v>-</v>
          </cell>
          <cell r="J760" t="str">
            <v>Domestic</v>
          </cell>
          <cell r="K760" t="str">
            <v>Sugar</v>
          </cell>
          <cell r="L760" t="str">
            <v>Sugar</v>
          </cell>
          <cell r="M760" t="str">
            <v>End User</v>
          </cell>
          <cell r="N760" t="str">
            <v>(0-5000)</v>
          </cell>
          <cell r="O760">
            <v>2500</v>
          </cell>
          <cell r="P760" t="str">
            <v>AV</v>
          </cell>
          <cell r="Q760" t="str">
            <v>AV</v>
          </cell>
          <cell r="R760" t="str">
            <v>PD</v>
          </cell>
          <cell r="T760" t="str">
            <v>Jalna - 1</v>
          </cell>
          <cell r="U760" t="str">
            <v>23-24</v>
          </cell>
          <cell r="W760">
            <v>45330</v>
          </cell>
        </row>
        <row r="761">
          <cell r="F761" t="str">
            <v>MERT01S270</v>
          </cell>
          <cell r="G761" t="str">
            <v>SANGAL PAPERS LTD</v>
          </cell>
          <cell r="H761" t="str">
            <v>20-21</v>
          </cell>
          <cell r="I761" t="str">
            <v>-</v>
          </cell>
          <cell r="J761" t="str">
            <v>Domestic</v>
          </cell>
          <cell r="K761" t="str">
            <v>Paper</v>
          </cell>
          <cell r="L761" t="str">
            <v>Non-Sugar</v>
          </cell>
          <cell r="M761" t="str">
            <v>End User</v>
          </cell>
          <cell r="O761" t="str">
            <v>-</v>
          </cell>
          <cell r="P761" t="str">
            <v>NI</v>
          </cell>
          <cell r="Q761" t="str">
            <v>AVIRAL SHUKLA</v>
          </cell>
          <cell r="T761" t="str">
            <v>-</v>
          </cell>
          <cell r="U761" t="str">
            <v>22-23</v>
          </cell>
          <cell r="W761" t="str">
            <v>30-09-2022</v>
          </cell>
        </row>
        <row r="762">
          <cell r="F762" t="str">
            <v>GUNT01S218</v>
          </cell>
          <cell r="G762" t="str">
            <v>SANGAM MILK PRODUCER COMPANY LIMITED</v>
          </cell>
          <cell r="H762">
            <v>2016</v>
          </cell>
          <cell r="I762" t="str">
            <v>-</v>
          </cell>
          <cell r="J762" t="str">
            <v>Domestic</v>
          </cell>
          <cell r="K762" t="str">
            <v>Dairy</v>
          </cell>
          <cell r="L762" t="str">
            <v>Non-Sugar</v>
          </cell>
          <cell r="M762" t="str">
            <v>End User</v>
          </cell>
          <cell r="P762" t="str">
            <v>SI-GS</v>
          </cell>
          <cell r="Q762" t="str">
            <v>SI-GS</v>
          </cell>
          <cell r="W762">
            <v>45184</v>
          </cell>
        </row>
        <row r="763">
          <cell r="F763" t="str">
            <v>KOLH01S141</v>
          </cell>
          <cell r="G763" t="str">
            <v>SAR SENAPATI SANTAJI GHORPADE SUGAR FY. LTD.</v>
          </cell>
          <cell r="H763">
            <v>2014</v>
          </cell>
          <cell r="I763" t="str">
            <v>-</v>
          </cell>
          <cell r="J763" t="str">
            <v>Domestic</v>
          </cell>
          <cell r="K763" t="str">
            <v>Sugar</v>
          </cell>
          <cell r="L763" t="str">
            <v>Sugar</v>
          </cell>
          <cell r="M763" t="str">
            <v>End User</v>
          </cell>
          <cell r="N763" t="str">
            <v>(0-5000)</v>
          </cell>
          <cell r="O763" t="str">
            <v>Sugar 4800
Distillery 60 KLPD
Distillery expn 50 KLPD(Procient)</v>
          </cell>
          <cell r="P763" t="str">
            <v>MRK</v>
          </cell>
          <cell r="Q763" t="str">
            <v>MRK</v>
          </cell>
          <cell r="R763" t="str">
            <v>VG</v>
          </cell>
          <cell r="S763" t="str">
            <v>https://maps.app.goo.gl/7mffYZvLf2x6B1uJ6</v>
          </cell>
          <cell r="T763" t="str">
            <v>Kolhapur - 1</v>
          </cell>
          <cell r="U763" t="str">
            <v>26-27</v>
          </cell>
          <cell r="V763" t="str">
            <v>Apr</v>
          </cell>
          <cell r="W763" t="str">
            <v>29.4.26
21-02-2025
07-12-2024
24-10-2024
17-07-2024
25-04-2024
04-10-2023
27-06-2023
13-12-2022</v>
          </cell>
        </row>
        <row r="764">
          <cell r="F764" t="str">
            <v>YAMN01S015</v>
          </cell>
          <cell r="G764" t="str">
            <v>SARASWATI SUGAR MILLS LIMITED</v>
          </cell>
          <cell r="H764">
            <v>2013</v>
          </cell>
          <cell r="I764" t="str">
            <v>-</v>
          </cell>
          <cell r="J764" t="str">
            <v>Domestic</v>
          </cell>
          <cell r="K764" t="str">
            <v>Sugar</v>
          </cell>
          <cell r="L764" t="str">
            <v>Sugar</v>
          </cell>
          <cell r="M764" t="str">
            <v>End User</v>
          </cell>
          <cell r="N764" t="str">
            <v>(0-5000)</v>
          </cell>
          <cell r="O764">
            <v>4000</v>
          </cell>
          <cell r="P764" t="str">
            <v>NI</v>
          </cell>
          <cell r="Q764" t="str">
            <v>HIMANSHU KUSHWAHA</v>
          </cell>
          <cell r="T764" t="str">
            <v>WESTERN</v>
          </cell>
          <cell r="U764" t="str">
            <v>25-26</v>
          </cell>
          <cell r="W764" t="str">
            <v>08-07-2025
1/12/2024</v>
          </cell>
        </row>
        <row r="765">
          <cell r="F765" t="str">
            <v>LAKM01S138</v>
          </cell>
          <cell r="G765" t="str">
            <v>SARJOO SAHKARI CHINI MILLS LIMITED</v>
          </cell>
          <cell r="H765" t="str">
            <v>20-21</v>
          </cell>
          <cell r="I765" t="str">
            <v>-</v>
          </cell>
          <cell r="J765" t="str">
            <v>Domestic</v>
          </cell>
          <cell r="K765" t="str">
            <v>Sugar</v>
          </cell>
          <cell r="L765" t="str">
            <v>Sugar</v>
          </cell>
          <cell r="M765" t="str">
            <v>End User</v>
          </cell>
          <cell r="N765" t="str">
            <v>(0-5000)</v>
          </cell>
          <cell r="O765">
            <v>5000</v>
          </cell>
          <cell r="P765" t="str">
            <v>NI</v>
          </cell>
          <cell r="Q765" t="str">
            <v>AVIRAL SHUKLA</v>
          </cell>
          <cell r="R765" t="str">
            <v>AMIT SRIVASTAV</v>
          </cell>
          <cell r="T765" t="str">
            <v>-</v>
          </cell>
          <cell r="U765" t="str">
            <v>24-25</v>
          </cell>
          <cell r="W765" t="str">
            <v>10-01-2025
8/27/2021</v>
          </cell>
        </row>
        <row r="766">
          <cell r="F766" t="str">
            <v>BELG01S290</v>
          </cell>
          <cell r="G766" t="str">
            <v>SATISH SUGARS LTD</v>
          </cell>
          <cell r="H766" t="str">
            <v>22-23</v>
          </cell>
          <cell r="I766" t="str">
            <v>-</v>
          </cell>
          <cell r="J766" t="str">
            <v>Domestic</v>
          </cell>
          <cell r="K766" t="str">
            <v>Sugar</v>
          </cell>
          <cell r="L766" t="str">
            <v>Sugar</v>
          </cell>
          <cell r="M766" t="str">
            <v>End User</v>
          </cell>
          <cell r="N766" t="str">
            <v>(9001 &amp; above)</v>
          </cell>
          <cell r="O766">
            <v>10000</v>
          </cell>
          <cell r="P766" t="str">
            <v>AV</v>
          </cell>
          <cell r="Q766" t="str">
            <v>AV</v>
          </cell>
          <cell r="R766" t="str">
            <v>VG</v>
          </cell>
          <cell r="T766" t="str">
            <v>Belagavi - 2</v>
          </cell>
          <cell r="U766" t="str">
            <v>25-26</v>
          </cell>
          <cell r="V766" t="str">
            <v>Mar</v>
          </cell>
          <cell r="W766" t="str">
            <v>5-3-2026
7-2-2026(AV)
13-01-2026
12-08-2025
10/2/2025
02-12-2023
05-03-2023
27-09-2022</v>
          </cell>
        </row>
        <row r="767">
          <cell r="F767" t="str">
            <v>SANG01S182</v>
          </cell>
          <cell r="G767" t="str">
            <v>SATTYAM ENGINEERS</v>
          </cell>
          <cell r="H767">
            <v>2015</v>
          </cell>
          <cell r="I767" t="str">
            <v>-</v>
          </cell>
          <cell r="J767" t="str">
            <v>Domestic</v>
          </cell>
          <cell r="K767" t="str">
            <v>Sugar</v>
          </cell>
          <cell r="L767" t="str">
            <v>Sugar</v>
          </cell>
          <cell r="M767" t="str">
            <v>OEM</v>
          </cell>
          <cell r="O767" t="str">
            <v>-</v>
          </cell>
          <cell r="P767" t="str">
            <v>AV</v>
          </cell>
          <cell r="Q767" t="str">
            <v>AV</v>
          </cell>
          <cell r="R767" t="str">
            <v>OEM</v>
          </cell>
          <cell r="T767" t="str">
            <v>-</v>
          </cell>
          <cell r="W767" t="str">
            <v>-</v>
          </cell>
        </row>
        <row r="768">
          <cell r="F768" t="str">
            <v>MUMB01S017</v>
          </cell>
          <cell r="G768" t="str">
            <v>SAURASHTRA SALT WORKS PVT.LTD.</v>
          </cell>
          <cell r="H768" t="str">
            <v>18-19</v>
          </cell>
          <cell r="I768" t="str">
            <v>-</v>
          </cell>
          <cell r="J768" t="str">
            <v>Domestic</v>
          </cell>
          <cell r="K768" t="str">
            <v>Sugar</v>
          </cell>
          <cell r="L768" t="str">
            <v>Sugar</v>
          </cell>
          <cell r="M768" t="str">
            <v>Merchant Exporter</v>
          </cell>
          <cell r="O768" t="str">
            <v>-</v>
          </cell>
          <cell r="P768" t="str">
            <v>NI</v>
          </cell>
          <cell r="Q768" t="str">
            <v>AKSHAY AWASTHI</v>
          </cell>
          <cell r="T768" t="str">
            <v>-</v>
          </cell>
          <cell r="U768" t="str">
            <v>-</v>
          </cell>
        </row>
        <row r="769">
          <cell r="F769" t="str">
            <v>JAIP01S275</v>
          </cell>
          <cell r="G769" t="str">
            <v>SAVITA SCIENTIFIC &amp; PLASTIC PRODUCTS</v>
          </cell>
          <cell r="H769" t="str">
            <v>20-21</v>
          </cell>
          <cell r="I769" t="str">
            <v>-</v>
          </cell>
          <cell r="J769" t="str">
            <v>Domestic</v>
          </cell>
          <cell r="K769" t="str">
            <v>OTHERS</v>
          </cell>
          <cell r="L769" t="str">
            <v>Non-Sugar</v>
          </cell>
          <cell r="M769" t="str">
            <v>End User</v>
          </cell>
          <cell r="O769" t="str">
            <v>-</v>
          </cell>
          <cell r="P769" t="str">
            <v>NI</v>
          </cell>
          <cell r="Q769" t="str">
            <v>AVIRAL SHUKLA</v>
          </cell>
          <cell r="T769" t="str">
            <v>-</v>
          </cell>
          <cell r="U769" t="str">
            <v>-</v>
          </cell>
        </row>
        <row r="770">
          <cell r="F770" t="str">
            <v>SANG01S532</v>
          </cell>
          <cell r="G770" t="str">
            <v>SAV-TECH ASSOCIATE</v>
          </cell>
          <cell r="H770" t="str">
            <v>-</v>
          </cell>
          <cell r="J770" t="str">
            <v>Domestic</v>
          </cell>
          <cell r="P770" t="str">
            <v>AV</v>
          </cell>
          <cell r="Q770" t="str">
            <v>-</v>
          </cell>
        </row>
        <row r="771">
          <cell r="F771" t="str">
            <v>LUCK01S510</v>
          </cell>
          <cell r="G771" t="str">
            <v>SAWEN CONSULTANCY SERVICES PVT. LTD.</v>
          </cell>
          <cell r="H771" t="str">
            <v>25-26</v>
          </cell>
          <cell r="I771" t="str">
            <v>-</v>
          </cell>
          <cell r="J771" t="str">
            <v>Domestic</v>
          </cell>
          <cell r="K771" t="str">
            <v>OTHERS</v>
          </cell>
          <cell r="L771" t="str">
            <v>Non-Sugar</v>
          </cell>
          <cell r="M771" t="str">
            <v>End User</v>
          </cell>
          <cell r="O771" t="str">
            <v>-</v>
          </cell>
          <cell r="P771" t="str">
            <v>NI</v>
          </cell>
          <cell r="Q771" t="str">
            <v>AVIRAL SHUKLA</v>
          </cell>
        </row>
        <row r="772">
          <cell r="F772" t="str">
            <v>BAGH01S018</v>
          </cell>
          <cell r="G772" t="str">
            <v>SBEC SUGAR LIMITED (MALAPUR)</v>
          </cell>
          <cell r="H772">
            <v>2013</v>
          </cell>
          <cell r="I772" t="str">
            <v>Modi Group</v>
          </cell>
          <cell r="J772" t="str">
            <v>Domestic</v>
          </cell>
          <cell r="K772" t="str">
            <v>Sugar</v>
          </cell>
          <cell r="L772" t="str">
            <v>Sugar</v>
          </cell>
          <cell r="M772" t="str">
            <v>Group (Mills)</v>
          </cell>
          <cell r="N772" t="str">
            <v>(5001-9000)</v>
          </cell>
          <cell r="O772">
            <v>9000</v>
          </cell>
          <cell r="P772" t="str">
            <v>NI</v>
          </cell>
          <cell r="Q772" t="str">
            <v>AKSHAY AWASTHI</v>
          </cell>
          <cell r="S772" t="str">
            <v>https://maps.app.goo.gl/RUgfCoECnRKpSnWC6</v>
          </cell>
          <cell r="T772" t="str">
            <v>WESTERN -2</v>
          </cell>
          <cell r="U772" t="str">
            <v>25-26</v>
          </cell>
          <cell r="V772" t="str">
            <v>Mar</v>
          </cell>
          <cell r="W772" t="str">
            <v>24-03-2026
18-3-2026
31-10-2025
30-06-2025
20-12-2024
19-07-2024
03-02-2024</v>
          </cell>
        </row>
        <row r="773">
          <cell r="F773" t="str">
            <v>BELA01S319</v>
          </cell>
          <cell r="G773" t="str">
            <v>SCON PROJECTS PVT. LTD.</v>
          </cell>
          <cell r="H773" t="str">
            <v>22-23</v>
          </cell>
          <cell r="I773" t="str">
            <v>-</v>
          </cell>
          <cell r="J773" t="str">
            <v>Domestic</v>
          </cell>
          <cell r="K773" t="str">
            <v>Sugar</v>
          </cell>
          <cell r="L773" t="str">
            <v>Sugar</v>
          </cell>
          <cell r="M773" t="str">
            <v>OEM</v>
          </cell>
          <cell r="O773" t="str">
            <v>-</v>
          </cell>
          <cell r="P773" t="str">
            <v>MRK</v>
          </cell>
          <cell r="Q773" t="str">
            <v>MRK</v>
          </cell>
          <cell r="R773" t="str">
            <v>OEM</v>
          </cell>
          <cell r="T773" t="str">
            <v>-</v>
          </cell>
          <cell r="W773" t="str">
            <v>-</v>
          </cell>
        </row>
        <row r="774">
          <cell r="F774" t="str">
            <v>NASK01S494</v>
          </cell>
          <cell r="G774" t="str">
            <v>SECURITY PRINTING AND MINTING CORP. OF INDIA LIMITED</v>
          </cell>
          <cell r="H774" t="str">
            <v>25-26</v>
          </cell>
          <cell r="I774" t="str">
            <v>-</v>
          </cell>
          <cell r="J774" t="str">
            <v>Domestic</v>
          </cell>
          <cell r="L774" t="str">
            <v>Non-Sugar</v>
          </cell>
          <cell r="M774" t="str">
            <v>End User</v>
          </cell>
          <cell r="P774" t="str">
            <v>WI-SV</v>
          </cell>
          <cell r="Q774" t="str">
            <v>SUDHIR</v>
          </cell>
        </row>
        <row r="775">
          <cell r="F775" t="str">
            <v>MUMB01S565</v>
          </cell>
          <cell r="G775" t="str">
            <v>SEVENSEAS GLOBAL EXPRESS LOGISTICES</v>
          </cell>
          <cell r="H775" t="str">
            <v>-</v>
          </cell>
          <cell r="J775" t="str">
            <v>Domestic</v>
          </cell>
          <cell r="P775" t="str">
            <v>HO</v>
          </cell>
          <cell r="Q775" t="str">
            <v>-</v>
          </cell>
        </row>
        <row r="776">
          <cell r="F776" t="str">
            <v>LUDH01S305</v>
          </cell>
          <cell r="G776" t="str">
            <v>SHAKTI APIFOODS PVT. LIMITED UNIT - 3</v>
          </cell>
          <cell r="H776" t="str">
            <v>22-23</v>
          </cell>
          <cell r="I776" t="str">
            <v>-</v>
          </cell>
          <cell r="J776" t="str">
            <v>Domestic</v>
          </cell>
          <cell r="K776" t="str">
            <v>Food</v>
          </cell>
          <cell r="L776" t="str">
            <v>Non-Sugar</v>
          </cell>
          <cell r="M776" t="str">
            <v>End User</v>
          </cell>
          <cell r="O776" t="str">
            <v>-</v>
          </cell>
          <cell r="P776" t="str">
            <v>NI</v>
          </cell>
          <cell r="Q776" t="str">
            <v>AKSHAY AWASTHI</v>
          </cell>
          <cell r="T776" t="str">
            <v>-</v>
          </cell>
          <cell r="U776" t="str">
            <v>-</v>
          </cell>
        </row>
        <row r="777">
          <cell r="F777" t="str">
            <v>NARS01S232</v>
          </cell>
          <cell r="G777" t="str">
            <v>SHAKTI SUGAR MILL PVT. LTD. NARSINGHPUR (Maheshwari Group)</v>
          </cell>
          <cell r="H777">
            <v>2017</v>
          </cell>
          <cell r="I777" t="str">
            <v>Maheshwari Group</v>
          </cell>
          <cell r="J777" t="str">
            <v>Domestic</v>
          </cell>
          <cell r="K777" t="str">
            <v>Sugar</v>
          </cell>
          <cell r="L777" t="str">
            <v>Sugar</v>
          </cell>
          <cell r="M777" t="str">
            <v>Group (Mills)</v>
          </cell>
          <cell r="N777" t="str">
            <v>(5001-9000)</v>
          </cell>
          <cell r="O777">
            <v>5000</v>
          </cell>
          <cell r="P777" t="str">
            <v>NI</v>
          </cell>
          <cell r="Q777" t="str">
            <v>AVIRAL SHUKLA</v>
          </cell>
          <cell r="S777" t="str">
            <v>https://maps.app.goo.gl/pezNjwqThBHY5sFAA</v>
          </cell>
          <cell r="T777" t="str">
            <v>M.P -1</v>
          </cell>
          <cell r="U777" t="str">
            <v>25-26</v>
          </cell>
          <cell r="V777" t="str">
            <v>Mar</v>
          </cell>
          <cell r="W777" t="str">
            <v>19-03-2026
17-09-2025
04-03-2025
7/20/2024</v>
          </cell>
        </row>
        <row r="778">
          <cell r="F778" t="str">
            <v>SAHA01S020</v>
          </cell>
          <cell r="G778" t="str">
            <v>SHAKUMBARI SUGAR AND ALLIED INDUSTRIES LTD.</v>
          </cell>
          <cell r="H778">
            <v>2013</v>
          </cell>
          <cell r="I778" t="str">
            <v>-</v>
          </cell>
          <cell r="J778" t="str">
            <v>Domestic</v>
          </cell>
          <cell r="K778" t="str">
            <v>Sugar</v>
          </cell>
          <cell r="L778" t="str">
            <v>Sugar</v>
          </cell>
          <cell r="M778" t="str">
            <v>End User</v>
          </cell>
          <cell r="N778" t="str">
            <v>(5001-9000)</v>
          </cell>
          <cell r="O778">
            <v>7500</v>
          </cell>
          <cell r="P778" t="str">
            <v>HO</v>
          </cell>
          <cell r="Q778" t="str">
            <v>AKSHAY AWASTHI</v>
          </cell>
          <cell r="T778" t="str">
            <v>-</v>
          </cell>
          <cell r="U778" t="str">
            <v>-</v>
          </cell>
          <cell r="W778" t="str">
            <v>-</v>
          </cell>
        </row>
        <row r="779">
          <cell r="F779" t="str">
            <v>DUGG01S021</v>
          </cell>
          <cell r="G779" t="str">
            <v>SHAMANUR SUGARS LIMITED (Taken over by ICPL)</v>
          </cell>
          <cell r="H779">
            <v>2013</v>
          </cell>
          <cell r="I779" t="str">
            <v>ICPL Group</v>
          </cell>
          <cell r="J779" t="str">
            <v>Domestic</v>
          </cell>
          <cell r="K779" t="str">
            <v>Sugar</v>
          </cell>
          <cell r="L779" t="str">
            <v>Sugar</v>
          </cell>
          <cell r="M779" t="str">
            <v>Group (Mills)</v>
          </cell>
          <cell r="N779" t="str">
            <v>(0-5000)</v>
          </cell>
          <cell r="O779" t="str">
            <v>Sugar 3500
Distillery 100 KLPD</v>
          </cell>
          <cell r="P779" t="str">
            <v>MRK</v>
          </cell>
          <cell r="Q779" t="str">
            <v>MRK</v>
          </cell>
          <cell r="R779" t="str">
            <v>VG</v>
          </cell>
          <cell r="S779" t="str">
            <v>https://maps.app.goo.gl/1jJDj3trno9qcAxo7</v>
          </cell>
          <cell r="T779" t="str">
            <v>Bellary_Bidar - 1</v>
          </cell>
          <cell r="U779" t="str">
            <v>26-27</v>
          </cell>
          <cell r="V779" t="str">
            <v>May</v>
          </cell>
          <cell r="W779" t="str">
            <v>14-05-2026
10-2-26
17-06-2025
17-04-2024
02-06-2023
27-11-2022</v>
          </cell>
        </row>
        <row r="780">
          <cell r="F780" t="str">
            <v>KOLH01S293</v>
          </cell>
          <cell r="G780" t="str">
            <v>SHARAD SAHAKARI SAKHAR KARKHANA LTD</v>
          </cell>
          <cell r="H780" t="str">
            <v>24-25</v>
          </cell>
          <cell r="I780" t="str">
            <v>-</v>
          </cell>
          <cell r="J780" t="str">
            <v>Domestic</v>
          </cell>
          <cell r="K780" t="str">
            <v>Sugar</v>
          </cell>
          <cell r="L780" t="str">
            <v>Sugar</v>
          </cell>
          <cell r="M780" t="str">
            <v>End User</v>
          </cell>
          <cell r="N780" t="str">
            <v>(5001-9000)</v>
          </cell>
          <cell r="O780">
            <v>7500</v>
          </cell>
          <cell r="P780" t="str">
            <v>MRK</v>
          </cell>
          <cell r="Q780" t="str">
            <v>MRK</v>
          </cell>
          <cell r="R780" t="str">
            <v>VG</v>
          </cell>
          <cell r="S780" t="str">
            <v>https://maps.app.goo.gl/9CVJwPAA7LAYd6A7A</v>
          </cell>
          <cell r="T780" t="str">
            <v>Kolhapur - 2</v>
          </cell>
          <cell r="U780" t="str">
            <v>26-27</v>
          </cell>
          <cell r="V780" t="str">
            <v>Apr</v>
          </cell>
          <cell r="W780" t="str">
            <v>28-4-2026
26-11-2025
22-01-2025
18-05-2024
17-11-2022</v>
          </cell>
        </row>
        <row r="781">
          <cell r="F781" t="str">
            <v>KOLH01S420</v>
          </cell>
          <cell r="G781" t="str">
            <v>SHARADA TECHNO SPECIALITIES PVT. LTD</v>
          </cell>
          <cell r="H781" t="str">
            <v>23-24</v>
          </cell>
          <cell r="I781" t="str">
            <v>-</v>
          </cell>
          <cell r="J781" t="str">
            <v>Domestic</v>
          </cell>
          <cell r="K781" t="str">
            <v>Dairy</v>
          </cell>
          <cell r="L781" t="str">
            <v>Non-Sugar</v>
          </cell>
          <cell r="M781" t="str">
            <v>OEM</v>
          </cell>
          <cell r="O781" t="str">
            <v>-</v>
          </cell>
          <cell r="P781" t="str">
            <v>MRK</v>
          </cell>
          <cell r="Q781" t="str">
            <v>MRK</v>
          </cell>
          <cell r="R781" t="str">
            <v>VG</v>
          </cell>
          <cell r="T781" t="str">
            <v>TOUR-5 (KOLHAPUR)</v>
          </cell>
          <cell r="U781" t="str">
            <v>24-25</v>
          </cell>
          <cell r="W781" t="str">
            <v>10-05-2024
12-03-2024
01-02-2024</v>
          </cell>
        </row>
        <row r="782">
          <cell r="F782" t="str">
            <v>SATA01S190</v>
          </cell>
          <cell r="G782" t="str">
            <v>SHARAYU AGRO INDUSTRIES LTD</v>
          </cell>
          <cell r="H782">
            <v>2016</v>
          </cell>
          <cell r="I782" t="str">
            <v>-</v>
          </cell>
          <cell r="J782" t="str">
            <v>Domestic</v>
          </cell>
          <cell r="K782" t="str">
            <v>Sugar</v>
          </cell>
          <cell r="L782" t="str">
            <v>Sugar</v>
          </cell>
          <cell r="M782" t="str">
            <v>End User</v>
          </cell>
          <cell r="N782" t="str">
            <v>(5001-9000)</v>
          </cell>
          <cell r="O782">
            <v>6500</v>
          </cell>
          <cell r="P782" t="str">
            <v>AV</v>
          </cell>
          <cell r="Q782" t="str">
            <v>AV</v>
          </cell>
          <cell r="R782" t="str">
            <v>PD</v>
          </cell>
          <cell r="S782" t="str">
            <v>https://maps.app.goo.gl/T1qFCNLgK1BfEX3C6</v>
          </cell>
          <cell r="T782" t="str">
            <v>Satara - 2</v>
          </cell>
          <cell r="U782" t="str">
            <v>26-27</v>
          </cell>
          <cell r="V782" t="str">
            <v>Apr</v>
          </cell>
          <cell r="W782" t="str">
            <v>24-04-2026(av)
25-04-2023
09-01-2023(Vishal)</v>
          </cell>
        </row>
        <row r="783">
          <cell r="F783" t="str">
            <v>DHAN01S299</v>
          </cell>
          <cell r="G783" t="str">
            <v>SHARMA REPAIRING SHOP</v>
          </cell>
          <cell r="H783" t="str">
            <v>22-23</v>
          </cell>
          <cell r="I783" t="str">
            <v>-</v>
          </cell>
          <cell r="J783" t="str">
            <v>Domestic</v>
          </cell>
          <cell r="K783" t="str">
            <v>OTHERS</v>
          </cell>
          <cell r="L783" t="str">
            <v>Non-Sugar</v>
          </cell>
          <cell r="M783" t="str">
            <v>Trader</v>
          </cell>
          <cell r="O783" t="str">
            <v>-</v>
          </cell>
          <cell r="P783" t="str">
            <v>NI</v>
          </cell>
          <cell r="Q783" t="str">
            <v>HIMANSHU KUSHWAHA</v>
          </cell>
          <cell r="T783" t="str">
            <v>-</v>
          </cell>
          <cell r="U783" t="str">
            <v>-</v>
          </cell>
        </row>
        <row r="784">
          <cell r="F784" t="str">
            <v>LATU01S469</v>
          </cell>
          <cell r="G784" t="str">
            <v>SHETKARI SAHAKARI SAKHAR KARKHANA LTD Killari</v>
          </cell>
          <cell r="H784" t="str">
            <v>24-25</v>
          </cell>
          <cell r="I784" t="str">
            <v>-</v>
          </cell>
          <cell r="J784" t="str">
            <v>Domestic</v>
          </cell>
          <cell r="K784" t="str">
            <v>Sugar</v>
          </cell>
          <cell r="L784" t="str">
            <v>Sugar</v>
          </cell>
          <cell r="M784" t="str">
            <v>End User</v>
          </cell>
          <cell r="N784" t="str">
            <v>(0-5000)</v>
          </cell>
          <cell r="O784">
            <v>1250</v>
          </cell>
          <cell r="P784" t="str">
            <v>AV</v>
          </cell>
          <cell r="Q784" t="str">
            <v>AV</v>
          </cell>
          <cell r="R784" t="str">
            <v>PD</v>
          </cell>
          <cell r="T784" t="str">
            <v>Latur - 1</v>
          </cell>
          <cell r="U784" t="str">
            <v>23-24</v>
          </cell>
          <cell r="W784">
            <v>45204</v>
          </cell>
        </row>
        <row r="785">
          <cell r="F785" t="str">
            <v>BELG01S023</v>
          </cell>
          <cell r="G785" t="str">
            <v>SHIRAGUPPI SUGAR WORKS LTD</v>
          </cell>
          <cell r="H785">
            <v>2013</v>
          </cell>
          <cell r="I785" t="str">
            <v>-</v>
          </cell>
          <cell r="J785" t="str">
            <v>Domestic</v>
          </cell>
          <cell r="K785" t="str">
            <v>Sugar</v>
          </cell>
          <cell r="L785" t="str">
            <v>Sugar</v>
          </cell>
          <cell r="M785" t="str">
            <v>End User</v>
          </cell>
          <cell r="N785" t="str">
            <v>(5001-9000)</v>
          </cell>
          <cell r="O785">
            <v>9000</v>
          </cell>
          <cell r="P785" t="str">
            <v>AV</v>
          </cell>
          <cell r="Q785" t="str">
            <v>AV</v>
          </cell>
          <cell r="R785" t="str">
            <v>VG</v>
          </cell>
          <cell r="S785" t="str">
            <v>https://maps.app.goo.gl/hPY4CNAUNPKWmTdH8</v>
          </cell>
          <cell r="T785" t="str">
            <v>Belagavi - 2</v>
          </cell>
          <cell r="U785" t="str">
            <v>25-26</v>
          </cell>
          <cell r="W785" t="str">
            <v>10-1-2026
22-5-2025
14-09-2024
17-04-2023
02-11-2022</v>
          </cell>
        </row>
        <row r="786">
          <cell r="F786" t="str">
            <v>HING01S310</v>
          </cell>
          <cell r="G786" t="str">
            <v>SHIUR SAKHAR KARKHANA LTD.</v>
          </cell>
          <cell r="H786" t="str">
            <v>-</v>
          </cell>
          <cell r="I786" t="str">
            <v>-</v>
          </cell>
          <cell r="J786" t="str">
            <v>Domestic</v>
          </cell>
          <cell r="K786" t="str">
            <v>Sugar</v>
          </cell>
          <cell r="L786" t="str">
            <v>Sugar</v>
          </cell>
          <cell r="M786" t="str">
            <v>End User</v>
          </cell>
          <cell r="N786" t="str">
            <v>(0-5000)</v>
          </cell>
          <cell r="O786">
            <v>2500</v>
          </cell>
          <cell r="P786" t="str">
            <v>AV</v>
          </cell>
          <cell r="Q786" t="str">
            <v>AV</v>
          </cell>
          <cell r="R786" t="str">
            <v>PD</v>
          </cell>
          <cell r="S786" t="str">
            <v>https://maps.app.goo.gl/PUaMFqYUiER4tYNK8</v>
          </cell>
          <cell r="T786" t="str">
            <v>Hingoli_Nanded- 1</v>
          </cell>
          <cell r="U786" t="str">
            <v>26-27</v>
          </cell>
          <cell r="V786" t="str">
            <v>Apr</v>
          </cell>
          <cell r="W786" t="str">
            <v>28-4-26
2/22/2024</v>
          </cell>
        </row>
        <row r="787">
          <cell r="F787" t="str">
            <v>LAKM01S273</v>
          </cell>
          <cell r="G787" t="str">
            <v>SHIV PARVATI SUGAR INDUSTIES</v>
          </cell>
          <cell r="H787" t="str">
            <v>20-21</v>
          </cell>
          <cell r="I787" t="str">
            <v>-</v>
          </cell>
          <cell r="J787" t="str">
            <v>Domestic</v>
          </cell>
          <cell r="K787" t="str">
            <v>Sugar</v>
          </cell>
          <cell r="L787" t="str">
            <v>Sugar</v>
          </cell>
          <cell r="M787" t="str">
            <v>End User</v>
          </cell>
          <cell r="N787" t="str">
            <v>(0-5000)</v>
          </cell>
          <cell r="O787">
            <v>3000</v>
          </cell>
          <cell r="P787" t="str">
            <v>HO</v>
          </cell>
          <cell r="Q787" t="str">
            <v>AVIRAL SHUKLA</v>
          </cell>
          <cell r="T787" t="str">
            <v>-</v>
          </cell>
          <cell r="U787" t="str">
            <v>24-25</v>
          </cell>
          <cell r="W787">
            <v>45962</v>
          </cell>
        </row>
        <row r="788">
          <cell r="F788" t="str">
            <v>VADO01S246</v>
          </cell>
          <cell r="G788" t="str">
            <v>SHIVA TRANSPORT</v>
          </cell>
          <cell r="H788">
            <v>2018</v>
          </cell>
          <cell r="I788" t="str">
            <v>-</v>
          </cell>
          <cell r="J788" t="str">
            <v>Domestic</v>
          </cell>
          <cell r="K788" t="str">
            <v>OTHERS</v>
          </cell>
          <cell r="L788" t="str">
            <v>Non-Sugar</v>
          </cell>
          <cell r="M788" t="str">
            <v>End User</v>
          </cell>
          <cell r="O788" t="str">
            <v>-</v>
          </cell>
          <cell r="P788" t="str">
            <v>NI</v>
          </cell>
          <cell r="Q788" t="str">
            <v>AVIRAL SHUKLA</v>
          </cell>
          <cell r="T788" t="str">
            <v>-</v>
          </cell>
          <cell r="U788" t="str">
            <v>-</v>
          </cell>
          <cell r="W788" t="str">
            <v>-</v>
          </cell>
        </row>
        <row r="789">
          <cell r="F789" t="str">
            <v>PUNE01S278</v>
          </cell>
          <cell r="G789" t="str">
            <v>SHIVAJI SERVICE STATION (SUGAR UNIT)</v>
          </cell>
          <cell r="H789">
            <v>2020</v>
          </cell>
          <cell r="I789" t="str">
            <v>-</v>
          </cell>
          <cell r="J789" t="str">
            <v>Domestic</v>
          </cell>
          <cell r="K789" t="str">
            <v>Sugar</v>
          </cell>
          <cell r="L789" t="str">
            <v>Sugar</v>
          </cell>
          <cell r="M789" t="str">
            <v>End User</v>
          </cell>
          <cell r="N789" t="str">
            <v>(0-5000)</v>
          </cell>
          <cell r="O789">
            <v>1250</v>
          </cell>
          <cell r="P789" t="str">
            <v>AV</v>
          </cell>
          <cell r="Q789" t="str">
            <v>AV</v>
          </cell>
          <cell r="R789" t="str">
            <v>PD</v>
          </cell>
          <cell r="T789" t="str">
            <v>Hingoli_Nanded- 1</v>
          </cell>
          <cell r="U789" t="str">
            <v>25-26</v>
          </cell>
          <cell r="V789" t="str">
            <v>Apr</v>
          </cell>
          <cell r="W789" t="str">
            <v>10-04-2026
11/24/2023</v>
          </cell>
        </row>
        <row r="790">
          <cell r="F790" t="str">
            <v>CHAU01R042</v>
          </cell>
          <cell r="G790" t="str">
            <v>SHIVAM GRAMOUDYOG SANSTHAN</v>
          </cell>
          <cell r="H790">
            <v>2016</v>
          </cell>
          <cell r="I790" t="str">
            <v>-</v>
          </cell>
          <cell r="J790" t="str">
            <v>Domestic</v>
          </cell>
          <cell r="K790" t="str">
            <v>Food</v>
          </cell>
          <cell r="L790" t="str">
            <v>Non-Sugar</v>
          </cell>
          <cell r="M790" t="str">
            <v>End User</v>
          </cell>
          <cell r="O790" t="str">
            <v>-</v>
          </cell>
          <cell r="P790" t="str">
            <v>NI</v>
          </cell>
          <cell r="Q790" t="str">
            <v>AVIRAL SHUKLA</v>
          </cell>
          <cell r="T790" t="str">
            <v>-</v>
          </cell>
          <cell r="U790" t="str">
            <v>-</v>
          </cell>
          <cell r="W790" t="str">
            <v>-</v>
          </cell>
        </row>
        <row r="791">
          <cell r="F791" t="str">
            <v>CHEN01M227</v>
          </cell>
          <cell r="G791" t="str">
            <v>SHIVANESHAN</v>
          </cell>
          <cell r="H791" t="str">
            <v>-</v>
          </cell>
          <cell r="J791" t="str">
            <v>Domestic</v>
          </cell>
          <cell r="P791" t="str">
            <v>-</v>
          </cell>
          <cell r="Q791" t="str">
            <v>-</v>
          </cell>
        </row>
        <row r="792">
          <cell r="F792" t="str">
            <v>SOLP01S562</v>
          </cell>
          <cell r="G792" t="str">
            <v>SHIVGIRI AGRO SUGAR WORKS PVT LTD (Formerly Bhairavnath sugar works unit 2)</v>
          </cell>
          <cell r="H792" t="str">
            <v>25-26</v>
          </cell>
          <cell r="I792" t="str">
            <v>Bhairavnath Sugar Group</v>
          </cell>
          <cell r="J792" t="str">
            <v>Domestic</v>
          </cell>
          <cell r="K792" t="str">
            <v>Sugar</v>
          </cell>
          <cell r="L792" t="str">
            <v>Sugar</v>
          </cell>
          <cell r="M792" t="str">
            <v>Group (Mills)</v>
          </cell>
          <cell r="N792" t="str">
            <v>(0-5000)</v>
          </cell>
          <cell r="O792">
            <v>3800</v>
          </cell>
          <cell r="P792" t="str">
            <v>AV</v>
          </cell>
          <cell r="Q792" t="str">
            <v>AV</v>
          </cell>
          <cell r="R792" t="str">
            <v>PD</v>
          </cell>
          <cell r="T792" t="str">
            <v>Solapur - 3</v>
          </cell>
          <cell r="U792" t="str">
            <v>23-24</v>
          </cell>
          <cell r="W792">
            <v>45058</v>
          </cell>
        </row>
        <row r="793">
          <cell r="F793" t="str">
            <v>LATU01S470</v>
          </cell>
          <cell r="G793" t="str">
            <v>SHIVNERI SUGAR AND ALLIED INDUSTRIES LIMITED (Athani Sugar) (OLD JIJAMATA SUGAR POWER IND. LTD.)</v>
          </cell>
          <cell r="H793" t="str">
            <v>-</v>
          </cell>
          <cell r="I793" t="str">
            <v>Athani Group</v>
          </cell>
          <cell r="J793" t="str">
            <v>Domestic</v>
          </cell>
          <cell r="K793" t="str">
            <v>Sugar</v>
          </cell>
          <cell r="L793" t="str">
            <v>Sugar</v>
          </cell>
          <cell r="M793" t="str">
            <v>Group (Mills)</v>
          </cell>
          <cell r="N793" t="str">
            <v>(0-5000)</v>
          </cell>
          <cell r="O793">
            <v>5000</v>
          </cell>
          <cell r="P793" t="str">
            <v>AV</v>
          </cell>
          <cell r="Q793" t="str">
            <v>AV</v>
          </cell>
          <cell r="R793" t="str">
            <v>VG</v>
          </cell>
          <cell r="T793" t="str">
            <v>Satara - 2</v>
          </cell>
          <cell r="U793" t="str">
            <v>25-26</v>
          </cell>
          <cell r="W793" t="str">
            <v>14-05-2025
2/16/2024</v>
          </cell>
        </row>
        <row r="794">
          <cell r="F794" t="str">
            <v>BELG01S025</v>
          </cell>
          <cell r="G794" t="str">
            <v>SHIVSHAKTI SUGARS LIMITED RAIBAG</v>
          </cell>
          <cell r="H794">
            <v>2015</v>
          </cell>
          <cell r="I794" t="str">
            <v>Kore group (same owner)</v>
          </cell>
          <cell r="J794" t="str">
            <v>Domestic</v>
          </cell>
          <cell r="K794" t="str">
            <v>Sugar</v>
          </cell>
          <cell r="L794" t="str">
            <v>Sugar</v>
          </cell>
          <cell r="M794" t="str">
            <v>Group (Mills)</v>
          </cell>
          <cell r="N794" t="str">
            <v>(9001 &amp; above)</v>
          </cell>
          <cell r="O794">
            <v>10000</v>
          </cell>
          <cell r="P794" t="str">
            <v>MRK</v>
          </cell>
          <cell r="Q794" t="str">
            <v>MRK</v>
          </cell>
          <cell r="R794" t="str">
            <v>VG</v>
          </cell>
          <cell r="S794" t="str">
            <v>https://maps.app.goo.gl/CVCDKtXyJjow9GA59</v>
          </cell>
          <cell r="T794" t="str">
            <v>Belagavi - 1</v>
          </cell>
          <cell r="U794" t="str">
            <v>26-27</v>
          </cell>
          <cell r="V794" t="str">
            <v>Apr</v>
          </cell>
          <cell r="W794" t="str">
            <v>9-4-2026
03-03-2026
27-11-2025
19-5-2025
04-12-2024
01-12-2023
08-02-2023
22-09-2022</v>
          </cell>
        </row>
        <row r="795">
          <cell r="F795" t="str">
            <v>PUNE01S137</v>
          </cell>
          <cell r="G795" t="str">
            <v>SHRADDHA ENERGY AND INFRAPROJECTS PVT LTD (Formerly Maa Bageshwari sugars)</v>
          </cell>
          <cell r="H795">
            <v>2015</v>
          </cell>
          <cell r="I795" t="str">
            <v>-</v>
          </cell>
          <cell r="J795" t="str">
            <v>Domestic</v>
          </cell>
          <cell r="K795" t="str">
            <v>Sugar</v>
          </cell>
          <cell r="L795" t="str">
            <v>Sugar</v>
          </cell>
          <cell r="M795" t="str">
            <v>End User</v>
          </cell>
          <cell r="N795" t="str">
            <v>(0-5000)</v>
          </cell>
          <cell r="O795">
            <v>4500</v>
          </cell>
          <cell r="P795" t="str">
            <v>AV</v>
          </cell>
          <cell r="Q795" t="str">
            <v>AV</v>
          </cell>
          <cell r="R795" t="str">
            <v>PD</v>
          </cell>
          <cell r="T795" t="str">
            <v>Jalna - 1</v>
          </cell>
          <cell r="U795" t="str">
            <v>23-24</v>
          </cell>
          <cell r="W795">
            <v>45331</v>
          </cell>
        </row>
        <row r="796">
          <cell r="F796" t="str">
            <v>BAHR01S220</v>
          </cell>
          <cell r="G796" t="str">
            <v>SHRAVASTI KISAN SAHKARI CHINI MILLS LTD</v>
          </cell>
          <cell r="H796">
            <v>2016</v>
          </cell>
          <cell r="I796" t="str">
            <v>-</v>
          </cell>
          <cell r="J796" t="str">
            <v>Domestic</v>
          </cell>
          <cell r="K796" t="str">
            <v>Sugar</v>
          </cell>
          <cell r="L796" t="str">
            <v>Sugar</v>
          </cell>
          <cell r="M796" t="str">
            <v>End User</v>
          </cell>
          <cell r="N796" t="str">
            <v>(0-5000)</v>
          </cell>
          <cell r="O796">
            <v>3000</v>
          </cell>
          <cell r="P796" t="str">
            <v>NI</v>
          </cell>
          <cell r="Q796" t="str">
            <v>AKSHAY AWASTHI</v>
          </cell>
          <cell r="S796" t="str">
            <v>https://share.google/vkSn0BOCfLHNpy1vr</v>
          </cell>
          <cell r="T796" t="str">
            <v>-</v>
          </cell>
          <cell r="U796" t="str">
            <v>25-26</v>
          </cell>
          <cell r="W796" t="str">
            <v>19-01-2026</v>
          </cell>
        </row>
        <row r="797">
          <cell r="F797" t="str">
            <v>LUCK01S281</v>
          </cell>
          <cell r="G797" t="str">
            <v>SHRAWASTHI AGROTECH PVT LTD</v>
          </cell>
          <cell r="H797" t="str">
            <v>21-22</v>
          </cell>
          <cell r="I797" t="str">
            <v>-</v>
          </cell>
          <cell r="J797" t="str">
            <v>Domestic</v>
          </cell>
          <cell r="K797" t="str">
            <v>Cattlefeed</v>
          </cell>
          <cell r="L797" t="str">
            <v>Non-Sugar</v>
          </cell>
          <cell r="M797" t="str">
            <v>End User</v>
          </cell>
          <cell r="O797" t="str">
            <v>-</v>
          </cell>
          <cell r="P797" t="str">
            <v>NI</v>
          </cell>
          <cell r="Q797" t="str">
            <v>AVIRAL SHUKLA</v>
          </cell>
          <cell r="T797" t="str">
            <v>-</v>
          </cell>
          <cell r="U797" t="str">
            <v>25-26</v>
          </cell>
          <cell r="W797" t="str">
            <v>31-11-2025</v>
          </cell>
        </row>
        <row r="798">
          <cell r="F798" t="str">
            <v>AHMD01S056</v>
          </cell>
          <cell r="G798" t="str">
            <v>SHREE AMBALIKA SUGAR PVT. LTD.</v>
          </cell>
          <cell r="H798">
            <v>2013</v>
          </cell>
          <cell r="I798" t="str">
            <v>Powar Group</v>
          </cell>
          <cell r="J798" t="str">
            <v>Domestic</v>
          </cell>
          <cell r="K798" t="str">
            <v>Sugar</v>
          </cell>
          <cell r="L798" t="str">
            <v>Sugar</v>
          </cell>
          <cell r="M798" t="str">
            <v>Group (Mills)</v>
          </cell>
          <cell r="N798" t="str">
            <v>(9001 &amp; above)</v>
          </cell>
          <cell r="O798" t="str">
            <v>17000
Distillery Unit 165 KLPD (Expn plan for 265 KLPD)</v>
          </cell>
          <cell r="P798" t="str">
            <v>AV</v>
          </cell>
          <cell r="Q798" t="str">
            <v>AV</v>
          </cell>
          <cell r="R798" t="str">
            <v>PD</v>
          </cell>
          <cell r="S798" t="str">
            <v>https://maps.app.goo.gl/J3WDVZxmRTQRmwhCA</v>
          </cell>
          <cell r="T798" t="str">
            <v>Ahmednagar - 2</v>
          </cell>
          <cell r="U798" t="str">
            <v>23-24</v>
          </cell>
          <cell r="W798">
            <v>45059</v>
          </cell>
        </row>
        <row r="799">
          <cell r="F799" t="str">
            <v>KOLH01S339</v>
          </cell>
          <cell r="G799" t="str">
            <v>SHREE ANNAPURNA SUGAR AND JAGGERY WORKS LIMITED</v>
          </cell>
          <cell r="H799" t="str">
            <v>22-23</v>
          </cell>
          <cell r="I799" t="str">
            <v>-</v>
          </cell>
          <cell r="J799" t="str">
            <v>Domestic</v>
          </cell>
          <cell r="K799" t="str">
            <v>Sugar</v>
          </cell>
          <cell r="L799" t="str">
            <v>Sugar</v>
          </cell>
          <cell r="M799" t="str">
            <v>End User</v>
          </cell>
          <cell r="N799" t="str">
            <v>(0-5000)</v>
          </cell>
          <cell r="O799">
            <v>1500</v>
          </cell>
          <cell r="P799" t="str">
            <v>MRK</v>
          </cell>
          <cell r="Q799" t="str">
            <v>MRK</v>
          </cell>
          <cell r="R799" t="str">
            <v>VG</v>
          </cell>
          <cell r="S799" t="str">
            <v>16° 29' 9.8354" N 74° 13' 41.5135" E</v>
          </cell>
          <cell r="T799" t="str">
            <v>Kolhapur - 1</v>
          </cell>
          <cell r="U799" t="str">
            <v>26-27</v>
          </cell>
          <cell r="V799" t="str">
            <v>Apr</v>
          </cell>
          <cell r="W799" t="str">
            <v>22-4-2026
28-8-2025
14-06-2025
17-07-2024
25-04-2024
04-10-2023</v>
          </cell>
        </row>
        <row r="800">
          <cell r="F800" t="str">
            <v>ROTH01S264</v>
          </cell>
          <cell r="G800" t="str">
            <v>SHREE BABA BAIJUNATH SUGAR &amp; CHEMICAL IND PVT LTD</v>
          </cell>
          <cell r="H800" t="str">
            <v>19-20</v>
          </cell>
          <cell r="I800" t="str">
            <v>-</v>
          </cell>
          <cell r="J800" t="str">
            <v>Export</v>
          </cell>
          <cell r="K800" t="str">
            <v>Sugar</v>
          </cell>
          <cell r="L800" t="str">
            <v>Sugar</v>
          </cell>
          <cell r="M800" t="str">
            <v>End User</v>
          </cell>
          <cell r="N800" t="str">
            <v>(0-5000)</v>
          </cell>
          <cell r="O800">
            <v>2000</v>
          </cell>
          <cell r="P800" t="str">
            <v>NI</v>
          </cell>
          <cell r="Q800" t="str">
            <v>AKSHAY AWASTHI</v>
          </cell>
          <cell r="T800" t="str">
            <v>Tour-Nepal</v>
          </cell>
          <cell r="U800" t="str">
            <v>25-26</v>
          </cell>
          <cell r="W800" t="str">
            <v>16-12-2025
28-06-2024
11-01-2024</v>
          </cell>
        </row>
        <row r="801">
          <cell r="F801" t="str">
            <v>BIJA01S162</v>
          </cell>
          <cell r="G801" t="str">
            <v>SHREE BASAVESHWAR SUGARS LTD. NH-218</v>
          </cell>
          <cell r="H801">
            <v>2015</v>
          </cell>
          <cell r="I801" t="str">
            <v>-</v>
          </cell>
          <cell r="J801" t="str">
            <v>Domestic</v>
          </cell>
          <cell r="K801" t="str">
            <v>Sugar</v>
          </cell>
          <cell r="L801" t="str">
            <v>Sugar</v>
          </cell>
          <cell r="M801" t="str">
            <v>End User</v>
          </cell>
          <cell r="N801" t="str">
            <v>(5001-9000)</v>
          </cell>
          <cell r="O801">
            <v>7500</v>
          </cell>
          <cell r="P801" t="str">
            <v>AV</v>
          </cell>
          <cell r="Q801" t="str">
            <v>AV</v>
          </cell>
          <cell r="R801" t="str">
            <v>VG</v>
          </cell>
          <cell r="S801" t="str">
            <v>https://maps.app.goo.gl/cpr27ddtjfJc5TbW6</v>
          </cell>
          <cell r="T801" t="str">
            <v>Vijaypura - 1</v>
          </cell>
          <cell r="U801" t="str">
            <v>25-26</v>
          </cell>
          <cell r="W801" t="str">
            <v>14-10-2025
31-03-2023
11-10-2022</v>
          </cell>
        </row>
        <row r="802">
          <cell r="F802" t="str">
            <v>KOLH01S057</v>
          </cell>
          <cell r="G802" t="str">
            <v>SHREE BHOGAWATI SAHAKARI SAKHAR KARKHANA LTD</v>
          </cell>
          <cell r="H802">
            <v>2013</v>
          </cell>
          <cell r="I802" t="str">
            <v>-</v>
          </cell>
          <cell r="J802" t="str">
            <v>Domestic</v>
          </cell>
          <cell r="K802" t="str">
            <v>Sugar</v>
          </cell>
          <cell r="L802" t="str">
            <v>Sugar</v>
          </cell>
          <cell r="M802" t="str">
            <v>End User</v>
          </cell>
          <cell r="N802" t="str">
            <v>(0-5000)</v>
          </cell>
          <cell r="O802">
            <v>4000</v>
          </cell>
          <cell r="P802" t="str">
            <v>MRK</v>
          </cell>
          <cell r="Q802" t="str">
            <v>MRK</v>
          </cell>
          <cell r="R802" t="str">
            <v>VG</v>
          </cell>
          <cell r="S802" t="str">
            <v>16° 31' 50.1719" N 74° 6' 39.8819" E</v>
          </cell>
          <cell r="T802" t="str">
            <v>Kolhapur - 2</v>
          </cell>
          <cell r="U802" t="str">
            <v>26-27</v>
          </cell>
          <cell r="V802" t="str">
            <v>Apr</v>
          </cell>
          <cell r="W802" t="str">
            <v>23-4-2026
20-02-2025
12/5/2022</v>
          </cell>
        </row>
        <row r="803">
          <cell r="F803" t="str">
            <v>SURA01S030</v>
          </cell>
          <cell r="G803" t="str">
            <v>SHREE CHALTHAN VIBHAG KHAND UDYOG SAHAKARI MANDLI LTD.</v>
          </cell>
          <cell r="H803">
            <v>2013</v>
          </cell>
          <cell r="I803" t="str">
            <v>-</v>
          </cell>
          <cell r="J803" t="str">
            <v>Domestic</v>
          </cell>
          <cell r="K803" t="str">
            <v>Sugar</v>
          </cell>
          <cell r="L803" t="str">
            <v>Sugar</v>
          </cell>
          <cell r="M803" t="str">
            <v>End User</v>
          </cell>
          <cell r="N803" t="str">
            <v>(0-5000)</v>
          </cell>
          <cell r="O803">
            <v>5000</v>
          </cell>
          <cell r="P803" t="str">
            <v>NI</v>
          </cell>
          <cell r="Q803" t="str">
            <v>AKSHAY AWASTHI</v>
          </cell>
          <cell r="T803" t="str">
            <v>-</v>
          </cell>
          <cell r="U803" t="str">
            <v>25-26</v>
          </cell>
          <cell r="W803" t="str">
            <v>22-11-2025
23-04-2025
4/16/2024</v>
          </cell>
        </row>
        <row r="804">
          <cell r="F804" t="str">
            <v>KOLH01S105</v>
          </cell>
          <cell r="G804" t="str">
            <v>SHREE CHHATRAPATI SHAHU SSK LTD (formerly S031)</v>
          </cell>
          <cell r="H804" t="str">
            <v>22-23</v>
          </cell>
          <cell r="I804" t="str">
            <v>-</v>
          </cell>
          <cell r="J804" t="str">
            <v>Domestic</v>
          </cell>
          <cell r="K804" t="str">
            <v>Sugar</v>
          </cell>
          <cell r="L804" t="str">
            <v>Sugar</v>
          </cell>
          <cell r="M804" t="str">
            <v>End User</v>
          </cell>
          <cell r="N804" t="str">
            <v>(5001-9000)</v>
          </cell>
          <cell r="O804" t="str">
            <v>7500
Distillery 80 KLPD</v>
          </cell>
          <cell r="P804" t="str">
            <v>MRK</v>
          </cell>
          <cell r="Q804" t="str">
            <v>MRK</v>
          </cell>
          <cell r="R804" t="str">
            <v>VG</v>
          </cell>
          <cell r="S804" t="str">
            <v>https://maps.app.goo.gl/b2rqK36s2Mo5F8Hp7</v>
          </cell>
          <cell r="T804" t="str">
            <v>Kolhapur - 1</v>
          </cell>
          <cell r="U804" t="str">
            <v>25-26</v>
          </cell>
          <cell r="W804" t="str">
            <v>12-2-26(MRK)
25.04.2025
03-12-2024
01-07-2023
18-12-2022</v>
          </cell>
        </row>
        <row r="805">
          <cell r="F805" t="str">
            <v>KOLH01S032</v>
          </cell>
          <cell r="G805" t="str">
            <v>SHREE DUDHGANGA VEDGANGA SSK LTD.</v>
          </cell>
          <cell r="H805">
            <v>2013</v>
          </cell>
          <cell r="I805" t="str">
            <v>-</v>
          </cell>
          <cell r="J805" t="str">
            <v>Domestic</v>
          </cell>
          <cell r="K805" t="str">
            <v>Sugar</v>
          </cell>
          <cell r="L805" t="str">
            <v>Sugar</v>
          </cell>
          <cell r="M805" t="str">
            <v>End User</v>
          </cell>
          <cell r="N805" t="str">
            <v>(5001-9000)</v>
          </cell>
          <cell r="O805" t="str">
            <v>7500
Distillery 130 KLPD</v>
          </cell>
          <cell r="P805" t="str">
            <v>MRK</v>
          </cell>
          <cell r="Q805" t="str">
            <v>MRK</v>
          </cell>
          <cell r="R805" t="str">
            <v>VG</v>
          </cell>
          <cell r="S805" t="str">
            <v>https://maps.app.goo.gl/zP5Mjc4NUgap4ptAA</v>
          </cell>
          <cell r="T805" t="str">
            <v>Kolhapur - 1</v>
          </cell>
          <cell r="U805" t="str">
            <v>26-27</v>
          </cell>
          <cell r="V805" t="str">
            <v>Apr</v>
          </cell>
          <cell r="W805" t="str">
            <v>2-4-2026
9-1-2026
10-9-2025
29-8-2025
05-05-2025
20-02-2025
24-10-2024
17-07-2024
07-06-2024
05-06-2024
15-05-2024
16-01-2024
27-06-2023
07-12-2022</v>
          </cell>
        </row>
        <row r="806">
          <cell r="F806" t="str">
            <v>BARW01S221</v>
          </cell>
          <cell r="G806" t="str">
            <v>SHREE DURGA KHANDSARI SUGAR MILLS</v>
          </cell>
          <cell r="H806">
            <v>2016</v>
          </cell>
          <cell r="I806" t="str">
            <v>-</v>
          </cell>
          <cell r="J806" t="str">
            <v>Domestic</v>
          </cell>
          <cell r="K806" t="str">
            <v>Sugar</v>
          </cell>
          <cell r="L806" t="str">
            <v>Sugar</v>
          </cell>
          <cell r="M806" t="str">
            <v>End User</v>
          </cell>
          <cell r="N806" t="str">
            <v>(0-5000)</v>
          </cell>
          <cell r="O806">
            <v>5000</v>
          </cell>
          <cell r="P806" t="str">
            <v>NI</v>
          </cell>
          <cell r="Q806" t="str">
            <v>HIMANSHU KUSHWAHA</v>
          </cell>
          <cell r="S806" t="str">
            <v>https://maps.app.goo.gl/p9FT4sj1sErUZT728</v>
          </cell>
          <cell r="T806" t="str">
            <v>M.P.-2</v>
          </cell>
          <cell r="U806" t="str">
            <v>25-26</v>
          </cell>
          <cell r="W806" t="str">
            <v>9-1-2026 13-09-2025
31-01-2025
10/24/2024</v>
          </cell>
        </row>
        <row r="807">
          <cell r="F807" t="str">
            <v>BHAR01S224</v>
          </cell>
          <cell r="G807" t="str">
            <v>SHREE GANESH KHAND UDYOG SAHAKARI MANDLI LTD</v>
          </cell>
          <cell r="H807">
            <v>2016</v>
          </cell>
          <cell r="I807" t="str">
            <v>-</v>
          </cell>
          <cell r="J807" t="str">
            <v>Domestic</v>
          </cell>
          <cell r="K807" t="str">
            <v>Sugar</v>
          </cell>
          <cell r="L807" t="str">
            <v>Sugar</v>
          </cell>
          <cell r="M807" t="str">
            <v>End User</v>
          </cell>
          <cell r="N807" t="str">
            <v>(0-5000)</v>
          </cell>
          <cell r="O807">
            <v>4500</v>
          </cell>
          <cell r="P807" t="str">
            <v>NI</v>
          </cell>
          <cell r="Q807" t="str">
            <v>AKSHAY AWASTHI</v>
          </cell>
          <cell r="T807" t="str">
            <v>GUJARAT+ PUNE</v>
          </cell>
          <cell r="U807" t="str">
            <v>25-26</v>
          </cell>
          <cell r="W807" t="str">
            <v>19-09-2025
4/8/2024</v>
          </cell>
        </row>
        <row r="808">
          <cell r="F808" t="str">
            <v>TAPI01S063</v>
          </cell>
          <cell r="G808" t="str">
            <v>SHREE GOVARDHAN SUGAR INDUSTRIES(KHANDSARI)</v>
          </cell>
          <cell r="H808">
            <v>2013</v>
          </cell>
          <cell r="I808" t="str">
            <v>-</v>
          </cell>
          <cell r="J808" t="str">
            <v>Domestic</v>
          </cell>
          <cell r="K808" t="str">
            <v>Sugar</v>
          </cell>
          <cell r="L808" t="str">
            <v>Sugar</v>
          </cell>
          <cell r="M808" t="str">
            <v>End User</v>
          </cell>
          <cell r="N808" t="str">
            <v>(0-5000)</v>
          </cell>
          <cell r="O808">
            <v>3000</v>
          </cell>
          <cell r="P808" t="str">
            <v>NI</v>
          </cell>
          <cell r="Q808" t="str">
            <v>HIMANSHU KUSHWAHA</v>
          </cell>
          <cell r="T808" t="str">
            <v>-</v>
          </cell>
          <cell r="U808" t="str">
            <v>24-25</v>
          </cell>
          <cell r="W808">
            <v>45588</v>
          </cell>
        </row>
        <row r="809">
          <cell r="F809" t="str">
            <v>BELG01S065</v>
          </cell>
          <cell r="G809" t="str">
            <v>SHREE HALASIDHANATH SAHAKARI SAKHAR KARKHANA LTD.</v>
          </cell>
          <cell r="H809">
            <v>2014</v>
          </cell>
          <cell r="I809" t="str">
            <v>-</v>
          </cell>
          <cell r="J809" t="str">
            <v>Domestic</v>
          </cell>
          <cell r="K809" t="str">
            <v>Sugar</v>
          </cell>
          <cell r="L809" t="str">
            <v>Sugar</v>
          </cell>
          <cell r="M809" t="str">
            <v>End User</v>
          </cell>
          <cell r="N809" t="str">
            <v>(5001-9000)</v>
          </cell>
          <cell r="O809" t="str">
            <v>8500
Distillery 150 KLPD</v>
          </cell>
          <cell r="P809" t="str">
            <v>MRK</v>
          </cell>
          <cell r="Q809" t="str">
            <v>MRK</v>
          </cell>
          <cell r="R809" t="str">
            <v>VG</v>
          </cell>
          <cell r="S809" t="str">
            <v>https://maps.app.goo.gl/zS57yz4VVNqDfDeC6</v>
          </cell>
          <cell r="T809" t="str">
            <v>Belagavi - 1</v>
          </cell>
          <cell r="U809" t="str">
            <v>26-27</v>
          </cell>
          <cell r="V809" t="str">
            <v>May</v>
          </cell>
          <cell r="W809" t="str">
            <v>12-05-2026
27-02-26
21-11-2025
5-8-25
21-5-2025
7-4-2025
19-03-2025
17-02-2025
02-01-2025
21-12-2024
03-12-2024
26-10-2024
14-8-2024
16-05-2024
27-05-2024</v>
          </cell>
        </row>
        <row r="810">
          <cell r="F810" t="str">
            <v>SURA01S280</v>
          </cell>
          <cell r="G810" t="str">
            <v>SHREE HARI IMPEX</v>
          </cell>
          <cell r="H810" t="str">
            <v>20-21</v>
          </cell>
          <cell r="I810" t="str">
            <v>-</v>
          </cell>
          <cell r="J810" t="str">
            <v>Domestic</v>
          </cell>
          <cell r="K810" t="str">
            <v>Sugar</v>
          </cell>
          <cell r="L810" t="str">
            <v>Sugar</v>
          </cell>
          <cell r="M810" t="str">
            <v>Merchant Exporter</v>
          </cell>
          <cell r="O810" t="str">
            <v>-</v>
          </cell>
          <cell r="P810" t="str">
            <v>NI</v>
          </cell>
          <cell r="Q810" t="str">
            <v>AKSHAY AWASTHI</v>
          </cell>
          <cell r="S810" t="str">
            <v>https://maps.app.goo.gl/TmXy4euzugGJujMg8</v>
          </cell>
          <cell r="T810" t="str">
            <v>-</v>
          </cell>
          <cell r="U810" t="str">
            <v>-</v>
          </cell>
          <cell r="W810" t="str">
            <v>-</v>
          </cell>
        </row>
        <row r="811">
          <cell r="F811" t="str">
            <v>KHUD01S234</v>
          </cell>
          <cell r="G811" t="str">
            <v>SHREE JAGANNATH SUPPLY CO.</v>
          </cell>
          <cell r="H811">
            <v>2017</v>
          </cell>
          <cell r="I811" t="str">
            <v>-</v>
          </cell>
          <cell r="J811" t="str">
            <v>Domestic</v>
          </cell>
          <cell r="K811" t="str">
            <v>OTHERS</v>
          </cell>
          <cell r="L811" t="str">
            <v>Non-Sugar</v>
          </cell>
          <cell r="M811" t="str">
            <v>End User</v>
          </cell>
          <cell r="O811" t="str">
            <v>-</v>
          </cell>
          <cell r="P811" t="str">
            <v>NI</v>
          </cell>
          <cell r="Q811" t="str">
            <v>AVIRAL SHUKLA</v>
          </cell>
          <cell r="T811" t="str">
            <v>-</v>
          </cell>
          <cell r="U811" t="str">
            <v>-</v>
          </cell>
        </row>
        <row r="812">
          <cell r="F812" t="str">
            <v>SURA01S033</v>
          </cell>
          <cell r="G812" t="str">
            <v>SHREE KAMREJ VIBHAG SAHAKARI KHAND UDYOG MANDLI LTD.</v>
          </cell>
          <cell r="H812">
            <v>2013</v>
          </cell>
          <cell r="I812" t="str">
            <v>-</v>
          </cell>
          <cell r="J812" t="str">
            <v>Domestic</v>
          </cell>
          <cell r="K812" t="str">
            <v>Sugar</v>
          </cell>
          <cell r="L812" t="str">
            <v>Sugar</v>
          </cell>
          <cell r="M812" t="str">
            <v>End User</v>
          </cell>
          <cell r="N812" t="str">
            <v>(0-5000)</v>
          </cell>
          <cell r="O812">
            <v>3000</v>
          </cell>
          <cell r="P812" t="str">
            <v>NI</v>
          </cell>
          <cell r="Q812" t="str">
            <v>AKSHAY AWASTHI</v>
          </cell>
          <cell r="S812" t="str">
            <v>https://maps.app.goo.gl/ZpEnett3CGN8AfBq9</v>
          </cell>
          <cell r="T812" t="str">
            <v>GUJARAT + PUNE</v>
          </cell>
          <cell r="U812" t="str">
            <v>25-26</v>
          </cell>
          <cell r="W812" t="str">
            <v>19-09-2025
21-04-2025
19-12-2024
13-04-2024</v>
          </cell>
        </row>
        <row r="813">
          <cell r="F813" t="str">
            <v>SURA01S034</v>
          </cell>
          <cell r="G813" t="str">
            <v>SHREE KHEDUT SAHAKARI KHAND UDYOG MANDLI LTD. (Bardoli sugar mill)</v>
          </cell>
          <cell r="H813">
            <v>2013</v>
          </cell>
          <cell r="I813" t="str">
            <v>-</v>
          </cell>
          <cell r="J813" t="str">
            <v>Domestic</v>
          </cell>
          <cell r="K813" t="str">
            <v>Sugar</v>
          </cell>
          <cell r="L813" t="str">
            <v>Sugar</v>
          </cell>
          <cell r="M813" t="str">
            <v>End User</v>
          </cell>
          <cell r="N813" t="str">
            <v>(9001 &amp; above)</v>
          </cell>
          <cell r="O813">
            <v>10000</v>
          </cell>
          <cell r="P813" t="str">
            <v>NI</v>
          </cell>
          <cell r="Q813" t="str">
            <v>AKSHAY AWASTHI</v>
          </cell>
          <cell r="S813" t="str">
            <v>https://maps.app.goo.gl/vMCuSFiawuPVHjPY9</v>
          </cell>
          <cell r="T813" t="str">
            <v>GUJRAT</v>
          </cell>
          <cell r="U813" t="str">
            <v>25-26</v>
          </cell>
          <cell r="W813" t="str">
            <v>20-11-2025
18-04-2025
4/5/2024</v>
          </cell>
        </row>
        <row r="814">
          <cell r="F814" t="str">
            <v>BHAR01S035</v>
          </cell>
          <cell r="G814" t="str">
            <v>SHREE KHEDUT SAHAKARI KHAND UDYOG MANDLI LTD. (Pandvai)</v>
          </cell>
          <cell r="H814">
            <v>2015</v>
          </cell>
          <cell r="I814" t="str">
            <v>-</v>
          </cell>
          <cell r="J814" t="str">
            <v>Domestic</v>
          </cell>
          <cell r="K814" t="str">
            <v>Sugar</v>
          </cell>
          <cell r="L814" t="str">
            <v>Sugar</v>
          </cell>
          <cell r="M814" t="str">
            <v>End User</v>
          </cell>
          <cell r="N814" t="str">
            <v>(0-5000)</v>
          </cell>
          <cell r="O814">
            <v>5000</v>
          </cell>
          <cell r="P814" t="str">
            <v>NI</v>
          </cell>
          <cell r="Q814" t="str">
            <v>AKSHAY AWASTHI</v>
          </cell>
          <cell r="T814" t="str">
            <v>-</v>
          </cell>
          <cell r="U814" t="str">
            <v>25-26</v>
          </cell>
          <cell r="W814" t="str">
            <v>18-11-2025
08-04-2024</v>
          </cell>
        </row>
        <row r="815">
          <cell r="F815" t="str">
            <v>AHMD01S251</v>
          </cell>
          <cell r="G815" t="str">
            <v>SHREE KRANTI SUGAR AND POWER LTD</v>
          </cell>
          <cell r="H815">
            <v>2018</v>
          </cell>
          <cell r="I815" t="str">
            <v>-</v>
          </cell>
          <cell r="J815" t="str">
            <v>Domestic</v>
          </cell>
          <cell r="K815" t="str">
            <v>Sugar</v>
          </cell>
          <cell r="L815" t="str">
            <v>Sugar</v>
          </cell>
          <cell r="M815" t="str">
            <v>End User</v>
          </cell>
          <cell r="N815" t="str">
            <v>(0-5000)</v>
          </cell>
          <cell r="O815">
            <v>3750</v>
          </cell>
          <cell r="P815" t="str">
            <v>AV</v>
          </cell>
          <cell r="Q815" t="str">
            <v>AV</v>
          </cell>
          <cell r="R815" t="str">
            <v>PD</v>
          </cell>
          <cell r="S815" t="str">
            <v>https://share.google/0oPGZUjJjUHPCdcuF</v>
          </cell>
          <cell r="T815" t="str">
            <v>Ahmednagar - 2</v>
          </cell>
          <cell r="U815" t="str">
            <v>25-26</v>
          </cell>
          <cell r="W815" t="str">
            <v>27-11-2025
27-02-2024
10-08-2023</v>
          </cell>
        </row>
        <row r="816">
          <cell r="F816" t="str">
            <v>PUNE01S324</v>
          </cell>
          <cell r="G816" t="str">
            <v>SHREE KURMDAS INDUSTRIES PVT LTD.</v>
          </cell>
          <cell r="H816" t="str">
            <v>22-23</v>
          </cell>
          <cell r="I816" t="str">
            <v>-</v>
          </cell>
          <cell r="J816" t="str">
            <v>Domestic</v>
          </cell>
          <cell r="K816" t="str">
            <v>Sugar</v>
          </cell>
          <cell r="L816" t="str">
            <v>Sugar</v>
          </cell>
          <cell r="M816" t="str">
            <v>OEM</v>
          </cell>
          <cell r="O816" t="str">
            <v>-</v>
          </cell>
          <cell r="P816" t="str">
            <v>AV</v>
          </cell>
          <cell r="Q816" t="str">
            <v>AV</v>
          </cell>
          <cell r="R816" t="str">
            <v>OEM</v>
          </cell>
          <cell r="T816" t="str">
            <v>-</v>
          </cell>
          <cell r="W816" t="str">
            <v>-</v>
          </cell>
        </row>
        <row r="817">
          <cell r="F817" t="str">
            <v>PANI01S262</v>
          </cell>
          <cell r="G817" t="str">
            <v>SHREE LAXMI CREATION</v>
          </cell>
          <cell r="H817" t="str">
            <v>19-20</v>
          </cell>
          <cell r="I817" t="str">
            <v>-</v>
          </cell>
          <cell r="J817" t="str">
            <v>Domestic</v>
          </cell>
          <cell r="K817" t="str">
            <v>OTHERS</v>
          </cell>
          <cell r="L817" t="str">
            <v>Non-Sugar</v>
          </cell>
          <cell r="M817" t="str">
            <v>End User</v>
          </cell>
          <cell r="O817" t="str">
            <v>-</v>
          </cell>
          <cell r="P817" t="str">
            <v>NI</v>
          </cell>
          <cell r="Q817" t="str">
            <v>AVIRAL SHUKLA</v>
          </cell>
          <cell r="T817" t="str">
            <v>-</v>
          </cell>
          <cell r="U817" t="str">
            <v>-</v>
          </cell>
        </row>
        <row r="818">
          <cell r="F818" t="str">
            <v>PARB01T088</v>
          </cell>
          <cell r="G818" t="str">
            <v>SHREE LAXMI NARSHINHA SUGAR LLP (renamed to Bhairavnath sugars works  unit 7)</v>
          </cell>
          <cell r="H818">
            <v>2013</v>
          </cell>
          <cell r="I818" t="str">
            <v>Bhairavnath Sugar Group</v>
          </cell>
          <cell r="J818" t="str">
            <v>Domestic</v>
          </cell>
          <cell r="K818" t="str">
            <v>Sugar</v>
          </cell>
          <cell r="L818" t="str">
            <v>Sugar</v>
          </cell>
          <cell r="M818" t="str">
            <v>Group (Mills)</v>
          </cell>
          <cell r="N818" t="str">
            <v>(0-5000)</v>
          </cell>
          <cell r="O818">
            <v>2500</v>
          </cell>
          <cell r="P818" t="str">
            <v>AV</v>
          </cell>
          <cell r="Q818" t="str">
            <v>AV</v>
          </cell>
          <cell r="R818" t="str">
            <v>PD</v>
          </cell>
          <cell r="T818" t="str">
            <v>Parbhani - 1</v>
          </cell>
          <cell r="U818" t="str">
            <v>26-27</v>
          </cell>
          <cell r="V818" t="str">
            <v>Apr</v>
          </cell>
          <cell r="W818" t="str">
            <v>24-4-2026
14-2-2026
2/3/2024</v>
          </cell>
        </row>
        <row r="819">
          <cell r="F819" t="str">
            <v>PANI01S259</v>
          </cell>
          <cell r="G819" t="str">
            <v>SHREE LAXMI RUBBER UDYOG</v>
          </cell>
          <cell r="H819" t="str">
            <v>19-20</v>
          </cell>
          <cell r="I819" t="str">
            <v>-</v>
          </cell>
          <cell r="J819" t="str">
            <v>Domestic</v>
          </cell>
          <cell r="K819" t="str">
            <v>OTHERS</v>
          </cell>
          <cell r="L819" t="str">
            <v>Non-Sugar</v>
          </cell>
          <cell r="M819" t="str">
            <v>End User</v>
          </cell>
          <cell r="O819" t="str">
            <v>-</v>
          </cell>
          <cell r="P819" t="str">
            <v>NI</v>
          </cell>
          <cell r="Q819" t="str">
            <v>AVIRAL SHUKLA</v>
          </cell>
          <cell r="T819" t="str">
            <v>-</v>
          </cell>
          <cell r="U819" t="str">
            <v>-</v>
          </cell>
          <cell r="W819" t="str">
            <v>-</v>
          </cell>
        </row>
        <row r="820">
          <cell r="F820" t="str">
            <v>PANI01S242</v>
          </cell>
          <cell r="G820" t="str">
            <v>SHREE LAXMI THREADS</v>
          </cell>
          <cell r="H820">
            <v>2018</v>
          </cell>
          <cell r="I820" t="str">
            <v>-</v>
          </cell>
          <cell r="J820" t="str">
            <v>Domestic</v>
          </cell>
          <cell r="K820" t="str">
            <v>OTHERS</v>
          </cell>
          <cell r="L820" t="str">
            <v>Non-Sugar</v>
          </cell>
          <cell r="M820" t="str">
            <v>End User</v>
          </cell>
          <cell r="O820" t="str">
            <v>-</v>
          </cell>
          <cell r="P820" t="str">
            <v>NI</v>
          </cell>
          <cell r="Q820" t="str">
            <v>AVIRAL SHUKLA</v>
          </cell>
          <cell r="T820" t="str">
            <v>-</v>
          </cell>
          <cell r="U820" t="str">
            <v>-</v>
          </cell>
        </row>
        <row r="821">
          <cell r="F821" t="str">
            <v>SURA01S036</v>
          </cell>
          <cell r="G821" t="str">
            <v>SHREE MADHI VIBHAG KHAND UDYOG SAHAKARI MANDLI LIMITED</v>
          </cell>
          <cell r="H821">
            <v>2013</v>
          </cell>
          <cell r="I821" t="str">
            <v>-</v>
          </cell>
          <cell r="J821" t="str">
            <v>Domestic</v>
          </cell>
          <cell r="K821" t="str">
            <v>Sugar</v>
          </cell>
          <cell r="L821" t="str">
            <v>Sugar</v>
          </cell>
          <cell r="M821" t="str">
            <v>End User</v>
          </cell>
          <cell r="N821" t="str">
            <v>(5001-9000)</v>
          </cell>
          <cell r="O821">
            <v>7500</v>
          </cell>
          <cell r="P821" t="str">
            <v>NI</v>
          </cell>
          <cell r="Q821" t="str">
            <v>AKSHAY AWASTHI</v>
          </cell>
          <cell r="T821" t="str">
            <v>-</v>
          </cell>
          <cell r="U821" t="str">
            <v>25-26</v>
          </cell>
          <cell r="W821" t="str">
            <v>17-11-2025
19-04-2025
14/6/2024</v>
          </cell>
        </row>
        <row r="822">
          <cell r="F822" t="str">
            <v>SANG01M207</v>
          </cell>
          <cell r="G822" t="str">
            <v>SHREE MAHALAXMI BIO GREEN PVT. LTD.</v>
          </cell>
          <cell r="H822" t="str">
            <v>25-26</v>
          </cell>
          <cell r="I822" t="str">
            <v>-</v>
          </cell>
          <cell r="J822" t="str">
            <v>Domestic</v>
          </cell>
          <cell r="K822" t="str">
            <v>BIO GAS</v>
          </cell>
          <cell r="L822" t="str">
            <v>Non-Sugar</v>
          </cell>
          <cell r="M822" t="str">
            <v>OEM</v>
          </cell>
          <cell r="P822" t="str">
            <v>MRK</v>
          </cell>
          <cell r="Q822" t="str">
            <v>MRK</v>
          </cell>
          <cell r="R822" t="str">
            <v>VG</v>
          </cell>
          <cell r="T822" t="str">
            <v>SANGLI</v>
          </cell>
          <cell r="U822" t="str">
            <v>25-26</v>
          </cell>
          <cell r="W822" t="str">
            <v>8-1-2026
14/04/2025</v>
          </cell>
        </row>
        <row r="823">
          <cell r="F823" t="str">
            <v>KAPI01S155</v>
          </cell>
          <cell r="G823" t="str">
            <v>SHREE MAHALAXMI SUGARS LTD.</v>
          </cell>
          <cell r="H823">
            <v>2014</v>
          </cell>
          <cell r="I823" t="str">
            <v>-</v>
          </cell>
          <cell r="J823" t="str">
            <v>Export</v>
          </cell>
          <cell r="K823" t="str">
            <v>Sugar</v>
          </cell>
          <cell r="L823" t="str">
            <v>Sugar</v>
          </cell>
          <cell r="M823" t="str">
            <v>End User</v>
          </cell>
          <cell r="N823" t="str">
            <v>(0-5000)</v>
          </cell>
          <cell r="O823">
            <v>2000</v>
          </cell>
          <cell r="P823" t="str">
            <v>NI</v>
          </cell>
          <cell r="Q823" t="str">
            <v>AVIRAL SHUKLA</v>
          </cell>
          <cell r="T823" t="str">
            <v>-</v>
          </cell>
          <cell r="U823" t="str">
            <v>24-25</v>
          </cell>
          <cell r="W823" t="str">
            <v>21-12-2024
29-06-2024</v>
          </cell>
        </row>
        <row r="824">
          <cell r="F824" t="str">
            <v>SURA01S143</v>
          </cell>
          <cell r="G824" t="str">
            <v>SHREE MAHUVA PRADESH SAHAKARI KHAND UDYOG MANDLI LTD.</v>
          </cell>
          <cell r="H824">
            <v>2014</v>
          </cell>
          <cell r="I824" t="str">
            <v>-</v>
          </cell>
          <cell r="J824" t="str">
            <v>Domestic</v>
          </cell>
          <cell r="K824" t="str">
            <v>Sugar</v>
          </cell>
          <cell r="L824" t="str">
            <v>Sugar</v>
          </cell>
          <cell r="M824" t="str">
            <v>End User</v>
          </cell>
          <cell r="N824" t="str">
            <v>(0-5000)</v>
          </cell>
          <cell r="O824">
            <v>3500</v>
          </cell>
          <cell r="P824" t="str">
            <v>NI</v>
          </cell>
          <cell r="Q824" t="str">
            <v>AKSHAY AWASTHI</v>
          </cell>
          <cell r="T824" t="str">
            <v>-</v>
          </cell>
          <cell r="U824" t="str">
            <v>24-25</v>
          </cell>
          <cell r="W824">
            <v>45392</v>
          </cell>
        </row>
        <row r="825">
          <cell r="F825" t="str">
            <v>NARM01S038</v>
          </cell>
          <cell r="G825" t="str">
            <v>SHREE NARMADA KHAND UDYOG SAHAKARI MANDLI LTD.</v>
          </cell>
          <cell r="H825">
            <v>2013</v>
          </cell>
          <cell r="I825" t="str">
            <v>-</v>
          </cell>
          <cell r="J825" t="str">
            <v>Domestic</v>
          </cell>
          <cell r="K825" t="str">
            <v>Sugar</v>
          </cell>
          <cell r="L825" t="str">
            <v>Sugar</v>
          </cell>
          <cell r="M825" t="str">
            <v>End User</v>
          </cell>
          <cell r="N825" t="str">
            <v>(0-5000)</v>
          </cell>
          <cell r="O825">
            <v>2500</v>
          </cell>
          <cell r="P825" t="str">
            <v>NI</v>
          </cell>
          <cell r="Q825" t="str">
            <v>AKSHAY AWASTHI</v>
          </cell>
          <cell r="S825" t="str">
            <v>https://maps.app.goo.gl/fy6xPBq9P8eeoKfc9</v>
          </cell>
          <cell r="T825" t="str">
            <v>GUJARAT + PUNE</v>
          </cell>
          <cell r="U825" t="str">
            <v>25-26</v>
          </cell>
          <cell r="W825" t="str">
            <v>20-09-2025
12/20/2024</v>
          </cell>
        </row>
        <row r="826">
          <cell r="F826" t="str">
            <v>SOLP01S039</v>
          </cell>
          <cell r="G826" t="str">
            <v>SHREE PANDURANG SAHAKARI SAKHAR KARKHANA LTD.</v>
          </cell>
          <cell r="H826">
            <v>2014</v>
          </cell>
          <cell r="I826" t="str">
            <v>-</v>
          </cell>
          <cell r="J826" t="str">
            <v>Domestic</v>
          </cell>
          <cell r="K826" t="str">
            <v>Sugar</v>
          </cell>
          <cell r="L826" t="str">
            <v>Sugar</v>
          </cell>
          <cell r="M826" t="str">
            <v>End User</v>
          </cell>
          <cell r="N826" t="str">
            <v>(9001 &amp; above)</v>
          </cell>
          <cell r="O826">
            <v>10000</v>
          </cell>
          <cell r="P826" t="str">
            <v>AV</v>
          </cell>
          <cell r="Q826" t="str">
            <v>AV</v>
          </cell>
          <cell r="R826" t="str">
            <v>PD</v>
          </cell>
          <cell r="S826" t="str">
            <v>https://maps.app.goo.gl/9hTF9RTxHD1DvGaeA</v>
          </cell>
          <cell r="T826" t="str">
            <v>Solapur - 2</v>
          </cell>
          <cell r="U826" t="str">
            <v>26-27</v>
          </cell>
          <cell r="V826" t="str">
            <v>May</v>
          </cell>
          <cell r="W826" t="str">
            <v>25-05-2026
19-06-2024
28-04-2023</v>
          </cell>
        </row>
        <row r="827">
          <cell r="F827" t="str">
            <v>KOLH01S203</v>
          </cell>
          <cell r="G827" t="str">
            <v>SHREE RENUKA SUGARS LTD. - PANCHGANGA (NS362B)</v>
          </cell>
          <cell r="H827">
            <v>2016</v>
          </cell>
          <cell r="I827" t="str">
            <v>Renuka Group</v>
          </cell>
          <cell r="J827" t="str">
            <v>Domestic</v>
          </cell>
          <cell r="K827" t="str">
            <v>Sugar</v>
          </cell>
          <cell r="L827" t="str">
            <v>Sugar</v>
          </cell>
          <cell r="M827" t="str">
            <v>Group (Mills)</v>
          </cell>
          <cell r="N827" t="str">
            <v>(5001-9000)</v>
          </cell>
          <cell r="O827">
            <v>7000</v>
          </cell>
          <cell r="P827" t="str">
            <v>NI</v>
          </cell>
          <cell r="Q827" t="str">
            <v>HIMANSHU KUSHWAHA</v>
          </cell>
          <cell r="S827" t="str">
            <v>https://maps.app.goo.gl/yh8qM9rLewWEoBXWA</v>
          </cell>
          <cell r="T827" t="str">
            <v>MAHARASHTRA + KARNATAKA</v>
          </cell>
          <cell r="U827" t="str">
            <v>25-26</v>
          </cell>
          <cell r="W827" t="str">
            <v>29-1-2026
07-07-2025
12/31/2024</v>
          </cell>
        </row>
        <row r="828">
          <cell r="F828" t="str">
            <v>BELG01S042</v>
          </cell>
          <cell r="G828" t="str">
            <v>SHREE RENUKA SUGARS LTD (Munoli- Belgaum)</v>
          </cell>
          <cell r="H828">
            <v>2014</v>
          </cell>
          <cell r="I828" t="str">
            <v>Renuka Group</v>
          </cell>
          <cell r="J828" t="str">
            <v>Domestic</v>
          </cell>
          <cell r="K828" t="str">
            <v>Sugar</v>
          </cell>
          <cell r="L828" t="str">
            <v>Sugar</v>
          </cell>
          <cell r="M828" t="str">
            <v>Group (Mills)</v>
          </cell>
          <cell r="N828" t="str">
            <v>(5001-9000)</v>
          </cell>
          <cell r="O828">
            <v>7500</v>
          </cell>
          <cell r="P828" t="str">
            <v>NI</v>
          </cell>
          <cell r="Q828" t="str">
            <v>HIMANSHU KUSHWAHA</v>
          </cell>
          <cell r="T828" t="str">
            <v>MAHARASHTRA + KARNATAKA</v>
          </cell>
          <cell r="U828" t="str">
            <v>25-26</v>
          </cell>
          <cell r="W828" t="str">
            <v>30-1-2026
01-01-2025
23-10-2024</v>
          </cell>
        </row>
        <row r="829">
          <cell r="F829" t="str">
            <v>BELG01S043</v>
          </cell>
          <cell r="G829" t="str">
            <v>SHREE RENUKA SUGARS LTD. © (Athani)</v>
          </cell>
          <cell r="H829">
            <v>2013</v>
          </cell>
          <cell r="I829" t="str">
            <v>Renuka Group</v>
          </cell>
          <cell r="J829" t="str">
            <v>Domestic</v>
          </cell>
          <cell r="K829" t="str">
            <v>Sugar</v>
          </cell>
          <cell r="L829" t="str">
            <v>Sugar</v>
          </cell>
          <cell r="M829" t="str">
            <v>Group (Mills)</v>
          </cell>
          <cell r="N829" t="str">
            <v>(9001 &amp; above)</v>
          </cell>
          <cell r="O829">
            <v>12000</v>
          </cell>
          <cell r="P829" t="str">
            <v>NI</v>
          </cell>
          <cell r="Q829" t="str">
            <v>HIMANSHU KUSHWAHA</v>
          </cell>
          <cell r="S829" t="str">
            <v>https://maps.app.goo.gl/zGuF3ZDfukttknem7</v>
          </cell>
          <cell r="T829" t="str">
            <v>MAHARASHTRA + KARNATAKA</v>
          </cell>
          <cell r="U829" t="str">
            <v>25-26</v>
          </cell>
          <cell r="W829" t="str">
            <v>31-1-2026
05-07-2025
01-01-2025</v>
          </cell>
        </row>
        <row r="830">
          <cell r="F830" t="str">
            <v>GULB01S045</v>
          </cell>
          <cell r="G830" t="str">
            <v>SHREE RENUKA SUGARS LTD. (E) (havalga - afzalpur)</v>
          </cell>
          <cell r="H830">
            <v>2014</v>
          </cell>
          <cell r="I830" t="str">
            <v>Renuka Group</v>
          </cell>
          <cell r="J830" t="str">
            <v>Domestic</v>
          </cell>
          <cell r="K830" t="str">
            <v>Sugar</v>
          </cell>
          <cell r="L830" t="str">
            <v>Sugar</v>
          </cell>
          <cell r="M830" t="str">
            <v>Group (Mills)</v>
          </cell>
          <cell r="N830" t="str">
            <v>(5001-9000)</v>
          </cell>
          <cell r="O830">
            <v>9000</v>
          </cell>
          <cell r="P830" t="str">
            <v>NI</v>
          </cell>
          <cell r="Q830" t="str">
            <v>HIMANSHU KUSHWAHA</v>
          </cell>
          <cell r="S830" t="str">
            <v>https://maps.app.goo.gl/MaxQa7XYDfuYjPzXA</v>
          </cell>
          <cell r="T830" t="str">
            <v>MAHARASHTRA + KARNATAKA</v>
          </cell>
          <cell r="U830" t="str">
            <v>25-26</v>
          </cell>
          <cell r="W830" t="str">
            <v>1-2-2026
04-07-2025
01-01-2025</v>
          </cell>
        </row>
        <row r="831">
          <cell r="F831" t="str">
            <v>HALD01S046</v>
          </cell>
          <cell r="G831" t="str">
            <v>SHREE RENUKA SUGARS LTD. (I) (Haldia)</v>
          </cell>
          <cell r="H831">
            <v>2013</v>
          </cell>
          <cell r="I831" t="str">
            <v>Renuka Group</v>
          </cell>
          <cell r="J831" t="str">
            <v>Domestic</v>
          </cell>
          <cell r="K831" t="str">
            <v>Sugar</v>
          </cell>
          <cell r="L831" t="str">
            <v>Sugar</v>
          </cell>
          <cell r="M831" t="str">
            <v>Group (Mills)</v>
          </cell>
          <cell r="N831" t="str">
            <v>(0-5000)</v>
          </cell>
          <cell r="O831">
            <v>2500</v>
          </cell>
          <cell r="P831" t="str">
            <v>NI</v>
          </cell>
          <cell r="Q831" t="str">
            <v>AVIRAL SHUKLA</v>
          </cell>
          <cell r="T831" t="str">
            <v>-</v>
          </cell>
          <cell r="U831" t="str">
            <v>-</v>
          </cell>
          <cell r="W831" t="str">
            <v>-</v>
          </cell>
        </row>
        <row r="832">
          <cell r="F832" t="str">
            <v>BELG01S047</v>
          </cell>
          <cell r="G832" t="str">
            <v>SHREE RENUKA SUGARS LTD. (J) (Raibag)</v>
          </cell>
          <cell r="H832">
            <v>2013</v>
          </cell>
          <cell r="I832" t="str">
            <v>Renuka Group</v>
          </cell>
          <cell r="J832" t="str">
            <v>Domestic</v>
          </cell>
          <cell r="K832" t="str">
            <v>Sugar</v>
          </cell>
          <cell r="L832" t="str">
            <v>Sugar</v>
          </cell>
          <cell r="M832" t="str">
            <v>Group (Mills)</v>
          </cell>
          <cell r="N832" t="str">
            <v>(0-5000)</v>
          </cell>
          <cell r="O832">
            <v>3000</v>
          </cell>
          <cell r="P832" t="str">
            <v>NI</v>
          </cell>
          <cell r="Q832" t="str">
            <v>HIMANSHU KUSHWAHA</v>
          </cell>
          <cell r="S832" t="str">
            <v>https://maps.app.goo.gl/i5mq3R9YZC29rcEj7</v>
          </cell>
          <cell r="T832" t="str">
            <v>MAHARASHTRA + KARNATAKA</v>
          </cell>
          <cell r="U832" t="str">
            <v>25-26</v>
          </cell>
          <cell r="W832" t="str">
            <v>29-01-2026
05-07-2025
12/31/2024</v>
          </cell>
        </row>
        <row r="833">
          <cell r="F833" t="str">
            <v>KUTC01S044</v>
          </cell>
          <cell r="G833" t="str">
            <v>SHREE RENUKA SUGARS LTD. (K) (Gandhidham)</v>
          </cell>
          <cell r="H833">
            <v>2013</v>
          </cell>
          <cell r="I833" t="str">
            <v>Renuka Group</v>
          </cell>
          <cell r="J833" t="str">
            <v>Domestic</v>
          </cell>
          <cell r="K833" t="str">
            <v>Sugar</v>
          </cell>
          <cell r="L833" t="str">
            <v>Sugar</v>
          </cell>
          <cell r="M833" t="str">
            <v>Group (Mills)</v>
          </cell>
          <cell r="N833" t="str">
            <v>(0-5000)</v>
          </cell>
          <cell r="O833">
            <v>4000</v>
          </cell>
          <cell r="P833" t="str">
            <v>NI</v>
          </cell>
          <cell r="Q833" t="str">
            <v>HIMANSHU KUSHWAHA</v>
          </cell>
          <cell r="S833" t="str">
            <v>https://maps.app.goo.gl/4Xd8jtWXN92Woqfo7</v>
          </cell>
          <cell r="T833" t="str">
            <v>-</v>
          </cell>
          <cell r="U833" t="str">
            <v>24-25</v>
          </cell>
          <cell r="W833">
            <v>45367</v>
          </cell>
        </row>
        <row r="834">
          <cell r="F834" t="str">
            <v>PARB01S112</v>
          </cell>
          <cell r="G834" t="str">
            <v>SHREE RENUKA SUGARS LTD. (Pathari-parbhani)</v>
          </cell>
          <cell r="H834">
            <v>2014</v>
          </cell>
          <cell r="I834" t="str">
            <v>Renuka Group</v>
          </cell>
          <cell r="J834" t="str">
            <v>Domestic</v>
          </cell>
          <cell r="K834" t="str">
            <v>Sugar</v>
          </cell>
          <cell r="L834" t="str">
            <v>Sugar</v>
          </cell>
          <cell r="M834" t="str">
            <v>Group (Mills)</v>
          </cell>
          <cell r="N834" t="str">
            <v>(0-5000)</v>
          </cell>
          <cell r="O834">
            <v>1500</v>
          </cell>
          <cell r="P834" t="str">
            <v>NI</v>
          </cell>
          <cell r="Q834" t="str">
            <v>HIMANSHU KUSHWAHA</v>
          </cell>
          <cell r="T834" t="str">
            <v>MAHARASHTRA + KARNATAKA</v>
          </cell>
          <cell r="U834" t="str">
            <v>25-26</v>
          </cell>
          <cell r="W834" t="str">
            <v>2-2-2026
03-07-2025
01/03/25</v>
          </cell>
        </row>
        <row r="835">
          <cell r="F835" t="str">
            <v>SURA01S049</v>
          </cell>
          <cell r="G835" t="str">
            <v>SHREE SAYAN VIBHAG SAHAKARI KHAND UDYOG MANDLI LTD</v>
          </cell>
          <cell r="H835">
            <v>2013</v>
          </cell>
          <cell r="I835" t="str">
            <v>-</v>
          </cell>
          <cell r="J835" t="str">
            <v>Domestic</v>
          </cell>
          <cell r="K835" t="str">
            <v>Sugar</v>
          </cell>
          <cell r="L835" t="str">
            <v>Sugar</v>
          </cell>
          <cell r="M835" t="str">
            <v>End User</v>
          </cell>
          <cell r="N835" t="str">
            <v>(0-5000)</v>
          </cell>
          <cell r="O835">
            <v>5000</v>
          </cell>
          <cell r="P835" t="str">
            <v>NI</v>
          </cell>
          <cell r="Q835" t="str">
            <v>AKSHAY AWASTHI</v>
          </cell>
          <cell r="T835" t="str">
            <v>-</v>
          </cell>
          <cell r="U835" t="str">
            <v>25-26</v>
          </cell>
          <cell r="W835" t="str">
            <v>18-11-2025
21-04-2025
19-12-2024
11-04-2024</v>
          </cell>
        </row>
        <row r="836">
          <cell r="F836" t="str">
            <v>SOLP01S100</v>
          </cell>
          <cell r="G836" t="str">
            <v>SHREE SIDDHESHWAR SAHAKARI SAKHAR KARKHANA LTD.</v>
          </cell>
          <cell r="H836">
            <v>2015</v>
          </cell>
          <cell r="I836" t="str">
            <v>-</v>
          </cell>
          <cell r="J836" t="str">
            <v>Domestic</v>
          </cell>
          <cell r="K836" t="str">
            <v>Sugar</v>
          </cell>
          <cell r="L836" t="str">
            <v>Sugar</v>
          </cell>
          <cell r="M836" t="str">
            <v>End User</v>
          </cell>
          <cell r="N836" t="str">
            <v>(5001-9000)</v>
          </cell>
          <cell r="O836">
            <v>7500</v>
          </cell>
          <cell r="P836" t="str">
            <v>AV</v>
          </cell>
          <cell r="Q836" t="str">
            <v>AV</v>
          </cell>
          <cell r="R836" t="str">
            <v>PD</v>
          </cell>
          <cell r="S836" t="str">
            <v>https://maps.app.goo.gl/LWhjTypguaKdk6Xo6</v>
          </cell>
          <cell r="T836" t="str">
            <v>Solapur - 1</v>
          </cell>
          <cell r="U836" t="str">
            <v>23-24</v>
          </cell>
          <cell r="W836">
            <v>45071</v>
          </cell>
        </row>
        <row r="837">
          <cell r="F837" t="str">
            <v>BELG01S051</v>
          </cell>
          <cell r="G837" t="str">
            <v>SHREE SOMESHWAR SAHAKARI SAKKARE KARKHANE NIYAMIT</v>
          </cell>
          <cell r="H837">
            <v>2014</v>
          </cell>
          <cell r="I837" t="str">
            <v>-</v>
          </cell>
          <cell r="J837" t="str">
            <v>Domestic</v>
          </cell>
          <cell r="K837" t="str">
            <v>Sugar</v>
          </cell>
          <cell r="L837" t="str">
            <v>Sugar</v>
          </cell>
          <cell r="M837" t="str">
            <v>End User</v>
          </cell>
          <cell r="N837" t="str">
            <v>(0-5000)</v>
          </cell>
          <cell r="O837">
            <v>3000</v>
          </cell>
          <cell r="P837" t="str">
            <v>MRK</v>
          </cell>
          <cell r="Q837" t="str">
            <v>MRK</v>
          </cell>
          <cell r="R837" t="str">
            <v>VG</v>
          </cell>
          <cell r="T837" t="str">
            <v>Belagavi - 2</v>
          </cell>
          <cell r="U837" t="str">
            <v>24-25</v>
          </cell>
          <cell r="W837" t="str">
            <v>18-02-2025
27-6-2024
13-06-2024
03-12-2023
24-05-2023
02-03-2023
28-09-2022</v>
          </cell>
        </row>
        <row r="838">
          <cell r="F838" t="str">
            <v>KOLH01S183</v>
          </cell>
          <cell r="G838" t="str">
            <v>SHREE TATYASAHEB KORE WARANA SSK LTD.</v>
          </cell>
          <cell r="H838" t="str">
            <v>22-23</v>
          </cell>
          <cell r="I838" t="str">
            <v>-</v>
          </cell>
          <cell r="J838" t="str">
            <v>Domestic</v>
          </cell>
          <cell r="K838" t="str">
            <v>Sugar</v>
          </cell>
          <cell r="L838" t="str">
            <v>Sugar</v>
          </cell>
          <cell r="M838" t="str">
            <v>End User</v>
          </cell>
          <cell r="N838" t="str">
            <v>(9001 &amp; above)</v>
          </cell>
          <cell r="O838">
            <v>12000</v>
          </cell>
          <cell r="P838" t="str">
            <v>AV</v>
          </cell>
          <cell r="Q838" t="str">
            <v>AV</v>
          </cell>
          <cell r="R838" t="str">
            <v>VG</v>
          </cell>
          <cell r="S838" t="str">
            <v>https://maps.app.goo.gl/qcMhuGqbD2EE944h8</v>
          </cell>
          <cell r="T838" t="str">
            <v>Kolhapur - 2</v>
          </cell>
          <cell r="U838" t="str">
            <v>25-26</v>
          </cell>
          <cell r="W838" t="str">
            <v>10-07-2025
19-02-2025
30-06-2023
05-05-2023
06-12-2022</v>
          </cell>
        </row>
        <row r="839">
          <cell r="F839" t="str">
            <v>SURA01S291</v>
          </cell>
          <cell r="G839" t="str">
            <v>SHREE UKAI PRADESH SAHAKARI KHAND UDYOG MANDLI LIMITED</v>
          </cell>
          <cell r="H839" t="str">
            <v>24-25</v>
          </cell>
          <cell r="I839" t="str">
            <v>-</v>
          </cell>
          <cell r="J839" t="str">
            <v>Domestic</v>
          </cell>
          <cell r="K839" t="str">
            <v>Sugar</v>
          </cell>
          <cell r="L839" t="str">
            <v>Sugar</v>
          </cell>
          <cell r="M839" t="str">
            <v>End User</v>
          </cell>
          <cell r="N839" t="str">
            <v>(0-5000)</v>
          </cell>
          <cell r="O839">
            <v>2500</v>
          </cell>
          <cell r="P839" t="str">
            <v>NI</v>
          </cell>
          <cell r="Q839" t="str">
            <v>AKSHAY AWASTHI</v>
          </cell>
          <cell r="T839" t="str">
            <v>-</v>
          </cell>
          <cell r="U839" t="str">
            <v>25-26</v>
          </cell>
          <cell r="W839" t="str">
            <v>19-04-2025
4/15/2024</v>
          </cell>
        </row>
        <row r="840">
          <cell r="F840" t="str">
            <v>TAPI01S426</v>
          </cell>
          <cell r="G840" t="str">
            <v>SHREE UKAI PRADESH SAHAKARI KHAND UDYOG MANDLI LTD</v>
          </cell>
          <cell r="H840" t="str">
            <v>25-26</v>
          </cell>
          <cell r="I840" t="str">
            <v>-</v>
          </cell>
          <cell r="J840" t="str">
            <v>Domestic</v>
          </cell>
          <cell r="K840" t="str">
            <v>Sugar</v>
          </cell>
          <cell r="L840" t="str">
            <v>Sugar</v>
          </cell>
          <cell r="M840" t="str">
            <v>End User</v>
          </cell>
          <cell r="N840" t="str">
            <v>(0-5000)</v>
          </cell>
          <cell r="O840">
            <v>3000</v>
          </cell>
          <cell r="P840" t="str">
            <v>NI</v>
          </cell>
          <cell r="Q840" t="str">
            <v>AKSHAY AWASTHI</v>
          </cell>
        </row>
        <row r="841">
          <cell r="F841" t="str">
            <v>MERT01S481</v>
          </cell>
          <cell r="G841" t="str">
            <v>SHREE ULTRATECK SUGAR ENGG. CO.</v>
          </cell>
          <cell r="H841" t="str">
            <v>24-25</v>
          </cell>
          <cell r="I841" t="str">
            <v>-</v>
          </cell>
          <cell r="J841" t="str">
            <v>Domestic</v>
          </cell>
          <cell r="K841" t="str">
            <v>Sugar</v>
          </cell>
          <cell r="L841" t="str">
            <v>Sugar</v>
          </cell>
          <cell r="M841" t="str">
            <v>End User</v>
          </cell>
          <cell r="N841" t="str">
            <v>(0-5000)</v>
          </cell>
          <cell r="O841">
            <v>3000</v>
          </cell>
          <cell r="P841" t="str">
            <v>NI</v>
          </cell>
          <cell r="Q841" t="str">
            <v>HIMANSHU KUSHWAHA</v>
          </cell>
        </row>
        <row r="842">
          <cell r="F842" t="str">
            <v>VADO01S052</v>
          </cell>
          <cell r="G842" t="str">
            <v>SHREE VADODARA DISTRICT CO-OP.SUGARCANE -</v>
          </cell>
          <cell r="H842">
            <v>2013</v>
          </cell>
          <cell r="I842" t="str">
            <v>-</v>
          </cell>
          <cell r="J842" t="str">
            <v>Domestic</v>
          </cell>
          <cell r="K842" t="str">
            <v>Sugar</v>
          </cell>
          <cell r="L842" t="str">
            <v>Sugar</v>
          </cell>
          <cell r="M842" t="str">
            <v>End User</v>
          </cell>
          <cell r="N842" t="str">
            <v>(0-5000)</v>
          </cell>
          <cell r="O842">
            <v>2500</v>
          </cell>
          <cell r="P842" t="str">
            <v>HO</v>
          </cell>
          <cell r="Q842" t="str">
            <v>AKSHAY AWASTHI</v>
          </cell>
          <cell r="T842" t="str">
            <v>-</v>
          </cell>
          <cell r="U842" t="str">
            <v>24-25</v>
          </cell>
          <cell r="W842">
            <v>45401</v>
          </cell>
        </row>
        <row r="843">
          <cell r="F843" t="str">
            <v>AHMD01S301</v>
          </cell>
          <cell r="G843" t="str">
            <v>SHREE VRIDHESHWAR SSK LTD</v>
          </cell>
          <cell r="H843" t="str">
            <v>-</v>
          </cell>
          <cell r="I843" t="str">
            <v>-</v>
          </cell>
          <cell r="J843" t="str">
            <v>Domestic</v>
          </cell>
          <cell r="K843" t="str">
            <v>Sugar</v>
          </cell>
          <cell r="L843" t="str">
            <v>Sugar</v>
          </cell>
          <cell r="M843" t="str">
            <v>End User</v>
          </cell>
          <cell r="N843" t="str">
            <v>(0-5000)</v>
          </cell>
          <cell r="O843" t="str">
            <v>2500
Distillery 30 KLPD</v>
          </cell>
          <cell r="P843" t="str">
            <v>AV</v>
          </cell>
          <cell r="Q843" t="str">
            <v>AV</v>
          </cell>
          <cell r="R843" t="str">
            <v>PD</v>
          </cell>
          <cell r="S843" t="str">
            <v>NA</v>
          </cell>
          <cell r="T843" t="str">
            <v>Ahmednagar - 2</v>
          </cell>
          <cell r="U843" t="str">
            <v>25-26</v>
          </cell>
          <cell r="W843" t="str">
            <v>17-11-2025
7/20/2023</v>
          </cell>
        </row>
        <row r="844">
          <cell r="F844" t="str">
            <v>NASK01S272</v>
          </cell>
          <cell r="G844" t="str">
            <v>SHREENATH ENGINEERING</v>
          </cell>
          <cell r="H844" t="str">
            <v>20-21</v>
          </cell>
          <cell r="I844" t="str">
            <v>-</v>
          </cell>
          <cell r="J844" t="str">
            <v>Domestic</v>
          </cell>
          <cell r="K844" t="str">
            <v>OTHERS</v>
          </cell>
          <cell r="L844" t="str">
            <v>Non-Sugar</v>
          </cell>
          <cell r="M844" t="str">
            <v>Trader</v>
          </cell>
          <cell r="O844" t="str">
            <v>-</v>
          </cell>
          <cell r="P844" t="str">
            <v>NI</v>
          </cell>
          <cell r="Q844" t="str">
            <v>AVIRAL SHUKLA</v>
          </cell>
          <cell r="T844" t="str">
            <v>-</v>
          </cell>
          <cell r="U844" t="str">
            <v>-</v>
          </cell>
        </row>
        <row r="845">
          <cell r="F845" t="str">
            <v>PUNE01S054</v>
          </cell>
          <cell r="G845" t="str">
            <v>SHREENATH MHASKOBA SAKHAR KARKHANA LTD.</v>
          </cell>
          <cell r="H845">
            <v>2014</v>
          </cell>
          <cell r="I845" t="str">
            <v>-</v>
          </cell>
          <cell r="J845" t="str">
            <v>Domestic</v>
          </cell>
          <cell r="K845" t="str">
            <v>Sugar</v>
          </cell>
          <cell r="L845" t="str">
            <v>Sugar</v>
          </cell>
          <cell r="M845" t="str">
            <v>End User</v>
          </cell>
          <cell r="N845" t="str">
            <v>(5001-9000)</v>
          </cell>
          <cell r="O845">
            <v>7500</v>
          </cell>
          <cell r="P845" t="str">
            <v>AV</v>
          </cell>
          <cell r="Q845" t="str">
            <v>AV</v>
          </cell>
          <cell r="R845" t="str">
            <v>PD</v>
          </cell>
          <cell r="S845" t="str">
            <v>https://maps.app.goo.gl/6Li1qVosvbgJr1VM9</v>
          </cell>
          <cell r="T845" t="str">
            <v>Pune - 1</v>
          </cell>
          <cell r="U845" t="str">
            <v>23-24</v>
          </cell>
          <cell r="W845">
            <v>45266</v>
          </cell>
        </row>
        <row r="846">
          <cell r="F846" t="str">
            <v>LATU01S548</v>
          </cell>
          <cell r="G846" t="str">
            <v>SHREERAJ SUGAR &amp; ALLIED INDUSTRIES PVT LTD (FORMERLY-SHREE SAIBABA SUGARS)</v>
          </cell>
          <cell r="H846">
            <v>2021</v>
          </cell>
          <cell r="J846" t="str">
            <v>Domestic</v>
          </cell>
          <cell r="K846" t="str">
            <v>Sugar</v>
          </cell>
          <cell r="L846" t="str">
            <v>Sugar</v>
          </cell>
          <cell r="M846" t="str">
            <v>End User</v>
          </cell>
          <cell r="O846">
            <v>2500</v>
          </cell>
          <cell r="P846" t="str">
            <v>AV</v>
          </cell>
          <cell r="Q846" t="str">
            <v>AV</v>
          </cell>
          <cell r="R846" t="str">
            <v>PD</v>
          </cell>
          <cell r="T846" t="str">
            <v>Tour- 12 (Latur)</v>
          </cell>
          <cell r="U846" t="str">
            <v>23-24</v>
          </cell>
          <cell r="W846">
            <v>45205</v>
          </cell>
        </row>
        <row r="847">
          <cell r="F847" t="str">
            <v>MUMB01S283</v>
          </cell>
          <cell r="G847" t="str">
            <v>SHREYA CONSULTANCY</v>
          </cell>
          <cell r="H847" t="str">
            <v>21-22</v>
          </cell>
          <cell r="I847" t="str">
            <v>-</v>
          </cell>
          <cell r="J847" t="str">
            <v>Domestic</v>
          </cell>
          <cell r="K847" t="str">
            <v>OTHERS</v>
          </cell>
          <cell r="L847" t="str">
            <v>Non-Sugar</v>
          </cell>
          <cell r="M847" t="str">
            <v>OEM</v>
          </cell>
          <cell r="O847" t="str">
            <v>-</v>
          </cell>
          <cell r="P847" t="str">
            <v>NI</v>
          </cell>
          <cell r="Q847" t="str">
            <v>AVIRAL SHUKLA</v>
          </cell>
          <cell r="T847" t="str">
            <v>-</v>
          </cell>
          <cell r="U847" t="str">
            <v>-</v>
          </cell>
        </row>
        <row r="848">
          <cell r="F848" t="str">
            <v>BIJA01B063</v>
          </cell>
          <cell r="G848" t="str">
            <v>SHRI BALAJI SUGARS &amp; CHEMICALS PVT. LTD.</v>
          </cell>
          <cell r="H848">
            <v>2015</v>
          </cell>
          <cell r="I848" t="str">
            <v>-</v>
          </cell>
          <cell r="J848" t="str">
            <v>Domestic</v>
          </cell>
          <cell r="K848" t="str">
            <v>Sugar</v>
          </cell>
          <cell r="L848" t="str">
            <v>Sugar</v>
          </cell>
          <cell r="M848" t="str">
            <v>End User</v>
          </cell>
          <cell r="N848" t="str">
            <v>(9001 &amp; above)</v>
          </cell>
          <cell r="O848" t="str">
            <v>10000
Distillery 180 KLPD</v>
          </cell>
          <cell r="P848" t="str">
            <v>AV</v>
          </cell>
          <cell r="Q848" t="str">
            <v>AV</v>
          </cell>
          <cell r="R848" t="str">
            <v>VG</v>
          </cell>
          <cell r="S848" t="str">
            <v>https://maps.app.goo.gl/QaUAkNR8TcSKXPM18</v>
          </cell>
          <cell r="T848" t="str">
            <v>Vijaypura - 1</v>
          </cell>
          <cell r="U848" t="str">
            <v>25-26</v>
          </cell>
          <cell r="W848" t="str">
            <v>13-11-2025
7-6-2025
23-03-2024
28-04-2023
05-11-2022</v>
          </cell>
        </row>
        <row r="849">
          <cell r="F849" t="str">
            <v>PUNE01S269</v>
          </cell>
          <cell r="G849" t="str">
            <v>SHRI BALKRISHNA GRIHA UDYOG</v>
          </cell>
          <cell r="H849" t="str">
            <v>19-20</v>
          </cell>
          <cell r="I849" t="str">
            <v>-</v>
          </cell>
          <cell r="J849" t="str">
            <v>Domestic</v>
          </cell>
          <cell r="K849" t="str">
            <v>Other</v>
          </cell>
          <cell r="L849" t="str">
            <v>Non-Sugar</v>
          </cell>
          <cell r="M849" t="str">
            <v>End User</v>
          </cell>
          <cell r="O849" t="str">
            <v>-</v>
          </cell>
          <cell r="P849" t="str">
            <v>NI</v>
          </cell>
          <cell r="Q849" t="str">
            <v>AVIRAL SHUKLA</v>
          </cell>
          <cell r="T849" t="str">
            <v>-</v>
          </cell>
          <cell r="U849" t="str">
            <v>-</v>
          </cell>
        </row>
        <row r="850">
          <cell r="F850" t="str">
            <v>VIJA01S212</v>
          </cell>
          <cell r="G850" t="str">
            <v>SHRI BHIMASHANKER S.S.K. NIYAMIT</v>
          </cell>
          <cell r="H850">
            <v>2018</v>
          </cell>
          <cell r="I850" t="str">
            <v>-</v>
          </cell>
          <cell r="J850" t="str">
            <v>Domestic</v>
          </cell>
          <cell r="K850" t="str">
            <v>Sugar</v>
          </cell>
          <cell r="L850" t="str">
            <v>Sugar</v>
          </cell>
          <cell r="M850" t="str">
            <v>End User</v>
          </cell>
          <cell r="N850" t="str">
            <v>(0-5000)</v>
          </cell>
          <cell r="O850">
            <v>5000</v>
          </cell>
          <cell r="P850" t="str">
            <v>MRK</v>
          </cell>
          <cell r="Q850" t="str">
            <v>MRK</v>
          </cell>
          <cell r="R850" t="str">
            <v>VG</v>
          </cell>
          <cell r="T850" t="str">
            <v>Vijaypura - 1</v>
          </cell>
          <cell r="U850" t="str">
            <v>23-24</v>
          </cell>
          <cell r="W850" t="str">
            <v>26-04-2023
07-11-2022</v>
          </cell>
        </row>
        <row r="851">
          <cell r="F851" t="str">
            <v>BARL01S431</v>
          </cell>
          <cell r="G851" t="str">
            <v>SHRI CHANCHALA FOODS INDIA PVT LTD</v>
          </cell>
          <cell r="H851" t="str">
            <v>24-25</v>
          </cell>
          <cell r="I851" t="str">
            <v>-</v>
          </cell>
          <cell r="J851" t="str">
            <v>Domestic</v>
          </cell>
          <cell r="K851" t="str">
            <v>FOOD</v>
          </cell>
          <cell r="L851" t="str">
            <v>Non-Sugar</v>
          </cell>
          <cell r="M851" t="str">
            <v>End User</v>
          </cell>
          <cell r="O851" t="str">
            <v>-</v>
          </cell>
          <cell r="P851" t="str">
            <v>NI</v>
          </cell>
          <cell r="Q851" t="str">
            <v>AVIRAL SHUKLA</v>
          </cell>
          <cell r="S851" t="str">
            <v>https://share.google/WWJaoVWlB8h8RV0uj</v>
          </cell>
        </row>
        <row r="852">
          <cell r="F852" t="str">
            <v>KOLH01S058</v>
          </cell>
          <cell r="G852" t="str">
            <v>SHRI CHHATRAPATI RAJARAM SAHAKARI SAKHAR KARKHANA LTD.</v>
          </cell>
          <cell r="H852">
            <v>2014</v>
          </cell>
          <cell r="I852" t="str">
            <v>-</v>
          </cell>
          <cell r="J852" t="str">
            <v>Domestic</v>
          </cell>
          <cell r="K852" t="str">
            <v>Sugar</v>
          </cell>
          <cell r="L852" t="str">
            <v>Sugar</v>
          </cell>
          <cell r="M852" t="str">
            <v>End User</v>
          </cell>
          <cell r="N852" t="str">
            <v>(0-5000)</v>
          </cell>
          <cell r="O852">
            <v>3500</v>
          </cell>
          <cell r="P852" t="str">
            <v>AV</v>
          </cell>
          <cell r="Q852" t="str">
            <v>AV</v>
          </cell>
          <cell r="R852" t="str">
            <v>VG</v>
          </cell>
          <cell r="S852" t="str">
            <v>https://maps.app.goo.gl/dLJQanUHs91SX1pL9</v>
          </cell>
          <cell r="T852" t="str">
            <v>Kolhapur - 2</v>
          </cell>
          <cell r="U852" t="str">
            <v>26-27</v>
          </cell>
          <cell r="V852" t="str">
            <v>Apr</v>
          </cell>
          <cell r="W852" t="str">
            <v>18-4-2026
9-7-2025
23-01-2025
20-01-2025
08-03-2023
05-12-2022</v>
          </cell>
        </row>
        <row r="853">
          <cell r="F853" t="str">
            <v>PUNE01S059</v>
          </cell>
          <cell r="G853" t="str">
            <v>SHRI CHHATRAPATI SAHAKARI SAKHAR KARKHANA LTD.</v>
          </cell>
          <cell r="H853">
            <v>2013</v>
          </cell>
          <cell r="I853" t="str">
            <v>-</v>
          </cell>
          <cell r="J853" t="str">
            <v>Domestic</v>
          </cell>
          <cell r="K853" t="str">
            <v>Sugar</v>
          </cell>
          <cell r="L853" t="str">
            <v>Sugar</v>
          </cell>
          <cell r="M853" t="str">
            <v>End User</v>
          </cell>
          <cell r="N853" t="str">
            <v>(5001-9000)</v>
          </cell>
          <cell r="O853">
            <v>8000</v>
          </cell>
          <cell r="P853" t="str">
            <v>AV</v>
          </cell>
          <cell r="Q853" t="str">
            <v>AV</v>
          </cell>
          <cell r="R853" t="str">
            <v>PD</v>
          </cell>
          <cell r="S853" t="str">
            <v>https://maps.app.goo.gl/D4UscSUm561awN7B9</v>
          </cell>
          <cell r="T853" t="str">
            <v>Pune - 1</v>
          </cell>
          <cell r="U853" t="str">
            <v>24-25</v>
          </cell>
          <cell r="W853" t="str">
            <v>08-04-2024
08-08-2023
20-04-2023</v>
          </cell>
        </row>
        <row r="854">
          <cell r="F854" t="str">
            <v>KOLH01S164</v>
          </cell>
          <cell r="G854" t="str">
            <v>SHRI DATTA SHETKARI SAHAKARI SAKHAR KARKHANA LTD.</v>
          </cell>
          <cell r="H854">
            <v>2013</v>
          </cell>
          <cell r="I854" t="str">
            <v>-</v>
          </cell>
          <cell r="J854" t="str">
            <v>Domestic</v>
          </cell>
          <cell r="K854" t="str">
            <v>Sugar</v>
          </cell>
          <cell r="L854" t="str">
            <v>Sugar</v>
          </cell>
          <cell r="M854" t="str">
            <v>End User</v>
          </cell>
          <cell r="N854" t="str">
            <v>(5001-9000)</v>
          </cell>
          <cell r="O854" t="str">
            <v>Sugar 9000
Distillery 60 KLPD</v>
          </cell>
          <cell r="P854" t="str">
            <v>AV</v>
          </cell>
          <cell r="Q854" t="str">
            <v>AV</v>
          </cell>
          <cell r="R854" t="str">
            <v>VG</v>
          </cell>
          <cell r="S854" t="str">
            <v>https://maps.app.goo.gl/SdbmCQEcCy9EDoBT6</v>
          </cell>
          <cell r="T854" t="str">
            <v>Kolhapur - 2</v>
          </cell>
          <cell r="U854" t="str">
            <v>25-26</v>
          </cell>
          <cell r="W854" t="str">
            <v>29-7-2025
29-08-2024
28-06-2023
12-12-2022</v>
          </cell>
        </row>
        <row r="855">
          <cell r="F855" t="str">
            <v>KUTC01S409</v>
          </cell>
          <cell r="G855" t="str">
            <v>SHRI DUTT INDIA PVT LTD</v>
          </cell>
          <cell r="H855" t="str">
            <v>23-24</v>
          </cell>
          <cell r="I855" t="str">
            <v>Shri Dutt Group</v>
          </cell>
          <cell r="J855" t="str">
            <v>Domestic</v>
          </cell>
          <cell r="K855" t="str">
            <v>Refinery</v>
          </cell>
          <cell r="L855" t="str">
            <v>Non-Sugar</v>
          </cell>
          <cell r="M855" t="str">
            <v>Group (Mills)</v>
          </cell>
          <cell r="N855" t="str">
            <v>(0-5000)</v>
          </cell>
          <cell r="O855">
            <v>1000</v>
          </cell>
          <cell r="P855" t="str">
            <v>AV</v>
          </cell>
          <cell r="Q855" t="str">
            <v>AV</v>
          </cell>
          <cell r="R855" t="str">
            <v>HO</v>
          </cell>
          <cell r="S855" t="str">
            <v>https://maps.app.goo.gl/FF6WTq5XxgnG4heZ7</v>
          </cell>
          <cell r="T855" t="str">
            <v>TOUR-HO</v>
          </cell>
          <cell r="U855" t="str">
            <v>23-24</v>
          </cell>
          <cell r="W855">
            <v>45369</v>
          </cell>
        </row>
        <row r="856">
          <cell r="F856" t="str">
            <v>KOLH01S465</v>
          </cell>
          <cell r="G856" t="str">
            <v>SHRI DUTT INDIA PVT LTD - CHADCHAN (formelly Indian Sugar Manufacturing)</v>
          </cell>
          <cell r="H856">
            <v>2015</v>
          </cell>
          <cell r="I856" t="str">
            <v>Shri Dutt Group</v>
          </cell>
          <cell r="J856" t="str">
            <v>Domestic</v>
          </cell>
          <cell r="K856" t="str">
            <v>Sugar</v>
          </cell>
          <cell r="L856" t="str">
            <v>Sugar</v>
          </cell>
          <cell r="M856" t="str">
            <v>Group (Mills)</v>
          </cell>
          <cell r="N856" t="str">
            <v>(0-5000)</v>
          </cell>
          <cell r="O856" t="str">
            <v>Sugar 4500
Distillery 100 KLPD</v>
          </cell>
          <cell r="P856" t="str">
            <v>AV</v>
          </cell>
          <cell r="Q856" t="str">
            <v>AV</v>
          </cell>
          <cell r="R856" t="str">
            <v>VG</v>
          </cell>
          <cell r="S856" t="str">
            <v>https://maps.app.goo.gl/7eC768FY8CvBcUkd9</v>
          </cell>
          <cell r="T856" t="str">
            <v>Vijaypura - 1</v>
          </cell>
          <cell r="U856" t="str">
            <v>25-26</v>
          </cell>
          <cell r="W856" t="str">
            <v>5-6-2025
20-04-2023
06-11-2022</v>
          </cell>
        </row>
        <row r="857">
          <cell r="F857" t="str">
            <v>SANG01S238</v>
          </cell>
          <cell r="G857" t="str">
            <v>SHRI DUTT INDIA PVT LTD UNIT 1, SANGLI</v>
          </cell>
          <cell r="H857">
            <v>2017</v>
          </cell>
          <cell r="I857" t="str">
            <v>Shri Dutt Group</v>
          </cell>
          <cell r="J857" t="str">
            <v>Domestic</v>
          </cell>
          <cell r="K857" t="str">
            <v>Sugar</v>
          </cell>
          <cell r="L857" t="str">
            <v>Sugar</v>
          </cell>
          <cell r="M857" t="str">
            <v>Group (Mills)</v>
          </cell>
          <cell r="N857" t="str">
            <v>(5001-9000)</v>
          </cell>
          <cell r="O857">
            <v>9000</v>
          </cell>
          <cell r="P857" t="str">
            <v>AV</v>
          </cell>
          <cell r="Q857" t="str">
            <v>AV</v>
          </cell>
          <cell r="R857" t="str">
            <v>VG</v>
          </cell>
          <cell r="S857" t="str">
            <v>https://maps.app.goo.gl/dDbLB4qkqKK4PNcLA</v>
          </cell>
          <cell r="T857" t="str">
            <v>Sangli - 1</v>
          </cell>
          <cell r="U857" t="str">
            <v>26-27</v>
          </cell>
          <cell r="V857" t="str">
            <v>Apr</v>
          </cell>
          <cell r="W857" t="str">
            <v>17-4-2026
23-07-2024
20-12-2022</v>
          </cell>
        </row>
        <row r="858">
          <cell r="F858" t="str">
            <v>SATA01N047</v>
          </cell>
          <cell r="G858" t="str">
            <v>SHRI DUTT INDIA PVT LTD UNIT 2, SAKHARWADI</v>
          </cell>
          <cell r="H858">
            <v>2015</v>
          </cell>
          <cell r="I858" t="str">
            <v>Shri Dutt Group</v>
          </cell>
          <cell r="J858" t="str">
            <v>Domestic</v>
          </cell>
          <cell r="K858" t="str">
            <v>Sugar</v>
          </cell>
          <cell r="L858" t="str">
            <v>Sugar</v>
          </cell>
          <cell r="M858" t="str">
            <v>Group (Mills)</v>
          </cell>
          <cell r="N858" t="str">
            <v>(5001-9000)</v>
          </cell>
          <cell r="O858">
            <v>9000</v>
          </cell>
          <cell r="P858" t="str">
            <v>AV</v>
          </cell>
          <cell r="Q858" t="str">
            <v>AV</v>
          </cell>
          <cell r="R858" t="str">
            <v>PD</v>
          </cell>
          <cell r="S858" t="str">
            <v>https://share.google/mvmJFy5uUDOCiPiZy</v>
          </cell>
          <cell r="T858" t="str">
            <v>Satara - 2</v>
          </cell>
          <cell r="U858" t="str">
            <v>25-26</v>
          </cell>
          <cell r="W858" t="str">
            <v>20-01-2026
08-06-2024
26-04-2023</v>
          </cell>
        </row>
        <row r="859">
          <cell r="F859" t="str">
            <v>AHMD01S358</v>
          </cell>
          <cell r="G859" t="str">
            <v>SHRI GANESH SSK</v>
          </cell>
          <cell r="H859" t="str">
            <v>25-26</v>
          </cell>
          <cell r="I859" t="str">
            <v>-</v>
          </cell>
          <cell r="J859" t="str">
            <v>Domestic</v>
          </cell>
          <cell r="K859" t="str">
            <v>Sugar</v>
          </cell>
          <cell r="L859" t="str">
            <v>Sugar</v>
          </cell>
          <cell r="M859" t="str">
            <v>End User</v>
          </cell>
          <cell r="N859" t="str">
            <v>(0-5000)</v>
          </cell>
          <cell r="O859">
            <v>1750</v>
          </cell>
          <cell r="P859" t="str">
            <v>AV</v>
          </cell>
          <cell r="Q859" t="str">
            <v>AV</v>
          </cell>
          <cell r="R859" t="str">
            <v>PD</v>
          </cell>
          <cell r="S859" t="str">
            <v>https://maps.app.goo.gl/cYpgXL1cqR7UJ6dcA</v>
          </cell>
          <cell r="T859" t="str">
            <v>Ahmednagar - 2</v>
          </cell>
          <cell r="U859" t="str">
            <v>25-26</v>
          </cell>
          <cell r="W859" t="str">
            <v>19-1-2025
20-08-2025
8/1/2023</v>
          </cell>
        </row>
        <row r="860">
          <cell r="F860" t="str">
            <v>ARGB01S400</v>
          </cell>
          <cell r="G860" t="str">
            <v>SHRI GULMESHWAR NATURAL SUGAR PVT.LTD.</v>
          </cell>
          <cell r="H860" t="str">
            <v>23-24</v>
          </cell>
          <cell r="I860" t="str">
            <v>-</v>
          </cell>
          <cell r="J860" t="str">
            <v>Domestic</v>
          </cell>
          <cell r="K860" t="str">
            <v>Sugar</v>
          </cell>
          <cell r="L860" t="str">
            <v>Sugar</v>
          </cell>
          <cell r="M860" t="str">
            <v>End User</v>
          </cell>
          <cell r="N860" t="str">
            <v>(0-5000)</v>
          </cell>
          <cell r="O860">
            <v>3000</v>
          </cell>
          <cell r="P860" t="str">
            <v>AV</v>
          </cell>
          <cell r="Q860" t="str">
            <v>AV</v>
          </cell>
          <cell r="R860" t="str">
            <v>PD</v>
          </cell>
          <cell r="S860" t="str">
            <v>NA</v>
          </cell>
          <cell r="T860" t="str">
            <v>Aurangabad - 1</v>
          </cell>
          <cell r="U860" t="str">
            <v>23-24</v>
          </cell>
          <cell r="W860">
            <v>45210</v>
          </cell>
        </row>
        <row r="861">
          <cell r="F861" t="str">
            <v>PALA01S568</v>
          </cell>
          <cell r="G861" t="str">
            <v>SHRI GURU OIL INDUSTRIES</v>
          </cell>
          <cell r="H861" t="str">
            <v>25-26</v>
          </cell>
          <cell r="I861" t="str">
            <v>-</v>
          </cell>
          <cell r="J861" t="str">
            <v>Domestic</v>
          </cell>
          <cell r="K861" t="str">
            <v>OTHERS</v>
          </cell>
          <cell r="L861" t="str">
            <v>Non-Sugar</v>
          </cell>
          <cell r="M861" t="str">
            <v>End User</v>
          </cell>
          <cell r="O861" t="str">
            <v>-</v>
          </cell>
          <cell r="P861" t="str">
            <v>NI</v>
          </cell>
          <cell r="Q861" t="str">
            <v>AKSHAY AWASTHI</v>
          </cell>
        </row>
        <row r="862">
          <cell r="F862" t="str">
            <v>KOLH01S064</v>
          </cell>
          <cell r="G862" t="str">
            <v>SHRI GURUDATT SUGARS LIMITED</v>
          </cell>
          <cell r="H862">
            <v>2013</v>
          </cell>
          <cell r="I862" t="str">
            <v>-</v>
          </cell>
          <cell r="J862" t="str">
            <v>Domestic</v>
          </cell>
          <cell r="K862" t="str">
            <v>Sugar</v>
          </cell>
          <cell r="L862" t="str">
            <v>Sugar</v>
          </cell>
          <cell r="M862" t="str">
            <v>End User</v>
          </cell>
          <cell r="N862" t="str">
            <v>(5001-9000)</v>
          </cell>
          <cell r="O862">
            <v>5500</v>
          </cell>
          <cell r="P862" t="str">
            <v>AV</v>
          </cell>
          <cell r="Q862" t="str">
            <v>AV</v>
          </cell>
          <cell r="R862" t="str">
            <v>VG</v>
          </cell>
          <cell r="S862" t="str">
            <v>https://share.google/yRTZc65dBr90ZE6Xn</v>
          </cell>
          <cell r="T862" t="str">
            <v>Kolhapur - 2</v>
          </cell>
          <cell r="U862" t="str">
            <v>26-27</v>
          </cell>
          <cell r="V862" t="str">
            <v>Apr</v>
          </cell>
          <cell r="W862" t="str">
            <v>27-4-2026
5-12-2025
19-7-2025
7/2/2025
6/2/2025
20-07-2024
28-06-2023</v>
          </cell>
        </row>
        <row r="863">
          <cell r="F863" t="str">
            <v>BELG01S066</v>
          </cell>
          <cell r="G863" t="str">
            <v>SHRI HIRANYAKESHI SAHAKARI SAKKARE KARKHANE NIYAMIT</v>
          </cell>
          <cell r="H863">
            <v>2014</v>
          </cell>
          <cell r="I863" t="str">
            <v>-</v>
          </cell>
          <cell r="J863" t="str">
            <v>Domestic</v>
          </cell>
          <cell r="K863" t="str">
            <v>Sugar</v>
          </cell>
          <cell r="L863" t="str">
            <v>Sugar</v>
          </cell>
          <cell r="M863" t="str">
            <v>End User</v>
          </cell>
          <cell r="N863" t="str">
            <v>(5001-9000)</v>
          </cell>
          <cell r="O863" t="str">
            <v>8000
Distillery 50 KLPD</v>
          </cell>
          <cell r="P863" t="str">
            <v>AV</v>
          </cell>
          <cell r="Q863" t="str">
            <v>AV</v>
          </cell>
          <cell r="R863" t="str">
            <v>VG</v>
          </cell>
          <cell r="S863" t="str">
            <v>https://maps.app.goo.gl/Eh5DPakgvpsx31TG9</v>
          </cell>
          <cell r="T863" t="str">
            <v>Belagavi - 1</v>
          </cell>
          <cell r="U863" t="str">
            <v>25-26</v>
          </cell>
          <cell r="W863" t="str">
            <v>21-11-2025
19-03-25
24-11-2023
26-05-2023
07-02-2023
21-09-2022</v>
          </cell>
        </row>
        <row r="864">
          <cell r="F864" t="str">
            <v>BELG01S068</v>
          </cell>
          <cell r="G864" t="str">
            <v>SHRI MALAPRABHA SAHAKARI SAKKARE KARKHANA (NIYAMIT)</v>
          </cell>
          <cell r="H864">
            <v>2013</v>
          </cell>
          <cell r="I864" t="str">
            <v>-</v>
          </cell>
          <cell r="J864" t="str">
            <v>Domestic</v>
          </cell>
          <cell r="K864" t="str">
            <v>Sugar</v>
          </cell>
          <cell r="L864" t="str">
            <v>Sugar</v>
          </cell>
          <cell r="M864" t="str">
            <v>End User</v>
          </cell>
          <cell r="N864" t="str">
            <v>(0-5000)</v>
          </cell>
          <cell r="O864">
            <v>3500</v>
          </cell>
          <cell r="P864" t="str">
            <v>AV</v>
          </cell>
          <cell r="Q864" t="str">
            <v>AV</v>
          </cell>
          <cell r="R864" t="str">
            <v>VG</v>
          </cell>
          <cell r="T864" t="str">
            <v>Belagavi - 2</v>
          </cell>
          <cell r="U864" t="str">
            <v>25-26</v>
          </cell>
          <cell r="W864" t="str">
            <v>12-01-2026
14-03-2025
04-12-2023
02-03-2023
29-09-2022</v>
          </cell>
        </row>
        <row r="865">
          <cell r="F865" t="str">
            <v>BAGL01S069</v>
          </cell>
          <cell r="G865" t="str">
            <v>SHRI PRABHULINGESHWAR SUGARS &amp; CHEM.LTD.</v>
          </cell>
          <cell r="H865">
            <v>2013</v>
          </cell>
          <cell r="I865" t="str">
            <v>-</v>
          </cell>
          <cell r="J865" t="str">
            <v>Domestic</v>
          </cell>
          <cell r="K865" t="str">
            <v>Sugar</v>
          </cell>
          <cell r="L865" t="str">
            <v>Sugar</v>
          </cell>
          <cell r="M865" t="str">
            <v>End User</v>
          </cell>
          <cell r="N865" t="str">
            <v>(9001 &amp; above)</v>
          </cell>
          <cell r="O865">
            <v>12000</v>
          </cell>
          <cell r="P865" t="str">
            <v>AV</v>
          </cell>
          <cell r="Q865" t="str">
            <v>AV</v>
          </cell>
          <cell r="R865" t="str">
            <v>VG</v>
          </cell>
          <cell r="S865" t="str">
            <v>https://share.google/driBKMIB4MqfAH2OW</v>
          </cell>
          <cell r="T865" t="str">
            <v>Bagalkot - 1</v>
          </cell>
          <cell r="U865" t="str">
            <v>25-26</v>
          </cell>
          <cell r="V865" t="str">
            <v>May</v>
          </cell>
          <cell r="W865" t="str">
            <v>20.05.2026
06-03-2026
17-9-2025
29-03-2023
07-10-2022</v>
          </cell>
        </row>
        <row r="866">
          <cell r="F866" t="str">
            <v>AGRA01S309</v>
          </cell>
          <cell r="G866" t="str">
            <v>SHRI RAM ENGINEERS (CHEMICAL SYSTEM)</v>
          </cell>
          <cell r="H866" t="str">
            <v>22-23</v>
          </cell>
          <cell r="I866" t="str">
            <v>-</v>
          </cell>
          <cell r="J866" t="str">
            <v>Domestic</v>
          </cell>
          <cell r="K866" t="str">
            <v>OTHERS</v>
          </cell>
          <cell r="L866" t="str">
            <v>Non-Sugar</v>
          </cell>
          <cell r="M866" t="str">
            <v>Trader</v>
          </cell>
          <cell r="O866" t="str">
            <v>-</v>
          </cell>
          <cell r="P866" t="str">
            <v>NI</v>
          </cell>
          <cell r="Q866" t="str">
            <v>AVIRAL SHUKLA</v>
          </cell>
          <cell r="S866" t="str">
            <v>https://maps.app.goo.gl/4HCRFib5nY2aD54p9</v>
          </cell>
          <cell r="T866" t="str">
            <v>-</v>
          </cell>
          <cell r="U866" t="str">
            <v>-</v>
          </cell>
          <cell r="W866" t="str">
            <v>no need</v>
          </cell>
        </row>
        <row r="867">
          <cell r="F867" t="str">
            <v>PUNE01S260</v>
          </cell>
          <cell r="G867" t="str">
            <v>SHRI SAMARTH ENGINEERING PVT LTD (SSEPL)</v>
          </cell>
          <cell r="H867">
            <v>2019</v>
          </cell>
          <cell r="J867" t="str">
            <v>Domestic</v>
          </cell>
          <cell r="K867" t="str">
            <v>Sugar</v>
          </cell>
          <cell r="L867" t="str">
            <v>Sugar</v>
          </cell>
          <cell r="M867" t="str">
            <v>OEM</v>
          </cell>
          <cell r="O867" t="str">
            <v>-</v>
          </cell>
          <cell r="P867" t="str">
            <v>AV</v>
          </cell>
          <cell r="Q867" t="str">
            <v>AV</v>
          </cell>
          <cell r="R867" t="str">
            <v>OEM</v>
          </cell>
          <cell r="T867" t="str">
            <v>-</v>
          </cell>
          <cell r="W867" t="str">
            <v>-</v>
          </cell>
        </row>
        <row r="868">
          <cell r="F868" t="str">
            <v>BELG01S258</v>
          </cell>
          <cell r="G868" t="str">
            <v>SHRI SANGAM SAHAKARI SAKKARE KARKHANE NIYAMIT</v>
          </cell>
          <cell r="H868">
            <v>2021</v>
          </cell>
          <cell r="I868" t="str">
            <v>-</v>
          </cell>
          <cell r="J868" t="str">
            <v>Domestic</v>
          </cell>
          <cell r="K868" t="str">
            <v>Sugar</v>
          </cell>
          <cell r="L868" t="str">
            <v>Sugar</v>
          </cell>
          <cell r="M868" t="str">
            <v>End User</v>
          </cell>
          <cell r="N868" t="str">
            <v>(0-5000)</v>
          </cell>
          <cell r="O868">
            <v>3000</v>
          </cell>
          <cell r="P868" t="str">
            <v>MRK</v>
          </cell>
          <cell r="Q868" t="str">
            <v>MRK</v>
          </cell>
          <cell r="R868" t="str">
            <v>VG</v>
          </cell>
          <cell r="T868" t="str">
            <v>Belagavi - 1</v>
          </cell>
          <cell r="U868" t="str">
            <v>25-26</v>
          </cell>
          <cell r="W868" t="str">
            <v>03-03-26
14-01-2026
29-11-2023
07-02-2023
26-09-2022</v>
          </cell>
        </row>
        <row r="869">
          <cell r="F869" t="str">
            <v>SOLP01S070</v>
          </cell>
          <cell r="G869" t="str">
            <v>SHRI SANT DAMAJI SAHAKARI SAKHAR KARKHANA LTD</v>
          </cell>
          <cell r="H869">
            <v>2015</v>
          </cell>
          <cell r="I869" t="str">
            <v>-</v>
          </cell>
          <cell r="J869" t="str">
            <v>Domestic</v>
          </cell>
          <cell r="K869" t="str">
            <v>Sugar</v>
          </cell>
          <cell r="L869" t="str">
            <v>Sugar</v>
          </cell>
          <cell r="M869" t="str">
            <v>End User</v>
          </cell>
          <cell r="N869" t="str">
            <v>(0-5000)</v>
          </cell>
          <cell r="O869">
            <v>3800</v>
          </cell>
          <cell r="P869" t="str">
            <v>AV</v>
          </cell>
          <cell r="Q869" t="str">
            <v>AV</v>
          </cell>
          <cell r="R869" t="str">
            <v>PD</v>
          </cell>
          <cell r="T869" t="str">
            <v>Solapur - 2</v>
          </cell>
          <cell r="U869" t="str">
            <v>23-24</v>
          </cell>
          <cell r="W869">
            <v>45083</v>
          </cell>
        </row>
        <row r="870">
          <cell r="F870" t="str">
            <v>PUNE01S254</v>
          </cell>
          <cell r="G870" t="str">
            <v>SHRI SANT TUKARAM SSK LTD</v>
          </cell>
          <cell r="H870" t="str">
            <v>24-25</v>
          </cell>
          <cell r="I870" t="str">
            <v>-</v>
          </cell>
          <cell r="J870" t="str">
            <v>Domestic</v>
          </cell>
          <cell r="K870" t="str">
            <v>Sugar</v>
          </cell>
          <cell r="L870" t="str">
            <v>Sugar</v>
          </cell>
          <cell r="M870" t="str">
            <v>End User</v>
          </cell>
          <cell r="N870" t="str">
            <v>(0-5000)</v>
          </cell>
          <cell r="O870">
            <v>3500</v>
          </cell>
          <cell r="P870" t="str">
            <v>AV</v>
          </cell>
          <cell r="Q870" t="str">
            <v>AV</v>
          </cell>
          <cell r="R870" t="str">
            <v>PD</v>
          </cell>
          <cell r="T870" t="str">
            <v>Pune - 2</v>
          </cell>
          <cell r="U870" t="str">
            <v>25-26</v>
          </cell>
          <cell r="W870" t="str">
            <v>3.12.2025
7/2/2025(S)
12/11/2023</v>
          </cell>
        </row>
        <row r="871">
          <cell r="F871" t="str">
            <v>OSMA01S402</v>
          </cell>
          <cell r="G871" t="str">
            <v>SHRI SIDDHIVINAYAK GREENTECH INDUSTRIES PVT LTD</v>
          </cell>
          <cell r="H871" t="str">
            <v>23-24</v>
          </cell>
          <cell r="I871" t="str">
            <v>-</v>
          </cell>
          <cell r="J871" t="str">
            <v>Domestic</v>
          </cell>
          <cell r="K871" t="str">
            <v>Khandsari and Jaggery</v>
          </cell>
          <cell r="L871" t="str">
            <v>Sugar</v>
          </cell>
          <cell r="M871" t="str">
            <v>End User</v>
          </cell>
          <cell r="O871" t="str">
            <v>-</v>
          </cell>
          <cell r="P871" t="str">
            <v>AV</v>
          </cell>
          <cell r="Q871" t="str">
            <v>AV</v>
          </cell>
          <cell r="T871" t="str">
            <v>TOUR-4 (OSMANABAD)</v>
          </cell>
          <cell r="W871" t="str">
            <v>-</v>
          </cell>
        </row>
        <row r="872">
          <cell r="F872" t="str">
            <v>PUNE01S050</v>
          </cell>
          <cell r="G872" t="str">
            <v>SHRI SOMESHWAR SAHAKARI SAKHAR KARKHANA LTD.</v>
          </cell>
          <cell r="H872">
            <v>2013</v>
          </cell>
          <cell r="I872" t="str">
            <v>Powar Group</v>
          </cell>
          <cell r="J872" t="str">
            <v>Domestic</v>
          </cell>
          <cell r="K872" t="str">
            <v>Sugar</v>
          </cell>
          <cell r="L872" t="str">
            <v>Sugar</v>
          </cell>
          <cell r="M872" t="str">
            <v>Group (Mills)</v>
          </cell>
          <cell r="N872" t="str">
            <v>(5001-9000)</v>
          </cell>
          <cell r="O872" t="str">
            <v>9000
Distillery expn plan 60 KLPD</v>
          </cell>
          <cell r="P872" t="str">
            <v>AV</v>
          </cell>
          <cell r="Q872" t="str">
            <v>AV</v>
          </cell>
          <cell r="R872" t="str">
            <v>PD</v>
          </cell>
          <cell r="S872" t="str">
            <v>https://maps.app.goo.gl/zeqJYHthzMhRo9Jk7</v>
          </cell>
          <cell r="T872" t="str">
            <v>Pune - 1</v>
          </cell>
          <cell r="U872" t="str">
            <v>24-25</v>
          </cell>
          <cell r="W872" t="str">
            <v>15-07-2024
21-04-2023
07-01-2023(Vishal)</v>
          </cell>
        </row>
        <row r="873">
          <cell r="F873" t="str">
            <v>NAND01S544</v>
          </cell>
          <cell r="G873" t="str">
            <v>SHRI SUBHASH SUGAR PVT.LTD.</v>
          </cell>
          <cell r="H873" t="str">
            <v>25-26</v>
          </cell>
          <cell r="I873" t="str">
            <v>-</v>
          </cell>
          <cell r="J873" t="str">
            <v>Domestic</v>
          </cell>
          <cell r="K873" t="str">
            <v>Sugar</v>
          </cell>
          <cell r="L873" t="str">
            <v>Sugar</v>
          </cell>
          <cell r="M873" t="str">
            <v>End User</v>
          </cell>
          <cell r="N873" t="str">
            <v>(0-5000)</v>
          </cell>
          <cell r="O873">
            <v>3500</v>
          </cell>
          <cell r="P873" t="str">
            <v>AV</v>
          </cell>
          <cell r="Q873" t="str">
            <v>AV</v>
          </cell>
          <cell r="R873" t="str">
            <v>PD</v>
          </cell>
          <cell r="S873" t="str">
            <v>Hutatma Sugar Factory, Walwa</v>
          </cell>
          <cell r="T873" t="str">
            <v>Hingoli_Nanded- 1</v>
          </cell>
          <cell r="U873" t="str">
            <v>26-27</v>
          </cell>
          <cell r="V873" t="str">
            <v>Apr</v>
          </cell>
          <cell r="W873" t="str">
            <v>11-4-2026
11/23/2023</v>
          </cell>
        </row>
        <row r="874">
          <cell r="F874" t="str">
            <v>PALA01S412</v>
          </cell>
          <cell r="G874" t="str">
            <v>SHRI UMA CATTLE FEEDS (P) LTD</v>
          </cell>
          <cell r="H874" t="str">
            <v>23-24</v>
          </cell>
          <cell r="I874" t="str">
            <v>-</v>
          </cell>
          <cell r="J874" t="str">
            <v>Domestic</v>
          </cell>
          <cell r="K874" t="str">
            <v>Cattlefeed</v>
          </cell>
          <cell r="L874" t="str">
            <v>Non-Sugar</v>
          </cell>
          <cell r="M874" t="str">
            <v>End User</v>
          </cell>
          <cell r="O874" t="str">
            <v>-</v>
          </cell>
          <cell r="P874" t="str">
            <v>NI</v>
          </cell>
          <cell r="Q874" t="str">
            <v>AKSHAY AWASTHI</v>
          </cell>
          <cell r="T874" t="str">
            <v>GUJARAT+ PUNE</v>
          </cell>
          <cell r="U874" t="str">
            <v>25-26</v>
          </cell>
          <cell r="W874" t="str">
            <v>18-09-2025
4/24/2024</v>
          </cell>
        </row>
        <row r="875">
          <cell r="F875" t="str">
            <v>MUZF01S523</v>
          </cell>
          <cell r="G875" t="str">
            <v>SHRI VEER BALAJI PAPER MILLS</v>
          </cell>
          <cell r="H875" t="str">
            <v>25-26</v>
          </cell>
          <cell r="I875" t="str">
            <v>-</v>
          </cell>
          <cell r="J875" t="str">
            <v>Domestic</v>
          </cell>
          <cell r="K875" t="str">
            <v>Paper</v>
          </cell>
          <cell r="L875" t="str">
            <v>Non-Sugar</v>
          </cell>
          <cell r="M875" t="str">
            <v>End User</v>
          </cell>
          <cell r="O875" t="str">
            <v>-</v>
          </cell>
          <cell r="P875" t="str">
            <v>NI</v>
          </cell>
          <cell r="Q875" t="str">
            <v>AVIRAL SHUKLA</v>
          </cell>
        </row>
        <row r="876">
          <cell r="F876" t="str">
            <v>PUNE01S073</v>
          </cell>
          <cell r="G876" t="str">
            <v>SHRI VIGHNAHAR SAHAKARI SAKHAR KARKHANA LTD.</v>
          </cell>
          <cell r="H876" t="str">
            <v>23-24</v>
          </cell>
          <cell r="I876" t="str">
            <v>-</v>
          </cell>
          <cell r="J876" t="str">
            <v>Domestic</v>
          </cell>
          <cell r="K876" t="str">
            <v>Sugar</v>
          </cell>
          <cell r="L876" t="str">
            <v>Sugar</v>
          </cell>
          <cell r="M876" t="str">
            <v>End User</v>
          </cell>
          <cell r="N876" t="str">
            <v>(5001-9000)</v>
          </cell>
          <cell r="O876" t="str">
            <v>Sugar 6000
Distillery 35 KLPD</v>
          </cell>
          <cell r="P876" t="str">
            <v>AV</v>
          </cell>
          <cell r="Q876" t="str">
            <v>AV</v>
          </cell>
          <cell r="R876" t="str">
            <v>PD</v>
          </cell>
          <cell r="T876" t="str">
            <v>Pune - 2</v>
          </cell>
          <cell r="U876" t="str">
            <v>23-24</v>
          </cell>
          <cell r="W876">
            <v>45155</v>
          </cell>
        </row>
        <row r="877">
          <cell r="F877" t="str">
            <v>SOLP01S074</v>
          </cell>
          <cell r="G877" t="str">
            <v>SHRI VITHAL SAHAKARI SAKHAR -KARKHANA LTD</v>
          </cell>
          <cell r="H877">
            <v>2014</v>
          </cell>
          <cell r="I877" t="str">
            <v>-</v>
          </cell>
          <cell r="J877" t="str">
            <v>Domestic</v>
          </cell>
          <cell r="K877" t="str">
            <v>Sugar</v>
          </cell>
          <cell r="L877" t="str">
            <v>Sugar</v>
          </cell>
          <cell r="M877" t="str">
            <v>End User</v>
          </cell>
          <cell r="N877" t="str">
            <v>(5001-9000)</v>
          </cell>
          <cell r="O877" t="str">
            <v>Sugar 6500
Distillery 30 KLPD</v>
          </cell>
          <cell r="P877" t="str">
            <v>AV</v>
          </cell>
          <cell r="Q877" t="str">
            <v>AV</v>
          </cell>
          <cell r="R877" t="str">
            <v>PD</v>
          </cell>
          <cell r="T877" t="str">
            <v>Solapur - 2</v>
          </cell>
          <cell r="U877" t="str">
            <v>23-24</v>
          </cell>
          <cell r="W877">
            <v>45049</v>
          </cell>
        </row>
        <row r="878">
          <cell r="F878" t="str">
            <v>KUSH01S304</v>
          </cell>
          <cell r="G878" t="str">
            <v>SHRIJEE ENTERPRISES</v>
          </cell>
          <cell r="H878" t="str">
            <v>22-23</v>
          </cell>
          <cell r="I878" t="str">
            <v>-</v>
          </cell>
          <cell r="J878" t="str">
            <v>Domestic</v>
          </cell>
          <cell r="K878" t="str">
            <v>OTHERS</v>
          </cell>
          <cell r="L878" t="str">
            <v>Non-Sugar</v>
          </cell>
          <cell r="M878" t="str">
            <v>Trader</v>
          </cell>
          <cell r="O878" t="str">
            <v>-</v>
          </cell>
          <cell r="P878" t="str">
            <v>NI</v>
          </cell>
          <cell r="Q878" t="str">
            <v>AVIRAL SHUKLA</v>
          </cell>
          <cell r="T878" t="str">
            <v>-</v>
          </cell>
          <cell r="U878" t="str">
            <v>-</v>
          </cell>
        </row>
        <row r="879">
          <cell r="F879" t="str">
            <v>AHMD01S229</v>
          </cell>
          <cell r="G879" t="str">
            <v>SHRIJEE HEAVY PROJECTS WORKS LTD (Shrijee group)</v>
          </cell>
          <cell r="H879">
            <v>2017</v>
          </cell>
          <cell r="I879" t="str">
            <v>-</v>
          </cell>
          <cell r="J879" t="str">
            <v>Domestic</v>
          </cell>
          <cell r="K879" t="str">
            <v>Sugar</v>
          </cell>
          <cell r="L879" t="str">
            <v>Sugar</v>
          </cell>
          <cell r="M879" t="str">
            <v>OEM</v>
          </cell>
          <cell r="O879" t="str">
            <v>-</v>
          </cell>
          <cell r="P879" t="str">
            <v>AV</v>
          </cell>
          <cell r="Q879" t="str">
            <v>AV</v>
          </cell>
          <cell r="R879" t="str">
            <v>OEM</v>
          </cell>
          <cell r="S879" t="str">
            <v>https://share.google/0fhAmJt4gs5nQ9zgr</v>
          </cell>
          <cell r="T879" t="str">
            <v>-</v>
          </cell>
          <cell r="W879" t="str">
            <v>-</v>
          </cell>
        </row>
        <row r="880">
          <cell r="F880" t="str">
            <v>MUMB01S216</v>
          </cell>
          <cell r="G880" t="str">
            <v>SHRIJEE HEAVY PROJECTS WORKS LTD</v>
          </cell>
          <cell r="H880">
            <v>2020</v>
          </cell>
          <cell r="I880" t="str">
            <v>-</v>
          </cell>
          <cell r="J880" t="str">
            <v>Domestic</v>
          </cell>
          <cell r="K880" t="str">
            <v>others</v>
          </cell>
          <cell r="L880" t="str">
            <v>Sugar</v>
          </cell>
          <cell r="M880" t="str">
            <v>OEM</v>
          </cell>
          <cell r="O880" t="str">
            <v>-</v>
          </cell>
          <cell r="P880" t="str">
            <v>AV</v>
          </cell>
          <cell r="Q880" t="str">
            <v>AV</v>
          </cell>
          <cell r="R880" t="str">
            <v>OEM</v>
          </cell>
          <cell r="T880" t="str">
            <v>-</v>
          </cell>
          <cell r="W880" t="str">
            <v>-</v>
          </cell>
        </row>
        <row r="881">
          <cell r="F881" t="str">
            <v>AHIL01S554</v>
          </cell>
          <cell r="G881" t="str">
            <v>SHRIJEE HEAVY PROJECTS WORKS LTD.</v>
          </cell>
          <cell r="H881" t="str">
            <v>-</v>
          </cell>
          <cell r="J881" t="str">
            <v>Domestic</v>
          </cell>
          <cell r="P881" t="str">
            <v>AV</v>
          </cell>
          <cell r="Q881" t="str">
            <v>-</v>
          </cell>
        </row>
        <row r="882">
          <cell r="F882" t="str">
            <v>MUMB01S236</v>
          </cell>
          <cell r="G882" t="str">
            <v>SHRIJEE PROCESS ENGINEER WORKS LTD</v>
          </cell>
          <cell r="H882">
            <v>2017</v>
          </cell>
          <cell r="I882" t="str">
            <v>-</v>
          </cell>
          <cell r="J882" t="str">
            <v>Domestic</v>
          </cell>
          <cell r="K882" t="str">
            <v>Sugar</v>
          </cell>
          <cell r="L882" t="str">
            <v>Sugar</v>
          </cell>
          <cell r="M882" t="str">
            <v>OEM</v>
          </cell>
          <cell r="O882" t="str">
            <v>-</v>
          </cell>
          <cell r="P882" t="str">
            <v>VA</v>
          </cell>
          <cell r="Q882" t="str">
            <v>AV</v>
          </cell>
          <cell r="T882" t="str">
            <v>-</v>
          </cell>
          <cell r="W882" t="str">
            <v>-</v>
          </cell>
        </row>
        <row r="883">
          <cell r="F883" t="str">
            <v>AHMD01S075</v>
          </cell>
          <cell r="G883" t="str">
            <v>SHRIJEE PROCESS ENGINEERING WORKS LTD</v>
          </cell>
          <cell r="H883">
            <v>2013</v>
          </cell>
          <cell r="I883" t="str">
            <v>-</v>
          </cell>
          <cell r="J883" t="str">
            <v>Domestic</v>
          </cell>
          <cell r="K883" t="str">
            <v>Sugar</v>
          </cell>
          <cell r="L883" t="str">
            <v>Sugar</v>
          </cell>
          <cell r="M883" t="str">
            <v>OEM</v>
          </cell>
          <cell r="O883" t="str">
            <v>-</v>
          </cell>
          <cell r="P883" t="str">
            <v>VA</v>
          </cell>
          <cell r="Q883" t="str">
            <v>AV</v>
          </cell>
          <cell r="S883" t="str">
            <v>https://share.google/m5EtwR6teZZ8m3YEC</v>
          </cell>
          <cell r="T883" t="str">
            <v>-</v>
          </cell>
          <cell r="U883" t="str">
            <v>26-27</v>
          </cell>
          <cell r="V883" t="str">
            <v>May</v>
          </cell>
          <cell r="W883" t="str">
            <v>28.05.2026</v>
          </cell>
        </row>
        <row r="884">
          <cell r="F884" t="str">
            <v>AHIL01S578</v>
          </cell>
          <cell r="G884" t="str">
            <v>SHRIJEE PROCESS ENGINEERING WORKS LTD-AHILYANAGAR</v>
          </cell>
          <cell r="H884" t="str">
            <v>25-26</v>
          </cell>
          <cell r="I884" t="str">
            <v>-</v>
          </cell>
          <cell r="J884" t="str">
            <v>Domestic</v>
          </cell>
          <cell r="K884" t="str">
            <v>Sugar</v>
          </cell>
          <cell r="L884" t="str">
            <v>Sugar</v>
          </cell>
          <cell r="M884" t="str">
            <v>OEM</v>
          </cell>
          <cell r="P884" t="str">
            <v>VA</v>
          </cell>
          <cell r="Q884" t="str">
            <v>AV</v>
          </cell>
          <cell r="S884" t="str">
            <v>https://maps.app.goo.gl/qeibjxfEi2GuVMNc7</v>
          </cell>
        </row>
        <row r="885">
          <cell r="F885" t="str">
            <v>BETU01S230</v>
          </cell>
          <cell r="G885" t="str">
            <v>SHRIJEE SUGAR &amp; POWER (P) LTD (Maheshwari Group)</v>
          </cell>
          <cell r="H885">
            <v>2017</v>
          </cell>
          <cell r="I885" t="str">
            <v>Maheshwari Group</v>
          </cell>
          <cell r="J885" t="str">
            <v>Domestic</v>
          </cell>
          <cell r="K885" t="str">
            <v>Sugar</v>
          </cell>
          <cell r="L885" t="str">
            <v>Sugar</v>
          </cell>
          <cell r="M885" t="str">
            <v>Group (Mills)</v>
          </cell>
          <cell r="N885" t="str">
            <v>(0-5000)</v>
          </cell>
          <cell r="O885">
            <v>2500</v>
          </cell>
          <cell r="P885" t="str">
            <v>NI</v>
          </cell>
          <cell r="Q885" t="str">
            <v>HIMANSHU KUSHWAHA</v>
          </cell>
          <cell r="S885" t="str">
            <v>https://maps.app.goo.gl/q9JhRESRAhf8w1iNA</v>
          </cell>
          <cell r="T885" t="str">
            <v>M. P - 3</v>
          </cell>
          <cell r="U885" t="str">
            <v>25-26</v>
          </cell>
          <cell r="W885" t="str">
            <v>12-01-2026
15-05-2025
01-06-2024
27-02-2024</v>
          </cell>
        </row>
        <row r="886">
          <cell r="F886" t="str">
            <v>NUND01S159</v>
          </cell>
          <cell r="G886" t="str">
            <v>SHRIKRISHNA KHANDSARI SUGAR MILLS</v>
          </cell>
          <cell r="H886">
            <v>2014</v>
          </cell>
          <cell r="I886" t="str">
            <v>-</v>
          </cell>
          <cell r="J886" t="str">
            <v>Domestic</v>
          </cell>
          <cell r="K886" t="str">
            <v>Khandsari</v>
          </cell>
          <cell r="L886" t="str">
            <v>Non-Sugar</v>
          </cell>
          <cell r="M886" t="str">
            <v>End User</v>
          </cell>
          <cell r="O886" t="str">
            <v>-</v>
          </cell>
          <cell r="P886" t="str">
            <v>AV</v>
          </cell>
          <cell r="Q886" t="str">
            <v>AV</v>
          </cell>
          <cell r="R886" t="str">
            <v>PD</v>
          </cell>
          <cell r="T886" t="str">
            <v>Nasik_Nandurbar - 1</v>
          </cell>
          <cell r="U886" t="str">
            <v>24-25</v>
          </cell>
          <cell r="W886">
            <v>45440</v>
          </cell>
        </row>
        <row r="887">
          <cell r="F887" t="str">
            <v>SANG01S294</v>
          </cell>
          <cell r="G887" t="str">
            <v>SHRIPATI SUGAR &amp; POWER LTD</v>
          </cell>
          <cell r="H887" t="str">
            <v>22-23</v>
          </cell>
          <cell r="I887" t="str">
            <v>SONHIRA GROUP (Owner same)</v>
          </cell>
          <cell r="J887" t="str">
            <v>Domestic</v>
          </cell>
          <cell r="K887" t="str">
            <v>Sugar</v>
          </cell>
          <cell r="L887" t="str">
            <v>Sugar</v>
          </cell>
          <cell r="M887" t="str">
            <v>Group (Mills)</v>
          </cell>
          <cell r="N887" t="str">
            <v>(0-5000)</v>
          </cell>
          <cell r="O887" t="str">
            <v>Sugar 3500
Distillery 45 KLPD</v>
          </cell>
          <cell r="P887" t="str">
            <v>MRK</v>
          </cell>
          <cell r="Q887" t="str">
            <v>MRK</v>
          </cell>
          <cell r="R887" t="str">
            <v>VG</v>
          </cell>
          <cell r="S887" t="str">
            <v>16° 57' 59.117" N 75° 4' 1.196" E</v>
          </cell>
          <cell r="T887" t="str">
            <v>Sangli - 1</v>
          </cell>
          <cell r="U887" t="str">
            <v>26-27</v>
          </cell>
          <cell r="V887" t="str">
            <v>Apr</v>
          </cell>
          <cell r="W887" t="str">
            <v>7-4-2026
12-9-2025
03-09-2024
30-06-2024
23-11-2023</v>
          </cell>
        </row>
        <row r="888">
          <cell r="F888" t="str">
            <v>KANP01G118</v>
          </cell>
          <cell r="G888" t="str">
            <v>SHUBHAM GOLDIEE MASALE PVT. LTD</v>
          </cell>
          <cell r="H888" t="str">
            <v>24-25</v>
          </cell>
          <cell r="I888" t="str">
            <v>-</v>
          </cell>
          <cell r="J888" t="str">
            <v>Domestic</v>
          </cell>
          <cell r="K888" t="str">
            <v>OTHERS</v>
          </cell>
          <cell r="L888" t="str">
            <v>Non-Sugar</v>
          </cell>
          <cell r="M888" t="str">
            <v>End User</v>
          </cell>
          <cell r="O888" t="str">
            <v>-</v>
          </cell>
          <cell r="P888" t="str">
            <v>NI</v>
          </cell>
          <cell r="Q888" t="str">
            <v>AVIRAL SHUKLA</v>
          </cell>
          <cell r="U888" t="str">
            <v>25-26</v>
          </cell>
          <cell r="W888" t="str">
            <v>27-09-2025</v>
          </cell>
        </row>
        <row r="889">
          <cell r="F889" t="str">
            <v>LATL01S403</v>
          </cell>
          <cell r="G889" t="str">
            <v>SIAM LUBE OIL CO. LTD</v>
          </cell>
          <cell r="H889" t="str">
            <v>NA</v>
          </cell>
          <cell r="I889" t="str">
            <v>-</v>
          </cell>
          <cell r="J889" t="str">
            <v>Export</v>
          </cell>
          <cell r="K889" t="str">
            <v>Sugar</v>
          </cell>
          <cell r="L889" t="str">
            <v>Non-Sugar</v>
          </cell>
          <cell r="M889" t="str">
            <v>OEM</v>
          </cell>
          <cell r="O889" t="str">
            <v>-</v>
          </cell>
          <cell r="P889" t="str">
            <v>VA-SS</v>
          </cell>
          <cell r="Q889" t="str">
            <v>SHIVANU SHUKLA</v>
          </cell>
          <cell r="T889" t="str">
            <v>-</v>
          </cell>
          <cell r="U889" t="str">
            <v>-</v>
          </cell>
        </row>
        <row r="890">
          <cell r="F890" t="str">
            <v>CHIN01S488</v>
          </cell>
          <cell r="G890" t="str">
            <v>SIDDASIRI SOUHARDA SAHAKARI NIYAMIT(ETHANOL &amp; POWER UNIT)</v>
          </cell>
          <cell r="H890" t="str">
            <v>-</v>
          </cell>
          <cell r="J890" t="str">
            <v>Domestic</v>
          </cell>
          <cell r="P890" t="str">
            <v>-</v>
          </cell>
          <cell r="Q890" t="str">
            <v>-</v>
          </cell>
        </row>
        <row r="891">
          <cell r="F891" t="str">
            <v>SOLP01S156</v>
          </cell>
          <cell r="G891" t="str">
            <v>SIDDHANATH SUGAR MILLS LTD. (Renamed to Kancheswr Sugar mills ltd, tirhe)</v>
          </cell>
          <cell r="H891">
            <v>2015</v>
          </cell>
          <cell r="I891" t="str">
            <v>-</v>
          </cell>
          <cell r="J891" t="str">
            <v>Domestic</v>
          </cell>
          <cell r="K891" t="str">
            <v>Sugar</v>
          </cell>
          <cell r="L891" t="str">
            <v>Sugar</v>
          </cell>
          <cell r="M891" t="str">
            <v>End User</v>
          </cell>
          <cell r="N891" t="str">
            <v>(5001-9000)</v>
          </cell>
          <cell r="O891">
            <v>5500</v>
          </cell>
          <cell r="P891" t="str">
            <v>AV</v>
          </cell>
          <cell r="Q891" t="str">
            <v>AV</v>
          </cell>
          <cell r="R891" t="str">
            <v>PD</v>
          </cell>
          <cell r="T891" t="str">
            <v>Solapur - 2</v>
          </cell>
          <cell r="U891" t="str">
            <v>23-24</v>
          </cell>
          <cell r="W891">
            <v>45084</v>
          </cell>
        </row>
        <row r="892">
          <cell r="F892" t="str">
            <v>RAIG01S078</v>
          </cell>
          <cell r="G892" t="str">
            <v>SIDDHARTH COLORCHEM PVT. LTD.</v>
          </cell>
          <cell r="H892">
            <v>2013</v>
          </cell>
          <cell r="I892" t="str">
            <v>-</v>
          </cell>
          <cell r="J892" t="str">
            <v>Domestic</v>
          </cell>
          <cell r="K892" t="str">
            <v>OTHERS</v>
          </cell>
          <cell r="L892" t="str">
            <v>Non-Sugar</v>
          </cell>
          <cell r="M892" t="str">
            <v>Trader</v>
          </cell>
          <cell r="O892" t="str">
            <v>-</v>
          </cell>
          <cell r="P892" t="str">
            <v>NI</v>
          </cell>
          <cell r="Q892" t="str">
            <v>AVIRAL SHUKLA</v>
          </cell>
          <cell r="T892" t="str">
            <v>-</v>
          </cell>
          <cell r="U892" t="str">
            <v>-</v>
          </cell>
          <cell r="W892" t="str">
            <v>-</v>
          </cell>
        </row>
        <row r="893">
          <cell r="F893" t="str">
            <v>CHIN01S321</v>
          </cell>
          <cell r="G893" t="str">
            <v>SIDDHASIRI ETHANOL &amp; POWER TALUK (Formerly Chincholi Sugars &amp; Bio Industries ltd)</v>
          </cell>
          <cell r="H893" t="str">
            <v>-</v>
          </cell>
          <cell r="I893" t="str">
            <v>-</v>
          </cell>
          <cell r="J893" t="str">
            <v>Domestic</v>
          </cell>
          <cell r="K893" t="str">
            <v>Sugar</v>
          </cell>
          <cell r="L893" t="str">
            <v>Sugar</v>
          </cell>
          <cell r="M893" t="str">
            <v>End User</v>
          </cell>
          <cell r="N893" t="str">
            <v>(0-5000)</v>
          </cell>
          <cell r="O893">
            <v>3500</v>
          </cell>
          <cell r="P893" t="str">
            <v>MRK</v>
          </cell>
          <cell r="Q893" t="str">
            <v>MRK</v>
          </cell>
          <cell r="R893" t="str">
            <v>VG</v>
          </cell>
          <cell r="T893" t="str">
            <v>Vijaypura - 1</v>
          </cell>
          <cell r="U893" t="str">
            <v>25-26</v>
          </cell>
          <cell r="W893" t="str">
            <v>5-12-2025
19-10-2023</v>
          </cell>
        </row>
        <row r="894">
          <cell r="F894" t="str">
            <v>KASH01S286</v>
          </cell>
          <cell r="G894" t="str">
            <v>SIDHARTH PEPERS PVT. LTD.</v>
          </cell>
          <cell r="H894" t="str">
            <v>21-22</v>
          </cell>
          <cell r="I894" t="str">
            <v>-</v>
          </cell>
          <cell r="J894" t="str">
            <v>Domestic</v>
          </cell>
          <cell r="K894" t="str">
            <v>OTHERS</v>
          </cell>
          <cell r="L894" t="str">
            <v>Non-Sugar</v>
          </cell>
          <cell r="M894" t="str">
            <v>End User</v>
          </cell>
          <cell r="O894" t="str">
            <v>-</v>
          </cell>
          <cell r="P894" t="str">
            <v>NI</v>
          </cell>
          <cell r="Q894" t="str">
            <v>AVIRAL SHUKLA</v>
          </cell>
          <cell r="T894" t="str">
            <v>-</v>
          </cell>
          <cell r="U894" t="str">
            <v>26-27</v>
          </cell>
          <cell r="W894" t="str">
            <v>10-04-2026
30-09-2022
13-09-2021
26-08-2021
17-03-2021</v>
          </cell>
        </row>
        <row r="895">
          <cell r="F895" t="str">
            <v>MUZF01S445</v>
          </cell>
          <cell r="G895" t="str">
            <v>SILVERTONE PULP &amp; PAPER MILL</v>
          </cell>
          <cell r="H895" t="str">
            <v>25-26</v>
          </cell>
          <cell r="I895" t="str">
            <v>-</v>
          </cell>
          <cell r="J895" t="str">
            <v>Domestic</v>
          </cell>
          <cell r="K895" t="str">
            <v>Paper</v>
          </cell>
          <cell r="L895" t="str">
            <v>Non-Sugar</v>
          </cell>
          <cell r="M895" t="str">
            <v>End User</v>
          </cell>
          <cell r="O895" t="str">
            <v>-</v>
          </cell>
          <cell r="P895" t="str">
            <v>NI</v>
          </cell>
          <cell r="Q895" t="str">
            <v>HIMANSHU KUSHWAHA</v>
          </cell>
          <cell r="R895" t="str">
            <v>AMIT SRIVASTAVA</v>
          </cell>
          <cell r="T895" t="str">
            <v>WESTERN</v>
          </cell>
          <cell r="U895" t="str">
            <v>25-26</v>
          </cell>
          <cell r="W895" t="str">
            <v>13-10-2025
25-10-2024
13-01-2024</v>
          </cell>
        </row>
        <row r="896">
          <cell r="F896" t="str">
            <v>MUMB01S509</v>
          </cell>
          <cell r="G896" t="str">
            <v>SILWESTER TEXTILES PVT LTD</v>
          </cell>
          <cell r="H896" t="str">
            <v>24-25</v>
          </cell>
          <cell r="I896" t="str">
            <v>-</v>
          </cell>
          <cell r="J896" t="str">
            <v>Domestic</v>
          </cell>
          <cell r="K896" t="str">
            <v>TEXTILE</v>
          </cell>
          <cell r="L896" t="str">
            <v>Non-Sugar</v>
          </cell>
          <cell r="M896" t="str">
            <v>End User</v>
          </cell>
          <cell r="P896" t="str">
            <v>WI-SV</v>
          </cell>
          <cell r="Q896" t="str">
            <v>SUDHIR</v>
          </cell>
          <cell r="U896" t="str">
            <v>24-25</v>
          </cell>
          <cell r="W896" t="str">
            <v>27-02-2025</v>
          </cell>
        </row>
        <row r="897">
          <cell r="F897" t="str">
            <v>HAPU01S493</v>
          </cell>
          <cell r="G897" t="str">
            <v>SIMBHAOLI SUGARS LIMITED (SUGAR DIV.)HAPUR</v>
          </cell>
          <cell r="H897">
            <v>2013</v>
          </cell>
          <cell r="I897" t="str">
            <v>-</v>
          </cell>
          <cell r="J897" t="str">
            <v>Domestic</v>
          </cell>
          <cell r="K897" t="str">
            <v>Sugar</v>
          </cell>
          <cell r="L897" t="str">
            <v>Sugar</v>
          </cell>
          <cell r="M897" t="str">
            <v>End User</v>
          </cell>
          <cell r="N897" t="str">
            <v>(9001 &amp; above)</v>
          </cell>
          <cell r="O897">
            <v>9500</v>
          </cell>
          <cell r="P897" t="str">
            <v>NI</v>
          </cell>
          <cell r="Q897" t="str">
            <v>AKSHAY AWASTHI</v>
          </cell>
          <cell r="S897" t="str">
            <v>https://maps.app.goo.gl/TLnesdrjyZV99GGk9</v>
          </cell>
          <cell r="T897" t="str">
            <v>WESTERN</v>
          </cell>
          <cell r="U897" t="str">
            <v>25-26</v>
          </cell>
          <cell r="V897" t="str">
            <v>Mar</v>
          </cell>
          <cell r="W897" t="str">
            <v>21-03-2026
25-06-2025
07-03-2025
20-07-2024
06-02-2024
25-07-2023
15-09-2022
28-02-2022
03-08-2021</v>
          </cell>
        </row>
        <row r="898">
          <cell r="F898" t="str">
            <v>BAHR01S504</v>
          </cell>
          <cell r="G898" t="str">
            <v>SIMBHAOLI SUGARS LTD- (UNIT-CHILWARIA)</v>
          </cell>
          <cell r="H898">
            <v>2013</v>
          </cell>
          <cell r="I898" t="str">
            <v>-</v>
          </cell>
          <cell r="J898" t="str">
            <v>Domestic</v>
          </cell>
          <cell r="K898" t="str">
            <v>Sugar</v>
          </cell>
          <cell r="L898" t="str">
            <v>Sugar</v>
          </cell>
          <cell r="M898" t="str">
            <v>End User</v>
          </cell>
          <cell r="N898" t="str">
            <v>(5001-9000)</v>
          </cell>
          <cell r="O898">
            <v>6000</v>
          </cell>
          <cell r="P898" t="str">
            <v>HO</v>
          </cell>
          <cell r="Q898" t="str">
            <v>AKSHAY AWASTHI</v>
          </cell>
          <cell r="S898" t="str">
            <v>https://share.google/vdlapE8irSlhdZZwt</v>
          </cell>
          <cell r="T898" t="str">
            <v>-</v>
          </cell>
          <cell r="U898" t="str">
            <v>25-26</v>
          </cell>
          <cell r="W898" t="str">
            <v>19-1-2026
30-08-2025
28-11-2023
31-05-2023
25-02-2022
03-07-2021</v>
          </cell>
        </row>
        <row r="899">
          <cell r="F899" t="str">
            <v>MERT01B049</v>
          </cell>
          <cell r="G899" t="str">
            <v>SIMPLEX ENGINEERS &amp; TRADERS</v>
          </cell>
          <cell r="H899">
            <v>2013</v>
          </cell>
          <cell r="I899" t="str">
            <v>-</v>
          </cell>
          <cell r="J899" t="str">
            <v>Domestic</v>
          </cell>
          <cell r="K899" t="str">
            <v>Sugar</v>
          </cell>
          <cell r="L899" t="str">
            <v>Sugar</v>
          </cell>
          <cell r="M899" t="str">
            <v>Trader</v>
          </cell>
          <cell r="O899" t="str">
            <v>-</v>
          </cell>
          <cell r="P899" t="str">
            <v>NI</v>
          </cell>
          <cell r="Q899" t="str">
            <v>AKSHAY AWASTHI</v>
          </cell>
          <cell r="T899" t="str">
            <v>-</v>
          </cell>
          <cell r="U899" t="str">
            <v>-</v>
          </cell>
          <cell r="W899" t="str">
            <v>-</v>
          </cell>
        </row>
        <row r="900">
          <cell r="F900" t="str">
            <v>MUMB01S497</v>
          </cell>
          <cell r="G900" t="str">
            <v>SIMPLIFORGE 3-D CREATION PRIVATE LIMITED</v>
          </cell>
          <cell r="H900" t="str">
            <v>25-26</v>
          </cell>
          <cell r="I900" t="str">
            <v>-</v>
          </cell>
          <cell r="J900" t="str">
            <v>Domestic</v>
          </cell>
          <cell r="K900" t="str">
            <v>OTHERS</v>
          </cell>
          <cell r="L900" t="str">
            <v>Non-Sugar</v>
          </cell>
          <cell r="M900" t="str">
            <v>End User</v>
          </cell>
          <cell r="O900" t="str">
            <v>-</v>
          </cell>
          <cell r="P900" t="str">
            <v>NI</v>
          </cell>
          <cell r="Q900" t="str">
            <v>AKSHAY AWASTHI</v>
          </cell>
        </row>
        <row r="901">
          <cell r="F901" t="str">
            <v>GHZB01S168</v>
          </cell>
          <cell r="G901" t="str">
            <v>SINTECH PRECISION PRODUCTS LTD.</v>
          </cell>
          <cell r="H901" t="str">
            <v>22-23</v>
          </cell>
          <cell r="I901" t="str">
            <v>-</v>
          </cell>
          <cell r="J901" t="str">
            <v>Domestic</v>
          </cell>
          <cell r="K901" t="str">
            <v>Sugar</v>
          </cell>
          <cell r="L901" t="str">
            <v>Sugar</v>
          </cell>
          <cell r="M901" t="str">
            <v>Trader</v>
          </cell>
          <cell r="O901" t="str">
            <v>-</v>
          </cell>
          <cell r="P901" t="str">
            <v>NI</v>
          </cell>
          <cell r="Q901" t="str">
            <v>AVIRAL SHUKLA</v>
          </cell>
          <cell r="T901" t="str">
            <v>-</v>
          </cell>
          <cell r="U901" t="str">
            <v>-</v>
          </cell>
          <cell r="W901" t="str">
            <v>-</v>
          </cell>
        </row>
        <row r="902">
          <cell r="F902" t="str">
            <v>SHAM01S233</v>
          </cell>
          <cell r="G902" t="str">
            <v>SIR SHADI LAL ENTERPRISES LIMITED(formerly UPPER DOAB SUGAR MILLS)(Taken overby Triveni)</v>
          </cell>
          <cell r="H902">
            <v>2017</v>
          </cell>
          <cell r="I902" t="str">
            <v>Triveni Group</v>
          </cell>
          <cell r="J902" t="str">
            <v>Domestic</v>
          </cell>
          <cell r="K902" t="str">
            <v>Sugar</v>
          </cell>
          <cell r="L902" t="str">
            <v>Sugar</v>
          </cell>
          <cell r="M902" t="str">
            <v>Group (Mills)</v>
          </cell>
          <cell r="N902" t="str">
            <v>(5001-9000)</v>
          </cell>
          <cell r="O902">
            <v>6500</v>
          </cell>
          <cell r="P902" t="str">
            <v>NI</v>
          </cell>
          <cell r="Q902" t="str">
            <v>AKSHAY AWASTHI</v>
          </cell>
          <cell r="R902" t="str">
            <v>AKSHAY AWASTHI</v>
          </cell>
          <cell r="S902" t="str">
            <v>https://maps.app.goo.gl/DAKq4bKZWdhoBQUa9</v>
          </cell>
          <cell r="T902" t="str">
            <v>WESTERN-1</v>
          </cell>
          <cell r="U902" t="str">
            <v>25-26</v>
          </cell>
          <cell r="V902" t="str">
            <v>Mar</v>
          </cell>
          <cell r="W902" t="str">
            <v>20-03-2026
31-10-2025
07-10-2025
27-06-2025
19-12-2024
18-07-2024
01-02-2024
26-07-2023
13-10-2022
25-02-2022
29-06-2021</v>
          </cell>
        </row>
        <row r="903">
          <cell r="F903" t="str">
            <v>SOLP01S121</v>
          </cell>
          <cell r="G903" t="str">
            <v>SITARAM MAHARAJ SAKHAR KARKHANA (KHARDI) LTD.</v>
          </cell>
          <cell r="H903">
            <v>2013</v>
          </cell>
          <cell r="I903" t="str">
            <v>-</v>
          </cell>
          <cell r="J903" t="str">
            <v>Domestic</v>
          </cell>
          <cell r="K903" t="str">
            <v>Sugar</v>
          </cell>
          <cell r="L903" t="str">
            <v>Sugar</v>
          </cell>
          <cell r="M903" t="str">
            <v>End User</v>
          </cell>
          <cell r="N903" t="str">
            <v>(0-5000)</v>
          </cell>
          <cell r="O903">
            <v>3000</v>
          </cell>
          <cell r="P903" t="str">
            <v>AV</v>
          </cell>
          <cell r="Q903" t="str">
            <v>AV</v>
          </cell>
          <cell r="R903" t="str">
            <v>PD</v>
          </cell>
          <cell r="S903" t="str">
            <v>https://maps.app.goo.gl/Ky5qTPyPTS9Qt11P6</v>
          </cell>
          <cell r="T903" t="str">
            <v>Solapur - 2</v>
          </cell>
          <cell r="U903" t="str">
            <v>26-27</v>
          </cell>
          <cell r="V903" t="str">
            <v>May</v>
          </cell>
          <cell r="W903" t="str">
            <v>21.05.2026
5/2/2023</v>
          </cell>
        </row>
        <row r="904">
          <cell r="F904" t="str">
            <v>THAN01S080</v>
          </cell>
          <cell r="G904" t="str">
            <v>SITSON INDIA PVT. LTD</v>
          </cell>
          <cell r="H904">
            <v>2013</v>
          </cell>
          <cell r="I904" t="str">
            <v>-</v>
          </cell>
          <cell r="J904" t="str">
            <v>Domestic</v>
          </cell>
          <cell r="K904" t="str">
            <v>Others</v>
          </cell>
          <cell r="L904" t="str">
            <v>Sugar</v>
          </cell>
          <cell r="M904" t="str">
            <v>OEM</v>
          </cell>
          <cell r="O904" t="str">
            <v>-</v>
          </cell>
          <cell r="P904" t="str">
            <v>AV</v>
          </cell>
          <cell r="Q904" t="str">
            <v>AV</v>
          </cell>
          <cell r="R904" t="str">
            <v>OEM</v>
          </cell>
          <cell r="T904" t="str">
            <v>-</v>
          </cell>
          <cell r="W904" t="str">
            <v>-</v>
          </cell>
        </row>
        <row r="905">
          <cell r="F905" t="str">
            <v>MUMB01S517</v>
          </cell>
          <cell r="G905" t="str">
            <v>SKILL WELD PVT LTD</v>
          </cell>
          <cell r="H905" t="str">
            <v>24-25</v>
          </cell>
          <cell r="I905" t="str">
            <v>-</v>
          </cell>
          <cell r="J905" t="str">
            <v>Domestic</v>
          </cell>
          <cell r="L905" t="str">
            <v>Non-Sugar</v>
          </cell>
          <cell r="M905" t="str">
            <v>OEM</v>
          </cell>
          <cell r="P905" t="str">
            <v>WI-SV</v>
          </cell>
          <cell r="Q905" t="str">
            <v>SUDHIR</v>
          </cell>
          <cell r="U905" t="str">
            <v>25-26</v>
          </cell>
          <cell r="W905">
            <v>45906</v>
          </cell>
        </row>
        <row r="906">
          <cell r="F906" t="str">
            <v>KOLK01S547</v>
          </cell>
          <cell r="G906" t="str">
            <v>SKIPPER LIMITED</v>
          </cell>
          <cell r="H906" t="str">
            <v>-</v>
          </cell>
          <cell r="J906" t="str">
            <v>Domestic</v>
          </cell>
          <cell r="P906" t="str">
            <v>HO</v>
          </cell>
          <cell r="Q906" t="str">
            <v>-</v>
          </cell>
        </row>
        <row r="907">
          <cell r="F907" t="str">
            <v>KOLK01S530</v>
          </cell>
          <cell r="G907" t="str">
            <v>SKIPPER LIMITED</v>
          </cell>
          <cell r="H907" t="str">
            <v>25-26</v>
          </cell>
          <cell r="I907" t="str">
            <v>-</v>
          </cell>
          <cell r="J907" t="str">
            <v>Domestic</v>
          </cell>
          <cell r="K907" t="str">
            <v>OTHERS</v>
          </cell>
          <cell r="L907" t="str">
            <v>Non-Sugar</v>
          </cell>
          <cell r="M907" t="str">
            <v>End User</v>
          </cell>
          <cell r="O907" t="str">
            <v>-</v>
          </cell>
          <cell r="P907" t="str">
            <v>NI</v>
          </cell>
          <cell r="Q907" t="str">
            <v>HIMANSHU KUSHWAHA</v>
          </cell>
        </row>
        <row r="908">
          <cell r="F908" t="str">
            <v>KOLK01S449</v>
          </cell>
          <cell r="G908" t="str">
            <v>SKP MERCHANTS PRIVATE LIMITED</v>
          </cell>
          <cell r="H908" t="str">
            <v>23-24</v>
          </cell>
          <cell r="I908" t="str">
            <v>-</v>
          </cell>
          <cell r="J908" t="str">
            <v>Domestic</v>
          </cell>
          <cell r="K908" t="str">
            <v>OTHERS</v>
          </cell>
          <cell r="L908" t="str">
            <v>Non-Sugar</v>
          </cell>
          <cell r="M908" t="str">
            <v>Merchant Exporter</v>
          </cell>
          <cell r="O908" t="str">
            <v>-</v>
          </cell>
          <cell r="P908" t="str">
            <v>NI</v>
          </cell>
          <cell r="Q908" t="str">
            <v>AVIRAL SHUKLA</v>
          </cell>
          <cell r="T908" t="str">
            <v>-</v>
          </cell>
          <cell r="U908" t="str">
            <v>-</v>
          </cell>
          <cell r="W908" t="str">
            <v>-</v>
          </cell>
        </row>
        <row r="909">
          <cell r="F909" t="str">
            <v>SAHJ01S451</v>
          </cell>
          <cell r="G909" t="str">
            <v>SKPN INDUSTRIES</v>
          </cell>
          <cell r="H909" t="str">
            <v>23-24</v>
          </cell>
          <cell r="I909" t="str">
            <v>-</v>
          </cell>
          <cell r="J909" t="str">
            <v>Domestic</v>
          </cell>
          <cell r="K909" t="str">
            <v>Other</v>
          </cell>
          <cell r="L909" t="str">
            <v>Non-Sugar</v>
          </cell>
          <cell r="M909" t="str">
            <v>End User</v>
          </cell>
          <cell r="O909" t="str">
            <v>-</v>
          </cell>
          <cell r="P909" t="str">
            <v>NI</v>
          </cell>
          <cell r="Q909" t="str">
            <v>AVIRAL SHUKLA</v>
          </cell>
          <cell r="T909" t="str">
            <v>-</v>
          </cell>
          <cell r="U909" t="str">
            <v>-</v>
          </cell>
          <cell r="W909" t="str">
            <v>-</v>
          </cell>
        </row>
        <row r="910">
          <cell r="F910" t="str">
            <v>AHME01S271</v>
          </cell>
          <cell r="G910" t="str">
            <v>SKYLINE HERBALS PVT LTD</v>
          </cell>
          <cell r="H910" t="str">
            <v>20-21</v>
          </cell>
          <cell r="I910" t="str">
            <v>-</v>
          </cell>
          <cell r="J910" t="str">
            <v>Domestic</v>
          </cell>
          <cell r="K910" t="str">
            <v>OTHERS</v>
          </cell>
          <cell r="L910" t="str">
            <v>Non-Sugar</v>
          </cell>
          <cell r="M910" t="str">
            <v>End User</v>
          </cell>
          <cell r="O910" t="str">
            <v>-</v>
          </cell>
          <cell r="P910" t="str">
            <v>NI</v>
          </cell>
          <cell r="Q910" t="str">
            <v>AKSHAY AWASTHI</v>
          </cell>
          <cell r="S910" t="str">
            <v>https://share.google/f0AVLdGCCc1xQu0B4</v>
          </cell>
          <cell r="T910" t="str">
            <v>-</v>
          </cell>
          <cell r="U910" t="str">
            <v>-</v>
          </cell>
          <cell r="W910" t="str">
            <v>-</v>
          </cell>
        </row>
        <row r="911">
          <cell r="F911" t="str">
            <v>DLHI01S575</v>
          </cell>
          <cell r="G911" t="str">
            <v>SKYWAYS AIR SERVICE PVT LTD</v>
          </cell>
          <cell r="H911" t="str">
            <v>-</v>
          </cell>
          <cell r="J911" t="str">
            <v>Domestic</v>
          </cell>
          <cell r="P911" t="str">
            <v>HO</v>
          </cell>
          <cell r="Q911" t="str">
            <v>-</v>
          </cell>
        </row>
        <row r="912">
          <cell r="F912" t="str">
            <v>INDR01S335</v>
          </cell>
          <cell r="G912" t="str">
            <v>SM FOOD ENGINEERING PVT LTD</v>
          </cell>
          <cell r="H912" t="str">
            <v>22-23</v>
          </cell>
          <cell r="I912" t="str">
            <v>-</v>
          </cell>
          <cell r="J912" t="str">
            <v>Domestic</v>
          </cell>
          <cell r="K912" t="str">
            <v>Food</v>
          </cell>
          <cell r="L912" t="str">
            <v>Non-Sugar</v>
          </cell>
          <cell r="M912" t="str">
            <v>End User</v>
          </cell>
          <cell r="O912" t="str">
            <v>-</v>
          </cell>
          <cell r="P912" t="str">
            <v>NI</v>
          </cell>
          <cell r="Q912" t="str">
            <v>AVIRAL SHUKLA</v>
          </cell>
          <cell r="T912" t="str">
            <v>-</v>
          </cell>
          <cell r="U912" t="str">
            <v>24-25</v>
          </cell>
          <cell r="W912" t="str">
            <v>30-01-2025</v>
          </cell>
        </row>
        <row r="913">
          <cell r="F913" t="str">
            <v>NODA01S514</v>
          </cell>
          <cell r="G913" t="str">
            <v>SmartBrains Engineers and Technologist Pvt. Ltd</v>
          </cell>
          <cell r="H913" t="str">
            <v>24-25</v>
          </cell>
          <cell r="I913" t="str">
            <v>-</v>
          </cell>
          <cell r="J913" t="str">
            <v>Domestic</v>
          </cell>
          <cell r="K913" t="str">
            <v>OTHERS</v>
          </cell>
          <cell r="L913" t="str">
            <v>Non-Sugar</v>
          </cell>
          <cell r="M913" t="str">
            <v>End User</v>
          </cell>
          <cell r="O913" t="str">
            <v>-</v>
          </cell>
          <cell r="P913" t="str">
            <v>NI</v>
          </cell>
          <cell r="Q913" t="str">
            <v>AKSHAY AWASTHI</v>
          </cell>
        </row>
        <row r="914">
          <cell r="F914" t="str">
            <v>DHAK01S559</v>
          </cell>
          <cell r="G914" t="str">
            <v>SMILE FOOD PRODUCTS LIMITED</v>
          </cell>
          <cell r="H914" t="str">
            <v>25-26</v>
          </cell>
          <cell r="I914" t="str">
            <v>-</v>
          </cell>
          <cell r="J914" t="str">
            <v>Export</v>
          </cell>
          <cell r="K914" t="str">
            <v>Food</v>
          </cell>
          <cell r="L914" t="str">
            <v>Non-Sugar</v>
          </cell>
          <cell r="M914" t="str">
            <v>End User</v>
          </cell>
          <cell r="O914" t="str">
            <v>-</v>
          </cell>
          <cell r="P914" t="str">
            <v>NI</v>
          </cell>
          <cell r="Q914" t="str">
            <v>AVIRAL SHUKLA</v>
          </cell>
        </row>
        <row r="915">
          <cell r="F915" t="str">
            <v>CHEN01S472</v>
          </cell>
          <cell r="G915" t="str">
            <v>SNJ DISTILLERS PRIVATE LIMITED</v>
          </cell>
          <cell r="H915" t="str">
            <v>24-25</v>
          </cell>
          <cell r="I915" t="str">
            <v>-</v>
          </cell>
          <cell r="J915" t="str">
            <v>Domestic</v>
          </cell>
          <cell r="K915" t="str">
            <v>Distillery</v>
          </cell>
          <cell r="L915" t="str">
            <v>Non-Sugar</v>
          </cell>
          <cell r="M915" t="str">
            <v>End User</v>
          </cell>
          <cell r="P915" t="str">
            <v>SI-GS</v>
          </cell>
          <cell r="Q915" t="str">
            <v>SI-GS</v>
          </cell>
        </row>
        <row r="916">
          <cell r="F916" t="str">
            <v>VIRU01S496</v>
          </cell>
          <cell r="G916" t="str">
            <v>SNJ DISTILLERS PRIVATE LTD (Ambalika sugar)</v>
          </cell>
          <cell r="H916">
            <v>2013</v>
          </cell>
          <cell r="I916" t="str">
            <v>-</v>
          </cell>
          <cell r="J916" t="str">
            <v>Domestic</v>
          </cell>
          <cell r="K916" t="str">
            <v>Sugar</v>
          </cell>
          <cell r="L916" t="str">
            <v>Sugar</v>
          </cell>
          <cell r="M916" t="str">
            <v>End User</v>
          </cell>
          <cell r="N916" t="str">
            <v>(0-5000)</v>
          </cell>
          <cell r="O916">
            <v>4000</v>
          </cell>
          <cell r="P916" t="str">
            <v>SI-GS</v>
          </cell>
          <cell r="Q916" t="str">
            <v>SI-GS</v>
          </cell>
          <cell r="W916">
            <v>45537</v>
          </cell>
        </row>
        <row r="917">
          <cell r="F917" t="str">
            <v>CHIT01S004</v>
          </cell>
          <cell r="G917" t="str">
            <v>SNJ SUGARS &amp; PRODUCTS LIMITED</v>
          </cell>
          <cell r="H917">
            <v>2013</v>
          </cell>
          <cell r="I917" t="str">
            <v>-</v>
          </cell>
          <cell r="J917" t="str">
            <v>Domestic</v>
          </cell>
          <cell r="K917" t="str">
            <v>Sugar</v>
          </cell>
          <cell r="L917" t="str">
            <v>Sugar</v>
          </cell>
          <cell r="M917" t="str">
            <v>End User</v>
          </cell>
          <cell r="N917" t="str">
            <v>(0-5000)</v>
          </cell>
          <cell r="O917">
            <v>4000</v>
          </cell>
          <cell r="P917" t="str">
            <v>SI-GS</v>
          </cell>
          <cell r="Q917" t="str">
            <v>SI-GS</v>
          </cell>
          <cell r="W917">
            <v>45540</v>
          </cell>
        </row>
        <row r="918">
          <cell r="F918" t="str">
            <v>BHAR01S349</v>
          </cell>
          <cell r="G918" t="str">
            <v>SOLVAY SPECIALITIES INDIA PVT LTD</v>
          </cell>
          <cell r="H918" t="str">
            <v>22-23</v>
          </cell>
          <cell r="I918" t="str">
            <v>-</v>
          </cell>
          <cell r="J918" t="str">
            <v>Domestic</v>
          </cell>
          <cell r="K918" t="str">
            <v>OTHERS</v>
          </cell>
          <cell r="L918" t="str">
            <v>Non-Sugar</v>
          </cell>
          <cell r="M918" t="str">
            <v>End User</v>
          </cell>
          <cell r="O918" t="str">
            <v>-</v>
          </cell>
          <cell r="P918" t="str">
            <v>NI</v>
          </cell>
          <cell r="Q918" t="str">
            <v>AVIRAL SHUKLA</v>
          </cell>
          <cell r="T918" t="str">
            <v>-</v>
          </cell>
          <cell r="U918" t="str">
            <v>-</v>
          </cell>
        </row>
        <row r="919">
          <cell r="F919" t="str">
            <v>BHOP01S223</v>
          </cell>
          <cell r="G919" t="str">
            <v>SOM DISTILLERIES PRIVATE LTD.</v>
          </cell>
          <cell r="H919">
            <v>2016</v>
          </cell>
          <cell r="I919" t="str">
            <v>-</v>
          </cell>
          <cell r="J919" t="str">
            <v>Domestic</v>
          </cell>
          <cell r="K919" t="str">
            <v>Distillery(Sugar)</v>
          </cell>
          <cell r="L919" t="str">
            <v>Non-Sugar</v>
          </cell>
          <cell r="M919" t="str">
            <v>End User</v>
          </cell>
          <cell r="O919" t="str">
            <v>-</v>
          </cell>
          <cell r="P919" t="str">
            <v>NI</v>
          </cell>
          <cell r="Q919" t="str">
            <v>HIMANSHU KUSHWAHA</v>
          </cell>
          <cell r="T919" t="str">
            <v>M.P- 2</v>
          </cell>
          <cell r="U919" t="str">
            <v>25-26</v>
          </cell>
          <cell r="W919" t="str">
            <v>18-09-2025
11-11-2024
10-08-2024</v>
          </cell>
        </row>
        <row r="920">
          <cell r="F920" t="str">
            <v>HCWC01S215</v>
          </cell>
          <cell r="G920" t="str">
            <v>SON LA SUGAR CANE JOINT STOCK COMPANY</v>
          </cell>
          <cell r="H920">
            <v>2016</v>
          </cell>
          <cell r="I920" t="str">
            <v>-</v>
          </cell>
          <cell r="J920" t="str">
            <v>Export</v>
          </cell>
          <cell r="K920" t="str">
            <v>Sugar</v>
          </cell>
          <cell r="L920" t="str">
            <v>Sugar</v>
          </cell>
          <cell r="M920" t="str">
            <v>End User</v>
          </cell>
          <cell r="O920" t="str">
            <v>-</v>
          </cell>
          <cell r="P920" t="str">
            <v>VA</v>
          </cell>
          <cell r="Q920" t="str">
            <v>VA</v>
          </cell>
          <cell r="T920" t="str">
            <v>-</v>
          </cell>
          <cell r="U920" t="str">
            <v>-</v>
          </cell>
        </row>
        <row r="921">
          <cell r="F921" t="str">
            <v>GOPA01S261</v>
          </cell>
          <cell r="G921" t="str">
            <v>SONA SATI ORGANICS PVT LTD</v>
          </cell>
          <cell r="H921" t="str">
            <v>19-20</v>
          </cell>
          <cell r="I921" t="str">
            <v>-</v>
          </cell>
          <cell r="J921" t="str">
            <v>Domestic</v>
          </cell>
          <cell r="K921" t="str">
            <v>Ethanol</v>
          </cell>
          <cell r="L921" t="str">
            <v>Non-Sugar</v>
          </cell>
          <cell r="M921" t="str">
            <v>End User</v>
          </cell>
          <cell r="O921" t="str">
            <v>75 KLPD</v>
          </cell>
          <cell r="P921" t="str">
            <v>NI</v>
          </cell>
          <cell r="Q921" t="str">
            <v>AVIRAL SHUKLA</v>
          </cell>
          <cell r="T921" t="str">
            <v>-</v>
          </cell>
          <cell r="U921" t="str">
            <v>26-27</v>
          </cell>
          <cell r="V921" t="str">
            <v>May</v>
          </cell>
          <cell r="W921" t="str">
            <v>02.05.2026
23-02-2021
23-02-2021
12-10-2020</v>
          </cell>
        </row>
        <row r="922">
          <cell r="F922" t="str">
            <v>PUNE01S302</v>
          </cell>
          <cell r="G922" t="str">
            <v>SONAI EATABLES INDIA LTD</v>
          </cell>
          <cell r="H922" t="str">
            <v>22-23</v>
          </cell>
          <cell r="I922" t="str">
            <v>-</v>
          </cell>
          <cell r="J922" t="str">
            <v>Domestic</v>
          </cell>
          <cell r="K922" t="str">
            <v>Edible Oil</v>
          </cell>
          <cell r="L922" t="str">
            <v>Non-Sugar</v>
          </cell>
          <cell r="M922" t="str">
            <v>End User</v>
          </cell>
          <cell r="N922" t="str">
            <v>-</v>
          </cell>
          <cell r="O922" t="str">
            <v>-</v>
          </cell>
          <cell r="P922" t="str">
            <v>AV</v>
          </cell>
          <cell r="Q922" t="str">
            <v>AV</v>
          </cell>
          <cell r="R922" t="str">
            <v>PD</v>
          </cell>
          <cell r="T922" t="str">
            <v>Pune - 2</v>
          </cell>
          <cell r="U922" t="str">
            <v>23-24</v>
          </cell>
          <cell r="W922">
            <v>45335</v>
          </cell>
        </row>
        <row r="923">
          <cell r="F923" t="str">
            <v>KOLK01S415</v>
          </cell>
          <cell r="G923" t="str">
            <v>SONIC THERMAL PVT LTD</v>
          </cell>
          <cell r="H923" t="str">
            <v>23-24</v>
          </cell>
          <cell r="I923" t="str">
            <v>-</v>
          </cell>
          <cell r="J923" t="str">
            <v>Domestic</v>
          </cell>
          <cell r="K923" t="str">
            <v>OTHERS</v>
          </cell>
          <cell r="L923" t="str">
            <v>Non-Sugar</v>
          </cell>
          <cell r="M923" t="str">
            <v>End User</v>
          </cell>
          <cell r="O923" t="str">
            <v>-</v>
          </cell>
          <cell r="P923" t="str">
            <v>NI</v>
          </cell>
          <cell r="Q923" t="str">
            <v>AVIRAL SHUKLA</v>
          </cell>
          <cell r="T923" t="str">
            <v>-</v>
          </cell>
          <cell r="U923" t="str">
            <v>-</v>
          </cell>
        </row>
        <row r="924">
          <cell r="F924" t="str">
            <v>BELG01S114</v>
          </cell>
          <cell r="G924" t="str">
            <v>SOUBHAGYA LAXMI SUGARS LTD.</v>
          </cell>
          <cell r="H924" t="str">
            <v>23-24</v>
          </cell>
          <cell r="I924" t="str">
            <v>-</v>
          </cell>
          <cell r="J924" t="str">
            <v>Domestic</v>
          </cell>
          <cell r="K924" t="str">
            <v>Sugar</v>
          </cell>
          <cell r="L924" t="str">
            <v>Sugar</v>
          </cell>
          <cell r="M924" t="str">
            <v>End User</v>
          </cell>
          <cell r="N924" t="str">
            <v>(0-5000)</v>
          </cell>
          <cell r="O924">
            <v>5000</v>
          </cell>
          <cell r="P924" t="str">
            <v>MRK</v>
          </cell>
          <cell r="Q924" t="str">
            <v>MRK</v>
          </cell>
          <cell r="R924" t="str">
            <v>VG</v>
          </cell>
          <cell r="T924" t="str">
            <v>Belagavi - 1</v>
          </cell>
          <cell r="U924" t="str">
            <v>24-25</v>
          </cell>
          <cell r="W924" t="str">
            <v>15-03-2025
15-02-2023
27-09-2022</v>
          </cell>
        </row>
        <row r="925">
          <cell r="F925" t="str">
            <v>SOLN01S085</v>
          </cell>
          <cell r="G925" t="str">
            <v>SPRAY ENGINEERING DEVICES LIMITED</v>
          </cell>
          <cell r="H925">
            <v>2016</v>
          </cell>
          <cell r="I925" t="str">
            <v>-</v>
          </cell>
          <cell r="J925" t="str">
            <v>Domestic</v>
          </cell>
          <cell r="K925" t="str">
            <v>Sugar</v>
          </cell>
          <cell r="L925" t="str">
            <v>Sugar</v>
          </cell>
          <cell r="M925" t="str">
            <v>OEM</v>
          </cell>
          <cell r="O925" t="str">
            <v>-</v>
          </cell>
          <cell r="P925" t="str">
            <v>NI</v>
          </cell>
          <cell r="Q925" t="str">
            <v>AKSHAY AWASTHI</v>
          </cell>
          <cell r="S925" t="str">
            <v>https://maps.app.goo.gl/SWFzET2WfDRFS3xp6</v>
          </cell>
          <cell r="T925" t="str">
            <v>-</v>
          </cell>
          <cell r="U925" t="str">
            <v>26-27</v>
          </cell>
          <cell r="V925" t="str">
            <v>Apr</v>
          </cell>
          <cell r="W925" t="str">
            <v>17-4-2026
06-07-2025</v>
          </cell>
        </row>
        <row r="926">
          <cell r="F926" t="str">
            <v>MOHL01S130</v>
          </cell>
          <cell r="G926" t="str">
            <v>SPRAY ENGINEERING DEVICES LIMITED</v>
          </cell>
          <cell r="H926">
            <v>2018</v>
          </cell>
          <cell r="I926" t="str">
            <v>-</v>
          </cell>
          <cell r="J926" t="str">
            <v>Domestic</v>
          </cell>
          <cell r="K926" t="str">
            <v>Sugar</v>
          </cell>
          <cell r="L926" t="str">
            <v>Sugar</v>
          </cell>
          <cell r="M926" t="str">
            <v>OEM</v>
          </cell>
          <cell r="O926" t="str">
            <v>-</v>
          </cell>
          <cell r="P926" t="str">
            <v>HO</v>
          </cell>
          <cell r="T926" t="str">
            <v>-</v>
          </cell>
          <cell r="U926" t="str">
            <v>25-26</v>
          </cell>
          <cell r="W926" t="str">
            <v>23-02-2026
07-06-2025
28-03-2025</v>
          </cell>
        </row>
        <row r="927">
          <cell r="F927" t="str">
            <v>NODA01S455</v>
          </cell>
          <cell r="G927" t="str">
            <v>SPSBIO-CHEM PRIVATE LIMITED</v>
          </cell>
          <cell r="H927" t="str">
            <v>24-25</v>
          </cell>
          <cell r="I927" t="str">
            <v>-</v>
          </cell>
          <cell r="J927" t="str">
            <v>Domestic</v>
          </cell>
          <cell r="K927" t="str">
            <v>OTHERS</v>
          </cell>
          <cell r="L927" t="str">
            <v>Non-Sugar</v>
          </cell>
          <cell r="M927" t="str">
            <v>End User</v>
          </cell>
          <cell r="O927" t="str">
            <v>-</v>
          </cell>
          <cell r="P927" t="str">
            <v>NI</v>
          </cell>
          <cell r="Q927" t="str">
            <v>AVIRAL SHUKLA</v>
          </cell>
          <cell r="T927" t="str">
            <v>WESTERN</v>
          </cell>
          <cell r="U927" t="str">
            <v>25-26</v>
          </cell>
          <cell r="W927" t="str">
            <v>08-07-2025
4/2/2024</v>
          </cell>
        </row>
        <row r="928">
          <cell r="F928" t="str">
            <v>UDUP01S561</v>
          </cell>
          <cell r="G928" t="str">
            <v>SPV ONEENERGY PRODUCTS PVT LTD (Mash Make)</v>
          </cell>
          <cell r="H928" t="str">
            <v>25-26</v>
          </cell>
          <cell r="I928" t="str">
            <v>-</v>
          </cell>
          <cell r="J928" t="str">
            <v>Domestic</v>
          </cell>
          <cell r="K928" t="str">
            <v>BIOGAS</v>
          </cell>
          <cell r="L928" t="str">
            <v>Non-Sugar</v>
          </cell>
          <cell r="M928" t="str">
            <v>End User</v>
          </cell>
          <cell r="P928" t="str">
            <v>WI-SV</v>
          </cell>
          <cell r="Q928" t="str">
            <v>SUDHIR</v>
          </cell>
          <cell r="U928" t="str">
            <v>25-26</v>
          </cell>
          <cell r="W928" t="str">
            <v>16-01-2026</v>
          </cell>
        </row>
        <row r="929">
          <cell r="F929" t="str">
            <v>CHEN01S307</v>
          </cell>
          <cell r="G929" t="str">
            <v>SR ENGINEERING SOLUTIONS</v>
          </cell>
          <cell r="H929">
            <v>2023</v>
          </cell>
          <cell r="I929" t="str">
            <v>-</v>
          </cell>
          <cell r="J929" t="str">
            <v>Domestic</v>
          </cell>
          <cell r="K929" t="str">
            <v>Others</v>
          </cell>
          <cell r="L929" t="str">
            <v>Non-Sugar</v>
          </cell>
          <cell r="M929" t="str">
            <v>OEM</v>
          </cell>
          <cell r="P929" t="str">
            <v>SI-GS</v>
          </cell>
          <cell r="Q929" t="str">
            <v>SI-GS</v>
          </cell>
          <cell r="W929">
            <v>45440</v>
          </cell>
        </row>
        <row r="930">
          <cell r="F930" t="str">
            <v>DAHE01S525</v>
          </cell>
          <cell r="G930" t="str">
            <v>SRF LIMITED</v>
          </cell>
          <cell r="H930" t="str">
            <v>25-26</v>
          </cell>
          <cell r="I930" t="str">
            <v>-</v>
          </cell>
          <cell r="J930" t="str">
            <v>Domestic</v>
          </cell>
          <cell r="K930" t="str">
            <v>OTHERS</v>
          </cell>
          <cell r="L930" t="str">
            <v>Non-Sugar</v>
          </cell>
          <cell r="M930" t="str">
            <v>End User</v>
          </cell>
          <cell r="O930" t="str">
            <v>-</v>
          </cell>
          <cell r="P930" t="str">
            <v>NI</v>
          </cell>
          <cell r="Q930" t="str">
            <v>HIMANSHU KUSHWAHA</v>
          </cell>
          <cell r="U930" t="str">
            <v>24-25</v>
          </cell>
          <cell r="V930" t="str">
            <v>May</v>
          </cell>
          <cell r="W930" t="str">
            <v>22-05-2026(Haryana)
25-03-2025</v>
          </cell>
        </row>
        <row r="931">
          <cell r="F931" t="str">
            <v>BELA01S429</v>
          </cell>
          <cell r="G931" t="str">
            <v>SRI BASAVESHWARA SUGARS LTD.</v>
          </cell>
          <cell r="H931" t="str">
            <v>23-24</v>
          </cell>
          <cell r="I931" t="str">
            <v>SONHIRA GROUP (Owner same)</v>
          </cell>
          <cell r="J931" t="str">
            <v>Domestic</v>
          </cell>
          <cell r="K931" t="str">
            <v>Sugar</v>
          </cell>
          <cell r="L931" t="str">
            <v>Sugar</v>
          </cell>
          <cell r="M931" t="str">
            <v>Group (Mills)</v>
          </cell>
          <cell r="N931" t="str">
            <v>(0-5000)</v>
          </cell>
          <cell r="O931" t="str">
            <v>Sugar 800
30KLPD</v>
          </cell>
          <cell r="P931" t="str">
            <v>MRK</v>
          </cell>
          <cell r="Q931" t="str">
            <v>MRK</v>
          </cell>
          <cell r="R931" t="str">
            <v>VG</v>
          </cell>
          <cell r="S931" t="str">
            <v>16° 51' 58.4219" N 75° 7' 29.3639" E</v>
          </cell>
          <cell r="T931" t="str">
            <v>Belagavi - 2</v>
          </cell>
          <cell r="U931" t="str">
            <v>26-27</v>
          </cell>
          <cell r="V931" t="str">
            <v>Apr</v>
          </cell>
          <cell r="W931" t="str">
            <v>9-4-2026
13-10-2025
12/25/2023</v>
          </cell>
        </row>
        <row r="932">
          <cell r="F932" t="str">
            <v>KANP01S206</v>
          </cell>
          <cell r="G932" t="str">
            <v>SRI BEHARIJI CATTTLE FEED PVT LTD</v>
          </cell>
          <cell r="H932">
            <v>2016</v>
          </cell>
          <cell r="I932" t="str">
            <v>-</v>
          </cell>
          <cell r="J932" t="str">
            <v>Domestic</v>
          </cell>
          <cell r="K932" t="str">
            <v>Cattlefeed</v>
          </cell>
          <cell r="L932" t="str">
            <v>Non-Sugar</v>
          </cell>
          <cell r="M932" t="str">
            <v>End User</v>
          </cell>
          <cell r="O932" t="str">
            <v>-</v>
          </cell>
          <cell r="P932" t="str">
            <v>NI</v>
          </cell>
          <cell r="Q932" t="str">
            <v>AVIRAL SHUKLA</v>
          </cell>
          <cell r="T932" t="str">
            <v>-</v>
          </cell>
          <cell r="U932" t="str">
            <v>-</v>
          </cell>
          <cell r="W932" t="str">
            <v>-</v>
          </cell>
        </row>
        <row r="933">
          <cell r="F933" t="str">
            <v>MAND01S087</v>
          </cell>
          <cell r="G933" t="str">
            <v>SRI CHAMUNDESWARI SUGARS LTD.</v>
          </cell>
          <cell r="H933">
            <v>2013</v>
          </cell>
          <cell r="I933" t="str">
            <v>-</v>
          </cell>
          <cell r="J933" t="str">
            <v>Domestic</v>
          </cell>
          <cell r="K933" t="str">
            <v>Sugar</v>
          </cell>
          <cell r="L933" t="str">
            <v>Sugar</v>
          </cell>
          <cell r="M933" t="str">
            <v>End User</v>
          </cell>
          <cell r="N933" t="str">
            <v>(0-5000)</v>
          </cell>
          <cell r="O933">
            <v>5000</v>
          </cell>
          <cell r="P933" t="str">
            <v>SI-GS</v>
          </cell>
          <cell r="Q933" t="str">
            <v>SI-GS</v>
          </cell>
          <cell r="S933" t="str">
            <v>https://maps.app.goo.gl/ckuGwKe4MagCcNEo7</v>
          </cell>
          <cell r="W933" t="str">
            <v>17-3-2025</v>
          </cell>
        </row>
        <row r="934">
          <cell r="F934" t="str">
            <v>HASS01S088</v>
          </cell>
          <cell r="G934" t="str">
            <v>SRI CHAMUNDESWARI SUGARS LTD. Unit-2</v>
          </cell>
          <cell r="H934">
            <v>2014</v>
          </cell>
          <cell r="I934" t="str">
            <v>-</v>
          </cell>
          <cell r="J934" t="str">
            <v>Domestic</v>
          </cell>
          <cell r="K934" t="str">
            <v>Sugar</v>
          </cell>
          <cell r="L934" t="str">
            <v>Sugar</v>
          </cell>
          <cell r="M934" t="str">
            <v>End User</v>
          </cell>
          <cell r="N934" t="str">
            <v>(0-5000)</v>
          </cell>
          <cell r="O934">
            <v>3500</v>
          </cell>
          <cell r="P934" t="str">
            <v>SI-GS</v>
          </cell>
          <cell r="Q934" t="str">
            <v>SI-GS</v>
          </cell>
          <cell r="W934">
            <v>45232</v>
          </cell>
        </row>
        <row r="935">
          <cell r="F935" t="str">
            <v>HYDE01S446</v>
          </cell>
          <cell r="G935" t="str">
            <v>SRI CHIMMANLAL PAPER MILLS</v>
          </cell>
          <cell r="H935" t="str">
            <v>23-24</v>
          </cell>
          <cell r="I935" t="str">
            <v>-</v>
          </cell>
          <cell r="J935" t="str">
            <v>Domestic</v>
          </cell>
          <cell r="K935" t="str">
            <v>Paper</v>
          </cell>
          <cell r="L935" t="str">
            <v>Non-Sugar</v>
          </cell>
          <cell r="M935" t="str">
            <v>End User</v>
          </cell>
          <cell r="O935" t="str">
            <v>-</v>
          </cell>
          <cell r="P935" t="str">
            <v>NI</v>
          </cell>
          <cell r="Q935" t="str">
            <v>AKSHAY AWASTHI</v>
          </cell>
          <cell r="T935" t="str">
            <v>-</v>
          </cell>
          <cell r="U935" t="str">
            <v>-</v>
          </cell>
          <cell r="W935" t="str">
            <v>-</v>
          </cell>
        </row>
        <row r="936">
          <cell r="F936" t="str">
            <v>KANP01S577</v>
          </cell>
          <cell r="G936" t="str">
            <v>SRI NAGESHWER HYDRAULICS</v>
          </cell>
          <cell r="H936" t="str">
            <v>-</v>
          </cell>
          <cell r="J936" t="str">
            <v>Domestic</v>
          </cell>
          <cell r="P936" t="str">
            <v>HO</v>
          </cell>
          <cell r="Q936" t="str">
            <v>-</v>
          </cell>
        </row>
        <row r="937">
          <cell r="F937" t="str">
            <v>CHEN01S512</v>
          </cell>
          <cell r="G937" t="str">
            <v>SRI PEARLS STONE INDUSTRIES PRAVATE LIMITED</v>
          </cell>
          <cell r="H937" t="str">
            <v>24-25</v>
          </cell>
          <cell r="I937" t="str">
            <v>-</v>
          </cell>
          <cell r="J937" t="str">
            <v>Domestic</v>
          </cell>
          <cell r="K937" t="str">
            <v>OTHERS</v>
          </cell>
          <cell r="L937" t="str">
            <v>Non-Sugar</v>
          </cell>
          <cell r="M937" t="str">
            <v>End User</v>
          </cell>
          <cell r="O937" t="str">
            <v>-</v>
          </cell>
          <cell r="P937" t="str">
            <v>NI</v>
          </cell>
          <cell r="Q937" t="str">
            <v>AKSHAY AWASTHI</v>
          </cell>
        </row>
        <row r="938">
          <cell r="F938" t="str">
            <v>ESGO01S253</v>
          </cell>
          <cell r="G938" t="str">
            <v>SRI RAMADAS PAPER BOARDS PVT LTD</v>
          </cell>
          <cell r="H938">
            <v>2018</v>
          </cell>
          <cell r="I938" t="str">
            <v>-</v>
          </cell>
          <cell r="J938" t="str">
            <v>Domestic</v>
          </cell>
          <cell r="K938" t="str">
            <v>Paper</v>
          </cell>
          <cell r="L938" t="str">
            <v>Non-Sugar</v>
          </cell>
          <cell r="M938" t="str">
            <v>End User</v>
          </cell>
          <cell r="P938" t="str">
            <v>SI-GS</v>
          </cell>
          <cell r="Q938" t="str">
            <v>SI-GS</v>
          </cell>
          <cell r="W938" t="str">
            <v>-</v>
          </cell>
        </row>
        <row r="939">
          <cell r="F939" t="str">
            <v>VIJA01S432</v>
          </cell>
          <cell r="G939" t="str">
            <v>SRI SAI BASAVA SUGARS LTD. (Formerly Manali sugars Ltd)</v>
          </cell>
          <cell r="H939">
            <v>2015</v>
          </cell>
          <cell r="I939" t="str">
            <v>-</v>
          </cell>
          <cell r="J939" t="str">
            <v>Domestic</v>
          </cell>
          <cell r="K939" t="str">
            <v>Sugar</v>
          </cell>
          <cell r="L939" t="str">
            <v>Sugar</v>
          </cell>
          <cell r="M939" t="str">
            <v>End User</v>
          </cell>
          <cell r="N939" t="str">
            <v>(5001-9000)</v>
          </cell>
          <cell r="O939">
            <v>6500</v>
          </cell>
          <cell r="P939" t="str">
            <v>MRK</v>
          </cell>
          <cell r="Q939" t="str">
            <v>MRK</v>
          </cell>
          <cell r="R939" t="str">
            <v>VG</v>
          </cell>
          <cell r="S939" t="str">
            <v>17° 1' 38.0057" N 76° 16' 32.952" E</v>
          </cell>
          <cell r="T939" t="str">
            <v>Vijaypura - 1</v>
          </cell>
          <cell r="U939" t="str">
            <v>26-27</v>
          </cell>
          <cell r="V939" t="str">
            <v>Apr</v>
          </cell>
          <cell r="W939" t="str">
            <v>8-4-2026
23-5-2025
22-03-2024
27-04-2023
09-11-2022</v>
          </cell>
        </row>
        <row r="940">
          <cell r="F940" t="str">
            <v>VISA01S124</v>
          </cell>
          <cell r="G940" t="str">
            <v>SRI VIJAYA VISAKHA MILLK PRODUCERS COMPANY LTD.</v>
          </cell>
          <cell r="H940">
            <v>2013</v>
          </cell>
          <cell r="I940" t="str">
            <v>-</v>
          </cell>
          <cell r="J940" t="str">
            <v>Domestic</v>
          </cell>
          <cell r="K940" t="str">
            <v>Dairy</v>
          </cell>
          <cell r="L940" t="str">
            <v>Non-Sugar</v>
          </cell>
          <cell r="M940" t="str">
            <v>End User</v>
          </cell>
          <cell r="P940" t="str">
            <v>SI-GS</v>
          </cell>
          <cell r="Q940" t="str">
            <v>SI-GS</v>
          </cell>
          <cell r="W940">
            <v>45149</v>
          </cell>
        </row>
        <row r="941">
          <cell r="F941" t="str">
            <v>PUNE01S001</v>
          </cell>
          <cell r="G941" t="str">
            <v>SS ENGINEERS</v>
          </cell>
          <cell r="H941">
            <v>2013</v>
          </cell>
          <cell r="I941" t="str">
            <v>-</v>
          </cell>
          <cell r="J941" t="str">
            <v>Domestic</v>
          </cell>
          <cell r="K941" t="str">
            <v>Sugar</v>
          </cell>
          <cell r="L941" t="str">
            <v>Sugar</v>
          </cell>
          <cell r="M941" t="str">
            <v>OEM</v>
          </cell>
          <cell r="O941" t="str">
            <v>-</v>
          </cell>
          <cell r="P941" t="str">
            <v>AV</v>
          </cell>
          <cell r="Q941" t="str">
            <v>AV</v>
          </cell>
          <cell r="R941" t="str">
            <v>OEM</v>
          </cell>
          <cell r="S941" t="str">
            <v>https://maps.app.goo.gl/jphxVQFrPxG44Exz6</v>
          </cell>
          <cell r="T941" t="str">
            <v>-</v>
          </cell>
          <cell r="U941" t="str">
            <v>26-27</v>
          </cell>
          <cell r="V941" t="str">
            <v>Apr</v>
          </cell>
          <cell r="W941" t="str">
            <v>13-4-2026</v>
          </cell>
        </row>
        <row r="942">
          <cell r="F942" t="str">
            <v>GWAL01S252</v>
          </cell>
          <cell r="G942" t="str">
            <v>SSB ENGINEERING</v>
          </cell>
          <cell r="H942">
            <v>2018</v>
          </cell>
          <cell r="I942" t="str">
            <v>-</v>
          </cell>
          <cell r="J942" t="str">
            <v>Domestic</v>
          </cell>
          <cell r="K942" t="str">
            <v>OTHERS</v>
          </cell>
          <cell r="L942" t="str">
            <v>Non-Sugar</v>
          </cell>
          <cell r="M942" t="str">
            <v>OEM</v>
          </cell>
          <cell r="O942" t="str">
            <v>-</v>
          </cell>
          <cell r="P942" t="str">
            <v>NI</v>
          </cell>
          <cell r="Q942" t="str">
            <v>AVIRAL SHUKLA</v>
          </cell>
          <cell r="T942" t="str">
            <v>-</v>
          </cell>
          <cell r="U942" t="str">
            <v>-</v>
          </cell>
          <cell r="W942" t="str">
            <v>-</v>
          </cell>
        </row>
        <row r="943">
          <cell r="F943" t="str">
            <v>PUNE01S543</v>
          </cell>
          <cell r="G943" t="str">
            <v>SSEPL TECHNO PRIVATE LTD.</v>
          </cell>
          <cell r="H943" t="str">
            <v>25-26</v>
          </cell>
          <cell r="J943" t="str">
            <v>Domestic</v>
          </cell>
          <cell r="K943" t="str">
            <v>Sugar</v>
          </cell>
          <cell r="L943" t="str">
            <v>Sugar</v>
          </cell>
          <cell r="M943" t="str">
            <v>OEM</v>
          </cell>
          <cell r="P943" t="str">
            <v>NI</v>
          </cell>
          <cell r="Q943" t="str">
            <v>AKSHAY AWASTHI</v>
          </cell>
          <cell r="U943" t="str">
            <v>26-27</v>
          </cell>
          <cell r="V943" t="str">
            <v>Apr</v>
          </cell>
          <cell r="W943">
            <v>46114</v>
          </cell>
        </row>
        <row r="944">
          <cell r="F944" t="str">
            <v>PUNE01S331</v>
          </cell>
          <cell r="G944" t="str">
            <v>SSEPL TECHNO PVT LTD.</v>
          </cell>
          <cell r="H944" t="str">
            <v>24-25</v>
          </cell>
          <cell r="I944" t="str">
            <v>-</v>
          </cell>
          <cell r="J944" t="str">
            <v>Domestic</v>
          </cell>
          <cell r="K944" t="str">
            <v>Sugar</v>
          </cell>
          <cell r="L944" t="str">
            <v>Sugar</v>
          </cell>
          <cell r="M944" t="str">
            <v>OEM</v>
          </cell>
          <cell r="O944" t="str">
            <v>-</v>
          </cell>
          <cell r="P944" t="str">
            <v>NI</v>
          </cell>
          <cell r="Q944" t="str">
            <v>AVIRAL SHUKLA</v>
          </cell>
        </row>
        <row r="945">
          <cell r="F945" t="str">
            <v>OSMN01S557</v>
          </cell>
          <cell r="G945" t="str">
            <v>SSV COMMERICAL SERVICES AND INFRA PVT LTD</v>
          </cell>
          <cell r="H945" t="str">
            <v>25-26</v>
          </cell>
          <cell r="I945" t="str">
            <v>-</v>
          </cell>
          <cell r="J945" t="str">
            <v>Domestic</v>
          </cell>
          <cell r="K945" t="str">
            <v>Sugar</v>
          </cell>
          <cell r="L945" t="str">
            <v>Sugar</v>
          </cell>
          <cell r="M945" t="str">
            <v>OEM</v>
          </cell>
          <cell r="P945" t="str">
            <v>AV</v>
          </cell>
          <cell r="Q945" t="str">
            <v>AV</v>
          </cell>
          <cell r="R945" t="str">
            <v>OEM</v>
          </cell>
        </row>
        <row r="946">
          <cell r="F946" t="str">
            <v>AHME01S545</v>
          </cell>
          <cell r="G946" t="str">
            <v>STAR IMPEX</v>
          </cell>
          <cell r="H946" t="str">
            <v>25-26</v>
          </cell>
          <cell r="I946" t="str">
            <v>-</v>
          </cell>
          <cell r="J946" t="str">
            <v>Domestic</v>
          </cell>
          <cell r="K946" t="str">
            <v>OTHERS</v>
          </cell>
          <cell r="L946" t="str">
            <v>Non-Sugar</v>
          </cell>
          <cell r="M946" t="str">
            <v>Merchant Exporter</v>
          </cell>
          <cell r="O946" t="str">
            <v>-</v>
          </cell>
          <cell r="P946" t="str">
            <v>NI</v>
          </cell>
          <cell r="Q946" t="str">
            <v>AKSHAY AWASTHI</v>
          </cell>
          <cell r="S946" t="str">
            <v>NA</v>
          </cell>
        </row>
        <row r="947">
          <cell r="F947" t="str">
            <v>BULA01S579</v>
          </cell>
          <cell r="G947" t="str">
            <v>STEAG ENERGY SERVICES (INDIA) PVT LTD</v>
          </cell>
          <cell r="H947" t="str">
            <v>-</v>
          </cell>
          <cell r="J947" t="str">
            <v>Domestic</v>
          </cell>
          <cell r="P947" t="str">
            <v>HO</v>
          </cell>
          <cell r="Q947" t="str">
            <v>HIMANSHU KUSHWAHA</v>
          </cell>
        </row>
        <row r="948">
          <cell r="F948" t="str">
            <v>AJME01S263</v>
          </cell>
          <cell r="G948" t="str">
            <v>STONEX INDIA PVT LTD</v>
          </cell>
          <cell r="H948" t="str">
            <v>19-20</v>
          </cell>
          <cell r="I948" t="str">
            <v>-</v>
          </cell>
          <cell r="J948" t="str">
            <v>Domestic</v>
          </cell>
          <cell r="K948" t="str">
            <v>Other</v>
          </cell>
          <cell r="L948" t="str">
            <v>Non-Sugar</v>
          </cell>
          <cell r="M948" t="str">
            <v>End User</v>
          </cell>
          <cell r="O948" t="str">
            <v>-</v>
          </cell>
          <cell r="P948" t="str">
            <v>NI</v>
          </cell>
          <cell r="Q948" t="str">
            <v>HIMANSHU KUSHWAHA</v>
          </cell>
          <cell r="R948" t="str">
            <v>AMRESH VERMA</v>
          </cell>
          <cell r="S948" t="str">
            <v>https://share.google/tAL64X2fIFr1bFoNL</v>
          </cell>
          <cell r="T948" t="str">
            <v>HARYANA + RAJASTHAN</v>
          </cell>
          <cell r="U948" t="str">
            <v>25-26</v>
          </cell>
          <cell r="W948" t="str">
            <v>12-01-2026
28-06-2025
12/3/2024</v>
          </cell>
        </row>
        <row r="949">
          <cell r="F949" t="str">
            <v>AGRA01S443</v>
          </cell>
          <cell r="G949" t="str">
            <v>STP LIMITED(BERGER GROUP COMPANY)</v>
          </cell>
          <cell r="H949" t="str">
            <v>23-24</v>
          </cell>
          <cell r="I949" t="str">
            <v>-</v>
          </cell>
          <cell r="J949" t="str">
            <v>Domestic</v>
          </cell>
          <cell r="K949" t="str">
            <v>CHEMICAL/Paint</v>
          </cell>
          <cell r="L949" t="str">
            <v>Non-Sugar</v>
          </cell>
          <cell r="M949" t="str">
            <v>End User</v>
          </cell>
          <cell r="O949" t="str">
            <v>-</v>
          </cell>
          <cell r="P949" t="str">
            <v>NI</v>
          </cell>
          <cell r="Q949" t="str">
            <v>AVIRAL SHUKLA</v>
          </cell>
          <cell r="S949" t="str">
            <v>https://maps.app.goo.gl/JXvXjmqnhPVwcFwW7</v>
          </cell>
          <cell r="T949" t="str">
            <v>Delhi-NCR tour</v>
          </cell>
          <cell r="U949" t="str">
            <v>25-26</v>
          </cell>
          <cell r="W949" t="str">
            <v>15-10-2025
6/1/2024</v>
          </cell>
        </row>
        <row r="950">
          <cell r="F950" t="str">
            <v>DHAM01S094</v>
          </cell>
          <cell r="G950" t="str">
            <v>SUBRAMANIYA SIVA CO-OPERATIVE- SUGAR MILLS LTD.</v>
          </cell>
          <cell r="H950">
            <v>2013</v>
          </cell>
          <cell r="I950" t="str">
            <v>-</v>
          </cell>
          <cell r="J950" t="str">
            <v>Domestic</v>
          </cell>
          <cell r="K950" t="str">
            <v>Sugar</v>
          </cell>
          <cell r="L950" t="str">
            <v>Sugar</v>
          </cell>
          <cell r="M950" t="str">
            <v>End User</v>
          </cell>
          <cell r="N950" t="str">
            <v>(0-5000)</v>
          </cell>
          <cell r="O950">
            <v>2500</v>
          </cell>
          <cell r="P950" t="str">
            <v>SI-GS</v>
          </cell>
          <cell r="Q950" t="str">
            <v>SI-GS</v>
          </cell>
          <cell r="W950" t="str">
            <v>-</v>
          </cell>
        </row>
        <row r="951">
          <cell r="F951" t="str">
            <v>PUNE01S417</v>
          </cell>
          <cell r="G951" t="str">
            <v>SUCROMAX ENGINEERING INDIA PVT. LTD.</v>
          </cell>
          <cell r="H951" t="str">
            <v>23-24</v>
          </cell>
          <cell r="I951" t="str">
            <v>-</v>
          </cell>
          <cell r="J951" t="str">
            <v>Domestic</v>
          </cell>
          <cell r="K951" t="str">
            <v>Sugar</v>
          </cell>
          <cell r="L951" t="str">
            <v>Sugar</v>
          </cell>
          <cell r="M951" t="str">
            <v>OEM</v>
          </cell>
          <cell r="O951" t="str">
            <v>-</v>
          </cell>
          <cell r="P951" t="str">
            <v>AV</v>
          </cell>
          <cell r="Q951" t="str">
            <v>AV</v>
          </cell>
          <cell r="R951" t="str">
            <v>OEM</v>
          </cell>
          <cell r="T951" t="str">
            <v>-</v>
          </cell>
          <cell r="W951" t="str">
            <v>-</v>
          </cell>
        </row>
        <row r="952">
          <cell r="F952" t="str">
            <v>KISM01S300</v>
          </cell>
          <cell r="G952" t="str">
            <v>SUCROTECH (K) LIMITED</v>
          </cell>
          <cell r="H952" t="str">
            <v>22-23</v>
          </cell>
          <cell r="I952" t="str">
            <v>-</v>
          </cell>
          <cell r="J952" t="str">
            <v>Export</v>
          </cell>
          <cell r="K952" t="str">
            <v>Sugar</v>
          </cell>
          <cell r="L952" t="str">
            <v>Sugar</v>
          </cell>
          <cell r="M952" t="str">
            <v>Trader</v>
          </cell>
          <cell r="O952" t="str">
            <v>-</v>
          </cell>
          <cell r="P952" t="str">
            <v>NI</v>
          </cell>
          <cell r="Q952" t="str">
            <v>AKSHAY AWASTHI</v>
          </cell>
          <cell r="T952" t="str">
            <v>-</v>
          </cell>
          <cell r="U952" t="str">
            <v>-</v>
          </cell>
        </row>
        <row r="953">
          <cell r="F953" t="str">
            <v>PUNE01S095</v>
          </cell>
          <cell r="G953" t="str">
            <v>SUCROTECH EQUIPMENTS</v>
          </cell>
          <cell r="H953">
            <v>2013</v>
          </cell>
          <cell r="J953" t="str">
            <v>Domestic</v>
          </cell>
          <cell r="K953" t="str">
            <v>Sugar</v>
          </cell>
          <cell r="L953" t="str">
            <v>Sugar</v>
          </cell>
          <cell r="M953" t="str">
            <v>OEM</v>
          </cell>
          <cell r="O953" t="str">
            <v>-</v>
          </cell>
          <cell r="P953" t="str">
            <v>AV</v>
          </cell>
          <cell r="Q953" t="str">
            <v>AV</v>
          </cell>
          <cell r="R953" t="str">
            <v>OEM</v>
          </cell>
          <cell r="T953" t="str">
            <v>VISIT NOT REQUIRED</v>
          </cell>
          <cell r="W953" t="str">
            <v>-</v>
          </cell>
        </row>
        <row r="954">
          <cell r="F954" t="str">
            <v>PUNE01S366</v>
          </cell>
          <cell r="G954" t="str">
            <v>SUGAR MAX ENGINEERING TECHNOLOGIES</v>
          </cell>
          <cell r="H954" t="str">
            <v>25-26</v>
          </cell>
          <cell r="I954" t="str">
            <v>-</v>
          </cell>
          <cell r="J954" t="str">
            <v>Domestic</v>
          </cell>
          <cell r="L954" t="str">
            <v>Non-Sugar</v>
          </cell>
          <cell r="M954" t="str">
            <v>OEM</v>
          </cell>
          <cell r="P954" t="str">
            <v>WI-SV</v>
          </cell>
          <cell r="Q954" t="str">
            <v>SUDHIR</v>
          </cell>
          <cell r="U954" t="str">
            <v>25-26</v>
          </cell>
          <cell r="W954">
            <v>46296</v>
          </cell>
        </row>
        <row r="955">
          <cell r="F955" t="str">
            <v>GHZB01S386</v>
          </cell>
          <cell r="G955" t="str">
            <v>SUGARNPOWER PROJECTS PRIVATE LIMITED</v>
          </cell>
          <cell r="H955" t="str">
            <v>24-25</v>
          </cell>
          <cell r="I955" t="str">
            <v>-</v>
          </cell>
          <cell r="J955" t="str">
            <v>Domestic</v>
          </cell>
          <cell r="K955" t="str">
            <v>Sugar</v>
          </cell>
          <cell r="L955" t="str">
            <v>Sugar</v>
          </cell>
          <cell r="M955" t="str">
            <v>Trader</v>
          </cell>
          <cell r="O955" t="str">
            <v>-</v>
          </cell>
          <cell r="P955" t="str">
            <v>NI</v>
          </cell>
          <cell r="Q955" t="str">
            <v>AVIRAL SHUKLA</v>
          </cell>
          <cell r="T955" t="str">
            <v>-</v>
          </cell>
          <cell r="U955" t="str">
            <v>-</v>
          </cell>
          <cell r="W955" t="str">
            <v>-</v>
          </cell>
        </row>
        <row r="956">
          <cell r="F956" t="str">
            <v>NDHI01S228</v>
          </cell>
          <cell r="G956" t="str">
            <v>SUKARI INDUSTRIES LTD</v>
          </cell>
          <cell r="H956">
            <v>2017</v>
          </cell>
          <cell r="I956" t="str">
            <v>-</v>
          </cell>
          <cell r="J956" t="str">
            <v>Export</v>
          </cell>
          <cell r="K956" t="str">
            <v>Sugar</v>
          </cell>
          <cell r="L956" t="str">
            <v>Sugar</v>
          </cell>
          <cell r="M956" t="str">
            <v>End User</v>
          </cell>
          <cell r="N956" t="str">
            <v>(0-5000)</v>
          </cell>
          <cell r="O956">
            <v>4500</v>
          </cell>
          <cell r="P956" t="str">
            <v>NI</v>
          </cell>
          <cell r="Q956" t="str">
            <v>AKSHAY AWASTHI</v>
          </cell>
          <cell r="T956" t="str">
            <v>Kenya tour</v>
          </cell>
          <cell r="U956" t="str">
            <v>24-25</v>
          </cell>
          <cell r="W956">
            <v>45467</v>
          </cell>
        </row>
        <row r="957">
          <cell r="F957" t="str">
            <v>PUND01S553</v>
          </cell>
          <cell r="G957" t="str">
            <v>SUMUKHA HITECH PRODUCTS</v>
          </cell>
          <cell r="H957" t="str">
            <v>-</v>
          </cell>
          <cell r="J957" t="str">
            <v>Domestic</v>
          </cell>
          <cell r="P957" t="str">
            <v>SI-SIVA</v>
          </cell>
          <cell r="Q957" t="str">
            <v>M SIVA</v>
          </cell>
        </row>
        <row r="958">
          <cell r="F958" t="str">
            <v>TAPI01S360</v>
          </cell>
          <cell r="G958" t="str">
            <v>SUMUL CATTLE FEED PLANT</v>
          </cell>
          <cell r="H958" t="str">
            <v>-</v>
          </cell>
          <cell r="I958" t="str">
            <v>-</v>
          </cell>
          <cell r="J958" t="str">
            <v>Domestic</v>
          </cell>
          <cell r="K958" t="str">
            <v>Cattlefeed</v>
          </cell>
          <cell r="L958" t="str">
            <v>Non-Sugar</v>
          </cell>
          <cell r="M958" t="str">
            <v>End User</v>
          </cell>
          <cell r="O958" t="str">
            <v>-</v>
          </cell>
          <cell r="P958" t="str">
            <v>NI</v>
          </cell>
          <cell r="Q958" t="str">
            <v>AKSHAY AWASTHI</v>
          </cell>
          <cell r="T958" t="str">
            <v>-</v>
          </cell>
          <cell r="U958" t="str">
            <v>25-26</v>
          </cell>
          <cell r="W958" t="str">
            <v>17-11-2025
06-04-2024</v>
          </cell>
        </row>
        <row r="959">
          <cell r="F959" t="str">
            <v>SHAM01S176</v>
          </cell>
          <cell r="G959" t="str">
            <v>SUPERIOR FOOD GRAINS PVT. LTD.</v>
          </cell>
          <cell r="H959">
            <v>2015</v>
          </cell>
          <cell r="I959" t="str">
            <v>-</v>
          </cell>
          <cell r="J959" t="str">
            <v>Domestic</v>
          </cell>
          <cell r="K959" t="str">
            <v>Sugar</v>
          </cell>
          <cell r="L959" t="str">
            <v>Sugar</v>
          </cell>
          <cell r="M959" t="str">
            <v>End User</v>
          </cell>
          <cell r="N959" t="str">
            <v>(5001-9000)</v>
          </cell>
          <cell r="O959">
            <v>7200</v>
          </cell>
          <cell r="P959" t="str">
            <v>NI</v>
          </cell>
          <cell r="Q959" t="str">
            <v>AKSHAY AWASTHI</v>
          </cell>
          <cell r="T959" t="str">
            <v>-</v>
          </cell>
          <cell r="U959" t="str">
            <v>21-22</v>
          </cell>
          <cell r="W959" t="str">
            <v>29-06-2021
25-02-2020</v>
          </cell>
        </row>
        <row r="960">
          <cell r="F960" t="str">
            <v>SURA01S434</v>
          </cell>
          <cell r="G960" t="str">
            <v>SURAT-TAPI DISTRICT CO-OPERATIVE MILK PRODUCERS UNION LTD</v>
          </cell>
          <cell r="H960" t="str">
            <v>23-24</v>
          </cell>
          <cell r="I960" t="str">
            <v>-</v>
          </cell>
          <cell r="J960" t="str">
            <v>Domestic</v>
          </cell>
          <cell r="K960" t="str">
            <v>Dairy</v>
          </cell>
          <cell r="L960" t="str">
            <v>Non-Sugar</v>
          </cell>
          <cell r="M960" t="str">
            <v>End User</v>
          </cell>
          <cell r="O960" t="str">
            <v>-</v>
          </cell>
          <cell r="P960" t="str">
            <v>NI</v>
          </cell>
          <cell r="Q960" t="str">
            <v>AKSHAY AWASTHI</v>
          </cell>
          <cell r="T960" t="str">
            <v>-</v>
          </cell>
          <cell r="U960" t="str">
            <v>-</v>
          </cell>
        </row>
        <row r="961">
          <cell r="F961" t="str">
            <v>PUNE01S539</v>
          </cell>
          <cell r="G961" t="str">
            <v>SURYAMANGAL ENTERPRISES</v>
          </cell>
          <cell r="H961" t="str">
            <v>25-26</v>
          </cell>
          <cell r="I961" t="str">
            <v>-</v>
          </cell>
          <cell r="J961" t="str">
            <v>Domestic</v>
          </cell>
          <cell r="L961" t="str">
            <v>Non-Sugar</v>
          </cell>
          <cell r="M961" t="str">
            <v>OEM</v>
          </cell>
          <cell r="P961" t="str">
            <v>WI-SV</v>
          </cell>
          <cell r="Q961" t="str">
            <v>SUDHIR</v>
          </cell>
        </row>
        <row r="962">
          <cell r="F962" t="str">
            <v>BANK01S270</v>
          </cell>
          <cell r="G962" t="str">
            <v>SUTECH ENGINEERING CO. LTD</v>
          </cell>
          <cell r="H962" t="str">
            <v>20-21</v>
          </cell>
          <cell r="I962" t="str">
            <v>-</v>
          </cell>
          <cell r="J962" t="str">
            <v>Export</v>
          </cell>
          <cell r="K962" t="str">
            <v>Sugar</v>
          </cell>
          <cell r="L962" t="str">
            <v>Sugar</v>
          </cell>
          <cell r="M962" t="str">
            <v>OEM</v>
          </cell>
          <cell r="O962" t="str">
            <v>-</v>
          </cell>
          <cell r="P962" t="str">
            <v>VA-SS</v>
          </cell>
          <cell r="Q962" t="str">
            <v>SHIVANU SHUKLA</v>
          </cell>
          <cell r="S962" t="str">
            <v>https://share.google/4JWkFJAJCRqQJxBLU</v>
          </cell>
          <cell r="T962" t="str">
            <v>-</v>
          </cell>
          <cell r="U962" t="str">
            <v>-</v>
          </cell>
          <cell r="W962" t="str">
            <v>-</v>
          </cell>
        </row>
        <row r="963">
          <cell r="F963" t="str">
            <v>AHMD01S115</v>
          </cell>
          <cell r="G963" t="str">
            <v>SUVIRON EQUIPMENTS PVT. LTD.</v>
          </cell>
          <cell r="H963" t="str">
            <v>23-24</v>
          </cell>
          <cell r="I963" t="str">
            <v>-</v>
          </cell>
          <cell r="J963" t="str">
            <v>Domestic</v>
          </cell>
          <cell r="K963" t="str">
            <v>Sugar</v>
          </cell>
          <cell r="L963" t="str">
            <v>Sugar</v>
          </cell>
          <cell r="M963" t="str">
            <v>OEM</v>
          </cell>
          <cell r="O963" t="str">
            <v>-</v>
          </cell>
          <cell r="P963" t="str">
            <v>NI</v>
          </cell>
          <cell r="Q963" t="str">
            <v>HIMANSHU KUSHWAHA</v>
          </cell>
          <cell r="S963" t="str">
            <v>https://share.google/ZY0V2lvVdL96Kcfm0</v>
          </cell>
          <cell r="T963" t="str">
            <v>PUNE</v>
          </cell>
          <cell r="U963" t="str">
            <v>25-26</v>
          </cell>
          <cell r="W963">
            <v>46083</v>
          </cell>
        </row>
        <row r="964">
          <cell r="F964" t="str">
            <v>HYDE01S316</v>
          </cell>
          <cell r="G964" t="str">
            <v>SUZALKEM TECHNOLOGIES PVT. LTD.</v>
          </cell>
          <cell r="H964" t="str">
            <v>22-23</v>
          </cell>
          <cell r="I964" t="str">
            <v>-</v>
          </cell>
          <cell r="J964" t="str">
            <v>Domestic</v>
          </cell>
          <cell r="K964" t="str">
            <v>OTHERS</v>
          </cell>
          <cell r="L964" t="str">
            <v>Non-Sugar</v>
          </cell>
          <cell r="M964" t="str">
            <v>OEM</v>
          </cell>
          <cell r="O964" t="str">
            <v>-</v>
          </cell>
          <cell r="P964" t="str">
            <v>NI</v>
          </cell>
          <cell r="Q964" t="str">
            <v>HIMANSHU KUSHWAHA</v>
          </cell>
          <cell r="T964" t="str">
            <v>-</v>
          </cell>
          <cell r="U964" t="str">
            <v>-</v>
          </cell>
          <cell r="W964" t="str">
            <v>-</v>
          </cell>
        </row>
        <row r="965">
          <cell r="F965" t="str">
            <v>AHMD01S433</v>
          </cell>
          <cell r="G965" t="str">
            <v>SWAMI SAMARTH SUGAR &amp; AGRO INDUSTRIES LTD</v>
          </cell>
          <cell r="H965" t="str">
            <v>-</v>
          </cell>
          <cell r="I965" t="str">
            <v>-</v>
          </cell>
          <cell r="J965" t="str">
            <v>Domestic</v>
          </cell>
          <cell r="K965" t="str">
            <v>Sugar</v>
          </cell>
          <cell r="L965" t="str">
            <v>Sugar</v>
          </cell>
          <cell r="M965" t="str">
            <v>End User</v>
          </cell>
          <cell r="N965" t="str">
            <v>(0-5000)</v>
          </cell>
          <cell r="O965">
            <v>4000</v>
          </cell>
          <cell r="P965" t="str">
            <v>AV</v>
          </cell>
          <cell r="Q965" t="str">
            <v>AV</v>
          </cell>
          <cell r="R965" t="str">
            <v>PD</v>
          </cell>
          <cell r="S965" t="str">
            <v>https://share.google/eeakGwaIu9jwhagqG</v>
          </cell>
          <cell r="T965" t="str">
            <v>Ahmednagar - 1</v>
          </cell>
          <cell r="U965" t="str">
            <v>25-26</v>
          </cell>
          <cell r="W965">
            <v>45982</v>
          </cell>
        </row>
        <row r="966">
          <cell r="F966" t="str">
            <v>SATA01S161</v>
          </cell>
          <cell r="G966" t="str">
            <v>SWARAJ GREEN POWER AND FUEL LTD.</v>
          </cell>
          <cell r="H966">
            <v>2018</v>
          </cell>
          <cell r="I966" t="str">
            <v>-</v>
          </cell>
          <cell r="J966" t="str">
            <v>Domestic</v>
          </cell>
          <cell r="K966" t="str">
            <v>Sugar</v>
          </cell>
          <cell r="L966" t="str">
            <v>Sugar</v>
          </cell>
          <cell r="M966" t="str">
            <v>End User</v>
          </cell>
          <cell r="N966" t="str">
            <v>(0-5000)</v>
          </cell>
          <cell r="O966">
            <v>5000</v>
          </cell>
          <cell r="P966" t="str">
            <v>AV</v>
          </cell>
          <cell r="Q966" t="str">
            <v>AV</v>
          </cell>
          <cell r="R966" t="str">
            <v>PD</v>
          </cell>
          <cell r="S966" t="str">
            <v>https://maps.app.goo.gl/7nUJfJKU2YoFi3p69</v>
          </cell>
          <cell r="T966" t="str">
            <v>Satara - 2</v>
          </cell>
          <cell r="U966" t="str">
            <v>22-23</v>
          </cell>
          <cell r="W966" t="str">
            <v>09-01-2023 (Vishal)</v>
          </cell>
        </row>
        <row r="967">
          <cell r="F967" t="str">
            <v>PANI01S280</v>
          </cell>
          <cell r="G967" t="str">
            <v>SWASTIK ENTERPRISES</v>
          </cell>
          <cell r="H967" t="str">
            <v>20-21</v>
          </cell>
          <cell r="I967" t="str">
            <v>-</v>
          </cell>
          <cell r="J967" t="str">
            <v>Domestic</v>
          </cell>
          <cell r="K967" t="str">
            <v>Other</v>
          </cell>
          <cell r="L967" t="str">
            <v>Non-Sugar</v>
          </cell>
          <cell r="M967" t="str">
            <v>Trader</v>
          </cell>
          <cell r="O967" t="str">
            <v>-</v>
          </cell>
          <cell r="P967" t="str">
            <v>NI</v>
          </cell>
          <cell r="Q967" t="str">
            <v>AVIRAL SHUKLA</v>
          </cell>
          <cell r="T967" t="str">
            <v>-</v>
          </cell>
          <cell r="U967" t="str">
            <v>-</v>
          </cell>
          <cell r="W967" t="str">
            <v>-</v>
          </cell>
        </row>
        <row r="968">
          <cell r="F968" t="str">
            <v>GAND01S097</v>
          </cell>
          <cell r="G968" t="str">
            <v>SYNERGY AGRO-TECH PVT. LTD</v>
          </cell>
          <cell r="H968">
            <v>2013</v>
          </cell>
          <cell r="I968" t="str">
            <v>-</v>
          </cell>
          <cell r="J968" t="str">
            <v>Domestic</v>
          </cell>
          <cell r="K968" t="str">
            <v>OTHERS</v>
          </cell>
          <cell r="L968" t="str">
            <v>Non-Sugar</v>
          </cell>
          <cell r="M968" t="str">
            <v>End User</v>
          </cell>
          <cell r="O968" t="str">
            <v>-</v>
          </cell>
          <cell r="P968" t="str">
            <v>NI</v>
          </cell>
          <cell r="Q968" t="str">
            <v>AVIRAL SHUKLA</v>
          </cell>
          <cell r="T968" t="str">
            <v>-</v>
          </cell>
          <cell r="U968" t="str">
            <v>-</v>
          </cell>
        </row>
        <row r="969">
          <cell r="F969" t="str">
            <v>KOLH01S288</v>
          </cell>
          <cell r="G969" t="str">
            <v>SYNERGY TECHNOCRATS</v>
          </cell>
          <cell r="H969" t="str">
            <v>21-22</v>
          </cell>
          <cell r="I969" t="str">
            <v>-</v>
          </cell>
          <cell r="J969" t="str">
            <v>Domestic</v>
          </cell>
          <cell r="K969" t="str">
            <v>OTHERS</v>
          </cell>
          <cell r="L969" t="str">
            <v>Non-Sugar</v>
          </cell>
          <cell r="M969" t="str">
            <v>Trader</v>
          </cell>
          <cell r="O969" t="str">
            <v>-</v>
          </cell>
          <cell r="P969" t="str">
            <v>NI</v>
          </cell>
          <cell r="Q969" t="str">
            <v>AVIRAL SHUKLA</v>
          </cell>
          <cell r="T969" t="str">
            <v>-</v>
          </cell>
          <cell r="U969" t="str">
            <v>-</v>
          </cell>
        </row>
        <row r="970">
          <cell r="F970" t="str">
            <v>VILL01T181</v>
          </cell>
          <cell r="G970" t="str">
            <v>TAMIL INDUSTRIES</v>
          </cell>
          <cell r="H970" t="str">
            <v>-</v>
          </cell>
          <cell r="J970" t="str">
            <v>Domestic</v>
          </cell>
          <cell r="P970" t="str">
            <v>-</v>
          </cell>
          <cell r="Q970" t="str">
            <v>-</v>
          </cell>
        </row>
        <row r="971">
          <cell r="F971" t="str">
            <v>BETU01T137</v>
          </cell>
          <cell r="G971" t="str">
            <v>TAPTI /AMLA AGRO INDUSTRIES</v>
          </cell>
          <cell r="H971" t="str">
            <v>20-21</v>
          </cell>
          <cell r="I971" t="str">
            <v>-</v>
          </cell>
          <cell r="J971" t="str">
            <v>Domestic</v>
          </cell>
          <cell r="K971" t="str">
            <v>Sugar</v>
          </cell>
          <cell r="L971" t="str">
            <v>Sugar</v>
          </cell>
          <cell r="M971" t="str">
            <v>End User</v>
          </cell>
          <cell r="N971" t="str">
            <v>(0-5000)</v>
          </cell>
          <cell r="O971" t="str">
            <v>2500
3200</v>
          </cell>
          <cell r="P971" t="str">
            <v>NI</v>
          </cell>
          <cell r="Q971" t="str">
            <v>HIMANSHU KUSHWAHA</v>
          </cell>
          <cell r="T971" t="str">
            <v>M.P-3</v>
          </cell>
          <cell r="U971" t="str">
            <v>25-26</v>
          </cell>
          <cell r="W971" t="str">
            <v>14-1-2026
13-05-2025
31-05-2024
28-02-2024</v>
          </cell>
        </row>
        <row r="972">
          <cell r="F972" t="str">
            <v>DHAN01T203</v>
          </cell>
          <cell r="G972" t="str">
            <v>TARAI INFOSYS</v>
          </cell>
          <cell r="H972" t="str">
            <v>25-26</v>
          </cell>
          <cell r="I972" t="str">
            <v>-</v>
          </cell>
          <cell r="J972" t="str">
            <v>Domestic</v>
          </cell>
          <cell r="K972" t="str">
            <v>OTHERS</v>
          </cell>
          <cell r="L972" t="str">
            <v>Non-Sugar</v>
          </cell>
          <cell r="M972" t="str">
            <v>End User</v>
          </cell>
          <cell r="O972" t="str">
            <v>-</v>
          </cell>
          <cell r="P972" t="str">
            <v>NI</v>
          </cell>
          <cell r="Q972" t="str">
            <v>AVIRAL SHUKLA</v>
          </cell>
        </row>
        <row r="973">
          <cell r="F973" t="str">
            <v>THAN01T004</v>
          </cell>
          <cell r="G973" t="str">
            <v>TECHNOCRAFT INDUSTRIES (INDIA) LTD.</v>
          </cell>
          <cell r="H973" t="str">
            <v>-</v>
          </cell>
          <cell r="I973" t="str">
            <v>-</v>
          </cell>
          <cell r="J973" t="str">
            <v>Domestic</v>
          </cell>
          <cell r="K973" t="str">
            <v>OTHERS</v>
          </cell>
          <cell r="L973" t="str">
            <v>Non-Sugar</v>
          </cell>
          <cell r="M973" t="str">
            <v>End User</v>
          </cell>
          <cell r="O973" t="str">
            <v>-</v>
          </cell>
          <cell r="P973" t="str">
            <v>NI</v>
          </cell>
          <cell r="Q973" t="str">
            <v>AVIRAL SHUKLA</v>
          </cell>
        </row>
        <row r="974">
          <cell r="F974" t="str">
            <v>THAN01T002</v>
          </cell>
          <cell r="G974" t="str">
            <v>TECHNOCRAFT INDUSTRIES (INDIA) LTD.</v>
          </cell>
          <cell r="H974">
            <v>2013</v>
          </cell>
          <cell r="I974" t="str">
            <v>-</v>
          </cell>
          <cell r="J974" t="str">
            <v>Domestic</v>
          </cell>
          <cell r="K974" t="str">
            <v>OTHERS</v>
          </cell>
          <cell r="L974" t="str">
            <v>Non-Sugar</v>
          </cell>
          <cell r="M974" t="str">
            <v>End User</v>
          </cell>
          <cell r="O974" t="str">
            <v>-</v>
          </cell>
          <cell r="P974" t="str">
            <v>NI</v>
          </cell>
          <cell r="Q974" t="str">
            <v>AVIRAL SHUKLA</v>
          </cell>
          <cell r="T974" t="str">
            <v>-</v>
          </cell>
          <cell r="U974" t="str">
            <v>-</v>
          </cell>
          <cell r="W974" t="str">
            <v>-</v>
          </cell>
        </row>
        <row r="975">
          <cell r="F975" t="str">
            <v>THAN01T003</v>
          </cell>
          <cell r="G975" t="str">
            <v>TECHNOCRAFT INDUSTRIES (INDIA) LTD.</v>
          </cell>
          <cell r="H975" t="str">
            <v>-</v>
          </cell>
          <cell r="I975" t="str">
            <v>-</v>
          </cell>
          <cell r="J975" t="str">
            <v>Domestic</v>
          </cell>
          <cell r="K975" t="str">
            <v>OTHERS</v>
          </cell>
          <cell r="L975" t="str">
            <v>Non-Sugar</v>
          </cell>
          <cell r="M975" t="str">
            <v>End User</v>
          </cell>
          <cell r="O975" t="str">
            <v>-</v>
          </cell>
          <cell r="P975" t="str">
            <v>NI</v>
          </cell>
          <cell r="Q975" t="str">
            <v>AVIRAL SHUKLA</v>
          </cell>
        </row>
        <row r="976">
          <cell r="F976" t="str">
            <v>NODA01T131</v>
          </cell>
          <cell r="G976" t="str">
            <v>TECHSERVE CO. LTD (RENAMED TO SUTECH)</v>
          </cell>
          <cell r="H976">
            <v>2018</v>
          </cell>
          <cell r="I976" t="str">
            <v>-</v>
          </cell>
          <cell r="J976" t="str">
            <v>Export</v>
          </cell>
          <cell r="K976" t="str">
            <v>OTHERS</v>
          </cell>
          <cell r="L976" t="str">
            <v>Non-Sugar</v>
          </cell>
          <cell r="M976" t="str">
            <v>OEM</v>
          </cell>
          <cell r="O976" t="str">
            <v>-</v>
          </cell>
          <cell r="P976" t="str">
            <v>VA</v>
          </cell>
          <cell r="Q976" t="str">
            <v>-</v>
          </cell>
          <cell r="T976" t="str">
            <v>-</v>
          </cell>
          <cell r="U976" t="str">
            <v>-</v>
          </cell>
        </row>
        <row r="977">
          <cell r="F977" t="str">
            <v>PUNE01T171</v>
          </cell>
          <cell r="G977" t="str">
            <v>TERRAVISTA SOLUTIONS PVT LTD</v>
          </cell>
          <cell r="H977" t="str">
            <v>23-24</v>
          </cell>
          <cell r="I977" t="str">
            <v>-</v>
          </cell>
          <cell r="J977" t="str">
            <v>Domestic</v>
          </cell>
          <cell r="K977" t="str">
            <v>Sugar</v>
          </cell>
          <cell r="L977" t="str">
            <v>Sugar</v>
          </cell>
          <cell r="M977" t="str">
            <v>OEM</v>
          </cell>
          <cell r="O977" t="str">
            <v>-</v>
          </cell>
          <cell r="P977" t="str">
            <v>AV</v>
          </cell>
          <cell r="Q977" t="str">
            <v>AV</v>
          </cell>
          <cell r="R977" t="str">
            <v>OEM</v>
          </cell>
          <cell r="T977" t="str">
            <v>-</v>
          </cell>
          <cell r="W977" t="str">
            <v>-</v>
          </cell>
        </row>
        <row r="978">
          <cell r="F978" t="str">
            <v>VALS01T186</v>
          </cell>
          <cell r="G978" t="str">
            <v>TEXTILE PLANET</v>
          </cell>
          <cell r="H978" t="str">
            <v>24-25</v>
          </cell>
          <cell r="I978" t="str">
            <v>-</v>
          </cell>
          <cell r="J978" t="str">
            <v>Domestic</v>
          </cell>
          <cell r="K978" t="str">
            <v>OTHERS</v>
          </cell>
          <cell r="L978" t="str">
            <v>Non-Sugar</v>
          </cell>
          <cell r="M978" t="str">
            <v>End User</v>
          </cell>
          <cell r="O978" t="str">
            <v>-</v>
          </cell>
          <cell r="P978" t="str">
            <v>NI</v>
          </cell>
          <cell r="Q978" t="str">
            <v>AVIRAL SHUKLA</v>
          </cell>
        </row>
        <row r="979">
          <cell r="F979" t="str">
            <v>BANK01T184</v>
          </cell>
          <cell r="G979" t="str">
            <v>THAI UDONTHANI SUGAR</v>
          </cell>
          <cell r="H979" t="str">
            <v>-</v>
          </cell>
          <cell r="I979" t="str">
            <v>-</v>
          </cell>
          <cell r="J979" t="str">
            <v>Export</v>
          </cell>
          <cell r="K979" t="str">
            <v>Sugar</v>
          </cell>
          <cell r="L979" t="str">
            <v>Sugar</v>
          </cell>
          <cell r="M979" t="str">
            <v>End User</v>
          </cell>
          <cell r="O979" t="str">
            <v>-</v>
          </cell>
          <cell r="P979" t="str">
            <v>VA-SS</v>
          </cell>
          <cell r="Q979" t="str">
            <v>SHIVANU SHUKLA</v>
          </cell>
          <cell r="S979" t="str">
            <v>NA</v>
          </cell>
        </row>
        <row r="980">
          <cell r="F980" t="str">
            <v>FAZI01T092</v>
          </cell>
          <cell r="G980" t="str">
            <v>THE FAZILKA CO-OP. SUGAR MILLS LTD</v>
          </cell>
          <cell r="H980">
            <v>2014</v>
          </cell>
          <cell r="I980" t="str">
            <v>-</v>
          </cell>
          <cell r="J980" t="str">
            <v>Domestic</v>
          </cell>
          <cell r="K980" t="str">
            <v>Sugar</v>
          </cell>
          <cell r="L980" t="str">
            <v>Sugar</v>
          </cell>
          <cell r="M980" t="str">
            <v>End User</v>
          </cell>
          <cell r="N980" t="str">
            <v>(0-5000)</v>
          </cell>
          <cell r="O980">
            <v>5000</v>
          </cell>
          <cell r="P980" t="str">
            <v>NI</v>
          </cell>
          <cell r="Q980" t="str">
            <v>AKSHAY AWASTHI</v>
          </cell>
          <cell r="T980" t="str">
            <v>-</v>
          </cell>
          <cell r="U980" t="str">
            <v>19-20</v>
          </cell>
          <cell r="W980" t="str">
            <v>21-05-2019</v>
          </cell>
        </row>
        <row r="981">
          <cell r="F981" t="str">
            <v>AMRI01T006</v>
          </cell>
          <cell r="G981" t="str">
            <v>THE AJNALA CO-OPERATIVE SUGAR MILLS LTD.</v>
          </cell>
          <cell r="H981">
            <v>2013</v>
          </cell>
          <cell r="I981" t="str">
            <v>-</v>
          </cell>
          <cell r="J981" t="str">
            <v>Domestic</v>
          </cell>
          <cell r="K981" t="str">
            <v>Sugar</v>
          </cell>
          <cell r="L981" t="str">
            <v>Sugar</v>
          </cell>
          <cell r="M981" t="str">
            <v>End User</v>
          </cell>
          <cell r="N981" t="str">
            <v>(0-5000)</v>
          </cell>
          <cell r="O981">
            <v>2500</v>
          </cell>
          <cell r="P981" t="str">
            <v>NI</v>
          </cell>
          <cell r="Q981" t="str">
            <v>AKSHAY AWASTHI</v>
          </cell>
          <cell r="S981" t="str">
            <v>https://share.google/UzOErmGwm0nb3VQSi</v>
          </cell>
          <cell r="T981" t="str">
            <v>HARYANA + PUNJAB</v>
          </cell>
          <cell r="U981" t="str">
            <v>25-26</v>
          </cell>
          <cell r="W981" t="str">
            <v>30-12-2025
14-07-2025
03-02-2025
05-04-2024</v>
          </cell>
        </row>
        <row r="982">
          <cell r="F982" t="str">
            <v>COIM01T007</v>
          </cell>
          <cell r="G982" t="str">
            <v>THE AMARAVATHI CO-OPERATIVE SUGAR MILLS LTD.</v>
          </cell>
          <cell r="H982">
            <v>2015</v>
          </cell>
          <cell r="I982" t="str">
            <v>-</v>
          </cell>
          <cell r="J982" t="str">
            <v>Domestic</v>
          </cell>
          <cell r="K982" t="str">
            <v>Sugar</v>
          </cell>
          <cell r="L982" t="str">
            <v>Sugar</v>
          </cell>
          <cell r="M982" t="str">
            <v>End User</v>
          </cell>
          <cell r="N982" t="str">
            <v>(0-5000)</v>
          </cell>
          <cell r="O982">
            <v>1250</v>
          </cell>
          <cell r="P982" t="str">
            <v>SI-GS</v>
          </cell>
          <cell r="Q982" t="str">
            <v>SI-GS</v>
          </cell>
          <cell r="W982" t="str">
            <v>-</v>
          </cell>
        </row>
        <row r="983">
          <cell r="F983" t="str">
            <v>WSGO01T012</v>
          </cell>
          <cell r="G983" t="str">
            <v>THE ANDHRA SUGARS LTD</v>
          </cell>
          <cell r="H983">
            <v>2016</v>
          </cell>
          <cell r="I983" t="str">
            <v>-</v>
          </cell>
          <cell r="J983" t="str">
            <v>Domestic</v>
          </cell>
          <cell r="K983" t="str">
            <v>Sugar</v>
          </cell>
          <cell r="L983" t="str">
            <v>Sugar</v>
          </cell>
          <cell r="M983" t="str">
            <v>End User</v>
          </cell>
          <cell r="N983" t="str">
            <v>(0-5000)</v>
          </cell>
          <cell r="O983">
            <v>2500</v>
          </cell>
          <cell r="P983" t="str">
            <v>SI-GS</v>
          </cell>
          <cell r="Q983" t="str">
            <v>SI-GS</v>
          </cell>
          <cell r="W983">
            <v>45146</v>
          </cell>
        </row>
        <row r="984">
          <cell r="F984" t="str">
            <v>GANJ01T013</v>
          </cell>
          <cell r="G984" t="str">
            <v>THE ASKA CO-OPERATIVE SUGAR - INDUSTRIES LTD.</v>
          </cell>
          <cell r="H984" t="str">
            <v>-</v>
          </cell>
          <cell r="I984" t="str">
            <v>-</v>
          </cell>
          <cell r="J984" t="str">
            <v>Domestic</v>
          </cell>
          <cell r="K984" t="str">
            <v>Sugar</v>
          </cell>
          <cell r="L984" t="str">
            <v>Sugar</v>
          </cell>
          <cell r="M984" t="str">
            <v>End User</v>
          </cell>
          <cell r="N984" t="str">
            <v>(0-5000)</v>
          </cell>
          <cell r="O984">
            <v>2500</v>
          </cell>
          <cell r="P984" t="str">
            <v>SI-GS</v>
          </cell>
          <cell r="Q984" t="str">
            <v>SI-GS</v>
          </cell>
          <cell r="W984" t="str">
            <v>-</v>
          </cell>
        </row>
        <row r="985">
          <cell r="F985" t="str">
            <v>BAGH01T014</v>
          </cell>
          <cell r="G985" t="str">
            <v>THE BAGPAT CO-OPERATIVE SUGAR MILLS LTD.</v>
          </cell>
          <cell r="H985">
            <v>2017</v>
          </cell>
          <cell r="I985" t="str">
            <v>-</v>
          </cell>
          <cell r="J985" t="str">
            <v>Domestic</v>
          </cell>
          <cell r="K985" t="str">
            <v>Sugar</v>
          </cell>
          <cell r="L985" t="str">
            <v>Sugar</v>
          </cell>
          <cell r="M985" t="str">
            <v>End User</v>
          </cell>
          <cell r="N985" t="str">
            <v>(0-5000)</v>
          </cell>
          <cell r="O985">
            <v>3000</v>
          </cell>
          <cell r="P985" t="str">
            <v>NI</v>
          </cell>
          <cell r="Q985" t="str">
            <v>AKSHAY AWASTHI</v>
          </cell>
          <cell r="S985" t="str">
            <v>https://maps.app.goo.gl/QxUv29ouEU7X9XzM8</v>
          </cell>
          <cell r="T985" t="str">
            <v>-</v>
          </cell>
          <cell r="U985" t="str">
            <v>-</v>
          </cell>
          <cell r="W985" t="str">
            <v>-</v>
          </cell>
        </row>
        <row r="986">
          <cell r="F986" t="str">
            <v>BATA01T111</v>
          </cell>
          <cell r="G986" t="str">
            <v>THE BATALA CO-OP. SUGAR MILLS LTD.</v>
          </cell>
          <cell r="H986">
            <v>2015</v>
          </cell>
          <cell r="I986" t="str">
            <v>-</v>
          </cell>
          <cell r="J986" t="str">
            <v>Domestic</v>
          </cell>
          <cell r="K986" t="str">
            <v>Sugar</v>
          </cell>
          <cell r="L986" t="str">
            <v>Sugar</v>
          </cell>
          <cell r="M986" t="str">
            <v>End User</v>
          </cell>
          <cell r="N986" t="str">
            <v>(0-5000)</v>
          </cell>
          <cell r="O986">
            <v>1500</v>
          </cell>
          <cell r="P986" t="str">
            <v>NI</v>
          </cell>
          <cell r="Q986" t="str">
            <v>AKSHAY AWASTHI</v>
          </cell>
          <cell r="S986" t="str">
            <v>https://share.google/JaDMFo90LekKiodwV</v>
          </cell>
          <cell r="T986" t="str">
            <v>-</v>
          </cell>
          <cell r="U986" t="str">
            <v>25-26</v>
          </cell>
          <cell r="W986" t="str">
            <v>29-12-2025
16-7-2025
24-03-2023</v>
          </cell>
        </row>
        <row r="987">
          <cell r="F987" t="str">
            <v>BAJP01T015</v>
          </cell>
          <cell r="G987" t="str">
            <v>THE BAZPUR CO-OPERATIVE SUGAR FACTORY LTD.</v>
          </cell>
          <cell r="H987">
            <v>2014</v>
          </cell>
          <cell r="I987" t="str">
            <v>-</v>
          </cell>
          <cell r="J987" t="str">
            <v>Domestic</v>
          </cell>
          <cell r="K987" t="str">
            <v>Sugar</v>
          </cell>
          <cell r="L987" t="str">
            <v>Sugar</v>
          </cell>
          <cell r="M987" t="str">
            <v>End User</v>
          </cell>
          <cell r="N987" t="str">
            <v>(0-5000)</v>
          </cell>
          <cell r="O987">
            <v>1600</v>
          </cell>
          <cell r="P987" t="str">
            <v>NI</v>
          </cell>
          <cell r="Q987" t="str">
            <v>AKSHAY AWASTHI</v>
          </cell>
          <cell r="S987" t="str">
            <v>https://share.google/ljY6b0zaRmnPpUx6G</v>
          </cell>
          <cell r="T987" t="str">
            <v>-</v>
          </cell>
          <cell r="U987" t="str">
            <v>24-25</v>
          </cell>
          <cell r="W987" t="str">
            <v>18-01-2025
02-02-2023
29-09-2022
25-08-2021</v>
          </cell>
        </row>
        <row r="988">
          <cell r="F988" t="str">
            <v>JALA01T016</v>
          </cell>
          <cell r="G988" t="str">
            <v>THE BHOGPUR CO-OPERATIVE - SUGAR MILLS LTD</v>
          </cell>
          <cell r="H988">
            <v>2016</v>
          </cell>
          <cell r="I988" t="str">
            <v>-</v>
          </cell>
          <cell r="J988" t="str">
            <v>Domestic</v>
          </cell>
          <cell r="K988" t="str">
            <v>Sugar</v>
          </cell>
          <cell r="L988" t="str">
            <v>Sugar</v>
          </cell>
          <cell r="M988" t="str">
            <v>End User</v>
          </cell>
          <cell r="N988" t="str">
            <v>(0-5000)</v>
          </cell>
          <cell r="O988">
            <v>3500</v>
          </cell>
          <cell r="P988" t="str">
            <v>NI</v>
          </cell>
          <cell r="Q988" t="str">
            <v>AKSHAY AWASTHI</v>
          </cell>
          <cell r="T988" t="str">
            <v>-</v>
          </cell>
          <cell r="U988" t="str">
            <v>25-26</v>
          </cell>
          <cell r="W988" t="str">
            <v>24-12-2025
28-09-2024
25-03-2023
17-03-2021
18-05-2019
05-09-2019</v>
          </cell>
        </row>
        <row r="989">
          <cell r="F989" t="str">
            <v>BIDA01B073</v>
          </cell>
          <cell r="G989" t="str">
            <v>THE BIDAR KISSAN SHAKKAR KARKHANA LTD.</v>
          </cell>
          <cell r="H989">
            <v>2017</v>
          </cell>
          <cell r="I989" t="str">
            <v>-</v>
          </cell>
          <cell r="J989" t="str">
            <v>Domestic</v>
          </cell>
          <cell r="K989" t="str">
            <v>Sugar</v>
          </cell>
          <cell r="L989" t="str">
            <v>Sugar</v>
          </cell>
          <cell r="M989" t="str">
            <v>End User</v>
          </cell>
          <cell r="N989" t="str">
            <v>(0-5000)</v>
          </cell>
          <cell r="O989">
            <v>3500</v>
          </cell>
          <cell r="P989" t="str">
            <v>MRK</v>
          </cell>
          <cell r="Q989" t="str">
            <v>MRK</v>
          </cell>
          <cell r="R989" t="str">
            <v>VG</v>
          </cell>
          <cell r="T989" t="str">
            <v>Bidar - 2</v>
          </cell>
          <cell r="U989" t="str">
            <v>25-26</v>
          </cell>
          <cell r="W989" t="str">
            <v>3-12-2025(VG)
13-11-2025(PD)
30-01-2025
29-01-2025
28-11-2024
18-10-2023</v>
          </cell>
        </row>
        <row r="990">
          <cell r="F990" t="str">
            <v>LUDH01T017</v>
          </cell>
          <cell r="G990" t="str">
            <v>THE BUDHEWAL CO-OPERATIVE SUGAR MILLS LTD</v>
          </cell>
          <cell r="H990">
            <v>2013</v>
          </cell>
          <cell r="I990" t="str">
            <v>-</v>
          </cell>
          <cell r="J990" t="str">
            <v>Domestic</v>
          </cell>
          <cell r="K990" t="str">
            <v>Sugar</v>
          </cell>
          <cell r="L990" t="str">
            <v>Sugar</v>
          </cell>
          <cell r="M990" t="str">
            <v>End User</v>
          </cell>
          <cell r="N990" t="str">
            <v>(0-5000)</v>
          </cell>
          <cell r="O990">
            <v>1250</v>
          </cell>
          <cell r="P990" t="str">
            <v>NI</v>
          </cell>
          <cell r="Q990" t="str">
            <v>AKSHAY AWASTHI</v>
          </cell>
          <cell r="T990" t="str">
            <v>TOUR - PUNJAB</v>
          </cell>
          <cell r="U990" t="str">
            <v>25-26</v>
          </cell>
          <cell r="W990" t="str">
            <v>19-12-2025
10-07-2025
29-01-2025
25-09-2024
03-11-2023
21-03-2023
26-12-2019
16-05-2019</v>
          </cell>
        </row>
        <row r="991">
          <cell r="F991" t="str">
            <v>TIRU01T018</v>
          </cell>
          <cell r="G991" t="str">
            <v>THE CHEYYAR CO-OPERATIVE SUGAR MILLS LTD</v>
          </cell>
          <cell r="H991">
            <v>2013</v>
          </cell>
          <cell r="I991" t="str">
            <v>-</v>
          </cell>
          <cell r="J991" t="str">
            <v>Domestic</v>
          </cell>
          <cell r="K991" t="str">
            <v>Sugar</v>
          </cell>
          <cell r="L991" t="str">
            <v>Sugar</v>
          </cell>
          <cell r="M991" t="str">
            <v>End User</v>
          </cell>
          <cell r="N991" t="str">
            <v>(0-5000)</v>
          </cell>
          <cell r="O991">
            <v>2500</v>
          </cell>
          <cell r="P991" t="str">
            <v>SI-GS</v>
          </cell>
          <cell r="Q991" t="str">
            <v>SI-GS</v>
          </cell>
          <cell r="W991">
            <v>45498</v>
          </cell>
        </row>
        <row r="992">
          <cell r="F992" t="str">
            <v>VISH01T019</v>
          </cell>
          <cell r="G992" t="str">
            <v>THE CHODAVARAM CO-OPERATIVE SUGARS LIMITED</v>
          </cell>
          <cell r="H992">
            <v>2013</v>
          </cell>
          <cell r="I992" t="str">
            <v>-</v>
          </cell>
          <cell r="J992" t="str">
            <v>Domestic</v>
          </cell>
          <cell r="K992" t="str">
            <v>Sugar</v>
          </cell>
          <cell r="L992" t="str">
            <v>Sugar</v>
          </cell>
          <cell r="M992" t="str">
            <v>End User</v>
          </cell>
          <cell r="N992" t="str">
            <v>(0-5000)</v>
          </cell>
          <cell r="O992">
            <v>4000</v>
          </cell>
          <cell r="P992" t="str">
            <v>SI-GS</v>
          </cell>
          <cell r="Q992" t="str">
            <v>SI-GS</v>
          </cell>
          <cell r="W992">
            <v>45392</v>
          </cell>
        </row>
        <row r="993">
          <cell r="F993" t="str">
            <v>DHAM01T021</v>
          </cell>
          <cell r="G993" t="str">
            <v>THE DHARMAPURI DISTRICT CO-OP. SUGAR MILLS LIMITED</v>
          </cell>
          <cell r="H993">
            <v>2014</v>
          </cell>
          <cell r="I993" t="str">
            <v>-</v>
          </cell>
          <cell r="J993" t="str">
            <v>Domestic</v>
          </cell>
          <cell r="K993" t="str">
            <v>Sugar</v>
          </cell>
          <cell r="L993" t="str">
            <v>Sugar</v>
          </cell>
          <cell r="M993" t="str">
            <v>End User</v>
          </cell>
          <cell r="N993" t="str">
            <v>(0-5000)</v>
          </cell>
          <cell r="O993">
            <v>2000</v>
          </cell>
          <cell r="P993" t="str">
            <v>SI-GS</v>
          </cell>
          <cell r="Q993" t="str">
            <v>SI-GS</v>
          </cell>
          <cell r="W993" t="str">
            <v>-</v>
          </cell>
        </row>
        <row r="994">
          <cell r="F994" t="str">
            <v>NODA01F036</v>
          </cell>
          <cell r="G994" t="str">
            <v>THE FIJI SUGAR CORPORATION LTD</v>
          </cell>
          <cell r="H994" t="str">
            <v>23-24</v>
          </cell>
          <cell r="I994" t="str">
            <v>-</v>
          </cell>
          <cell r="J994" t="str">
            <v>Export</v>
          </cell>
          <cell r="K994" t="str">
            <v>Sugar</v>
          </cell>
          <cell r="L994" t="str">
            <v>Sugar</v>
          </cell>
          <cell r="M994" t="str">
            <v>End User</v>
          </cell>
          <cell r="O994" t="str">
            <v>-</v>
          </cell>
          <cell r="P994" t="str">
            <v>NI</v>
          </cell>
          <cell r="Q994" t="str">
            <v>AVIRAL SHUKLA</v>
          </cell>
          <cell r="T994" t="str">
            <v>-</v>
          </cell>
          <cell r="U994" t="str">
            <v>-</v>
          </cell>
          <cell r="W994" t="str">
            <v>-</v>
          </cell>
        </row>
        <row r="995">
          <cell r="F995" t="str">
            <v>BELG01T023</v>
          </cell>
          <cell r="G995" t="str">
            <v>THE GHATAPRABHA SAHAKARI SAKKARE -</v>
          </cell>
          <cell r="H995">
            <v>2013</v>
          </cell>
          <cell r="I995" t="str">
            <v>-</v>
          </cell>
          <cell r="J995" t="str">
            <v>Domestic</v>
          </cell>
          <cell r="K995" t="str">
            <v>Sugar</v>
          </cell>
          <cell r="L995" t="str">
            <v>Sugar</v>
          </cell>
          <cell r="M995" t="str">
            <v>End User</v>
          </cell>
          <cell r="N995" t="str">
            <v>(0-5000)</v>
          </cell>
          <cell r="O995">
            <v>3000</v>
          </cell>
          <cell r="P995" t="str">
            <v>AV</v>
          </cell>
          <cell r="Q995" t="str">
            <v>AV</v>
          </cell>
          <cell r="R995" t="str">
            <v>VG</v>
          </cell>
          <cell r="S995" t="str">
            <v>https://maps.app.goo.gl/EvLhD56Kc4oi3yab8</v>
          </cell>
          <cell r="T995" t="str">
            <v>Belagavi - 2</v>
          </cell>
          <cell r="U995" t="str">
            <v>24-25</v>
          </cell>
          <cell r="W995" t="str">
            <v>13-03-2025
29-11-2023
15-02-2023
23-09-2022</v>
          </cell>
        </row>
        <row r="996">
          <cell r="F996" t="str">
            <v>GURD01T025</v>
          </cell>
          <cell r="G996" t="str">
            <v>THE GURDASPUR CO-OP. SUGAR MILLS LTD.</v>
          </cell>
          <cell r="H996">
            <v>2013</v>
          </cell>
          <cell r="I996" t="str">
            <v>-</v>
          </cell>
          <cell r="J996" t="str">
            <v>Domestic</v>
          </cell>
          <cell r="K996" t="str">
            <v>Sugar</v>
          </cell>
          <cell r="L996" t="str">
            <v>Sugar</v>
          </cell>
          <cell r="M996" t="str">
            <v>End User</v>
          </cell>
          <cell r="N996" t="str">
            <v>(0-5000)</v>
          </cell>
          <cell r="O996">
            <v>2000</v>
          </cell>
          <cell r="P996" t="str">
            <v>NI</v>
          </cell>
          <cell r="Q996" t="str">
            <v>AKSHAY AWASTHI</v>
          </cell>
          <cell r="T996" t="str">
            <v>HARYANA + PUNJAB</v>
          </cell>
          <cell r="U996" t="str">
            <v>25-26</v>
          </cell>
          <cell r="W996" t="str">
            <v>26-12-2025
15-07-2025
3-10-2024
28-11-2023
28-10-2021
13-03-2021
20-05-2019</v>
          </cell>
        </row>
        <row r="997">
          <cell r="F997" t="str">
            <v>GURD01T144</v>
          </cell>
          <cell r="G997" t="str">
            <v>THE GURDASPUR DISTRICT CO.OP. MILK PRODUCER UNION LTD
(Verka Gurdaspur Dairy)</v>
          </cell>
          <cell r="H997" t="str">
            <v>22-23</v>
          </cell>
          <cell r="I997" t="str">
            <v>-</v>
          </cell>
          <cell r="J997" t="str">
            <v>Domestic</v>
          </cell>
          <cell r="K997" t="str">
            <v>Dairy</v>
          </cell>
          <cell r="L997" t="str">
            <v>Non-Sugar</v>
          </cell>
          <cell r="M997" t="str">
            <v>End User</v>
          </cell>
          <cell r="O997" t="str">
            <v>-</v>
          </cell>
          <cell r="P997" t="str">
            <v>NI</v>
          </cell>
          <cell r="Q997" t="str">
            <v>AKSHAY AWASTHI</v>
          </cell>
          <cell r="T997" t="str">
            <v>TOUR - PUNJAB</v>
          </cell>
          <cell r="U997" t="str">
            <v>25-26</v>
          </cell>
          <cell r="W997" t="str">
            <v>26-12-2025
15-07-2025
10/3/2024</v>
          </cell>
        </row>
        <row r="998">
          <cell r="F998" t="str">
            <v>ROHT01T026</v>
          </cell>
          <cell r="G998" t="str">
            <v>THE HARYANA CO-OP. SUGAR MILLS LTD.</v>
          </cell>
          <cell r="H998">
            <v>2013</v>
          </cell>
          <cell r="I998" t="str">
            <v>-</v>
          </cell>
          <cell r="J998" t="str">
            <v>Domestic</v>
          </cell>
          <cell r="K998" t="str">
            <v>Sugar</v>
          </cell>
          <cell r="L998" t="str">
            <v>Sugar</v>
          </cell>
          <cell r="M998" t="str">
            <v>End User</v>
          </cell>
          <cell r="N998" t="str">
            <v>(0-5000)</v>
          </cell>
          <cell r="O998">
            <v>5000</v>
          </cell>
          <cell r="P998" t="str">
            <v>NI</v>
          </cell>
          <cell r="Q998" t="str">
            <v>AKSHAY AWASTHI</v>
          </cell>
          <cell r="T998" t="str">
            <v>-</v>
          </cell>
          <cell r="U998" t="str">
            <v>24-25</v>
          </cell>
          <cell r="W998" t="str">
            <v>25-03-2025
1/10/2024</v>
          </cell>
        </row>
        <row r="999">
          <cell r="F999" t="str">
            <v>HOSH01T080</v>
          </cell>
          <cell r="G999" t="str">
            <v>THE HOSHIARPUR DIST CO OP MILK PRODUCERS UNION LTD</v>
          </cell>
          <cell r="H999">
            <v>2016</v>
          </cell>
          <cell r="I999" t="str">
            <v>-</v>
          </cell>
          <cell r="J999" t="str">
            <v>Domestic</v>
          </cell>
          <cell r="K999" t="str">
            <v>Dairy</v>
          </cell>
          <cell r="L999" t="str">
            <v>Non-Sugar</v>
          </cell>
          <cell r="M999" t="str">
            <v>End User</v>
          </cell>
          <cell r="O999" t="str">
            <v>-</v>
          </cell>
          <cell r="P999" t="str">
            <v>NI</v>
          </cell>
          <cell r="Q999" t="str">
            <v>AKSHAY AWASTHI</v>
          </cell>
          <cell r="T999" t="str">
            <v>-</v>
          </cell>
          <cell r="U999" t="str">
            <v>-</v>
          </cell>
        </row>
        <row r="1000">
          <cell r="F1000" t="str">
            <v>BARL01T028</v>
          </cell>
          <cell r="G1000" t="str">
            <v>THE INDIAN WOOD PRODUCTS CO. LTD.</v>
          </cell>
          <cell r="H1000">
            <v>2013</v>
          </cell>
          <cell r="I1000" t="str">
            <v>-</v>
          </cell>
          <cell r="J1000" t="str">
            <v>Domestic</v>
          </cell>
          <cell r="K1000" t="str">
            <v>OTHERS</v>
          </cell>
          <cell r="L1000" t="str">
            <v>Non-Sugar</v>
          </cell>
          <cell r="M1000" t="str">
            <v>End User</v>
          </cell>
          <cell r="O1000" t="str">
            <v>-</v>
          </cell>
          <cell r="P1000" t="str">
            <v>NI</v>
          </cell>
          <cell r="Q1000" t="str">
            <v>AVIRAL SHUKLA</v>
          </cell>
          <cell r="S1000" t="str">
            <v>https://share.google/pvI3wV4U4FYKDpqZ7</v>
          </cell>
          <cell r="T1000" t="str">
            <v>-</v>
          </cell>
          <cell r="U1000" t="str">
            <v>-</v>
          </cell>
          <cell r="W1000" t="str">
            <v>-</v>
          </cell>
        </row>
        <row r="1001">
          <cell r="F1001" t="str">
            <v>JIND01T170</v>
          </cell>
          <cell r="G1001" t="str">
            <v>THE JIND COOP SUGAR MILLS LTD.</v>
          </cell>
          <cell r="H1001" t="str">
            <v>23-24</v>
          </cell>
          <cell r="I1001" t="str">
            <v>-</v>
          </cell>
          <cell r="J1001" t="str">
            <v>Domestic</v>
          </cell>
          <cell r="K1001" t="str">
            <v>Sugar</v>
          </cell>
          <cell r="L1001" t="str">
            <v>Sugar</v>
          </cell>
          <cell r="M1001" t="str">
            <v>End User</v>
          </cell>
          <cell r="N1001" t="str">
            <v>(0-5000)</v>
          </cell>
          <cell r="O1001">
            <v>2600</v>
          </cell>
          <cell r="P1001" t="str">
            <v>NI</v>
          </cell>
          <cell r="Q1001" t="str">
            <v>HIMANSHU KUSHWAHA</v>
          </cell>
          <cell r="T1001" t="str">
            <v>HARYANA + RAJASTHAN</v>
          </cell>
          <cell r="U1001" t="str">
            <v>25-26</v>
          </cell>
          <cell r="W1001" t="str">
            <v>26-06-2025
1/9/2024</v>
          </cell>
        </row>
        <row r="1002">
          <cell r="F1002" t="str">
            <v>KAIT01T136</v>
          </cell>
          <cell r="G1002" t="str">
            <v>THE KAITHAL COOPERATIVE SUGAR MILLS LTD</v>
          </cell>
          <cell r="H1002" t="str">
            <v>20-21</v>
          </cell>
          <cell r="I1002" t="str">
            <v>-</v>
          </cell>
          <cell r="J1002" t="str">
            <v>Domestic</v>
          </cell>
          <cell r="K1002" t="str">
            <v>Sugar</v>
          </cell>
          <cell r="L1002" t="str">
            <v>Sugar</v>
          </cell>
          <cell r="M1002" t="str">
            <v>End User</v>
          </cell>
          <cell r="N1002" t="str">
            <v>(0-5000)</v>
          </cell>
          <cell r="O1002">
            <v>4000</v>
          </cell>
          <cell r="P1002" t="str">
            <v>NI</v>
          </cell>
          <cell r="Q1002" t="str">
            <v>HIMANSHU KUSHWAHA</v>
          </cell>
          <cell r="R1002" t="str">
            <v>HIMANSHU KUSHWAHA</v>
          </cell>
          <cell r="T1002" t="str">
            <v>-</v>
          </cell>
          <cell r="U1002" t="str">
            <v>25-26</v>
          </cell>
          <cell r="V1002" t="str">
            <v>Mar</v>
          </cell>
          <cell r="W1002" t="str">
            <v>17-03-2026
06-09-2024
09-01-2024</v>
          </cell>
        </row>
        <row r="1003">
          <cell r="F1003" t="str">
            <v>VILL01T032</v>
          </cell>
          <cell r="G1003" t="str">
            <v>THE KALLAKURICHI CO-OPERATIVE SUGAR MILLS LTD.</v>
          </cell>
          <cell r="H1003">
            <v>2013</v>
          </cell>
          <cell r="I1003" t="str">
            <v>-</v>
          </cell>
          <cell r="J1003" t="str">
            <v>Domestic</v>
          </cell>
          <cell r="K1003" t="str">
            <v>Sugar</v>
          </cell>
          <cell r="L1003" t="str">
            <v>Sugar</v>
          </cell>
          <cell r="M1003" t="str">
            <v>End User</v>
          </cell>
          <cell r="N1003" t="str">
            <v>(0-5000)</v>
          </cell>
          <cell r="O1003">
            <v>2500</v>
          </cell>
          <cell r="P1003" t="str">
            <v>SI-GS</v>
          </cell>
          <cell r="Q1003" t="str">
            <v>SI-GS</v>
          </cell>
          <cell r="W1003">
            <v>45404</v>
          </cell>
        </row>
        <row r="1004">
          <cell r="F1004" t="str">
            <v>VILL01T033</v>
          </cell>
          <cell r="G1004" t="str">
            <v>THE KALLAKURICHI II CO-OP. SUGAR MILLS LTD.</v>
          </cell>
          <cell r="H1004">
            <v>2013</v>
          </cell>
          <cell r="I1004" t="str">
            <v>-</v>
          </cell>
          <cell r="J1004" t="str">
            <v>Domestic</v>
          </cell>
          <cell r="K1004" t="str">
            <v>Sugar</v>
          </cell>
          <cell r="L1004" t="str">
            <v>Sugar</v>
          </cell>
          <cell r="M1004" t="str">
            <v>End User</v>
          </cell>
          <cell r="N1004" t="str">
            <v>(0-5000)</v>
          </cell>
          <cell r="O1004">
            <v>2500</v>
          </cell>
          <cell r="P1004" t="str">
            <v>SI-GS</v>
          </cell>
          <cell r="Q1004" t="str">
            <v>SI-GS</v>
          </cell>
          <cell r="W1004">
            <v>45404</v>
          </cell>
        </row>
        <row r="1005">
          <cell r="F1005" t="str">
            <v>KARN01T035</v>
          </cell>
          <cell r="G1005" t="str">
            <v>THE KARNAL CO-OPERATIVE SUGAR MILLS LTD</v>
          </cell>
          <cell r="H1005">
            <v>2013</v>
          </cell>
          <cell r="I1005" t="str">
            <v>-</v>
          </cell>
          <cell r="J1005" t="str">
            <v>Domestic</v>
          </cell>
          <cell r="K1005" t="str">
            <v>Sugar</v>
          </cell>
          <cell r="L1005" t="str">
            <v>Sugar</v>
          </cell>
          <cell r="M1005" t="str">
            <v>End User</v>
          </cell>
          <cell r="N1005" t="str">
            <v>(0-5000)</v>
          </cell>
          <cell r="O1005">
            <v>3500</v>
          </cell>
          <cell r="P1005" t="str">
            <v>NI</v>
          </cell>
          <cell r="Q1005" t="str">
            <v>AKSHAY AWASTHI</v>
          </cell>
          <cell r="S1005" t="str">
            <v>https://maps.app.goo.gl/gvw4GoGdUfzNcacR6</v>
          </cell>
          <cell r="T1005" t="str">
            <v>HARYANA + PUNJAB</v>
          </cell>
          <cell r="U1005" t="str">
            <v>25-26</v>
          </cell>
          <cell r="V1005" t="str">
            <v>Feb</v>
          </cell>
          <cell r="W1005" t="str">
            <v>25-02-2026
08-07-2025
29-03-2025
18-10-2024
08-01-2024</v>
          </cell>
        </row>
        <row r="1006">
          <cell r="F1006" t="str">
            <v>SAHA01T119</v>
          </cell>
          <cell r="G1006" t="str">
            <v>THE KISAN CO-OPERATIVE SUGAR FACTORY LTD (Sarsawa)</v>
          </cell>
          <cell r="H1006">
            <v>2016</v>
          </cell>
          <cell r="I1006" t="str">
            <v>UP Federation</v>
          </cell>
          <cell r="J1006" t="str">
            <v>Domestic</v>
          </cell>
          <cell r="K1006" t="str">
            <v>Sugar</v>
          </cell>
          <cell r="L1006" t="str">
            <v>Sugar</v>
          </cell>
          <cell r="M1006" t="str">
            <v>Group (Mills)</v>
          </cell>
          <cell r="N1006" t="str">
            <v>(0-5000)</v>
          </cell>
          <cell r="O1006">
            <v>3000</v>
          </cell>
          <cell r="P1006" t="str">
            <v>NI</v>
          </cell>
          <cell r="Q1006" t="str">
            <v>HIMANSHU KUSHWAHA</v>
          </cell>
          <cell r="T1006" t="str">
            <v>WESTERN</v>
          </cell>
          <cell r="U1006" t="str">
            <v>25-26</v>
          </cell>
          <cell r="W1006" t="str">
            <v>09-07-2025
1/12/2024</v>
          </cell>
        </row>
        <row r="1007">
          <cell r="F1007" t="str">
            <v>AZAM01T110</v>
          </cell>
          <cell r="G1007" t="str">
            <v>THE KISAN SAHAKARI CHINI MILLS LTD. (sathiaon) (azamgarh)</v>
          </cell>
          <cell r="H1007">
            <v>2017</v>
          </cell>
          <cell r="I1007" t="str">
            <v>UP Federation</v>
          </cell>
          <cell r="J1007" t="str">
            <v>Domestic</v>
          </cell>
          <cell r="K1007" t="str">
            <v>Sugar</v>
          </cell>
          <cell r="L1007" t="str">
            <v>Sugar</v>
          </cell>
          <cell r="M1007" t="str">
            <v>Group (Mills)</v>
          </cell>
          <cell r="N1007" t="str">
            <v>(0-5000)</v>
          </cell>
          <cell r="O1007">
            <v>3000</v>
          </cell>
          <cell r="P1007" t="str">
            <v>NI</v>
          </cell>
          <cell r="Q1007" t="str">
            <v>AKSHAY AWASTHI</v>
          </cell>
          <cell r="S1007" t="str">
            <v>https://maps.app.goo.gl/9Fw1q3b7qDtsvk4V8</v>
          </cell>
          <cell r="T1007" t="str">
            <v>-</v>
          </cell>
          <cell r="U1007" t="str">
            <v>21-22</v>
          </cell>
          <cell r="W1007" t="str">
            <v>26-02-2022
29-06-2021</v>
          </cell>
        </row>
        <row r="1008">
          <cell r="F1008" t="str">
            <v>FARR01T097</v>
          </cell>
          <cell r="G1008" t="str">
            <v>THE KISAN SAHKARI CHINI MILLS LTD (kaimganj) ( farrukhabad)</v>
          </cell>
          <cell r="H1008">
            <v>2017</v>
          </cell>
          <cell r="I1008" t="str">
            <v>-</v>
          </cell>
          <cell r="J1008" t="str">
            <v>Domestic</v>
          </cell>
          <cell r="K1008" t="str">
            <v>Sugar</v>
          </cell>
          <cell r="L1008" t="str">
            <v>Sugar</v>
          </cell>
          <cell r="M1008" t="str">
            <v>End User</v>
          </cell>
          <cell r="N1008" t="str">
            <v>(0-5000)</v>
          </cell>
          <cell r="O1008">
            <v>3000</v>
          </cell>
          <cell r="P1008" t="str">
            <v>NI</v>
          </cell>
          <cell r="Q1008" t="str">
            <v>AKSHAY AWASTHI</v>
          </cell>
          <cell r="T1008" t="str">
            <v>-</v>
          </cell>
          <cell r="U1008" t="str">
            <v>-</v>
          </cell>
          <cell r="W1008" t="str">
            <v>-</v>
          </cell>
        </row>
        <row r="1009">
          <cell r="F1009" t="str">
            <v>BUDA01T151</v>
          </cell>
          <cell r="G1009" t="str">
            <v>THE KISAN SAHKARI CHINI MILLS LTD - BUDAUN</v>
          </cell>
          <cell r="H1009" t="str">
            <v>22-23</v>
          </cell>
          <cell r="I1009" t="str">
            <v>-</v>
          </cell>
          <cell r="J1009" t="str">
            <v>Domestic</v>
          </cell>
          <cell r="K1009" t="str">
            <v>Sugar</v>
          </cell>
          <cell r="L1009" t="str">
            <v>Sugar</v>
          </cell>
          <cell r="M1009" t="str">
            <v>End User</v>
          </cell>
          <cell r="N1009" t="str">
            <v>(0-5000)</v>
          </cell>
          <cell r="O1009">
            <v>3000</v>
          </cell>
          <cell r="P1009" t="str">
            <v>NI</v>
          </cell>
          <cell r="Q1009" t="str">
            <v>AKSHAY AWASTHI</v>
          </cell>
          <cell r="T1009" t="str">
            <v>-</v>
          </cell>
          <cell r="U1009" t="str">
            <v>24-25</v>
          </cell>
          <cell r="W1009">
            <v>45466</v>
          </cell>
        </row>
        <row r="1010">
          <cell r="F1010" t="str">
            <v>BULA01T139</v>
          </cell>
          <cell r="G1010" t="str">
            <v>THE KISAN SAHKARI CHINI MILLS LTD (Anoopshahr Bulandshahr)</v>
          </cell>
          <cell r="H1010" t="str">
            <v>20-21</v>
          </cell>
          <cell r="I1010" t="str">
            <v>-</v>
          </cell>
          <cell r="J1010" t="str">
            <v>Domestic</v>
          </cell>
          <cell r="K1010" t="str">
            <v>Sugar</v>
          </cell>
          <cell r="L1010" t="str">
            <v>Sugar</v>
          </cell>
          <cell r="M1010" t="str">
            <v>End User</v>
          </cell>
          <cell r="N1010" t="str">
            <v>(0-5000)</v>
          </cell>
          <cell r="O1010">
            <v>3000</v>
          </cell>
          <cell r="P1010" t="str">
            <v>NI</v>
          </cell>
          <cell r="Q1010" t="str">
            <v>HIMANSHU KUSHWAHA</v>
          </cell>
          <cell r="T1010" t="str">
            <v>-</v>
          </cell>
          <cell r="U1010" t="str">
            <v>-</v>
          </cell>
        </row>
        <row r="1011">
          <cell r="F1011" t="str">
            <v>NADE01T138</v>
          </cell>
          <cell r="G1011" t="str">
            <v xml:space="preserve">THE KISAN SAHKARI CHINI MILLS LTD (NADEHI) </v>
          </cell>
          <cell r="H1011" t="str">
            <v>20-21</v>
          </cell>
          <cell r="I1011" t="str">
            <v>-</v>
          </cell>
          <cell r="J1011" t="str">
            <v>Domestic</v>
          </cell>
          <cell r="K1011" t="str">
            <v>Sugar</v>
          </cell>
          <cell r="L1011" t="str">
            <v>Sugar</v>
          </cell>
          <cell r="M1011" t="str">
            <v>End User</v>
          </cell>
          <cell r="N1011" t="str">
            <v>(0-5000)</v>
          </cell>
          <cell r="O1011">
            <v>3000</v>
          </cell>
          <cell r="P1011" t="str">
            <v>NI</v>
          </cell>
          <cell r="Q1011" t="str">
            <v>AKSHAY AWASTHI</v>
          </cell>
          <cell r="T1011" t="str">
            <v>CENTRAL + U.K</v>
          </cell>
          <cell r="U1011" t="str">
            <v>25-26</v>
          </cell>
          <cell r="W1011" t="str">
            <v>4-12-2025
15-05-2025
16-01-2025
1/29/2024</v>
          </cell>
        </row>
        <row r="1012">
          <cell r="F1012" t="str">
            <v>BARL01K056</v>
          </cell>
          <cell r="G1012" t="str">
            <v>THE KISAN SAHKARI CHINI MILLS LTD (semikhera)</v>
          </cell>
          <cell r="H1012">
            <v>2016</v>
          </cell>
          <cell r="I1012" t="str">
            <v>-</v>
          </cell>
          <cell r="J1012" t="str">
            <v>Domestic</v>
          </cell>
          <cell r="K1012" t="str">
            <v>Sugar</v>
          </cell>
          <cell r="L1012" t="str">
            <v>Sugar</v>
          </cell>
          <cell r="M1012" t="str">
            <v>End User</v>
          </cell>
          <cell r="N1012" t="str">
            <v>(0-5000)</v>
          </cell>
          <cell r="O1012">
            <v>3000</v>
          </cell>
          <cell r="P1012" t="str">
            <v>NI</v>
          </cell>
          <cell r="Q1012" t="str">
            <v>AKSHAY AWASTHI</v>
          </cell>
          <cell r="S1012" t="str">
            <v>https://share.google/59NRb5nkdQ7Scdty5</v>
          </cell>
          <cell r="T1012" t="str">
            <v>-</v>
          </cell>
          <cell r="U1012" t="str">
            <v>-</v>
          </cell>
        </row>
        <row r="1013">
          <cell r="F1013" t="str">
            <v>SAHJ01T036</v>
          </cell>
          <cell r="G1013" t="str">
            <v>THE KISAN SAHKARI CHINI MILLS LTD. (Tilhar) (Shahjahanpur)</v>
          </cell>
          <cell r="H1013">
            <v>2018</v>
          </cell>
          <cell r="I1013" t="str">
            <v>UP Federation</v>
          </cell>
          <cell r="J1013" t="str">
            <v>Domestic</v>
          </cell>
          <cell r="K1013" t="str">
            <v>Sugar</v>
          </cell>
          <cell r="L1013" t="str">
            <v>Sugar</v>
          </cell>
          <cell r="M1013" t="str">
            <v>Group (Mills)</v>
          </cell>
          <cell r="N1013" t="str">
            <v>(0-5000)</v>
          </cell>
          <cell r="O1013">
            <v>3000</v>
          </cell>
          <cell r="P1013" t="str">
            <v>NI</v>
          </cell>
          <cell r="Q1013" t="str">
            <v>AKSHAY AWASTHI</v>
          </cell>
          <cell r="T1013" t="str">
            <v>CENTRAL</v>
          </cell>
          <cell r="U1013" t="str">
            <v>24-25</v>
          </cell>
          <cell r="W1013" t="str">
            <v>28-05-2024
17-02-2024</v>
          </cell>
        </row>
        <row r="1014">
          <cell r="F1014" t="str">
            <v>AMRO01T088</v>
          </cell>
          <cell r="G1014" t="str">
            <v>THE KISAN SAHKARI CHINI MILLS LTD. (gajraula-hasanpur)</v>
          </cell>
          <cell r="H1014">
            <v>2017</v>
          </cell>
          <cell r="I1014" t="str">
            <v>UP Federation</v>
          </cell>
          <cell r="J1014" t="str">
            <v>Domestic</v>
          </cell>
          <cell r="K1014" t="str">
            <v>Sugar</v>
          </cell>
          <cell r="L1014" t="str">
            <v>Sugar</v>
          </cell>
          <cell r="M1014" t="str">
            <v>Group (Mills)</v>
          </cell>
          <cell r="N1014" t="str">
            <v>(0-5000)</v>
          </cell>
          <cell r="O1014">
            <v>2500</v>
          </cell>
          <cell r="P1014" t="str">
            <v>NI</v>
          </cell>
          <cell r="Q1014" t="str">
            <v>HIMANSHU KUSHWAHA</v>
          </cell>
          <cell r="S1014" t="str">
            <v>https://share.google/08EoslANVkvWyttcJ</v>
          </cell>
          <cell r="T1014" t="str">
            <v>-</v>
          </cell>
          <cell r="U1014" t="str">
            <v>24-25</v>
          </cell>
          <cell r="W1014">
            <v>45555</v>
          </cell>
        </row>
        <row r="1015">
          <cell r="F1015" t="str">
            <v>SITP01T125</v>
          </cell>
          <cell r="G1015" t="str">
            <v>THE KISAN SAHKARI CHINI MILLS LTD. (mahmudabad)</v>
          </cell>
          <cell r="H1015">
            <v>2017</v>
          </cell>
          <cell r="I1015" t="str">
            <v>UP Federation</v>
          </cell>
          <cell r="J1015" t="str">
            <v>Domestic</v>
          </cell>
          <cell r="K1015" t="str">
            <v>Sugar</v>
          </cell>
          <cell r="L1015" t="str">
            <v>Sugar</v>
          </cell>
          <cell r="M1015" t="str">
            <v>Group (Mills)</v>
          </cell>
          <cell r="N1015" t="str">
            <v>(0-5000)</v>
          </cell>
          <cell r="O1015">
            <v>2750</v>
          </cell>
          <cell r="P1015" t="str">
            <v>NI</v>
          </cell>
          <cell r="Q1015" t="str">
            <v>AKSHAY AWASTHI</v>
          </cell>
          <cell r="T1015" t="str">
            <v>-</v>
          </cell>
          <cell r="U1015" t="str">
            <v>-</v>
          </cell>
          <cell r="W1015" t="str">
            <v>-</v>
          </cell>
        </row>
        <row r="1016">
          <cell r="F1016" t="str">
            <v>SAHJ01T128</v>
          </cell>
          <cell r="G1016" t="str">
            <v>THE KISAN SHAKARI CHINI MILLS LTD (POWAYAN)</v>
          </cell>
          <cell r="H1016">
            <v>2017</v>
          </cell>
          <cell r="I1016" t="str">
            <v>UP Federation</v>
          </cell>
          <cell r="J1016" t="str">
            <v>Domestic</v>
          </cell>
          <cell r="K1016" t="str">
            <v>Sugar</v>
          </cell>
          <cell r="L1016" t="str">
            <v>Sugar</v>
          </cell>
          <cell r="M1016" t="str">
            <v>Group (Mills)</v>
          </cell>
          <cell r="N1016" t="str">
            <v>(0-5000)</v>
          </cell>
          <cell r="O1016">
            <v>3000</v>
          </cell>
          <cell r="P1016" t="str">
            <v>NI</v>
          </cell>
          <cell r="Q1016" t="str">
            <v>AKSHAY AWASTHI</v>
          </cell>
          <cell r="T1016" t="str">
            <v>CENTRAL - 2</v>
          </cell>
          <cell r="U1016" t="str">
            <v>24-25</v>
          </cell>
          <cell r="W1016" t="str">
            <v>30-05-2024
16-02-2024</v>
          </cell>
        </row>
        <row r="1017">
          <cell r="F1017" t="str">
            <v>BELG01T129</v>
          </cell>
          <cell r="G1017" t="str">
            <v>THE KRISHNA SAHAKARI SAKKARE KARKHANE NIYAMIT (Formerly Krishna SSKN)</v>
          </cell>
          <cell r="H1017" t="str">
            <v>23-24</v>
          </cell>
          <cell r="I1017" t="str">
            <v>-</v>
          </cell>
          <cell r="J1017" t="str">
            <v>Domestic</v>
          </cell>
          <cell r="K1017" t="str">
            <v>Sugar</v>
          </cell>
          <cell r="L1017" t="str">
            <v>Sugar</v>
          </cell>
          <cell r="M1017" t="str">
            <v>End User</v>
          </cell>
          <cell r="N1017" t="str">
            <v>(0-5000)</v>
          </cell>
          <cell r="O1017">
            <v>5000</v>
          </cell>
          <cell r="P1017" t="str">
            <v>AV</v>
          </cell>
          <cell r="Q1017" t="str">
            <v>AV</v>
          </cell>
          <cell r="R1017" t="str">
            <v>VG</v>
          </cell>
          <cell r="T1017" t="str">
            <v>Belagavi - 2</v>
          </cell>
          <cell r="U1017" t="str">
            <v>25-26</v>
          </cell>
          <cell r="W1017" t="str">
            <v>15/11/2025
18-04-2025
21-03-2024
19-04-2023
03-11-2022</v>
          </cell>
        </row>
        <row r="1018">
          <cell r="F1018" t="str">
            <v>KANE01T101</v>
          </cell>
          <cell r="G1018" t="str">
            <v>THE MADURANTAKAM CO-OP. SUGAR MILLS LTD</v>
          </cell>
          <cell r="H1018">
            <v>2014</v>
          </cell>
          <cell r="I1018" t="str">
            <v>-</v>
          </cell>
          <cell r="J1018" t="str">
            <v>Domestic</v>
          </cell>
          <cell r="K1018" t="str">
            <v>Sugar</v>
          </cell>
          <cell r="L1018" t="str">
            <v>Sugar</v>
          </cell>
          <cell r="M1018" t="str">
            <v>End User</v>
          </cell>
          <cell r="N1018" t="str">
            <v>(0-5000)</v>
          </cell>
          <cell r="O1018">
            <v>2500</v>
          </cell>
          <cell r="P1018" t="str">
            <v>SI-GS</v>
          </cell>
          <cell r="Q1018" t="str">
            <v>SI-GS</v>
          </cell>
          <cell r="W1018">
            <v>45962</v>
          </cell>
        </row>
        <row r="1019">
          <cell r="F1019" t="str">
            <v>BIDA01T038</v>
          </cell>
          <cell r="G1019" t="str">
            <v>THE MAHATMA GANDHI SAHAKAR SAKKARE KARKHANE NIYAMIT</v>
          </cell>
          <cell r="H1019">
            <v>2013</v>
          </cell>
          <cell r="I1019" t="str">
            <v>-</v>
          </cell>
          <cell r="J1019" t="str">
            <v>Domestic</v>
          </cell>
          <cell r="K1019" t="str">
            <v>Sugar</v>
          </cell>
          <cell r="L1019" t="str">
            <v>Sugar</v>
          </cell>
          <cell r="M1019" t="str">
            <v>End User</v>
          </cell>
          <cell r="N1019" t="str">
            <v>(0-5000)</v>
          </cell>
          <cell r="O1019">
            <v>3500</v>
          </cell>
          <cell r="P1019" t="str">
            <v>AV</v>
          </cell>
          <cell r="Q1019" t="str">
            <v>AV</v>
          </cell>
          <cell r="R1019" t="str">
            <v>VG</v>
          </cell>
          <cell r="S1019" t="str">
            <v>https://maps.app.goo.gl/KFGHFUiEGAxxe1Qu5</v>
          </cell>
          <cell r="T1019" t="str">
            <v>Bidar - 2</v>
          </cell>
          <cell r="U1019" t="str">
            <v>25-26</v>
          </cell>
          <cell r="W1019" t="str">
            <v>23-1-2026
28-11-2024
17-10-2023</v>
          </cell>
        </row>
        <row r="1020">
          <cell r="F1020" t="str">
            <v>PUNE01T039</v>
          </cell>
          <cell r="G1020" t="str">
            <v>THE MALEGAON SAHAKARI SAKHAR -KARKHANA LTD</v>
          </cell>
          <cell r="H1020">
            <v>2016</v>
          </cell>
          <cell r="I1020" t="str">
            <v>Powar Group</v>
          </cell>
          <cell r="J1020" t="str">
            <v>Domestic</v>
          </cell>
          <cell r="K1020" t="str">
            <v>Sugar</v>
          </cell>
          <cell r="L1020" t="str">
            <v>Sugar</v>
          </cell>
          <cell r="M1020" t="str">
            <v>Group (Mills)</v>
          </cell>
          <cell r="N1020" t="str">
            <v>(5001-9000)</v>
          </cell>
          <cell r="O1020">
            <v>7500</v>
          </cell>
          <cell r="P1020" t="str">
            <v>AV</v>
          </cell>
          <cell r="Q1020" t="str">
            <v>AV</v>
          </cell>
          <cell r="R1020" t="str">
            <v>PD</v>
          </cell>
          <cell r="T1020" t="str">
            <v>Pune - 1</v>
          </cell>
          <cell r="U1020" t="str">
            <v>25-26</v>
          </cell>
          <cell r="W1020" t="str">
            <v>05-03-2026
4/22/2023</v>
          </cell>
        </row>
        <row r="1021">
          <cell r="F1021" t="str">
            <v>ROPR01T040</v>
          </cell>
          <cell r="G1021" t="str">
            <v>THE MORINDA CO-OP. SUGAR MILLS LIMITED</v>
          </cell>
          <cell r="H1021">
            <v>2013</v>
          </cell>
          <cell r="I1021" t="str">
            <v>-</v>
          </cell>
          <cell r="J1021" t="str">
            <v>Domestic</v>
          </cell>
          <cell r="K1021" t="str">
            <v>Sugar</v>
          </cell>
          <cell r="L1021" t="str">
            <v>Sugar</v>
          </cell>
          <cell r="M1021" t="str">
            <v>End User</v>
          </cell>
          <cell r="N1021" t="str">
            <v>(0-5000)</v>
          </cell>
          <cell r="O1021">
            <v>2500</v>
          </cell>
          <cell r="P1021" t="str">
            <v>NI</v>
          </cell>
          <cell r="Q1021" t="str">
            <v>AKSHAY AWASTHI</v>
          </cell>
          <cell r="T1021" t="str">
            <v>TOUR - PUNJAB</v>
          </cell>
          <cell r="U1021" t="str">
            <v>25-26</v>
          </cell>
          <cell r="W1021" t="str">
            <v>19-12-2025
10-07-2025
29-01-2025
25-09-2024
03-11-2023
21-03-2022
10-04-2021
27-12-2019
17-05-2019</v>
          </cell>
        </row>
        <row r="1022">
          <cell r="F1022" t="str">
            <v>JALA01T042</v>
          </cell>
          <cell r="G1022" t="str">
            <v>THE NAKODAR CO-OPERATIVE SUGAR MILLS LTD.</v>
          </cell>
          <cell r="H1022">
            <v>2013</v>
          </cell>
          <cell r="I1022" t="str">
            <v>-</v>
          </cell>
          <cell r="J1022" t="str">
            <v>Domestic</v>
          </cell>
          <cell r="K1022" t="str">
            <v>Sugar</v>
          </cell>
          <cell r="L1022" t="str">
            <v>Sugar</v>
          </cell>
          <cell r="M1022" t="str">
            <v>End User</v>
          </cell>
          <cell r="N1022" t="str">
            <v>(0-5000)</v>
          </cell>
          <cell r="O1022">
            <v>1500</v>
          </cell>
          <cell r="P1022" t="str">
            <v>NI</v>
          </cell>
          <cell r="Q1022" t="str">
            <v>AKSHAY AWASTHI</v>
          </cell>
          <cell r="T1022" t="str">
            <v>-</v>
          </cell>
          <cell r="U1022" t="str">
            <v>25-26</v>
          </cell>
          <cell r="W1022" t="str">
            <v>23-12-2025
01-02-2025
30-09-2024
06-04-2024
31-10-2023
25-03-2023
28-12-2019
18-05-2019</v>
          </cell>
        </row>
        <row r="1023">
          <cell r="F1023" t="str">
            <v>JALA01T047</v>
          </cell>
          <cell r="G1023" t="str">
            <v>THE NAWANSHAHR CO-OPERATIVE SUGAR MILLS LTD.</v>
          </cell>
          <cell r="H1023">
            <v>2013</v>
          </cell>
          <cell r="I1023" t="str">
            <v>-</v>
          </cell>
          <cell r="J1023" t="str">
            <v>Domestic</v>
          </cell>
          <cell r="K1023" t="str">
            <v>Sugar</v>
          </cell>
          <cell r="L1023" t="str">
            <v>Sugar</v>
          </cell>
          <cell r="M1023" t="str">
            <v>End User</v>
          </cell>
          <cell r="N1023" t="str">
            <v>(0-5000)</v>
          </cell>
          <cell r="O1023">
            <v>2500</v>
          </cell>
          <cell r="P1023" t="str">
            <v>NI</v>
          </cell>
          <cell r="Q1023" t="str">
            <v>AKSHAY AWASTHI</v>
          </cell>
          <cell r="T1023" t="str">
            <v>HARYANA + PUNJAB</v>
          </cell>
          <cell r="U1023" t="str">
            <v>25-26</v>
          </cell>
          <cell r="W1023" t="str">
            <v>20-02-2026
20-12-2025
11-07-2025
30-01-2025
27-09-2024
02-11-2023
22-03-2023
27-12-2019
17-05-2019</v>
          </cell>
        </row>
        <row r="1024">
          <cell r="F1024" t="str">
            <v>PANI01T051</v>
          </cell>
          <cell r="G1024" t="str">
            <v>THE PANIPAT CO-OP. SUGAR MILLS LTD.</v>
          </cell>
          <cell r="H1024">
            <v>2014</v>
          </cell>
          <cell r="I1024" t="str">
            <v>-</v>
          </cell>
          <cell r="J1024" t="str">
            <v>Domestic</v>
          </cell>
          <cell r="K1024" t="str">
            <v>Sugar</v>
          </cell>
          <cell r="L1024" t="str">
            <v>Sugar</v>
          </cell>
          <cell r="M1024" t="str">
            <v>End User</v>
          </cell>
          <cell r="N1024" t="str">
            <v>(0-5000)</v>
          </cell>
          <cell r="O1024">
            <v>5000</v>
          </cell>
          <cell r="P1024" t="str">
            <v>NI</v>
          </cell>
          <cell r="Q1024" t="str">
            <v>AVIRAL SHUKLA</v>
          </cell>
          <cell r="R1024" t="str">
            <v>HIMANSHU KUSHWAHA</v>
          </cell>
          <cell r="T1024" t="str">
            <v>-</v>
          </cell>
          <cell r="U1024" t="str">
            <v>26-27</v>
          </cell>
          <cell r="V1024" t="str">
            <v>Mar</v>
          </cell>
          <cell r="W1024" t="str">
            <v>15-03-2026
08-03-2025
30-08-2024
08-01-2024</v>
          </cell>
        </row>
        <row r="1025">
          <cell r="F1025" t="str">
            <v>NAMA01T052</v>
          </cell>
          <cell r="G1025" t="str">
            <v>THE SALEM CO-OPERATIVE SUGAR MILLS LTD..</v>
          </cell>
          <cell r="H1025">
            <v>2013</v>
          </cell>
          <cell r="I1025" t="str">
            <v>-</v>
          </cell>
          <cell r="J1025" t="str">
            <v>Domestic</v>
          </cell>
          <cell r="K1025" t="str">
            <v>Sugar</v>
          </cell>
          <cell r="L1025" t="str">
            <v>Sugar</v>
          </cell>
          <cell r="M1025" t="str">
            <v>End User</v>
          </cell>
          <cell r="N1025" t="str">
            <v>(0-5000)</v>
          </cell>
          <cell r="O1025">
            <v>2500</v>
          </cell>
          <cell r="P1025" t="str">
            <v>SI-GS</v>
          </cell>
          <cell r="Q1025" t="str">
            <v>SI-GS</v>
          </cell>
          <cell r="W1025">
            <v>45192</v>
          </cell>
        </row>
        <row r="1026">
          <cell r="F1026" t="str">
            <v>SITP01T054</v>
          </cell>
          <cell r="G1026" t="str">
            <v>THE SEKSARIA BISWAN SUGAR FACTORY LTD</v>
          </cell>
          <cell r="H1026">
            <v>2014</v>
          </cell>
          <cell r="I1026" t="str">
            <v>-</v>
          </cell>
          <cell r="J1026" t="str">
            <v>Domestic</v>
          </cell>
          <cell r="K1026" t="str">
            <v>Sugar</v>
          </cell>
          <cell r="L1026" t="str">
            <v>Sugar</v>
          </cell>
          <cell r="M1026" t="str">
            <v>End User</v>
          </cell>
          <cell r="N1026" t="str">
            <v>(5001-9000)</v>
          </cell>
          <cell r="O1026">
            <v>8000</v>
          </cell>
          <cell r="P1026" t="str">
            <v>NI</v>
          </cell>
          <cell r="Q1026" t="str">
            <v>AVIRAL SHUKLA</v>
          </cell>
          <cell r="S1026" t="str">
            <v>https://maps.app.goo.gl/2GEvsqMSp5CHevXf9</v>
          </cell>
          <cell r="T1026" t="str">
            <v>Tour-Central</v>
          </cell>
          <cell r="U1026" t="str">
            <v>25-26</v>
          </cell>
          <cell r="W1026" t="str">
            <v>16-1-2026
16-07-2025
22-10-2024
15-04-2024
02-02-2024</v>
          </cell>
        </row>
        <row r="1027">
          <cell r="F1027" t="str">
            <v>KURU01T056</v>
          </cell>
          <cell r="G1027" t="str">
            <v>THE SHAHABAD CO-OPERATIVE SUGAR MILLS LTD</v>
          </cell>
          <cell r="H1027">
            <v>2013</v>
          </cell>
          <cell r="I1027" t="str">
            <v>-</v>
          </cell>
          <cell r="J1027" t="str">
            <v>Domestic</v>
          </cell>
          <cell r="K1027" t="str">
            <v>Sugar</v>
          </cell>
          <cell r="L1027" t="str">
            <v>Sugar</v>
          </cell>
          <cell r="M1027" t="str">
            <v>End User</v>
          </cell>
          <cell r="N1027" t="str">
            <v>(0-5000)</v>
          </cell>
          <cell r="O1027">
            <v>5000</v>
          </cell>
          <cell r="P1027" t="str">
            <v>NI</v>
          </cell>
          <cell r="Q1027" t="str">
            <v>AVIRAL SHUKLA</v>
          </cell>
          <cell r="S1027" t="str">
            <v>https://maps.app.goo.gl/hnrUXk6xVkCmQHYZ7</v>
          </cell>
          <cell r="T1027" t="str">
            <v>HARYANA + PUNJAB</v>
          </cell>
          <cell r="U1027" t="str">
            <v>26-27</v>
          </cell>
          <cell r="V1027" t="str">
            <v>Apr</v>
          </cell>
          <cell r="W1027" t="str">
            <v>17-4-2026
24-02-2026
18-02-2026
09-07-2025
26-03-2025
11/9/2024</v>
          </cell>
        </row>
        <row r="1028">
          <cell r="F1028" t="str">
            <v>SONI01T102</v>
          </cell>
          <cell r="G1028" t="str">
            <v>THE SONIPAT CO-OP. SUGAR MILLS LTD</v>
          </cell>
          <cell r="H1028">
            <v>2018</v>
          </cell>
          <cell r="I1028" t="str">
            <v>-</v>
          </cell>
          <cell r="J1028" t="str">
            <v>Domestic</v>
          </cell>
          <cell r="K1028" t="str">
            <v>Sugar</v>
          </cell>
          <cell r="L1028" t="str">
            <v>Sugar</v>
          </cell>
          <cell r="M1028" t="str">
            <v>End User</v>
          </cell>
          <cell r="N1028" t="str">
            <v>(0-5000)</v>
          </cell>
          <cell r="O1028">
            <v>1500</v>
          </cell>
          <cell r="P1028" t="str">
            <v>NI</v>
          </cell>
          <cell r="Q1028" t="str">
            <v>HIMANSHU KUSHWAHA</v>
          </cell>
          <cell r="R1028" t="str">
            <v>HIMANSHU KUSHWAHA</v>
          </cell>
          <cell r="T1028" t="str">
            <v>-</v>
          </cell>
          <cell r="U1028" t="str">
            <v>25-26</v>
          </cell>
          <cell r="V1028" t="str">
            <v>Mar</v>
          </cell>
          <cell r="W1028" t="str">
            <v>14-03-2026
31-08-2024
10-01-2024</v>
          </cell>
        </row>
        <row r="1029">
          <cell r="F1029" t="str">
            <v>VELL01T060</v>
          </cell>
          <cell r="G1029" t="str">
            <v>THE TIRUPATTUR CO-OPERATIVE SUGAR MILLS LTD</v>
          </cell>
          <cell r="H1029">
            <v>2014</v>
          </cell>
          <cell r="I1029" t="str">
            <v>-</v>
          </cell>
          <cell r="J1029" t="str">
            <v>Domestic</v>
          </cell>
          <cell r="K1029" t="str">
            <v>Sugar</v>
          </cell>
          <cell r="L1029" t="str">
            <v>Sugar</v>
          </cell>
          <cell r="M1029" t="str">
            <v>End User</v>
          </cell>
          <cell r="N1029" t="str">
            <v>(0-5000)</v>
          </cell>
          <cell r="O1029">
            <v>1250</v>
          </cell>
          <cell r="P1029" t="str">
            <v>SI-GS</v>
          </cell>
          <cell r="Q1029" t="str">
            <v>SI-GS</v>
          </cell>
          <cell r="W1029">
            <v>45428</v>
          </cell>
        </row>
        <row r="1030">
          <cell r="F1030" t="str">
            <v>GULB01T061</v>
          </cell>
          <cell r="G1030" t="str">
            <v>THE UGAR SUGAR WORKS LIMITED (Unit-2)</v>
          </cell>
          <cell r="H1030">
            <v>2013</v>
          </cell>
          <cell r="I1030" t="str">
            <v>-</v>
          </cell>
          <cell r="J1030" t="str">
            <v>Domestic</v>
          </cell>
          <cell r="K1030" t="str">
            <v>Sugar</v>
          </cell>
          <cell r="L1030" t="str">
            <v>Sugar</v>
          </cell>
          <cell r="M1030" t="str">
            <v>End User</v>
          </cell>
          <cell r="N1030" t="str">
            <v>(0-5000)</v>
          </cell>
          <cell r="O1030">
            <v>3500</v>
          </cell>
          <cell r="P1030" t="str">
            <v>MRK</v>
          </cell>
          <cell r="Q1030" t="str">
            <v>MRK</v>
          </cell>
          <cell r="R1030" t="str">
            <v>VG</v>
          </cell>
          <cell r="S1030" t="str">
            <v>16° 45' 10.5059" N 76° 29' 53.124" E</v>
          </cell>
          <cell r="T1030" t="str">
            <v>Vijaypura - 1</v>
          </cell>
          <cell r="U1030" t="str">
            <v>26-27</v>
          </cell>
          <cell r="V1030" t="str">
            <v>Apr</v>
          </cell>
          <cell r="W1030" t="str">
            <v>8-4-2026
24-05-2025
11-07-2024
22-03-2024
27-04-2023</v>
          </cell>
        </row>
        <row r="1031">
          <cell r="F1031" t="str">
            <v>BELG01T113</v>
          </cell>
          <cell r="G1031" t="str">
            <v>THE UGAR SUGAR WORKS LTD (Unit-1)</v>
          </cell>
          <cell r="H1031">
            <v>2015</v>
          </cell>
          <cell r="I1031" t="str">
            <v>-</v>
          </cell>
          <cell r="J1031" t="str">
            <v>Domestic</v>
          </cell>
          <cell r="K1031" t="str">
            <v>Sugar</v>
          </cell>
          <cell r="L1031" t="str">
            <v>Sugar</v>
          </cell>
          <cell r="M1031" t="str">
            <v>End User</v>
          </cell>
          <cell r="N1031" t="str">
            <v>(9001 &amp; above)</v>
          </cell>
          <cell r="O1031" t="str">
            <v>Sugar 10000
Distillery 800 KLPD</v>
          </cell>
          <cell r="P1031" t="str">
            <v>MRK</v>
          </cell>
          <cell r="Q1031" t="str">
            <v>MRK</v>
          </cell>
          <cell r="R1031" t="str">
            <v>VG</v>
          </cell>
          <cell r="T1031" t="str">
            <v>Belagavi - 2</v>
          </cell>
          <cell r="U1031" t="str">
            <v>25-26</v>
          </cell>
          <cell r="W1031" t="str">
            <v>19-04-2025
11-07-2024
02-04-2024
18-04-2023
03-11-2022</v>
          </cell>
        </row>
        <row r="1032">
          <cell r="F1032" t="str">
            <v>KUSH01T062</v>
          </cell>
          <cell r="G1032" t="str">
            <v>THE UNITED PROVINCES SUGAR - COMPANY LIMITED</v>
          </cell>
          <cell r="H1032">
            <v>2013</v>
          </cell>
          <cell r="I1032" t="str">
            <v>-</v>
          </cell>
          <cell r="J1032" t="str">
            <v>Domestic</v>
          </cell>
          <cell r="K1032" t="str">
            <v>Sugar</v>
          </cell>
          <cell r="L1032" t="str">
            <v>Sugar</v>
          </cell>
          <cell r="M1032" t="str">
            <v>End User</v>
          </cell>
          <cell r="N1032" t="str">
            <v>(5001-9000)</v>
          </cell>
          <cell r="O1032">
            <v>6000</v>
          </cell>
          <cell r="P1032" t="str">
            <v>NI</v>
          </cell>
          <cell r="Q1032" t="str">
            <v>HIMANSHU KUSHWAHA</v>
          </cell>
          <cell r="T1032" t="str">
            <v>-</v>
          </cell>
          <cell r="U1032" t="str">
            <v>26-27</v>
          </cell>
          <cell r="V1032" t="str">
            <v>May</v>
          </cell>
          <cell r="W1032" t="str">
            <v>01.05.2026
16-12-2025
11-06-2025
17-01-2025
06-08-2024
12-07-2022
19-01-2022
03-08-2021</v>
          </cell>
        </row>
        <row r="1033">
          <cell r="F1033" t="str">
            <v>VELL01T063</v>
          </cell>
          <cell r="G1033" t="str">
            <v>THE VELLORE CO-OPERATIVE SUGAR MILLS LTD</v>
          </cell>
          <cell r="H1033">
            <v>2013</v>
          </cell>
          <cell r="I1033" t="str">
            <v>-</v>
          </cell>
          <cell r="J1033" t="str">
            <v>Domestic</v>
          </cell>
          <cell r="K1033" t="str">
            <v>Sugar</v>
          </cell>
          <cell r="L1033" t="str">
            <v>Sugar</v>
          </cell>
          <cell r="M1033" t="str">
            <v>End User</v>
          </cell>
          <cell r="N1033" t="str">
            <v>(0-5000)</v>
          </cell>
          <cell r="O1033">
            <v>2500</v>
          </cell>
          <cell r="P1033" t="str">
            <v>SI-GS</v>
          </cell>
          <cell r="Q1033" t="str">
            <v>SI-GS</v>
          </cell>
          <cell r="W1033">
            <v>45451</v>
          </cell>
        </row>
        <row r="1034">
          <cell r="F1034" t="str">
            <v>PERI01T207</v>
          </cell>
          <cell r="G1034" t="str">
            <v>THEJASWI REAL FOOD RESEARCHERS AND FARMING</v>
          </cell>
          <cell r="H1034" t="str">
            <v>-</v>
          </cell>
          <cell r="J1034" t="str">
            <v>Domestic</v>
          </cell>
          <cell r="P1034" t="str">
            <v>-</v>
          </cell>
          <cell r="Q1034" t="str">
            <v>-</v>
          </cell>
        </row>
        <row r="1035">
          <cell r="F1035" t="str">
            <v>THNJ01T189</v>
          </cell>
          <cell r="G1035" t="str">
            <v>THIRU AROORAN SUGARS LIMITED</v>
          </cell>
          <cell r="H1035">
            <v>2015</v>
          </cell>
          <cell r="I1035" t="str">
            <v>-</v>
          </cell>
          <cell r="J1035" t="str">
            <v>Domestic</v>
          </cell>
          <cell r="K1035" t="str">
            <v>Sugar</v>
          </cell>
          <cell r="L1035" t="str">
            <v>Sugar</v>
          </cell>
          <cell r="M1035" t="str">
            <v>End User</v>
          </cell>
          <cell r="N1035" t="str">
            <v>(0-5000)</v>
          </cell>
          <cell r="O1035">
            <v>5000</v>
          </cell>
          <cell r="P1035" t="str">
            <v>SI-GS</v>
          </cell>
          <cell r="Q1035" t="str">
            <v>SI-GS</v>
          </cell>
          <cell r="W1035">
            <v>45694</v>
          </cell>
        </row>
        <row r="1036">
          <cell r="F1036" t="str">
            <v>GHZB01T182</v>
          </cell>
          <cell r="G1036" t="str">
            <v>THREE STAR ENGINEERING WORKS PVT LTD</v>
          </cell>
          <cell r="H1036" t="str">
            <v>25-26</v>
          </cell>
          <cell r="I1036" t="str">
            <v>-</v>
          </cell>
          <cell r="J1036" t="str">
            <v>Domestic</v>
          </cell>
          <cell r="K1036" t="str">
            <v>Sugar</v>
          </cell>
          <cell r="L1036" t="str">
            <v>Sugar</v>
          </cell>
          <cell r="M1036" t="str">
            <v>OEM</v>
          </cell>
          <cell r="O1036" t="str">
            <v>-</v>
          </cell>
          <cell r="P1036" t="str">
            <v>NI</v>
          </cell>
          <cell r="Q1036" t="str">
            <v>HIMANSHU KUSHWAHA</v>
          </cell>
          <cell r="S1036" t="str">
            <v>https://maps.app.goo.gl/JgtWwxvNtWBYoto6A</v>
          </cell>
          <cell r="U1036">
            <v>2025</v>
          </cell>
          <cell r="V1036" t="str">
            <v>May</v>
          </cell>
          <cell r="W1036" t="str">
            <v>20/5/2026
10/7/2024</v>
          </cell>
        </row>
        <row r="1037">
          <cell r="F1037" t="str">
            <v>MUZF01T135</v>
          </cell>
          <cell r="G1037" t="str">
            <v>TIKAULA DISTILLERY (UNIT OF TIKAULA SUGAR MILLS LTD)</v>
          </cell>
          <cell r="H1037" t="str">
            <v>20-21</v>
          </cell>
          <cell r="I1037" t="str">
            <v>-</v>
          </cell>
          <cell r="J1037" t="str">
            <v>Domestic</v>
          </cell>
          <cell r="K1037" t="str">
            <v>Sugar</v>
          </cell>
          <cell r="L1037" t="str">
            <v>Sugar</v>
          </cell>
          <cell r="M1037" t="str">
            <v>End User</v>
          </cell>
          <cell r="N1037" t="str">
            <v>(9001 &amp; above)</v>
          </cell>
          <cell r="O1037">
            <v>10000</v>
          </cell>
          <cell r="P1037" t="str">
            <v>NI</v>
          </cell>
          <cell r="Q1037" t="str">
            <v>AVIRAL SHUKLA</v>
          </cell>
          <cell r="S1037" t="str">
            <v>https://maps.app.goo.gl/djV8EzcoAukdTaT96</v>
          </cell>
          <cell r="T1037" t="str">
            <v>WESTERN-1</v>
          </cell>
          <cell r="U1037" t="str">
            <v>25-26</v>
          </cell>
          <cell r="W1037" t="str">
            <v>30-10-2025
24-02-2022
24-12-2021</v>
          </cell>
        </row>
        <row r="1038">
          <cell r="F1038" t="str">
            <v>MUZF01T126</v>
          </cell>
          <cell r="G1038" t="str">
            <v>TIKAULA SUGAR MILLS LTD</v>
          </cell>
          <cell r="H1038">
            <v>2017</v>
          </cell>
          <cell r="I1038" t="str">
            <v>-</v>
          </cell>
          <cell r="J1038" t="str">
            <v>Domestic</v>
          </cell>
          <cell r="K1038" t="str">
            <v>Sugar</v>
          </cell>
          <cell r="L1038" t="str">
            <v>Sugar</v>
          </cell>
          <cell r="M1038" t="str">
            <v>End User</v>
          </cell>
          <cell r="N1038" t="str">
            <v>(9001 &amp; above)</v>
          </cell>
          <cell r="O1038">
            <v>11000</v>
          </cell>
          <cell r="P1038" t="str">
            <v>NI</v>
          </cell>
          <cell r="Q1038" t="str">
            <v>AVIRAL SHUKLA</v>
          </cell>
          <cell r="S1038" t="str">
            <v>https://maps.app.goo.gl/4MAcrKU8FU3Gpuvd8</v>
          </cell>
          <cell r="T1038" t="str">
            <v>WESTERN</v>
          </cell>
          <cell r="U1038" t="str">
            <v>25-26</v>
          </cell>
          <cell r="W1038" t="str">
            <v>11-07-2025
30-05-2024
01-03-2024</v>
          </cell>
        </row>
        <row r="1039">
          <cell r="F1039" t="str">
            <v>BAGA01T067</v>
          </cell>
          <cell r="G1039" t="str">
            <v>TIRUPATI SUGARS LIMITED (bagha)</v>
          </cell>
          <cell r="H1039">
            <v>2013</v>
          </cell>
          <cell r="I1039" t="str">
            <v>-</v>
          </cell>
          <cell r="J1039" t="str">
            <v>Domestic</v>
          </cell>
          <cell r="K1039" t="str">
            <v>Sugar</v>
          </cell>
          <cell r="L1039" t="str">
            <v>Sugar</v>
          </cell>
          <cell r="M1039" t="str">
            <v>End User</v>
          </cell>
          <cell r="N1039" t="str">
            <v>(9001 &amp; above)</v>
          </cell>
          <cell r="O1039">
            <v>11000</v>
          </cell>
          <cell r="P1039" t="str">
            <v>NI</v>
          </cell>
          <cell r="Q1039" t="str">
            <v>AVIRAL SHUKLA</v>
          </cell>
          <cell r="S1039" t="str">
            <v>https://maps.app.goo.gl/5abP13dtnBqevTmx9</v>
          </cell>
          <cell r="T1039" t="str">
            <v>-</v>
          </cell>
          <cell r="U1039" t="str">
            <v>26-27</v>
          </cell>
          <cell r="V1039" t="str">
            <v>May</v>
          </cell>
          <cell r="W1039" t="str">
            <v>05.05.2026
18-12-2025
30-01-2025
28-09-2024
27-11-2023
09-01-2023
07-09-2022
26-02-2021
26-02-2021
14-10-2020
08-06-2019
05-02-2019</v>
          </cell>
        </row>
        <row r="1040">
          <cell r="F1040" t="str">
            <v>TRUL01T098</v>
          </cell>
          <cell r="G1040" t="str">
            <v>OSWA</v>
          </cell>
          <cell r="H1040">
            <v>2015</v>
          </cell>
          <cell r="I1040" t="str">
            <v>-</v>
          </cell>
          <cell r="J1040" t="str">
            <v>Domestic</v>
          </cell>
          <cell r="K1040" t="str">
            <v>Sugar</v>
          </cell>
          <cell r="L1040" t="str">
            <v>Sugar</v>
          </cell>
          <cell r="M1040" t="str">
            <v>End User</v>
          </cell>
          <cell r="N1040" t="str">
            <v>(0-5000)</v>
          </cell>
          <cell r="O1040">
            <v>2500</v>
          </cell>
          <cell r="P1040" t="str">
            <v>SI-GS</v>
          </cell>
          <cell r="Q1040" t="str">
            <v>SI-GS</v>
          </cell>
          <cell r="W1040">
            <v>45513</v>
          </cell>
        </row>
        <row r="1041">
          <cell r="F1041" t="str">
            <v>PUNE01T187</v>
          </cell>
          <cell r="G1041" t="str">
            <v>TKIL INDUSTRIES PVT LTD (Formerly THYSSENKRUPP INDUSTRIES)</v>
          </cell>
          <cell r="H1041">
            <v>2013</v>
          </cell>
          <cell r="I1041" t="str">
            <v>-</v>
          </cell>
          <cell r="J1041" t="str">
            <v>Domestic</v>
          </cell>
          <cell r="K1041" t="str">
            <v>Sugar</v>
          </cell>
          <cell r="L1041" t="str">
            <v>Sugar</v>
          </cell>
          <cell r="M1041" t="str">
            <v>OEM</v>
          </cell>
          <cell r="O1041" t="str">
            <v>-</v>
          </cell>
          <cell r="P1041" t="str">
            <v>NI</v>
          </cell>
          <cell r="Q1041" t="str">
            <v>AKSHAY AWASTHI</v>
          </cell>
          <cell r="S1041" t="str">
            <v>https://maps.app.goo.gl/tWpXnQDhYJnty2Ff8</v>
          </cell>
          <cell r="U1041" t="str">
            <v>25-26</v>
          </cell>
          <cell r="V1041" t="str">
            <v>Mar</v>
          </cell>
          <cell r="W1041">
            <v>46112</v>
          </cell>
        </row>
        <row r="1042">
          <cell r="F1042" t="str">
            <v>COIM01T178</v>
          </cell>
          <cell r="G1042" t="str">
            <v>TRAVANCORE LATEX COMPANY</v>
          </cell>
          <cell r="H1042" t="str">
            <v>23-24</v>
          </cell>
          <cell r="I1042" t="str">
            <v>-</v>
          </cell>
          <cell r="J1042" t="str">
            <v>Domestic</v>
          </cell>
          <cell r="K1042" t="str">
            <v>Textile</v>
          </cell>
          <cell r="L1042" t="str">
            <v>Non-Sugar</v>
          </cell>
          <cell r="M1042" t="str">
            <v>End User</v>
          </cell>
          <cell r="O1042" t="str">
            <v>-</v>
          </cell>
          <cell r="P1042" t="str">
            <v>NI</v>
          </cell>
          <cell r="Q1042" t="str">
            <v>AVIRAL SHUKLA</v>
          </cell>
          <cell r="T1042" t="str">
            <v>-</v>
          </cell>
          <cell r="U1042" t="str">
            <v>-</v>
          </cell>
          <cell r="W1042" t="str">
            <v>-</v>
          </cell>
        </row>
        <row r="1043">
          <cell r="F1043" t="str">
            <v>DLHI01T198</v>
          </cell>
          <cell r="G1043" t="str">
            <v>TRAVENTURE INTERNATIONAL PRIVATE LIMITED</v>
          </cell>
          <cell r="H1043" t="str">
            <v>-</v>
          </cell>
          <cell r="J1043" t="str">
            <v>Domestic</v>
          </cell>
          <cell r="P1043" t="str">
            <v>-</v>
          </cell>
          <cell r="Q1043" t="str">
            <v>-</v>
          </cell>
        </row>
        <row r="1044">
          <cell r="F1044" t="str">
            <v>NAGP01T141</v>
          </cell>
          <cell r="G1044" t="str">
            <v>TRIMURTI FEEDS</v>
          </cell>
          <cell r="H1044" t="str">
            <v>20-21</v>
          </cell>
          <cell r="I1044" t="str">
            <v>-</v>
          </cell>
          <cell r="J1044" t="str">
            <v>Domestic</v>
          </cell>
          <cell r="K1044" t="str">
            <v>Cattlefeed</v>
          </cell>
          <cell r="L1044" t="str">
            <v>Non-Sugar</v>
          </cell>
          <cell r="M1044" t="str">
            <v>End User</v>
          </cell>
          <cell r="O1044" t="str">
            <v>-</v>
          </cell>
          <cell r="P1044" t="str">
            <v>NI</v>
          </cell>
          <cell r="Q1044" t="str">
            <v>AVIRAL SHUKLA</v>
          </cell>
          <cell r="T1044" t="str">
            <v>-</v>
          </cell>
          <cell r="U1044" t="str">
            <v>-</v>
          </cell>
        </row>
        <row r="1045">
          <cell r="F1045" t="str">
            <v>BARL01T191</v>
          </cell>
          <cell r="G1045" t="str">
            <v>TRIVANTINATH SUGARS &amp; CHEMICALS PVT. LTD.</v>
          </cell>
          <cell r="H1045" t="str">
            <v>24-25</v>
          </cell>
          <cell r="I1045" t="str">
            <v>-</v>
          </cell>
          <cell r="J1045" t="str">
            <v>Domestic</v>
          </cell>
          <cell r="K1045" t="str">
            <v>Sugar</v>
          </cell>
          <cell r="L1045" t="str">
            <v>Sugar</v>
          </cell>
          <cell r="M1045" t="str">
            <v>End User</v>
          </cell>
          <cell r="N1045" t="str">
            <v>(0-5000)</v>
          </cell>
          <cell r="O1045">
            <v>2500</v>
          </cell>
          <cell r="P1045" t="str">
            <v>NI</v>
          </cell>
          <cell r="Q1045" t="str">
            <v>AKSHAY AWASTHI</v>
          </cell>
          <cell r="S1045" t="str">
            <v>https://share.google/DLRU9UDrHCmHweNto</v>
          </cell>
          <cell r="U1045" t="str">
            <v>25-26</v>
          </cell>
          <cell r="W1045" t="str">
            <v>14-05-2025</v>
          </cell>
        </row>
        <row r="1046">
          <cell r="F1046" t="str">
            <v>MUZF01T072</v>
          </cell>
          <cell r="G1046" t="str">
            <v>TRIVENI ENGG. &amp; IND. LTD. (KHATAULI)</v>
          </cell>
          <cell r="H1046">
            <v>2013</v>
          </cell>
          <cell r="I1046" t="str">
            <v>Triveni Group</v>
          </cell>
          <cell r="J1046" t="str">
            <v>Domestic</v>
          </cell>
          <cell r="K1046" t="str">
            <v>Sugar</v>
          </cell>
          <cell r="L1046" t="str">
            <v>Sugar</v>
          </cell>
          <cell r="M1046" t="str">
            <v>Group (Mills)</v>
          </cell>
          <cell r="N1046" t="str">
            <v>(9001 &amp; above)</v>
          </cell>
          <cell r="O1046">
            <v>14000</v>
          </cell>
          <cell r="P1046" t="str">
            <v>NI</v>
          </cell>
          <cell r="Q1046" t="str">
            <v>AVIRAL SHUKLA</v>
          </cell>
          <cell r="S1046" t="str">
            <v>https://maps.app.goo.gl/Z7TAPw7uVevxcqam7</v>
          </cell>
          <cell r="T1046" t="str">
            <v>WESTERN-1</v>
          </cell>
          <cell r="U1046" t="str">
            <v>25-26</v>
          </cell>
          <cell r="W1046" t="str">
            <v>30-10-2025
11-07-2025
24-10-2024
29-02-2024
26-05-2023
02-02-2023</v>
          </cell>
        </row>
        <row r="1047">
          <cell r="F1047" t="str">
            <v>SAHA01T073</v>
          </cell>
          <cell r="G1047" t="str">
            <v>TRIVENI ENGG.&amp; INDS. LTD. (deoband)</v>
          </cell>
          <cell r="H1047">
            <v>2015</v>
          </cell>
          <cell r="I1047" t="str">
            <v>Triveni Group</v>
          </cell>
          <cell r="J1047" t="str">
            <v>Domestic</v>
          </cell>
          <cell r="K1047" t="str">
            <v>Sugar</v>
          </cell>
          <cell r="L1047" t="str">
            <v>Sugar</v>
          </cell>
          <cell r="M1047" t="str">
            <v>Group (Mills)</v>
          </cell>
          <cell r="N1047" t="str">
            <v>(9001 &amp; above)</v>
          </cell>
          <cell r="O1047">
            <v>14000</v>
          </cell>
          <cell r="P1047" t="str">
            <v>NI</v>
          </cell>
          <cell r="Q1047" t="str">
            <v>AVIRAL SHUKLA</v>
          </cell>
          <cell r="T1047" t="str">
            <v>-</v>
          </cell>
          <cell r="U1047" t="str">
            <v>25-26</v>
          </cell>
          <cell r="W1047" t="str">
            <v>01-11-2025
02-02-2023
24-06-2022
24-06-2022</v>
          </cell>
        </row>
        <row r="1048">
          <cell r="F1048" t="str">
            <v>KUSH01T074</v>
          </cell>
          <cell r="G1048" t="str">
            <v>TRIVENI ENGG.&amp; INDUSTRIES LTD. (Ramkola)</v>
          </cell>
          <cell r="H1048">
            <v>2013</v>
          </cell>
          <cell r="I1048" t="str">
            <v>Triveni Group</v>
          </cell>
          <cell r="J1048" t="str">
            <v>Domestic</v>
          </cell>
          <cell r="K1048" t="str">
            <v>Sugar</v>
          </cell>
          <cell r="L1048" t="str">
            <v>Sugar</v>
          </cell>
          <cell r="M1048" t="str">
            <v>Group (Mills)</v>
          </cell>
          <cell r="N1048" t="str">
            <v>(5001-9000)</v>
          </cell>
          <cell r="O1048">
            <v>6000</v>
          </cell>
          <cell r="P1048" t="str">
            <v>NI</v>
          </cell>
          <cell r="Q1048" t="str">
            <v>HIMANSHU KUSHWAHA</v>
          </cell>
          <cell r="S1048" t="str">
            <v>https://maps.app.goo.gl/Q9PGRdWDNM4My5iSA</v>
          </cell>
          <cell r="T1048" t="str">
            <v>-</v>
          </cell>
          <cell r="U1048" t="str">
            <v>26-27</v>
          </cell>
          <cell r="V1048" t="str">
            <v>May</v>
          </cell>
          <cell r="W1048" t="str">
            <v>05.05.2026
12-06-2025
08-08-2024
13-07-2022
20-01-2022
26-11-2023</v>
          </cell>
        </row>
        <row r="1049">
          <cell r="F1049" t="str">
            <v>MORA01T076</v>
          </cell>
          <cell r="G1049" t="str">
            <v>TRIVENI ENGINEERING &amp; INDUSTRIES LTD. (rani Nangal)</v>
          </cell>
          <cell r="H1049">
            <v>2014</v>
          </cell>
          <cell r="I1049" t="str">
            <v>Triveni Group</v>
          </cell>
          <cell r="J1049" t="str">
            <v>Domestic</v>
          </cell>
          <cell r="K1049" t="str">
            <v>Sugar</v>
          </cell>
          <cell r="L1049" t="str">
            <v>Sugar</v>
          </cell>
          <cell r="M1049" t="str">
            <v>Group (Mills)</v>
          </cell>
          <cell r="N1049" t="str">
            <v>(5001-9000)</v>
          </cell>
          <cell r="O1049">
            <v>6000</v>
          </cell>
          <cell r="P1049" t="str">
            <v>NI</v>
          </cell>
          <cell r="Q1049" t="str">
            <v>AVIRAL SHUKLA</v>
          </cell>
          <cell r="T1049" t="str">
            <v>-</v>
          </cell>
          <cell r="U1049" t="str">
            <v>25-26</v>
          </cell>
          <cell r="W1049" t="str">
            <v>3-2-2026
15-05-2025
17/01/2025</v>
          </cell>
        </row>
        <row r="1050">
          <cell r="F1050" t="str">
            <v>AMRO01T117</v>
          </cell>
          <cell r="G1050" t="str">
            <v>TRIVENI ENGINEERING &amp; INDUSTRIES LTD (AMROHA)Chandanpur</v>
          </cell>
          <cell r="H1050">
            <v>2016</v>
          </cell>
          <cell r="I1050" t="str">
            <v>Triveni Group</v>
          </cell>
          <cell r="J1050" t="str">
            <v>Domestic</v>
          </cell>
          <cell r="K1050" t="str">
            <v>Sugar</v>
          </cell>
          <cell r="L1050" t="str">
            <v>Sugar</v>
          </cell>
          <cell r="M1050" t="str">
            <v>Group (Mills)</v>
          </cell>
          <cell r="N1050" t="str">
            <v>(5001-9000)</v>
          </cell>
          <cell r="O1050">
            <v>6000</v>
          </cell>
          <cell r="P1050" t="str">
            <v>NI</v>
          </cell>
          <cell r="Q1050" t="str">
            <v>HIMANSHU KUSHWAHA</v>
          </cell>
          <cell r="S1050" t="str">
            <v>https://share.google/nGB6EeigEpc0TzXC5</v>
          </cell>
          <cell r="T1050" t="str">
            <v>WESTERN</v>
          </cell>
          <cell r="U1050" t="str">
            <v>25-26</v>
          </cell>
          <cell r="V1050" t="str">
            <v>Feb</v>
          </cell>
          <cell r="W1050" t="str">
            <v>26-02-2026
28-08-2025
05-03-2025
20-09-2024
22-12-2023
09-12-2022
07-08-2022
16-09-2021</v>
          </cell>
        </row>
        <row r="1051">
          <cell r="F1051" t="str">
            <v>KHUR01T078</v>
          </cell>
          <cell r="G1051" t="str">
            <v>TRIVENI ENGINEERING &amp; INDUSTRIES LTD. (sabitgarh)</v>
          </cell>
          <cell r="H1051">
            <v>2013</v>
          </cell>
          <cell r="I1051" t="str">
            <v>Triveni Group</v>
          </cell>
          <cell r="J1051" t="str">
            <v>Domestic</v>
          </cell>
          <cell r="K1051" t="str">
            <v>Sugar</v>
          </cell>
          <cell r="L1051" t="str">
            <v>Sugar</v>
          </cell>
          <cell r="M1051" t="str">
            <v>Group (Mills)</v>
          </cell>
          <cell r="N1051" t="str">
            <v>(5001-9000)</v>
          </cell>
          <cell r="O1051">
            <v>7500</v>
          </cell>
          <cell r="P1051" t="str">
            <v>NI</v>
          </cell>
          <cell r="Q1051" t="str">
            <v>HIMANSHU KUSHWAHA</v>
          </cell>
          <cell r="R1051" t="str">
            <v>HIMANSHU KUSHWAHA</v>
          </cell>
          <cell r="S1051" t="str">
            <v>https://share.google/KJFBxzK8RpEA9HjBm</v>
          </cell>
          <cell r="T1051" t="str">
            <v>WESTERN</v>
          </cell>
          <cell r="U1051" t="str">
            <v>25-26</v>
          </cell>
          <cell r="V1051" t="str">
            <v>Feb</v>
          </cell>
          <cell r="W1051" t="str">
            <v>27-02-2026
30-08-2025
05-03-2025
22-09-2024
24-12-2023
14-09-2021</v>
          </cell>
        </row>
        <row r="1052">
          <cell r="F1052" t="str">
            <v>RAMP01T075</v>
          </cell>
          <cell r="G1052" t="str">
            <v>TRIVENI ENGINEERING&amp; INDUSTRIES LTD (rampur) MILAKNARAYANPUR</v>
          </cell>
          <cell r="H1052">
            <v>2014</v>
          </cell>
          <cell r="I1052" t="str">
            <v>Triveni Group</v>
          </cell>
          <cell r="J1052" t="str">
            <v>Domestic</v>
          </cell>
          <cell r="K1052" t="str">
            <v>Sugar</v>
          </cell>
          <cell r="L1052" t="str">
            <v>Sugar</v>
          </cell>
          <cell r="M1052" t="str">
            <v>Group (Mills)</v>
          </cell>
          <cell r="N1052" t="str">
            <v>(5001-9000)</v>
          </cell>
          <cell r="O1052">
            <v>6000</v>
          </cell>
          <cell r="P1052" t="str">
            <v>NI</v>
          </cell>
          <cell r="Q1052" t="str">
            <v>AVIRAL SHUKLA</v>
          </cell>
          <cell r="T1052" t="str">
            <v>CENTRAL + U.K</v>
          </cell>
          <cell r="U1052" t="str">
            <v>25-26</v>
          </cell>
          <cell r="W1052" t="str">
            <v>04-02-2026
16-05-2025
18-01-2025
23-05-2024
20-12-2023</v>
          </cell>
        </row>
        <row r="1053">
          <cell r="F1053" t="str">
            <v>BAGL01T215</v>
          </cell>
          <cell r="G1053" t="str">
            <v>TRUALT BIO ENERGY PVT LTD UNIT -5</v>
          </cell>
          <cell r="H1053" t="str">
            <v>-</v>
          </cell>
          <cell r="J1053" t="str">
            <v>Domestic</v>
          </cell>
          <cell r="P1053" t="str">
            <v>AV</v>
          </cell>
          <cell r="Q1053" t="str">
            <v>-</v>
          </cell>
        </row>
        <row r="1054">
          <cell r="F1054" t="str">
            <v>JAMK01T209</v>
          </cell>
          <cell r="G1054" t="str">
            <v>TRUALT BIOENERGY LIMITED - UNIT 2 DISTILLERY(Nirani)</v>
          </cell>
          <cell r="H1054" t="str">
            <v>25-26</v>
          </cell>
          <cell r="I1054" t="str">
            <v>Nirani Group</v>
          </cell>
          <cell r="J1054" t="str">
            <v>Domestic</v>
          </cell>
          <cell r="K1054" t="str">
            <v>Distillery</v>
          </cell>
          <cell r="L1054" t="str">
            <v>Non-Sugar</v>
          </cell>
          <cell r="M1054" t="str">
            <v>Group (Mills)</v>
          </cell>
          <cell r="O1054" t="str">
            <v>600 KLPD</v>
          </cell>
          <cell r="P1054" t="str">
            <v>AV</v>
          </cell>
          <cell r="Q1054" t="str">
            <v>AV</v>
          </cell>
          <cell r="R1054" t="str">
            <v>VG</v>
          </cell>
          <cell r="T1054" t="str">
            <v>Bagalkot - 2</v>
          </cell>
          <cell r="U1054" t="str">
            <v>-</v>
          </cell>
          <cell r="W1054" t="str">
            <v>-</v>
          </cell>
        </row>
        <row r="1055">
          <cell r="F1055" t="str">
            <v>BAGL01T216</v>
          </cell>
          <cell r="G1055" t="str">
            <v>TRUALT BIOENERGY LIMITED- IV (Nirani)</v>
          </cell>
          <cell r="H1055" t="str">
            <v>25-26</v>
          </cell>
          <cell r="I1055" t="str">
            <v>Nirani Group</v>
          </cell>
          <cell r="J1055" t="str">
            <v>Domestic</v>
          </cell>
          <cell r="K1055" t="str">
            <v>Distillery</v>
          </cell>
          <cell r="L1055" t="str">
            <v>Non-Sugar</v>
          </cell>
          <cell r="M1055" t="str">
            <v>Group (Mills)</v>
          </cell>
          <cell r="O1055" t="str">
            <v>300 KLPD</v>
          </cell>
          <cell r="P1055" t="str">
            <v>AV</v>
          </cell>
          <cell r="Q1055" t="str">
            <v>AV</v>
          </cell>
          <cell r="R1055" t="str">
            <v>VG</v>
          </cell>
          <cell r="S1055" t="str">
            <v>NA</v>
          </cell>
          <cell r="T1055" t="str">
            <v>Bagalkot - 2</v>
          </cell>
        </row>
        <row r="1056">
          <cell r="F1056" t="str">
            <v>BAGL01T163</v>
          </cell>
          <cell r="G1056" t="str">
            <v>TRUALT BIOENERGY LIMITED(NIRANI GROUP)DISTILLERY UNIT</v>
          </cell>
          <cell r="H1056" t="str">
            <v>23-24</v>
          </cell>
          <cell r="I1056" t="str">
            <v>Nirani Group</v>
          </cell>
          <cell r="J1056" t="str">
            <v>Domestic</v>
          </cell>
          <cell r="K1056" t="str">
            <v>Distillery</v>
          </cell>
          <cell r="L1056" t="str">
            <v>Non-Sugar</v>
          </cell>
          <cell r="M1056" t="str">
            <v>Group (Mills)</v>
          </cell>
          <cell r="O1056" t="str">
            <v>-</v>
          </cell>
          <cell r="P1056" t="str">
            <v>AV</v>
          </cell>
          <cell r="Q1056" t="str">
            <v>AV</v>
          </cell>
          <cell r="R1056" t="str">
            <v>VG</v>
          </cell>
          <cell r="S1056" t="str">
            <v>https://share.google/pp0jcCjf4WHK6Q0kf</v>
          </cell>
          <cell r="T1056" t="str">
            <v>Bagalkot - 2</v>
          </cell>
          <cell r="U1056" t="str">
            <v>24-25</v>
          </cell>
          <cell r="W1056" t="str">
            <v>25/02/2025
26-02-2024</v>
          </cell>
        </row>
        <row r="1057">
          <cell r="F1057" t="str">
            <v>CHEN01T179</v>
          </cell>
          <cell r="G1057" t="str">
            <v>TUBE INVESTMENTS OF INDIA LTD</v>
          </cell>
          <cell r="H1057" t="str">
            <v>24-25</v>
          </cell>
          <cell r="I1057" t="str">
            <v>-</v>
          </cell>
          <cell r="J1057" t="str">
            <v>Domestic</v>
          </cell>
          <cell r="K1057" t="str">
            <v>Others</v>
          </cell>
          <cell r="L1057" t="str">
            <v>Non-Sugar</v>
          </cell>
          <cell r="M1057" t="str">
            <v>OEM</v>
          </cell>
          <cell r="P1057" t="str">
            <v>SI-GS</v>
          </cell>
          <cell r="Q1057" t="str">
            <v>SI-GS</v>
          </cell>
        </row>
        <row r="1058">
          <cell r="F1058" t="str">
            <v>LATU01T133</v>
          </cell>
          <cell r="G1058" t="str">
            <v>TWENTY ONE SUGAR LIMITED Unit 1</v>
          </cell>
          <cell r="H1058">
            <v>2020</v>
          </cell>
          <cell r="I1058" t="str">
            <v>Twenty One Group</v>
          </cell>
          <cell r="J1058" t="str">
            <v>Domestic</v>
          </cell>
          <cell r="K1058" t="str">
            <v>Sugar</v>
          </cell>
          <cell r="L1058" t="str">
            <v>Sugar</v>
          </cell>
          <cell r="M1058" t="str">
            <v>Group (Mills)</v>
          </cell>
          <cell r="N1058" t="str">
            <v>(5001-9000)</v>
          </cell>
          <cell r="O1058">
            <v>7500</v>
          </cell>
          <cell r="P1058" t="str">
            <v>AV</v>
          </cell>
          <cell r="Q1058" t="str">
            <v>AV</v>
          </cell>
          <cell r="R1058" t="str">
            <v>PD</v>
          </cell>
          <cell r="S1058" t="str">
            <v>https://maps.app.goo.gl/s5b86666Cu7egrAe9</v>
          </cell>
          <cell r="T1058" t="str">
            <v>Latur - 1</v>
          </cell>
          <cell r="U1058" t="str">
            <v>25-26</v>
          </cell>
          <cell r="W1058" t="str">
            <v>27-10-2025
29-9-2025
5-7-25
10/7/2023</v>
          </cell>
        </row>
        <row r="1059">
          <cell r="F1059" t="str">
            <v>NAND01T159</v>
          </cell>
          <cell r="G1059" t="str">
            <v>TWENTYONE SUGARS LIMITED UNIT-III (Formerly DVP Dharashiv unit -3)</v>
          </cell>
          <cell r="H1059" t="str">
            <v>22-23</v>
          </cell>
          <cell r="I1059" t="str">
            <v>Twenty One Group</v>
          </cell>
          <cell r="J1059" t="str">
            <v>Domestic</v>
          </cell>
          <cell r="K1059" t="str">
            <v>Sugar</v>
          </cell>
          <cell r="L1059" t="str">
            <v>Sugar</v>
          </cell>
          <cell r="M1059" t="str">
            <v>Group (Mills)</v>
          </cell>
          <cell r="N1059" t="str">
            <v>(0-5000)</v>
          </cell>
          <cell r="O1059">
            <v>2500</v>
          </cell>
          <cell r="P1059" t="str">
            <v>AV</v>
          </cell>
          <cell r="Q1059" t="str">
            <v>AV</v>
          </cell>
          <cell r="R1059" t="str">
            <v>PD</v>
          </cell>
          <cell r="T1059" t="str">
            <v>Hingoli_Nanded- 1</v>
          </cell>
          <cell r="U1059" t="str">
            <v>26-27</v>
          </cell>
          <cell r="V1059" t="str">
            <v>Apr</v>
          </cell>
          <cell r="W1059" t="str">
            <v>29.4.26
11/25/2023</v>
          </cell>
        </row>
        <row r="1060">
          <cell r="F1060" t="str">
            <v>PARB01T142</v>
          </cell>
          <cell r="G1060" t="str">
            <v>TWENTYONE SUGARS LTD - UNIT-2 (Formerly Maharashtra Shetkari Sugar Ltd.)</v>
          </cell>
          <cell r="H1060">
            <v>2021</v>
          </cell>
          <cell r="I1060" t="str">
            <v>Twenty One Group</v>
          </cell>
          <cell r="J1060" t="str">
            <v>Domestic</v>
          </cell>
          <cell r="K1060" t="str">
            <v>Sugar</v>
          </cell>
          <cell r="L1060" t="str">
            <v>Sugar</v>
          </cell>
          <cell r="M1060" t="str">
            <v>Group (Mills)</v>
          </cell>
          <cell r="N1060" t="str">
            <v>(9001 &amp; above)</v>
          </cell>
          <cell r="O1060">
            <v>10000</v>
          </cell>
          <cell r="P1060" t="str">
            <v>AV</v>
          </cell>
          <cell r="Q1060" t="str">
            <v>AV</v>
          </cell>
          <cell r="R1060" t="str">
            <v>PD</v>
          </cell>
          <cell r="S1060" t="str">
            <v>https://maps.app.goo.gl/gwKJJ2p2deMCUsvi7</v>
          </cell>
          <cell r="T1060" t="str">
            <v>Parbhani - 1</v>
          </cell>
          <cell r="U1060" t="str">
            <v>26-27</v>
          </cell>
          <cell r="V1060" t="str">
            <v>Apr</v>
          </cell>
          <cell r="W1060" t="str">
            <v>22-4-2026
2/5/2024</v>
          </cell>
        </row>
        <row r="1061">
          <cell r="F1061" t="str">
            <v>BEED01U052</v>
          </cell>
          <cell r="G1061" t="str">
            <v>U K FARMERS PRODUCT COMPANY</v>
          </cell>
          <cell r="H1061" t="str">
            <v>23-24</v>
          </cell>
          <cell r="I1061" t="str">
            <v>-</v>
          </cell>
          <cell r="J1061" t="str">
            <v>Domestic</v>
          </cell>
          <cell r="K1061" t="str">
            <v>Sugar</v>
          </cell>
          <cell r="L1061" t="str">
            <v>Sugar</v>
          </cell>
          <cell r="M1061" t="str">
            <v>End User</v>
          </cell>
          <cell r="N1061" t="str">
            <v>(0-5000)</v>
          </cell>
          <cell r="O1061">
            <v>1000</v>
          </cell>
          <cell r="P1061" t="str">
            <v>AV</v>
          </cell>
          <cell r="Q1061" t="str">
            <v>AV</v>
          </cell>
          <cell r="R1061" t="str">
            <v>PD</v>
          </cell>
          <cell r="S1061" t="str">
            <v>https://share.google/a99HbSEzQJTxxboYu</v>
          </cell>
          <cell r="T1061" t="str">
            <v>Beed - 1</v>
          </cell>
          <cell r="U1061" t="str">
            <v>25-26</v>
          </cell>
          <cell r="W1061" t="str">
            <v>6-1-2026
11/8/2023</v>
          </cell>
        </row>
        <row r="1062">
          <cell r="F1062" t="str">
            <v>MERT01U024</v>
          </cell>
          <cell r="G1062" t="str">
            <v>U P STATE SUGAR CORPORATION LTD</v>
          </cell>
          <cell r="H1062">
            <v>2018</v>
          </cell>
          <cell r="I1062" t="str">
            <v>-</v>
          </cell>
          <cell r="J1062" t="str">
            <v>Domestic</v>
          </cell>
          <cell r="K1062" t="str">
            <v>Sugar</v>
          </cell>
          <cell r="L1062" t="str">
            <v>Sugar</v>
          </cell>
          <cell r="M1062" t="str">
            <v>End User</v>
          </cell>
          <cell r="N1062" t="str">
            <v>(0-5000)</v>
          </cell>
          <cell r="O1062">
            <v>3500</v>
          </cell>
          <cell r="P1062" t="str">
            <v>NI</v>
          </cell>
          <cell r="Q1062" t="str">
            <v>AKSHAY AWASTHI</v>
          </cell>
          <cell r="S1062" t="str">
            <v>https://maps.app.goo.gl/8dkWL62Tg2FQtvwk9</v>
          </cell>
          <cell r="T1062" t="str">
            <v>WESTERN -2</v>
          </cell>
          <cell r="U1062" t="str">
            <v>25-26</v>
          </cell>
          <cell r="V1062" t="str">
            <v>Mar</v>
          </cell>
          <cell r="W1062" t="str">
            <v>23-03-2026
30-10-2025
28-06-2025
10/25/2024</v>
          </cell>
        </row>
        <row r="1063">
          <cell r="F1063" t="str">
            <v>BAST01U027</v>
          </cell>
          <cell r="G1063" t="str">
            <v>U.P. RAJYA CHINI AVAM GANNA VIKAS NIGAM LTD</v>
          </cell>
          <cell r="H1063" t="str">
            <v>19-20</v>
          </cell>
          <cell r="I1063" t="str">
            <v>-</v>
          </cell>
          <cell r="J1063" t="str">
            <v>Domestic</v>
          </cell>
          <cell r="K1063" t="str">
            <v>Sugar</v>
          </cell>
          <cell r="L1063" t="str">
            <v>Sugar</v>
          </cell>
          <cell r="M1063" t="str">
            <v>End User</v>
          </cell>
          <cell r="N1063" t="str">
            <v>(0-5000)</v>
          </cell>
          <cell r="O1063">
            <v>5000</v>
          </cell>
          <cell r="P1063" t="str">
            <v>NI</v>
          </cell>
          <cell r="Q1063" t="str">
            <v>HIMANSHU KUSHWAHA</v>
          </cell>
          <cell r="S1063" t="str">
            <v>https://maps.app.goo.gl/veUZmjJR3NsxdMWu7</v>
          </cell>
          <cell r="T1063" t="str">
            <v>-</v>
          </cell>
        </row>
        <row r="1064">
          <cell r="F1064" t="str">
            <v>GORA01U030</v>
          </cell>
          <cell r="G1064" t="str">
            <v>U.P. STATE SUGAR &amp; CANE DEVELOPMENT CORPN. LTD</v>
          </cell>
          <cell r="H1064" t="str">
            <v>19-20</v>
          </cell>
          <cell r="I1064" t="str">
            <v>-</v>
          </cell>
          <cell r="J1064" t="str">
            <v>Domestic</v>
          </cell>
          <cell r="K1064" t="str">
            <v>Sugar</v>
          </cell>
          <cell r="L1064" t="str">
            <v>Sugar</v>
          </cell>
          <cell r="M1064" t="str">
            <v>End User</v>
          </cell>
          <cell r="N1064" t="str">
            <v>(0-5000)</v>
          </cell>
          <cell r="O1064">
            <v>5000</v>
          </cell>
          <cell r="P1064" t="str">
            <v>NI</v>
          </cell>
          <cell r="Q1064" t="str">
            <v>HIMANSHU KUSHWAHA</v>
          </cell>
          <cell r="S1064" t="str">
            <v>https://maps.app.goo.gl/hdmzSQQ99nyC3nu1A</v>
          </cell>
          <cell r="T1064" t="str">
            <v>-</v>
          </cell>
          <cell r="U1064" t="str">
            <v>26-27</v>
          </cell>
          <cell r="V1064" t="str">
            <v>May</v>
          </cell>
          <cell r="W1064" t="str">
            <v>5-5-2026
13-06-2025
05-08-2024
26-11-2023
20-01-2022
05-08-2021</v>
          </cell>
        </row>
        <row r="1065">
          <cell r="F1065" t="str">
            <v>SANG01U007</v>
          </cell>
          <cell r="G1065" t="str">
            <v>UDAGIRI SUGAR &amp; POWER LTD.</v>
          </cell>
          <cell r="H1065">
            <v>2013</v>
          </cell>
          <cell r="I1065" t="str">
            <v>-</v>
          </cell>
          <cell r="J1065" t="str">
            <v>Domestic</v>
          </cell>
          <cell r="K1065" t="str">
            <v>Sugar</v>
          </cell>
          <cell r="L1065" t="str">
            <v>Sugar</v>
          </cell>
          <cell r="M1065" t="str">
            <v>End User</v>
          </cell>
          <cell r="N1065" t="str">
            <v>(0-5000)</v>
          </cell>
          <cell r="O1065">
            <v>3500</v>
          </cell>
          <cell r="P1065" t="str">
            <v>MRK</v>
          </cell>
          <cell r="Q1065" t="str">
            <v>MRK</v>
          </cell>
          <cell r="R1065" t="str">
            <v>VG</v>
          </cell>
          <cell r="S1065" t="str">
            <v>https://maps.app.goo.gl/ns1eYqYjKomqJsmb9</v>
          </cell>
          <cell r="T1065" t="str">
            <v>Sangli - 1</v>
          </cell>
          <cell r="U1065" t="str">
            <v>26-27</v>
          </cell>
          <cell r="V1065" t="str">
            <v>May</v>
          </cell>
          <cell r="W1065" t="str">
            <v>28.05.2026
14-08-2025
24-07-2024
09-01-2024</v>
          </cell>
        </row>
        <row r="1066">
          <cell r="F1066" t="str">
            <v>SANG01U069</v>
          </cell>
          <cell r="G1066" t="str">
            <v>UDAY RESHELLERS &amp; CAST ALLOYS LLP</v>
          </cell>
          <cell r="H1066" t="str">
            <v>25-26</v>
          </cell>
          <cell r="I1066" t="str">
            <v>-</v>
          </cell>
          <cell r="J1066" t="str">
            <v>Domestic</v>
          </cell>
          <cell r="K1066" t="str">
            <v>Sugar</v>
          </cell>
          <cell r="L1066" t="str">
            <v>Sugar</v>
          </cell>
          <cell r="M1066" t="str">
            <v>Trader</v>
          </cell>
          <cell r="P1066" t="str">
            <v>AV</v>
          </cell>
          <cell r="Q1066" t="str">
            <v>AV</v>
          </cell>
          <cell r="R1066" t="str">
            <v>OEM</v>
          </cell>
        </row>
        <row r="1067">
          <cell r="F1067" t="str">
            <v>PUNE01U006</v>
          </cell>
          <cell r="G1067" t="str">
            <v>ULKA INDUSTRIES LTD.-UNIT-II</v>
          </cell>
          <cell r="H1067" t="str">
            <v>22-23</v>
          </cell>
          <cell r="I1067" t="str">
            <v>-</v>
          </cell>
          <cell r="J1067" t="str">
            <v>Domestic</v>
          </cell>
          <cell r="K1067" t="str">
            <v>Sugar</v>
          </cell>
          <cell r="L1067" t="str">
            <v>Sugar</v>
          </cell>
          <cell r="M1067" t="str">
            <v>OEM</v>
          </cell>
          <cell r="O1067" t="str">
            <v>-</v>
          </cell>
          <cell r="P1067" t="str">
            <v>NI</v>
          </cell>
          <cell r="Q1067" t="str">
            <v>AKSHAY AWASTHI</v>
          </cell>
          <cell r="T1067" t="str">
            <v>GUJARAT+ PUNE</v>
          </cell>
          <cell r="U1067" t="str">
            <v>26-27</v>
          </cell>
          <cell r="V1067" t="str">
            <v>Apr</v>
          </cell>
          <cell r="W1067" t="str">
            <v>01-04-2026
26-09-2025
8/30/2024</v>
          </cell>
        </row>
        <row r="1068">
          <cell r="F1068" t="str">
            <v>DLHI01U044</v>
          </cell>
          <cell r="G1068" t="str">
            <v>UNEXO LIFE SCIENCES PVT LTD.</v>
          </cell>
          <cell r="H1068" t="str">
            <v>22-23</v>
          </cell>
          <cell r="I1068" t="str">
            <v>-</v>
          </cell>
          <cell r="J1068" t="str">
            <v>Domestic</v>
          </cell>
          <cell r="K1068" t="str">
            <v>OTHERS</v>
          </cell>
          <cell r="L1068" t="str">
            <v>Non-Sugar</v>
          </cell>
          <cell r="M1068" t="str">
            <v>End User</v>
          </cell>
          <cell r="O1068" t="str">
            <v>-</v>
          </cell>
          <cell r="P1068" t="str">
            <v>NI</v>
          </cell>
          <cell r="Q1068" t="str">
            <v>AVIRAL SHUKLA</v>
          </cell>
          <cell r="T1068" t="str">
            <v>-</v>
          </cell>
          <cell r="U1068" t="str">
            <v>-</v>
          </cell>
        </row>
        <row r="1069">
          <cell r="F1069" t="str">
            <v>LUCK01U071</v>
          </cell>
          <cell r="G1069" t="str">
            <v>UNIBUILD CHEMIC INDIA PVT. LTD</v>
          </cell>
          <cell r="H1069" t="str">
            <v>25-26</v>
          </cell>
          <cell r="I1069" t="str">
            <v>-</v>
          </cell>
          <cell r="J1069" t="str">
            <v>Domestic</v>
          </cell>
          <cell r="K1069" t="str">
            <v>OTHERS</v>
          </cell>
          <cell r="L1069" t="str">
            <v>Non-Sugar</v>
          </cell>
          <cell r="M1069" t="str">
            <v>End User</v>
          </cell>
          <cell r="O1069" t="str">
            <v>-</v>
          </cell>
          <cell r="P1069" t="str">
            <v>NI</v>
          </cell>
          <cell r="Q1069" t="str">
            <v>HIMANSHU KUSHWAHA</v>
          </cell>
        </row>
        <row r="1070">
          <cell r="F1070" t="str">
            <v>THAN01U064</v>
          </cell>
          <cell r="G1070" t="str">
            <v>UNITED BIOENERGY PVT LTD</v>
          </cell>
          <cell r="H1070" t="str">
            <v>-</v>
          </cell>
          <cell r="J1070" t="str">
            <v>Domestic</v>
          </cell>
          <cell r="P1070" t="str">
            <v>AV</v>
          </cell>
          <cell r="Q1070" t="str">
            <v>-</v>
          </cell>
        </row>
        <row r="1071">
          <cell r="F1071" t="str">
            <v>JAGA01U036</v>
          </cell>
          <cell r="G1071" t="str">
            <v>UNITED LOGISTICS (BREATHEGREEN INDIA PRIVATE LIMITED)</v>
          </cell>
          <cell r="H1071" t="str">
            <v>22-23</v>
          </cell>
          <cell r="I1071" t="str">
            <v>-</v>
          </cell>
          <cell r="J1071" t="str">
            <v>Domestic</v>
          </cell>
          <cell r="K1071" t="str">
            <v>OTHERS</v>
          </cell>
          <cell r="L1071" t="str">
            <v>Non-Sugar</v>
          </cell>
          <cell r="M1071" t="str">
            <v>End User</v>
          </cell>
          <cell r="O1071" t="str">
            <v>-</v>
          </cell>
          <cell r="P1071" t="str">
            <v>NI</v>
          </cell>
          <cell r="Q1071" t="str">
            <v>AVIRAL SHUKLA</v>
          </cell>
          <cell r="T1071" t="str">
            <v>-</v>
          </cell>
          <cell r="U1071" t="str">
            <v>-</v>
          </cell>
        </row>
        <row r="1072">
          <cell r="F1072" t="str">
            <v>PUNE01U059</v>
          </cell>
          <cell r="G1072" t="str">
            <v>UNIVERSAL FORCES INDUSTRIES</v>
          </cell>
          <cell r="H1072" t="str">
            <v>24-25</v>
          </cell>
          <cell r="I1072" t="str">
            <v>-</v>
          </cell>
          <cell r="J1072" t="str">
            <v>Domestic</v>
          </cell>
          <cell r="K1072" t="str">
            <v>Sugar</v>
          </cell>
          <cell r="L1072" t="str">
            <v>Sugar</v>
          </cell>
          <cell r="M1072" t="str">
            <v>OEM</v>
          </cell>
          <cell r="O1072" t="str">
            <v>-</v>
          </cell>
          <cell r="P1072" t="str">
            <v>NI</v>
          </cell>
          <cell r="Q1072" t="str">
            <v>AVIRAL SHUKLA</v>
          </cell>
          <cell r="R1072" t="str">
            <v>AKSHAY AWASTHI</v>
          </cell>
          <cell r="T1072" t="str">
            <v>GUJARAT + PUNE</v>
          </cell>
          <cell r="U1072" t="str">
            <v>26-27</v>
          </cell>
          <cell r="V1072" t="str">
            <v>Apr</v>
          </cell>
          <cell r="W1072">
            <v>46113</v>
          </cell>
        </row>
        <row r="1073">
          <cell r="F1073" t="str">
            <v>PUNE01U040</v>
          </cell>
          <cell r="G1073" t="str">
            <v>UNIVERSAL FORCES INDUSTRIES PVT LTD</v>
          </cell>
          <cell r="H1073" t="str">
            <v>23-24</v>
          </cell>
          <cell r="I1073" t="str">
            <v>-</v>
          </cell>
          <cell r="J1073" t="str">
            <v>Domestic</v>
          </cell>
          <cell r="K1073" t="str">
            <v>Sugar</v>
          </cell>
          <cell r="L1073" t="str">
            <v>Sugar</v>
          </cell>
          <cell r="M1073" t="str">
            <v>OEM</v>
          </cell>
          <cell r="O1073" t="str">
            <v>-</v>
          </cell>
          <cell r="P1073" t="str">
            <v>NI</v>
          </cell>
          <cell r="Q1073" t="str">
            <v>AVIRAL SHUKLA</v>
          </cell>
          <cell r="S1073" t="str">
            <v>https://maps.app.goo.gl/pJnhfNo1d1GukWjLA</v>
          </cell>
          <cell r="T1073" t="str">
            <v>GUJARAT + PUNE</v>
          </cell>
          <cell r="U1073" t="str">
            <v>26-27</v>
          </cell>
          <cell r="V1073" t="str">
            <v>Apr</v>
          </cell>
          <cell r="W1073">
            <v>46113</v>
          </cell>
        </row>
        <row r="1074">
          <cell r="F1074" t="str">
            <v>SAHA01U029</v>
          </cell>
          <cell r="G1074" t="str">
            <v>UNIVERSAL HEAVY ENGINEERING CO</v>
          </cell>
          <cell r="H1074" t="str">
            <v>19-20</v>
          </cell>
          <cell r="I1074" t="str">
            <v>-</v>
          </cell>
          <cell r="J1074" t="str">
            <v>Domestic</v>
          </cell>
          <cell r="K1074" t="str">
            <v>Sugar</v>
          </cell>
          <cell r="L1074" t="str">
            <v>Sugar</v>
          </cell>
          <cell r="M1074" t="str">
            <v>OEM</v>
          </cell>
          <cell r="O1074" t="str">
            <v>-</v>
          </cell>
          <cell r="P1074" t="str">
            <v>NI</v>
          </cell>
          <cell r="Q1074" t="str">
            <v>HIMANSHU KUSHWAHA</v>
          </cell>
          <cell r="T1074" t="str">
            <v>-</v>
          </cell>
          <cell r="U1074" t="str">
            <v>24-25</v>
          </cell>
          <cell r="W1074">
            <v>45632</v>
          </cell>
        </row>
        <row r="1075">
          <cell r="F1075" t="str">
            <v>SONI01U053</v>
          </cell>
          <cell r="G1075" t="str">
            <v>UP ALUM PVT. LTD. LALPUR</v>
          </cell>
          <cell r="H1075" t="str">
            <v>24-25</v>
          </cell>
          <cell r="I1075" t="str">
            <v>-</v>
          </cell>
          <cell r="J1075" t="str">
            <v>Domestic</v>
          </cell>
          <cell r="K1075" t="str">
            <v>OTHERS</v>
          </cell>
          <cell r="L1075" t="str">
            <v>Non-Sugar</v>
          </cell>
          <cell r="M1075" t="str">
            <v>OEM</v>
          </cell>
          <cell r="O1075" t="str">
            <v>-</v>
          </cell>
          <cell r="P1075" t="str">
            <v>NI</v>
          </cell>
          <cell r="Q1075" t="str">
            <v>HIMANSHU KUSHWAHA</v>
          </cell>
        </row>
        <row r="1076">
          <cell r="F1076" t="str">
            <v>RNCH01U032</v>
          </cell>
          <cell r="G1076" t="str">
            <v>URANIUM CORPORATION OF INDIA LIMITED</v>
          </cell>
          <cell r="H1076" t="str">
            <v>20-21</v>
          </cell>
          <cell r="I1076" t="str">
            <v>-</v>
          </cell>
          <cell r="J1076" t="str">
            <v>Domestic</v>
          </cell>
          <cell r="K1076" t="str">
            <v>OTHERS</v>
          </cell>
          <cell r="L1076" t="str">
            <v>Non-Sugar</v>
          </cell>
          <cell r="M1076" t="str">
            <v>End User</v>
          </cell>
          <cell r="O1076" t="str">
            <v>-</v>
          </cell>
          <cell r="P1076" t="str">
            <v>VA</v>
          </cell>
          <cell r="Q1076" t="str">
            <v>VA</v>
          </cell>
          <cell r="T1076" t="str">
            <v>-</v>
          </cell>
          <cell r="U1076" t="str">
            <v>-</v>
          </cell>
          <cell r="W1076" t="str">
            <v>-</v>
          </cell>
        </row>
        <row r="1077">
          <cell r="F1077" t="str">
            <v>GOPA01U067</v>
          </cell>
          <cell r="G1077" t="str">
            <v>UTKARSH BIOFUELS</v>
          </cell>
          <cell r="H1077" t="str">
            <v>-</v>
          </cell>
          <cell r="J1077" t="str">
            <v>Domestic</v>
          </cell>
          <cell r="P1077" t="str">
            <v>HO</v>
          </cell>
          <cell r="Q1077" t="str">
            <v>HIMANSHU KUSHWAHA</v>
          </cell>
        </row>
        <row r="1078">
          <cell r="F1078" t="str">
            <v>PATN01U068</v>
          </cell>
          <cell r="G1078" t="str">
            <v>UTKARSH BIOPULSE</v>
          </cell>
          <cell r="H1078" t="str">
            <v>25-26</v>
          </cell>
          <cell r="I1078" t="str">
            <v>-</v>
          </cell>
          <cell r="J1078" t="str">
            <v>Domestic</v>
          </cell>
          <cell r="K1078" t="str">
            <v>BIOFUEL</v>
          </cell>
          <cell r="L1078" t="str">
            <v>Non-Sugar</v>
          </cell>
          <cell r="M1078" t="str">
            <v>End User</v>
          </cell>
          <cell r="O1078" t="str">
            <v>-</v>
          </cell>
          <cell r="P1078" t="str">
            <v>NI</v>
          </cell>
          <cell r="Q1078" t="str">
            <v>HIMANSHU KUSHWAHA</v>
          </cell>
        </row>
        <row r="1079">
          <cell r="F1079" t="str">
            <v>SOLP01U018</v>
          </cell>
          <cell r="G1079" t="str">
            <v>UTOPIAN SUGARS LIMITED</v>
          </cell>
          <cell r="H1079">
            <v>2016</v>
          </cell>
          <cell r="I1079" t="str">
            <v>-</v>
          </cell>
          <cell r="J1079" t="str">
            <v>Domestic</v>
          </cell>
          <cell r="K1079" t="str">
            <v>Sugar</v>
          </cell>
          <cell r="L1079" t="str">
            <v>Sugar</v>
          </cell>
          <cell r="M1079" t="str">
            <v>End User</v>
          </cell>
          <cell r="N1079" t="str">
            <v>(0-5000)</v>
          </cell>
          <cell r="O1079" t="str">
            <v>Sugar 5000
Distillery 60 KLPD</v>
          </cell>
          <cell r="P1079" t="str">
            <v>AV</v>
          </cell>
          <cell r="Q1079" t="str">
            <v>AV</v>
          </cell>
          <cell r="R1079" t="str">
            <v>PD</v>
          </cell>
          <cell r="T1079" t="str">
            <v>Solapur - 2</v>
          </cell>
          <cell r="U1079" t="str">
            <v>23-24</v>
          </cell>
          <cell r="W1079">
            <v>45083</v>
          </cell>
        </row>
        <row r="1080">
          <cell r="F1080" t="str">
            <v>GHZB01U005</v>
          </cell>
          <cell r="G1080" t="str">
            <v>UTTAM INDUSTRIAL ENGG. PVT. LTD.</v>
          </cell>
          <cell r="H1080">
            <v>2014</v>
          </cell>
          <cell r="I1080" t="str">
            <v>-</v>
          </cell>
          <cell r="J1080" t="str">
            <v>Domestic</v>
          </cell>
          <cell r="K1080" t="str">
            <v>Sugar</v>
          </cell>
          <cell r="L1080" t="str">
            <v>Sugar</v>
          </cell>
          <cell r="M1080" t="str">
            <v>OEM</v>
          </cell>
          <cell r="O1080" t="str">
            <v>-</v>
          </cell>
          <cell r="P1080" t="str">
            <v>NI</v>
          </cell>
          <cell r="Q1080" t="str">
            <v>AVIRAL SHUKLA</v>
          </cell>
          <cell r="T1080" t="str">
            <v>-</v>
          </cell>
          <cell r="U1080" t="str">
            <v>-</v>
          </cell>
        </row>
        <row r="1081">
          <cell r="F1081" t="str">
            <v>NODA01U008</v>
          </cell>
          <cell r="G1081" t="str">
            <v>UTTAM SUCROTECH INTERNATIONAL PVT. LTD.</v>
          </cell>
          <cell r="H1081">
            <v>2017</v>
          </cell>
          <cell r="I1081" t="str">
            <v>-</v>
          </cell>
          <cell r="J1081" t="str">
            <v>Domestic</v>
          </cell>
          <cell r="K1081" t="str">
            <v>Sugar</v>
          </cell>
          <cell r="L1081" t="str">
            <v>Sugar</v>
          </cell>
          <cell r="M1081" t="str">
            <v>OEM</v>
          </cell>
          <cell r="O1081" t="str">
            <v>-</v>
          </cell>
          <cell r="P1081" t="str">
            <v>NI</v>
          </cell>
          <cell r="Q1081" t="str">
            <v>AVIRAL SHUKLA</v>
          </cell>
          <cell r="T1081" t="str">
            <v>Delhi-NCR tour</v>
          </cell>
          <cell r="U1081" t="str">
            <v>26-27</v>
          </cell>
          <cell r="V1081" t="str">
            <v>Apr</v>
          </cell>
          <cell r="W1081" t="str">
            <v>15-4-2026
13-10-2025
16-04-2025</v>
          </cell>
        </row>
        <row r="1082">
          <cell r="F1082" t="str">
            <v>BARK01U023</v>
          </cell>
          <cell r="G1082" t="str">
            <v>UTTAM SUGAR MILLS- DISTILLERY DIVISION BARKATPUR</v>
          </cell>
          <cell r="H1082" t="str">
            <v>25-26</v>
          </cell>
          <cell r="I1082" t="str">
            <v>-</v>
          </cell>
          <cell r="J1082" t="str">
            <v>Domestic</v>
          </cell>
          <cell r="K1082" t="str">
            <v>Distillery</v>
          </cell>
          <cell r="L1082" t="str">
            <v>Non-Sugar</v>
          </cell>
          <cell r="M1082" t="str">
            <v>End User</v>
          </cell>
          <cell r="P1082" t="str">
            <v>NI</v>
          </cell>
          <cell r="Q1082" t="str">
            <v>HIMANSHU KUSHWAHA</v>
          </cell>
          <cell r="S1082" t="str">
            <v>https://share.google/RABtlbkDGDtR0VF1O</v>
          </cell>
          <cell r="T1082" t="str">
            <v>WESTERN</v>
          </cell>
          <cell r="U1082" t="str">
            <v>25-26</v>
          </cell>
          <cell r="W1082" t="str">
            <v>22-02-2026
25-08-25</v>
          </cell>
        </row>
        <row r="1083">
          <cell r="F1083" t="str">
            <v>NODA01U021</v>
          </cell>
          <cell r="G1083" t="str">
            <v>UTTAM SUGAR MILLS LTD</v>
          </cell>
          <cell r="H1083" t="str">
            <v>-</v>
          </cell>
          <cell r="I1083" t="str">
            <v>-</v>
          </cell>
          <cell r="J1083" t="str">
            <v>Domestic</v>
          </cell>
          <cell r="K1083" t="str">
            <v>Sugar</v>
          </cell>
          <cell r="L1083" t="str">
            <v>Sugar</v>
          </cell>
          <cell r="M1083" t="str">
            <v>End User</v>
          </cell>
          <cell r="N1083" t="str">
            <v>(5001-9000)</v>
          </cell>
          <cell r="O1083">
            <v>8500</v>
          </cell>
          <cell r="P1083" t="str">
            <v>NI</v>
          </cell>
          <cell r="Q1083" t="str">
            <v>HIMANSHU KUSHWAHA</v>
          </cell>
          <cell r="T1083" t="str">
            <v>-</v>
          </cell>
          <cell r="U1083" t="str">
            <v>-</v>
          </cell>
          <cell r="W1083" t="str">
            <v>-</v>
          </cell>
        </row>
        <row r="1084">
          <cell r="F1084" t="str">
            <v>PUNE01U034</v>
          </cell>
          <cell r="G1084" t="str">
            <v>UTTAMENERGY LIMITED</v>
          </cell>
          <cell r="H1084" t="str">
            <v>21-22</v>
          </cell>
          <cell r="I1084" t="str">
            <v>-</v>
          </cell>
          <cell r="J1084" t="str">
            <v>Domestic</v>
          </cell>
          <cell r="K1084" t="str">
            <v>Sugar</v>
          </cell>
          <cell r="L1084" t="str">
            <v>Sugar</v>
          </cell>
          <cell r="M1084" t="str">
            <v>End User</v>
          </cell>
          <cell r="O1084" t="str">
            <v>-</v>
          </cell>
          <cell r="P1084" t="str">
            <v>NI</v>
          </cell>
          <cell r="Q1084" t="str">
            <v>AKSHAY AWASTHI</v>
          </cell>
          <cell r="T1084" t="str">
            <v>-</v>
          </cell>
          <cell r="U1084" t="str">
            <v>-</v>
          </cell>
          <cell r="W1084" t="str">
            <v>-</v>
          </cell>
        </row>
        <row r="1085">
          <cell r="F1085" t="str">
            <v>HARD01U017</v>
          </cell>
          <cell r="G1085" t="str">
            <v>UTTARA TECH AND CHEMICALS</v>
          </cell>
          <cell r="H1085" t="str">
            <v>16-17</v>
          </cell>
          <cell r="I1085" t="str">
            <v>-</v>
          </cell>
          <cell r="J1085" t="str">
            <v>Domestic</v>
          </cell>
          <cell r="K1085" t="str">
            <v>Sugar</v>
          </cell>
          <cell r="L1085" t="str">
            <v>Sugar</v>
          </cell>
          <cell r="M1085" t="str">
            <v>Trader</v>
          </cell>
          <cell r="O1085" t="str">
            <v>-</v>
          </cell>
          <cell r="P1085" t="str">
            <v>NI</v>
          </cell>
          <cell r="Q1085" t="str">
            <v>HIMANSHU KUSHWAHA</v>
          </cell>
          <cell r="T1085" t="str">
            <v>-</v>
          </cell>
          <cell r="U1085" t="str">
            <v>-</v>
          </cell>
          <cell r="W1085" t="str">
            <v>-</v>
          </cell>
        </row>
        <row r="1086">
          <cell r="F1086" t="str">
            <v>KANP01U025</v>
          </cell>
          <cell r="G1086" t="str">
            <v>UY TRIENVIRO PVT LTD</v>
          </cell>
          <cell r="H1086">
            <v>2018</v>
          </cell>
          <cell r="I1086" t="str">
            <v>-</v>
          </cell>
          <cell r="J1086" t="str">
            <v>Domestic</v>
          </cell>
          <cell r="K1086" t="str">
            <v>etp</v>
          </cell>
          <cell r="L1086" t="str">
            <v>Non-Sugar</v>
          </cell>
          <cell r="M1086" t="str">
            <v>OEM</v>
          </cell>
          <cell r="O1086" t="str">
            <v>-</v>
          </cell>
          <cell r="P1086" t="str">
            <v>NI</v>
          </cell>
          <cell r="Q1086" t="str">
            <v>HIMANSHU KUSHWAHA</v>
          </cell>
          <cell r="S1086" t="str">
            <v>https://maps.app.goo.gl/UEV8m9DNZrpVK5376</v>
          </cell>
          <cell r="T1086" t="str">
            <v>-</v>
          </cell>
          <cell r="U1086" t="str">
            <v>-</v>
          </cell>
          <cell r="W1086" t="str">
            <v>-</v>
          </cell>
        </row>
        <row r="1087">
          <cell r="F1087" t="str">
            <v>NAND01V037</v>
          </cell>
          <cell r="G1087" t="str">
            <v>V. P. K. AGRO FOOD PRODUCT PVT LTD</v>
          </cell>
          <cell r="H1087">
            <v>2017</v>
          </cell>
          <cell r="I1087" t="str">
            <v>-</v>
          </cell>
          <cell r="J1087" t="str">
            <v>Domestic</v>
          </cell>
          <cell r="K1087" t="str">
            <v>Sugar</v>
          </cell>
          <cell r="L1087" t="str">
            <v>Sugar</v>
          </cell>
          <cell r="M1087" t="str">
            <v>End User</v>
          </cell>
          <cell r="N1087" t="str">
            <v>(0-5000)</v>
          </cell>
          <cell r="O1087">
            <v>800</v>
          </cell>
          <cell r="P1087" t="str">
            <v>AV</v>
          </cell>
          <cell r="Q1087" t="str">
            <v>AV</v>
          </cell>
          <cell r="R1087" t="str">
            <v>PD</v>
          </cell>
          <cell r="T1087" t="str">
            <v>Hingoli_Nanded- 1</v>
          </cell>
          <cell r="U1087" t="str">
            <v>23-24</v>
          </cell>
          <cell r="W1087">
            <v>45253</v>
          </cell>
        </row>
        <row r="1088">
          <cell r="F1088" t="str">
            <v>KOLH01V057</v>
          </cell>
          <cell r="G1088" t="str">
            <v>VAIBHAV INDUSTRIES</v>
          </cell>
          <cell r="H1088" t="str">
            <v>23-24</v>
          </cell>
          <cell r="I1088" t="str">
            <v>-</v>
          </cell>
          <cell r="J1088" t="str">
            <v>Domestic</v>
          </cell>
          <cell r="K1088" t="str">
            <v>Sugar</v>
          </cell>
          <cell r="L1088" t="str">
            <v>Sugar</v>
          </cell>
          <cell r="M1088" t="str">
            <v>OEM</v>
          </cell>
          <cell r="O1088" t="str">
            <v>-</v>
          </cell>
          <cell r="P1088" t="str">
            <v>AV</v>
          </cell>
          <cell r="Q1088" t="str">
            <v>AV</v>
          </cell>
          <cell r="R1088" t="str">
            <v>OEM</v>
          </cell>
          <cell r="T1088" t="str">
            <v>-</v>
          </cell>
          <cell r="W1088" t="str">
            <v>-</v>
          </cell>
        </row>
        <row r="1089">
          <cell r="F1089" t="str">
            <v>CHEN01V104</v>
          </cell>
          <cell r="G1089" t="str">
            <v>VAIGUNTH ENTERTEK (P) LIMITED</v>
          </cell>
          <cell r="H1089" t="str">
            <v>-</v>
          </cell>
          <cell r="J1089" t="str">
            <v>Domestic</v>
          </cell>
          <cell r="P1089" t="str">
            <v>-</v>
          </cell>
          <cell r="Q1089" t="str">
            <v>-</v>
          </cell>
        </row>
        <row r="1090">
          <cell r="F1090" t="str">
            <v>NARS01V019</v>
          </cell>
          <cell r="G1090" t="str">
            <v>VANSHIKA SUGAR &amp; POWER INDUSTRIES LTD</v>
          </cell>
          <cell r="H1090">
            <v>2013</v>
          </cell>
          <cell r="I1090" t="str">
            <v>-</v>
          </cell>
          <cell r="J1090" t="str">
            <v>Domestic</v>
          </cell>
          <cell r="K1090" t="str">
            <v>Sugar</v>
          </cell>
          <cell r="L1090" t="str">
            <v>Sugar</v>
          </cell>
          <cell r="M1090" t="str">
            <v>End User</v>
          </cell>
          <cell r="N1090" t="str">
            <v>(0-5000)</v>
          </cell>
          <cell r="O1090">
            <v>3500</v>
          </cell>
          <cell r="P1090" t="str">
            <v>NI</v>
          </cell>
          <cell r="Q1090" t="str">
            <v>AVIRAL SHUKLA</v>
          </cell>
          <cell r="S1090" t="str">
            <v>https://maps.app.goo.gl/7mAHzVbkSnv71ivG6</v>
          </cell>
          <cell r="T1090" t="str">
            <v>M.P - 1</v>
          </cell>
          <cell r="U1090" t="str">
            <v>25-26</v>
          </cell>
          <cell r="V1090" t="str">
            <v>Mar</v>
          </cell>
          <cell r="W1090" t="str">
            <v>21-3-2026
18-09-2025
06-03-2025
18-07-2024
28-02-2024</v>
          </cell>
        </row>
        <row r="1091">
          <cell r="F1091" t="str">
            <v>SOLP01V101</v>
          </cell>
          <cell r="G1091" t="str">
            <v>VARDHAN AGRO</v>
          </cell>
          <cell r="H1091" t="str">
            <v>-</v>
          </cell>
          <cell r="J1091" t="str">
            <v>Domestic</v>
          </cell>
          <cell r="P1091" t="str">
            <v>MRK</v>
          </cell>
          <cell r="Q1091" t="str">
            <v>-</v>
          </cell>
        </row>
        <row r="1092">
          <cell r="F1092" t="str">
            <v>KANP01V096</v>
          </cell>
          <cell r="G1092" t="str">
            <v>VARDHMAN INDUSTRIES</v>
          </cell>
          <cell r="H1092" t="str">
            <v>24-25</v>
          </cell>
          <cell r="I1092" t="str">
            <v>-</v>
          </cell>
          <cell r="J1092" t="str">
            <v>Domestic</v>
          </cell>
          <cell r="K1092" t="str">
            <v>OTHERS</v>
          </cell>
          <cell r="L1092" t="str">
            <v>Non-Sugar</v>
          </cell>
          <cell r="M1092" t="str">
            <v>End User</v>
          </cell>
          <cell r="O1092" t="str">
            <v>-</v>
          </cell>
          <cell r="P1092" t="str">
            <v>NI</v>
          </cell>
          <cell r="Q1092" t="str">
            <v>HIMANSHU KUSHWAHA</v>
          </cell>
        </row>
        <row r="1093">
          <cell r="F1093" t="str">
            <v>AHMD01V021</v>
          </cell>
          <cell r="G1093" t="str">
            <v>VARUN INDUSTRIES</v>
          </cell>
          <cell r="H1093">
            <v>2014</v>
          </cell>
          <cell r="I1093" t="str">
            <v>-</v>
          </cell>
          <cell r="J1093" t="str">
            <v>Domestic</v>
          </cell>
          <cell r="K1093" t="str">
            <v>-</v>
          </cell>
          <cell r="L1093" t="str">
            <v>Non-Sugar</v>
          </cell>
          <cell r="M1093" t="str">
            <v>Trader</v>
          </cell>
          <cell r="O1093" t="str">
            <v>-</v>
          </cell>
          <cell r="P1093" t="str">
            <v>WI-SV</v>
          </cell>
          <cell r="Q1093" t="str">
            <v>SUDHIR</v>
          </cell>
          <cell r="R1093" t="str">
            <v>-</v>
          </cell>
          <cell r="S1093" t="str">
            <v>NA</v>
          </cell>
          <cell r="T1093" t="str">
            <v>-</v>
          </cell>
          <cell r="U1093" t="str">
            <v>-</v>
          </cell>
        </row>
        <row r="1094">
          <cell r="F1094" t="str">
            <v>KALA01V048</v>
          </cell>
          <cell r="G1094" t="str">
            <v>VEDANTA LIMITED</v>
          </cell>
          <cell r="H1094" t="str">
            <v>22-23</v>
          </cell>
          <cell r="I1094" t="str">
            <v>-</v>
          </cell>
          <cell r="J1094" t="str">
            <v>Domestic</v>
          </cell>
          <cell r="K1094" t="str">
            <v>REFINERY</v>
          </cell>
          <cell r="L1094" t="str">
            <v>Non-Sugar</v>
          </cell>
          <cell r="M1094" t="str">
            <v>End User</v>
          </cell>
          <cell r="O1094" t="str">
            <v>-</v>
          </cell>
          <cell r="P1094" t="str">
            <v>NI</v>
          </cell>
          <cell r="Q1094" t="str">
            <v>AVIRAL SHUKLA</v>
          </cell>
          <cell r="S1094" t="str">
            <v>https://maps.app.goo.gl/Tp7X1nSoFy1qf2iM6</v>
          </cell>
          <cell r="T1094" t="str">
            <v>-</v>
          </cell>
          <cell r="U1094" t="str">
            <v>-</v>
          </cell>
          <cell r="W1094" t="str">
            <v>Will visit</v>
          </cell>
        </row>
        <row r="1095">
          <cell r="F1095" t="str">
            <v>KOLK01F016</v>
          </cell>
          <cell r="G1095" t="str">
            <v>VEDANTA TRANSFORMING ELEMENTS</v>
          </cell>
          <cell r="H1095">
            <v>2017</v>
          </cell>
          <cell r="I1095" t="str">
            <v>-</v>
          </cell>
          <cell r="J1095" t="str">
            <v>Domestic</v>
          </cell>
          <cell r="K1095" t="str">
            <v>OTHERS</v>
          </cell>
          <cell r="L1095" t="str">
            <v>Non-Sugar</v>
          </cell>
          <cell r="M1095" t="str">
            <v>End User</v>
          </cell>
          <cell r="O1095" t="str">
            <v>-</v>
          </cell>
          <cell r="P1095" t="str">
            <v>NI</v>
          </cell>
          <cell r="Q1095" t="str">
            <v>AVIRAL SHUKLA</v>
          </cell>
          <cell r="T1095" t="str">
            <v>-</v>
          </cell>
          <cell r="U1095" t="str">
            <v>-</v>
          </cell>
        </row>
        <row r="1096">
          <cell r="F1096" t="str">
            <v>PUNE01V006</v>
          </cell>
          <cell r="G1096" t="str">
            <v>Venkateshkrupa Sugar Mills Ltd</v>
          </cell>
          <cell r="H1096">
            <v>2014</v>
          </cell>
          <cell r="I1096" t="str">
            <v>-</v>
          </cell>
          <cell r="J1096" t="str">
            <v>Domestic</v>
          </cell>
          <cell r="K1096" t="str">
            <v>Sugar</v>
          </cell>
          <cell r="L1096" t="str">
            <v>Sugar</v>
          </cell>
          <cell r="M1096" t="str">
            <v>End User</v>
          </cell>
          <cell r="N1096" t="str">
            <v>(5001-9000)</v>
          </cell>
          <cell r="O1096" t="str">
            <v>7000
Distillery expn through Raj process</v>
          </cell>
          <cell r="P1096" t="str">
            <v>AV</v>
          </cell>
          <cell r="Q1096" t="str">
            <v>AV</v>
          </cell>
          <cell r="R1096" t="str">
            <v>PD</v>
          </cell>
          <cell r="S1096" t="str">
            <v>https://maps.app.goo.gl/mn8DFC19LkE9NNb6A</v>
          </cell>
          <cell r="T1096" t="str">
            <v>Pune - 2</v>
          </cell>
          <cell r="U1096" t="str">
            <v>24-25</v>
          </cell>
          <cell r="W1096" t="str">
            <v>14-06-2024
21-06-2023</v>
          </cell>
        </row>
        <row r="1097">
          <cell r="F1097" t="str">
            <v>KOLA01V005</v>
          </cell>
          <cell r="G1097" t="str">
            <v>VENKATESHWARA POWER PROJECT LTD.</v>
          </cell>
          <cell r="H1097">
            <v>2014</v>
          </cell>
          <cell r="I1097" t="str">
            <v>-</v>
          </cell>
          <cell r="J1097" t="str">
            <v>Domestic</v>
          </cell>
          <cell r="K1097" t="str">
            <v>Sugar</v>
          </cell>
          <cell r="L1097" t="str">
            <v>Sugar</v>
          </cell>
          <cell r="M1097" t="str">
            <v>End User</v>
          </cell>
          <cell r="N1097" t="str">
            <v>(5001-9000)</v>
          </cell>
          <cell r="O1097">
            <v>8000</v>
          </cell>
          <cell r="P1097" t="str">
            <v>AV</v>
          </cell>
          <cell r="Q1097" t="str">
            <v>AV</v>
          </cell>
          <cell r="R1097" t="str">
            <v>VG</v>
          </cell>
          <cell r="S1097" t="str">
            <v>https://maps.app.goo.gl/k9TBK1Pkhcbb96z2A</v>
          </cell>
          <cell r="T1097" t="str">
            <v>Belagavi - 2</v>
          </cell>
          <cell r="U1097" t="str">
            <v>23-24</v>
          </cell>
          <cell r="W1097" t="str">
            <v>25-11-2023
25-11-2023
09-02-2023
24-09-2022</v>
          </cell>
        </row>
        <row r="1098">
          <cell r="F1098" t="str">
            <v>NAGP01V024</v>
          </cell>
          <cell r="G1098" t="str">
            <v>VENKATESHWARA POWER PROJECT LTD.(UNIT-2)</v>
          </cell>
          <cell r="H1098">
            <v>2014</v>
          </cell>
          <cell r="I1098" t="str">
            <v>-</v>
          </cell>
          <cell r="J1098" t="str">
            <v>Domestic</v>
          </cell>
          <cell r="K1098" t="str">
            <v>Sugar</v>
          </cell>
          <cell r="L1098" t="str">
            <v>Sugar</v>
          </cell>
          <cell r="M1098" t="str">
            <v>End User</v>
          </cell>
          <cell r="N1098" t="str">
            <v>(0-5000)</v>
          </cell>
          <cell r="O1098">
            <v>2500</v>
          </cell>
          <cell r="P1098" t="str">
            <v>AV</v>
          </cell>
          <cell r="Q1098" t="str">
            <v>AV</v>
          </cell>
          <cell r="R1098" t="str">
            <v>PD</v>
          </cell>
          <cell r="T1098" t="str">
            <v>Nagpur - 1</v>
          </cell>
          <cell r="U1098" t="str">
            <v>24-25</v>
          </cell>
          <cell r="W1098">
            <v>45469</v>
          </cell>
        </row>
        <row r="1099">
          <cell r="F1099" t="str">
            <v>GADA01V007</v>
          </cell>
          <cell r="G1099" t="str">
            <v>VIJAYANAGAR SUGAR PRIVATE LTD.</v>
          </cell>
          <cell r="H1099">
            <v>2013</v>
          </cell>
          <cell r="I1099" t="str">
            <v>-</v>
          </cell>
          <cell r="J1099" t="str">
            <v>Domestic</v>
          </cell>
          <cell r="K1099" t="str">
            <v>Sugar</v>
          </cell>
          <cell r="L1099" t="str">
            <v>Sugar</v>
          </cell>
          <cell r="M1099" t="str">
            <v>End User</v>
          </cell>
          <cell r="N1099" t="str">
            <v>(5001-9000)</v>
          </cell>
          <cell r="O1099" t="str">
            <v>6000
Distillery 150 KLPD</v>
          </cell>
          <cell r="P1099" t="str">
            <v>AV</v>
          </cell>
          <cell r="Q1099" t="str">
            <v>AV</v>
          </cell>
          <cell r="R1099" t="str">
            <v>VG</v>
          </cell>
          <cell r="S1099" t="str">
            <v>https://maps.app.goo.gl/TPF7VcsffNMHYfbZ7</v>
          </cell>
          <cell r="T1099" t="str">
            <v>Bellary_Bidar - 1</v>
          </cell>
          <cell r="U1099" t="str">
            <v>25-26</v>
          </cell>
          <cell r="W1099" t="str">
            <v>19-06-2025
01-06-2023
27-11-2022</v>
          </cell>
        </row>
        <row r="1100">
          <cell r="F1100" t="str">
            <v>LATU01M007</v>
          </cell>
          <cell r="G1100" t="str">
            <v>VIKASRATNA VILASRAO DESHMUKH MANJARA (Formerly Manjara SSK )</v>
          </cell>
          <cell r="H1100">
            <v>2013</v>
          </cell>
          <cell r="I1100" t="str">
            <v>-</v>
          </cell>
          <cell r="J1100" t="str">
            <v>Domestic</v>
          </cell>
          <cell r="K1100" t="str">
            <v>Sugar</v>
          </cell>
          <cell r="L1100" t="str">
            <v>Sugar</v>
          </cell>
          <cell r="M1100" t="str">
            <v>End User</v>
          </cell>
          <cell r="N1100" t="str">
            <v>(0-5000)</v>
          </cell>
          <cell r="O1100">
            <v>4750</v>
          </cell>
          <cell r="P1100" t="str">
            <v>AV</v>
          </cell>
          <cell r="Q1100" t="str">
            <v>AV</v>
          </cell>
          <cell r="R1100" t="str">
            <v>PD</v>
          </cell>
          <cell r="S1100" t="str">
            <v>https://maps.app.goo.gl/mSBxTvvN7R38W3f48</v>
          </cell>
          <cell r="T1100" t="str">
            <v>Latur - 1</v>
          </cell>
          <cell r="U1100" t="str">
            <v>23-24</v>
          </cell>
          <cell r="W1100">
            <v>45205</v>
          </cell>
        </row>
        <row r="1101">
          <cell r="F1101" t="str">
            <v>LATU01V020</v>
          </cell>
          <cell r="G1101" t="str">
            <v>VILAS SAHAKARI SAHKHAR KARKHANA LTD UNIT -1</v>
          </cell>
          <cell r="H1101">
            <v>2013</v>
          </cell>
          <cell r="I1101" t="str">
            <v>-</v>
          </cell>
          <cell r="J1101" t="str">
            <v>Domestic</v>
          </cell>
          <cell r="K1101" t="str">
            <v>Sugar</v>
          </cell>
          <cell r="L1101" t="str">
            <v>Sugar</v>
          </cell>
          <cell r="M1101" t="str">
            <v>End User</v>
          </cell>
          <cell r="N1101" t="str">
            <v>(0-5000)</v>
          </cell>
          <cell r="O1101">
            <v>3500</v>
          </cell>
          <cell r="P1101" t="str">
            <v>AV</v>
          </cell>
          <cell r="Q1101" t="str">
            <v>AV</v>
          </cell>
          <cell r="R1101" t="str">
            <v>PD</v>
          </cell>
          <cell r="T1101" t="str">
            <v>Latur - 1</v>
          </cell>
          <cell r="U1101" t="str">
            <v>22-23</v>
          </cell>
          <cell r="W1101">
            <v>45202</v>
          </cell>
        </row>
        <row r="1102">
          <cell r="F1102" t="str">
            <v>LATU01V045</v>
          </cell>
          <cell r="G1102" t="str">
            <v>VILAS SAHAKARI SAHKHAR KARKHANA LTD UNIT-2</v>
          </cell>
          <cell r="H1102">
            <v>2020</v>
          </cell>
          <cell r="I1102" t="str">
            <v>-</v>
          </cell>
          <cell r="J1102" t="str">
            <v>Domestic</v>
          </cell>
          <cell r="K1102" t="str">
            <v>Sugar</v>
          </cell>
          <cell r="L1102" t="str">
            <v>Sugar</v>
          </cell>
          <cell r="M1102" t="str">
            <v>End User</v>
          </cell>
          <cell r="N1102" t="str">
            <v>(0-5000)</v>
          </cell>
          <cell r="O1102">
            <v>3000</v>
          </cell>
          <cell r="P1102" t="str">
            <v>AV</v>
          </cell>
          <cell r="Q1102" t="str">
            <v>AV</v>
          </cell>
          <cell r="R1102" t="str">
            <v>PD</v>
          </cell>
          <cell r="S1102" t="str">
            <v>https://maps.app.goo.gl/DcXXBB7ZRH1z31WVA</v>
          </cell>
          <cell r="T1102" t="str">
            <v>Latur - 1</v>
          </cell>
          <cell r="U1102" t="str">
            <v>22-23</v>
          </cell>
          <cell r="W1102">
            <v>45202</v>
          </cell>
        </row>
        <row r="1103">
          <cell r="F1103" t="str">
            <v>VADO01V113</v>
          </cell>
          <cell r="G1103" t="str">
            <v>VIMAL FIRE CONTROLS PVT LTD</v>
          </cell>
          <cell r="H1103" t="str">
            <v>-</v>
          </cell>
          <cell r="J1103" t="str">
            <v>Domestic</v>
          </cell>
          <cell r="P1103" t="str">
            <v>HO</v>
          </cell>
          <cell r="Q1103" t="str">
            <v>-</v>
          </cell>
        </row>
        <row r="1104">
          <cell r="F1104" t="str">
            <v>RAIS01V100</v>
          </cell>
          <cell r="G1104" t="str">
            <v>VINAYAK ECOGEN LLP</v>
          </cell>
          <cell r="H1104" t="str">
            <v>-</v>
          </cell>
          <cell r="J1104" t="str">
            <v>Domestic</v>
          </cell>
          <cell r="P1104" t="str">
            <v>-</v>
          </cell>
          <cell r="Q1104" t="str">
            <v>-</v>
          </cell>
        </row>
        <row r="1105">
          <cell r="F1105" t="str">
            <v>HAVE01V051</v>
          </cell>
          <cell r="G1105" t="str">
            <v>VINP DISTILLERIES &amp; SUGARS PVT.LTD.</v>
          </cell>
          <cell r="H1105" t="str">
            <v>23-24</v>
          </cell>
          <cell r="I1105" t="str">
            <v>-</v>
          </cell>
          <cell r="J1105" t="str">
            <v>Domestic</v>
          </cell>
          <cell r="K1105" t="str">
            <v>Sugar</v>
          </cell>
          <cell r="L1105" t="str">
            <v>Sugar</v>
          </cell>
          <cell r="M1105" t="str">
            <v>End User</v>
          </cell>
          <cell r="N1105" t="str">
            <v>(5001-9000)</v>
          </cell>
          <cell r="O1105" t="str">
            <v>Sugar 7000 TCD
Dist. 300 KLPD</v>
          </cell>
          <cell r="P1105" t="str">
            <v>MRK</v>
          </cell>
          <cell r="Q1105" t="str">
            <v>MRK</v>
          </cell>
          <cell r="R1105" t="str">
            <v>VG</v>
          </cell>
          <cell r="T1105" t="str">
            <v>Bellary_Bidar - 1</v>
          </cell>
          <cell r="U1105" t="str">
            <v>25-26</v>
          </cell>
          <cell r="W1105" t="str">
            <v>12-2-26
30-04-2024
19-01-2024</v>
          </cell>
        </row>
        <row r="1106">
          <cell r="F1106" t="str">
            <v>PATI01V010</v>
          </cell>
          <cell r="G1106" t="str">
            <v>VISHAL PAPERTECH (INDIA) LTD.</v>
          </cell>
          <cell r="H1106">
            <v>2013</v>
          </cell>
          <cell r="I1106" t="str">
            <v>-</v>
          </cell>
          <cell r="J1106" t="str">
            <v>Domestic</v>
          </cell>
          <cell r="K1106" t="str">
            <v>Paper</v>
          </cell>
          <cell r="L1106" t="str">
            <v>Non-Sugar</v>
          </cell>
          <cell r="M1106" t="str">
            <v>End User</v>
          </cell>
          <cell r="O1106" t="str">
            <v>TCD 230</v>
          </cell>
          <cell r="P1106" t="str">
            <v>NI</v>
          </cell>
          <cell r="Q1106" t="str">
            <v>AKSHAY AWASTHI</v>
          </cell>
          <cell r="S1106" t="str">
            <v>https://maps.app.goo.gl/TdzCWgPjHAbpVmtk7</v>
          </cell>
          <cell r="T1106" t="str">
            <v>-</v>
          </cell>
          <cell r="U1106" t="str">
            <v>24-25</v>
          </cell>
          <cell r="W1106" t="str">
            <v>21-02-2026
27-03-2025</v>
          </cell>
        </row>
        <row r="1107">
          <cell r="F1107" t="str">
            <v>GOPA01V011</v>
          </cell>
          <cell r="G1107" t="str">
            <v>VISHNU SUGAR MILLS LTD</v>
          </cell>
          <cell r="H1107">
            <v>2013</v>
          </cell>
          <cell r="I1107" t="str">
            <v>-</v>
          </cell>
          <cell r="J1107" t="str">
            <v>Domestic</v>
          </cell>
          <cell r="K1107" t="str">
            <v>Sugar</v>
          </cell>
          <cell r="L1107" t="str">
            <v>Sugar</v>
          </cell>
          <cell r="M1107" t="str">
            <v>End User</v>
          </cell>
          <cell r="N1107" t="str">
            <v>(0-5000)</v>
          </cell>
          <cell r="O1107">
            <v>5000</v>
          </cell>
          <cell r="P1107" t="str">
            <v>NI</v>
          </cell>
          <cell r="Q1107" t="str">
            <v>AVIRAL SHUKLA</v>
          </cell>
          <cell r="T1107" t="str">
            <v>-</v>
          </cell>
          <cell r="U1107" t="str">
            <v>26-27</v>
          </cell>
          <cell r="V1107" t="str">
            <v>May</v>
          </cell>
          <cell r="W1107" t="str">
            <v>02.05.2026
16-12-2025
10-06-2025
29-01-2025
26-09-2024
24-11-2023</v>
          </cell>
        </row>
        <row r="1108">
          <cell r="F1108" t="str">
            <v>AYOD01V059</v>
          </cell>
          <cell r="G1108" t="str">
            <v>VISHVAM PROJECTS &amp; SERVICES</v>
          </cell>
          <cell r="H1108" t="str">
            <v>22-23</v>
          </cell>
          <cell r="I1108" t="str">
            <v>-</v>
          </cell>
          <cell r="J1108" t="str">
            <v>Domestic</v>
          </cell>
          <cell r="K1108" t="str">
            <v>OTHERS</v>
          </cell>
          <cell r="L1108" t="str">
            <v>Non-Sugar</v>
          </cell>
          <cell r="M1108" t="str">
            <v>End User</v>
          </cell>
          <cell r="O1108" t="str">
            <v>-</v>
          </cell>
          <cell r="P1108" t="str">
            <v>NI</v>
          </cell>
          <cell r="Q1108" t="str">
            <v>AVIRAL SHUKLA</v>
          </cell>
          <cell r="S1108" t="str">
            <v>https://share.google/wVXK0VZftJUFPgvmi</v>
          </cell>
          <cell r="T1108" t="str">
            <v>-</v>
          </cell>
          <cell r="U1108" t="str">
            <v>-</v>
          </cell>
        </row>
        <row r="1109">
          <cell r="F1109" t="str">
            <v>BELG01V017</v>
          </cell>
          <cell r="G1109" t="str">
            <v>VISHWARAJ SUGAR INDUSTRIES LTD.</v>
          </cell>
          <cell r="H1109">
            <v>2013</v>
          </cell>
          <cell r="I1109" t="str">
            <v>-</v>
          </cell>
          <cell r="J1109" t="str">
            <v>Domestic</v>
          </cell>
          <cell r="K1109" t="str">
            <v>Sugar</v>
          </cell>
          <cell r="L1109" t="str">
            <v>Sugar</v>
          </cell>
          <cell r="M1109" t="str">
            <v>End User</v>
          </cell>
          <cell r="N1109" t="str">
            <v>(9001 &amp; above)</v>
          </cell>
          <cell r="O1109">
            <v>11000</v>
          </cell>
          <cell r="P1109" t="str">
            <v>AV</v>
          </cell>
          <cell r="Q1109" t="str">
            <v>AV</v>
          </cell>
          <cell r="R1109" t="str">
            <v>VG</v>
          </cell>
          <cell r="S1109" t="str">
            <v>https://maps.app.goo.gl/wpqmKWq6EYtHaiiz5</v>
          </cell>
          <cell r="T1109" t="str">
            <v>Belagavi - 1</v>
          </cell>
          <cell r="U1109" t="str">
            <v>25-26</v>
          </cell>
          <cell r="W1109" t="str">
            <v>05-03-2026
22-03-2025
02-12-2023
23-09-2022</v>
          </cell>
        </row>
        <row r="1110">
          <cell r="F1110" t="str">
            <v>SOLP01V043</v>
          </cell>
          <cell r="G1110" t="str">
            <v>VITTHALRAO SHINDE SSK LTD UNIT-2</v>
          </cell>
          <cell r="H1110">
            <v>2019</v>
          </cell>
          <cell r="I1110" t="str">
            <v>Vithal Group</v>
          </cell>
          <cell r="J1110" t="str">
            <v>Domestic</v>
          </cell>
          <cell r="K1110" t="str">
            <v>Sugar</v>
          </cell>
          <cell r="L1110" t="str">
            <v>Sugar</v>
          </cell>
          <cell r="M1110" t="str">
            <v>Group (Mills)</v>
          </cell>
          <cell r="N1110" t="str">
            <v>(0-5000)</v>
          </cell>
          <cell r="O1110">
            <v>3000</v>
          </cell>
          <cell r="P1110" t="str">
            <v>AV</v>
          </cell>
          <cell r="Q1110" t="str">
            <v>AV</v>
          </cell>
          <cell r="R1110" t="str">
            <v>PD</v>
          </cell>
          <cell r="S1110" t="str">
            <v>https://maps.app.goo.gl/riBotq5jGyrjtBAt8</v>
          </cell>
          <cell r="T1110" t="str">
            <v>Solapur - 1</v>
          </cell>
          <cell r="U1110" t="str">
            <v>26-27</v>
          </cell>
          <cell r="V1110" t="str">
            <v>May</v>
          </cell>
          <cell r="W1110" t="str">
            <v>20.05.2026
5/4/2023</v>
          </cell>
        </row>
        <row r="1111">
          <cell r="F1111" t="str">
            <v>SOLP01V014</v>
          </cell>
          <cell r="G1111" t="str">
            <v>VITTHALRAO SHINDE SSK LTD UNIT-1</v>
          </cell>
          <cell r="H1111">
            <v>2013</v>
          </cell>
          <cell r="I1111" t="str">
            <v>Vithal Group</v>
          </cell>
          <cell r="J1111" t="str">
            <v>Domestic</v>
          </cell>
          <cell r="K1111" t="str">
            <v>Sugar</v>
          </cell>
          <cell r="L1111" t="str">
            <v>Sugar</v>
          </cell>
          <cell r="M1111" t="str">
            <v>Group (Mills)</v>
          </cell>
          <cell r="N1111" t="str">
            <v>(9001 &amp; above)</v>
          </cell>
          <cell r="O1111" t="str">
            <v>14000
Distillery 350 KLPD
Refinery 250 TPD</v>
          </cell>
          <cell r="P1111" t="str">
            <v>AV</v>
          </cell>
          <cell r="Q1111" t="str">
            <v>AV</v>
          </cell>
          <cell r="R1111" t="str">
            <v>PD</v>
          </cell>
          <cell r="S1111" t="str">
            <v>https://maps.app.goo.gl/wKF9NiH8Df5KdKoS6</v>
          </cell>
          <cell r="T1111" t="str">
            <v>Solapur - 1</v>
          </cell>
          <cell r="U1111" t="str">
            <v>26-27</v>
          </cell>
          <cell r="V1111" t="str">
            <v>May</v>
          </cell>
          <cell r="W1111" t="str">
            <v>19.05.2026
5/4/2023</v>
          </cell>
        </row>
        <row r="1112">
          <cell r="F1112" t="str">
            <v>BANG01V015</v>
          </cell>
          <cell r="G1112" t="str">
            <v>VRL AUTOMATION ENGG. &amp; PROJECTS PVT. LTD.</v>
          </cell>
          <cell r="H1112">
            <v>2013</v>
          </cell>
          <cell r="I1112" t="str">
            <v>-</v>
          </cell>
          <cell r="J1112" t="str">
            <v>Domestic</v>
          </cell>
          <cell r="K1112" t="str">
            <v>Others</v>
          </cell>
          <cell r="L1112" t="str">
            <v>Non-Sugar</v>
          </cell>
          <cell r="M1112" t="str">
            <v>OEM</v>
          </cell>
          <cell r="P1112" t="str">
            <v>VA</v>
          </cell>
          <cell r="Q1112" t="str">
            <v>SI-GS</v>
          </cell>
          <cell r="S1112" t="str">
            <v>https://share.google/njxqQOAyY1hZ8lDMv</v>
          </cell>
          <cell r="W1112">
            <v>45548</v>
          </cell>
        </row>
        <row r="1113">
          <cell r="F1113" t="str">
            <v>HOCH01V103</v>
          </cell>
          <cell r="G1113" t="str">
            <v>VU LE TECHNOLOGY CO LTD</v>
          </cell>
          <cell r="H1113">
            <v>2015</v>
          </cell>
          <cell r="I1113" t="str">
            <v>-</v>
          </cell>
          <cell r="J1113" t="str">
            <v>Export</v>
          </cell>
          <cell r="K1113" t="str">
            <v>Sugar</v>
          </cell>
          <cell r="L1113" t="str">
            <v>Sugar</v>
          </cell>
          <cell r="M1113" t="str">
            <v>OEM</v>
          </cell>
          <cell r="O1113" t="str">
            <v>-</v>
          </cell>
          <cell r="P1113" t="str">
            <v>VA</v>
          </cell>
          <cell r="Q1113" t="str">
            <v>VA</v>
          </cell>
          <cell r="S1113" t="str">
            <v>https://maps.app.goo.gl/bsxTKztidykmUc3Q7</v>
          </cell>
          <cell r="T1113" t="str">
            <v>-</v>
          </cell>
          <cell r="U1113" t="str">
            <v>-</v>
          </cell>
          <cell r="W1113" t="str">
            <v>-</v>
          </cell>
        </row>
        <row r="1114">
          <cell r="F1114" t="str">
            <v>JAKA01V114</v>
          </cell>
          <cell r="G1114" t="str">
            <v>VV SUGARS</v>
          </cell>
          <cell r="H1114" t="str">
            <v>-</v>
          </cell>
          <cell r="J1114" t="str">
            <v>Domestic</v>
          </cell>
          <cell r="P1114" t="str">
            <v>-</v>
          </cell>
          <cell r="Q1114" t="str">
            <v>-</v>
          </cell>
        </row>
        <row r="1115">
          <cell r="F1115" t="str">
            <v>PUNE01W017</v>
          </cell>
          <cell r="G1115" t="str">
            <v>WALCHANDNAGAR INDUSTRIES LTD</v>
          </cell>
          <cell r="H1115" t="str">
            <v>-</v>
          </cell>
          <cell r="I1115" t="str">
            <v>-</v>
          </cell>
          <cell r="J1115" t="str">
            <v>Domestic</v>
          </cell>
          <cell r="K1115" t="str">
            <v>Sugar</v>
          </cell>
          <cell r="L1115" t="str">
            <v>Sugar</v>
          </cell>
          <cell r="M1115" t="str">
            <v>OEM</v>
          </cell>
          <cell r="O1115" t="str">
            <v>-</v>
          </cell>
          <cell r="P1115" t="str">
            <v>HO</v>
          </cell>
        </row>
        <row r="1116">
          <cell r="F1116" t="str">
            <v>ANKL01W040</v>
          </cell>
          <cell r="G1116" t="str">
            <v>WALPLAST PRODUCTS PVT. LTD</v>
          </cell>
          <cell r="H1116" t="str">
            <v>24-25</v>
          </cell>
          <cell r="I1116" t="str">
            <v>-</v>
          </cell>
          <cell r="J1116" t="str">
            <v>Domestic</v>
          </cell>
          <cell r="K1116" t="str">
            <v>others</v>
          </cell>
          <cell r="L1116" t="str">
            <v>Non-Sugar</v>
          </cell>
          <cell r="M1116" t="str">
            <v>End User</v>
          </cell>
          <cell r="O1116" t="str">
            <v>-</v>
          </cell>
          <cell r="P1116" t="str">
            <v>NI</v>
          </cell>
          <cell r="Q1116" t="str">
            <v>AVIRAL SHUKLA</v>
          </cell>
          <cell r="S1116" t="str">
            <v>https://maps.app.goo.gl/2eDjBeCniq3e5iTE6</v>
          </cell>
          <cell r="U1116" t="str">
            <v>24-25</v>
          </cell>
          <cell r="W1116">
            <v>45646</v>
          </cell>
        </row>
        <row r="1117">
          <cell r="F1117" t="str">
            <v>ALIG01W015</v>
          </cell>
          <cell r="G1117" t="str">
            <v>WAVE DISTILLERIES &amp; BREWERIES LTD.</v>
          </cell>
          <cell r="H1117">
            <v>2013</v>
          </cell>
          <cell r="I1117" t="str">
            <v>Wave Group</v>
          </cell>
          <cell r="J1117" t="str">
            <v>Domestic</v>
          </cell>
          <cell r="K1117" t="str">
            <v>Distillery</v>
          </cell>
          <cell r="L1117" t="str">
            <v>Non-Sugar</v>
          </cell>
          <cell r="M1117" t="str">
            <v>Group (Mills)</v>
          </cell>
          <cell r="O1117" t="str">
            <v>-</v>
          </cell>
          <cell r="P1117" t="str">
            <v>NI</v>
          </cell>
          <cell r="Q1117" t="str">
            <v>HIMANSHU KUSHWAHA</v>
          </cell>
          <cell r="S1117" t="str">
            <v>https://share.google/9xosc4WRZdGJVTxmP</v>
          </cell>
          <cell r="T1117" t="str">
            <v>WESTERN</v>
          </cell>
          <cell r="U1117" t="str">
            <v>25-26</v>
          </cell>
          <cell r="V1117" t="str">
            <v>Feb</v>
          </cell>
          <cell r="W1117" t="str">
            <v>25-02-2026
30-08-2025</v>
          </cell>
        </row>
        <row r="1118">
          <cell r="F1118" t="str">
            <v>AMRO01W025</v>
          </cell>
          <cell r="G1118" t="str">
            <v>WAVE INDUSTRIES PVT LTD. - (DISTILLERY DIV) (CHANDPUR)</v>
          </cell>
          <cell r="H1118" t="str">
            <v>22-23</v>
          </cell>
          <cell r="I1118" t="str">
            <v>Wave Group</v>
          </cell>
          <cell r="J1118" t="str">
            <v>Domestic</v>
          </cell>
          <cell r="K1118" t="str">
            <v>Distillery</v>
          </cell>
          <cell r="L1118" t="str">
            <v>Non-Sugar</v>
          </cell>
          <cell r="M1118" t="str">
            <v>Group (Mills)</v>
          </cell>
          <cell r="N1118" t="str">
            <v>(5001-9000)</v>
          </cell>
          <cell r="O1118">
            <v>8500</v>
          </cell>
          <cell r="P1118" t="str">
            <v>NI</v>
          </cell>
          <cell r="Q1118" t="str">
            <v>HIMANSHU KUSHWAHA</v>
          </cell>
          <cell r="S1118" t="str">
            <v>https://maps.app.goo.gl/hH4NGb2PeVpC8rPAA</v>
          </cell>
          <cell r="T1118" t="str">
            <v>-</v>
          </cell>
          <cell r="U1118" t="str">
            <v>24-25</v>
          </cell>
          <cell r="W1118" t="str">
            <v>03-03-2025
19-09-2024
29-12-2020</v>
          </cell>
        </row>
        <row r="1119">
          <cell r="F1119" t="str">
            <v>SAHA01W004</v>
          </cell>
          <cell r="G1119" t="str">
            <v>WAVE INDUSTRIES PVT. LTD. (SAHARANPUR)</v>
          </cell>
          <cell r="H1119" t="str">
            <v>23-24</v>
          </cell>
          <cell r="I1119" t="str">
            <v>Wave Group</v>
          </cell>
          <cell r="J1119" t="str">
            <v>Domestic</v>
          </cell>
          <cell r="K1119" t="str">
            <v>Sugar</v>
          </cell>
          <cell r="L1119" t="str">
            <v>Sugar</v>
          </cell>
          <cell r="M1119" t="str">
            <v>Group (Mills)</v>
          </cell>
          <cell r="N1119" t="str">
            <v>(0-5000)</v>
          </cell>
          <cell r="O1119">
            <v>2000</v>
          </cell>
          <cell r="P1119" t="str">
            <v>NI</v>
          </cell>
          <cell r="Q1119" t="str">
            <v>AVIRAL SHUKLA</v>
          </cell>
          <cell r="T1119" t="str">
            <v>WESTERN- 2</v>
          </cell>
          <cell r="U1119" t="str">
            <v>25-26</v>
          </cell>
          <cell r="W1119" t="str">
            <v>25-08-2025
06-12-2024
29-05-2024</v>
          </cell>
        </row>
        <row r="1120">
          <cell r="F1120" t="str">
            <v>JPNG01W005</v>
          </cell>
          <cell r="G1120" t="str">
            <v>WAVE INDUSTRIES PVT.LTD. (DHANAURA)</v>
          </cell>
          <cell r="H1120">
            <v>2016</v>
          </cell>
          <cell r="I1120" t="str">
            <v>Wave Group</v>
          </cell>
          <cell r="J1120" t="str">
            <v>Domestic</v>
          </cell>
          <cell r="K1120" t="str">
            <v>Sugar</v>
          </cell>
          <cell r="L1120" t="str">
            <v>Sugar</v>
          </cell>
          <cell r="M1120" t="str">
            <v>Group (Mills)</v>
          </cell>
          <cell r="N1120" t="str">
            <v>(5001-9000)</v>
          </cell>
          <cell r="O1120">
            <v>8500</v>
          </cell>
          <cell r="P1120" t="str">
            <v>NI</v>
          </cell>
          <cell r="Q1120" t="str">
            <v>HIMANSHU KUSHWAHA</v>
          </cell>
          <cell r="S1120" t="str">
            <v>https://maps.app.goo.gl/rPrU3wa8FNLPkuHK6</v>
          </cell>
          <cell r="T1120" t="str">
            <v>WESTERN- 2</v>
          </cell>
          <cell r="U1120" t="str">
            <v>26-27</v>
          </cell>
          <cell r="V1120" t="str">
            <v>May</v>
          </cell>
          <cell r="W1120" t="str">
            <v>27-05-2026
27-08-2025
03-03-2025
19-09-2024
21-12-2023
07-12-2022
05-12-2022
06-08-2022
16-09-2021</v>
          </cell>
        </row>
        <row r="1121">
          <cell r="F1121" t="str">
            <v>BIJN01W006</v>
          </cell>
          <cell r="G1121" t="str">
            <v>WAVE INDUSTRIES PVT.LTD.\V-027</v>
          </cell>
          <cell r="H1121">
            <v>2016</v>
          </cell>
          <cell r="I1121" t="str">
            <v>Wave Group</v>
          </cell>
          <cell r="J1121" t="str">
            <v>Domestic</v>
          </cell>
          <cell r="K1121" t="str">
            <v>Sugar</v>
          </cell>
          <cell r="L1121" t="str">
            <v>Sugar</v>
          </cell>
          <cell r="M1121" t="str">
            <v>Group (Mills)</v>
          </cell>
          <cell r="N1121" t="str">
            <v>(0-5000)</v>
          </cell>
          <cell r="O1121">
            <v>4000</v>
          </cell>
          <cell r="P1121" t="str">
            <v>NI</v>
          </cell>
          <cell r="Q1121" t="str">
            <v>HIMANSHU KUSHWAHA</v>
          </cell>
          <cell r="S1121" t="str">
            <v>https://maps.app.goo.gl/i2bk8znc53TeCHyn6</v>
          </cell>
          <cell r="T1121" t="str">
            <v>-</v>
          </cell>
          <cell r="U1121" t="str">
            <v>26-27</v>
          </cell>
          <cell r="V1121" t="str">
            <v>May</v>
          </cell>
          <cell r="W1121" t="str">
            <v>25-05-2026
19-02-2026
31-01-2025
23-07-2024
16-02-2024
17-06-2023</v>
          </cell>
        </row>
        <row r="1122">
          <cell r="F1122" t="str">
            <v>DOUA01W045</v>
          </cell>
          <cell r="G1122" t="str">
            <v>WEGA FOODS (SUPPLIED THROUGH ANAY GLOBAL)</v>
          </cell>
          <cell r="H1122" t="str">
            <v>-</v>
          </cell>
          <cell r="I1122" t="str">
            <v>-</v>
          </cell>
          <cell r="J1122" t="str">
            <v>Export</v>
          </cell>
          <cell r="K1122" t="str">
            <v>Food</v>
          </cell>
          <cell r="L1122" t="str">
            <v>Non-Sugar</v>
          </cell>
          <cell r="M1122" t="str">
            <v>End User</v>
          </cell>
          <cell r="O1122" t="str">
            <v>-</v>
          </cell>
          <cell r="P1122" t="str">
            <v>NI</v>
          </cell>
          <cell r="Q1122" t="str">
            <v>AVIRAL SHUKLA</v>
          </cell>
        </row>
        <row r="1123">
          <cell r="F1123" t="str">
            <v>KAKA01W013</v>
          </cell>
          <cell r="G1123" t="str">
            <v>WEST KENYA SUGAR COMPANY LIMITED</v>
          </cell>
          <cell r="H1123">
            <v>2014</v>
          </cell>
          <cell r="I1123" t="str">
            <v>-</v>
          </cell>
          <cell r="J1123" t="str">
            <v>Export</v>
          </cell>
          <cell r="K1123" t="str">
            <v>Sugar</v>
          </cell>
          <cell r="L1123" t="str">
            <v>Sugar</v>
          </cell>
          <cell r="M1123" t="str">
            <v>End User</v>
          </cell>
          <cell r="O1123" t="str">
            <v>-</v>
          </cell>
          <cell r="P1123" t="str">
            <v>NI</v>
          </cell>
          <cell r="Q1123" t="str">
            <v>AKSHAY AWASTHI</v>
          </cell>
          <cell r="S1123" t="str">
            <v>https://maps.app.goo.gl/eFywLtRGrASXkWW47</v>
          </cell>
          <cell r="T1123" t="str">
            <v>-</v>
          </cell>
          <cell r="U1123" t="str">
            <v>-</v>
          </cell>
          <cell r="W1123" t="str">
            <v>-</v>
          </cell>
        </row>
        <row r="1124">
          <cell r="F1124" t="str">
            <v>BUSI01W038</v>
          </cell>
          <cell r="G1124" t="str">
            <v>WEST KENYA SUGAR COMPANY LTD - OLEPITO</v>
          </cell>
          <cell r="H1124" t="str">
            <v>24-25</v>
          </cell>
          <cell r="I1124" t="str">
            <v>-</v>
          </cell>
          <cell r="J1124" t="str">
            <v>Export</v>
          </cell>
          <cell r="K1124" t="str">
            <v>Sugar</v>
          </cell>
          <cell r="L1124" t="str">
            <v>Sugar</v>
          </cell>
          <cell r="M1124" t="str">
            <v>End User</v>
          </cell>
          <cell r="N1124" t="str">
            <v>(0-5000)</v>
          </cell>
          <cell r="O1124">
            <v>1200</v>
          </cell>
          <cell r="P1124" t="str">
            <v>NI</v>
          </cell>
          <cell r="Q1124" t="str">
            <v>AKSHAY AWASTHI</v>
          </cell>
          <cell r="T1124" t="str">
            <v>Kenya tour</v>
          </cell>
          <cell r="U1124" t="str">
            <v>24-25</v>
          </cell>
          <cell r="W1124">
            <v>45468</v>
          </cell>
        </row>
        <row r="1125">
          <cell r="F1125" t="str">
            <v>TEXC01W042</v>
          </cell>
          <cell r="G1125" t="str">
            <v>West valley sugar mill - Kenya</v>
          </cell>
          <cell r="H1125" t="str">
            <v>25-26</v>
          </cell>
          <cell r="I1125" t="str">
            <v>-</v>
          </cell>
          <cell r="J1125" t="str">
            <v>Export</v>
          </cell>
          <cell r="K1125" t="str">
            <v>Sugar</v>
          </cell>
          <cell r="L1125" t="str">
            <v>Sugar</v>
          </cell>
          <cell r="M1125" t="str">
            <v>End User</v>
          </cell>
          <cell r="O1125" t="str">
            <v>-</v>
          </cell>
          <cell r="P1125" t="str">
            <v>NI</v>
          </cell>
          <cell r="Q1125" t="str">
            <v>AKSHAY AWASTHI</v>
          </cell>
        </row>
        <row r="1126">
          <cell r="F1126" t="str">
            <v>GUWA01W024</v>
          </cell>
          <cell r="G1126" t="str">
            <v>WHITE GOLD SUGAR AGRO PRODUCTS</v>
          </cell>
          <cell r="H1126" t="str">
            <v>22-23</v>
          </cell>
          <cell r="I1126" t="str">
            <v>-</v>
          </cell>
          <cell r="J1126" t="str">
            <v>Domestic</v>
          </cell>
          <cell r="K1126" t="str">
            <v>Sugar</v>
          </cell>
          <cell r="L1126" t="str">
            <v>Sugar</v>
          </cell>
          <cell r="M1126" t="str">
            <v>End User</v>
          </cell>
          <cell r="N1126" t="str">
            <v>(0-5000)</v>
          </cell>
          <cell r="O1126">
            <v>1000</v>
          </cell>
          <cell r="P1126" t="str">
            <v>NI</v>
          </cell>
          <cell r="Q1126" t="str">
            <v>AKSHAY AWASTHI</v>
          </cell>
          <cell r="T1126" t="str">
            <v>-</v>
          </cell>
          <cell r="U1126" t="str">
            <v>-</v>
          </cell>
          <cell r="W1126" t="str">
            <v>-</v>
          </cell>
        </row>
        <row r="1127">
          <cell r="F1127" t="str">
            <v>PUNE01W021</v>
          </cell>
          <cell r="G1127" t="str">
            <v>WTE INFRA PROJECTS P. LTD.</v>
          </cell>
          <cell r="H1127" t="str">
            <v>20-21</v>
          </cell>
          <cell r="I1127" t="str">
            <v>-</v>
          </cell>
          <cell r="J1127" t="str">
            <v>Domestic</v>
          </cell>
          <cell r="K1127" t="str">
            <v>ETP/STP/WTP</v>
          </cell>
          <cell r="L1127" t="str">
            <v>Non-Sugar</v>
          </cell>
          <cell r="M1127" t="str">
            <v>OEM</v>
          </cell>
          <cell r="O1127" t="str">
            <v>-</v>
          </cell>
          <cell r="P1127" t="str">
            <v>NI</v>
          </cell>
          <cell r="Q1127" t="str">
            <v>AKSHAY AWASTHI</v>
          </cell>
          <cell r="S1127" t="str">
            <v>https://maps.app.goo.gl/VcoTHFKbMjucfgGT9</v>
          </cell>
          <cell r="T1127" t="str">
            <v>-</v>
          </cell>
          <cell r="U1127" t="str">
            <v>26-27</v>
          </cell>
          <cell r="V1127" t="str">
            <v>May</v>
          </cell>
          <cell r="W1127" t="str">
            <v>18/05/2026
4/3/2026</v>
          </cell>
        </row>
        <row r="1128">
          <cell r="F1128" t="str">
            <v>CHEN01X007</v>
          </cell>
          <cell r="G1128" t="str">
            <v>X2FULES AND ENERGY PRIVATE LIMITED</v>
          </cell>
          <cell r="H1128" t="str">
            <v>-</v>
          </cell>
          <cell r="J1128" t="str">
            <v>Domestic</v>
          </cell>
          <cell r="P1128" t="str">
            <v>SI-GS</v>
          </cell>
          <cell r="Q1128" t="str">
            <v>SI-GS</v>
          </cell>
        </row>
        <row r="1129">
          <cell r="F1129" t="str">
            <v>CHEN01X006</v>
          </cell>
          <cell r="G1129" t="str">
            <v>X2FULES AND ENERGY PRIVATE LIMITED</v>
          </cell>
          <cell r="H1129" t="str">
            <v>24-25</v>
          </cell>
          <cell r="I1129" t="str">
            <v>-</v>
          </cell>
          <cell r="J1129" t="str">
            <v>Domestic</v>
          </cell>
          <cell r="K1129" t="str">
            <v>Others</v>
          </cell>
          <cell r="L1129" t="str">
            <v>Non-Sugar</v>
          </cell>
          <cell r="M1129" t="str">
            <v>OEM</v>
          </cell>
          <cell r="P1129" t="str">
            <v>SI-GS</v>
          </cell>
          <cell r="Q1129" t="str">
            <v>SI-GS</v>
          </cell>
          <cell r="W1129">
            <v>45418</v>
          </cell>
        </row>
        <row r="1130">
          <cell r="F1130" t="str">
            <v>SATA01Y003</v>
          </cell>
          <cell r="G1130" t="str">
            <v>Y. M. KRISHNA S.S.K. LTD.</v>
          </cell>
          <cell r="H1130">
            <v>2013</v>
          </cell>
          <cell r="I1130" t="str">
            <v>-</v>
          </cell>
          <cell r="J1130" t="str">
            <v>Domestic</v>
          </cell>
          <cell r="K1130" t="str">
            <v>Sugar</v>
          </cell>
          <cell r="L1130" t="str">
            <v>Sugar</v>
          </cell>
          <cell r="M1130" t="str">
            <v>End User</v>
          </cell>
          <cell r="N1130" t="str">
            <v>(9001 &amp; above)</v>
          </cell>
          <cell r="O1130">
            <v>12000</v>
          </cell>
          <cell r="P1130" t="str">
            <v>AV</v>
          </cell>
          <cell r="Q1130" t="str">
            <v>AV</v>
          </cell>
          <cell r="R1130" t="str">
            <v>VG</v>
          </cell>
          <cell r="S1130" t="str">
            <v>https://maps.app.goo.gl/XVVr3BoYafxXvH4R6</v>
          </cell>
          <cell r="T1130" t="str">
            <v>Satara - 1</v>
          </cell>
          <cell r="U1130" t="str">
            <v>26-27</v>
          </cell>
          <cell r="V1130" t="str">
            <v>Apr</v>
          </cell>
          <cell r="W1130" t="str">
            <v>24-4-2026
16-05-2025
19-03-2024
02-01-2023</v>
          </cell>
        </row>
        <row r="1131">
          <cell r="F1131" t="str">
            <v>BADA01Y001</v>
          </cell>
          <cell r="G1131" t="str">
            <v>YADU SUGAR LIMITED</v>
          </cell>
          <cell r="H1131">
            <v>2013</v>
          </cell>
          <cell r="I1131" t="str">
            <v>-</v>
          </cell>
          <cell r="J1131" t="str">
            <v>Domestic</v>
          </cell>
          <cell r="K1131" t="str">
            <v>Sugar</v>
          </cell>
          <cell r="L1131" t="str">
            <v>Sugar</v>
          </cell>
          <cell r="M1131" t="str">
            <v>End User</v>
          </cell>
          <cell r="N1131" t="str">
            <v>(5001-9000)</v>
          </cell>
          <cell r="O1131">
            <v>7000</v>
          </cell>
          <cell r="P1131" t="str">
            <v>NI</v>
          </cell>
          <cell r="Q1131" t="str">
            <v>AVIRAL SHUKLA</v>
          </cell>
          <cell r="S1131" t="str">
            <v>https://share.google/EwPvJ6Jtga43WRQ0Q</v>
          </cell>
          <cell r="T1131" t="str">
            <v>CENTRAL</v>
          </cell>
          <cell r="U1131" t="str">
            <v>25-26</v>
          </cell>
          <cell r="W1131">
            <v>46114</v>
          </cell>
        </row>
        <row r="1132">
          <cell r="F1132" t="str">
            <v>SANG01Y013</v>
          </cell>
          <cell r="G1132" t="str">
            <v>YASH CONVEYORS</v>
          </cell>
          <cell r="H1132" t="str">
            <v>22-23</v>
          </cell>
          <cell r="I1132" t="str">
            <v>-</v>
          </cell>
          <cell r="J1132" t="str">
            <v>Domestic</v>
          </cell>
          <cell r="K1132" t="str">
            <v>Sugar</v>
          </cell>
          <cell r="L1132" t="str">
            <v>Sugar</v>
          </cell>
          <cell r="M1132" t="str">
            <v>OEM</v>
          </cell>
          <cell r="O1132" t="str">
            <v>-</v>
          </cell>
          <cell r="P1132" t="str">
            <v>MRK</v>
          </cell>
          <cell r="Q1132" t="str">
            <v>MRK</v>
          </cell>
          <cell r="R1132" t="str">
            <v>OEM</v>
          </cell>
          <cell r="T1132" t="str">
            <v>-</v>
          </cell>
          <cell r="W1132" t="str">
            <v>-</v>
          </cell>
        </row>
        <row r="1133">
          <cell r="F1133" t="str">
            <v>AYOD01Y011</v>
          </cell>
          <cell r="G1133" t="str">
            <v>YASH PAKKA LIMITED</v>
          </cell>
          <cell r="H1133" t="str">
            <v>20-21</v>
          </cell>
          <cell r="I1133" t="str">
            <v>-</v>
          </cell>
          <cell r="J1133" t="str">
            <v>Domestic</v>
          </cell>
          <cell r="K1133" t="str">
            <v>OTHERS</v>
          </cell>
          <cell r="L1133" t="str">
            <v>Non-Sugar</v>
          </cell>
          <cell r="M1133" t="str">
            <v>End User</v>
          </cell>
          <cell r="O1133">
            <v>130</v>
          </cell>
          <cell r="P1133" t="str">
            <v>NI</v>
          </cell>
          <cell r="Q1133" t="str">
            <v>AKSHAY AWASTHI</v>
          </cell>
          <cell r="S1133" t="str">
            <v>https://share.google/xfHKfxvt08zBEGPmS</v>
          </cell>
          <cell r="T1133" t="str">
            <v>-</v>
          </cell>
          <cell r="U1133" t="str">
            <v>23-24</v>
          </cell>
          <cell r="W1133" t="str">
            <v>24-11-2023
08-09-2022
30-04-2021</v>
          </cell>
        </row>
        <row r="1134">
          <cell r="F1134" t="str">
            <v>KANP01Y015</v>
          </cell>
          <cell r="G1134" t="str">
            <v>YASHASWI FISH MEAL &amp; OIL</v>
          </cell>
          <cell r="H1134" t="str">
            <v>23-24</v>
          </cell>
          <cell r="I1134" t="str">
            <v>-</v>
          </cell>
          <cell r="J1134" t="str">
            <v>Domestic</v>
          </cell>
          <cell r="K1134" t="str">
            <v>OTHERS</v>
          </cell>
          <cell r="L1134" t="str">
            <v>Non-Sugar</v>
          </cell>
          <cell r="M1134" t="str">
            <v>End User</v>
          </cell>
          <cell r="O1134" t="str">
            <v>-</v>
          </cell>
          <cell r="P1134" t="str">
            <v>NI</v>
          </cell>
          <cell r="Q1134" t="str">
            <v>HIMANSHU KUSHWAHA</v>
          </cell>
          <cell r="T1134" t="str">
            <v>-</v>
          </cell>
          <cell r="U1134" t="str">
            <v>-</v>
          </cell>
          <cell r="W1134" t="str">
            <v>-</v>
          </cell>
        </row>
        <row r="1135">
          <cell r="F1135" t="str">
            <v>PUNE01Y005</v>
          </cell>
          <cell r="G1135" t="str">
            <v>YEDESHWARI AGRO PRODUCT LTD Unit no 1</v>
          </cell>
          <cell r="H1135">
            <v>2013</v>
          </cell>
          <cell r="I1135" t="str">
            <v>-</v>
          </cell>
          <cell r="J1135" t="str">
            <v>Domestic</v>
          </cell>
          <cell r="K1135" t="str">
            <v>Sugar</v>
          </cell>
          <cell r="L1135" t="str">
            <v>Sugar</v>
          </cell>
          <cell r="M1135" t="str">
            <v>End User</v>
          </cell>
          <cell r="N1135" t="str">
            <v>(5001-9000)</v>
          </cell>
          <cell r="O1135">
            <v>8000</v>
          </cell>
          <cell r="P1135" t="str">
            <v>AV</v>
          </cell>
          <cell r="Q1135" t="str">
            <v>AV</v>
          </cell>
          <cell r="R1135" t="str">
            <v>PD</v>
          </cell>
          <cell r="S1135" t="str">
            <v>https://maps.app.goo.gl/XKU3jqqMHJ7adu5V9</v>
          </cell>
          <cell r="T1135" t="str">
            <v>Beed - 1</v>
          </cell>
          <cell r="U1135" t="str">
            <v>25-26</v>
          </cell>
          <cell r="W1135" t="str">
            <v>8-1-2026
11/9/2023</v>
          </cell>
        </row>
        <row r="1136">
          <cell r="F1136" t="str">
            <v>AHMD01Y014</v>
          </cell>
          <cell r="G1136" t="str">
            <v>YES ENTERPRISES</v>
          </cell>
          <cell r="H1136" t="str">
            <v>22-23</v>
          </cell>
          <cell r="I1136" t="str">
            <v>-</v>
          </cell>
          <cell r="J1136" t="str">
            <v>Domestic</v>
          </cell>
          <cell r="K1136" t="str">
            <v>Sugar</v>
          </cell>
          <cell r="L1136" t="str">
            <v>Sugar</v>
          </cell>
          <cell r="M1136" t="str">
            <v>OEM</v>
          </cell>
          <cell r="O1136" t="str">
            <v>-</v>
          </cell>
          <cell r="P1136" t="str">
            <v>AV</v>
          </cell>
          <cell r="Q1136" t="str">
            <v>AV</v>
          </cell>
          <cell r="R1136" t="str">
            <v>OEM</v>
          </cell>
          <cell r="S1136" t="str">
            <v>https://maps.app.goo.gl/uk2BwNCfcYQijQKv8</v>
          </cell>
          <cell r="T1136" t="str">
            <v>-</v>
          </cell>
          <cell r="W1136" t="str">
            <v>-</v>
          </cell>
        </row>
        <row r="1137">
          <cell r="F1137" t="str">
            <v>PARB01Y004</v>
          </cell>
          <cell r="G1137" t="str">
            <v>YOGESHWARI SUGAR IND. LTD</v>
          </cell>
          <cell r="H1137">
            <v>2013</v>
          </cell>
          <cell r="I1137" t="str">
            <v>-</v>
          </cell>
          <cell r="J1137" t="str">
            <v>Domestic</v>
          </cell>
          <cell r="K1137" t="str">
            <v>Sugar</v>
          </cell>
          <cell r="L1137" t="str">
            <v>Sugar</v>
          </cell>
          <cell r="M1137" t="str">
            <v>End User</v>
          </cell>
          <cell r="N1137" t="str">
            <v>(0-5000)</v>
          </cell>
          <cell r="O1137">
            <v>4500</v>
          </cell>
          <cell r="P1137" t="str">
            <v>AV</v>
          </cell>
          <cell r="Q1137" t="str">
            <v>AV</v>
          </cell>
          <cell r="R1137" t="str">
            <v>PD</v>
          </cell>
          <cell r="T1137" t="str">
            <v>Parbhani - 1</v>
          </cell>
          <cell r="U1137" t="str">
            <v>26-27</v>
          </cell>
          <cell r="V1137" t="str">
            <v>Apr</v>
          </cell>
          <cell r="W1137" t="str">
            <v>21-04-2026
2/6/2024</v>
          </cell>
        </row>
        <row r="1138">
          <cell r="F1138" t="str">
            <v>LUCK01Y019</v>
          </cell>
          <cell r="G1138" t="str">
            <v>YTT DISTILLERY PVT LTD</v>
          </cell>
          <cell r="H1138" t="str">
            <v>-</v>
          </cell>
          <cell r="J1138" t="str">
            <v>Domestic</v>
          </cell>
          <cell r="P1138" t="str">
            <v>HO</v>
          </cell>
          <cell r="Q1138" t="str">
            <v>AVIRAL SHUKLA</v>
          </cell>
        </row>
        <row r="1139">
          <cell r="F1139" t="str">
            <v>LAKM01Z003</v>
          </cell>
          <cell r="G1139" t="str">
            <v>ZUARI INDUSTRIES LIMITED (Formerly Gobind Sugars) (AIRA)</v>
          </cell>
          <cell r="H1139">
            <v>2013</v>
          </cell>
          <cell r="I1139" t="str">
            <v>-</v>
          </cell>
          <cell r="J1139" t="str">
            <v>Domestic</v>
          </cell>
          <cell r="K1139" t="str">
            <v>Sugar</v>
          </cell>
          <cell r="L1139" t="str">
            <v>Sugar</v>
          </cell>
          <cell r="M1139" t="str">
            <v>End User</v>
          </cell>
          <cell r="N1139" t="str">
            <v>(9001 &amp; above)</v>
          </cell>
          <cell r="O1139">
            <v>10000</v>
          </cell>
          <cell r="P1139" t="str">
            <v>NI</v>
          </cell>
          <cell r="Q1139" t="str">
            <v>AVIRAL SHUKLA</v>
          </cell>
          <cell r="R1139" t="str">
            <v>Akshay Awasthi</v>
          </cell>
          <cell r="S1139" t="str">
            <v>https://share.google/dOSqzLdCHllgm2E4B</v>
          </cell>
          <cell r="T1139" t="str">
            <v>Tour-Central-1</v>
          </cell>
          <cell r="U1139" t="str">
            <v>26-27</v>
          </cell>
          <cell r="V1139" t="str">
            <v>May</v>
          </cell>
          <cell r="W1139" t="str">
            <v>28-05-2026
17-01-2026
29-08-2025
24-10-2024
17-04-2024
02-02-2024</v>
          </cell>
        </row>
        <row r="1140">
          <cell r="F1140" t="str">
            <v>CHAN01A145</v>
          </cell>
          <cell r="G1140" t="str">
            <v>A ONE CYCLE</v>
          </cell>
          <cell r="H1140" t="str">
            <v>-</v>
          </cell>
          <cell r="J1140" t="str">
            <v>Domestic</v>
          </cell>
          <cell r="K1140" t="str">
            <v>Non-Sugar</v>
          </cell>
          <cell r="L1140" t="str">
            <v>Non-Sugar</v>
          </cell>
          <cell r="O1140" t="str">
            <v>-</v>
          </cell>
          <cell r="P1140" t="str">
            <v>-</v>
          </cell>
          <cell r="Q1140" t="str">
            <v>-</v>
          </cell>
          <cell r="R1140" t="str">
            <v>-</v>
          </cell>
          <cell r="T1140" t="str">
            <v>-</v>
          </cell>
          <cell r="U1140" t="str">
            <v>-</v>
          </cell>
          <cell r="W1140" t="str">
            <v>-</v>
          </cell>
        </row>
        <row r="1141">
          <cell r="F1141" t="str">
            <v>MERT01A177</v>
          </cell>
          <cell r="G1141" t="str">
            <v>A TO Z FOOD PRODUCT ENGINEER</v>
          </cell>
          <cell r="H1141" t="str">
            <v>-</v>
          </cell>
          <cell r="J1141" t="str">
            <v>Domestic</v>
          </cell>
          <cell r="K1141" t="str">
            <v>Non-Sugar</v>
          </cell>
          <cell r="L1141" t="str">
            <v>Non-Sugar</v>
          </cell>
          <cell r="O1141" t="str">
            <v>-</v>
          </cell>
          <cell r="P1141" t="str">
            <v>-</v>
          </cell>
          <cell r="Q1141" t="str">
            <v>-</v>
          </cell>
          <cell r="R1141" t="str">
            <v>-</v>
          </cell>
          <cell r="T1141" t="str">
            <v>-</v>
          </cell>
          <cell r="U1141" t="str">
            <v>-</v>
          </cell>
          <cell r="W1141" t="str">
            <v>-</v>
          </cell>
        </row>
        <row r="1142">
          <cell r="F1142" t="str">
            <v>MUMB01A081</v>
          </cell>
          <cell r="G1142" t="str">
            <v>A. B. M.ENGINEERS</v>
          </cell>
          <cell r="H1142" t="str">
            <v>-</v>
          </cell>
          <cell r="J1142" t="str">
            <v>Domestic</v>
          </cell>
          <cell r="K1142" t="str">
            <v>Non-Sugar</v>
          </cell>
          <cell r="L1142" t="str">
            <v>Non-Sugar</v>
          </cell>
          <cell r="O1142" t="str">
            <v>-</v>
          </cell>
          <cell r="P1142" t="str">
            <v>-</v>
          </cell>
          <cell r="Q1142" t="str">
            <v>-</v>
          </cell>
          <cell r="R1142" t="str">
            <v>-</v>
          </cell>
          <cell r="T1142" t="str">
            <v>-</v>
          </cell>
          <cell r="U1142" t="str">
            <v>-</v>
          </cell>
          <cell r="W1142" t="str">
            <v>-</v>
          </cell>
        </row>
        <row r="1143">
          <cell r="F1143" t="str">
            <v>MUMB01A083</v>
          </cell>
          <cell r="G1143" t="str">
            <v>A. C. R. E.</v>
          </cell>
          <cell r="H1143" t="str">
            <v>-</v>
          </cell>
          <cell r="J1143" t="str">
            <v>Domestic</v>
          </cell>
          <cell r="K1143" t="str">
            <v>Non-Sugar</v>
          </cell>
          <cell r="L1143" t="str">
            <v>Non-Sugar</v>
          </cell>
          <cell r="O1143" t="str">
            <v>-</v>
          </cell>
          <cell r="P1143" t="str">
            <v>-</v>
          </cell>
          <cell r="Q1143" t="str">
            <v>-</v>
          </cell>
          <cell r="R1143" t="str">
            <v>-</v>
          </cell>
          <cell r="T1143" t="str">
            <v>-</v>
          </cell>
          <cell r="U1143" t="str">
            <v>-</v>
          </cell>
          <cell r="W1143" t="str">
            <v>-</v>
          </cell>
        </row>
        <row r="1144">
          <cell r="F1144" t="str">
            <v>DHAN01A052</v>
          </cell>
          <cell r="G1144" t="str">
            <v>A. F. M. MUGMA AREA</v>
          </cell>
          <cell r="H1144" t="str">
            <v>-</v>
          </cell>
          <cell r="J1144" t="str">
            <v>Domestic</v>
          </cell>
          <cell r="K1144" t="str">
            <v>Non-Sugar</v>
          </cell>
          <cell r="L1144" t="str">
            <v>Non-Sugar</v>
          </cell>
          <cell r="O1144" t="str">
            <v>-</v>
          </cell>
          <cell r="P1144" t="str">
            <v>-</v>
          </cell>
          <cell r="Q1144" t="str">
            <v>-</v>
          </cell>
          <cell r="R1144" t="str">
            <v>-</v>
          </cell>
          <cell r="T1144" t="str">
            <v>-</v>
          </cell>
          <cell r="U1144" t="str">
            <v>-</v>
          </cell>
          <cell r="W1144" t="str">
            <v>-</v>
          </cell>
        </row>
        <row r="1145">
          <cell r="F1145" t="str">
            <v>DHAN01A031</v>
          </cell>
          <cell r="G1145" t="str">
            <v>A. F. M. KATRAS AREA BHARAT COKING COAL LIMITED</v>
          </cell>
          <cell r="H1145" t="str">
            <v>-</v>
          </cell>
          <cell r="J1145" t="str">
            <v>Domestic</v>
          </cell>
          <cell r="K1145" t="str">
            <v>Non-Sugar</v>
          </cell>
          <cell r="L1145" t="str">
            <v>Non-Sugar</v>
          </cell>
          <cell r="O1145" t="str">
            <v>-</v>
          </cell>
          <cell r="P1145" t="str">
            <v>-</v>
          </cell>
          <cell r="Q1145" t="str">
            <v>-</v>
          </cell>
          <cell r="R1145" t="str">
            <v>-</v>
          </cell>
          <cell r="T1145" t="str">
            <v>-</v>
          </cell>
          <cell r="U1145" t="str">
            <v>-</v>
          </cell>
          <cell r="W1145" t="str">
            <v>-</v>
          </cell>
        </row>
        <row r="1146">
          <cell r="F1146" t="str">
            <v>BHUB01A107</v>
          </cell>
          <cell r="G1146" t="str">
            <v>A. K. ENTERPRISERS</v>
          </cell>
          <cell r="H1146" t="str">
            <v>-</v>
          </cell>
          <cell r="J1146" t="str">
            <v>Domestic</v>
          </cell>
          <cell r="K1146" t="str">
            <v>Non-Sugar</v>
          </cell>
          <cell r="L1146" t="str">
            <v>Non-Sugar</v>
          </cell>
          <cell r="O1146" t="str">
            <v>-</v>
          </cell>
          <cell r="P1146" t="str">
            <v>-</v>
          </cell>
          <cell r="Q1146" t="str">
            <v>-</v>
          </cell>
          <cell r="R1146" t="str">
            <v>-</v>
          </cell>
          <cell r="T1146" t="str">
            <v>-</v>
          </cell>
          <cell r="U1146" t="str">
            <v>-</v>
          </cell>
          <cell r="W1146" t="str">
            <v>-</v>
          </cell>
        </row>
        <row r="1147">
          <cell r="F1147" t="str">
            <v>CHEN01A193</v>
          </cell>
          <cell r="G1147" t="str">
            <v>A. S. SHIPPING AGENCIES</v>
          </cell>
          <cell r="H1147" t="str">
            <v>-</v>
          </cell>
          <cell r="J1147" t="str">
            <v>Domestic</v>
          </cell>
          <cell r="P1147" t="str">
            <v>LGP</v>
          </cell>
          <cell r="Q1147" t="str">
            <v>-</v>
          </cell>
        </row>
        <row r="1148">
          <cell r="F1148" t="str">
            <v>CHEN01A002</v>
          </cell>
          <cell r="G1148" t="str">
            <v>A.E. ENTERPRISES</v>
          </cell>
          <cell r="H1148" t="str">
            <v>-</v>
          </cell>
          <cell r="J1148" t="str">
            <v>Domestic</v>
          </cell>
          <cell r="K1148" t="str">
            <v>Others</v>
          </cell>
          <cell r="L1148" t="str">
            <v>Non-Sugar</v>
          </cell>
          <cell r="P1148" t="str">
            <v>SI-GS</v>
          </cell>
          <cell r="Q1148" t="str">
            <v>SI-GS</v>
          </cell>
          <cell r="W1148" t="str">
            <v>-</v>
          </cell>
        </row>
        <row r="1149">
          <cell r="F1149" t="str">
            <v>BURD01A003</v>
          </cell>
          <cell r="G1149" t="str">
            <v>A.F.M. SODEPUR AREA EASTERN COALFIELDS LIMITED</v>
          </cell>
          <cell r="H1149" t="str">
            <v>-</v>
          </cell>
          <cell r="J1149" t="str">
            <v>Domestic</v>
          </cell>
          <cell r="K1149" t="str">
            <v>Non-Sugar</v>
          </cell>
          <cell r="L1149" t="str">
            <v>Non-Sugar</v>
          </cell>
          <cell r="O1149" t="str">
            <v>-</v>
          </cell>
          <cell r="P1149" t="str">
            <v>-</v>
          </cell>
          <cell r="Q1149" t="str">
            <v>-</v>
          </cell>
          <cell r="R1149" t="str">
            <v>-</v>
          </cell>
          <cell r="T1149" t="str">
            <v>-</v>
          </cell>
          <cell r="U1149" t="str">
            <v>-</v>
          </cell>
          <cell r="W1149" t="str">
            <v>-</v>
          </cell>
        </row>
        <row r="1150">
          <cell r="F1150" t="str">
            <v>BURD01A004</v>
          </cell>
          <cell r="G1150" t="str">
            <v>A.F.M. SATGRAM AREA EASTERN COALFIELDS LIMITED (0503)</v>
          </cell>
          <cell r="H1150" t="str">
            <v>-</v>
          </cell>
          <cell r="J1150" t="str">
            <v>Domestic</v>
          </cell>
          <cell r="K1150" t="str">
            <v>Non-Sugar</v>
          </cell>
          <cell r="L1150" t="str">
            <v>Non-Sugar</v>
          </cell>
          <cell r="O1150" t="str">
            <v>-</v>
          </cell>
          <cell r="P1150" t="str">
            <v>-</v>
          </cell>
          <cell r="Q1150" t="str">
            <v>-</v>
          </cell>
          <cell r="R1150" t="str">
            <v>-</v>
          </cell>
          <cell r="T1150" t="str">
            <v>-</v>
          </cell>
          <cell r="U1150" t="str">
            <v>-</v>
          </cell>
          <cell r="W1150" t="str">
            <v>-</v>
          </cell>
        </row>
        <row r="1151">
          <cell r="F1151" t="str">
            <v>BURD01A005</v>
          </cell>
          <cell r="G1151" t="str">
            <v>A.F.M. (BANKOLA AREA) EASTERN COALFIELDS LTD.</v>
          </cell>
          <cell r="H1151" t="str">
            <v>-</v>
          </cell>
          <cell r="J1151" t="str">
            <v>Domestic</v>
          </cell>
          <cell r="K1151" t="str">
            <v>Non-Sugar</v>
          </cell>
          <cell r="L1151" t="str">
            <v>Non-Sugar</v>
          </cell>
          <cell r="O1151" t="str">
            <v>-</v>
          </cell>
          <cell r="P1151" t="str">
            <v>-</v>
          </cell>
          <cell r="Q1151" t="str">
            <v>-</v>
          </cell>
          <cell r="R1151" t="str">
            <v>-</v>
          </cell>
          <cell r="T1151" t="str">
            <v>-</v>
          </cell>
          <cell r="U1151" t="str">
            <v>-</v>
          </cell>
          <cell r="W1151" t="str">
            <v>-</v>
          </cell>
        </row>
        <row r="1152">
          <cell r="F1152" t="str">
            <v>BURD01A006</v>
          </cell>
          <cell r="G1152" t="str">
            <v>A.F.M. (KAJORA AREA EASTERN COALFIELDS LIMITED</v>
          </cell>
          <cell r="H1152" t="str">
            <v>-</v>
          </cell>
          <cell r="J1152" t="str">
            <v>Domestic</v>
          </cell>
          <cell r="K1152" t="str">
            <v>Non-Sugar</v>
          </cell>
          <cell r="L1152" t="str">
            <v>Non-Sugar</v>
          </cell>
          <cell r="O1152" t="str">
            <v>-</v>
          </cell>
          <cell r="P1152" t="str">
            <v>-</v>
          </cell>
          <cell r="Q1152" t="str">
            <v>-</v>
          </cell>
          <cell r="R1152" t="str">
            <v>-</v>
          </cell>
          <cell r="T1152" t="str">
            <v>-</v>
          </cell>
          <cell r="U1152" t="str">
            <v>-</v>
          </cell>
          <cell r="W1152" t="str">
            <v>-</v>
          </cell>
        </row>
        <row r="1153">
          <cell r="F1153" t="str">
            <v>BURD01A007</v>
          </cell>
          <cell r="G1153" t="str">
            <v>A.F.M. (KUNUSTORIA AREA EASTERN COALFIELDS LIMITED</v>
          </cell>
          <cell r="H1153" t="str">
            <v>-</v>
          </cell>
          <cell r="J1153" t="str">
            <v>Domestic</v>
          </cell>
          <cell r="K1153" t="str">
            <v>Non-Sugar</v>
          </cell>
          <cell r="L1153" t="str">
            <v>Non-Sugar</v>
          </cell>
          <cell r="O1153" t="str">
            <v>-</v>
          </cell>
          <cell r="P1153" t="str">
            <v>-</v>
          </cell>
          <cell r="Q1153" t="str">
            <v>-</v>
          </cell>
          <cell r="R1153" t="str">
            <v>-</v>
          </cell>
          <cell r="T1153" t="str">
            <v>-</v>
          </cell>
          <cell r="U1153" t="str">
            <v>-</v>
          </cell>
          <cell r="W1153" t="str">
            <v>-</v>
          </cell>
        </row>
        <row r="1154">
          <cell r="F1154" t="str">
            <v>BURD01A008</v>
          </cell>
          <cell r="G1154" t="str">
            <v>A.F.M. (SALANPUR AREA EASTERN COALFIELDS LIMITED</v>
          </cell>
          <cell r="H1154" t="str">
            <v>-</v>
          </cell>
          <cell r="J1154" t="str">
            <v>Domestic</v>
          </cell>
          <cell r="K1154" t="str">
            <v>Non-Sugar</v>
          </cell>
          <cell r="L1154" t="str">
            <v>Non-Sugar</v>
          </cell>
          <cell r="O1154" t="str">
            <v>-</v>
          </cell>
          <cell r="P1154" t="str">
            <v>-</v>
          </cell>
          <cell r="Q1154" t="str">
            <v>-</v>
          </cell>
          <cell r="R1154" t="str">
            <v>-</v>
          </cell>
          <cell r="T1154" t="str">
            <v>-</v>
          </cell>
          <cell r="U1154" t="str">
            <v>-</v>
          </cell>
          <cell r="W1154" t="str">
            <v>-</v>
          </cell>
        </row>
        <row r="1155">
          <cell r="F1155" t="str">
            <v>DHAN01A009</v>
          </cell>
          <cell r="G1155" t="str">
            <v>A.F.M. BASTAKCOLLA AREA-IX BHARAT COKING COAL LTD.</v>
          </cell>
          <cell r="H1155" t="str">
            <v>-</v>
          </cell>
          <cell r="J1155" t="str">
            <v>Domestic</v>
          </cell>
          <cell r="K1155" t="str">
            <v>Non-Sugar</v>
          </cell>
          <cell r="L1155" t="str">
            <v>Non-Sugar</v>
          </cell>
          <cell r="O1155" t="str">
            <v>-</v>
          </cell>
          <cell r="P1155" t="str">
            <v>-</v>
          </cell>
          <cell r="Q1155" t="str">
            <v>-</v>
          </cell>
          <cell r="R1155" t="str">
            <v>-</v>
          </cell>
          <cell r="T1155" t="str">
            <v>-</v>
          </cell>
          <cell r="U1155" t="str">
            <v>-</v>
          </cell>
          <cell r="W1155" t="str">
            <v>-</v>
          </cell>
        </row>
        <row r="1156">
          <cell r="F1156" t="str">
            <v>BURD01A010</v>
          </cell>
          <cell r="G1156" t="str">
            <v>A.F.M. KENDA AREA EASTERN COALFIELDS LIMITED</v>
          </cell>
          <cell r="H1156" t="str">
            <v>-</v>
          </cell>
          <cell r="J1156" t="str">
            <v>Domestic</v>
          </cell>
          <cell r="K1156" t="str">
            <v>Non-Sugar</v>
          </cell>
          <cell r="L1156" t="str">
            <v>Non-Sugar</v>
          </cell>
          <cell r="O1156" t="str">
            <v>-</v>
          </cell>
          <cell r="P1156" t="str">
            <v>-</v>
          </cell>
          <cell r="Q1156" t="str">
            <v>-</v>
          </cell>
          <cell r="R1156" t="str">
            <v>-</v>
          </cell>
          <cell r="T1156" t="str">
            <v>-</v>
          </cell>
          <cell r="U1156" t="str">
            <v>-</v>
          </cell>
          <cell r="W1156" t="str">
            <v>-</v>
          </cell>
        </row>
        <row r="1157">
          <cell r="F1157" t="str">
            <v>DHAN01A012</v>
          </cell>
          <cell r="G1157" t="str">
            <v>A.F.M. SIJUA AREA-V BHARAT COKING COAL LTD</v>
          </cell>
          <cell r="H1157" t="str">
            <v>-</v>
          </cell>
          <cell r="J1157" t="str">
            <v>Domestic</v>
          </cell>
          <cell r="K1157" t="str">
            <v>Non-Sugar</v>
          </cell>
          <cell r="L1157" t="str">
            <v>Non-Sugar</v>
          </cell>
          <cell r="O1157" t="str">
            <v>-</v>
          </cell>
          <cell r="P1157" t="str">
            <v>-</v>
          </cell>
          <cell r="Q1157" t="str">
            <v>-</v>
          </cell>
          <cell r="R1157" t="str">
            <v>-</v>
          </cell>
          <cell r="T1157" t="str">
            <v>-</v>
          </cell>
          <cell r="U1157" t="str">
            <v>-</v>
          </cell>
          <cell r="W1157" t="str">
            <v>-</v>
          </cell>
        </row>
        <row r="1158">
          <cell r="F1158" t="str">
            <v>BURD01A011</v>
          </cell>
          <cell r="G1158" t="str">
            <v>A.F.M. SRIPUR AREA EASTERN COALFIELDS LIMITED (0260)</v>
          </cell>
          <cell r="H1158" t="str">
            <v>-</v>
          </cell>
          <cell r="J1158" t="str">
            <v>Domestic</v>
          </cell>
          <cell r="K1158" t="str">
            <v>Non-Sugar</v>
          </cell>
          <cell r="L1158" t="str">
            <v>Non-Sugar</v>
          </cell>
          <cell r="O1158" t="str">
            <v>-</v>
          </cell>
          <cell r="P1158" t="str">
            <v>-</v>
          </cell>
          <cell r="Q1158" t="str">
            <v>-</v>
          </cell>
          <cell r="R1158" t="str">
            <v>-</v>
          </cell>
          <cell r="T1158" t="str">
            <v>-</v>
          </cell>
          <cell r="U1158" t="str">
            <v>-</v>
          </cell>
          <cell r="W1158" t="str">
            <v>-</v>
          </cell>
        </row>
        <row r="1159">
          <cell r="F1159" t="str">
            <v>DHAN01A013</v>
          </cell>
          <cell r="G1159" t="str">
            <v>A.F.M.-KUSUNDA ARE BHARAT COKING COAL LTD</v>
          </cell>
          <cell r="H1159" t="str">
            <v>-</v>
          </cell>
          <cell r="J1159" t="str">
            <v>Domestic</v>
          </cell>
          <cell r="K1159" t="str">
            <v>Non-Sugar</v>
          </cell>
          <cell r="L1159" t="str">
            <v>Non-Sugar</v>
          </cell>
          <cell r="O1159" t="str">
            <v>-</v>
          </cell>
          <cell r="P1159" t="str">
            <v>-</v>
          </cell>
          <cell r="Q1159" t="str">
            <v>-</v>
          </cell>
          <cell r="R1159" t="str">
            <v>-</v>
          </cell>
          <cell r="T1159" t="str">
            <v>-</v>
          </cell>
          <cell r="U1159" t="str">
            <v>-</v>
          </cell>
          <cell r="W1159" t="str">
            <v>-</v>
          </cell>
        </row>
        <row r="1160">
          <cell r="F1160" t="str">
            <v>DHAN01A014</v>
          </cell>
          <cell r="G1160" t="str">
            <v>A.F.M.-P.B. AREA BHARAT COKING COAL LTD.</v>
          </cell>
          <cell r="H1160" t="str">
            <v>-</v>
          </cell>
          <cell r="J1160" t="str">
            <v>Domestic</v>
          </cell>
          <cell r="K1160" t="str">
            <v>Non-Sugar</v>
          </cell>
          <cell r="L1160" t="str">
            <v>Non-Sugar</v>
          </cell>
          <cell r="O1160" t="str">
            <v>-</v>
          </cell>
          <cell r="P1160" t="str">
            <v>-</v>
          </cell>
          <cell r="Q1160" t="str">
            <v>-</v>
          </cell>
          <cell r="R1160" t="str">
            <v>-</v>
          </cell>
          <cell r="T1160" t="str">
            <v>-</v>
          </cell>
          <cell r="U1160" t="str">
            <v>-</v>
          </cell>
          <cell r="W1160" t="str">
            <v>-</v>
          </cell>
        </row>
        <row r="1161">
          <cell r="F1161" t="str">
            <v>DHAN01A015</v>
          </cell>
          <cell r="G1161" t="str">
            <v>A.M.(F) BLOCK II AREA BHARAT COKING COAL LIMITED</v>
          </cell>
          <cell r="H1161" t="str">
            <v>-</v>
          </cell>
          <cell r="J1161" t="str">
            <v>Domestic</v>
          </cell>
          <cell r="K1161" t="str">
            <v>Non-Sugar</v>
          </cell>
          <cell r="L1161" t="str">
            <v>Non-Sugar</v>
          </cell>
          <cell r="O1161" t="str">
            <v>-</v>
          </cell>
          <cell r="P1161" t="str">
            <v>-</v>
          </cell>
          <cell r="Q1161" t="str">
            <v>-</v>
          </cell>
          <cell r="R1161" t="str">
            <v>-</v>
          </cell>
          <cell r="T1161" t="str">
            <v>-</v>
          </cell>
          <cell r="U1161" t="str">
            <v>-</v>
          </cell>
          <cell r="W1161" t="str">
            <v>-</v>
          </cell>
        </row>
        <row r="1162">
          <cell r="F1162" t="str">
            <v>NADY01A076</v>
          </cell>
          <cell r="G1162" t="str">
            <v>A.P. MARKFEED FEED MIXING PLANT</v>
          </cell>
          <cell r="H1162">
            <v>2016</v>
          </cell>
          <cell r="J1162" t="str">
            <v>Domestic</v>
          </cell>
          <cell r="K1162" t="str">
            <v>Cattle Feed</v>
          </cell>
          <cell r="L1162" t="str">
            <v>Non-Sugar</v>
          </cell>
          <cell r="P1162" t="str">
            <v>SI-GS</v>
          </cell>
          <cell r="Q1162" t="str">
            <v>SI-GS</v>
          </cell>
          <cell r="W1162">
            <v>44673</v>
          </cell>
        </row>
        <row r="1163">
          <cell r="F1163" t="str">
            <v>DABI01A133</v>
          </cell>
          <cell r="G1163" t="str">
            <v>A1 BUCHEERI LLC</v>
          </cell>
          <cell r="H1163" t="str">
            <v>-</v>
          </cell>
          <cell r="J1163" t="str">
            <v>Export</v>
          </cell>
          <cell r="K1163" t="str">
            <v>Non-Sugar</v>
          </cell>
          <cell r="L1163" t="str">
            <v>Non-Sugar</v>
          </cell>
          <cell r="O1163" t="str">
            <v>-</v>
          </cell>
          <cell r="P1163" t="str">
            <v>-</v>
          </cell>
          <cell r="Q1163" t="str">
            <v>-</v>
          </cell>
          <cell r="R1163" t="str">
            <v>-</v>
          </cell>
          <cell r="T1163" t="str">
            <v>-</v>
          </cell>
          <cell r="U1163" t="str">
            <v>-</v>
          </cell>
          <cell r="W1163" t="str">
            <v>-</v>
          </cell>
        </row>
        <row r="1164">
          <cell r="F1164" t="str">
            <v>PHIL01A141</v>
          </cell>
          <cell r="G1164" t="str">
            <v>ABC COMMODITIES CORPORATION PHILIPINS</v>
          </cell>
          <cell r="H1164" t="str">
            <v>-</v>
          </cell>
          <cell r="J1164" t="str">
            <v>Export</v>
          </cell>
          <cell r="K1164" t="str">
            <v>-</v>
          </cell>
          <cell r="L1164" t="str">
            <v>Non-Sugar</v>
          </cell>
          <cell r="O1164" t="str">
            <v>-</v>
          </cell>
          <cell r="P1164" t="str">
            <v>-</v>
          </cell>
          <cell r="Q1164" t="str">
            <v>-</v>
          </cell>
          <cell r="R1164" t="str">
            <v>-</v>
          </cell>
          <cell r="T1164" t="str">
            <v>-</v>
          </cell>
          <cell r="U1164" t="str">
            <v>-</v>
          </cell>
          <cell r="W1164" t="str">
            <v>-</v>
          </cell>
        </row>
        <row r="1165">
          <cell r="F1165" t="str">
            <v>AHME01A090</v>
          </cell>
          <cell r="G1165" t="str">
            <v>ABELLON CLEAN ENERGY LTD</v>
          </cell>
          <cell r="H1165" t="str">
            <v>-</v>
          </cell>
          <cell r="J1165" t="str">
            <v>Domestic</v>
          </cell>
          <cell r="K1165" t="str">
            <v>Non-Sugar</v>
          </cell>
          <cell r="L1165" t="str">
            <v>Non-Sugar</v>
          </cell>
          <cell r="O1165" t="str">
            <v>-</v>
          </cell>
          <cell r="P1165" t="str">
            <v>-</v>
          </cell>
          <cell r="Q1165" t="str">
            <v>-</v>
          </cell>
          <cell r="R1165" t="str">
            <v>-</v>
          </cell>
          <cell r="T1165" t="str">
            <v>-</v>
          </cell>
          <cell r="U1165" t="str">
            <v>-</v>
          </cell>
          <cell r="W1165" t="str">
            <v>-</v>
          </cell>
        </row>
        <row r="1166">
          <cell r="F1166" t="str">
            <v>KOLK01A224</v>
          </cell>
          <cell r="G1166" t="str">
            <v>ABHINAV GUPTA COMPANY</v>
          </cell>
          <cell r="H1166" t="str">
            <v>-</v>
          </cell>
          <cell r="J1166" t="str">
            <v>Domestic</v>
          </cell>
          <cell r="K1166" t="str">
            <v>Non-Sugar</v>
          </cell>
          <cell r="L1166" t="str">
            <v>Non-Sugar</v>
          </cell>
          <cell r="O1166" t="str">
            <v>-</v>
          </cell>
          <cell r="P1166" t="str">
            <v>-</v>
          </cell>
          <cell r="Q1166" t="str">
            <v>-</v>
          </cell>
        </row>
        <row r="1167">
          <cell r="F1167" t="str">
            <v>AHMD01A201</v>
          </cell>
          <cell r="G1167" t="str">
            <v>ACME ENGINEERING</v>
          </cell>
          <cell r="H1167" t="str">
            <v>-</v>
          </cell>
          <cell r="J1167" t="str">
            <v>Domestic</v>
          </cell>
          <cell r="K1167" t="str">
            <v>Non-Sugar</v>
          </cell>
          <cell r="L1167" t="str">
            <v>Non-Sugar</v>
          </cell>
          <cell r="O1167" t="str">
            <v>-</v>
          </cell>
          <cell r="P1167" t="str">
            <v>-</v>
          </cell>
          <cell r="Q1167" t="str">
            <v>-</v>
          </cell>
        </row>
        <row r="1168">
          <cell r="F1168" t="str">
            <v>AHME01A084</v>
          </cell>
          <cell r="G1168" t="str">
            <v>ACME ENGINEERING INDUSTRIES</v>
          </cell>
          <cell r="H1168" t="str">
            <v>-</v>
          </cell>
          <cell r="J1168" t="str">
            <v>Domestic</v>
          </cell>
          <cell r="K1168" t="str">
            <v>Non-Sugar</v>
          </cell>
          <cell r="L1168" t="str">
            <v>Non-Sugar</v>
          </cell>
          <cell r="O1168" t="str">
            <v>-</v>
          </cell>
          <cell r="P1168" t="str">
            <v>-</v>
          </cell>
          <cell r="Q1168" t="str">
            <v>-</v>
          </cell>
          <cell r="R1168" t="str">
            <v>-</v>
          </cell>
          <cell r="T1168" t="str">
            <v>-</v>
          </cell>
          <cell r="U1168" t="str">
            <v>-</v>
          </cell>
          <cell r="W1168" t="str">
            <v>-</v>
          </cell>
        </row>
        <row r="1169">
          <cell r="F1169" t="str">
            <v>PUNE01A183</v>
          </cell>
          <cell r="G1169" t="str">
            <v>ACOM SERVICES</v>
          </cell>
          <cell r="H1169" t="str">
            <v>-</v>
          </cell>
          <cell r="J1169" t="str">
            <v>Domestic</v>
          </cell>
          <cell r="K1169" t="str">
            <v>Non-Sugar</v>
          </cell>
          <cell r="L1169" t="str">
            <v>Non-Sugar</v>
          </cell>
          <cell r="O1169" t="str">
            <v>-</v>
          </cell>
          <cell r="P1169" t="str">
            <v>-</v>
          </cell>
          <cell r="Q1169" t="str">
            <v>-</v>
          </cell>
          <cell r="R1169" t="str">
            <v>-</v>
          </cell>
          <cell r="T1169" t="str">
            <v>-</v>
          </cell>
          <cell r="U1169" t="str">
            <v>-</v>
          </cell>
          <cell r="W1169" t="str">
            <v>-</v>
          </cell>
        </row>
        <row r="1170">
          <cell r="F1170" t="str">
            <v>MUMB01A137</v>
          </cell>
          <cell r="G1170" t="str">
            <v>ACRYNOVA INDUSTRIES PVT LTD</v>
          </cell>
          <cell r="H1170" t="str">
            <v>-</v>
          </cell>
          <cell r="J1170" t="str">
            <v>Domestic</v>
          </cell>
          <cell r="K1170" t="str">
            <v>Non-Sugar</v>
          </cell>
          <cell r="L1170" t="str">
            <v>Non-Sugar</v>
          </cell>
          <cell r="O1170" t="str">
            <v>-</v>
          </cell>
          <cell r="P1170" t="str">
            <v>-</v>
          </cell>
          <cell r="Q1170" t="str">
            <v>-</v>
          </cell>
          <cell r="R1170" t="str">
            <v>-</v>
          </cell>
          <cell r="T1170" t="str">
            <v>-</v>
          </cell>
          <cell r="U1170" t="str">
            <v>-</v>
          </cell>
          <cell r="W1170" t="str">
            <v>-</v>
          </cell>
        </row>
        <row r="1171">
          <cell r="F1171" t="str">
            <v>DUBA01A045</v>
          </cell>
          <cell r="G1171" t="str">
            <v>ACUMEN ADHESIVE MFG. LLC</v>
          </cell>
          <cell r="H1171" t="str">
            <v>-</v>
          </cell>
          <cell r="J1171" t="str">
            <v>Export</v>
          </cell>
          <cell r="P1171" t="str">
            <v>-</v>
          </cell>
          <cell r="Q1171" t="str">
            <v>-</v>
          </cell>
        </row>
        <row r="1172">
          <cell r="F1172" t="str">
            <v>ALWR01A169</v>
          </cell>
          <cell r="G1172" t="str">
            <v>ADANI WILMAR LTD</v>
          </cell>
          <cell r="H1172" t="str">
            <v>-</v>
          </cell>
          <cell r="J1172" t="str">
            <v>Domestic</v>
          </cell>
          <cell r="K1172" t="str">
            <v>Non-Sugar</v>
          </cell>
          <cell r="L1172" t="str">
            <v>Non-Sugar</v>
          </cell>
          <cell r="O1172" t="str">
            <v>-</v>
          </cell>
          <cell r="P1172" t="str">
            <v>-</v>
          </cell>
          <cell r="Q1172" t="str">
            <v>-</v>
          </cell>
          <cell r="R1172" t="str">
            <v>-</v>
          </cell>
          <cell r="T1172" t="str">
            <v>-</v>
          </cell>
          <cell r="U1172" t="str">
            <v>-</v>
          </cell>
          <cell r="W1172" t="str">
            <v>-</v>
          </cell>
        </row>
        <row r="1173">
          <cell r="F1173" t="str">
            <v>NODA01A156</v>
          </cell>
          <cell r="G1173" t="str">
            <v>ADDOWINGS SOLUTIONS LLP</v>
          </cell>
          <cell r="H1173" t="str">
            <v>-</v>
          </cell>
          <cell r="J1173" t="str">
            <v>Domestic</v>
          </cell>
          <cell r="K1173" t="str">
            <v>Non-Sugar</v>
          </cell>
          <cell r="L1173" t="str">
            <v>Non-Sugar</v>
          </cell>
          <cell r="M1173" t="str">
            <v>OEM</v>
          </cell>
          <cell r="O1173" t="str">
            <v>-</v>
          </cell>
          <cell r="P1173" t="str">
            <v>VA</v>
          </cell>
          <cell r="Q1173" t="str">
            <v>-</v>
          </cell>
          <cell r="T1173" t="str">
            <v>-</v>
          </cell>
          <cell r="U1173" t="str">
            <v>-</v>
          </cell>
          <cell r="W1173" t="str">
            <v>-</v>
          </cell>
        </row>
        <row r="1174">
          <cell r="F1174" t="str">
            <v>DHAN01A078</v>
          </cell>
          <cell r="G1174" t="str">
            <v>ADEPT MINING PRIVATE LIMITED</v>
          </cell>
          <cell r="H1174" t="str">
            <v>-</v>
          </cell>
          <cell r="J1174" t="str">
            <v>Domestic</v>
          </cell>
          <cell r="K1174" t="str">
            <v>Non-Sugar</v>
          </cell>
          <cell r="L1174" t="str">
            <v>Non-Sugar</v>
          </cell>
          <cell r="O1174" t="str">
            <v>-</v>
          </cell>
          <cell r="P1174" t="str">
            <v>-</v>
          </cell>
          <cell r="Q1174" t="str">
            <v>-</v>
          </cell>
          <cell r="R1174" t="str">
            <v>-</v>
          </cell>
          <cell r="T1174" t="str">
            <v>-</v>
          </cell>
          <cell r="U1174" t="str">
            <v>-</v>
          </cell>
          <cell r="W1174" t="str">
            <v>-</v>
          </cell>
        </row>
        <row r="1175">
          <cell r="F1175" t="str">
            <v>ROUR01A046</v>
          </cell>
          <cell r="G1175" t="str">
            <v>ADHUNIK METALIKS LTD.</v>
          </cell>
          <cell r="H1175" t="str">
            <v>-</v>
          </cell>
          <cell r="J1175" t="str">
            <v>Domestic</v>
          </cell>
          <cell r="K1175" t="str">
            <v>Non-Sugar</v>
          </cell>
          <cell r="L1175" t="str">
            <v>Non-Sugar</v>
          </cell>
          <cell r="O1175" t="str">
            <v>-</v>
          </cell>
          <cell r="P1175" t="str">
            <v>-</v>
          </cell>
          <cell r="Q1175" t="str">
            <v>-</v>
          </cell>
          <cell r="R1175" t="str">
            <v>-</v>
          </cell>
          <cell r="T1175" t="str">
            <v>-</v>
          </cell>
          <cell r="U1175" t="str">
            <v>-</v>
          </cell>
          <cell r="W1175" t="str">
            <v>-</v>
          </cell>
        </row>
        <row r="1176">
          <cell r="F1176" t="str">
            <v>NANA01A089</v>
          </cell>
          <cell r="G1176" t="str">
            <v>ADIL</v>
          </cell>
          <cell r="H1176" t="str">
            <v>-</v>
          </cell>
          <cell r="J1176" t="str">
            <v>Export</v>
          </cell>
          <cell r="K1176" t="str">
            <v>Non-Sugar</v>
          </cell>
          <cell r="L1176" t="str">
            <v>Non-Sugar</v>
          </cell>
          <cell r="O1176" t="str">
            <v>-</v>
          </cell>
          <cell r="P1176" t="str">
            <v>-</v>
          </cell>
          <cell r="Q1176" t="str">
            <v>-</v>
          </cell>
        </row>
        <row r="1177">
          <cell r="F1177" t="str">
            <v>BELG01A069</v>
          </cell>
          <cell r="G1177" t="str">
            <v>ADINATH SUGARS LTD</v>
          </cell>
          <cell r="H1177">
            <v>2015</v>
          </cell>
          <cell r="J1177" t="str">
            <v>Domestic</v>
          </cell>
          <cell r="K1177" t="str">
            <v>Sugar</v>
          </cell>
          <cell r="M1177" t="str">
            <v>End User</v>
          </cell>
          <cell r="O1177" t="str">
            <v>-</v>
          </cell>
          <cell r="P1177" t="str">
            <v>-</v>
          </cell>
          <cell r="Q1177" t="str">
            <v>-</v>
          </cell>
          <cell r="R1177" t="str">
            <v>-</v>
          </cell>
          <cell r="T1177" t="str">
            <v>-</v>
          </cell>
          <cell r="W1177" t="str">
            <v>-</v>
          </cell>
        </row>
        <row r="1178">
          <cell r="F1178" t="str">
            <v>KOLL01A171</v>
          </cell>
          <cell r="G1178" t="str">
            <v>ADITHYA U R</v>
          </cell>
          <cell r="H1178" t="str">
            <v>-</v>
          </cell>
          <cell r="J1178" t="str">
            <v>Domestic</v>
          </cell>
          <cell r="K1178" t="str">
            <v>Non-Sugar</v>
          </cell>
          <cell r="L1178" t="str">
            <v>Non-Sugar</v>
          </cell>
          <cell r="O1178" t="str">
            <v>-</v>
          </cell>
          <cell r="P1178" t="str">
            <v>-</v>
          </cell>
          <cell r="Q1178" t="str">
            <v>-</v>
          </cell>
          <cell r="R1178" t="str">
            <v>-</v>
          </cell>
          <cell r="T1178" t="str">
            <v>-</v>
          </cell>
          <cell r="U1178" t="str">
            <v>-</v>
          </cell>
          <cell r="W1178" t="str">
            <v>-</v>
          </cell>
        </row>
        <row r="1179">
          <cell r="F1179" t="str">
            <v>CHEN01A153</v>
          </cell>
          <cell r="G1179" t="str">
            <v>ADITYA ELECTRIC LIMITED</v>
          </cell>
          <cell r="H1179" t="str">
            <v>-</v>
          </cell>
          <cell r="J1179" t="str">
            <v>Domestic</v>
          </cell>
          <cell r="K1179" t="str">
            <v>Non-Sugar</v>
          </cell>
          <cell r="L1179" t="str">
            <v>Non-Sugar</v>
          </cell>
          <cell r="O1179" t="str">
            <v>-</v>
          </cell>
          <cell r="P1179" t="str">
            <v>-</v>
          </cell>
          <cell r="Q1179" t="str">
            <v>-</v>
          </cell>
          <cell r="R1179" t="str">
            <v>-</v>
          </cell>
          <cell r="T1179" t="str">
            <v>-</v>
          </cell>
          <cell r="U1179" t="str">
            <v>-</v>
          </cell>
          <cell r="W1179" t="str">
            <v>-</v>
          </cell>
        </row>
        <row r="1180">
          <cell r="F1180" t="str">
            <v>ANKL01A017</v>
          </cell>
          <cell r="G1180" t="str">
            <v>ADVANCE PAINTS PVT.LTD.(GA-001)</v>
          </cell>
          <cell r="H1180" t="str">
            <v>-</v>
          </cell>
          <cell r="J1180" t="str">
            <v>Domestic</v>
          </cell>
          <cell r="K1180" t="str">
            <v>Non-Sugar</v>
          </cell>
          <cell r="L1180" t="str">
            <v>Non-Sugar</v>
          </cell>
          <cell r="O1180" t="str">
            <v>-</v>
          </cell>
          <cell r="P1180" t="str">
            <v>-</v>
          </cell>
          <cell r="Q1180" t="str">
            <v>-</v>
          </cell>
          <cell r="R1180" t="str">
            <v>-</v>
          </cell>
          <cell r="T1180" t="str">
            <v>-</v>
          </cell>
          <cell r="U1180" t="str">
            <v>-</v>
          </cell>
          <cell r="W1180" t="str">
            <v>-</v>
          </cell>
        </row>
        <row r="1181">
          <cell r="F1181" t="str">
            <v>MUMB01A018</v>
          </cell>
          <cell r="G1181" t="str">
            <v>ADVANCE PAINTS PVT.LTD.(NA-001)</v>
          </cell>
          <cell r="H1181" t="str">
            <v>NA</v>
          </cell>
          <cell r="J1181" t="str">
            <v>Domestic</v>
          </cell>
          <cell r="K1181" t="str">
            <v>Non-Sugar</v>
          </cell>
          <cell r="L1181" t="str">
            <v>Non-Sugar</v>
          </cell>
          <cell r="O1181" t="str">
            <v>-</v>
          </cell>
          <cell r="P1181" t="str">
            <v>-</v>
          </cell>
          <cell r="Q1181" t="str">
            <v>-</v>
          </cell>
          <cell r="R1181" t="str">
            <v>-</v>
          </cell>
          <cell r="T1181" t="str">
            <v>-</v>
          </cell>
          <cell r="U1181" t="str">
            <v>-</v>
          </cell>
          <cell r="W1181" t="str">
            <v>-</v>
          </cell>
        </row>
        <row r="1182">
          <cell r="F1182" t="str">
            <v>DHAN01A019</v>
          </cell>
          <cell r="G1182" t="str">
            <v>AFM KUSTORE AREA NO. VIII BHARAT COKING COAL LTD.</v>
          </cell>
          <cell r="H1182" t="str">
            <v>-</v>
          </cell>
          <cell r="J1182" t="str">
            <v>Domestic</v>
          </cell>
          <cell r="K1182" t="str">
            <v>Non-Sugar</v>
          </cell>
          <cell r="L1182" t="str">
            <v>Non-Sugar</v>
          </cell>
          <cell r="O1182" t="str">
            <v>-</v>
          </cell>
          <cell r="P1182" t="str">
            <v>-</v>
          </cell>
          <cell r="Q1182" t="str">
            <v>-</v>
          </cell>
          <cell r="R1182" t="str">
            <v>-</v>
          </cell>
          <cell r="T1182" t="str">
            <v>-</v>
          </cell>
          <cell r="U1182" t="str">
            <v>-</v>
          </cell>
          <cell r="W1182" t="str">
            <v>-</v>
          </cell>
        </row>
        <row r="1183">
          <cell r="F1183" t="str">
            <v>DHAN01A020</v>
          </cell>
          <cell r="G1183" t="str">
            <v>AFM LODNA AREA BHARAT COKING COAL LTD.</v>
          </cell>
          <cell r="H1183" t="str">
            <v>-</v>
          </cell>
          <cell r="J1183" t="str">
            <v>Domestic</v>
          </cell>
          <cell r="K1183" t="str">
            <v>Non-Sugar</v>
          </cell>
          <cell r="L1183" t="str">
            <v>Non-Sugar</v>
          </cell>
          <cell r="O1183" t="str">
            <v>-</v>
          </cell>
          <cell r="P1183" t="str">
            <v>-</v>
          </cell>
          <cell r="Q1183" t="str">
            <v>-</v>
          </cell>
          <cell r="R1183" t="str">
            <v>-</v>
          </cell>
          <cell r="T1183" t="str">
            <v>-</v>
          </cell>
          <cell r="U1183" t="str">
            <v>-</v>
          </cell>
          <cell r="W1183" t="str">
            <v>-</v>
          </cell>
        </row>
        <row r="1184">
          <cell r="F1184" t="str">
            <v>DHAN01A021</v>
          </cell>
          <cell r="G1184" t="str">
            <v>AFM (EJ AREA) BHARAT COKING COAL LIMITED</v>
          </cell>
          <cell r="H1184" t="str">
            <v>-</v>
          </cell>
          <cell r="J1184" t="str">
            <v>Domestic</v>
          </cell>
          <cell r="K1184" t="str">
            <v>Non-Sugar</v>
          </cell>
          <cell r="L1184" t="str">
            <v>Non-Sugar</v>
          </cell>
          <cell r="O1184" t="str">
            <v>-</v>
          </cell>
          <cell r="P1184" t="str">
            <v>-</v>
          </cell>
          <cell r="Q1184" t="str">
            <v>-</v>
          </cell>
          <cell r="R1184" t="str">
            <v>-</v>
          </cell>
          <cell r="T1184" t="str">
            <v>-</v>
          </cell>
          <cell r="U1184" t="str">
            <v>-</v>
          </cell>
          <cell r="W1184" t="str">
            <v>-</v>
          </cell>
        </row>
        <row r="1185">
          <cell r="F1185" t="str">
            <v>BURD01A022</v>
          </cell>
          <cell r="G1185" t="str">
            <v>AFM JHANJRA AREA EASTERN COALFIELDS LTD.</v>
          </cell>
          <cell r="H1185" t="str">
            <v>-</v>
          </cell>
          <cell r="J1185" t="str">
            <v>Domestic</v>
          </cell>
          <cell r="K1185" t="str">
            <v>Non-Sugar</v>
          </cell>
          <cell r="L1185" t="str">
            <v>Non-Sugar</v>
          </cell>
          <cell r="O1185" t="str">
            <v>-</v>
          </cell>
          <cell r="P1185" t="str">
            <v>-</v>
          </cell>
          <cell r="Q1185" t="str">
            <v>-</v>
          </cell>
          <cell r="R1185" t="str">
            <v>-</v>
          </cell>
          <cell r="T1185" t="str">
            <v>-</v>
          </cell>
          <cell r="U1185" t="str">
            <v>-</v>
          </cell>
          <cell r="W1185" t="str">
            <v>-</v>
          </cell>
        </row>
        <row r="1186">
          <cell r="F1186" t="str">
            <v>DHAN01A023</v>
          </cell>
          <cell r="G1186" t="str">
            <v>AFM/WJA (MOONIDIH) BHARAT COKING COAL LIMITED</v>
          </cell>
          <cell r="H1186" t="str">
            <v>-</v>
          </cell>
          <cell r="J1186" t="str">
            <v>Domestic</v>
          </cell>
          <cell r="K1186" t="str">
            <v>Non-Sugar</v>
          </cell>
          <cell r="L1186" t="str">
            <v>Non-Sugar</v>
          </cell>
          <cell r="O1186" t="str">
            <v>-</v>
          </cell>
          <cell r="P1186" t="str">
            <v>-</v>
          </cell>
          <cell r="Q1186" t="str">
            <v>-</v>
          </cell>
          <cell r="R1186" t="str">
            <v>-</v>
          </cell>
          <cell r="T1186" t="str">
            <v>-</v>
          </cell>
          <cell r="U1186" t="str">
            <v>-</v>
          </cell>
          <cell r="W1186" t="str">
            <v>-</v>
          </cell>
        </row>
        <row r="1187">
          <cell r="F1187" t="str">
            <v>DHAN01A024</v>
          </cell>
          <cell r="G1187" t="str">
            <v>AFM-3 (AREA-3) BHARAT COKING COAL LTD.</v>
          </cell>
          <cell r="H1187" t="str">
            <v>-</v>
          </cell>
          <cell r="J1187" t="str">
            <v>Domestic</v>
          </cell>
          <cell r="K1187" t="str">
            <v>Non-Sugar</v>
          </cell>
          <cell r="L1187" t="str">
            <v>Non-Sugar</v>
          </cell>
          <cell r="O1187" t="str">
            <v>-</v>
          </cell>
          <cell r="P1187" t="str">
            <v>-</v>
          </cell>
          <cell r="Q1187" t="str">
            <v>-</v>
          </cell>
          <cell r="R1187" t="str">
            <v>-</v>
          </cell>
          <cell r="T1187" t="str">
            <v>-</v>
          </cell>
          <cell r="U1187" t="str">
            <v>-</v>
          </cell>
          <cell r="W1187" t="str">
            <v>-</v>
          </cell>
        </row>
        <row r="1188">
          <cell r="F1188" t="str">
            <v>INDR01A151</v>
          </cell>
          <cell r="G1188" t="str">
            <v>AGARWAL'S 420 MACHINES MULTIPURPOSE ENGINEERING WORKS</v>
          </cell>
          <cell r="H1188" t="str">
            <v>-</v>
          </cell>
          <cell r="J1188" t="str">
            <v>Domestic</v>
          </cell>
          <cell r="K1188" t="str">
            <v>Non-Sugar</v>
          </cell>
          <cell r="L1188" t="str">
            <v>Non-Sugar</v>
          </cell>
          <cell r="O1188" t="str">
            <v>-</v>
          </cell>
          <cell r="P1188" t="str">
            <v>-</v>
          </cell>
          <cell r="Q1188" t="str">
            <v>-</v>
          </cell>
          <cell r="R1188" t="str">
            <v>-</v>
          </cell>
          <cell r="T1188" t="str">
            <v>-</v>
          </cell>
          <cell r="U1188" t="str">
            <v>-</v>
          </cell>
          <cell r="W1188" t="str">
            <v>-</v>
          </cell>
        </row>
        <row r="1189">
          <cell r="F1189" t="str">
            <v>PUNE01A196</v>
          </cell>
          <cell r="G1189" t="str">
            <v>AGG LIFESCIENCES &amp; SAFETY SOLUTIONS LLP</v>
          </cell>
          <cell r="H1189" t="str">
            <v>-</v>
          </cell>
          <cell r="J1189" t="str">
            <v>Domestic</v>
          </cell>
          <cell r="K1189" t="str">
            <v>Non-Sugar</v>
          </cell>
          <cell r="L1189" t="str">
            <v>Non-Sugar</v>
          </cell>
          <cell r="O1189" t="str">
            <v>-</v>
          </cell>
          <cell r="P1189" t="str">
            <v>-</v>
          </cell>
          <cell r="Q1189" t="str">
            <v>-</v>
          </cell>
        </row>
        <row r="1190">
          <cell r="F1190" t="str">
            <v>VARA01A103</v>
          </cell>
          <cell r="G1190" t="str">
            <v>AGRAWAL ENTERPRISES</v>
          </cell>
          <cell r="H1190" t="str">
            <v>20-21</v>
          </cell>
          <cell r="J1190" t="str">
            <v>Domestic</v>
          </cell>
          <cell r="K1190" t="str">
            <v>Non-Sugar</v>
          </cell>
          <cell r="L1190" t="str">
            <v>Non-Sugar</v>
          </cell>
          <cell r="M1190" t="str">
            <v>End User</v>
          </cell>
          <cell r="O1190" t="str">
            <v>-</v>
          </cell>
          <cell r="P1190" t="str">
            <v>VA</v>
          </cell>
          <cell r="Q1190" t="str">
            <v>-</v>
          </cell>
          <cell r="T1190" t="str">
            <v>-</v>
          </cell>
          <cell r="U1190" t="str">
            <v>-</v>
          </cell>
          <cell r="W1190" t="str">
            <v>-</v>
          </cell>
        </row>
        <row r="1191">
          <cell r="F1191" t="str">
            <v>BANT01A093</v>
          </cell>
          <cell r="G1191" t="str">
            <v>AGRICOM FOODS PVT LTD</v>
          </cell>
          <cell r="H1191" t="str">
            <v>-</v>
          </cell>
          <cell r="J1191" t="str">
            <v>Domestic</v>
          </cell>
          <cell r="K1191" t="str">
            <v>Food</v>
          </cell>
          <cell r="L1191" t="str">
            <v>Non-Sugar</v>
          </cell>
          <cell r="M1191" t="str">
            <v>End User</v>
          </cell>
          <cell r="O1191" t="str">
            <v>-</v>
          </cell>
          <cell r="P1191" t="str">
            <v>HO</v>
          </cell>
          <cell r="Q1191" t="str">
            <v>-</v>
          </cell>
          <cell r="T1191" t="str">
            <v>-</v>
          </cell>
          <cell r="U1191" t="str">
            <v>-</v>
          </cell>
          <cell r="W1191" t="str">
            <v>-</v>
          </cell>
        </row>
        <row r="1192">
          <cell r="F1192" t="str">
            <v>MUHO01A053</v>
          </cell>
          <cell r="G1192" t="str">
            <v>AGRO-CHEMICAL(NOT IN USE)</v>
          </cell>
          <cell r="H1192" t="str">
            <v>-</v>
          </cell>
          <cell r="J1192" t="str">
            <v>Export</v>
          </cell>
          <cell r="K1192" t="str">
            <v>CHEMICAL</v>
          </cell>
          <cell r="L1192" t="str">
            <v>Non-Sugar</v>
          </cell>
          <cell r="M1192" t="str">
            <v>End User</v>
          </cell>
          <cell r="O1192" t="str">
            <v>-</v>
          </cell>
          <cell r="P1192" t="str">
            <v>-</v>
          </cell>
          <cell r="Q1192" t="str">
            <v>-</v>
          </cell>
          <cell r="R1192" t="str">
            <v>-</v>
          </cell>
          <cell r="T1192" t="str">
            <v>-</v>
          </cell>
          <cell r="U1192" t="str">
            <v>-</v>
          </cell>
          <cell r="W1192" t="str">
            <v>-</v>
          </cell>
        </row>
        <row r="1193">
          <cell r="F1193" t="str">
            <v>JAKA01A072</v>
          </cell>
          <cell r="G1193" t="str">
            <v>AGUS SUGENG AMANU</v>
          </cell>
          <cell r="H1193" t="str">
            <v>-</v>
          </cell>
          <cell r="J1193" t="str">
            <v>Export</v>
          </cell>
          <cell r="K1193" t="str">
            <v>Non-Sugar</v>
          </cell>
          <cell r="L1193" t="str">
            <v>Non-Sugar</v>
          </cell>
          <cell r="O1193" t="str">
            <v>-</v>
          </cell>
          <cell r="P1193" t="str">
            <v>-</v>
          </cell>
          <cell r="Q1193" t="str">
            <v>VG</v>
          </cell>
          <cell r="R1193" t="str">
            <v>-</v>
          </cell>
          <cell r="T1193" t="str">
            <v>-</v>
          </cell>
          <cell r="U1193" t="str">
            <v>-</v>
          </cell>
          <cell r="W1193" t="str">
            <v>-</v>
          </cell>
        </row>
        <row r="1194">
          <cell r="F1194" t="str">
            <v>BANG01A132</v>
          </cell>
          <cell r="G1194" t="str">
            <v>AIRA TREX SOLUTIONS PVT LTD</v>
          </cell>
          <cell r="H1194" t="str">
            <v>-</v>
          </cell>
          <cell r="J1194" t="str">
            <v>Domestic</v>
          </cell>
          <cell r="K1194" t="str">
            <v>Non-Sugar</v>
          </cell>
          <cell r="L1194" t="str">
            <v>Non-Sugar</v>
          </cell>
          <cell r="O1194" t="str">
            <v>-</v>
          </cell>
          <cell r="P1194" t="str">
            <v>-</v>
          </cell>
          <cell r="Q1194" t="str">
            <v>-</v>
          </cell>
          <cell r="R1194" t="str">
            <v>-</v>
          </cell>
          <cell r="T1194" t="str">
            <v>-</v>
          </cell>
          <cell r="U1194" t="str">
            <v>-</v>
          </cell>
          <cell r="W1194" t="str">
            <v>-</v>
          </cell>
        </row>
        <row r="1195">
          <cell r="F1195" t="str">
            <v>BANG01A074</v>
          </cell>
          <cell r="G1195" t="str">
            <v>AIRCON HOUSE</v>
          </cell>
          <cell r="H1195" t="str">
            <v>-</v>
          </cell>
          <cell r="J1195" t="str">
            <v>Domestic</v>
          </cell>
          <cell r="K1195" t="str">
            <v>Non-Sugar</v>
          </cell>
          <cell r="L1195" t="str">
            <v>Non-Sugar</v>
          </cell>
          <cell r="O1195" t="str">
            <v>-</v>
          </cell>
          <cell r="P1195" t="str">
            <v>-</v>
          </cell>
          <cell r="Q1195" t="str">
            <v>-</v>
          </cell>
          <cell r="R1195" t="str">
            <v>-</v>
          </cell>
          <cell r="T1195" t="str">
            <v>-</v>
          </cell>
          <cell r="U1195" t="str">
            <v>-</v>
          </cell>
          <cell r="W1195" t="str">
            <v>-</v>
          </cell>
        </row>
        <row r="1196">
          <cell r="F1196" t="str">
            <v>GUJA01A158</v>
          </cell>
          <cell r="G1196" t="str">
            <v>AJAY ENGINEERING</v>
          </cell>
          <cell r="H1196" t="str">
            <v>-</v>
          </cell>
          <cell r="J1196" t="str">
            <v>Domestic</v>
          </cell>
          <cell r="K1196" t="str">
            <v>Non-Sugar</v>
          </cell>
          <cell r="L1196" t="str">
            <v>Non-Sugar</v>
          </cell>
          <cell r="O1196" t="str">
            <v>-</v>
          </cell>
          <cell r="P1196" t="str">
            <v>-</v>
          </cell>
          <cell r="Q1196" t="str">
            <v>-</v>
          </cell>
          <cell r="R1196" t="str">
            <v>-</v>
          </cell>
          <cell r="T1196" t="str">
            <v>-</v>
          </cell>
          <cell r="U1196" t="str">
            <v>-</v>
          </cell>
          <cell r="W1196" t="str">
            <v>-</v>
          </cell>
        </row>
        <row r="1197">
          <cell r="F1197" t="str">
            <v>OSMA01A062</v>
          </cell>
          <cell r="G1197" t="str">
            <v>AJAY POLYMERS &amp; ENGINEERS</v>
          </cell>
          <cell r="H1197">
            <v>2015</v>
          </cell>
          <cell r="J1197" t="str">
            <v>Domestic</v>
          </cell>
          <cell r="K1197" t="str">
            <v>Sugar</v>
          </cell>
          <cell r="M1197" t="str">
            <v>End User</v>
          </cell>
          <cell r="O1197" t="str">
            <v>-</v>
          </cell>
          <cell r="P1197" t="str">
            <v>-</v>
          </cell>
          <cell r="Q1197" t="str">
            <v>-</v>
          </cell>
          <cell r="R1197" t="str">
            <v>-</v>
          </cell>
          <cell r="T1197" t="str">
            <v>-</v>
          </cell>
          <cell r="W1197" t="str">
            <v>-</v>
          </cell>
        </row>
        <row r="1198">
          <cell r="F1198" t="str">
            <v>KANP01A082</v>
          </cell>
          <cell r="G1198" t="str">
            <v>AJEET YADAW</v>
          </cell>
          <cell r="H1198" t="str">
            <v>-</v>
          </cell>
          <cell r="J1198" t="str">
            <v>Domestic</v>
          </cell>
          <cell r="K1198" t="str">
            <v>Non-Sugar</v>
          </cell>
          <cell r="L1198" t="str">
            <v>Non-Sugar</v>
          </cell>
          <cell r="O1198" t="str">
            <v>-</v>
          </cell>
          <cell r="P1198" t="str">
            <v>-</v>
          </cell>
          <cell r="Q1198" t="str">
            <v>-</v>
          </cell>
          <cell r="R1198" t="str">
            <v>-</v>
          </cell>
          <cell r="T1198" t="str">
            <v>-</v>
          </cell>
          <cell r="U1198" t="str">
            <v>-</v>
          </cell>
          <cell r="W1198" t="str">
            <v>-</v>
          </cell>
        </row>
        <row r="1199">
          <cell r="F1199" t="str">
            <v>NODA01A131</v>
          </cell>
          <cell r="G1199" t="str">
            <v>AKBAR CARPETS</v>
          </cell>
          <cell r="H1199" t="str">
            <v>-</v>
          </cell>
          <cell r="J1199" t="str">
            <v>Domestic</v>
          </cell>
          <cell r="K1199" t="str">
            <v>Non-Sugar</v>
          </cell>
          <cell r="L1199" t="str">
            <v>Non-Sugar</v>
          </cell>
          <cell r="O1199" t="str">
            <v>-</v>
          </cell>
          <cell r="P1199" t="str">
            <v>-</v>
          </cell>
          <cell r="Q1199" t="str">
            <v>-</v>
          </cell>
          <cell r="R1199" t="str">
            <v>-</v>
          </cell>
          <cell r="T1199" t="str">
            <v>-</v>
          </cell>
          <cell r="U1199" t="str">
            <v>-</v>
          </cell>
          <cell r="W1199" t="str">
            <v>-</v>
          </cell>
        </row>
        <row r="1200">
          <cell r="F1200" t="str">
            <v>PANI01A027</v>
          </cell>
          <cell r="G1200" t="str">
            <v>AKS RUGS CO.</v>
          </cell>
          <cell r="H1200">
            <v>2012</v>
          </cell>
          <cell r="J1200" t="str">
            <v>Domestic</v>
          </cell>
          <cell r="K1200" t="str">
            <v>Non-Sugar</v>
          </cell>
          <cell r="L1200" t="str">
            <v>Non-Sugar</v>
          </cell>
          <cell r="M1200" t="str">
            <v>End User</v>
          </cell>
          <cell r="O1200" t="str">
            <v>-</v>
          </cell>
          <cell r="P1200" t="str">
            <v>-</v>
          </cell>
          <cell r="Q1200" t="str">
            <v>-</v>
          </cell>
          <cell r="R1200" t="str">
            <v>-</v>
          </cell>
          <cell r="T1200" t="str">
            <v>-</v>
          </cell>
          <cell r="U1200" t="str">
            <v>-</v>
          </cell>
          <cell r="W1200" t="str">
            <v>-</v>
          </cell>
        </row>
        <row r="1201">
          <cell r="F1201" t="str">
            <v>PUNE01A028</v>
          </cell>
          <cell r="G1201" t="str">
            <v>ALARD INDUSTRIES LIMITED</v>
          </cell>
          <cell r="H1201" t="str">
            <v>-</v>
          </cell>
          <cell r="J1201" t="str">
            <v>Domestic</v>
          </cell>
          <cell r="P1201" t="str">
            <v>LGP</v>
          </cell>
          <cell r="Q1201" t="str">
            <v>-</v>
          </cell>
        </row>
        <row r="1202">
          <cell r="F1202" t="str">
            <v>UJJA01A143</v>
          </cell>
          <cell r="G1202" t="str">
            <v>ALCHEMY CHEMICALS</v>
          </cell>
          <cell r="H1202" t="str">
            <v>-</v>
          </cell>
          <cell r="J1202" t="str">
            <v>Domestic</v>
          </cell>
          <cell r="K1202" t="str">
            <v>CHEMICAL</v>
          </cell>
          <cell r="L1202" t="str">
            <v>Non-Sugar</v>
          </cell>
          <cell r="M1202" t="str">
            <v>End User</v>
          </cell>
          <cell r="O1202" t="str">
            <v>-</v>
          </cell>
          <cell r="P1202" t="str">
            <v>-</v>
          </cell>
          <cell r="Q1202" t="str">
            <v>-</v>
          </cell>
          <cell r="R1202" t="str">
            <v>-</v>
          </cell>
          <cell r="T1202" t="str">
            <v>-</v>
          </cell>
          <cell r="U1202" t="str">
            <v>-</v>
          </cell>
          <cell r="W1202" t="str">
            <v>-</v>
          </cell>
        </row>
        <row r="1203">
          <cell r="F1203" t="str">
            <v>PUNE01A234</v>
          </cell>
          <cell r="G1203" t="str">
            <v>AMAL SHARMA</v>
          </cell>
          <cell r="H1203" t="str">
            <v>-</v>
          </cell>
          <cell r="J1203" t="str">
            <v>Domestic</v>
          </cell>
          <cell r="L1203" t="str">
            <v>Non-Sugar</v>
          </cell>
          <cell r="O1203" t="str">
            <v>-</v>
          </cell>
          <cell r="P1203" t="str">
            <v>-</v>
          </cell>
          <cell r="Q1203" t="str">
            <v>-</v>
          </cell>
        </row>
        <row r="1204">
          <cell r="F1204" t="str">
            <v>JAMM01A059</v>
          </cell>
          <cell r="G1204" t="str">
            <v>AMANDEEP SINGH</v>
          </cell>
          <cell r="H1204" t="str">
            <v>-</v>
          </cell>
          <cell r="J1204" t="str">
            <v>Domestic</v>
          </cell>
          <cell r="K1204" t="str">
            <v>-</v>
          </cell>
          <cell r="L1204" t="str">
            <v>Non-Sugar</v>
          </cell>
          <cell r="O1204" t="str">
            <v>-</v>
          </cell>
          <cell r="P1204" t="str">
            <v>-</v>
          </cell>
          <cell r="Q1204" t="str">
            <v>-</v>
          </cell>
          <cell r="R1204" t="str">
            <v>-</v>
          </cell>
          <cell r="T1204" t="str">
            <v>-</v>
          </cell>
          <cell r="U1204" t="str">
            <v>-</v>
          </cell>
          <cell r="W1204" t="str">
            <v>-</v>
          </cell>
        </row>
        <row r="1205">
          <cell r="F1205" t="str">
            <v>HODE01A065</v>
          </cell>
          <cell r="G1205" t="str">
            <v>AMEER MASHRAH</v>
          </cell>
          <cell r="H1205" t="str">
            <v>-</v>
          </cell>
          <cell r="J1205" t="str">
            <v>Export</v>
          </cell>
          <cell r="K1205" t="str">
            <v>-</v>
          </cell>
          <cell r="L1205" t="str">
            <v>Non-Sugar</v>
          </cell>
          <cell r="O1205" t="str">
            <v>-</v>
          </cell>
          <cell r="P1205" t="str">
            <v>-</v>
          </cell>
          <cell r="Q1205" t="str">
            <v>-</v>
          </cell>
          <cell r="R1205" t="str">
            <v>-</v>
          </cell>
          <cell r="T1205" t="str">
            <v>-</v>
          </cell>
          <cell r="U1205" t="str">
            <v>-</v>
          </cell>
          <cell r="W1205" t="str">
            <v>-</v>
          </cell>
        </row>
        <row r="1206">
          <cell r="F1206" t="str">
            <v>DLHI01A136</v>
          </cell>
          <cell r="G1206" t="str">
            <v>AMIKON BLOWERS</v>
          </cell>
          <cell r="H1206" t="str">
            <v>-</v>
          </cell>
          <cell r="J1206" t="str">
            <v>Domestic</v>
          </cell>
          <cell r="K1206" t="str">
            <v>-</v>
          </cell>
          <cell r="L1206" t="str">
            <v>Non-Sugar</v>
          </cell>
          <cell r="O1206" t="str">
            <v>-</v>
          </cell>
          <cell r="P1206" t="str">
            <v>-</v>
          </cell>
          <cell r="Q1206" t="str">
            <v>-</v>
          </cell>
          <cell r="R1206" t="str">
            <v>-</v>
          </cell>
          <cell r="T1206" t="str">
            <v>-</v>
          </cell>
          <cell r="U1206" t="str">
            <v>-</v>
          </cell>
          <cell r="W1206" t="str">
            <v>-</v>
          </cell>
        </row>
        <row r="1207">
          <cell r="F1207" t="str">
            <v>JAIP01A174</v>
          </cell>
          <cell r="G1207" t="str">
            <v>AMPC WATER SOLUTIONS</v>
          </cell>
          <cell r="H1207" t="str">
            <v>-</v>
          </cell>
          <cell r="J1207" t="str">
            <v>Domestic</v>
          </cell>
          <cell r="K1207" t="str">
            <v>-</v>
          </cell>
          <cell r="L1207" t="str">
            <v>Non-Sugar</v>
          </cell>
          <cell r="O1207" t="str">
            <v>-</v>
          </cell>
          <cell r="P1207" t="str">
            <v>-</v>
          </cell>
          <cell r="Q1207" t="str">
            <v>-</v>
          </cell>
          <cell r="R1207" t="str">
            <v>-</v>
          </cell>
          <cell r="T1207" t="str">
            <v>-</v>
          </cell>
          <cell r="U1207" t="str">
            <v>-</v>
          </cell>
          <cell r="W1207" t="str">
            <v>-</v>
          </cell>
        </row>
        <row r="1208">
          <cell r="F1208" t="str">
            <v>CHEN01A142</v>
          </cell>
          <cell r="G1208" t="str">
            <v>AMRAVATI BOARDS PAPER</v>
          </cell>
          <cell r="H1208" t="str">
            <v>-</v>
          </cell>
          <cell r="J1208" t="str">
            <v>Domestic</v>
          </cell>
          <cell r="K1208" t="str">
            <v>Paper</v>
          </cell>
          <cell r="L1208" t="str">
            <v>Non-Sugar</v>
          </cell>
          <cell r="M1208" t="str">
            <v>End User</v>
          </cell>
          <cell r="O1208" t="str">
            <v>-</v>
          </cell>
          <cell r="P1208" t="str">
            <v>-</v>
          </cell>
          <cell r="Q1208" t="str">
            <v>-</v>
          </cell>
          <cell r="R1208" t="str">
            <v>-</v>
          </cell>
          <cell r="T1208" t="str">
            <v>-</v>
          </cell>
          <cell r="U1208" t="str">
            <v>-</v>
          </cell>
          <cell r="W1208" t="str">
            <v>-</v>
          </cell>
        </row>
        <row r="1209">
          <cell r="F1209" t="str">
            <v>POND01A154</v>
          </cell>
          <cell r="G1209" t="str">
            <v>AMSTERDAM CONSULTING B.V.</v>
          </cell>
          <cell r="H1209" t="str">
            <v>-</v>
          </cell>
          <cell r="J1209" t="str">
            <v>Export</v>
          </cell>
          <cell r="K1209" t="str">
            <v>-</v>
          </cell>
          <cell r="L1209" t="str">
            <v>Non-Sugar</v>
          </cell>
          <cell r="O1209" t="str">
            <v>-</v>
          </cell>
          <cell r="P1209" t="str">
            <v>-</v>
          </cell>
          <cell r="Q1209" t="str">
            <v>-</v>
          </cell>
          <cell r="R1209" t="str">
            <v>-</v>
          </cell>
          <cell r="T1209" t="str">
            <v>-</v>
          </cell>
          <cell r="U1209" t="str">
            <v>-</v>
          </cell>
          <cell r="W1209" t="str">
            <v>-</v>
          </cell>
        </row>
        <row r="1210">
          <cell r="F1210" t="str">
            <v>ALAH01A041</v>
          </cell>
          <cell r="G1210" t="str">
            <v>ANAND AGROCHEM I LTD</v>
          </cell>
          <cell r="H1210">
            <v>2012</v>
          </cell>
          <cell r="J1210" t="str">
            <v>Domestic</v>
          </cell>
          <cell r="K1210" t="str">
            <v>-</v>
          </cell>
          <cell r="L1210" t="str">
            <v>Non-Sugar</v>
          </cell>
          <cell r="M1210" t="str">
            <v>End User</v>
          </cell>
          <cell r="O1210" t="str">
            <v>-</v>
          </cell>
          <cell r="P1210" t="str">
            <v>-</v>
          </cell>
          <cell r="Q1210" t="str">
            <v>-</v>
          </cell>
          <cell r="R1210" t="str">
            <v>-</v>
          </cell>
          <cell r="T1210" t="str">
            <v>-</v>
          </cell>
          <cell r="U1210" t="str">
            <v>-</v>
          </cell>
          <cell r="W1210" t="str">
            <v>-</v>
          </cell>
        </row>
        <row r="1211">
          <cell r="F1211" t="str">
            <v>PATI01A179</v>
          </cell>
          <cell r="G1211" t="str">
            <v>ANAND ISHWAR ENGINEERING WORKS</v>
          </cell>
          <cell r="H1211" t="str">
            <v>-</v>
          </cell>
          <cell r="J1211" t="str">
            <v>Domestic</v>
          </cell>
          <cell r="K1211" t="str">
            <v>-</v>
          </cell>
          <cell r="L1211" t="str">
            <v>Non-Sugar</v>
          </cell>
          <cell r="O1211" t="str">
            <v>-</v>
          </cell>
          <cell r="P1211" t="str">
            <v>-</v>
          </cell>
          <cell r="Q1211" t="str">
            <v>-</v>
          </cell>
          <cell r="R1211" t="str">
            <v>-</v>
          </cell>
          <cell r="T1211" t="str">
            <v>-</v>
          </cell>
          <cell r="U1211" t="str">
            <v>-</v>
          </cell>
          <cell r="W1211" t="str">
            <v>-</v>
          </cell>
        </row>
        <row r="1212">
          <cell r="F1212" t="str">
            <v>SAMA01A170</v>
          </cell>
          <cell r="G1212" t="str">
            <v>ANAYA SALES</v>
          </cell>
          <cell r="H1212" t="str">
            <v>-</v>
          </cell>
          <cell r="J1212" t="str">
            <v>Domestic</v>
          </cell>
          <cell r="K1212" t="str">
            <v>-</v>
          </cell>
          <cell r="L1212" t="str">
            <v>Non-Sugar</v>
          </cell>
          <cell r="O1212" t="str">
            <v>-</v>
          </cell>
          <cell r="P1212" t="str">
            <v>-</v>
          </cell>
          <cell r="Q1212" t="str">
            <v>-</v>
          </cell>
          <cell r="R1212" t="str">
            <v>-</v>
          </cell>
          <cell r="T1212" t="str">
            <v>-</v>
          </cell>
          <cell r="U1212" t="str">
            <v>-</v>
          </cell>
          <cell r="W1212" t="str">
            <v>-</v>
          </cell>
        </row>
        <row r="1213">
          <cell r="F1213" t="str">
            <v>SAMA01N033</v>
          </cell>
          <cell r="G1213" t="str">
            <v>ANIL DALMIA</v>
          </cell>
          <cell r="H1213" t="str">
            <v>-</v>
          </cell>
          <cell r="J1213" t="str">
            <v>Domestic</v>
          </cell>
          <cell r="K1213" t="str">
            <v>-</v>
          </cell>
          <cell r="L1213" t="str">
            <v>Non-Sugar</v>
          </cell>
          <cell r="O1213" t="str">
            <v>-</v>
          </cell>
          <cell r="P1213" t="str">
            <v>-</v>
          </cell>
          <cell r="Q1213" t="str">
            <v>-</v>
          </cell>
          <cell r="R1213" t="str">
            <v>-</v>
          </cell>
          <cell r="T1213" t="str">
            <v>-</v>
          </cell>
          <cell r="U1213" t="str">
            <v>-</v>
          </cell>
          <cell r="W1213" t="str">
            <v>-</v>
          </cell>
        </row>
        <row r="1214">
          <cell r="F1214" t="str">
            <v>AHME01A071</v>
          </cell>
          <cell r="G1214" t="str">
            <v>ANNA PETROCHEM PVT LTD</v>
          </cell>
          <cell r="H1214" t="str">
            <v>-</v>
          </cell>
          <cell r="J1214" t="str">
            <v>Domestic</v>
          </cell>
          <cell r="K1214" t="str">
            <v>-</v>
          </cell>
          <cell r="L1214" t="str">
            <v>Non-Sugar</v>
          </cell>
          <cell r="O1214" t="str">
            <v>-</v>
          </cell>
          <cell r="P1214" t="str">
            <v>-</v>
          </cell>
          <cell r="Q1214" t="str">
            <v>-</v>
          </cell>
          <cell r="R1214" t="str">
            <v>-</v>
          </cell>
          <cell r="T1214" t="str">
            <v>-</v>
          </cell>
          <cell r="U1214" t="str">
            <v>-</v>
          </cell>
          <cell r="W1214" t="str">
            <v>-</v>
          </cell>
        </row>
        <row r="1215">
          <cell r="F1215" t="str">
            <v>CHEN01A146</v>
          </cell>
          <cell r="G1215" t="str">
            <v>ANNAI ENGINEERING COMPANY</v>
          </cell>
          <cell r="H1215" t="str">
            <v>-</v>
          </cell>
          <cell r="J1215" t="str">
            <v>Domestic</v>
          </cell>
          <cell r="K1215" t="str">
            <v>-</v>
          </cell>
          <cell r="L1215" t="str">
            <v>Non-Sugar</v>
          </cell>
          <cell r="O1215" t="str">
            <v>-</v>
          </cell>
          <cell r="P1215" t="str">
            <v>-</v>
          </cell>
          <cell r="Q1215" t="str">
            <v>-</v>
          </cell>
          <cell r="R1215" t="str">
            <v>-</v>
          </cell>
          <cell r="T1215" t="str">
            <v>-</v>
          </cell>
          <cell r="U1215" t="str">
            <v>-</v>
          </cell>
          <cell r="W1215" t="str">
            <v>-</v>
          </cell>
        </row>
        <row r="1216">
          <cell r="F1216" t="str">
            <v>CHEN01A147</v>
          </cell>
          <cell r="G1216" t="str">
            <v>ANNAI ENGINEERING COMPANY</v>
          </cell>
          <cell r="H1216" t="str">
            <v>-</v>
          </cell>
          <cell r="J1216" t="str">
            <v>Domestic</v>
          </cell>
          <cell r="K1216" t="str">
            <v>-</v>
          </cell>
          <cell r="L1216" t="str">
            <v>Non-Sugar</v>
          </cell>
          <cell r="O1216" t="str">
            <v>-</v>
          </cell>
          <cell r="P1216" t="str">
            <v>-</v>
          </cell>
          <cell r="Q1216" t="str">
            <v>-</v>
          </cell>
          <cell r="R1216" t="str">
            <v>-</v>
          </cell>
          <cell r="T1216" t="str">
            <v>-</v>
          </cell>
          <cell r="U1216" t="str">
            <v>-</v>
          </cell>
          <cell r="W1216" t="str">
            <v>-</v>
          </cell>
        </row>
        <row r="1217">
          <cell r="F1217" t="str">
            <v>PUNE01A113</v>
          </cell>
          <cell r="G1217" t="str">
            <v>ANUKUL AGROTECH EQUIPMENTS</v>
          </cell>
          <cell r="H1217">
            <v>2023</v>
          </cell>
          <cell r="J1217" t="str">
            <v>Domestic</v>
          </cell>
          <cell r="K1217" t="str">
            <v>feedmill</v>
          </cell>
          <cell r="L1217" t="str">
            <v>Non-Sugar</v>
          </cell>
          <cell r="M1217" t="str">
            <v>End User</v>
          </cell>
          <cell r="O1217" t="str">
            <v>-</v>
          </cell>
          <cell r="P1217" t="str">
            <v>-</v>
          </cell>
          <cell r="Q1217" t="str">
            <v>-</v>
          </cell>
          <cell r="R1217" t="str">
            <v>-</v>
          </cell>
          <cell r="T1217" t="str">
            <v>-</v>
          </cell>
          <cell r="W1217" t="str">
            <v>-</v>
          </cell>
        </row>
        <row r="1218">
          <cell r="F1218" t="str">
            <v>BULD01A029</v>
          </cell>
          <cell r="G1218" t="str">
            <v>ANURADHA SUGAR MILLS LTD.</v>
          </cell>
          <cell r="H1218" t="str">
            <v>-</v>
          </cell>
          <cell r="J1218" t="str">
            <v>Domestic</v>
          </cell>
          <cell r="K1218" t="str">
            <v>Sugar</v>
          </cell>
          <cell r="M1218" t="str">
            <v>End User</v>
          </cell>
          <cell r="O1218" t="str">
            <v>-</v>
          </cell>
          <cell r="P1218" t="str">
            <v>-</v>
          </cell>
          <cell r="Q1218" t="str">
            <v>-</v>
          </cell>
          <cell r="R1218" t="str">
            <v>-</v>
          </cell>
          <cell r="T1218" t="str">
            <v>-</v>
          </cell>
          <cell r="W1218" t="str">
            <v>-</v>
          </cell>
        </row>
        <row r="1219">
          <cell r="F1219" t="str">
            <v>DLHI01A138</v>
          </cell>
          <cell r="G1219" t="str">
            <v>ANUSHA SYSTEMS</v>
          </cell>
          <cell r="H1219" t="str">
            <v>-</v>
          </cell>
          <cell r="J1219" t="str">
            <v>Domestic</v>
          </cell>
          <cell r="K1219" t="str">
            <v>-</v>
          </cell>
          <cell r="L1219" t="str">
            <v>Non-Sugar</v>
          </cell>
          <cell r="O1219" t="str">
            <v>-</v>
          </cell>
          <cell r="P1219" t="str">
            <v>-</v>
          </cell>
          <cell r="Q1219" t="str">
            <v>-</v>
          </cell>
          <cell r="R1219" t="str">
            <v>-</v>
          </cell>
          <cell r="T1219" t="str">
            <v>-</v>
          </cell>
          <cell r="U1219" t="str">
            <v>-</v>
          </cell>
          <cell r="W1219" t="str">
            <v>-</v>
          </cell>
        </row>
        <row r="1220">
          <cell r="F1220" t="str">
            <v>DLHI01A111</v>
          </cell>
          <cell r="G1220" t="str">
            <v>AONE ENTERPRISES</v>
          </cell>
          <cell r="H1220" t="str">
            <v>-</v>
          </cell>
          <cell r="J1220" t="str">
            <v>Domestic</v>
          </cell>
          <cell r="K1220" t="str">
            <v>-</v>
          </cell>
          <cell r="L1220" t="str">
            <v>Non-Sugar</v>
          </cell>
          <cell r="O1220" t="str">
            <v>-</v>
          </cell>
          <cell r="P1220" t="str">
            <v>-</v>
          </cell>
          <cell r="Q1220" t="str">
            <v>-</v>
          </cell>
          <cell r="R1220" t="str">
            <v>-</v>
          </cell>
          <cell r="T1220" t="str">
            <v>-</v>
          </cell>
          <cell r="U1220" t="str">
            <v>-</v>
          </cell>
          <cell r="W1220" t="str">
            <v>-</v>
          </cell>
        </row>
        <row r="1221">
          <cell r="F1221" t="str">
            <v>GUJA01A128</v>
          </cell>
          <cell r="G1221" t="str">
            <v>APOLLO SCREENS PRIVATE LIMITED</v>
          </cell>
          <cell r="H1221" t="str">
            <v>-</v>
          </cell>
          <cell r="J1221" t="str">
            <v>Domestic</v>
          </cell>
          <cell r="K1221" t="str">
            <v>-</v>
          </cell>
          <cell r="L1221" t="str">
            <v>Non-Sugar</v>
          </cell>
          <cell r="O1221" t="str">
            <v>-</v>
          </cell>
          <cell r="P1221" t="str">
            <v>-</v>
          </cell>
          <cell r="Q1221" t="str">
            <v>-</v>
          </cell>
          <cell r="R1221" t="str">
            <v>-</v>
          </cell>
          <cell r="T1221" t="str">
            <v>-</v>
          </cell>
          <cell r="U1221" t="str">
            <v>-</v>
          </cell>
          <cell r="W1221" t="str">
            <v>-</v>
          </cell>
        </row>
        <row r="1222">
          <cell r="F1222" t="str">
            <v>CHEN01A073</v>
          </cell>
          <cell r="G1222" t="str">
            <v>AQUA DESIGNS INDIA PVT LTD</v>
          </cell>
          <cell r="H1222">
            <v>2016</v>
          </cell>
          <cell r="J1222" t="str">
            <v>Domestic</v>
          </cell>
          <cell r="K1222" t="str">
            <v>ETP/STP/WTP</v>
          </cell>
          <cell r="L1222" t="str">
            <v>Non-Sugar</v>
          </cell>
          <cell r="P1222" t="str">
            <v>SI-GS</v>
          </cell>
          <cell r="Q1222" t="str">
            <v>SI-GS</v>
          </cell>
          <cell r="W1222" t="str">
            <v>22-01-2025</v>
          </cell>
        </row>
        <row r="1223">
          <cell r="F1223" t="str">
            <v>AHME01A163</v>
          </cell>
          <cell r="G1223" t="str">
            <v>AQUA FILSEP INC</v>
          </cell>
          <cell r="H1223" t="str">
            <v>-</v>
          </cell>
          <cell r="J1223" t="str">
            <v>Domestic</v>
          </cell>
          <cell r="K1223" t="str">
            <v>-</v>
          </cell>
          <cell r="L1223" t="str">
            <v>Non-Sugar</v>
          </cell>
          <cell r="O1223" t="str">
            <v>-</v>
          </cell>
          <cell r="P1223" t="str">
            <v>-</v>
          </cell>
          <cell r="Q1223" t="str">
            <v>-</v>
          </cell>
          <cell r="R1223" t="str">
            <v>-</v>
          </cell>
          <cell r="T1223" t="str">
            <v>-</v>
          </cell>
          <cell r="U1223" t="str">
            <v>-</v>
          </cell>
          <cell r="W1223" t="str">
            <v>-</v>
          </cell>
        </row>
        <row r="1224">
          <cell r="F1224" t="str">
            <v>ETHI01A157</v>
          </cell>
          <cell r="G1224" t="str">
            <v>AQUA SOL</v>
          </cell>
          <cell r="H1224" t="str">
            <v>-</v>
          </cell>
          <cell r="J1224" t="str">
            <v>Export</v>
          </cell>
          <cell r="K1224" t="str">
            <v>-</v>
          </cell>
          <cell r="L1224" t="str">
            <v>Non-Sugar</v>
          </cell>
          <cell r="O1224" t="str">
            <v>-</v>
          </cell>
          <cell r="P1224" t="str">
            <v>-</v>
          </cell>
          <cell r="Q1224" t="str">
            <v>-</v>
          </cell>
          <cell r="R1224" t="str">
            <v>-</v>
          </cell>
          <cell r="T1224" t="str">
            <v>-</v>
          </cell>
          <cell r="U1224" t="str">
            <v>-</v>
          </cell>
          <cell r="W1224" t="str">
            <v>-</v>
          </cell>
        </row>
        <row r="1225">
          <cell r="F1225" t="str">
            <v>PUNE01A148</v>
          </cell>
          <cell r="G1225" t="str">
            <v>AQUACARE SOLUTION ENVIRO ENGINEERS</v>
          </cell>
          <cell r="H1225" t="str">
            <v>-</v>
          </cell>
          <cell r="J1225" t="str">
            <v>Domestic</v>
          </cell>
          <cell r="K1225" t="str">
            <v>-</v>
          </cell>
          <cell r="L1225" t="str">
            <v>Non-Sugar</v>
          </cell>
          <cell r="O1225" t="str">
            <v>-</v>
          </cell>
          <cell r="P1225" t="str">
            <v>-</v>
          </cell>
          <cell r="Q1225" t="str">
            <v>-</v>
          </cell>
          <cell r="R1225" t="str">
            <v>-</v>
          </cell>
          <cell r="T1225" t="str">
            <v>-</v>
          </cell>
          <cell r="U1225" t="str">
            <v>-</v>
          </cell>
          <cell r="W1225" t="str">
            <v>-</v>
          </cell>
        </row>
        <row r="1226">
          <cell r="F1226" t="str">
            <v>SANG01A066</v>
          </cell>
          <cell r="G1226" t="str">
            <v>AQUALINE PUMPS (COMPETITOR:DON’T QUOTE)</v>
          </cell>
          <cell r="H1226" t="str">
            <v>-</v>
          </cell>
          <cell r="J1226" t="str">
            <v>Domestic</v>
          </cell>
          <cell r="K1226" t="str">
            <v>etp/wtp/stp</v>
          </cell>
          <cell r="L1226" t="str">
            <v>Non-Sugar</v>
          </cell>
          <cell r="M1226" t="str">
            <v>End User</v>
          </cell>
          <cell r="O1226" t="str">
            <v>-</v>
          </cell>
          <cell r="P1226" t="str">
            <v>-</v>
          </cell>
          <cell r="Q1226" t="str">
            <v>-</v>
          </cell>
          <cell r="R1226" t="str">
            <v>-</v>
          </cell>
          <cell r="T1226" t="str">
            <v>-</v>
          </cell>
          <cell r="W1226" t="str">
            <v>-</v>
          </cell>
        </row>
        <row r="1227">
          <cell r="F1227" t="str">
            <v>BANG01A184</v>
          </cell>
          <cell r="G1227" t="str">
            <v>ARADHANA INDUSTRIES</v>
          </cell>
          <cell r="H1227" t="str">
            <v>-</v>
          </cell>
          <cell r="J1227" t="str">
            <v>Domestic</v>
          </cell>
          <cell r="K1227" t="str">
            <v>-</v>
          </cell>
          <cell r="L1227" t="str">
            <v>Non-Sugar</v>
          </cell>
          <cell r="O1227" t="str">
            <v>-</v>
          </cell>
          <cell r="P1227" t="str">
            <v>-</v>
          </cell>
          <cell r="Q1227" t="str">
            <v>-</v>
          </cell>
          <cell r="R1227" t="str">
            <v>-</v>
          </cell>
          <cell r="T1227" t="str">
            <v>-</v>
          </cell>
          <cell r="U1227" t="str">
            <v>-</v>
          </cell>
          <cell r="W1227" t="str">
            <v>-</v>
          </cell>
        </row>
        <row r="1228">
          <cell r="F1228" t="str">
            <v>RAIG01A159</v>
          </cell>
          <cell r="G1228" t="str">
            <v>ARADHYA ENTERPRISES</v>
          </cell>
          <cell r="H1228" t="str">
            <v>-</v>
          </cell>
          <cell r="J1228" t="str">
            <v>Domestic</v>
          </cell>
          <cell r="K1228" t="str">
            <v>-</v>
          </cell>
          <cell r="L1228" t="str">
            <v>Non-Sugar</v>
          </cell>
          <cell r="O1228" t="str">
            <v>-</v>
          </cell>
          <cell r="P1228" t="str">
            <v>-</v>
          </cell>
          <cell r="Q1228" t="str">
            <v>-</v>
          </cell>
          <cell r="R1228" t="str">
            <v>-</v>
          </cell>
          <cell r="T1228" t="str">
            <v>-</v>
          </cell>
          <cell r="U1228" t="str">
            <v>-</v>
          </cell>
          <cell r="W1228" t="str">
            <v>-</v>
          </cell>
        </row>
        <row r="1229">
          <cell r="F1229" t="str">
            <v>BELG01A118</v>
          </cell>
          <cell r="G1229" t="str">
            <v>ARIHANT SUGAR INDUSTRIES LTD (Renamed to Gudagunti sugars)</v>
          </cell>
          <cell r="H1229">
            <v>2022</v>
          </cell>
          <cell r="J1229" t="str">
            <v>Domestic</v>
          </cell>
          <cell r="K1229" t="str">
            <v>Sugar</v>
          </cell>
          <cell r="M1229" t="str">
            <v>End User</v>
          </cell>
          <cell r="O1229">
            <v>3500</v>
          </cell>
          <cell r="P1229" t="str">
            <v>-</v>
          </cell>
          <cell r="Q1229" t="str">
            <v>-</v>
          </cell>
          <cell r="R1229" t="str">
            <v>-</v>
          </cell>
          <cell r="T1229" t="str">
            <v>TOUR-4 (DAVANGERE)</v>
          </cell>
          <cell r="U1229" t="str">
            <v>22-23</v>
          </cell>
          <cell r="W1229">
            <v>44887</v>
          </cell>
        </row>
        <row r="1230">
          <cell r="F1230" t="str">
            <v>VADO01A112</v>
          </cell>
          <cell r="G1230" t="str">
            <v>ARK GOLDEN INDIA PVT LTD</v>
          </cell>
          <cell r="H1230" t="str">
            <v>-</v>
          </cell>
          <cell r="J1230" t="str">
            <v>Domestic</v>
          </cell>
          <cell r="K1230" t="str">
            <v>-</v>
          </cell>
          <cell r="L1230" t="str">
            <v>Non-Sugar</v>
          </cell>
          <cell r="O1230" t="str">
            <v>-</v>
          </cell>
          <cell r="P1230" t="str">
            <v>-</v>
          </cell>
          <cell r="Q1230" t="str">
            <v>-</v>
          </cell>
          <cell r="R1230" t="str">
            <v>-</v>
          </cell>
          <cell r="T1230" t="str">
            <v>-</v>
          </cell>
          <cell r="U1230" t="str">
            <v>-</v>
          </cell>
          <cell r="W1230" t="str">
            <v>-</v>
          </cell>
        </row>
        <row r="1231">
          <cell r="F1231" t="str">
            <v>BANG01A110</v>
          </cell>
          <cell r="G1231" t="str">
            <v>ARPITHA AGRO INDUSTRIES</v>
          </cell>
          <cell r="H1231" t="str">
            <v>-</v>
          </cell>
          <cell r="J1231" t="str">
            <v>Domestic</v>
          </cell>
          <cell r="K1231" t="str">
            <v>Cattlefeed</v>
          </cell>
          <cell r="L1231" t="str">
            <v>Non-Sugar</v>
          </cell>
          <cell r="M1231" t="str">
            <v>End User</v>
          </cell>
          <cell r="O1231" t="str">
            <v>-</v>
          </cell>
          <cell r="P1231" t="str">
            <v>NI</v>
          </cell>
          <cell r="Q1231" t="str">
            <v>HIMANSHU KUSHWAHA</v>
          </cell>
          <cell r="S1231" t="str">
            <v>https://share.google/nODiwOVNgBtlsLBtd</v>
          </cell>
          <cell r="T1231" t="str">
            <v>-</v>
          </cell>
          <cell r="U1231" t="str">
            <v>-</v>
          </cell>
          <cell r="W1231" t="str">
            <v>-</v>
          </cell>
        </row>
        <row r="1232">
          <cell r="F1232" t="str">
            <v>CHEN01A167</v>
          </cell>
          <cell r="G1232" t="str">
            <v>ARUDRA ENGINEERS PVT LTD</v>
          </cell>
          <cell r="H1232" t="str">
            <v>-</v>
          </cell>
          <cell r="J1232" t="str">
            <v>Domestic</v>
          </cell>
          <cell r="K1232" t="str">
            <v>-</v>
          </cell>
          <cell r="L1232" t="str">
            <v>Non-Sugar</v>
          </cell>
          <cell r="O1232" t="str">
            <v>-</v>
          </cell>
          <cell r="P1232" t="str">
            <v>-</v>
          </cell>
          <cell r="Q1232" t="str">
            <v>-</v>
          </cell>
          <cell r="R1232" t="str">
            <v>-</v>
          </cell>
          <cell r="T1232" t="str">
            <v>-</v>
          </cell>
          <cell r="U1232" t="str">
            <v>-</v>
          </cell>
          <cell r="W1232" t="str">
            <v>-</v>
          </cell>
        </row>
        <row r="1233">
          <cell r="F1233" t="str">
            <v>INDR01A168</v>
          </cell>
          <cell r="G1233" t="str">
            <v>ARYA FOOD PRODUCTS</v>
          </cell>
          <cell r="H1233" t="str">
            <v>-</v>
          </cell>
          <cell r="J1233" t="str">
            <v>Domestic</v>
          </cell>
          <cell r="K1233" t="str">
            <v>-</v>
          </cell>
          <cell r="L1233" t="str">
            <v>Non-Sugar</v>
          </cell>
          <cell r="O1233" t="str">
            <v>-</v>
          </cell>
          <cell r="P1233" t="str">
            <v>-</v>
          </cell>
          <cell r="Q1233" t="str">
            <v>-</v>
          </cell>
          <cell r="R1233" t="str">
            <v>-</v>
          </cell>
          <cell r="T1233" t="str">
            <v>-</v>
          </cell>
          <cell r="U1233" t="str">
            <v>-</v>
          </cell>
          <cell r="W1233" t="str">
            <v>-</v>
          </cell>
        </row>
        <row r="1234">
          <cell r="F1234" t="str">
            <v>PUNE01A079</v>
          </cell>
          <cell r="G1234" t="str">
            <v>ARYAN CORPORATION</v>
          </cell>
          <cell r="H1234" t="str">
            <v>-</v>
          </cell>
          <cell r="J1234" t="str">
            <v>Domestic</v>
          </cell>
          <cell r="K1234" t="str">
            <v>-</v>
          </cell>
          <cell r="L1234" t="str">
            <v>Non-Sugar</v>
          </cell>
          <cell r="O1234" t="str">
            <v>-</v>
          </cell>
          <cell r="P1234" t="str">
            <v>-</v>
          </cell>
          <cell r="Q1234" t="str">
            <v>-</v>
          </cell>
          <cell r="R1234" t="str">
            <v>-</v>
          </cell>
          <cell r="T1234" t="str">
            <v>-</v>
          </cell>
          <cell r="U1234" t="str">
            <v>-</v>
          </cell>
          <cell r="W1234" t="str">
            <v>-</v>
          </cell>
        </row>
        <row r="1235">
          <cell r="F1235" t="str">
            <v>SOLP01A044</v>
          </cell>
          <cell r="G1235" t="str">
            <v>ARYAN SUGARS LTD</v>
          </cell>
          <cell r="H1235">
            <v>2014</v>
          </cell>
          <cell r="J1235" t="str">
            <v>Domestic</v>
          </cell>
          <cell r="K1235" t="str">
            <v>Sugar</v>
          </cell>
          <cell r="M1235" t="str">
            <v>End User</v>
          </cell>
          <cell r="O1235" t="str">
            <v>-</v>
          </cell>
          <cell r="P1235" t="str">
            <v>-</v>
          </cell>
          <cell r="Q1235" t="str">
            <v>-</v>
          </cell>
          <cell r="R1235" t="str">
            <v>-</v>
          </cell>
          <cell r="T1235" t="str">
            <v>-</v>
          </cell>
          <cell r="W1235" t="str">
            <v>-</v>
          </cell>
        </row>
        <row r="1236">
          <cell r="F1236" t="str">
            <v>NADI01A050</v>
          </cell>
          <cell r="G1236" t="str">
            <v>ASHA INDUSTRIES LTD.</v>
          </cell>
          <cell r="H1236" t="str">
            <v>-</v>
          </cell>
          <cell r="J1236" t="str">
            <v>Domestic</v>
          </cell>
          <cell r="K1236" t="str">
            <v>-</v>
          </cell>
          <cell r="L1236" t="str">
            <v>Non-Sugar</v>
          </cell>
          <cell r="O1236" t="str">
            <v>-</v>
          </cell>
          <cell r="P1236" t="str">
            <v>-</v>
          </cell>
          <cell r="Q1236" t="str">
            <v>-</v>
          </cell>
          <cell r="R1236" t="str">
            <v>-</v>
          </cell>
          <cell r="T1236" t="str">
            <v>-</v>
          </cell>
          <cell r="U1236" t="str">
            <v>-</v>
          </cell>
          <cell r="W1236" t="str">
            <v>-</v>
          </cell>
        </row>
        <row r="1237">
          <cell r="F1237" t="str">
            <v>PUNE01A080</v>
          </cell>
          <cell r="G1237" t="str">
            <v>ASHTAVINAYAK ENGINEERING WORK</v>
          </cell>
          <cell r="H1237" t="str">
            <v>-</v>
          </cell>
          <cell r="J1237" t="str">
            <v>Domestic</v>
          </cell>
          <cell r="K1237" t="str">
            <v>-</v>
          </cell>
          <cell r="L1237" t="str">
            <v>Non-Sugar</v>
          </cell>
          <cell r="O1237" t="str">
            <v>-</v>
          </cell>
          <cell r="P1237" t="str">
            <v>-</v>
          </cell>
          <cell r="Q1237" t="str">
            <v>-</v>
          </cell>
          <cell r="R1237" t="str">
            <v>-</v>
          </cell>
          <cell r="T1237" t="str">
            <v>-</v>
          </cell>
          <cell r="U1237" t="str">
            <v>-</v>
          </cell>
          <cell r="W1237" t="str">
            <v>-</v>
          </cell>
        </row>
        <row r="1238">
          <cell r="F1238" t="str">
            <v>GORA01A134</v>
          </cell>
          <cell r="G1238" t="str">
            <v>ASIAN FERTILIZERS</v>
          </cell>
          <cell r="H1238" t="str">
            <v>-</v>
          </cell>
          <cell r="J1238" t="str">
            <v>Domestic</v>
          </cell>
          <cell r="K1238" t="str">
            <v>-</v>
          </cell>
          <cell r="L1238" t="str">
            <v>Non-Sugar</v>
          </cell>
          <cell r="O1238" t="str">
            <v>-</v>
          </cell>
          <cell r="P1238" t="str">
            <v>-</v>
          </cell>
          <cell r="Q1238" t="str">
            <v>-</v>
          </cell>
          <cell r="R1238" t="str">
            <v>-</v>
          </cell>
          <cell r="T1238" t="str">
            <v>-</v>
          </cell>
          <cell r="U1238" t="str">
            <v>-</v>
          </cell>
          <cell r="W1238" t="str">
            <v>-</v>
          </cell>
        </row>
        <row r="1239">
          <cell r="F1239" t="str">
            <v>BELG01S276</v>
          </cell>
          <cell r="G1239" t="str">
            <v>ASKINS BIOFUELS PVT LTD (Formerly SHRI BRAHMANAND SAGAR JAGGERY)Distillery</v>
          </cell>
          <cell r="H1239">
            <v>2020</v>
          </cell>
          <cell r="J1239" t="str">
            <v>Domestic</v>
          </cell>
          <cell r="K1239" t="str">
            <v>Sugar</v>
          </cell>
          <cell r="M1239" t="str">
            <v>End User</v>
          </cell>
          <cell r="O1239" t="str">
            <v>Sugar 1500
Distillery 100 KLPD</v>
          </cell>
          <cell r="P1239" t="str">
            <v>AV</v>
          </cell>
          <cell r="Q1239" t="str">
            <v>AV</v>
          </cell>
          <cell r="R1239" t="str">
            <v>VG</v>
          </cell>
          <cell r="T1239" t="str">
            <v>TOUR-4 (DAVANGERE)</v>
          </cell>
          <cell r="U1239" t="str">
            <v>24-25</v>
          </cell>
          <cell r="W1239" t="str">
            <v>24-05-2024
29-05-2023
21-11-2022</v>
          </cell>
        </row>
        <row r="1240">
          <cell r="F1240" t="str">
            <v>DLHI01A139</v>
          </cell>
          <cell r="G1240" t="str">
            <v>ASMISONIC INDUSTRIES</v>
          </cell>
          <cell r="H1240" t="str">
            <v>-</v>
          </cell>
          <cell r="J1240" t="str">
            <v>Domestic</v>
          </cell>
          <cell r="K1240" t="str">
            <v>-</v>
          </cell>
          <cell r="L1240" t="str">
            <v>Non-Sugar</v>
          </cell>
          <cell r="O1240" t="str">
            <v>-</v>
          </cell>
          <cell r="P1240" t="str">
            <v>-</v>
          </cell>
          <cell r="Q1240" t="str">
            <v>-</v>
          </cell>
          <cell r="R1240" t="str">
            <v>-</v>
          </cell>
          <cell r="T1240" t="str">
            <v>-</v>
          </cell>
          <cell r="U1240" t="str">
            <v>-</v>
          </cell>
          <cell r="W1240" t="str">
            <v>-</v>
          </cell>
        </row>
        <row r="1241">
          <cell r="F1241" t="str">
            <v>GUJA01A172</v>
          </cell>
          <cell r="G1241" t="str">
            <v>ASPEN INTERNATIONAL</v>
          </cell>
          <cell r="H1241" t="str">
            <v>-</v>
          </cell>
          <cell r="J1241" t="str">
            <v>Domestic</v>
          </cell>
          <cell r="K1241" t="str">
            <v>-</v>
          </cell>
          <cell r="L1241" t="str">
            <v>Non-Sugar</v>
          </cell>
          <cell r="O1241" t="str">
            <v>-</v>
          </cell>
          <cell r="P1241" t="str">
            <v>-</v>
          </cell>
          <cell r="Q1241" t="str">
            <v>-</v>
          </cell>
          <cell r="R1241" t="str">
            <v>-</v>
          </cell>
          <cell r="T1241" t="str">
            <v>-</v>
          </cell>
          <cell r="U1241" t="str">
            <v>-</v>
          </cell>
          <cell r="W1241" t="str">
            <v>-</v>
          </cell>
        </row>
        <row r="1242">
          <cell r="F1242" t="str">
            <v>GHZB01A109</v>
          </cell>
          <cell r="G1242" t="str">
            <v>ASPIRE SOLUTION</v>
          </cell>
          <cell r="H1242" t="str">
            <v>-</v>
          </cell>
          <cell r="J1242" t="str">
            <v>Domestic</v>
          </cell>
          <cell r="K1242" t="str">
            <v>-</v>
          </cell>
          <cell r="L1242" t="str">
            <v>Non-Sugar</v>
          </cell>
          <cell r="O1242" t="str">
            <v>-</v>
          </cell>
          <cell r="P1242" t="str">
            <v>-</v>
          </cell>
          <cell r="Q1242" t="str">
            <v>-</v>
          </cell>
          <cell r="R1242" t="str">
            <v>-</v>
          </cell>
          <cell r="T1242" t="str">
            <v>-</v>
          </cell>
          <cell r="U1242" t="str">
            <v>-</v>
          </cell>
          <cell r="W1242" t="str">
            <v>-</v>
          </cell>
        </row>
        <row r="1243">
          <cell r="F1243" t="str">
            <v>MUMB01A035</v>
          </cell>
          <cell r="G1243" t="str">
            <v>ASSISTANT PURCHASE OFFICER CENTRAL PURCHASE UNIT</v>
          </cell>
          <cell r="H1243" t="str">
            <v>-</v>
          </cell>
          <cell r="J1243" t="str">
            <v>Domestic</v>
          </cell>
          <cell r="P1243" t="str">
            <v>LGP</v>
          </cell>
          <cell r="Q1243" t="str">
            <v>-</v>
          </cell>
        </row>
        <row r="1244">
          <cell r="F1244" t="str">
            <v>NUND01A036</v>
          </cell>
          <cell r="G1244" t="str">
            <v>ASTORIA AGRO AND ALLIED INDUSTRIES PVT.LTD.</v>
          </cell>
          <cell r="H1244">
            <v>2013</v>
          </cell>
          <cell r="J1244" t="str">
            <v>Domestic</v>
          </cell>
          <cell r="K1244" t="str">
            <v>Sugar</v>
          </cell>
          <cell r="M1244" t="str">
            <v>End User</v>
          </cell>
          <cell r="O1244" t="str">
            <v>-</v>
          </cell>
          <cell r="P1244" t="str">
            <v>-</v>
          </cell>
          <cell r="Q1244" t="str">
            <v>-</v>
          </cell>
          <cell r="R1244" t="str">
            <v>-</v>
          </cell>
          <cell r="T1244" t="str">
            <v>-</v>
          </cell>
          <cell r="W1244" t="str">
            <v>-</v>
          </cell>
        </row>
        <row r="1245">
          <cell r="F1245" t="str">
            <v>KOLH01A127</v>
          </cell>
          <cell r="G1245" t="str">
            <v>ATHANI SUGARS LIMITED - UNIT SHAHUWADI</v>
          </cell>
          <cell r="H1245" t="str">
            <v>-</v>
          </cell>
          <cell r="I1245" t="str">
            <v>Athani Group</v>
          </cell>
          <cell r="J1245" t="str">
            <v>Domestic</v>
          </cell>
          <cell r="K1245" t="str">
            <v>Sugar</v>
          </cell>
          <cell r="M1245" t="str">
            <v>Group (Mills)</v>
          </cell>
          <cell r="O1245" t="str">
            <v>Sugar 6000
Distillery 100 KLPD
Distillery expn 90 KLPD</v>
          </cell>
          <cell r="P1245" t="str">
            <v>AV</v>
          </cell>
          <cell r="Q1245" t="str">
            <v>AV</v>
          </cell>
          <cell r="R1245" t="str">
            <v>VG</v>
          </cell>
          <cell r="T1245" t="str">
            <v>TOUR-5 (KOLHAPUR)</v>
          </cell>
          <cell r="U1245" t="str">
            <v>24-25</v>
          </cell>
          <cell r="W1245" t="str">
            <v>25-01-2025
01-07-2024
22-05-2024</v>
          </cell>
        </row>
        <row r="1246">
          <cell r="F1246" t="str">
            <v>MUMB01A187</v>
          </cell>
          <cell r="G1246" t="str">
            <v>ATHANI SUGARS LTD</v>
          </cell>
          <cell r="H1246" t="str">
            <v>-</v>
          </cell>
          <cell r="I1246" t="str">
            <v>Athani Group</v>
          </cell>
          <cell r="J1246" t="str">
            <v>Domestic</v>
          </cell>
          <cell r="K1246" t="str">
            <v>SUGAR</v>
          </cell>
          <cell r="M1246" t="str">
            <v>Group (Mills)</v>
          </cell>
          <cell r="O1246" t="str">
            <v>-</v>
          </cell>
          <cell r="P1246" t="str">
            <v>-</v>
          </cell>
          <cell r="Q1246" t="str">
            <v>-</v>
          </cell>
          <cell r="R1246" t="str">
            <v>-</v>
          </cell>
          <cell r="T1246" t="str">
            <v>-</v>
          </cell>
          <cell r="W1246" t="str">
            <v>-</v>
          </cell>
        </row>
        <row r="1247">
          <cell r="F1247" t="str">
            <v>PUNE01A235</v>
          </cell>
          <cell r="G1247" t="str">
            <v>ATTAQUANT ENTERPRISES PRIVATE LIMITED</v>
          </cell>
          <cell r="H1247" t="str">
            <v>-</v>
          </cell>
          <cell r="J1247" t="str">
            <v>Domestic</v>
          </cell>
          <cell r="L1247" t="str">
            <v>Non-Sugar</v>
          </cell>
          <cell r="O1247" t="str">
            <v>-</v>
          </cell>
          <cell r="P1247" t="str">
            <v>-</v>
          </cell>
          <cell r="Q1247" t="str">
            <v>-</v>
          </cell>
        </row>
        <row r="1248">
          <cell r="F1248" t="str">
            <v>SOLP01A104</v>
          </cell>
          <cell r="G1248" t="str">
            <v>AUDAMBARRAOJI PATIL SAKHAR KARKHANA LTD (Renamed with Ashti sugars)</v>
          </cell>
          <cell r="H1248">
            <v>2021</v>
          </cell>
          <cell r="J1248" t="str">
            <v>Domestic</v>
          </cell>
          <cell r="K1248" t="str">
            <v>Sugar</v>
          </cell>
          <cell r="M1248" t="str">
            <v>End User</v>
          </cell>
          <cell r="O1248" t="str">
            <v>-</v>
          </cell>
          <cell r="P1248" t="str">
            <v>-</v>
          </cell>
          <cell r="Q1248" t="str">
            <v>-</v>
          </cell>
          <cell r="R1248" t="str">
            <v>-</v>
          </cell>
          <cell r="T1248" t="str">
            <v>-</v>
          </cell>
          <cell r="W1248" t="str">
            <v>-</v>
          </cell>
        </row>
        <row r="1249">
          <cell r="F1249" t="str">
            <v>BIJN01A100</v>
          </cell>
          <cell r="G1249" t="str">
            <v>AVADH SUGAR &amp; ENERGY LTD</v>
          </cell>
          <cell r="H1249" t="str">
            <v>-</v>
          </cell>
          <cell r="J1249" t="str">
            <v>Domestic</v>
          </cell>
          <cell r="K1249" t="str">
            <v>Sugar</v>
          </cell>
          <cell r="L1249" t="str">
            <v>Sugar</v>
          </cell>
          <cell r="M1249" t="str">
            <v>End User</v>
          </cell>
          <cell r="O1249" t="str">
            <v>-</v>
          </cell>
          <cell r="P1249" t="str">
            <v>-</v>
          </cell>
          <cell r="Q1249" t="str">
            <v>-</v>
          </cell>
          <cell r="R1249" t="str">
            <v>-</v>
          </cell>
          <cell r="T1249" t="str">
            <v>-</v>
          </cell>
          <cell r="U1249" t="str">
            <v>-</v>
          </cell>
          <cell r="W1249" t="str">
            <v>-</v>
          </cell>
        </row>
        <row r="1250">
          <cell r="F1250" t="str">
            <v>BIJN01A086</v>
          </cell>
          <cell r="G1250" t="str">
            <v>AVADH SUGAR AND ENERGY LTD</v>
          </cell>
          <cell r="H1250" t="str">
            <v>-</v>
          </cell>
          <cell r="J1250" t="str">
            <v>Domestic</v>
          </cell>
          <cell r="K1250" t="str">
            <v>Sugar</v>
          </cell>
          <cell r="L1250" t="str">
            <v>Sugar</v>
          </cell>
          <cell r="M1250" t="str">
            <v>End User</v>
          </cell>
          <cell r="O1250" t="str">
            <v>-</v>
          </cell>
          <cell r="P1250" t="str">
            <v>-</v>
          </cell>
          <cell r="Q1250" t="str">
            <v>-</v>
          </cell>
          <cell r="R1250" t="str">
            <v>-</v>
          </cell>
          <cell r="T1250" t="str">
            <v>-</v>
          </cell>
          <cell r="U1250" t="str">
            <v>-</v>
          </cell>
          <cell r="W1250" t="str">
            <v>-</v>
          </cell>
        </row>
        <row r="1251">
          <cell r="F1251" t="str">
            <v>MUMB01A165</v>
          </cell>
          <cell r="G1251" t="str">
            <v>AYOKI EXPORTS.</v>
          </cell>
          <cell r="H1251" t="str">
            <v>-</v>
          </cell>
          <cell r="J1251" t="str">
            <v>Domestic</v>
          </cell>
          <cell r="K1251" t="str">
            <v>-</v>
          </cell>
          <cell r="L1251" t="str">
            <v>Non-Sugar</v>
          </cell>
          <cell r="O1251" t="str">
            <v>-</v>
          </cell>
          <cell r="P1251" t="str">
            <v>-</v>
          </cell>
          <cell r="Q1251" t="str">
            <v>-</v>
          </cell>
          <cell r="R1251" t="str">
            <v>-</v>
          </cell>
          <cell r="T1251" t="str">
            <v>-</v>
          </cell>
          <cell r="U1251" t="str">
            <v>-</v>
          </cell>
          <cell r="W1251" t="str">
            <v>-</v>
          </cell>
        </row>
        <row r="1252">
          <cell r="F1252" t="str">
            <v>MERT01B100</v>
          </cell>
          <cell r="G1252" t="str">
            <v>B&amp;D LOCAL</v>
          </cell>
          <cell r="H1252" t="str">
            <v>-</v>
          </cell>
          <cell r="J1252" t="str">
            <v>Domestic</v>
          </cell>
          <cell r="K1252" t="str">
            <v>-</v>
          </cell>
          <cell r="L1252" t="str">
            <v>Non-Sugar</v>
          </cell>
          <cell r="O1252" t="str">
            <v>-</v>
          </cell>
          <cell r="P1252" t="str">
            <v>-</v>
          </cell>
          <cell r="Q1252" t="str">
            <v>-</v>
          </cell>
          <cell r="R1252" t="str">
            <v>-</v>
          </cell>
          <cell r="T1252" t="str">
            <v>-</v>
          </cell>
          <cell r="U1252" t="str">
            <v>-</v>
          </cell>
          <cell r="W1252" t="str">
            <v>-</v>
          </cell>
        </row>
        <row r="1253">
          <cell r="F1253" t="str">
            <v>THAN01B001</v>
          </cell>
          <cell r="G1253" t="str">
            <v>B. M. S. INDUSTRIES LTD.</v>
          </cell>
          <cell r="H1253" t="str">
            <v>-</v>
          </cell>
          <cell r="J1253" t="str">
            <v>Domestic</v>
          </cell>
          <cell r="P1253" t="str">
            <v>LGP</v>
          </cell>
          <cell r="Q1253" t="str">
            <v>-</v>
          </cell>
        </row>
        <row r="1254">
          <cell r="F1254" t="str">
            <v>MUMB01B041</v>
          </cell>
          <cell r="G1254" t="str">
            <v>B.B.ACHARYA</v>
          </cell>
          <cell r="H1254" t="str">
            <v>-</v>
          </cell>
          <cell r="J1254" t="str">
            <v>Domestic</v>
          </cell>
          <cell r="L1254" t="str">
            <v>Non-Sugar</v>
          </cell>
          <cell r="O1254" t="str">
            <v>-</v>
          </cell>
          <cell r="P1254" t="str">
            <v>-</v>
          </cell>
          <cell r="Q1254" t="str">
            <v>-</v>
          </cell>
        </row>
        <row r="1255">
          <cell r="F1255" t="str">
            <v>HYDE01B126</v>
          </cell>
          <cell r="G1255" t="str">
            <v>BACTOCHEM LABORATORIES</v>
          </cell>
          <cell r="H1255" t="str">
            <v>-</v>
          </cell>
          <cell r="J1255" t="str">
            <v>Domestic</v>
          </cell>
          <cell r="K1255" t="str">
            <v>-</v>
          </cell>
          <cell r="L1255" t="str">
            <v>Non-Sugar</v>
          </cell>
          <cell r="O1255" t="str">
            <v>-</v>
          </cell>
          <cell r="P1255" t="str">
            <v>-</v>
          </cell>
          <cell r="Q1255" t="str">
            <v>-</v>
          </cell>
          <cell r="R1255" t="str">
            <v>-</v>
          </cell>
          <cell r="T1255" t="str">
            <v>-</v>
          </cell>
          <cell r="U1255" t="str">
            <v>-</v>
          </cell>
          <cell r="W1255" t="str">
            <v>-</v>
          </cell>
        </row>
        <row r="1256">
          <cell r="F1256" t="str">
            <v>BAGL01U055</v>
          </cell>
          <cell r="G1256" t="str">
            <v>BADAMI SUGAR LTD ( BSL SUGAR UNIT-5) nirani</v>
          </cell>
          <cell r="H1256">
            <v>2015</v>
          </cell>
          <cell r="J1256" t="str">
            <v>Domestic</v>
          </cell>
          <cell r="K1256" t="str">
            <v>Sugar</v>
          </cell>
          <cell r="M1256" t="str">
            <v>End User</v>
          </cell>
          <cell r="O1256">
            <v>5000</v>
          </cell>
          <cell r="P1256" t="str">
            <v>AV</v>
          </cell>
          <cell r="Q1256" t="str">
            <v>AV</v>
          </cell>
          <cell r="R1256" t="str">
            <v>VG</v>
          </cell>
          <cell r="T1256" t="str">
            <v>TOUR-2 (MUDHOL)</v>
          </cell>
          <cell r="U1256" t="str">
            <v>24-25</v>
          </cell>
          <cell r="W1256" t="str">
            <v>28/02/2025
29-02-2024
02-04-2023
15-10-2022</v>
          </cell>
        </row>
        <row r="1257">
          <cell r="F1257" t="str">
            <v>BAGL01B002</v>
          </cell>
          <cell r="G1257" t="str">
            <v>BADAMI SUGARS LIMITED(RENAME TO MRN CHAMUNDI CANE POWER )</v>
          </cell>
          <cell r="H1257">
            <v>2020</v>
          </cell>
          <cell r="J1257" t="str">
            <v>Domestic</v>
          </cell>
          <cell r="K1257" t="str">
            <v>Sugar</v>
          </cell>
          <cell r="M1257" t="str">
            <v>End User</v>
          </cell>
          <cell r="O1257">
            <v>5000</v>
          </cell>
          <cell r="P1257" t="str">
            <v>AV</v>
          </cell>
          <cell r="Q1257" t="str">
            <v>AV</v>
          </cell>
          <cell r="R1257" t="str">
            <v>VG</v>
          </cell>
          <cell r="T1257" t="str">
            <v>TOUR-2 (MUDHOL)</v>
          </cell>
          <cell r="U1257" t="str">
            <v>23-24</v>
          </cell>
          <cell r="W1257" t="str">
            <v>29-02-2024
02-04-2023
15-10-2022</v>
          </cell>
        </row>
        <row r="1258">
          <cell r="F1258" t="str">
            <v>GWAL01B110</v>
          </cell>
          <cell r="G1258" t="str">
            <v>BADRI VISHAL AGRO</v>
          </cell>
          <cell r="H1258" t="str">
            <v>-</v>
          </cell>
          <cell r="J1258" t="str">
            <v>Domestic</v>
          </cell>
          <cell r="K1258" t="str">
            <v>-</v>
          </cell>
          <cell r="L1258" t="str">
            <v>Non-Sugar</v>
          </cell>
          <cell r="O1258" t="str">
            <v>-</v>
          </cell>
          <cell r="P1258" t="str">
            <v>-</v>
          </cell>
          <cell r="Q1258" t="str">
            <v>-</v>
          </cell>
          <cell r="R1258" t="str">
            <v>-</v>
          </cell>
          <cell r="T1258" t="str">
            <v>-</v>
          </cell>
          <cell r="U1258" t="str">
            <v>-</v>
          </cell>
          <cell r="W1258" t="str">
            <v>-</v>
          </cell>
        </row>
        <row r="1259">
          <cell r="F1259" t="str">
            <v>NODA01B070</v>
          </cell>
          <cell r="G1259" t="str">
            <v>BAJAJ HINDUSTHAN LTD</v>
          </cell>
          <cell r="H1259" t="str">
            <v>-</v>
          </cell>
          <cell r="J1259" t="str">
            <v>Domestic</v>
          </cell>
          <cell r="K1259" t="str">
            <v>-</v>
          </cell>
          <cell r="L1259" t="str">
            <v>Non-Sugar</v>
          </cell>
          <cell r="M1259" t="str">
            <v>End User</v>
          </cell>
          <cell r="O1259" t="str">
            <v>-</v>
          </cell>
          <cell r="P1259" t="str">
            <v>-</v>
          </cell>
          <cell r="Q1259" t="str">
            <v>-</v>
          </cell>
          <cell r="R1259" t="str">
            <v>-</v>
          </cell>
          <cell r="T1259" t="str">
            <v>-</v>
          </cell>
          <cell r="U1259" t="str">
            <v>-</v>
          </cell>
          <cell r="W1259" t="str">
            <v>-</v>
          </cell>
        </row>
        <row r="1260">
          <cell r="F1260" t="str">
            <v>GOND01B066</v>
          </cell>
          <cell r="G1260" t="str">
            <v>BAJAJ HINDUSTHAN LTD.</v>
          </cell>
          <cell r="H1260" t="str">
            <v>-</v>
          </cell>
          <cell r="J1260" t="str">
            <v>Domestic</v>
          </cell>
          <cell r="K1260" t="str">
            <v>-</v>
          </cell>
          <cell r="L1260" t="str">
            <v>Non-Sugar</v>
          </cell>
          <cell r="M1260" t="str">
            <v>End User</v>
          </cell>
          <cell r="O1260" t="str">
            <v>-</v>
          </cell>
          <cell r="P1260" t="str">
            <v>-</v>
          </cell>
          <cell r="Q1260" t="str">
            <v>-</v>
          </cell>
          <cell r="R1260" t="str">
            <v>-</v>
          </cell>
          <cell r="T1260" t="str">
            <v>-</v>
          </cell>
          <cell r="U1260" t="str">
            <v>-</v>
          </cell>
          <cell r="W1260" t="str">
            <v>-</v>
          </cell>
        </row>
        <row r="1261">
          <cell r="F1261" t="str">
            <v>KHER01B010</v>
          </cell>
          <cell r="G1261" t="str">
            <v>BAJAJ HINDUSTHAN LTD. (UB-022)</v>
          </cell>
          <cell r="H1261" t="str">
            <v>-</v>
          </cell>
          <cell r="J1261" t="str">
            <v>Domestic</v>
          </cell>
          <cell r="K1261" t="str">
            <v>-</v>
          </cell>
          <cell r="L1261" t="str">
            <v>Non-Sugar</v>
          </cell>
          <cell r="M1261" t="str">
            <v>End User</v>
          </cell>
          <cell r="O1261" t="str">
            <v>-</v>
          </cell>
          <cell r="P1261" t="str">
            <v>-</v>
          </cell>
          <cell r="Q1261" t="str">
            <v>-</v>
          </cell>
          <cell r="R1261" t="str">
            <v>-</v>
          </cell>
          <cell r="T1261" t="str">
            <v>-</v>
          </cell>
          <cell r="U1261" t="str">
            <v>-</v>
          </cell>
          <cell r="W1261" t="str">
            <v>-</v>
          </cell>
        </row>
        <row r="1262">
          <cell r="F1262" t="str">
            <v>BAST01B012</v>
          </cell>
          <cell r="G1262" t="str">
            <v>BAJAJ HINDUSTHAN LTD. (UB035)</v>
          </cell>
          <cell r="H1262" t="str">
            <v>-</v>
          </cell>
          <cell r="J1262" t="str">
            <v>Domestic</v>
          </cell>
          <cell r="K1262" t="str">
            <v>-</v>
          </cell>
          <cell r="L1262" t="str">
            <v>Non-Sugar</v>
          </cell>
          <cell r="M1262" t="str">
            <v>End User</v>
          </cell>
          <cell r="O1262" t="str">
            <v>-</v>
          </cell>
          <cell r="P1262" t="str">
            <v>-</v>
          </cell>
          <cell r="Q1262" t="str">
            <v>-</v>
          </cell>
          <cell r="R1262" t="str">
            <v>-</v>
          </cell>
          <cell r="T1262" t="str">
            <v>-</v>
          </cell>
          <cell r="U1262" t="str">
            <v>-</v>
          </cell>
          <cell r="W1262" t="str">
            <v>-</v>
          </cell>
        </row>
        <row r="1263">
          <cell r="F1263" t="str">
            <v>PILI01B017</v>
          </cell>
          <cell r="G1263" t="str">
            <v>BAJAJ SUGAR LIMITED</v>
          </cell>
          <cell r="H1263" t="str">
            <v>-</v>
          </cell>
          <cell r="J1263" t="str">
            <v>Domestic</v>
          </cell>
          <cell r="K1263" t="str">
            <v>Sugar</v>
          </cell>
          <cell r="L1263" t="str">
            <v>Sugar</v>
          </cell>
          <cell r="M1263" t="str">
            <v>End User</v>
          </cell>
          <cell r="O1263" t="str">
            <v>-</v>
          </cell>
          <cell r="P1263" t="str">
            <v>-</v>
          </cell>
          <cell r="Q1263" t="str">
            <v>-</v>
          </cell>
          <cell r="R1263" t="str">
            <v>-</v>
          </cell>
          <cell r="T1263" t="str">
            <v>-</v>
          </cell>
          <cell r="U1263" t="str">
            <v>-</v>
          </cell>
          <cell r="W1263" t="str">
            <v>-</v>
          </cell>
        </row>
        <row r="1264">
          <cell r="F1264" t="str">
            <v>SITA01B018</v>
          </cell>
          <cell r="G1264" t="str">
            <v>BALAJI ACTION BUILDWELL</v>
          </cell>
          <cell r="H1264">
            <v>2016</v>
          </cell>
          <cell r="J1264" t="str">
            <v>Domestic</v>
          </cell>
          <cell r="K1264" t="str">
            <v>-</v>
          </cell>
          <cell r="L1264" t="str">
            <v>Non-Sugar</v>
          </cell>
          <cell r="O1264" t="str">
            <v>-</v>
          </cell>
          <cell r="P1264" t="str">
            <v>-</v>
          </cell>
          <cell r="Q1264" t="str">
            <v>-</v>
          </cell>
          <cell r="R1264" t="str">
            <v>-</v>
          </cell>
          <cell r="T1264" t="str">
            <v>-</v>
          </cell>
          <cell r="U1264" t="str">
            <v>-</v>
          </cell>
          <cell r="W1264" t="str">
            <v>-</v>
          </cell>
        </row>
        <row r="1265">
          <cell r="F1265" t="str">
            <v>LUCK01B112</v>
          </cell>
          <cell r="G1265" t="str">
            <v>BALAJI MARKETING</v>
          </cell>
          <cell r="H1265" t="str">
            <v>-</v>
          </cell>
          <cell r="J1265" t="str">
            <v>Domestic</v>
          </cell>
          <cell r="K1265" t="str">
            <v>-</v>
          </cell>
          <cell r="L1265" t="str">
            <v>Non-Sugar</v>
          </cell>
          <cell r="O1265" t="str">
            <v>-</v>
          </cell>
          <cell r="P1265" t="str">
            <v>-</v>
          </cell>
          <cell r="Q1265" t="str">
            <v>-</v>
          </cell>
          <cell r="R1265" t="str">
            <v>-</v>
          </cell>
          <cell r="T1265" t="str">
            <v>-</v>
          </cell>
          <cell r="U1265" t="str">
            <v>-</v>
          </cell>
          <cell r="W1265" t="str">
            <v>-</v>
          </cell>
        </row>
        <row r="1266">
          <cell r="F1266" t="str">
            <v>LAKH01B050</v>
          </cell>
          <cell r="G1266" t="str">
            <v>BALAJI STRAW MILLS PVT LTD</v>
          </cell>
          <cell r="H1266">
            <v>2015</v>
          </cell>
          <cell r="J1266" t="str">
            <v>Domestic</v>
          </cell>
          <cell r="K1266" t="str">
            <v>-</v>
          </cell>
          <cell r="L1266" t="str">
            <v>Non-Sugar</v>
          </cell>
          <cell r="O1266" t="str">
            <v>-</v>
          </cell>
          <cell r="P1266" t="str">
            <v>-</v>
          </cell>
          <cell r="Q1266" t="str">
            <v>-</v>
          </cell>
          <cell r="R1266" t="str">
            <v>-</v>
          </cell>
          <cell r="T1266" t="str">
            <v>-</v>
          </cell>
          <cell r="U1266" t="str">
            <v>-</v>
          </cell>
          <cell r="W1266" t="str">
            <v>-</v>
          </cell>
        </row>
        <row r="1267">
          <cell r="F1267" t="str">
            <v>NANA01B048</v>
          </cell>
          <cell r="G1267" t="str">
            <v>BALASORE ALLOYS LTD.</v>
          </cell>
          <cell r="H1267" t="str">
            <v>-</v>
          </cell>
          <cell r="J1267" t="str">
            <v>Domestic</v>
          </cell>
          <cell r="L1267" t="str">
            <v>Non-Sugar</v>
          </cell>
          <cell r="O1267" t="str">
            <v>-</v>
          </cell>
          <cell r="P1267" t="str">
            <v>-</v>
          </cell>
          <cell r="Q1267" t="str">
            <v>-</v>
          </cell>
        </row>
        <row r="1268">
          <cell r="F1268" t="str">
            <v>DLHI01B136</v>
          </cell>
          <cell r="G1268" t="str">
            <v>BALDEV INDUSTRIES LTD</v>
          </cell>
          <cell r="H1268" t="str">
            <v>-</v>
          </cell>
          <cell r="J1268" t="str">
            <v>Domestic</v>
          </cell>
          <cell r="K1268" t="str">
            <v>-</v>
          </cell>
          <cell r="L1268" t="str">
            <v>Non-Sugar</v>
          </cell>
          <cell r="O1268" t="str">
            <v>-</v>
          </cell>
          <cell r="P1268" t="str">
            <v>-</v>
          </cell>
          <cell r="Q1268" t="str">
            <v>-</v>
          </cell>
          <cell r="R1268" t="str">
            <v>-</v>
          </cell>
          <cell r="T1268" t="str">
            <v>-</v>
          </cell>
          <cell r="U1268" t="str">
            <v>-</v>
          </cell>
          <cell r="W1268" t="str">
            <v>-</v>
          </cell>
        </row>
        <row r="1269">
          <cell r="F1269" t="str">
            <v>VADO01B096</v>
          </cell>
          <cell r="G1269" t="str">
            <v>BANCO PRODUCTS (INDIA) LTD</v>
          </cell>
          <cell r="H1269" t="str">
            <v>20-21</v>
          </cell>
          <cell r="J1269" t="str">
            <v>Domestic</v>
          </cell>
          <cell r="K1269" t="str">
            <v>-</v>
          </cell>
          <cell r="L1269" t="str">
            <v>Non-Sugar</v>
          </cell>
          <cell r="M1269" t="str">
            <v>End User</v>
          </cell>
          <cell r="O1269" t="str">
            <v>-</v>
          </cell>
          <cell r="P1269" t="str">
            <v>-</v>
          </cell>
          <cell r="Q1269" t="str">
            <v>-</v>
          </cell>
          <cell r="R1269" t="str">
            <v>-</v>
          </cell>
          <cell r="T1269" t="str">
            <v>-</v>
          </cell>
          <cell r="U1269" t="str">
            <v>-</v>
          </cell>
          <cell r="W1269" t="str">
            <v>-</v>
          </cell>
        </row>
        <row r="1270">
          <cell r="F1270" t="str">
            <v>KOLH01B133</v>
          </cell>
          <cell r="G1270" t="str">
            <v>BARAHULLAD</v>
          </cell>
          <cell r="H1270" t="str">
            <v>-</v>
          </cell>
          <cell r="J1270" t="str">
            <v>Domestic</v>
          </cell>
          <cell r="K1270" t="str">
            <v>-</v>
          </cell>
          <cell r="L1270" t="str">
            <v>Non-Sugar</v>
          </cell>
          <cell r="O1270" t="str">
            <v>-</v>
          </cell>
          <cell r="P1270" t="str">
            <v>-</v>
          </cell>
          <cell r="Q1270" t="str">
            <v>-</v>
          </cell>
          <cell r="R1270" t="str">
            <v>-</v>
          </cell>
          <cell r="T1270" t="str">
            <v>-</v>
          </cell>
          <cell r="U1270" t="str">
            <v>-</v>
          </cell>
          <cell r="W1270" t="str">
            <v>-</v>
          </cell>
        </row>
        <row r="1271">
          <cell r="F1271" t="str">
            <v>BANG01B111</v>
          </cell>
          <cell r="G1271" t="str">
            <v>BARRIX AGRO SCIENCES PVT LTD</v>
          </cell>
          <cell r="H1271" t="str">
            <v>-</v>
          </cell>
          <cell r="J1271" t="str">
            <v>Domestic</v>
          </cell>
          <cell r="K1271" t="str">
            <v>-</v>
          </cell>
          <cell r="L1271" t="str">
            <v>Non-Sugar</v>
          </cell>
          <cell r="O1271" t="str">
            <v>-</v>
          </cell>
          <cell r="P1271" t="str">
            <v>-</v>
          </cell>
          <cell r="Q1271" t="str">
            <v>-</v>
          </cell>
          <cell r="R1271" t="str">
            <v>-</v>
          </cell>
          <cell r="T1271" t="str">
            <v>-</v>
          </cell>
          <cell r="U1271" t="str">
            <v>-</v>
          </cell>
          <cell r="W1271" t="str">
            <v>-</v>
          </cell>
        </row>
        <row r="1272">
          <cell r="F1272" t="str">
            <v>ATHA01B152</v>
          </cell>
          <cell r="G1272" t="str">
            <v>BASAVESHWARA SUGARS LTD</v>
          </cell>
          <cell r="H1272" t="str">
            <v>-</v>
          </cell>
          <cell r="J1272" t="str">
            <v>Domestic</v>
          </cell>
          <cell r="L1272" t="str">
            <v>Non-Sugar</v>
          </cell>
          <cell r="O1272" t="str">
            <v>-</v>
          </cell>
          <cell r="P1272" t="str">
            <v>-</v>
          </cell>
          <cell r="Q1272" t="str">
            <v>-</v>
          </cell>
        </row>
        <row r="1273">
          <cell r="F1273" t="str">
            <v>KANP01B135</v>
          </cell>
          <cell r="G1273" t="str">
            <v>BEECHEMS</v>
          </cell>
          <cell r="H1273" t="str">
            <v>-</v>
          </cell>
          <cell r="J1273" t="str">
            <v>Domestic</v>
          </cell>
          <cell r="K1273" t="str">
            <v>-</v>
          </cell>
          <cell r="L1273" t="str">
            <v>Non-Sugar</v>
          </cell>
          <cell r="O1273" t="str">
            <v>-</v>
          </cell>
          <cell r="P1273" t="str">
            <v>-</v>
          </cell>
          <cell r="Q1273" t="str">
            <v>-</v>
          </cell>
          <cell r="R1273" t="str">
            <v>-</v>
          </cell>
          <cell r="T1273" t="str">
            <v>-</v>
          </cell>
          <cell r="U1273" t="str">
            <v>-</v>
          </cell>
          <cell r="W1273" t="str">
            <v>-</v>
          </cell>
        </row>
        <row r="1274">
          <cell r="F1274" t="str">
            <v>PANI01B051</v>
          </cell>
          <cell r="G1274" t="str">
            <v>BEST BUY INDIA</v>
          </cell>
          <cell r="H1274" t="str">
            <v>-</v>
          </cell>
          <cell r="J1274" t="str">
            <v>Domestic</v>
          </cell>
          <cell r="K1274" t="str">
            <v>-</v>
          </cell>
          <cell r="L1274" t="str">
            <v>Non-Sugar</v>
          </cell>
          <cell r="O1274" t="str">
            <v>-</v>
          </cell>
          <cell r="P1274" t="str">
            <v>-</v>
          </cell>
          <cell r="Q1274" t="str">
            <v>-</v>
          </cell>
          <cell r="R1274" t="str">
            <v>-</v>
          </cell>
          <cell r="T1274" t="str">
            <v>-</v>
          </cell>
          <cell r="U1274" t="str">
            <v>-</v>
          </cell>
          <cell r="W1274" t="str">
            <v>-</v>
          </cell>
        </row>
        <row r="1275">
          <cell r="F1275" t="str">
            <v>SOLP01B043</v>
          </cell>
          <cell r="G1275" t="str">
            <v>BHAIRAV NATH SUGAR WORKS LTD (UNIT-II)(Shivgiri agro Sugar works pvt ltd)</v>
          </cell>
          <cell r="H1275">
            <v>2013</v>
          </cell>
          <cell r="J1275" t="str">
            <v>Domestic</v>
          </cell>
          <cell r="K1275" t="str">
            <v>Sugar</v>
          </cell>
          <cell r="M1275" t="str">
            <v>End User</v>
          </cell>
          <cell r="N1275" t="str">
            <v>(0-5000)</v>
          </cell>
          <cell r="O1275">
            <v>3800</v>
          </cell>
          <cell r="P1275" t="str">
            <v>AV</v>
          </cell>
          <cell r="Q1275" t="str">
            <v>AV</v>
          </cell>
          <cell r="R1275" t="str">
            <v>AT</v>
          </cell>
          <cell r="T1275" t="str">
            <v>TOUR-4 (OSMANABAD)</v>
          </cell>
          <cell r="U1275" t="str">
            <v>23-24</v>
          </cell>
          <cell r="W1275">
            <v>45058</v>
          </cell>
        </row>
        <row r="1276">
          <cell r="F1276" t="str">
            <v>OSMA01B052</v>
          </cell>
          <cell r="G1276" t="str">
            <v>BHAIRAVNATH SHIVSHAKTI SAKHAR UDYOG</v>
          </cell>
          <cell r="H1276">
            <v>2013</v>
          </cell>
          <cell r="J1276" t="str">
            <v>Domestic</v>
          </cell>
          <cell r="M1276" t="str">
            <v>End User</v>
          </cell>
          <cell r="P1276" t="str">
            <v>AV</v>
          </cell>
          <cell r="Q1276" t="str">
            <v>-</v>
          </cell>
        </row>
        <row r="1277">
          <cell r="F1277" t="str">
            <v>PUNE01B059</v>
          </cell>
          <cell r="G1277" t="str">
            <v>BHAIRAVNATH SUGAR WORKS LIMITED</v>
          </cell>
          <cell r="H1277" t="str">
            <v>-</v>
          </cell>
          <cell r="J1277" t="str">
            <v>Domestic</v>
          </cell>
          <cell r="K1277" t="str">
            <v>Sugar</v>
          </cell>
          <cell r="M1277" t="str">
            <v>End User</v>
          </cell>
          <cell r="O1277" t="str">
            <v>-</v>
          </cell>
          <cell r="P1277" t="str">
            <v>-</v>
          </cell>
          <cell r="Q1277" t="str">
            <v>-</v>
          </cell>
          <cell r="R1277" t="str">
            <v>-</v>
          </cell>
          <cell r="T1277" t="str">
            <v>-</v>
          </cell>
          <cell r="W1277" t="str">
            <v>-</v>
          </cell>
        </row>
        <row r="1278">
          <cell r="F1278" t="str">
            <v>OSMA01B100</v>
          </cell>
          <cell r="G1278" t="str">
            <v>BHAIRAVNATH SUGAR WORKS LTD.(UNIT-1)</v>
          </cell>
          <cell r="H1278" t="str">
            <v>-</v>
          </cell>
          <cell r="J1278" t="str">
            <v>Domestic</v>
          </cell>
          <cell r="K1278" t="str">
            <v>Sugar</v>
          </cell>
          <cell r="M1278" t="str">
            <v>End User</v>
          </cell>
          <cell r="O1278" t="str">
            <v>-</v>
          </cell>
          <cell r="P1278" t="str">
            <v>-</v>
          </cell>
          <cell r="Q1278" t="str">
            <v>-</v>
          </cell>
          <cell r="R1278" t="str">
            <v>-</v>
          </cell>
          <cell r="T1278" t="str">
            <v>-</v>
          </cell>
          <cell r="W1278" t="str">
            <v>-</v>
          </cell>
        </row>
        <row r="1279">
          <cell r="F1279" t="str">
            <v>BIDA01B086</v>
          </cell>
          <cell r="G1279" t="str">
            <v>BHALKESHWAR SUGARS LTD (Renamed to Gauri Sugars)</v>
          </cell>
          <cell r="H1279">
            <v>2019</v>
          </cell>
          <cell r="J1279" t="str">
            <v>Domestic</v>
          </cell>
          <cell r="K1279" t="str">
            <v>Sugar</v>
          </cell>
          <cell r="M1279" t="str">
            <v>End User</v>
          </cell>
          <cell r="O1279">
            <v>4000</v>
          </cell>
          <cell r="P1279" t="str">
            <v>SI-GS</v>
          </cell>
          <cell r="Q1279" t="str">
            <v>SI-GS</v>
          </cell>
          <cell r="W1279">
            <v>45083</v>
          </cell>
        </row>
        <row r="1280">
          <cell r="F1280" t="str">
            <v>PANI01B053</v>
          </cell>
          <cell r="G1280" t="str">
            <v>BHALLA TEXTILE ENGG MANUFACTURE</v>
          </cell>
          <cell r="H1280" t="str">
            <v>-</v>
          </cell>
          <cell r="J1280" t="str">
            <v>Domestic</v>
          </cell>
          <cell r="K1280" t="str">
            <v>-</v>
          </cell>
          <cell r="L1280" t="str">
            <v>Non-Sugar</v>
          </cell>
          <cell r="O1280" t="str">
            <v>-</v>
          </cell>
          <cell r="P1280" t="str">
            <v>-</v>
          </cell>
          <cell r="Q1280" t="str">
            <v>-</v>
          </cell>
          <cell r="R1280" t="str">
            <v>-</v>
          </cell>
          <cell r="T1280" t="str">
            <v>-</v>
          </cell>
          <cell r="U1280" t="str">
            <v>-</v>
          </cell>
          <cell r="W1280" t="str">
            <v>-</v>
          </cell>
        </row>
        <row r="1281">
          <cell r="F1281" t="str">
            <v>PANI01B054</v>
          </cell>
          <cell r="G1281" t="str">
            <v>BHALLA TEXTILE ENGINEERING MENUFACTURE</v>
          </cell>
          <cell r="H1281" t="str">
            <v>-</v>
          </cell>
          <cell r="J1281" t="str">
            <v>Domestic</v>
          </cell>
          <cell r="K1281" t="str">
            <v>-</v>
          </cell>
          <cell r="L1281" t="str">
            <v>Non-Sugar</v>
          </cell>
          <cell r="O1281" t="str">
            <v>-</v>
          </cell>
          <cell r="P1281" t="str">
            <v>-</v>
          </cell>
          <cell r="Q1281" t="str">
            <v>-</v>
          </cell>
          <cell r="R1281" t="str">
            <v>-</v>
          </cell>
          <cell r="T1281" t="str">
            <v>-</v>
          </cell>
          <cell r="U1281" t="str">
            <v>-</v>
          </cell>
          <cell r="W1281" t="str">
            <v>-</v>
          </cell>
        </row>
        <row r="1282">
          <cell r="F1282" t="str">
            <v>DHAN01B040</v>
          </cell>
          <cell r="G1282" t="str">
            <v>BHARAT COKING COAL LIMITED</v>
          </cell>
          <cell r="H1282" t="str">
            <v>-</v>
          </cell>
          <cell r="J1282" t="str">
            <v>Domestic</v>
          </cell>
          <cell r="K1282" t="str">
            <v>-</v>
          </cell>
          <cell r="L1282" t="str">
            <v>Non-Sugar</v>
          </cell>
          <cell r="O1282" t="str">
            <v>-</v>
          </cell>
          <cell r="P1282" t="str">
            <v>-</v>
          </cell>
          <cell r="Q1282" t="str">
            <v>-</v>
          </cell>
          <cell r="R1282" t="str">
            <v>-</v>
          </cell>
          <cell r="T1282" t="str">
            <v>-</v>
          </cell>
          <cell r="U1282" t="str">
            <v>-</v>
          </cell>
          <cell r="W1282" t="str">
            <v>-</v>
          </cell>
        </row>
        <row r="1283">
          <cell r="F1283" t="str">
            <v>INDR01B129</v>
          </cell>
          <cell r="G1283" t="str">
            <v>BHARAT FEEDS &amp; EXTRACTIONS LIMITED</v>
          </cell>
          <cell r="H1283" t="str">
            <v>-</v>
          </cell>
          <cell r="J1283" t="str">
            <v>Domestic</v>
          </cell>
          <cell r="K1283" t="str">
            <v>Cattlefeed</v>
          </cell>
          <cell r="L1283" t="str">
            <v>Non-Sugar</v>
          </cell>
          <cell r="M1283" t="str">
            <v>End User</v>
          </cell>
          <cell r="O1283" t="str">
            <v>-</v>
          </cell>
          <cell r="P1283" t="str">
            <v>-</v>
          </cell>
          <cell r="Q1283" t="str">
            <v>-</v>
          </cell>
          <cell r="R1283" t="str">
            <v>-</v>
          </cell>
          <cell r="T1283" t="str">
            <v>-</v>
          </cell>
          <cell r="U1283" t="str">
            <v>-</v>
          </cell>
          <cell r="W1283" t="str">
            <v>-</v>
          </cell>
        </row>
        <row r="1284">
          <cell r="F1284" t="str">
            <v>RANI01B105</v>
          </cell>
          <cell r="G1284" t="str">
            <v>BHARAT HEAVY ELECTRICALS LIMITED</v>
          </cell>
          <cell r="H1284" t="str">
            <v>-</v>
          </cell>
          <cell r="J1284" t="str">
            <v>Domestic</v>
          </cell>
          <cell r="K1284" t="str">
            <v>-</v>
          </cell>
          <cell r="L1284" t="str">
            <v>Non-Sugar</v>
          </cell>
          <cell r="O1284" t="str">
            <v>-</v>
          </cell>
          <cell r="P1284" t="str">
            <v>-</v>
          </cell>
          <cell r="Q1284" t="str">
            <v>-</v>
          </cell>
          <cell r="R1284" t="str">
            <v>-</v>
          </cell>
          <cell r="T1284" t="str">
            <v>-</v>
          </cell>
          <cell r="U1284" t="str">
            <v>-</v>
          </cell>
          <cell r="W1284" t="str">
            <v>-</v>
          </cell>
        </row>
        <row r="1285">
          <cell r="F1285" t="str">
            <v>NODA01B119</v>
          </cell>
          <cell r="G1285" t="str">
            <v>BHARAT OIL &amp; WASTE MANAGEMENT</v>
          </cell>
          <cell r="H1285" t="str">
            <v>-</v>
          </cell>
          <cell r="J1285" t="str">
            <v>Domestic</v>
          </cell>
          <cell r="K1285" t="str">
            <v>-</v>
          </cell>
          <cell r="L1285" t="str">
            <v>Non-Sugar</v>
          </cell>
          <cell r="O1285" t="str">
            <v>-</v>
          </cell>
          <cell r="P1285" t="str">
            <v>-</v>
          </cell>
          <cell r="Q1285" t="str">
            <v>-</v>
          </cell>
          <cell r="R1285" t="str">
            <v>-</v>
          </cell>
          <cell r="T1285" t="str">
            <v>-</v>
          </cell>
          <cell r="U1285" t="str">
            <v>-</v>
          </cell>
          <cell r="W1285" t="str">
            <v>-</v>
          </cell>
        </row>
        <row r="1286">
          <cell r="F1286" t="str">
            <v>YAMN01B030</v>
          </cell>
          <cell r="G1286" t="str">
            <v>BHARAT STARCH INDUSTRIES LTD.</v>
          </cell>
          <cell r="H1286" t="str">
            <v>-</v>
          </cell>
          <cell r="J1286" t="str">
            <v>Domestic</v>
          </cell>
          <cell r="K1286" t="str">
            <v>-</v>
          </cell>
          <cell r="L1286" t="str">
            <v>Non-Sugar</v>
          </cell>
          <cell r="O1286" t="str">
            <v>-</v>
          </cell>
          <cell r="P1286" t="str">
            <v>-</v>
          </cell>
          <cell r="Q1286" t="str">
            <v>-</v>
          </cell>
          <cell r="R1286" t="str">
            <v>-</v>
          </cell>
          <cell r="T1286" t="str">
            <v>-</v>
          </cell>
          <cell r="U1286" t="str">
            <v>-</v>
          </cell>
          <cell r="W1286" t="str">
            <v>-</v>
          </cell>
        </row>
        <row r="1287">
          <cell r="F1287" t="str">
            <v>YAMN01B031</v>
          </cell>
          <cell r="G1287" t="str">
            <v>BHARAT SUGAR MILLS</v>
          </cell>
          <cell r="H1287" t="str">
            <v>-</v>
          </cell>
          <cell r="J1287" t="str">
            <v>Domestic</v>
          </cell>
          <cell r="K1287" t="str">
            <v>Sugar</v>
          </cell>
          <cell r="L1287" t="str">
            <v>Sugar</v>
          </cell>
          <cell r="M1287" t="str">
            <v>End User</v>
          </cell>
          <cell r="O1287" t="str">
            <v>-</v>
          </cell>
          <cell r="P1287" t="str">
            <v>-</v>
          </cell>
          <cell r="Q1287" t="str">
            <v>-</v>
          </cell>
          <cell r="R1287" t="str">
            <v>AVIRAL SHUKLA</v>
          </cell>
          <cell r="T1287" t="str">
            <v>-</v>
          </cell>
          <cell r="U1287" t="str">
            <v>24-25</v>
          </cell>
          <cell r="W1287">
            <v>45561</v>
          </cell>
        </row>
        <row r="1288">
          <cell r="F1288" t="str">
            <v>VADO01B056</v>
          </cell>
          <cell r="G1288" t="str">
            <v>BHARATBHAI GOHIL</v>
          </cell>
          <cell r="H1288" t="str">
            <v>-</v>
          </cell>
          <cell r="J1288" t="str">
            <v>Domestic</v>
          </cell>
          <cell r="K1288" t="str">
            <v>-</v>
          </cell>
          <cell r="L1288" t="str">
            <v>Non-Sugar</v>
          </cell>
          <cell r="O1288" t="str">
            <v>-</v>
          </cell>
          <cell r="P1288" t="str">
            <v>-</v>
          </cell>
          <cell r="Q1288" t="str">
            <v>-</v>
          </cell>
          <cell r="R1288" t="str">
            <v>-</v>
          </cell>
          <cell r="T1288" t="str">
            <v>-</v>
          </cell>
          <cell r="U1288" t="str">
            <v>-</v>
          </cell>
          <cell r="W1288" t="str">
            <v>-</v>
          </cell>
        </row>
        <row r="1289">
          <cell r="F1289" t="str">
            <v>HYDE01B137</v>
          </cell>
          <cell r="G1289" t="str">
            <v>BHASKAR HYDRABAD</v>
          </cell>
          <cell r="H1289" t="str">
            <v>-</v>
          </cell>
          <cell r="J1289" t="str">
            <v>Domestic</v>
          </cell>
          <cell r="K1289" t="str">
            <v>-</v>
          </cell>
          <cell r="L1289" t="str">
            <v>Non-Sugar</v>
          </cell>
          <cell r="O1289" t="str">
            <v>-</v>
          </cell>
          <cell r="P1289" t="str">
            <v>-</v>
          </cell>
          <cell r="Q1289" t="str">
            <v>-</v>
          </cell>
          <cell r="R1289" t="str">
            <v>-</v>
          </cell>
          <cell r="T1289" t="str">
            <v>-</v>
          </cell>
          <cell r="U1289" t="str">
            <v>-</v>
          </cell>
          <cell r="W1289" t="str">
            <v>-</v>
          </cell>
        </row>
        <row r="1290">
          <cell r="F1290" t="str">
            <v>PUNE01B032</v>
          </cell>
          <cell r="G1290" t="str">
            <v>BHIMA SAHAKARI SAKHAR KARKHANA LTD.(MRN-BHIMA : NEW NAME)</v>
          </cell>
          <cell r="H1290" t="str">
            <v>-</v>
          </cell>
          <cell r="J1290" t="str">
            <v>Domestic</v>
          </cell>
          <cell r="K1290" t="str">
            <v>Sugar</v>
          </cell>
          <cell r="M1290" t="str">
            <v>End User</v>
          </cell>
          <cell r="O1290" t="str">
            <v>-</v>
          </cell>
          <cell r="P1290" t="str">
            <v>-</v>
          </cell>
          <cell r="Q1290" t="str">
            <v>-</v>
          </cell>
          <cell r="R1290" t="str">
            <v>-</v>
          </cell>
          <cell r="T1290" t="str">
            <v>-</v>
          </cell>
          <cell r="W1290" t="str">
            <v>-</v>
          </cell>
        </row>
        <row r="1291">
          <cell r="F1291" t="str">
            <v>SOLP01B034</v>
          </cell>
          <cell r="G1291" t="str">
            <v>BHOGAWATI SAHAKARI SAKHAR KARKHANA LTD.</v>
          </cell>
          <cell r="H1291" t="str">
            <v>-</v>
          </cell>
          <cell r="J1291" t="str">
            <v>Domestic</v>
          </cell>
          <cell r="K1291" t="str">
            <v>Sugar</v>
          </cell>
          <cell r="M1291" t="str">
            <v>End User</v>
          </cell>
          <cell r="O1291" t="str">
            <v>-</v>
          </cell>
          <cell r="P1291" t="str">
            <v>-</v>
          </cell>
          <cell r="Q1291" t="str">
            <v>-</v>
          </cell>
          <cell r="R1291" t="str">
            <v>-</v>
          </cell>
          <cell r="T1291" t="str">
            <v>-</v>
          </cell>
          <cell r="W1291" t="str">
            <v>-</v>
          </cell>
        </row>
        <row r="1292">
          <cell r="F1292" t="str">
            <v>NODA01B037</v>
          </cell>
          <cell r="G1292" t="str">
            <v>BIOTECH SERVICES</v>
          </cell>
          <cell r="H1292" t="str">
            <v>-</v>
          </cell>
          <cell r="J1292" t="str">
            <v>Domestic</v>
          </cell>
          <cell r="K1292" t="str">
            <v>-</v>
          </cell>
          <cell r="L1292" t="str">
            <v>Non-Sugar</v>
          </cell>
          <cell r="O1292" t="str">
            <v>-</v>
          </cell>
          <cell r="P1292" t="str">
            <v>-</v>
          </cell>
          <cell r="Q1292" t="str">
            <v>-</v>
          </cell>
          <cell r="R1292" t="str">
            <v>-</v>
          </cell>
          <cell r="T1292" t="str">
            <v>-</v>
          </cell>
          <cell r="U1292" t="str">
            <v>-</v>
          </cell>
          <cell r="W1292" t="str">
            <v>-</v>
          </cell>
        </row>
        <row r="1293">
          <cell r="F1293" t="str">
            <v>CHAD01B068</v>
          </cell>
          <cell r="G1293" t="str">
            <v>BIRLA CEMENT WORKS</v>
          </cell>
          <cell r="H1293" t="str">
            <v>-</v>
          </cell>
          <cell r="J1293" t="str">
            <v>Export</v>
          </cell>
          <cell r="K1293" t="str">
            <v>-</v>
          </cell>
          <cell r="L1293" t="str">
            <v>Non-Sugar</v>
          </cell>
          <cell r="O1293" t="str">
            <v>-</v>
          </cell>
          <cell r="P1293" t="str">
            <v>-</v>
          </cell>
          <cell r="Q1293" t="str">
            <v>-</v>
          </cell>
          <cell r="R1293" t="str">
            <v>-</v>
          </cell>
          <cell r="T1293" t="str">
            <v>-</v>
          </cell>
          <cell r="U1293" t="str">
            <v>-</v>
          </cell>
          <cell r="W1293" t="str">
            <v>-</v>
          </cell>
        </row>
        <row r="1294">
          <cell r="F1294" t="str">
            <v>NODA01B077</v>
          </cell>
          <cell r="G1294" t="str">
            <v>BIRLA GROOP</v>
          </cell>
          <cell r="H1294" t="str">
            <v>-</v>
          </cell>
          <cell r="J1294" t="str">
            <v>Domestic</v>
          </cell>
          <cell r="K1294" t="str">
            <v>-</v>
          </cell>
          <cell r="L1294" t="str">
            <v>Non-Sugar</v>
          </cell>
          <cell r="O1294" t="str">
            <v>-</v>
          </cell>
          <cell r="P1294" t="str">
            <v>-</v>
          </cell>
          <cell r="Q1294" t="str">
            <v>-</v>
          </cell>
          <cell r="R1294" t="str">
            <v>AVIRAL SHUKLA</v>
          </cell>
          <cell r="T1294" t="str">
            <v>-</v>
          </cell>
          <cell r="U1294" t="str">
            <v>20-21</v>
          </cell>
          <cell r="W1294" t="str">
            <v>11-01-2021
17-02-2020
12-07-2019
28-02-2019</v>
          </cell>
        </row>
        <row r="1295">
          <cell r="F1295" t="str">
            <v>PHIL01B058</v>
          </cell>
          <cell r="G1295" t="str">
            <v>BISCOM INC</v>
          </cell>
          <cell r="H1295" t="str">
            <v>-</v>
          </cell>
          <cell r="J1295" t="str">
            <v>Export</v>
          </cell>
          <cell r="K1295" t="str">
            <v>-</v>
          </cell>
          <cell r="L1295" t="str">
            <v>Non-Sugar</v>
          </cell>
          <cell r="O1295" t="str">
            <v>-</v>
          </cell>
          <cell r="P1295" t="str">
            <v>-</v>
          </cell>
          <cell r="Q1295" t="str">
            <v>-</v>
          </cell>
          <cell r="R1295" t="str">
            <v>-</v>
          </cell>
          <cell r="T1295" t="str">
            <v>-</v>
          </cell>
          <cell r="U1295" t="str">
            <v>-</v>
          </cell>
          <cell r="W1295" t="str">
            <v>-</v>
          </cell>
        </row>
        <row r="1296">
          <cell r="F1296" t="str">
            <v>MUMB01B091</v>
          </cell>
          <cell r="G1296" t="str">
            <v>BLU PLANET YASASU SOLUTIONS PVT LTD</v>
          </cell>
          <cell r="H1296" t="str">
            <v>-</v>
          </cell>
          <cell r="J1296" t="str">
            <v>Domestic</v>
          </cell>
          <cell r="K1296" t="str">
            <v>-</v>
          </cell>
          <cell r="L1296" t="str">
            <v>Non-Sugar</v>
          </cell>
          <cell r="O1296" t="str">
            <v>-</v>
          </cell>
          <cell r="P1296" t="str">
            <v>-</v>
          </cell>
          <cell r="Q1296" t="str">
            <v>-</v>
          </cell>
          <cell r="R1296" t="str">
            <v>-</v>
          </cell>
          <cell r="T1296" t="str">
            <v>-</v>
          </cell>
          <cell r="U1296" t="str">
            <v>-</v>
          </cell>
          <cell r="W1296" t="str">
            <v>-</v>
          </cell>
        </row>
        <row r="1297">
          <cell r="F1297" t="str">
            <v>MUMB01B092</v>
          </cell>
          <cell r="G1297" t="str">
            <v>BLUE PLANET YASASU SOLUTIONS (P) LTD</v>
          </cell>
          <cell r="H1297" t="str">
            <v>-</v>
          </cell>
          <cell r="J1297" t="str">
            <v>Domestic</v>
          </cell>
          <cell r="K1297" t="str">
            <v>-</v>
          </cell>
          <cell r="L1297" t="str">
            <v>Non-Sugar</v>
          </cell>
          <cell r="O1297" t="str">
            <v>-</v>
          </cell>
          <cell r="P1297" t="str">
            <v>-</v>
          </cell>
          <cell r="Q1297" t="str">
            <v>-</v>
          </cell>
          <cell r="R1297" t="str">
            <v>-</v>
          </cell>
          <cell r="T1297" t="str">
            <v>-</v>
          </cell>
          <cell r="U1297" t="str">
            <v>-</v>
          </cell>
          <cell r="W1297" t="str">
            <v>-</v>
          </cell>
        </row>
        <row r="1298">
          <cell r="F1298" t="str">
            <v>DLHI01Y011</v>
          </cell>
          <cell r="G1298" t="str">
            <v>BLUE PLANET YASASU SOLUTIONS PVT LTD. - NARAINA SITE</v>
          </cell>
          <cell r="H1298" t="str">
            <v>-</v>
          </cell>
          <cell r="J1298" t="str">
            <v>Domestic</v>
          </cell>
          <cell r="K1298" t="str">
            <v>-</v>
          </cell>
          <cell r="L1298" t="str">
            <v>Non-Sugar</v>
          </cell>
          <cell r="O1298" t="str">
            <v>-</v>
          </cell>
          <cell r="P1298" t="str">
            <v>-</v>
          </cell>
          <cell r="Q1298" t="str">
            <v>-</v>
          </cell>
          <cell r="R1298" t="str">
            <v>-</v>
          </cell>
          <cell r="T1298" t="str">
            <v>-</v>
          </cell>
          <cell r="U1298" t="str">
            <v>-</v>
          </cell>
          <cell r="W1298" t="str">
            <v>-</v>
          </cell>
        </row>
        <row r="1299">
          <cell r="F1299" t="str">
            <v>GURG01B120</v>
          </cell>
          <cell r="G1299" t="str">
            <v>BMRV ENGINEERING CONSULTANTS LLP</v>
          </cell>
          <cell r="H1299" t="str">
            <v>-</v>
          </cell>
          <cell r="J1299" t="str">
            <v>Domestic</v>
          </cell>
          <cell r="K1299" t="str">
            <v>-</v>
          </cell>
          <cell r="L1299" t="str">
            <v>Non-Sugar</v>
          </cell>
          <cell r="O1299" t="str">
            <v>-</v>
          </cell>
          <cell r="P1299" t="str">
            <v>-</v>
          </cell>
          <cell r="Q1299" t="str">
            <v>-</v>
          </cell>
          <cell r="R1299" t="str">
            <v>-</v>
          </cell>
          <cell r="T1299" t="str">
            <v>-</v>
          </cell>
          <cell r="U1299" t="str">
            <v>-</v>
          </cell>
          <cell r="W1299" t="str">
            <v>-</v>
          </cell>
        </row>
        <row r="1300">
          <cell r="F1300" t="str">
            <v>THAN01B046</v>
          </cell>
          <cell r="G1300" t="str">
            <v>BMS INDUSTRIES LTD.</v>
          </cell>
          <cell r="H1300" t="str">
            <v>-</v>
          </cell>
          <cell r="J1300" t="str">
            <v>Domestic</v>
          </cell>
          <cell r="P1300" t="str">
            <v>LGP</v>
          </cell>
          <cell r="Q1300" t="str">
            <v>-</v>
          </cell>
        </row>
        <row r="1301">
          <cell r="F1301" t="str">
            <v>CHEN01B122</v>
          </cell>
          <cell r="G1301" t="str">
            <v>BOMBAY DYES AND CHEMICALS</v>
          </cell>
          <cell r="H1301" t="str">
            <v>-</v>
          </cell>
          <cell r="J1301" t="str">
            <v>Domestic</v>
          </cell>
          <cell r="K1301" t="str">
            <v>CHEMICAL</v>
          </cell>
          <cell r="L1301" t="str">
            <v>Non-Sugar</v>
          </cell>
          <cell r="M1301" t="str">
            <v>End User</v>
          </cell>
          <cell r="O1301" t="str">
            <v>-</v>
          </cell>
          <cell r="P1301" t="str">
            <v>-</v>
          </cell>
          <cell r="Q1301" t="str">
            <v>-</v>
          </cell>
          <cell r="R1301" t="str">
            <v>-</v>
          </cell>
          <cell r="T1301" t="str">
            <v>-</v>
          </cell>
          <cell r="U1301" t="str">
            <v>-</v>
          </cell>
          <cell r="W1301" t="str">
            <v>-</v>
          </cell>
        </row>
        <row r="1302">
          <cell r="F1302" t="str">
            <v>AHME01B132</v>
          </cell>
          <cell r="G1302" t="str">
            <v>BOSS PACKAGING SOLUTIONS</v>
          </cell>
          <cell r="H1302" t="str">
            <v>-</v>
          </cell>
          <cell r="J1302" t="str">
            <v>Domestic</v>
          </cell>
          <cell r="K1302" t="str">
            <v>-</v>
          </cell>
          <cell r="L1302" t="str">
            <v>Non-Sugar</v>
          </cell>
          <cell r="O1302" t="str">
            <v>-</v>
          </cell>
          <cell r="P1302" t="str">
            <v>-</v>
          </cell>
          <cell r="Q1302" t="str">
            <v>-</v>
          </cell>
          <cell r="R1302" t="str">
            <v>-</v>
          </cell>
          <cell r="T1302" t="str">
            <v>-</v>
          </cell>
          <cell r="U1302" t="str">
            <v>-</v>
          </cell>
          <cell r="W1302" t="str">
            <v>-</v>
          </cell>
        </row>
        <row r="1303">
          <cell r="F1303" t="str">
            <v>AHME01B106</v>
          </cell>
          <cell r="G1303" t="str">
            <v>BRACKER INDIA</v>
          </cell>
          <cell r="H1303" t="str">
            <v>-</v>
          </cell>
          <cell r="J1303" t="str">
            <v>Domestic</v>
          </cell>
          <cell r="K1303" t="str">
            <v>-</v>
          </cell>
          <cell r="L1303" t="str">
            <v>Non-Sugar</v>
          </cell>
          <cell r="O1303" t="str">
            <v>-</v>
          </cell>
          <cell r="P1303" t="str">
            <v>-</v>
          </cell>
          <cell r="Q1303" t="str">
            <v>-</v>
          </cell>
          <cell r="R1303" t="str">
            <v>-</v>
          </cell>
          <cell r="T1303" t="str">
            <v>-</v>
          </cell>
          <cell r="U1303" t="str">
            <v>-</v>
          </cell>
          <cell r="W1303" t="str">
            <v>-</v>
          </cell>
        </row>
        <row r="1304">
          <cell r="F1304" t="str">
            <v>BANG01B108</v>
          </cell>
          <cell r="G1304" t="str">
            <v>BREW NEST CONVEYORS</v>
          </cell>
          <cell r="H1304" t="str">
            <v>-</v>
          </cell>
          <cell r="J1304" t="str">
            <v>Domestic</v>
          </cell>
          <cell r="K1304" t="str">
            <v>-</v>
          </cell>
          <cell r="L1304" t="str">
            <v>Non-Sugar</v>
          </cell>
          <cell r="O1304" t="str">
            <v>-</v>
          </cell>
          <cell r="P1304" t="str">
            <v>-</v>
          </cell>
          <cell r="Q1304" t="str">
            <v>-</v>
          </cell>
          <cell r="R1304" t="str">
            <v>-</v>
          </cell>
          <cell r="T1304" t="str">
            <v>-</v>
          </cell>
          <cell r="U1304" t="str">
            <v>-</v>
          </cell>
          <cell r="W1304" t="str">
            <v>-</v>
          </cell>
        </row>
        <row r="1305">
          <cell r="F1305" t="str">
            <v>PATN01B128</v>
          </cell>
          <cell r="G1305" t="str">
            <v>BRIGHT GROUP</v>
          </cell>
          <cell r="H1305" t="str">
            <v>-</v>
          </cell>
          <cell r="J1305" t="str">
            <v>Domestic</v>
          </cell>
          <cell r="K1305" t="str">
            <v>-</v>
          </cell>
          <cell r="L1305" t="str">
            <v>Non-Sugar</v>
          </cell>
          <cell r="O1305" t="str">
            <v>-</v>
          </cell>
          <cell r="P1305" t="str">
            <v>-</v>
          </cell>
          <cell r="Q1305" t="str">
            <v>-</v>
          </cell>
          <cell r="R1305" t="str">
            <v>-</v>
          </cell>
          <cell r="T1305" t="str">
            <v>-</v>
          </cell>
          <cell r="U1305" t="str">
            <v>-</v>
          </cell>
          <cell r="W1305" t="str">
            <v>-</v>
          </cell>
        </row>
        <row r="1306">
          <cell r="F1306" t="str">
            <v>THAN01B039</v>
          </cell>
          <cell r="G1306" t="str">
            <v>BRIHAN MAHARASHTRA STEE- INDUSTRIES LIMITED</v>
          </cell>
          <cell r="H1306" t="str">
            <v>-</v>
          </cell>
          <cell r="J1306" t="str">
            <v>Domestic</v>
          </cell>
          <cell r="P1306" t="str">
            <v>LGP</v>
          </cell>
          <cell r="Q1306" t="str">
            <v>-</v>
          </cell>
        </row>
        <row r="1307">
          <cell r="F1307" t="str">
            <v>PUNE01B116</v>
          </cell>
          <cell r="G1307" t="str">
            <v>BRIMA SAGAR MAHARASHTRA</v>
          </cell>
          <cell r="H1307" t="str">
            <v>-</v>
          </cell>
          <cell r="J1307" t="str">
            <v>Domestic</v>
          </cell>
          <cell r="K1307" t="str">
            <v>Sugar</v>
          </cell>
          <cell r="L1307" t="str">
            <v>Sugar</v>
          </cell>
          <cell r="M1307" t="str">
            <v>End User</v>
          </cell>
          <cell r="O1307" t="str">
            <v>-</v>
          </cell>
          <cell r="P1307" t="str">
            <v>AV</v>
          </cell>
          <cell r="Q1307" t="str">
            <v>AV</v>
          </cell>
          <cell r="R1307" t="str">
            <v>-</v>
          </cell>
          <cell r="T1307" t="str">
            <v>-</v>
          </cell>
          <cell r="U1307" t="str">
            <v>-</v>
          </cell>
          <cell r="W1307" t="str">
            <v>-</v>
          </cell>
        </row>
        <row r="1308">
          <cell r="F1308" t="str">
            <v>SOLP01B118</v>
          </cell>
          <cell r="G1308" t="str">
            <v>BRIMA SAGAR MAHARASHTRA DISTILLERY</v>
          </cell>
          <cell r="H1308">
            <v>2022</v>
          </cell>
          <cell r="J1308" t="str">
            <v>Domestic</v>
          </cell>
          <cell r="K1308" t="str">
            <v>Sugar</v>
          </cell>
          <cell r="L1308" t="str">
            <v>Sugar</v>
          </cell>
          <cell r="M1308" t="str">
            <v>End User</v>
          </cell>
          <cell r="P1308" t="str">
            <v>AV</v>
          </cell>
          <cell r="Q1308" t="str">
            <v>AV</v>
          </cell>
        </row>
        <row r="1309">
          <cell r="F1309" t="str">
            <v>PUNE01B072</v>
          </cell>
          <cell r="G1309" t="str">
            <v>BRISK INDIA PVT LTD</v>
          </cell>
          <cell r="H1309" t="str">
            <v>-</v>
          </cell>
          <cell r="J1309" t="str">
            <v>Domestic</v>
          </cell>
          <cell r="K1309" t="str">
            <v>others</v>
          </cell>
          <cell r="L1309" t="str">
            <v>Non-Sugar</v>
          </cell>
          <cell r="M1309" t="str">
            <v>End User</v>
          </cell>
          <cell r="O1309" t="str">
            <v>-</v>
          </cell>
          <cell r="P1309" t="str">
            <v>-</v>
          </cell>
          <cell r="Q1309" t="str">
            <v>-</v>
          </cell>
          <cell r="R1309" t="str">
            <v>-</v>
          </cell>
          <cell r="T1309" t="str">
            <v>-</v>
          </cell>
          <cell r="W1309" t="str">
            <v>-</v>
          </cell>
        </row>
        <row r="1310">
          <cell r="F1310" t="str">
            <v>POND01B113</v>
          </cell>
          <cell r="G1310" t="str">
            <v>BUMHIMTEK LTD.</v>
          </cell>
          <cell r="H1310" t="str">
            <v>-</v>
          </cell>
          <cell r="J1310" t="str">
            <v>Export</v>
          </cell>
          <cell r="K1310" t="str">
            <v>-</v>
          </cell>
          <cell r="L1310" t="str">
            <v>Non-Sugar</v>
          </cell>
          <cell r="O1310" t="str">
            <v>-</v>
          </cell>
          <cell r="P1310" t="str">
            <v>-</v>
          </cell>
          <cell r="Q1310" t="str">
            <v>-</v>
          </cell>
          <cell r="R1310" t="str">
            <v>-</v>
          </cell>
          <cell r="T1310" t="str">
            <v>-</v>
          </cell>
          <cell r="U1310" t="str">
            <v>-</v>
          </cell>
          <cell r="W1310" t="str">
            <v>-</v>
          </cell>
        </row>
        <row r="1311">
          <cell r="F1311" t="str">
            <v>AHME01C020</v>
          </cell>
          <cell r="G1311" t="str">
            <v>CAELSONS INDUSTRIES</v>
          </cell>
          <cell r="H1311">
            <v>2013</v>
          </cell>
          <cell r="J1311" t="str">
            <v>Domestic</v>
          </cell>
          <cell r="K1311" t="str">
            <v>-</v>
          </cell>
          <cell r="L1311" t="str">
            <v>Non-Sugar</v>
          </cell>
          <cell r="O1311" t="str">
            <v>-</v>
          </cell>
          <cell r="P1311" t="str">
            <v>-</v>
          </cell>
          <cell r="Q1311" t="str">
            <v>-</v>
          </cell>
          <cell r="R1311" t="str">
            <v>-</v>
          </cell>
          <cell r="T1311" t="str">
            <v>-</v>
          </cell>
          <cell r="U1311" t="str">
            <v>-</v>
          </cell>
          <cell r="W1311" t="str">
            <v>-</v>
          </cell>
        </row>
        <row r="1312">
          <cell r="F1312" t="str">
            <v>NAGP01C076</v>
          </cell>
          <cell r="G1312" t="str">
            <v>CALDERYS INDIA REFRACTORIES LTD.</v>
          </cell>
          <cell r="H1312" t="str">
            <v>-</v>
          </cell>
          <cell r="J1312" t="str">
            <v>Domestic</v>
          </cell>
          <cell r="K1312" t="str">
            <v>-</v>
          </cell>
          <cell r="L1312" t="str">
            <v>Non-Sugar</v>
          </cell>
          <cell r="O1312" t="str">
            <v>-</v>
          </cell>
          <cell r="P1312" t="str">
            <v>-</v>
          </cell>
          <cell r="Q1312" t="str">
            <v>-</v>
          </cell>
          <cell r="R1312" t="str">
            <v>-</v>
          </cell>
          <cell r="T1312" t="str">
            <v>-</v>
          </cell>
          <cell r="U1312" t="str">
            <v>-</v>
          </cell>
          <cell r="W1312" t="str">
            <v>-</v>
          </cell>
        </row>
        <row r="1313">
          <cell r="F1313" t="str">
            <v>SANG01C001</v>
          </cell>
          <cell r="G1313" t="str">
            <v>CANE AGRO ENERGY INDIA LTD.</v>
          </cell>
          <cell r="H1313">
            <v>2013</v>
          </cell>
          <cell r="J1313" t="str">
            <v>Domestic</v>
          </cell>
          <cell r="P1313" t="str">
            <v>AV</v>
          </cell>
          <cell r="Q1313" t="str">
            <v>-</v>
          </cell>
        </row>
        <row r="1314">
          <cell r="F1314" t="str">
            <v>KANP01C025</v>
          </cell>
          <cell r="G1314" t="str">
            <v>CASH SALE</v>
          </cell>
          <cell r="H1314" t="str">
            <v>-</v>
          </cell>
          <cell r="J1314" t="str">
            <v>Domestic</v>
          </cell>
          <cell r="K1314" t="str">
            <v>-</v>
          </cell>
          <cell r="L1314" t="str">
            <v>Non-Sugar</v>
          </cell>
          <cell r="O1314" t="str">
            <v>-</v>
          </cell>
          <cell r="P1314" t="str">
            <v>-</v>
          </cell>
          <cell r="Q1314" t="str">
            <v>-</v>
          </cell>
          <cell r="R1314" t="str">
            <v>-</v>
          </cell>
          <cell r="T1314" t="str">
            <v>-</v>
          </cell>
          <cell r="U1314" t="str">
            <v>-</v>
          </cell>
          <cell r="W1314" t="str">
            <v>-</v>
          </cell>
        </row>
        <row r="1315">
          <cell r="F1315" t="str">
            <v>JALA01C071</v>
          </cell>
          <cell r="G1315" t="str">
            <v>CATP PVT. LTD.</v>
          </cell>
          <cell r="H1315" t="str">
            <v>-</v>
          </cell>
          <cell r="J1315" t="str">
            <v>Domestic</v>
          </cell>
          <cell r="K1315" t="str">
            <v>-</v>
          </cell>
          <cell r="L1315" t="str">
            <v>Non-Sugar</v>
          </cell>
          <cell r="O1315" t="str">
            <v>-</v>
          </cell>
          <cell r="P1315" t="str">
            <v>-</v>
          </cell>
          <cell r="Q1315" t="str">
            <v>-</v>
          </cell>
          <cell r="R1315" t="str">
            <v>-</v>
          </cell>
          <cell r="T1315" t="str">
            <v>-</v>
          </cell>
          <cell r="U1315" t="str">
            <v>-</v>
          </cell>
          <cell r="W1315" t="str">
            <v>-</v>
          </cell>
        </row>
        <row r="1316">
          <cell r="F1316" t="str">
            <v>MORA01C044</v>
          </cell>
          <cell r="G1316" t="str">
            <v>CAVPA</v>
          </cell>
          <cell r="H1316" t="str">
            <v>-</v>
          </cell>
          <cell r="J1316" t="str">
            <v>Domestic</v>
          </cell>
          <cell r="K1316" t="str">
            <v>-</v>
          </cell>
          <cell r="L1316" t="str">
            <v>Non-Sugar</v>
          </cell>
          <cell r="O1316" t="str">
            <v>-</v>
          </cell>
          <cell r="P1316" t="str">
            <v>-</v>
          </cell>
          <cell r="Q1316" t="str">
            <v>-</v>
          </cell>
          <cell r="R1316" t="str">
            <v>-</v>
          </cell>
          <cell r="T1316" t="str">
            <v>-</v>
          </cell>
          <cell r="U1316" t="str">
            <v>-</v>
          </cell>
          <cell r="W1316" t="str">
            <v>-</v>
          </cell>
        </row>
        <row r="1317">
          <cell r="F1317" t="str">
            <v>NAGP01C070</v>
          </cell>
          <cell r="G1317" t="str">
            <v>CEAT TYRES</v>
          </cell>
          <cell r="H1317" t="str">
            <v>-</v>
          </cell>
          <cell r="J1317" t="str">
            <v>Domestic</v>
          </cell>
          <cell r="K1317" t="str">
            <v>-</v>
          </cell>
          <cell r="L1317" t="str">
            <v>Non-Sugar</v>
          </cell>
          <cell r="O1317" t="str">
            <v>-</v>
          </cell>
          <cell r="P1317" t="str">
            <v>-</v>
          </cell>
          <cell r="Q1317" t="str">
            <v>-</v>
          </cell>
          <cell r="R1317" t="str">
            <v>-</v>
          </cell>
          <cell r="T1317" t="str">
            <v>-</v>
          </cell>
          <cell r="U1317" t="str">
            <v>-</v>
          </cell>
          <cell r="W1317" t="str">
            <v>-</v>
          </cell>
        </row>
        <row r="1318">
          <cell r="F1318" t="str">
            <v>THIR01C074</v>
          </cell>
          <cell r="G1318" t="str">
            <v>CENTURY INDUSTRIES</v>
          </cell>
          <cell r="H1318" t="str">
            <v>-</v>
          </cell>
          <cell r="J1318" t="str">
            <v>Domestic</v>
          </cell>
          <cell r="K1318" t="str">
            <v>-</v>
          </cell>
          <cell r="L1318" t="str">
            <v>Non-Sugar</v>
          </cell>
          <cell r="O1318" t="str">
            <v>-</v>
          </cell>
          <cell r="P1318" t="str">
            <v>-</v>
          </cell>
          <cell r="Q1318" t="str">
            <v>-</v>
          </cell>
          <cell r="R1318" t="str">
            <v>-</v>
          </cell>
          <cell r="T1318" t="str">
            <v>-</v>
          </cell>
          <cell r="U1318" t="str">
            <v>-</v>
          </cell>
          <cell r="W1318" t="str">
            <v>-</v>
          </cell>
        </row>
        <row r="1319">
          <cell r="F1319" t="str">
            <v>NAIN01C053</v>
          </cell>
          <cell r="G1319" t="str">
            <v>CENTURY PULP &amp; PAPER</v>
          </cell>
          <cell r="H1319" t="str">
            <v>21-22</v>
          </cell>
          <cell r="J1319" t="str">
            <v>Domestic</v>
          </cell>
          <cell r="K1319" t="str">
            <v>Paper</v>
          </cell>
          <cell r="L1319" t="str">
            <v>Non-Sugar</v>
          </cell>
          <cell r="M1319" t="str">
            <v>End User</v>
          </cell>
          <cell r="O1319" t="str">
            <v>-</v>
          </cell>
          <cell r="P1319" t="str">
            <v>VA</v>
          </cell>
          <cell r="Q1319" t="str">
            <v>-</v>
          </cell>
          <cell r="T1319" t="str">
            <v>-</v>
          </cell>
          <cell r="U1319" t="str">
            <v>20-21</v>
          </cell>
          <cell r="W1319" t="str">
            <v>19-03-2021
31-01-2020</v>
          </cell>
        </row>
        <row r="1320">
          <cell r="F1320" t="str">
            <v>KOLH01C058</v>
          </cell>
          <cell r="G1320" t="str">
            <v>CERAFLUX INDIA PVT LTD</v>
          </cell>
          <cell r="H1320" t="str">
            <v>-</v>
          </cell>
          <cell r="J1320" t="str">
            <v>Domestic</v>
          </cell>
          <cell r="K1320" t="str">
            <v>Sugar</v>
          </cell>
          <cell r="M1320" t="str">
            <v>End User</v>
          </cell>
          <cell r="O1320" t="str">
            <v>Manufacture and Export Foundry alias Metallurgical Chemicals</v>
          </cell>
          <cell r="P1320" t="str">
            <v>-</v>
          </cell>
          <cell r="Q1320" t="str">
            <v>-</v>
          </cell>
          <cell r="R1320" t="str">
            <v>-</v>
          </cell>
          <cell r="T1320" t="str">
            <v>TOUR-5/KOLHAPUR DISTRICT</v>
          </cell>
          <cell r="W1320" t="str">
            <v>-</v>
          </cell>
        </row>
        <row r="1321">
          <cell r="F1321" t="str">
            <v>MYSR01C003</v>
          </cell>
          <cell r="G1321" t="str">
            <v>CHAMUNDI DISTILLERY PVT.LTD.</v>
          </cell>
          <cell r="H1321">
            <v>2013</v>
          </cell>
          <cell r="J1321" t="str">
            <v>Domestic</v>
          </cell>
          <cell r="K1321" t="str">
            <v>Distillery</v>
          </cell>
          <cell r="L1321" t="str">
            <v>Non-Sugar</v>
          </cell>
          <cell r="M1321" t="str">
            <v>End User</v>
          </cell>
          <cell r="O1321" t="str">
            <v>-</v>
          </cell>
          <cell r="P1321" t="str">
            <v>-</v>
          </cell>
          <cell r="Q1321" t="str">
            <v>-</v>
          </cell>
          <cell r="R1321" t="str">
            <v>-</v>
          </cell>
          <cell r="T1321" t="str">
            <v>-</v>
          </cell>
          <cell r="W1321" t="str">
            <v>-</v>
          </cell>
        </row>
        <row r="1322">
          <cell r="F1322" t="str">
            <v>BIRA01C004</v>
          </cell>
          <cell r="G1322" t="str">
            <v>CHANDIKA DISTILLERY PVT. LTD.</v>
          </cell>
          <cell r="H1322" t="str">
            <v>-</v>
          </cell>
          <cell r="J1322" t="str">
            <v>Export</v>
          </cell>
          <cell r="K1322" t="str">
            <v>-</v>
          </cell>
          <cell r="L1322" t="str">
            <v>Non-Sugar</v>
          </cell>
          <cell r="O1322" t="str">
            <v>-</v>
          </cell>
          <cell r="P1322" t="str">
            <v>-</v>
          </cell>
          <cell r="Q1322" t="str">
            <v>-</v>
          </cell>
          <cell r="R1322" t="str">
            <v>-</v>
          </cell>
          <cell r="T1322" t="str">
            <v>-</v>
          </cell>
          <cell r="U1322" t="str">
            <v>-</v>
          </cell>
          <cell r="W1322" t="str">
            <v>-</v>
          </cell>
        </row>
        <row r="1323">
          <cell r="F1323" t="str">
            <v>NODA01C057</v>
          </cell>
          <cell r="G1323" t="str">
            <v>CHAUDHARY LABLES &amp; PACKAGING</v>
          </cell>
          <cell r="H1323" t="str">
            <v>-</v>
          </cell>
          <cell r="J1323" t="str">
            <v>Domestic</v>
          </cell>
          <cell r="K1323" t="str">
            <v>-</v>
          </cell>
          <cell r="L1323" t="str">
            <v>Non-Sugar</v>
          </cell>
          <cell r="O1323" t="str">
            <v>-</v>
          </cell>
          <cell r="P1323" t="str">
            <v>-</v>
          </cell>
          <cell r="Q1323" t="str">
            <v>-</v>
          </cell>
          <cell r="R1323" t="str">
            <v>-</v>
          </cell>
          <cell r="T1323" t="str">
            <v>-</v>
          </cell>
          <cell r="U1323" t="str">
            <v>-</v>
          </cell>
          <cell r="W1323" t="str">
            <v>-</v>
          </cell>
        </row>
        <row r="1324">
          <cell r="F1324" t="str">
            <v>RAIG01C029</v>
          </cell>
          <cell r="G1324" t="str">
            <v>CHEMCLEANZIO (I) PVT LTD.</v>
          </cell>
          <cell r="H1324" t="str">
            <v>-</v>
          </cell>
          <cell r="J1324" t="str">
            <v>Domestic</v>
          </cell>
          <cell r="K1324" t="str">
            <v>-</v>
          </cell>
          <cell r="L1324" t="str">
            <v>Non-Sugar</v>
          </cell>
          <cell r="O1324" t="str">
            <v>-</v>
          </cell>
          <cell r="P1324" t="str">
            <v>-</v>
          </cell>
          <cell r="Q1324" t="str">
            <v>-</v>
          </cell>
          <cell r="R1324" t="str">
            <v>-</v>
          </cell>
          <cell r="T1324" t="str">
            <v>-</v>
          </cell>
          <cell r="U1324" t="str">
            <v>-</v>
          </cell>
          <cell r="W1324" t="str">
            <v>-</v>
          </cell>
        </row>
        <row r="1325">
          <cell r="F1325" t="str">
            <v>NASK01C037</v>
          </cell>
          <cell r="G1325" t="str">
            <v>CHEMFLOW PUMPS PVT LTD</v>
          </cell>
          <cell r="H1325" t="str">
            <v>-</v>
          </cell>
          <cell r="J1325" t="str">
            <v>Domestic</v>
          </cell>
          <cell r="K1325" t="str">
            <v>-</v>
          </cell>
          <cell r="L1325" t="str">
            <v>Non-Sugar</v>
          </cell>
          <cell r="O1325" t="str">
            <v>-</v>
          </cell>
          <cell r="P1325" t="str">
            <v>-</v>
          </cell>
          <cell r="Q1325" t="str">
            <v>-</v>
          </cell>
          <cell r="R1325" t="str">
            <v>-</v>
          </cell>
          <cell r="T1325" t="str">
            <v>-</v>
          </cell>
          <cell r="U1325" t="str">
            <v>-</v>
          </cell>
          <cell r="W1325" t="str">
            <v>-</v>
          </cell>
        </row>
        <row r="1326">
          <cell r="F1326" t="str">
            <v>BANG01C059</v>
          </cell>
          <cell r="G1326" t="str">
            <v>CHEMTECH INDUSTRIES</v>
          </cell>
          <cell r="H1326" t="str">
            <v>-</v>
          </cell>
          <cell r="J1326" t="str">
            <v>Domestic</v>
          </cell>
          <cell r="K1326" t="str">
            <v>-</v>
          </cell>
          <cell r="L1326" t="str">
            <v>Non-Sugar</v>
          </cell>
          <cell r="O1326" t="str">
            <v>-</v>
          </cell>
          <cell r="P1326" t="str">
            <v>-</v>
          </cell>
          <cell r="Q1326" t="str">
            <v>-</v>
          </cell>
          <cell r="R1326" t="str">
            <v>-</v>
          </cell>
          <cell r="T1326" t="str">
            <v>-</v>
          </cell>
          <cell r="U1326" t="str">
            <v>-</v>
          </cell>
          <cell r="W1326" t="str">
            <v>-</v>
          </cell>
        </row>
        <row r="1327">
          <cell r="F1327" t="str">
            <v>BANG01C056</v>
          </cell>
          <cell r="G1327" t="str">
            <v>CHHAPERIA CABLE PVT LTD</v>
          </cell>
          <cell r="H1327" t="str">
            <v>-</v>
          </cell>
          <cell r="J1327" t="str">
            <v>Domestic</v>
          </cell>
          <cell r="K1327" t="str">
            <v>Others</v>
          </cell>
          <cell r="L1327" t="str">
            <v>Non-Sugar</v>
          </cell>
          <cell r="P1327" t="str">
            <v>SI-GS</v>
          </cell>
          <cell r="Q1327" t="str">
            <v>SI-GS</v>
          </cell>
          <cell r="W1327" t="str">
            <v>-</v>
          </cell>
        </row>
        <row r="1328">
          <cell r="F1328" t="str">
            <v>BEED01C007</v>
          </cell>
          <cell r="G1328" t="str">
            <v>CHHATRAPATI S.S.K. LTD. SONAJINAGAR</v>
          </cell>
          <cell r="H1328" t="str">
            <v>-</v>
          </cell>
          <cell r="J1328" t="str">
            <v>Domestic</v>
          </cell>
          <cell r="K1328" t="str">
            <v>Sugar</v>
          </cell>
          <cell r="M1328" t="str">
            <v>End User</v>
          </cell>
          <cell r="O1328" t="str">
            <v>-</v>
          </cell>
          <cell r="P1328" t="str">
            <v>-</v>
          </cell>
          <cell r="Q1328" t="str">
            <v>-</v>
          </cell>
          <cell r="R1328" t="str">
            <v>-</v>
          </cell>
          <cell r="T1328" t="str">
            <v>-</v>
          </cell>
          <cell r="W1328" t="str">
            <v>-</v>
          </cell>
        </row>
        <row r="1329">
          <cell r="F1329" t="str">
            <v>GULB01C009</v>
          </cell>
          <cell r="G1329" t="str">
            <v>CHINCHOLI SUGAR &amp; BIO INDUSTRIES LTD.(SIDDHASIRI ETHANOL &amp; POWER)</v>
          </cell>
          <cell r="H1329" t="str">
            <v>-</v>
          </cell>
          <cell r="J1329" t="str">
            <v>Domestic</v>
          </cell>
          <cell r="K1329" t="str">
            <v>Sugar</v>
          </cell>
          <cell r="M1329" t="str">
            <v>End User</v>
          </cell>
          <cell r="O1329" t="str">
            <v>-</v>
          </cell>
          <cell r="P1329" t="str">
            <v>-</v>
          </cell>
          <cell r="Q1329" t="str">
            <v>-</v>
          </cell>
          <cell r="R1329" t="str">
            <v>-</v>
          </cell>
          <cell r="T1329" t="str">
            <v>-</v>
          </cell>
          <cell r="W1329" t="str">
            <v>-</v>
          </cell>
        </row>
        <row r="1330">
          <cell r="F1330" t="str">
            <v>BRAH01C011</v>
          </cell>
          <cell r="G1330" t="str">
            <v>CHOICE LABORATORIES PVT. LTD.</v>
          </cell>
          <cell r="H1330" t="str">
            <v>-</v>
          </cell>
          <cell r="J1330" t="str">
            <v>Domestic</v>
          </cell>
          <cell r="K1330" t="str">
            <v>-</v>
          </cell>
          <cell r="L1330" t="str">
            <v>Non-Sugar</v>
          </cell>
          <cell r="O1330" t="str">
            <v>-</v>
          </cell>
          <cell r="P1330" t="str">
            <v>-</v>
          </cell>
          <cell r="Q1330" t="str">
            <v>-</v>
          </cell>
          <cell r="R1330" t="str">
            <v>-</v>
          </cell>
          <cell r="T1330" t="str">
            <v>-</v>
          </cell>
          <cell r="U1330" t="str">
            <v>-</v>
          </cell>
          <cell r="W1330" t="str">
            <v>-</v>
          </cell>
        </row>
        <row r="1331">
          <cell r="F1331" t="str">
            <v>SURA01C012</v>
          </cell>
          <cell r="G1331" t="str">
            <v>CITURGIA BIOCHEMICALS LTD.</v>
          </cell>
          <cell r="H1331" t="str">
            <v>-</v>
          </cell>
          <cell r="J1331" t="str">
            <v>Domestic</v>
          </cell>
          <cell r="K1331" t="str">
            <v>CHEMICAL</v>
          </cell>
          <cell r="L1331" t="str">
            <v>Non-Sugar</v>
          </cell>
          <cell r="M1331" t="str">
            <v>End User</v>
          </cell>
          <cell r="O1331" t="str">
            <v>-</v>
          </cell>
          <cell r="P1331" t="str">
            <v>-</v>
          </cell>
          <cell r="Q1331" t="str">
            <v>-</v>
          </cell>
          <cell r="R1331" t="str">
            <v>-</v>
          </cell>
          <cell r="T1331" t="str">
            <v>-</v>
          </cell>
          <cell r="U1331" t="str">
            <v>-</v>
          </cell>
          <cell r="W1331" t="str">
            <v>-</v>
          </cell>
        </row>
        <row r="1332">
          <cell r="F1332" t="str">
            <v>GAND01C040</v>
          </cell>
          <cell r="G1332" t="str">
            <v>CIVIL ENGINEERING DISCIPLINE</v>
          </cell>
          <cell r="H1332" t="str">
            <v>-</v>
          </cell>
          <cell r="J1332" t="str">
            <v>Domestic</v>
          </cell>
          <cell r="K1332" t="str">
            <v>-</v>
          </cell>
          <cell r="L1332" t="str">
            <v>Non-Sugar</v>
          </cell>
          <cell r="O1332" t="str">
            <v>-</v>
          </cell>
          <cell r="P1332" t="str">
            <v>-</v>
          </cell>
          <cell r="Q1332" t="str">
            <v>-</v>
          </cell>
          <cell r="R1332" t="str">
            <v>-</v>
          </cell>
          <cell r="T1332" t="str">
            <v>-</v>
          </cell>
          <cell r="U1332" t="str">
            <v>-</v>
          </cell>
          <cell r="W1332" t="str">
            <v>-</v>
          </cell>
        </row>
        <row r="1333">
          <cell r="F1333" t="str">
            <v>SILV01C013</v>
          </cell>
          <cell r="G1333" t="str">
            <v>CLASSIC MARBLE COMPANY PVT.LTD</v>
          </cell>
          <cell r="H1333" t="str">
            <v>-</v>
          </cell>
          <cell r="J1333" t="str">
            <v>Domestic</v>
          </cell>
          <cell r="K1333" t="str">
            <v>-</v>
          </cell>
          <cell r="L1333" t="str">
            <v>Non-Sugar</v>
          </cell>
          <cell r="O1333" t="str">
            <v>-</v>
          </cell>
          <cell r="P1333" t="str">
            <v>-</v>
          </cell>
          <cell r="Q1333" t="str">
            <v>-</v>
          </cell>
          <cell r="R1333" t="str">
            <v>-</v>
          </cell>
          <cell r="T1333" t="str">
            <v>-</v>
          </cell>
          <cell r="U1333" t="str">
            <v>-</v>
          </cell>
          <cell r="W1333" t="str">
            <v>-</v>
          </cell>
        </row>
        <row r="1334">
          <cell r="F1334" t="str">
            <v>KANP01C026</v>
          </cell>
          <cell r="G1334" t="str">
            <v>COCA COLA</v>
          </cell>
          <cell r="H1334" t="str">
            <v>-</v>
          </cell>
          <cell r="J1334" t="str">
            <v>Domestic</v>
          </cell>
          <cell r="K1334" t="str">
            <v>-</v>
          </cell>
          <cell r="L1334" t="str">
            <v>Non-Sugar</v>
          </cell>
          <cell r="O1334" t="str">
            <v>-</v>
          </cell>
          <cell r="P1334" t="str">
            <v>-</v>
          </cell>
          <cell r="Q1334" t="str">
            <v>-</v>
          </cell>
          <cell r="R1334" t="str">
            <v>-</v>
          </cell>
          <cell r="T1334" t="str">
            <v>-</v>
          </cell>
          <cell r="U1334" t="str">
            <v>-</v>
          </cell>
          <cell r="W1334" t="str">
            <v>-</v>
          </cell>
        </row>
        <row r="1335">
          <cell r="F1335" t="str">
            <v>GUJA01C080</v>
          </cell>
          <cell r="G1335" t="str">
            <v>COLOR BAND DYESTUFF PVT LTD</v>
          </cell>
          <cell r="H1335" t="str">
            <v>-</v>
          </cell>
          <cell r="J1335" t="str">
            <v>Domestic</v>
          </cell>
          <cell r="K1335" t="str">
            <v>-</v>
          </cell>
          <cell r="L1335" t="str">
            <v>Non-Sugar</v>
          </cell>
          <cell r="O1335" t="str">
            <v>-</v>
          </cell>
          <cell r="P1335" t="str">
            <v>-</v>
          </cell>
          <cell r="Q1335" t="str">
            <v>-</v>
          </cell>
          <cell r="R1335" t="str">
            <v>-</v>
          </cell>
          <cell r="T1335" t="str">
            <v>-</v>
          </cell>
          <cell r="U1335" t="str">
            <v>-</v>
          </cell>
          <cell r="W1335" t="str">
            <v>-</v>
          </cell>
        </row>
        <row r="1336">
          <cell r="F1336" t="str">
            <v>HYDE01C072</v>
          </cell>
          <cell r="G1336" t="str">
            <v>COMMANDER WORKS ENGINEERS</v>
          </cell>
          <cell r="H1336" t="str">
            <v>-</v>
          </cell>
          <cell r="J1336" t="str">
            <v>Domestic</v>
          </cell>
          <cell r="K1336" t="str">
            <v>-</v>
          </cell>
          <cell r="L1336" t="str">
            <v>Non-Sugar</v>
          </cell>
          <cell r="O1336" t="str">
            <v>-</v>
          </cell>
          <cell r="P1336" t="str">
            <v>-</v>
          </cell>
          <cell r="Q1336" t="str">
            <v>-</v>
          </cell>
          <cell r="R1336" t="str">
            <v>-</v>
          </cell>
          <cell r="T1336" t="str">
            <v>-</v>
          </cell>
          <cell r="U1336" t="str">
            <v>-</v>
          </cell>
          <cell r="W1336" t="str">
            <v>-</v>
          </cell>
        </row>
        <row r="1337">
          <cell r="F1337" t="str">
            <v>CHEN01C075</v>
          </cell>
          <cell r="G1337" t="str">
            <v>CORNYWELL</v>
          </cell>
          <cell r="H1337" t="str">
            <v>-</v>
          </cell>
          <cell r="J1337" t="str">
            <v>Domestic</v>
          </cell>
          <cell r="K1337" t="str">
            <v>-</v>
          </cell>
          <cell r="L1337" t="str">
            <v>Non-Sugar</v>
          </cell>
          <cell r="O1337" t="str">
            <v>-</v>
          </cell>
          <cell r="P1337" t="str">
            <v>-</v>
          </cell>
          <cell r="Q1337" t="str">
            <v>-</v>
          </cell>
          <cell r="R1337" t="str">
            <v>-</v>
          </cell>
          <cell r="T1337" t="str">
            <v>-</v>
          </cell>
          <cell r="U1337" t="str">
            <v>-</v>
          </cell>
          <cell r="W1337" t="str">
            <v>-</v>
          </cell>
        </row>
        <row r="1338">
          <cell r="F1338" t="str">
            <v>MALA01C066</v>
          </cell>
          <cell r="G1338" t="str">
            <v>COSMOS INTERGITY ENGINEERING</v>
          </cell>
          <cell r="H1338" t="str">
            <v>-</v>
          </cell>
          <cell r="J1338" t="str">
            <v>Export</v>
          </cell>
          <cell r="K1338" t="str">
            <v>-</v>
          </cell>
          <cell r="L1338" t="str">
            <v>Non-Sugar</v>
          </cell>
          <cell r="O1338" t="str">
            <v>-</v>
          </cell>
          <cell r="P1338" t="str">
            <v>-</v>
          </cell>
          <cell r="Q1338" t="str">
            <v>-</v>
          </cell>
          <cell r="R1338" t="str">
            <v>-</v>
          </cell>
          <cell r="T1338" t="str">
            <v>-</v>
          </cell>
          <cell r="U1338" t="str">
            <v>-</v>
          </cell>
          <cell r="W1338" t="str">
            <v>-</v>
          </cell>
        </row>
        <row r="1339">
          <cell r="F1339" t="str">
            <v>PUNE01C065</v>
          </cell>
          <cell r="G1339" t="str">
            <v>COVALENT PROJECTS &amp; ENGINEERING PVT. LTD.</v>
          </cell>
          <cell r="H1339" t="str">
            <v>-</v>
          </cell>
          <cell r="J1339" t="str">
            <v>Domestic</v>
          </cell>
          <cell r="K1339" t="str">
            <v>-</v>
          </cell>
          <cell r="L1339" t="str">
            <v>Non-Sugar</v>
          </cell>
          <cell r="O1339" t="str">
            <v>-</v>
          </cell>
          <cell r="P1339" t="str">
            <v>-</v>
          </cell>
          <cell r="Q1339" t="str">
            <v>-</v>
          </cell>
          <cell r="R1339" t="str">
            <v>-</v>
          </cell>
          <cell r="T1339" t="str">
            <v>-</v>
          </cell>
          <cell r="U1339" t="str">
            <v>-</v>
          </cell>
          <cell r="W1339" t="str">
            <v>-</v>
          </cell>
        </row>
        <row r="1340">
          <cell r="F1340" t="str">
            <v>NANA01C039</v>
          </cell>
          <cell r="G1340" t="str">
            <v>CREATIVE ENG</v>
          </cell>
          <cell r="H1340" t="str">
            <v>-</v>
          </cell>
          <cell r="J1340" t="str">
            <v>Domestic</v>
          </cell>
          <cell r="L1340" t="str">
            <v>Non-Sugar</v>
          </cell>
          <cell r="O1340" t="str">
            <v>-</v>
          </cell>
          <cell r="P1340" t="str">
            <v>-</v>
          </cell>
          <cell r="Q1340" t="str">
            <v>-</v>
          </cell>
        </row>
        <row r="1341">
          <cell r="F1341" t="str">
            <v>KANP01C021</v>
          </cell>
          <cell r="G1341" t="str">
            <v>CREATIVE SUGAR CENTRIFUGE INDIA PVT. LTD.</v>
          </cell>
          <cell r="H1341" t="str">
            <v>-</v>
          </cell>
          <cell r="J1341" t="str">
            <v>Domestic</v>
          </cell>
          <cell r="K1341" t="str">
            <v>Sugar</v>
          </cell>
          <cell r="L1341" t="str">
            <v>Sugar</v>
          </cell>
          <cell r="M1341" t="str">
            <v>End User</v>
          </cell>
          <cell r="O1341" t="str">
            <v>-</v>
          </cell>
          <cell r="P1341" t="str">
            <v>-</v>
          </cell>
          <cell r="Q1341" t="str">
            <v>-</v>
          </cell>
          <cell r="R1341" t="str">
            <v>-</v>
          </cell>
          <cell r="T1341" t="str">
            <v>-</v>
          </cell>
          <cell r="U1341" t="str">
            <v>-</v>
          </cell>
          <cell r="W1341" t="str">
            <v>-</v>
          </cell>
        </row>
        <row r="1342">
          <cell r="F1342" t="str">
            <v>HING01C033</v>
          </cell>
          <cell r="G1342" t="str">
            <v>CV HARMONI PUTRA</v>
          </cell>
          <cell r="H1342" t="str">
            <v>-</v>
          </cell>
          <cell r="J1342" t="str">
            <v>Domestic</v>
          </cell>
          <cell r="K1342" t="str">
            <v>-</v>
          </cell>
          <cell r="L1342" t="str">
            <v>Non-Sugar</v>
          </cell>
          <cell r="O1342" t="str">
            <v>-</v>
          </cell>
          <cell r="P1342" t="str">
            <v>-</v>
          </cell>
          <cell r="Q1342" t="str">
            <v>-</v>
          </cell>
          <cell r="R1342" t="str">
            <v>-</v>
          </cell>
          <cell r="T1342" t="str">
            <v>-</v>
          </cell>
          <cell r="U1342" t="str">
            <v>-</v>
          </cell>
          <cell r="W1342" t="str">
            <v>-</v>
          </cell>
        </row>
        <row r="1343">
          <cell r="F1343" t="str">
            <v>SURD01C035</v>
          </cell>
          <cell r="G1343" t="str">
            <v>CV KREASI NEGERI QQ</v>
          </cell>
          <cell r="H1343">
            <v>2016</v>
          </cell>
          <cell r="J1343" t="str">
            <v>Export</v>
          </cell>
          <cell r="K1343" t="str">
            <v>-</v>
          </cell>
          <cell r="L1343" t="str">
            <v>Non-Sugar</v>
          </cell>
          <cell r="O1343" t="str">
            <v>-</v>
          </cell>
          <cell r="P1343" t="str">
            <v>-</v>
          </cell>
          <cell r="Q1343" t="str">
            <v>-</v>
          </cell>
          <cell r="R1343" t="str">
            <v>-</v>
          </cell>
          <cell r="T1343" t="str">
            <v>-</v>
          </cell>
          <cell r="U1343" t="str">
            <v>-</v>
          </cell>
          <cell r="W1343" t="str">
            <v>-</v>
          </cell>
        </row>
        <row r="1344">
          <cell r="F1344" t="str">
            <v>DLHI01D050</v>
          </cell>
          <cell r="G1344" t="str">
            <v>DALMIA BHARAT SUGAR (NOT USE)</v>
          </cell>
          <cell r="H1344" t="str">
            <v>-</v>
          </cell>
          <cell r="J1344" t="str">
            <v>Domestic</v>
          </cell>
          <cell r="K1344" t="str">
            <v>Sugar</v>
          </cell>
          <cell r="L1344" t="str">
            <v>Sugar</v>
          </cell>
          <cell r="M1344" t="str">
            <v>End User</v>
          </cell>
          <cell r="O1344" t="str">
            <v>-</v>
          </cell>
          <cell r="P1344" t="str">
            <v>-</v>
          </cell>
          <cell r="Q1344" t="str">
            <v>-</v>
          </cell>
          <cell r="R1344" t="str">
            <v>-</v>
          </cell>
          <cell r="T1344" t="str">
            <v>-</v>
          </cell>
          <cell r="U1344" t="str">
            <v>-</v>
          </cell>
          <cell r="W1344" t="str">
            <v>-</v>
          </cell>
        </row>
        <row r="1345">
          <cell r="F1345" t="str">
            <v>KADA01D054</v>
          </cell>
          <cell r="G1345" t="str">
            <v>DALMIA CEMENT (BHARAT) LIMITED</v>
          </cell>
          <cell r="H1345" t="str">
            <v>-</v>
          </cell>
          <cell r="J1345" t="str">
            <v>Domestic</v>
          </cell>
          <cell r="K1345" t="str">
            <v>-</v>
          </cell>
          <cell r="L1345" t="str">
            <v>Non-Sugar</v>
          </cell>
          <cell r="O1345" t="str">
            <v>-</v>
          </cell>
          <cell r="P1345" t="str">
            <v>-</v>
          </cell>
          <cell r="Q1345" t="str">
            <v>-</v>
          </cell>
          <cell r="R1345" t="str">
            <v>-</v>
          </cell>
          <cell r="T1345" t="str">
            <v>-</v>
          </cell>
          <cell r="U1345" t="str">
            <v>-</v>
          </cell>
          <cell r="W1345" t="str">
            <v>-</v>
          </cell>
        </row>
        <row r="1346">
          <cell r="F1346" t="str">
            <v>MUMB01D065</v>
          </cell>
          <cell r="G1346" t="str">
            <v>DAMANI SHIPPING SERVICES</v>
          </cell>
          <cell r="H1346" t="str">
            <v>-</v>
          </cell>
          <cell r="J1346" t="str">
            <v>Domestic</v>
          </cell>
          <cell r="K1346" t="str">
            <v>-</v>
          </cell>
          <cell r="L1346" t="str">
            <v>Non-Sugar</v>
          </cell>
          <cell r="O1346" t="str">
            <v>-</v>
          </cell>
          <cell r="P1346" t="str">
            <v>-</v>
          </cell>
          <cell r="Q1346" t="str">
            <v>-</v>
          </cell>
          <cell r="R1346" t="str">
            <v>-</v>
          </cell>
          <cell r="T1346" t="str">
            <v>-</v>
          </cell>
          <cell r="U1346" t="str">
            <v>-</v>
          </cell>
          <cell r="W1346" t="str">
            <v>-</v>
          </cell>
        </row>
        <row r="1347">
          <cell r="F1347" t="str">
            <v>VIET01D097</v>
          </cell>
          <cell r="G1347" t="str">
            <v>DANG KHANH TECHNOLOGY CO.LTD</v>
          </cell>
          <cell r="H1347" t="str">
            <v>-</v>
          </cell>
          <cell r="J1347" t="str">
            <v>Export</v>
          </cell>
          <cell r="K1347" t="str">
            <v>-</v>
          </cell>
          <cell r="L1347" t="str">
            <v>Non-Sugar</v>
          </cell>
          <cell r="O1347" t="str">
            <v>-</v>
          </cell>
          <cell r="P1347" t="str">
            <v>-</v>
          </cell>
          <cell r="Q1347" t="str">
            <v>VG</v>
          </cell>
          <cell r="R1347" t="str">
            <v>-</v>
          </cell>
          <cell r="T1347" t="str">
            <v>-</v>
          </cell>
          <cell r="U1347" t="str">
            <v>-</v>
          </cell>
          <cell r="W1347" t="str">
            <v>-</v>
          </cell>
        </row>
        <row r="1348">
          <cell r="F1348" t="str">
            <v>THAN01D002</v>
          </cell>
          <cell r="G1348" t="str">
            <v>DANUBE FASHIONS LIMITED</v>
          </cell>
          <cell r="H1348" t="str">
            <v>-</v>
          </cell>
          <cell r="J1348" t="str">
            <v>Domestic</v>
          </cell>
          <cell r="P1348" t="str">
            <v>LGP</v>
          </cell>
          <cell r="Q1348" t="str">
            <v>-</v>
          </cell>
        </row>
        <row r="1349">
          <cell r="F1349" t="str">
            <v>MUMB01D057</v>
          </cell>
          <cell r="G1349" t="str">
            <v>DATUM HINDUSTAN PVT LTD</v>
          </cell>
          <cell r="H1349">
            <v>2016</v>
          </cell>
          <cell r="J1349" t="str">
            <v>Domestic</v>
          </cell>
          <cell r="K1349" t="str">
            <v>-</v>
          </cell>
          <cell r="L1349" t="str">
            <v>Non-Sugar</v>
          </cell>
          <cell r="O1349" t="str">
            <v>-</v>
          </cell>
          <cell r="P1349" t="str">
            <v>-</v>
          </cell>
          <cell r="Q1349" t="str">
            <v>-</v>
          </cell>
          <cell r="R1349" t="str">
            <v>-</v>
          </cell>
          <cell r="T1349" t="str">
            <v>-</v>
          </cell>
          <cell r="U1349" t="str">
            <v>-</v>
          </cell>
          <cell r="W1349" t="str">
            <v>-</v>
          </cell>
        </row>
        <row r="1350">
          <cell r="F1350" t="str">
            <v>KOLH01D003</v>
          </cell>
          <cell r="G1350" t="str">
            <v>DAULAT SHETKARI SAHAKARI SAKHAR KARKHANA LTD. Halkarni</v>
          </cell>
          <cell r="H1350">
            <v>2020</v>
          </cell>
          <cell r="J1350" t="str">
            <v>Domestic</v>
          </cell>
          <cell r="K1350" t="str">
            <v>Sugar</v>
          </cell>
          <cell r="M1350" t="str">
            <v>End User</v>
          </cell>
          <cell r="O1350" t="str">
            <v>-</v>
          </cell>
          <cell r="P1350" t="str">
            <v>-</v>
          </cell>
          <cell r="Q1350" t="str">
            <v>-</v>
          </cell>
          <cell r="R1350" t="str">
            <v>-</v>
          </cell>
          <cell r="T1350" t="str">
            <v>-</v>
          </cell>
          <cell r="W1350" t="str">
            <v>-</v>
          </cell>
        </row>
        <row r="1351">
          <cell r="F1351" t="str">
            <v>GURG01D084</v>
          </cell>
          <cell r="G1351" t="str">
            <v>DAYALJI INDUSTRIES</v>
          </cell>
          <cell r="H1351" t="str">
            <v>-</v>
          </cell>
          <cell r="J1351" t="str">
            <v>Domestic</v>
          </cell>
          <cell r="K1351" t="str">
            <v>-</v>
          </cell>
          <cell r="L1351" t="str">
            <v>Non-Sugar</v>
          </cell>
          <cell r="O1351" t="str">
            <v>-</v>
          </cell>
          <cell r="P1351" t="str">
            <v>-</v>
          </cell>
          <cell r="Q1351" t="str">
            <v>-</v>
          </cell>
          <cell r="R1351" t="str">
            <v>-</v>
          </cell>
          <cell r="T1351" t="str">
            <v>-</v>
          </cell>
          <cell r="U1351" t="str">
            <v>-</v>
          </cell>
          <cell r="W1351" t="str">
            <v>-</v>
          </cell>
        </row>
        <row r="1352">
          <cell r="F1352" t="str">
            <v>AHME01D047</v>
          </cell>
          <cell r="G1352" t="str">
            <v>DD SARDA</v>
          </cell>
          <cell r="H1352" t="str">
            <v>-</v>
          </cell>
          <cell r="J1352" t="str">
            <v>Domestic</v>
          </cell>
          <cell r="K1352" t="str">
            <v>-</v>
          </cell>
          <cell r="L1352" t="str">
            <v>Non-Sugar</v>
          </cell>
          <cell r="O1352" t="str">
            <v>-</v>
          </cell>
          <cell r="P1352" t="str">
            <v>-</v>
          </cell>
          <cell r="Q1352" t="str">
            <v>-</v>
          </cell>
          <cell r="R1352" t="str">
            <v>-</v>
          </cell>
          <cell r="T1352" t="str">
            <v>-</v>
          </cell>
          <cell r="U1352" t="str">
            <v>-</v>
          </cell>
          <cell r="W1352" t="str">
            <v>-</v>
          </cell>
        </row>
        <row r="1353">
          <cell r="F1353" t="str">
            <v>SONI01D064</v>
          </cell>
          <cell r="G1353" t="str">
            <v>DELHI INTERNATIONAL CARGO TERMINAL</v>
          </cell>
          <cell r="H1353" t="str">
            <v>-</v>
          </cell>
          <cell r="J1353" t="str">
            <v>Domestic</v>
          </cell>
          <cell r="K1353" t="str">
            <v>-</v>
          </cell>
          <cell r="L1353" t="str">
            <v>Non-Sugar</v>
          </cell>
          <cell r="O1353" t="str">
            <v>-</v>
          </cell>
          <cell r="P1353" t="str">
            <v>-</v>
          </cell>
          <cell r="Q1353" t="str">
            <v>-</v>
          </cell>
          <cell r="R1353" t="str">
            <v>-</v>
          </cell>
          <cell r="T1353" t="str">
            <v>-</v>
          </cell>
          <cell r="U1353" t="str">
            <v>-</v>
          </cell>
          <cell r="W1353" t="str">
            <v>-</v>
          </cell>
        </row>
        <row r="1354">
          <cell r="F1354" t="str">
            <v>NASK01D055</v>
          </cell>
          <cell r="G1354" t="str">
            <v>DELTA FINOCHEM PVT LTD</v>
          </cell>
          <cell r="H1354" t="str">
            <v>-</v>
          </cell>
          <cell r="J1354" t="str">
            <v>Domestic</v>
          </cell>
          <cell r="K1354" t="str">
            <v>-</v>
          </cell>
          <cell r="L1354" t="str">
            <v>Non-Sugar</v>
          </cell>
          <cell r="O1354" t="str">
            <v>-</v>
          </cell>
          <cell r="P1354" t="str">
            <v>-</v>
          </cell>
          <cell r="Q1354" t="str">
            <v>-</v>
          </cell>
          <cell r="R1354" t="str">
            <v>-</v>
          </cell>
          <cell r="T1354" t="str">
            <v>-</v>
          </cell>
          <cell r="U1354" t="str">
            <v>-</v>
          </cell>
          <cell r="W1354" t="str">
            <v>-</v>
          </cell>
        </row>
        <row r="1355">
          <cell r="F1355" t="str">
            <v>PUNE01D098</v>
          </cell>
          <cell r="G1355" t="str">
            <v>DELTA SALES &amp; SERVICES</v>
          </cell>
          <cell r="H1355" t="str">
            <v>-</v>
          </cell>
          <cell r="J1355" t="str">
            <v>Domestic</v>
          </cell>
          <cell r="K1355" t="str">
            <v>-</v>
          </cell>
          <cell r="L1355" t="str">
            <v>Non-Sugar</v>
          </cell>
          <cell r="O1355" t="str">
            <v>-</v>
          </cell>
          <cell r="P1355" t="str">
            <v>-</v>
          </cell>
          <cell r="Q1355" t="str">
            <v>-</v>
          </cell>
          <cell r="R1355" t="str">
            <v>-</v>
          </cell>
          <cell r="T1355" t="str">
            <v>-</v>
          </cell>
          <cell r="U1355" t="str">
            <v>-</v>
          </cell>
          <cell r="W1355" t="str">
            <v>-</v>
          </cell>
        </row>
        <row r="1356">
          <cell r="F1356" t="str">
            <v>KRSH01D008</v>
          </cell>
          <cell r="G1356" t="str">
            <v>DELTA SUGARS LIMITED</v>
          </cell>
          <cell r="H1356">
            <v>2013</v>
          </cell>
          <cell r="J1356" t="str">
            <v>Domestic</v>
          </cell>
          <cell r="K1356" t="str">
            <v>Sugar</v>
          </cell>
          <cell r="P1356" t="str">
            <v>SI-GS</v>
          </cell>
          <cell r="Q1356" t="str">
            <v>SI-GS</v>
          </cell>
          <cell r="W1356" t="str">
            <v>-</v>
          </cell>
        </row>
        <row r="1357">
          <cell r="F1357" t="str">
            <v>DHAN01D037</v>
          </cell>
          <cell r="G1357" t="str">
            <v>DEPOT OFFICER REG./STORES AREA-IXBCCL</v>
          </cell>
          <cell r="H1357" t="str">
            <v>-</v>
          </cell>
          <cell r="J1357" t="str">
            <v>Domestic</v>
          </cell>
          <cell r="K1357" t="str">
            <v>-</v>
          </cell>
          <cell r="L1357" t="str">
            <v>Non-Sugar</v>
          </cell>
          <cell r="O1357" t="str">
            <v>-</v>
          </cell>
          <cell r="P1357" t="str">
            <v>-</v>
          </cell>
          <cell r="Q1357" t="str">
            <v>-</v>
          </cell>
          <cell r="R1357" t="str">
            <v>-</v>
          </cell>
          <cell r="T1357" t="str">
            <v>-</v>
          </cell>
          <cell r="U1357" t="str">
            <v>-</v>
          </cell>
          <cell r="W1357" t="str">
            <v>-</v>
          </cell>
        </row>
        <row r="1358">
          <cell r="F1358" t="str">
            <v>DHAN01D044</v>
          </cell>
          <cell r="G1358" t="str">
            <v>DEPOT OFFICER.</v>
          </cell>
          <cell r="H1358" t="str">
            <v>-</v>
          </cell>
          <cell r="J1358" t="str">
            <v>Domestic</v>
          </cell>
          <cell r="K1358" t="str">
            <v>-</v>
          </cell>
          <cell r="L1358" t="str">
            <v>Non-Sugar</v>
          </cell>
          <cell r="O1358" t="str">
            <v>-</v>
          </cell>
          <cell r="P1358" t="str">
            <v>-</v>
          </cell>
          <cell r="Q1358" t="str">
            <v>-</v>
          </cell>
          <cell r="R1358" t="str">
            <v>-</v>
          </cell>
          <cell r="T1358" t="str">
            <v>-</v>
          </cell>
          <cell r="U1358" t="str">
            <v>-</v>
          </cell>
          <cell r="W1358" t="str">
            <v>-</v>
          </cell>
        </row>
        <row r="1359">
          <cell r="F1359" t="str">
            <v>DHAK01D009</v>
          </cell>
          <cell r="G1359" t="str">
            <v>DESHBANDHU SUGAR MILLS LTD.</v>
          </cell>
          <cell r="H1359">
            <v>2015</v>
          </cell>
          <cell r="J1359" t="str">
            <v>Export</v>
          </cell>
          <cell r="K1359" t="str">
            <v>Sugar</v>
          </cell>
          <cell r="L1359" t="str">
            <v>Sugar</v>
          </cell>
          <cell r="M1359" t="str">
            <v>End User</v>
          </cell>
          <cell r="O1359" t="str">
            <v>-</v>
          </cell>
          <cell r="P1359" t="str">
            <v>-</v>
          </cell>
          <cell r="Q1359" t="str">
            <v>-</v>
          </cell>
          <cell r="R1359" t="str">
            <v>-</v>
          </cell>
          <cell r="T1359" t="str">
            <v>-</v>
          </cell>
          <cell r="U1359" t="str">
            <v>-</v>
          </cell>
          <cell r="W1359" t="str">
            <v>-</v>
          </cell>
        </row>
        <row r="1360">
          <cell r="F1360" t="str">
            <v>KOLH01D010</v>
          </cell>
          <cell r="G1360" t="str">
            <v>DESHBHAKTA RATNAPPANNA KUMBHAR PANCHGANGA SAHAKARI SAKHAR KARKHANA LTD (Unit of Renuka Sugars)</v>
          </cell>
          <cell r="H1360">
            <v>2024</v>
          </cell>
          <cell r="J1360" t="str">
            <v>Domestic</v>
          </cell>
          <cell r="K1360" t="str">
            <v>Sugar</v>
          </cell>
          <cell r="L1360" t="str">
            <v>Sugar</v>
          </cell>
          <cell r="M1360" t="str">
            <v>End User</v>
          </cell>
          <cell r="P1360" t="str">
            <v>-</v>
          </cell>
          <cell r="Q1360" t="str">
            <v>-</v>
          </cell>
        </row>
        <row r="1361">
          <cell r="F1361" t="str">
            <v>PANI01D046</v>
          </cell>
          <cell r="G1361" t="str">
            <v>DEVGIRI EXPORTS</v>
          </cell>
          <cell r="H1361">
            <v>2013</v>
          </cell>
          <cell r="J1361" t="str">
            <v>Domestic</v>
          </cell>
          <cell r="K1361" t="str">
            <v>-</v>
          </cell>
          <cell r="L1361" t="str">
            <v>Non-Sugar</v>
          </cell>
          <cell r="O1361" t="str">
            <v>-</v>
          </cell>
          <cell r="P1361" t="str">
            <v>-</v>
          </cell>
          <cell r="Q1361" t="str">
            <v>-</v>
          </cell>
          <cell r="R1361" t="str">
            <v>-</v>
          </cell>
          <cell r="T1361" t="str">
            <v>-</v>
          </cell>
          <cell r="U1361" t="str">
            <v>-</v>
          </cell>
          <cell r="W1361" t="str">
            <v>-</v>
          </cell>
        </row>
        <row r="1362">
          <cell r="F1362" t="str">
            <v>BARL01D062</v>
          </cell>
          <cell r="G1362" t="str">
            <v>DEVKI NANDAN MINERAL WATER LIMITED</v>
          </cell>
          <cell r="H1362" t="str">
            <v>-</v>
          </cell>
          <cell r="J1362" t="str">
            <v>Domestic</v>
          </cell>
          <cell r="K1362" t="str">
            <v>-</v>
          </cell>
          <cell r="L1362" t="str">
            <v>Non-Sugar</v>
          </cell>
          <cell r="O1362" t="str">
            <v>-</v>
          </cell>
          <cell r="P1362" t="str">
            <v>-</v>
          </cell>
          <cell r="Q1362" t="str">
            <v>-</v>
          </cell>
          <cell r="R1362" t="str">
            <v>-</v>
          </cell>
          <cell r="T1362" t="str">
            <v>-</v>
          </cell>
          <cell r="U1362" t="str">
            <v>-</v>
          </cell>
          <cell r="W1362" t="str">
            <v>-</v>
          </cell>
        </row>
        <row r="1363">
          <cell r="F1363" t="str">
            <v>RORK01D059</v>
          </cell>
          <cell r="G1363" t="str">
            <v>DHANASHREE AGRO PRODUCTS PVT LTD</v>
          </cell>
          <cell r="H1363" t="str">
            <v>-</v>
          </cell>
          <cell r="J1363" t="str">
            <v>Domestic</v>
          </cell>
          <cell r="K1363" t="str">
            <v>-</v>
          </cell>
          <cell r="L1363" t="str">
            <v>Non-Sugar</v>
          </cell>
          <cell r="O1363" t="str">
            <v>-</v>
          </cell>
          <cell r="P1363" t="str">
            <v>-</v>
          </cell>
          <cell r="Q1363" t="str">
            <v>-</v>
          </cell>
          <cell r="R1363" t="str">
            <v>-</v>
          </cell>
          <cell r="T1363" t="str">
            <v>-</v>
          </cell>
          <cell r="U1363" t="str">
            <v>-</v>
          </cell>
          <cell r="W1363" t="str">
            <v>-</v>
          </cell>
        </row>
        <row r="1364">
          <cell r="F1364" t="str">
            <v>AHME01D095</v>
          </cell>
          <cell r="G1364" t="str">
            <v>DHARIYA ENVIRO SOLUTION</v>
          </cell>
          <cell r="H1364" t="str">
            <v>-</v>
          </cell>
          <cell r="J1364" t="str">
            <v>Domestic</v>
          </cell>
          <cell r="K1364" t="str">
            <v>-</v>
          </cell>
          <cell r="L1364" t="str">
            <v>Non-Sugar</v>
          </cell>
          <cell r="O1364" t="str">
            <v>-</v>
          </cell>
          <cell r="P1364" t="str">
            <v>-</v>
          </cell>
          <cell r="Q1364" t="str">
            <v>-</v>
          </cell>
          <cell r="R1364" t="str">
            <v>-</v>
          </cell>
          <cell r="T1364" t="str">
            <v>-</v>
          </cell>
          <cell r="U1364" t="str">
            <v>-</v>
          </cell>
          <cell r="W1364" t="str">
            <v>-</v>
          </cell>
        </row>
        <row r="1365">
          <cell r="F1365" t="str">
            <v>MUMB01D085</v>
          </cell>
          <cell r="G1365" t="str">
            <v>DHL LOGISTICS PVT LTD</v>
          </cell>
          <cell r="H1365" t="str">
            <v>-</v>
          </cell>
          <cell r="J1365" t="str">
            <v>Domestic</v>
          </cell>
          <cell r="K1365" t="str">
            <v>-</v>
          </cell>
          <cell r="L1365" t="str">
            <v>Non-Sugar</v>
          </cell>
          <cell r="O1365" t="str">
            <v>-</v>
          </cell>
          <cell r="P1365" t="str">
            <v>-</v>
          </cell>
          <cell r="Q1365" t="str">
            <v>-</v>
          </cell>
          <cell r="R1365" t="str">
            <v>-</v>
          </cell>
          <cell r="T1365" t="str">
            <v>-</v>
          </cell>
          <cell r="U1365" t="str">
            <v>-</v>
          </cell>
          <cell r="W1365" t="str">
            <v>-</v>
          </cell>
        </row>
        <row r="1366">
          <cell r="F1366" t="str">
            <v>VADO01D017</v>
          </cell>
          <cell r="G1366" t="str">
            <v>DIAMOND CHEMICALS</v>
          </cell>
          <cell r="H1366" t="str">
            <v>-</v>
          </cell>
          <cell r="J1366" t="str">
            <v>Domestic</v>
          </cell>
          <cell r="K1366" t="str">
            <v>CHEMICAL</v>
          </cell>
          <cell r="L1366" t="str">
            <v>Non-Sugar</v>
          </cell>
          <cell r="M1366" t="str">
            <v>End User</v>
          </cell>
          <cell r="O1366" t="str">
            <v>-</v>
          </cell>
          <cell r="P1366" t="str">
            <v>-</v>
          </cell>
          <cell r="Q1366" t="str">
            <v>-</v>
          </cell>
          <cell r="R1366" t="str">
            <v>-</v>
          </cell>
          <cell r="T1366" t="str">
            <v>-</v>
          </cell>
          <cell r="U1366" t="str">
            <v>-</v>
          </cell>
          <cell r="W1366" t="str">
            <v>-</v>
          </cell>
        </row>
        <row r="1367">
          <cell r="F1367" t="str">
            <v>PUNE01D058</v>
          </cell>
          <cell r="G1367" t="str">
            <v>DIOSNA PROCESS SOLUTIONS PVT LTD</v>
          </cell>
          <cell r="H1367" t="str">
            <v>-</v>
          </cell>
          <cell r="J1367" t="str">
            <v>Domestic</v>
          </cell>
          <cell r="P1367" t="str">
            <v>LGP</v>
          </cell>
          <cell r="Q1367" t="str">
            <v>-</v>
          </cell>
        </row>
        <row r="1368">
          <cell r="F1368" t="str">
            <v>PUNE01D086</v>
          </cell>
          <cell r="G1368" t="str">
            <v>DIPON GROUP</v>
          </cell>
          <cell r="H1368" t="str">
            <v>-</v>
          </cell>
          <cell r="J1368" t="str">
            <v>Domestic</v>
          </cell>
          <cell r="K1368" t="str">
            <v>-</v>
          </cell>
          <cell r="L1368" t="str">
            <v>Non-Sugar</v>
          </cell>
          <cell r="O1368" t="str">
            <v>-</v>
          </cell>
          <cell r="P1368" t="str">
            <v>-</v>
          </cell>
          <cell r="Q1368" t="str">
            <v>-</v>
          </cell>
          <cell r="R1368" t="str">
            <v>-</v>
          </cell>
          <cell r="T1368" t="str">
            <v>-</v>
          </cell>
          <cell r="U1368" t="str">
            <v>-</v>
          </cell>
          <cell r="W1368" t="str">
            <v>-</v>
          </cell>
        </row>
        <row r="1369">
          <cell r="F1369" t="str">
            <v>NAIN01D091</v>
          </cell>
          <cell r="G1369" t="str">
            <v>DIRECTORATE OF HORTICULTURE</v>
          </cell>
          <cell r="H1369" t="str">
            <v>-</v>
          </cell>
          <cell r="J1369" t="str">
            <v>Domestic</v>
          </cell>
          <cell r="K1369" t="str">
            <v>-</v>
          </cell>
          <cell r="L1369" t="str">
            <v>Non-Sugar</v>
          </cell>
          <cell r="O1369" t="str">
            <v>-</v>
          </cell>
          <cell r="P1369" t="str">
            <v>-</v>
          </cell>
          <cell r="Q1369" t="str">
            <v>-</v>
          </cell>
          <cell r="R1369" t="str">
            <v>-</v>
          </cell>
          <cell r="T1369" t="str">
            <v>-</v>
          </cell>
          <cell r="U1369" t="str">
            <v>-</v>
          </cell>
          <cell r="W1369" t="str">
            <v>-</v>
          </cell>
        </row>
        <row r="1370">
          <cell r="F1370" t="str">
            <v>NODA01D092</v>
          </cell>
          <cell r="G1370" t="str">
            <v>DISHA WATER TREATMENT PVT LTD</v>
          </cell>
          <cell r="H1370" t="str">
            <v>-</v>
          </cell>
          <cell r="J1370" t="str">
            <v>Domestic</v>
          </cell>
          <cell r="K1370" t="str">
            <v>-</v>
          </cell>
          <cell r="L1370" t="str">
            <v>Non-Sugar</v>
          </cell>
          <cell r="O1370" t="str">
            <v>-</v>
          </cell>
          <cell r="P1370" t="str">
            <v>-</v>
          </cell>
          <cell r="Q1370" t="str">
            <v>-</v>
          </cell>
          <cell r="R1370" t="str">
            <v>-</v>
          </cell>
          <cell r="T1370" t="str">
            <v>-</v>
          </cell>
          <cell r="U1370" t="str">
            <v>-</v>
          </cell>
          <cell r="W1370" t="str">
            <v>-</v>
          </cell>
        </row>
        <row r="1371">
          <cell r="F1371" t="str">
            <v>BIJA01D019</v>
          </cell>
          <cell r="G1371" t="str">
            <v>DNYANYOGI SHRI SHIVKUMAR SWAMIJI SUGARS LTD.</v>
          </cell>
          <cell r="H1371">
            <v>2015</v>
          </cell>
          <cell r="J1371" t="str">
            <v>Domestic</v>
          </cell>
          <cell r="K1371" t="str">
            <v>Sugar</v>
          </cell>
          <cell r="L1371" t="str">
            <v>Sugar</v>
          </cell>
          <cell r="M1371" t="str">
            <v>End User</v>
          </cell>
          <cell r="P1371" t="str">
            <v>MRK</v>
          </cell>
          <cell r="Q1371" t="str">
            <v>MRK</v>
          </cell>
        </row>
        <row r="1372">
          <cell r="F1372" t="str">
            <v>NAND01D021</v>
          </cell>
          <cell r="G1372" t="str">
            <v>DOLLEX INDUSTRIES LTD</v>
          </cell>
          <cell r="H1372" t="str">
            <v>-</v>
          </cell>
          <cell r="J1372" t="str">
            <v>Domestic</v>
          </cell>
          <cell r="P1372" t="str">
            <v>-</v>
          </cell>
          <cell r="Q1372" t="str">
            <v>-</v>
          </cell>
        </row>
        <row r="1373">
          <cell r="F1373" t="str">
            <v>SANG01D022</v>
          </cell>
          <cell r="G1373" t="str">
            <v>DONGARAI SAGARESHWAR SHETKARI S.S.K. LTD.</v>
          </cell>
          <cell r="H1373" t="str">
            <v>-</v>
          </cell>
          <cell r="J1373" t="str">
            <v>Domestic</v>
          </cell>
          <cell r="K1373" t="str">
            <v>Sugar</v>
          </cell>
          <cell r="M1373" t="str">
            <v>End User</v>
          </cell>
          <cell r="O1373" t="str">
            <v>-</v>
          </cell>
          <cell r="P1373" t="str">
            <v>-</v>
          </cell>
          <cell r="Q1373" t="str">
            <v>-</v>
          </cell>
          <cell r="R1373" t="str">
            <v>-</v>
          </cell>
          <cell r="T1373" t="str">
            <v>-</v>
          </cell>
          <cell r="W1373" t="str">
            <v>-</v>
          </cell>
        </row>
        <row r="1374">
          <cell r="F1374" t="str">
            <v>DEDH01D023</v>
          </cell>
          <cell r="G1374" t="str">
            <v>DOON VALLEY DISTILLERS</v>
          </cell>
          <cell r="H1374" t="str">
            <v>-</v>
          </cell>
          <cell r="J1374" t="str">
            <v>Domestic</v>
          </cell>
          <cell r="K1374" t="str">
            <v>-</v>
          </cell>
          <cell r="L1374" t="str">
            <v>Non-Sugar</v>
          </cell>
          <cell r="O1374" t="str">
            <v>-</v>
          </cell>
          <cell r="P1374" t="str">
            <v>-</v>
          </cell>
          <cell r="Q1374" t="str">
            <v>-</v>
          </cell>
          <cell r="R1374" t="str">
            <v>-</v>
          </cell>
          <cell r="T1374" t="str">
            <v>-</v>
          </cell>
          <cell r="U1374" t="str">
            <v>-</v>
          </cell>
          <cell r="W1374" t="str">
            <v>-</v>
          </cell>
        </row>
        <row r="1375">
          <cell r="F1375" t="str">
            <v>BHAR01D024</v>
          </cell>
          <cell r="G1375" t="str">
            <v>DOSHI CHEMICALS (P) LTD.</v>
          </cell>
          <cell r="H1375" t="str">
            <v>-</v>
          </cell>
          <cell r="J1375" t="str">
            <v>Domestic</v>
          </cell>
          <cell r="K1375" t="str">
            <v>CHEMICAL</v>
          </cell>
          <cell r="L1375" t="str">
            <v>Non-Sugar</v>
          </cell>
          <cell r="M1375" t="str">
            <v>End User</v>
          </cell>
          <cell r="O1375" t="str">
            <v>-</v>
          </cell>
          <cell r="P1375" t="str">
            <v>-</v>
          </cell>
          <cell r="Q1375" t="str">
            <v>-</v>
          </cell>
          <cell r="R1375" t="str">
            <v>-</v>
          </cell>
          <cell r="T1375" t="str">
            <v>-</v>
          </cell>
          <cell r="U1375" t="str">
            <v>-</v>
          </cell>
          <cell r="W1375" t="str">
            <v>-</v>
          </cell>
        </row>
        <row r="1376">
          <cell r="F1376" t="str">
            <v>AHME01D094</v>
          </cell>
          <cell r="G1376" t="str">
            <v>DOSHION</v>
          </cell>
          <cell r="H1376" t="str">
            <v>-</v>
          </cell>
          <cell r="J1376" t="str">
            <v>Domestic</v>
          </cell>
          <cell r="K1376" t="str">
            <v>-</v>
          </cell>
          <cell r="L1376" t="str">
            <v>Non-Sugar</v>
          </cell>
          <cell r="O1376" t="str">
            <v>-</v>
          </cell>
          <cell r="P1376" t="str">
            <v>-</v>
          </cell>
          <cell r="Q1376" t="str">
            <v>-</v>
          </cell>
          <cell r="R1376" t="str">
            <v>-</v>
          </cell>
          <cell r="T1376" t="str">
            <v>-</v>
          </cell>
          <cell r="U1376" t="str">
            <v>-</v>
          </cell>
          <cell r="W1376" t="str">
            <v>-</v>
          </cell>
        </row>
        <row r="1377">
          <cell r="F1377" t="str">
            <v>KASH01D031</v>
          </cell>
          <cell r="G1377" t="str">
            <v>DSM SUGAR KASHIPUR</v>
          </cell>
          <cell r="H1377" t="str">
            <v>-</v>
          </cell>
          <cell r="J1377" t="str">
            <v>Domestic</v>
          </cell>
          <cell r="K1377" t="str">
            <v>Sugar</v>
          </cell>
          <cell r="L1377" t="str">
            <v>Sugar</v>
          </cell>
          <cell r="M1377" t="str">
            <v>End User</v>
          </cell>
          <cell r="O1377" t="str">
            <v>-</v>
          </cell>
          <cell r="P1377" t="str">
            <v>HO</v>
          </cell>
          <cell r="Q1377" t="str">
            <v>-</v>
          </cell>
          <cell r="T1377" t="str">
            <v>-</v>
          </cell>
          <cell r="U1377" t="str">
            <v>-</v>
          </cell>
          <cell r="W1377" t="str">
            <v>-</v>
          </cell>
        </row>
        <row r="1378">
          <cell r="F1378" t="str">
            <v>GUJA01D096</v>
          </cell>
          <cell r="G1378" t="str">
            <v>DUX OIL INDUSTRIES</v>
          </cell>
          <cell r="H1378" t="str">
            <v>-</v>
          </cell>
          <cell r="J1378" t="str">
            <v>Domestic</v>
          </cell>
          <cell r="K1378" t="str">
            <v>-</v>
          </cell>
          <cell r="L1378" t="str">
            <v>Non-Sugar</v>
          </cell>
          <cell r="O1378" t="str">
            <v>-</v>
          </cell>
          <cell r="P1378" t="str">
            <v>-</v>
          </cell>
          <cell r="Q1378" t="str">
            <v>-</v>
          </cell>
          <cell r="R1378" t="str">
            <v>-</v>
          </cell>
          <cell r="T1378" t="str">
            <v>-</v>
          </cell>
          <cell r="U1378" t="str">
            <v>-</v>
          </cell>
          <cell r="W1378" t="str">
            <v>-</v>
          </cell>
        </row>
        <row r="1379">
          <cell r="F1379" t="str">
            <v>NAND01D077</v>
          </cell>
          <cell r="G1379" t="str">
            <v>DVP DHARASHIV SAKHAR KARKHANA UNIT -3(Renamed with Twenty one sugars -3)</v>
          </cell>
          <cell r="H1379">
            <v>2021</v>
          </cell>
          <cell r="J1379" t="str">
            <v>Domestic</v>
          </cell>
          <cell r="K1379" t="str">
            <v>Sugar</v>
          </cell>
          <cell r="M1379" t="str">
            <v>End User</v>
          </cell>
          <cell r="O1379" t="str">
            <v>-</v>
          </cell>
          <cell r="P1379" t="str">
            <v>-</v>
          </cell>
          <cell r="Q1379" t="str">
            <v>-</v>
          </cell>
          <cell r="R1379" t="str">
            <v>-</v>
          </cell>
          <cell r="T1379" t="str">
            <v>-</v>
          </cell>
          <cell r="W1379" t="str">
            <v>-</v>
          </cell>
        </row>
        <row r="1380">
          <cell r="F1380" t="str">
            <v>GUJA01D090</v>
          </cell>
          <cell r="G1380" t="str">
            <v>DWD INDIA</v>
          </cell>
          <cell r="H1380" t="str">
            <v>-</v>
          </cell>
          <cell r="J1380" t="str">
            <v>Domestic</v>
          </cell>
          <cell r="K1380" t="str">
            <v>-</v>
          </cell>
          <cell r="L1380" t="str">
            <v>Non-Sugar</v>
          </cell>
          <cell r="O1380" t="str">
            <v>-</v>
          </cell>
          <cell r="P1380" t="str">
            <v>-</v>
          </cell>
          <cell r="Q1380" t="str">
            <v>-</v>
          </cell>
          <cell r="R1380" t="str">
            <v>-</v>
          </cell>
          <cell r="T1380" t="str">
            <v>-</v>
          </cell>
          <cell r="U1380" t="str">
            <v>-</v>
          </cell>
          <cell r="W1380" t="str">
            <v>-</v>
          </cell>
        </row>
        <row r="1381">
          <cell r="F1381" t="str">
            <v>BURD01D036</v>
          </cell>
          <cell r="G1381" t="str">
            <v>DY.CH.FINANCE MANAGER EASTERN COALFIELDS LIMITED (0504)</v>
          </cell>
          <cell r="H1381" t="str">
            <v>-</v>
          </cell>
          <cell r="J1381" t="str">
            <v>Domestic</v>
          </cell>
          <cell r="K1381" t="str">
            <v>-</v>
          </cell>
          <cell r="L1381" t="str">
            <v>Non-Sugar</v>
          </cell>
          <cell r="O1381" t="str">
            <v>-</v>
          </cell>
          <cell r="P1381" t="str">
            <v>-</v>
          </cell>
          <cell r="Q1381" t="str">
            <v>-</v>
          </cell>
          <cell r="R1381" t="str">
            <v>-</v>
          </cell>
          <cell r="T1381" t="str">
            <v>-</v>
          </cell>
          <cell r="U1381" t="str">
            <v>-</v>
          </cell>
          <cell r="W1381" t="str">
            <v>-</v>
          </cell>
        </row>
        <row r="1382">
          <cell r="F1382" t="str">
            <v>BHAN01E033</v>
          </cell>
          <cell r="G1382" t="str">
            <v>ECOBROWN PRODUCTS PVT LTD</v>
          </cell>
          <cell r="H1382" t="str">
            <v>21-22</v>
          </cell>
          <cell r="J1382" t="str">
            <v>Domestic</v>
          </cell>
          <cell r="K1382" t="str">
            <v>OTHERS</v>
          </cell>
          <cell r="L1382" t="str">
            <v>Non-Sugar</v>
          </cell>
          <cell r="M1382" t="str">
            <v>End User</v>
          </cell>
          <cell r="O1382" t="str">
            <v>-</v>
          </cell>
          <cell r="P1382" t="str">
            <v>VA</v>
          </cell>
          <cell r="Q1382" t="str">
            <v>-</v>
          </cell>
          <cell r="T1382" t="str">
            <v>-</v>
          </cell>
          <cell r="U1382" t="str">
            <v>-</v>
          </cell>
          <cell r="W1382" t="str">
            <v>-</v>
          </cell>
        </row>
        <row r="1383">
          <cell r="F1383" t="str">
            <v>PUNE01E047</v>
          </cell>
          <cell r="G1383" t="str">
            <v>ECONOMY PROCESS SOLUTION LTD.</v>
          </cell>
          <cell r="H1383" t="str">
            <v>-</v>
          </cell>
          <cell r="J1383" t="str">
            <v>Domestic</v>
          </cell>
          <cell r="K1383" t="str">
            <v>-</v>
          </cell>
          <cell r="L1383" t="str">
            <v>Non-Sugar</v>
          </cell>
          <cell r="O1383" t="str">
            <v>-</v>
          </cell>
          <cell r="P1383" t="str">
            <v>-</v>
          </cell>
          <cell r="Q1383" t="str">
            <v>-</v>
          </cell>
          <cell r="R1383" t="str">
            <v>-</v>
          </cell>
          <cell r="T1383" t="str">
            <v>-</v>
          </cell>
          <cell r="U1383" t="str">
            <v>-</v>
          </cell>
          <cell r="W1383" t="str">
            <v>-</v>
          </cell>
        </row>
        <row r="1384">
          <cell r="F1384" t="str">
            <v>SAHJ01E021</v>
          </cell>
          <cell r="G1384" t="str">
            <v>EDIDLES</v>
          </cell>
          <cell r="H1384" t="str">
            <v>-</v>
          </cell>
          <cell r="J1384" t="str">
            <v>Domestic</v>
          </cell>
          <cell r="K1384" t="str">
            <v>-</v>
          </cell>
          <cell r="L1384" t="str">
            <v>Non-Sugar</v>
          </cell>
          <cell r="O1384" t="str">
            <v>-</v>
          </cell>
          <cell r="P1384" t="str">
            <v>-</v>
          </cell>
          <cell r="Q1384" t="str">
            <v>-</v>
          </cell>
          <cell r="R1384" t="str">
            <v>-</v>
          </cell>
          <cell r="T1384" t="str">
            <v>-</v>
          </cell>
          <cell r="U1384" t="str">
            <v>-</v>
          </cell>
          <cell r="W1384" t="str">
            <v>-</v>
          </cell>
        </row>
        <row r="1385">
          <cell r="F1385" t="str">
            <v>JAKA01E048</v>
          </cell>
          <cell r="G1385" t="str">
            <v>EH TRADE</v>
          </cell>
          <cell r="H1385" t="str">
            <v>-</v>
          </cell>
          <cell r="J1385" t="str">
            <v>Export</v>
          </cell>
          <cell r="K1385" t="str">
            <v>-</v>
          </cell>
          <cell r="L1385" t="str">
            <v>Non-Sugar</v>
          </cell>
          <cell r="O1385" t="str">
            <v>-</v>
          </cell>
          <cell r="P1385" t="str">
            <v>-</v>
          </cell>
          <cell r="Q1385" t="str">
            <v>VG</v>
          </cell>
          <cell r="R1385" t="str">
            <v>-</v>
          </cell>
          <cell r="T1385" t="str">
            <v>-</v>
          </cell>
          <cell r="U1385" t="str">
            <v>-</v>
          </cell>
          <cell r="W1385" t="str">
            <v>-</v>
          </cell>
        </row>
        <row r="1386">
          <cell r="F1386" t="str">
            <v>YAMN01E011</v>
          </cell>
          <cell r="G1386" t="str">
            <v>EICL LIMITED</v>
          </cell>
          <cell r="H1386">
            <v>2015</v>
          </cell>
          <cell r="J1386" t="str">
            <v>Domestic</v>
          </cell>
          <cell r="K1386" t="str">
            <v>-</v>
          </cell>
          <cell r="L1386" t="str">
            <v>Non-Sugar</v>
          </cell>
          <cell r="M1386" t="str">
            <v>End User</v>
          </cell>
          <cell r="O1386" t="str">
            <v>-</v>
          </cell>
          <cell r="P1386" t="str">
            <v>-</v>
          </cell>
          <cell r="Q1386" t="str">
            <v>-</v>
          </cell>
          <cell r="R1386" t="str">
            <v>-</v>
          </cell>
          <cell r="T1386" t="str">
            <v>-</v>
          </cell>
          <cell r="U1386" t="str">
            <v>-</v>
          </cell>
          <cell r="W1386" t="str">
            <v>-</v>
          </cell>
        </row>
        <row r="1387">
          <cell r="F1387" t="str">
            <v>TRIC01E002</v>
          </cell>
          <cell r="G1387" t="str">
            <v>EID PARRY (INDIA) LIMITED</v>
          </cell>
          <cell r="H1387">
            <v>2016</v>
          </cell>
          <cell r="J1387" t="str">
            <v>Domestic</v>
          </cell>
          <cell r="K1387" t="str">
            <v>Sugar</v>
          </cell>
          <cell r="P1387" t="str">
            <v>SI-GS</v>
          </cell>
          <cell r="Q1387" t="str">
            <v>SI-GS</v>
          </cell>
          <cell r="W1387" t="str">
            <v>-</v>
          </cell>
        </row>
        <row r="1388">
          <cell r="F1388" t="str">
            <v>MUMB01E042</v>
          </cell>
          <cell r="G1388" t="str">
            <v>ELDER EQUIPMENTS</v>
          </cell>
          <cell r="H1388" t="str">
            <v>-</v>
          </cell>
          <cell r="J1388" t="str">
            <v>Domestic</v>
          </cell>
          <cell r="K1388" t="str">
            <v>-</v>
          </cell>
          <cell r="L1388" t="str">
            <v>Non-Sugar</v>
          </cell>
          <cell r="O1388" t="str">
            <v>-</v>
          </cell>
          <cell r="P1388" t="str">
            <v>-</v>
          </cell>
          <cell r="Q1388" t="str">
            <v>-</v>
          </cell>
          <cell r="R1388" t="str">
            <v>-</v>
          </cell>
          <cell r="T1388" t="str">
            <v>-</v>
          </cell>
          <cell r="U1388" t="str">
            <v>-</v>
          </cell>
          <cell r="W1388" t="str">
            <v>-</v>
          </cell>
        </row>
        <row r="1389">
          <cell r="F1389" t="str">
            <v>NANA01E018</v>
          </cell>
          <cell r="G1389" t="str">
            <v>ELISA ARCIPE</v>
          </cell>
          <cell r="H1389" t="str">
            <v>-</v>
          </cell>
          <cell r="J1389" t="str">
            <v>Export</v>
          </cell>
          <cell r="L1389" t="str">
            <v>Non-Sugar</v>
          </cell>
          <cell r="O1389" t="str">
            <v>-</v>
          </cell>
          <cell r="P1389" t="str">
            <v>-</v>
          </cell>
          <cell r="Q1389" t="str">
            <v>-</v>
          </cell>
        </row>
        <row r="1390">
          <cell r="F1390" t="str">
            <v>BANG01E037</v>
          </cell>
          <cell r="G1390" t="str">
            <v>ELOQUENT TECHNOLOGY</v>
          </cell>
          <cell r="H1390" t="str">
            <v>-</v>
          </cell>
          <cell r="J1390" t="str">
            <v>Domestic</v>
          </cell>
          <cell r="K1390" t="str">
            <v>-</v>
          </cell>
          <cell r="L1390" t="str">
            <v>Non-Sugar</v>
          </cell>
          <cell r="O1390" t="str">
            <v>-</v>
          </cell>
          <cell r="P1390" t="str">
            <v>-</v>
          </cell>
          <cell r="Q1390" t="str">
            <v>-</v>
          </cell>
          <cell r="R1390" t="str">
            <v>-</v>
          </cell>
          <cell r="T1390" t="str">
            <v>-</v>
          </cell>
          <cell r="U1390" t="str">
            <v>-</v>
          </cell>
          <cell r="W1390" t="str">
            <v>-</v>
          </cell>
        </row>
        <row r="1391">
          <cell r="F1391" t="str">
            <v>TIRN01E004</v>
          </cell>
          <cell r="G1391" t="str">
            <v>EMPEE SUGARS &amp; CHEMICALS LTD</v>
          </cell>
          <cell r="H1391" t="str">
            <v>-</v>
          </cell>
          <cell r="J1391" t="str">
            <v>Domestic</v>
          </cell>
          <cell r="K1391" t="str">
            <v>Sugar</v>
          </cell>
          <cell r="P1391" t="str">
            <v>SI-GS</v>
          </cell>
          <cell r="Q1391" t="str">
            <v>SI-GS</v>
          </cell>
          <cell r="W1391">
            <v>45841</v>
          </cell>
        </row>
        <row r="1392">
          <cell r="F1392" t="str">
            <v>NELL01E005</v>
          </cell>
          <cell r="G1392" t="str">
            <v>EMPEE SUGARS &amp; CHEMICALS LTD.</v>
          </cell>
          <cell r="H1392">
            <v>2013</v>
          </cell>
          <cell r="J1392" t="str">
            <v>Domestic</v>
          </cell>
          <cell r="K1392" t="str">
            <v>Sugar</v>
          </cell>
          <cell r="P1392" t="str">
            <v>SI-GS</v>
          </cell>
          <cell r="Q1392" t="str">
            <v>SI-GS</v>
          </cell>
          <cell r="W1392">
            <v>45841</v>
          </cell>
        </row>
        <row r="1393">
          <cell r="F1393" t="str">
            <v>MUMB01E072</v>
          </cell>
          <cell r="G1393" t="str">
            <v>EN DESSUS GLOBAL FORWARDING PVT. LTD</v>
          </cell>
          <cell r="H1393" t="str">
            <v>-</v>
          </cell>
          <cell r="J1393" t="str">
            <v>Domestic</v>
          </cell>
          <cell r="P1393" t="str">
            <v>AV</v>
          </cell>
          <cell r="Q1393" t="str">
            <v>-</v>
          </cell>
        </row>
        <row r="1394">
          <cell r="F1394" t="str">
            <v>SAIN01E036</v>
          </cell>
          <cell r="G1394" t="str">
            <v>ENGINEERING TECHNOLOGIES CO. LTD</v>
          </cell>
          <cell r="H1394" t="str">
            <v>-</v>
          </cell>
          <cell r="J1394" t="str">
            <v>Export</v>
          </cell>
          <cell r="K1394" t="str">
            <v>-</v>
          </cell>
          <cell r="L1394" t="str">
            <v>Non-Sugar</v>
          </cell>
          <cell r="O1394" t="str">
            <v>-</v>
          </cell>
          <cell r="P1394" t="str">
            <v>-</v>
          </cell>
          <cell r="Q1394" t="str">
            <v>-</v>
          </cell>
          <cell r="R1394" t="str">
            <v>-</v>
          </cell>
          <cell r="T1394" t="str">
            <v>-</v>
          </cell>
          <cell r="U1394" t="str">
            <v>-</v>
          </cell>
          <cell r="W1394" t="str">
            <v>-</v>
          </cell>
        </row>
        <row r="1395">
          <cell r="F1395" t="str">
            <v>GURG01E046</v>
          </cell>
          <cell r="G1395" t="str">
            <v>ENGINEERS INDIA LIMITED</v>
          </cell>
          <cell r="H1395" t="str">
            <v>-</v>
          </cell>
          <cell r="J1395" t="str">
            <v>Domestic</v>
          </cell>
          <cell r="K1395" t="str">
            <v>-</v>
          </cell>
          <cell r="L1395" t="str">
            <v>Non-Sugar</v>
          </cell>
          <cell r="O1395" t="str">
            <v>-</v>
          </cell>
          <cell r="P1395" t="str">
            <v>-</v>
          </cell>
          <cell r="Q1395" t="str">
            <v>-</v>
          </cell>
          <cell r="R1395" t="str">
            <v>-</v>
          </cell>
          <cell r="T1395" t="str">
            <v>-</v>
          </cell>
          <cell r="U1395" t="str">
            <v>-</v>
          </cell>
          <cell r="W1395" t="str">
            <v>-</v>
          </cell>
        </row>
        <row r="1396">
          <cell r="F1396" t="str">
            <v>ALAH01E035</v>
          </cell>
          <cell r="G1396" t="str">
            <v>ENGTECH ASSOCIATES</v>
          </cell>
          <cell r="H1396" t="str">
            <v>-</v>
          </cell>
          <cell r="J1396" t="str">
            <v>Domestic</v>
          </cell>
          <cell r="K1396" t="str">
            <v>-</v>
          </cell>
          <cell r="L1396" t="str">
            <v>Non-Sugar</v>
          </cell>
          <cell r="O1396" t="str">
            <v>-</v>
          </cell>
          <cell r="P1396" t="str">
            <v>-</v>
          </cell>
          <cell r="Q1396" t="str">
            <v>-</v>
          </cell>
          <cell r="R1396" t="str">
            <v>-</v>
          </cell>
          <cell r="T1396" t="str">
            <v>-</v>
          </cell>
          <cell r="U1396" t="str">
            <v>-</v>
          </cell>
          <cell r="W1396" t="str">
            <v>-</v>
          </cell>
        </row>
        <row r="1397">
          <cell r="F1397" t="str">
            <v>ANKL01E016</v>
          </cell>
          <cell r="G1397" t="str">
            <v>ENZAL CHEMICALS</v>
          </cell>
          <cell r="H1397" t="str">
            <v>-</v>
          </cell>
          <cell r="J1397" t="str">
            <v>Domestic</v>
          </cell>
          <cell r="K1397" t="str">
            <v>CHEMICAL</v>
          </cell>
          <cell r="L1397" t="str">
            <v>Non-Sugar</v>
          </cell>
          <cell r="M1397" t="str">
            <v>End User</v>
          </cell>
          <cell r="O1397" t="str">
            <v>-</v>
          </cell>
          <cell r="P1397" t="str">
            <v>-</v>
          </cell>
          <cell r="Q1397" t="str">
            <v>-</v>
          </cell>
          <cell r="R1397" t="str">
            <v>-</v>
          </cell>
          <cell r="T1397" t="str">
            <v>-</v>
          </cell>
          <cell r="U1397" t="str">
            <v>-</v>
          </cell>
          <cell r="W1397" t="str">
            <v>-</v>
          </cell>
        </row>
        <row r="1398">
          <cell r="F1398" t="str">
            <v>AHME01E014</v>
          </cell>
          <cell r="G1398" t="str">
            <v>EROS MINEROCK PRODUCTS LLP</v>
          </cell>
          <cell r="H1398">
            <v>2016</v>
          </cell>
          <cell r="J1398" t="str">
            <v>Domestic</v>
          </cell>
          <cell r="K1398" t="str">
            <v>-</v>
          </cell>
          <cell r="L1398" t="str">
            <v>Non-Sugar</v>
          </cell>
          <cell r="M1398" t="str">
            <v>End User</v>
          </cell>
          <cell r="O1398" t="str">
            <v>-</v>
          </cell>
          <cell r="P1398" t="str">
            <v>-</v>
          </cell>
          <cell r="Q1398" t="str">
            <v>-</v>
          </cell>
          <cell r="R1398" t="str">
            <v>-</v>
          </cell>
          <cell r="T1398" t="str">
            <v>-</v>
          </cell>
          <cell r="U1398" t="str">
            <v>-</v>
          </cell>
          <cell r="W1398" t="str">
            <v>-</v>
          </cell>
        </row>
        <row r="1399">
          <cell r="F1399" t="str">
            <v>PUNE01E041</v>
          </cell>
          <cell r="G1399" t="str">
            <v>ESBEE POWER SOLUTIONS PVT LTD</v>
          </cell>
          <cell r="H1399" t="str">
            <v>-</v>
          </cell>
          <cell r="J1399" t="str">
            <v>Domestic</v>
          </cell>
          <cell r="K1399" t="str">
            <v>-</v>
          </cell>
          <cell r="L1399" t="str">
            <v>Non-Sugar</v>
          </cell>
          <cell r="O1399" t="str">
            <v>-</v>
          </cell>
          <cell r="P1399" t="str">
            <v>-</v>
          </cell>
          <cell r="Q1399" t="str">
            <v>-</v>
          </cell>
          <cell r="R1399" t="str">
            <v>-</v>
          </cell>
          <cell r="T1399" t="str">
            <v>-</v>
          </cell>
          <cell r="U1399" t="str">
            <v>-</v>
          </cell>
          <cell r="W1399" t="str">
            <v>-</v>
          </cell>
        </row>
        <row r="1400">
          <cell r="F1400" t="str">
            <v>BANG01E045</v>
          </cell>
          <cell r="G1400" t="str">
            <v>ESS BEE AGROTEK</v>
          </cell>
          <cell r="H1400" t="str">
            <v>-</v>
          </cell>
          <cell r="J1400" t="str">
            <v>Domestic</v>
          </cell>
          <cell r="K1400" t="str">
            <v>-</v>
          </cell>
          <cell r="L1400" t="str">
            <v>Non-Sugar</v>
          </cell>
          <cell r="O1400" t="str">
            <v>-</v>
          </cell>
          <cell r="P1400" t="str">
            <v>-</v>
          </cell>
          <cell r="Q1400" t="str">
            <v>-</v>
          </cell>
          <cell r="R1400" t="str">
            <v>-</v>
          </cell>
          <cell r="T1400" t="str">
            <v>-</v>
          </cell>
          <cell r="U1400" t="str">
            <v>-</v>
          </cell>
          <cell r="W1400" t="str">
            <v>-</v>
          </cell>
        </row>
        <row r="1401">
          <cell r="F1401" t="str">
            <v>BANG01E024</v>
          </cell>
          <cell r="G1401" t="str">
            <v>ETHEREAL MACHINES</v>
          </cell>
          <cell r="H1401" t="str">
            <v>-</v>
          </cell>
          <cell r="J1401" t="str">
            <v>Domestic</v>
          </cell>
          <cell r="K1401" t="str">
            <v>-</v>
          </cell>
          <cell r="L1401" t="str">
            <v>Non-Sugar</v>
          </cell>
          <cell r="O1401" t="str">
            <v>-</v>
          </cell>
          <cell r="P1401" t="str">
            <v>-</v>
          </cell>
          <cell r="Q1401" t="str">
            <v>-</v>
          </cell>
          <cell r="R1401" t="str">
            <v>-</v>
          </cell>
          <cell r="T1401" t="str">
            <v>-</v>
          </cell>
          <cell r="U1401" t="str">
            <v>-</v>
          </cell>
          <cell r="W1401" t="str">
            <v>-</v>
          </cell>
        </row>
        <row r="1402">
          <cell r="F1402" t="str">
            <v>NODA01E040</v>
          </cell>
          <cell r="G1402" t="str">
            <v>EURO TECH THERMAL</v>
          </cell>
          <cell r="H1402" t="str">
            <v>-</v>
          </cell>
          <cell r="J1402" t="str">
            <v>Domestic</v>
          </cell>
          <cell r="K1402" t="str">
            <v>-</v>
          </cell>
          <cell r="L1402" t="str">
            <v>Non-Sugar</v>
          </cell>
          <cell r="O1402" t="str">
            <v>-</v>
          </cell>
          <cell r="P1402" t="str">
            <v>-</v>
          </cell>
          <cell r="Q1402" t="str">
            <v>-</v>
          </cell>
          <cell r="R1402" t="str">
            <v>-</v>
          </cell>
          <cell r="T1402" t="str">
            <v>-</v>
          </cell>
          <cell r="U1402" t="str">
            <v>-</v>
          </cell>
          <cell r="W1402" t="str">
            <v>-</v>
          </cell>
        </row>
        <row r="1403">
          <cell r="F1403" t="str">
            <v>THAN01E019</v>
          </cell>
          <cell r="G1403" t="str">
            <v>EVEREST ANALYTICALS</v>
          </cell>
          <cell r="H1403" t="str">
            <v>-</v>
          </cell>
          <cell r="J1403" t="str">
            <v>Domestic</v>
          </cell>
          <cell r="P1403" t="str">
            <v>LGP</v>
          </cell>
          <cell r="Q1403" t="str">
            <v>-</v>
          </cell>
        </row>
        <row r="1404">
          <cell r="F1404" t="str">
            <v>THAN01E006</v>
          </cell>
          <cell r="G1404" t="str">
            <v>EVEREST PUMPS &amp; SYSTEMS</v>
          </cell>
          <cell r="H1404" t="str">
            <v>NA</v>
          </cell>
          <cell r="J1404" t="str">
            <v>Domestic</v>
          </cell>
          <cell r="K1404" t="str">
            <v>-</v>
          </cell>
          <cell r="L1404" t="str">
            <v>Non-Sugar</v>
          </cell>
          <cell r="O1404" t="str">
            <v>-</v>
          </cell>
          <cell r="P1404" t="str">
            <v>-</v>
          </cell>
          <cell r="Q1404" t="str">
            <v>-</v>
          </cell>
          <cell r="R1404" t="str">
            <v>-</v>
          </cell>
          <cell r="T1404" t="str">
            <v>-</v>
          </cell>
          <cell r="U1404" t="str">
            <v>-</v>
          </cell>
          <cell r="W1404" t="str">
            <v>-</v>
          </cell>
        </row>
        <row r="1405">
          <cell r="F1405" t="str">
            <v>PUNE01E025</v>
          </cell>
          <cell r="G1405" t="str">
            <v>EXCEL ENGINEERING</v>
          </cell>
          <cell r="H1405" t="str">
            <v>-</v>
          </cell>
          <cell r="J1405" t="str">
            <v>Domestic</v>
          </cell>
          <cell r="P1405" t="str">
            <v>AV</v>
          </cell>
          <cell r="Q1405" t="str">
            <v>-</v>
          </cell>
        </row>
        <row r="1406">
          <cell r="F1406" t="str">
            <v>NODA01E027</v>
          </cell>
          <cell r="G1406" t="str">
            <v>EXERGY DRYERS PRIVATE LIMITED</v>
          </cell>
          <cell r="H1406" t="str">
            <v>-</v>
          </cell>
          <cell r="J1406" t="str">
            <v>Domestic</v>
          </cell>
          <cell r="K1406" t="str">
            <v>-</v>
          </cell>
          <cell r="L1406" t="str">
            <v>Non-Sugar</v>
          </cell>
          <cell r="O1406" t="str">
            <v>-</v>
          </cell>
          <cell r="P1406" t="str">
            <v>-</v>
          </cell>
          <cell r="Q1406" t="str">
            <v>-</v>
          </cell>
          <cell r="R1406" t="str">
            <v>-</v>
          </cell>
          <cell r="T1406" t="str">
            <v>-</v>
          </cell>
          <cell r="U1406" t="str">
            <v>-</v>
          </cell>
          <cell r="W1406" t="str">
            <v>-</v>
          </cell>
        </row>
        <row r="1407">
          <cell r="F1407" t="str">
            <v>NANA01E029</v>
          </cell>
          <cell r="G1407" t="str">
            <v>EXPERTS INDUSTRIAL TECHNOLOGY</v>
          </cell>
          <cell r="H1407" t="str">
            <v>-</v>
          </cell>
          <cell r="J1407" t="str">
            <v>Domestic</v>
          </cell>
          <cell r="L1407" t="str">
            <v>Non-Sugar</v>
          </cell>
          <cell r="O1407" t="str">
            <v>-</v>
          </cell>
          <cell r="P1407" t="str">
            <v>-</v>
          </cell>
          <cell r="Q1407" t="str">
            <v>-</v>
          </cell>
        </row>
        <row r="1408">
          <cell r="F1408" t="str">
            <v>PUNE01F001</v>
          </cell>
          <cell r="G1408" t="str">
            <v>FABRICON PROCESS EQUIPMENTS</v>
          </cell>
          <cell r="H1408">
            <v>2013</v>
          </cell>
          <cell r="J1408" t="str">
            <v>Domestic</v>
          </cell>
          <cell r="K1408" t="str">
            <v>others</v>
          </cell>
          <cell r="L1408" t="str">
            <v>Non-Sugar</v>
          </cell>
          <cell r="M1408" t="str">
            <v>Trader</v>
          </cell>
          <cell r="O1408" t="str">
            <v>-</v>
          </cell>
          <cell r="P1408" t="str">
            <v>-</v>
          </cell>
          <cell r="Q1408" t="str">
            <v>-</v>
          </cell>
          <cell r="R1408" t="str">
            <v>-</v>
          </cell>
          <cell r="T1408" t="str">
            <v>-</v>
          </cell>
          <cell r="W1408" t="str">
            <v>-</v>
          </cell>
        </row>
        <row r="1409">
          <cell r="F1409" t="str">
            <v>PUNE01F012</v>
          </cell>
          <cell r="G1409" t="str">
            <v>FABTECH PROJECTS &amp; ENGINEERS LIMITED</v>
          </cell>
          <cell r="H1409">
            <v>2014</v>
          </cell>
          <cell r="J1409" t="str">
            <v>Domestic</v>
          </cell>
          <cell r="K1409" t="str">
            <v>others</v>
          </cell>
          <cell r="L1409" t="str">
            <v>Non-Sugar</v>
          </cell>
          <cell r="M1409" t="str">
            <v>Trader</v>
          </cell>
          <cell r="O1409" t="str">
            <v>-</v>
          </cell>
          <cell r="P1409" t="str">
            <v>-</v>
          </cell>
          <cell r="Q1409" t="str">
            <v>-</v>
          </cell>
          <cell r="R1409" t="str">
            <v>-</v>
          </cell>
          <cell r="T1409" t="str">
            <v>-</v>
          </cell>
          <cell r="W1409" t="str">
            <v>-</v>
          </cell>
        </row>
        <row r="1410">
          <cell r="F1410" t="str">
            <v>PUNE01F013</v>
          </cell>
          <cell r="G1410" t="str">
            <v>FABTECH PROJECTS &amp; ENGINEERS LTD.- III PLOT .4</v>
          </cell>
          <cell r="H1410" t="str">
            <v>-</v>
          </cell>
          <cell r="J1410" t="str">
            <v>Domestic</v>
          </cell>
          <cell r="K1410" t="str">
            <v>others</v>
          </cell>
          <cell r="L1410" t="str">
            <v>Non-Sugar</v>
          </cell>
          <cell r="M1410" t="str">
            <v>Trader</v>
          </cell>
          <cell r="O1410" t="str">
            <v>-</v>
          </cell>
          <cell r="P1410" t="str">
            <v>-</v>
          </cell>
          <cell r="Q1410" t="str">
            <v>-</v>
          </cell>
          <cell r="R1410" t="str">
            <v>-</v>
          </cell>
          <cell r="T1410" t="str">
            <v>-</v>
          </cell>
          <cell r="W1410" t="str">
            <v>-</v>
          </cell>
        </row>
        <row r="1411">
          <cell r="F1411" t="str">
            <v>PUNE01F008</v>
          </cell>
          <cell r="G1411" t="str">
            <v>FABTECH SUGARS LIMITED</v>
          </cell>
          <cell r="H1411">
            <v>2015</v>
          </cell>
          <cell r="J1411" t="str">
            <v>Domestic</v>
          </cell>
          <cell r="K1411" t="str">
            <v>Sugar</v>
          </cell>
          <cell r="M1411" t="str">
            <v>End User</v>
          </cell>
          <cell r="O1411" t="str">
            <v>-</v>
          </cell>
          <cell r="P1411" t="str">
            <v>-</v>
          </cell>
          <cell r="Q1411" t="str">
            <v>-</v>
          </cell>
          <cell r="R1411" t="str">
            <v>-</v>
          </cell>
          <cell r="T1411" t="str">
            <v>-</v>
          </cell>
          <cell r="W1411" t="str">
            <v>-</v>
          </cell>
        </row>
        <row r="1412">
          <cell r="F1412" t="str">
            <v>PUNE01F039</v>
          </cell>
          <cell r="G1412" t="str">
            <v>FILL PACK TECHNOLOGIES</v>
          </cell>
          <cell r="H1412" t="str">
            <v>-</v>
          </cell>
          <cell r="J1412" t="str">
            <v>Domestic</v>
          </cell>
          <cell r="K1412" t="str">
            <v>-</v>
          </cell>
          <cell r="L1412" t="str">
            <v>Non-Sugar</v>
          </cell>
          <cell r="O1412" t="str">
            <v>-</v>
          </cell>
          <cell r="P1412" t="str">
            <v>-</v>
          </cell>
          <cell r="Q1412" t="str">
            <v>-</v>
          </cell>
          <cell r="R1412" t="str">
            <v>-</v>
          </cell>
          <cell r="T1412" t="str">
            <v>-</v>
          </cell>
          <cell r="U1412" t="str">
            <v>-</v>
          </cell>
          <cell r="W1412" t="str">
            <v>-</v>
          </cell>
        </row>
        <row r="1413">
          <cell r="F1413" t="str">
            <v>PUNE01F029</v>
          </cell>
          <cell r="G1413" t="str">
            <v>FINALE MACHINE FABRIEKS</v>
          </cell>
          <cell r="H1413" t="str">
            <v>-</v>
          </cell>
          <cell r="J1413" t="str">
            <v>Domestic</v>
          </cell>
          <cell r="K1413" t="str">
            <v>-</v>
          </cell>
          <cell r="L1413" t="str">
            <v>Non-Sugar</v>
          </cell>
          <cell r="O1413" t="str">
            <v>-</v>
          </cell>
          <cell r="P1413" t="str">
            <v>-</v>
          </cell>
          <cell r="Q1413" t="str">
            <v>-</v>
          </cell>
          <cell r="R1413" t="str">
            <v>-</v>
          </cell>
          <cell r="T1413" t="str">
            <v>-</v>
          </cell>
          <cell r="U1413" t="str">
            <v>-</v>
          </cell>
          <cell r="W1413" t="str">
            <v>-</v>
          </cell>
        </row>
        <row r="1414">
          <cell r="F1414" t="str">
            <v>BURD01F002</v>
          </cell>
          <cell r="G1414" t="str">
            <v>FINANCE MANAGER URW EASTERN COALFIELDS LIMITED</v>
          </cell>
          <cell r="H1414" t="str">
            <v>-</v>
          </cell>
          <cell r="J1414" t="str">
            <v>Domestic</v>
          </cell>
          <cell r="K1414" t="str">
            <v>-</v>
          </cell>
          <cell r="L1414" t="str">
            <v>Non-Sugar</v>
          </cell>
          <cell r="O1414" t="str">
            <v>-</v>
          </cell>
          <cell r="P1414" t="str">
            <v>-</v>
          </cell>
          <cell r="Q1414" t="str">
            <v>-</v>
          </cell>
          <cell r="R1414" t="str">
            <v>-</v>
          </cell>
          <cell r="T1414" t="str">
            <v>-</v>
          </cell>
          <cell r="U1414" t="str">
            <v>-</v>
          </cell>
          <cell r="W1414" t="str">
            <v>-</v>
          </cell>
        </row>
        <row r="1415">
          <cell r="F1415" t="str">
            <v>NANA01F010</v>
          </cell>
          <cell r="G1415" t="str">
            <v>FINCHAA SUGAR FACTORY</v>
          </cell>
          <cell r="H1415" t="str">
            <v>-</v>
          </cell>
          <cell r="J1415" t="str">
            <v>Export</v>
          </cell>
          <cell r="K1415" t="str">
            <v>OTHERS</v>
          </cell>
          <cell r="L1415" t="str">
            <v>Non-Sugar</v>
          </cell>
          <cell r="M1415" t="str">
            <v>OEM</v>
          </cell>
          <cell r="O1415" t="str">
            <v>-</v>
          </cell>
          <cell r="P1415" t="str">
            <v>VA</v>
          </cell>
          <cell r="Q1415" t="str">
            <v>ANKUR</v>
          </cell>
        </row>
        <row r="1416">
          <cell r="F1416" t="str">
            <v>MUMB01F020</v>
          </cell>
          <cell r="G1416" t="str">
            <v>Finor Piplaj Chemicals Limited</v>
          </cell>
          <cell r="H1416" t="str">
            <v>-</v>
          </cell>
          <cell r="J1416" t="str">
            <v>Domestic</v>
          </cell>
          <cell r="K1416" t="str">
            <v>CHEMICAL</v>
          </cell>
          <cell r="L1416" t="str">
            <v>Non-Sugar</v>
          </cell>
          <cell r="M1416" t="str">
            <v>End User</v>
          </cell>
          <cell r="O1416" t="str">
            <v>-</v>
          </cell>
          <cell r="P1416" t="str">
            <v>-</v>
          </cell>
          <cell r="Q1416" t="str">
            <v>-</v>
          </cell>
          <cell r="R1416" t="str">
            <v>-</v>
          </cell>
          <cell r="T1416" t="str">
            <v>-</v>
          </cell>
          <cell r="U1416" t="str">
            <v>-</v>
          </cell>
          <cell r="W1416" t="str">
            <v>-</v>
          </cell>
        </row>
        <row r="1417">
          <cell r="F1417" t="str">
            <v>PUNE01F024</v>
          </cell>
          <cell r="G1417" t="str">
            <v>FIRETECH EQUIPMENT &amp; SYESTEM PVT LT</v>
          </cell>
          <cell r="H1417" t="str">
            <v>-</v>
          </cell>
          <cell r="J1417" t="str">
            <v>Domestic</v>
          </cell>
          <cell r="K1417" t="str">
            <v>-</v>
          </cell>
          <cell r="L1417" t="str">
            <v>Non-Sugar</v>
          </cell>
          <cell r="O1417" t="str">
            <v>-</v>
          </cell>
          <cell r="P1417" t="str">
            <v>-</v>
          </cell>
          <cell r="Q1417" t="str">
            <v>-</v>
          </cell>
          <cell r="R1417" t="str">
            <v>-</v>
          </cell>
          <cell r="T1417" t="str">
            <v>-</v>
          </cell>
          <cell r="U1417" t="str">
            <v>-</v>
          </cell>
          <cell r="W1417" t="str">
            <v>-</v>
          </cell>
        </row>
        <row r="1418">
          <cell r="F1418" t="str">
            <v>CHEN01F005</v>
          </cell>
          <cell r="G1418" t="str">
            <v>FIVECAIL KCP LTD (A/C FREIGHT )</v>
          </cell>
          <cell r="H1418">
            <v>2014</v>
          </cell>
          <cell r="J1418" t="str">
            <v>Domestic</v>
          </cell>
          <cell r="K1418" t="str">
            <v>Others</v>
          </cell>
          <cell r="L1418" t="str">
            <v>Non-Sugar</v>
          </cell>
          <cell r="M1418" t="str">
            <v>OEM</v>
          </cell>
          <cell r="P1418" t="str">
            <v>SI-GS</v>
          </cell>
          <cell r="Q1418" t="str">
            <v>SI-GS</v>
          </cell>
          <cell r="W1418" t="str">
            <v>-</v>
          </cell>
        </row>
        <row r="1419">
          <cell r="F1419" t="str">
            <v>WSGO01F006</v>
          </cell>
          <cell r="G1419" t="str">
            <v>FIVECAIL KCP LTD (A/C JEYPORE )</v>
          </cell>
          <cell r="H1419">
            <v>2014</v>
          </cell>
          <cell r="J1419" t="str">
            <v>Domestic</v>
          </cell>
          <cell r="K1419" t="str">
            <v>Others</v>
          </cell>
          <cell r="L1419" t="str">
            <v>Non-Sugar</v>
          </cell>
          <cell r="M1419" t="str">
            <v>OEM</v>
          </cell>
          <cell r="P1419" t="str">
            <v>SI-GS</v>
          </cell>
          <cell r="Q1419" t="str">
            <v>SI-GS</v>
          </cell>
          <cell r="W1419" t="str">
            <v>-</v>
          </cell>
        </row>
        <row r="1420">
          <cell r="F1420" t="str">
            <v>BELL01F007</v>
          </cell>
          <cell r="G1420" t="str">
            <v>FIVECAIL KCP LTD (A/C SIRIGUPPA )</v>
          </cell>
          <cell r="H1420">
            <v>2014</v>
          </cell>
          <cell r="J1420" t="str">
            <v>Domestic</v>
          </cell>
          <cell r="K1420" t="str">
            <v>Others</v>
          </cell>
          <cell r="L1420" t="str">
            <v>Non-Sugar</v>
          </cell>
          <cell r="M1420" t="str">
            <v>OEM</v>
          </cell>
          <cell r="P1420" t="str">
            <v>SI-GS</v>
          </cell>
          <cell r="Q1420" t="str">
            <v>SI-GS</v>
          </cell>
          <cell r="W1420" t="str">
            <v>-</v>
          </cell>
        </row>
        <row r="1421">
          <cell r="F1421" t="str">
            <v>CHEN01F021</v>
          </cell>
          <cell r="G1421" t="str">
            <v>FIVES CAILS - KCP LIMITED</v>
          </cell>
          <cell r="H1421" t="str">
            <v>-</v>
          </cell>
          <cell r="J1421" t="str">
            <v>Domestic</v>
          </cell>
          <cell r="K1421" t="str">
            <v>Others</v>
          </cell>
          <cell r="L1421" t="str">
            <v>Non-Sugar</v>
          </cell>
          <cell r="M1421" t="str">
            <v>OEM</v>
          </cell>
          <cell r="P1421" t="str">
            <v>SI-GS</v>
          </cell>
          <cell r="Q1421" t="str">
            <v>SI-GS</v>
          </cell>
          <cell r="W1421" t="str">
            <v>-</v>
          </cell>
        </row>
        <row r="1422">
          <cell r="F1422" t="str">
            <v>AHME01F011</v>
          </cell>
          <cell r="G1422" t="str">
            <v>FLARETECH</v>
          </cell>
          <cell r="H1422">
            <v>2014</v>
          </cell>
          <cell r="J1422" t="str">
            <v>Domestic</v>
          </cell>
          <cell r="K1422" t="str">
            <v>-</v>
          </cell>
          <cell r="L1422" t="str">
            <v>Non-Sugar</v>
          </cell>
          <cell r="M1422" t="str">
            <v>End User</v>
          </cell>
          <cell r="O1422" t="str">
            <v>-</v>
          </cell>
          <cell r="P1422" t="str">
            <v>-</v>
          </cell>
          <cell r="Q1422" t="str">
            <v>-</v>
          </cell>
          <cell r="R1422" t="str">
            <v>-</v>
          </cell>
          <cell r="T1422" t="str">
            <v>-</v>
          </cell>
          <cell r="U1422" t="str">
            <v>-</v>
          </cell>
          <cell r="W1422" t="str">
            <v>-</v>
          </cell>
        </row>
        <row r="1423">
          <cell r="F1423" t="str">
            <v>GUJA01F040</v>
          </cell>
          <cell r="G1423" t="str">
            <v>FLEET AUTOMATION</v>
          </cell>
          <cell r="H1423" t="str">
            <v>-</v>
          </cell>
          <cell r="J1423" t="str">
            <v>Domestic</v>
          </cell>
          <cell r="K1423" t="str">
            <v>-</v>
          </cell>
          <cell r="L1423" t="str">
            <v>Non-Sugar</v>
          </cell>
          <cell r="O1423" t="str">
            <v>-</v>
          </cell>
          <cell r="P1423" t="str">
            <v>-</v>
          </cell>
          <cell r="Q1423" t="str">
            <v>-</v>
          </cell>
          <cell r="R1423" t="str">
            <v>-</v>
          </cell>
          <cell r="T1423" t="str">
            <v>-</v>
          </cell>
          <cell r="U1423" t="str">
            <v>-</v>
          </cell>
          <cell r="W1423" t="str">
            <v>-</v>
          </cell>
        </row>
        <row r="1424">
          <cell r="F1424" t="str">
            <v>PUNE01F028</v>
          </cell>
          <cell r="G1424" t="str">
            <v>FLODYNE PUMP</v>
          </cell>
          <cell r="H1424" t="str">
            <v>-</v>
          </cell>
          <cell r="J1424" t="str">
            <v>Domestic</v>
          </cell>
          <cell r="K1424" t="str">
            <v>-</v>
          </cell>
          <cell r="L1424" t="str">
            <v>Non-Sugar</v>
          </cell>
          <cell r="O1424" t="str">
            <v>-</v>
          </cell>
          <cell r="P1424" t="str">
            <v>-</v>
          </cell>
          <cell r="Q1424" t="str">
            <v>-</v>
          </cell>
          <cell r="R1424" t="str">
            <v>-</v>
          </cell>
          <cell r="T1424" t="str">
            <v>-</v>
          </cell>
          <cell r="U1424" t="str">
            <v>-</v>
          </cell>
          <cell r="W1424" t="str">
            <v>-</v>
          </cell>
        </row>
        <row r="1425">
          <cell r="F1425" t="str">
            <v>UDAI01F003</v>
          </cell>
          <cell r="G1425" t="str">
            <v>FMT ENGINEERS PVT. LTD</v>
          </cell>
          <cell r="H1425" t="str">
            <v>-</v>
          </cell>
          <cell r="J1425" t="str">
            <v>Domestic</v>
          </cell>
          <cell r="K1425" t="str">
            <v>-</v>
          </cell>
          <cell r="L1425" t="str">
            <v>Non-Sugar</v>
          </cell>
          <cell r="O1425" t="str">
            <v>-</v>
          </cell>
          <cell r="P1425" t="str">
            <v>-</v>
          </cell>
          <cell r="Q1425" t="str">
            <v>-</v>
          </cell>
          <cell r="R1425" t="str">
            <v>-</v>
          </cell>
          <cell r="T1425" t="str">
            <v>-</v>
          </cell>
          <cell r="U1425" t="str">
            <v>-</v>
          </cell>
          <cell r="W1425" t="str">
            <v>-</v>
          </cell>
        </row>
        <row r="1426">
          <cell r="F1426" t="str">
            <v>PUNE01F033</v>
          </cell>
          <cell r="G1426" t="str">
            <v>FOR EXIMIOUS TECHNOLOGIES</v>
          </cell>
          <cell r="H1426" t="str">
            <v>-</v>
          </cell>
          <cell r="J1426" t="str">
            <v>Domestic</v>
          </cell>
          <cell r="K1426" t="str">
            <v>-</v>
          </cell>
          <cell r="L1426" t="str">
            <v>Non-Sugar</v>
          </cell>
          <cell r="O1426" t="str">
            <v>-</v>
          </cell>
          <cell r="P1426" t="str">
            <v>-</v>
          </cell>
          <cell r="Q1426" t="str">
            <v>-</v>
          </cell>
          <cell r="R1426" t="str">
            <v>-</v>
          </cell>
          <cell r="T1426" t="str">
            <v>-</v>
          </cell>
          <cell r="U1426" t="str">
            <v>-</v>
          </cell>
          <cell r="W1426" t="str">
            <v>-</v>
          </cell>
        </row>
        <row r="1427">
          <cell r="F1427" t="str">
            <v>PUNE01F035</v>
          </cell>
          <cell r="G1427" t="str">
            <v>FOR GLOBAL ENTERPRISES</v>
          </cell>
          <cell r="H1427" t="str">
            <v>-</v>
          </cell>
          <cell r="J1427" t="str">
            <v>Domestic</v>
          </cell>
          <cell r="K1427" t="str">
            <v>-</v>
          </cell>
          <cell r="L1427" t="str">
            <v>Non-Sugar</v>
          </cell>
          <cell r="O1427" t="str">
            <v>-</v>
          </cell>
          <cell r="P1427" t="str">
            <v>-</v>
          </cell>
          <cell r="Q1427" t="str">
            <v>-</v>
          </cell>
          <cell r="R1427" t="str">
            <v>-</v>
          </cell>
          <cell r="T1427" t="str">
            <v>-</v>
          </cell>
          <cell r="U1427" t="str">
            <v>-</v>
          </cell>
          <cell r="W1427" t="str">
            <v>-</v>
          </cell>
        </row>
        <row r="1428">
          <cell r="F1428" t="str">
            <v>DABI01F026</v>
          </cell>
          <cell r="G1428" t="str">
            <v>FORGES TARDIEU LTD</v>
          </cell>
          <cell r="H1428" t="str">
            <v>-</v>
          </cell>
          <cell r="J1428" t="str">
            <v>Export</v>
          </cell>
          <cell r="K1428" t="str">
            <v>-</v>
          </cell>
          <cell r="L1428" t="str">
            <v>Non-Sugar</v>
          </cell>
          <cell r="O1428" t="str">
            <v>-</v>
          </cell>
          <cell r="P1428" t="str">
            <v>-</v>
          </cell>
          <cell r="Q1428" t="str">
            <v>-</v>
          </cell>
          <cell r="R1428" t="str">
            <v>-</v>
          </cell>
          <cell r="T1428" t="str">
            <v>-</v>
          </cell>
          <cell r="U1428" t="str">
            <v>-</v>
          </cell>
          <cell r="W1428" t="str">
            <v>-</v>
          </cell>
        </row>
        <row r="1429">
          <cell r="F1429" t="str">
            <v>NODA01F037</v>
          </cell>
          <cell r="G1429" t="str">
            <v>FRAZIL WATER PVT LTD</v>
          </cell>
          <cell r="H1429" t="str">
            <v>-</v>
          </cell>
          <cell r="J1429" t="str">
            <v>Domestic</v>
          </cell>
          <cell r="K1429" t="str">
            <v>-</v>
          </cell>
          <cell r="L1429" t="str">
            <v>Non-Sugar</v>
          </cell>
          <cell r="O1429" t="str">
            <v>-</v>
          </cell>
          <cell r="P1429" t="str">
            <v>-</v>
          </cell>
          <cell r="Q1429" t="str">
            <v>-</v>
          </cell>
          <cell r="R1429" t="str">
            <v>-</v>
          </cell>
          <cell r="T1429" t="str">
            <v>-</v>
          </cell>
          <cell r="U1429" t="str">
            <v>-</v>
          </cell>
          <cell r="W1429" t="str">
            <v>-</v>
          </cell>
        </row>
        <row r="1430">
          <cell r="F1430" t="str">
            <v>NAIN01F038</v>
          </cell>
          <cell r="G1430" t="str">
            <v>FRESH PICK FOODS</v>
          </cell>
          <cell r="H1430" t="str">
            <v>-</v>
          </cell>
          <cell r="J1430" t="str">
            <v>Domestic</v>
          </cell>
          <cell r="K1430" t="str">
            <v>-</v>
          </cell>
          <cell r="L1430" t="str">
            <v>Non-Sugar</v>
          </cell>
          <cell r="O1430" t="str">
            <v>-</v>
          </cell>
          <cell r="P1430" t="str">
            <v>-</v>
          </cell>
          <cell r="Q1430" t="str">
            <v>-</v>
          </cell>
          <cell r="R1430" t="str">
            <v>-</v>
          </cell>
          <cell r="T1430" t="str">
            <v>-</v>
          </cell>
          <cell r="U1430" t="str">
            <v>-</v>
          </cell>
          <cell r="W1430" t="str">
            <v>-</v>
          </cell>
        </row>
        <row r="1431">
          <cell r="F1431" t="str">
            <v>CHEN01F032</v>
          </cell>
          <cell r="G1431" t="str">
            <v>FRIGO SCAM</v>
          </cell>
          <cell r="H1431" t="str">
            <v>-</v>
          </cell>
          <cell r="J1431" t="str">
            <v>Domestic</v>
          </cell>
          <cell r="K1431" t="str">
            <v>-</v>
          </cell>
          <cell r="L1431" t="str">
            <v>Non-Sugar</v>
          </cell>
          <cell r="O1431" t="str">
            <v>-</v>
          </cell>
          <cell r="P1431" t="str">
            <v>-</v>
          </cell>
          <cell r="Q1431" t="str">
            <v>-</v>
          </cell>
          <cell r="R1431" t="str">
            <v>-</v>
          </cell>
          <cell r="T1431" t="str">
            <v>-</v>
          </cell>
          <cell r="U1431" t="str">
            <v>-</v>
          </cell>
          <cell r="W1431" t="str">
            <v>-</v>
          </cell>
        </row>
        <row r="1432">
          <cell r="F1432" t="str">
            <v>JAMM01F025</v>
          </cell>
          <cell r="G1432" t="str">
            <v>FRONTIER ALLOY STEEL LTD</v>
          </cell>
          <cell r="H1432" t="str">
            <v>-</v>
          </cell>
          <cell r="J1432" t="str">
            <v>Domestic</v>
          </cell>
          <cell r="K1432" t="str">
            <v>-</v>
          </cell>
          <cell r="L1432" t="str">
            <v>Non-Sugar</v>
          </cell>
          <cell r="O1432" t="str">
            <v>-</v>
          </cell>
          <cell r="P1432" t="str">
            <v>-</v>
          </cell>
          <cell r="Q1432" t="str">
            <v>-</v>
          </cell>
          <cell r="R1432" t="str">
            <v>-</v>
          </cell>
          <cell r="T1432" t="str">
            <v>-</v>
          </cell>
          <cell r="U1432" t="str">
            <v>-</v>
          </cell>
          <cell r="W1432" t="str">
            <v>-</v>
          </cell>
        </row>
        <row r="1433">
          <cell r="F1433" t="str">
            <v>DLHI01F022</v>
          </cell>
          <cell r="G1433" t="str">
            <v>FUCHS LUBRICANTS</v>
          </cell>
          <cell r="H1433" t="str">
            <v>-</v>
          </cell>
          <cell r="J1433" t="str">
            <v>Domestic</v>
          </cell>
          <cell r="K1433" t="str">
            <v>-</v>
          </cell>
          <cell r="L1433" t="str">
            <v>Non-Sugar</v>
          </cell>
          <cell r="O1433" t="str">
            <v>-</v>
          </cell>
          <cell r="P1433" t="str">
            <v>-</v>
          </cell>
          <cell r="Q1433" t="str">
            <v>-</v>
          </cell>
          <cell r="R1433" t="str">
            <v>-</v>
          </cell>
          <cell r="T1433" t="str">
            <v>-</v>
          </cell>
          <cell r="U1433" t="str">
            <v>-</v>
          </cell>
          <cell r="W1433" t="str">
            <v>-</v>
          </cell>
        </row>
        <row r="1434">
          <cell r="F1434" t="str">
            <v>VADO01F023</v>
          </cell>
          <cell r="G1434" t="str">
            <v>FUTURE INDUSTRIAL SOLUTIONS</v>
          </cell>
          <cell r="H1434" t="str">
            <v>-</v>
          </cell>
          <cell r="J1434" t="str">
            <v>Domestic</v>
          </cell>
          <cell r="K1434" t="str">
            <v>-</v>
          </cell>
          <cell r="L1434" t="str">
            <v>Non-Sugar</v>
          </cell>
          <cell r="O1434" t="str">
            <v>-</v>
          </cell>
          <cell r="P1434" t="str">
            <v>-</v>
          </cell>
          <cell r="Q1434" t="str">
            <v>-</v>
          </cell>
          <cell r="R1434" t="str">
            <v>-</v>
          </cell>
          <cell r="T1434" t="str">
            <v>-</v>
          </cell>
          <cell r="U1434" t="str">
            <v>-</v>
          </cell>
          <cell r="W1434" t="str">
            <v>-</v>
          </cell>
        </row>
        <row r="1435">
          <cell r="F1435" t="str">
            <v>CHEN01G016</v>
          </cell>
          <cell r="G1435" t="str">
            <v>G TAMILSELVI</v>
          </cell>
          <cell r="H1435">
            <v>2015</v>
          </cell>
          <cell r="J1435" t="str">
            <v>Domestic</v>
          </cell>
          <cell r="K1435" t="str">
            <v>Others</v>
          </cell>
          <cell r="L1435" t="str">
            <v>Non-Sugar</v>
          </cell>
          <cell r="P1435" t="str">
            <v>SI-GS</v>
          </cell>
          <cell r="Q1435" t="str">
            <v>SI-GS</v>
          </cell>
          <cell r="W1435" t="str">
            <v>-</v>
          </cell>
        </row>
        <row r="1436">
          <cell r="F1436" t="str">
            <v>SANR01G031</v>
          </cell>
          <cell r="G1436" t="str">
            <v>GAHIR PAPER MILL</v>
          </cell>
          <cell r="H1436" t="str">
            <v>-</v>
          </cell>
          <cell r="J1436" t="str">
            <v>Domestic</v>
          </cell>
          <cell r="K1436" t="str">
            <v>Paper</v>
          </cell>
          <cell r="L1436" t="str">
            <v>Non-Sugar</v>
          </cell>
          <cell r="M1436" t="str">
            <v>End User</v>
          </cell>
          <cell r="O1436" t="str">
            <v>-</v>
          </cell>
          <cell r="P1436" t="str">
            <v>-</v>
          </cell>
          <cell r="Q1436" t="str">
            <v>-</v>
          </cell>
          <cell r="R1436" t="str">
            <v>-</v>
          </cell>
          <cell r="T1436" t="str">
            <v>-</v>
          </cell>
          <cell r="U1436" t="str">
            <v>-</v>
          </cell>
          <cell r="W1436" t="str">
            <v>-</v>
          </cell>
        </row>
        <row r="1437">
          <cell r="F1437" t="str">
            <v>PATA01G083</v>
          </cell>
          <cell r="G1437" t="str">
            <v>GAIL</v>
          </cell>
          <cell r="H1437" t="str">
            <v>-</v>
          </cell>
          <cell r="J1437" t="str">
            <v>Domestic</v>
          </cell>
          <cell r="K1437" t="str">
            <v>-</v>
          </cell>
          <cell r="L1437" t="str">
            <v>Non-Sugar</v>
          </cell>
          <cell r="O1437" t="str">
            <v>-</v>
          </cell>
          <cell r="P1437" t="str">
            <v>-</v>
          </cell>
          <cell r="Q1437" t="str">
            <v>-</v>
          </cell>
          <cell r="R1437" t="str">
            <v>-</v>
          </cell>
          <cell r="T1437" t="str">
            <v>-</v>
          </cell>
          <cell r="U1437" t="str">
            <v>-</v>
          </cell>
          <cell r="W1437" t="str">
            <v>-</v>
          </cell>
        </row>
        <row r="1438">
          <cell r="F1438" t="str">
            <v>JALN01G049</v>
          </cell>
          <cell r="G1438" t="str">
            <v>GAJLAXMI STEEL PVT LTD</v>
          </cell>
          <cell r="H1438" t="str">
            <v>-</v>
          </cell>
          <cell r="J1438" t="str">
            <v>Domestic</v>
          </cell>
          <cell r="K1438" t="str">
            <v>-</v>
          </cell>
          <cell r="L1438" t="str">
            <v>Non-Sugar</v>
          </cell>
          <cell r="O1438" t="str">
            <v>-</v>
          </cell>
          <cell r="P1438" t="str">
            <v>-</v>
          </cell>
          <cell r="Q1438" t="str">
            <v>-</v>
          </cell>
          <cell r="R1438" t="str">
            <v>-</v>
          </cell>
          <cell r="T1438" t="str">
            <v>-</v>
          </cell>
          <cell r="U1438" t="str">
            <v>-</v>
          </cell>
          <cell r="W1438" t="str">
            <v>-</v>
          </cell>
        </row>
        <row r="1439">
          <cell r="F1439" t="str">
            <v>NANA01G039</v>
          </cell>
          <cell r="G1439" t="str">
            <v>GALVAT CONSTRUCTIONS PVT LTD</v>
          </cell>
          <cell r="H1439" t="str">
            <v>-</v>
          </cell>
          <cell r="J1439" t="str">
            <v>Domestic</v>
          </cell>
          <cell r="L1439" t="str">
            <v>Non-Sugar</v>
          </cell>
          <cell r="O1439" t="str">
            <v>-</v>
          </cell>
          <cell r="P1439" t="str">
            <v>-</v>
          </cell>
          <cell r="Q1439" t="str">
            <v>-</v>
          </cell>
        </row>
        <row r="1440">
          <cell r="F1440" t="str">
            <v>PUNA01G109</v>
          </cell>
          <cell r="G1440" t="str">
            <v>GANGA CANE ENERGY PVT LTD (Formerly KANCHESHWAR SUGAR LTD)(New name-Manjara sugar industries ltd.)</v>
          </cell>
          <cell r="H1440">
            <v>2023</v>
          </cell>
          <cell r="J1440" t="str">
            <v>Domestic</v>
          </cell>
          <cell r="K1440" t="str">
            <v>Sugar</v>
          </cell>
          <cell r="M1440" t="str">
            <v>End User</v>
          </cell>
          <cell r="O1440" t="str">
            <v>Sugar 4000
Distillery 45 KLPD (Expn plan upto 65 KLPD through SS Engg)</v>
          </cell>
          <cell r="P1440" t="str">
            <v>AV</v>
          </cell>
          <cell r="Q1440" t="str">
            <v>-</v>
          </cell>
          <cell r="R1440" t="str">
            <v>-</v>
          </cell>
          <cell r="T1440" t="str">
            <v>TOUR-6 (Pune &amp; Solapur)</v>
          </cell>
          <cell r="U1440" t="str">
            <v>23-24</v>
          </cell>
          <cell r="W1440">
            <v>45085</v>
          </cell>
        </row>
        <row r="1441">
          <cell r="F1441" t="str">
            <v>PARB01G001</v>
          </cell>
          <cell r="G1441" t="str">
            <v>GANGAKHED SUGAR &amp; ENERGY LTD(G7 SUGAR LTD)</v>
          </cell>
          <cell r="H1441">
            <v>2013</v>
          </cell>
          <cell r="J1441" t="str">
            <v>Domestic</v>
          </cell>
          <cell r="K1441" t="str">
            <v>Sugar</v>
          </cell>
          <cell r="L1441" t="str">
            <v>Sugar</v>
          </cell>
          <cell r="M1441" t="str">
            <v>End User</v>
          </cell>
          <cell r="O1441">
            <v>6000</v>
          </cell>
          <cell r="P1441" t="str">
            <v>AV</v>
          </cell>
          <cell r="Q1441" t="str">
            <v>AV</v>
          </cell>
          <cell r="R1441" t="str">
            <v>AT</v>
          </cell>
          <cell r="T1441" t="str">
            <v>Tour 15 (PARBHANI)</v>
          </cell>
          <cell r="U1441" t="str">
            <v>23-24</v>
          </cell>
          <cell r="W1441">
            <v>45327</v>
          </cell>
        </row>
        <row r="1442">
          <cell r="F1442" t="str">
            <v>PUNE01G074</v>
          </cell>
          <cell r="G1442" t="str">
            <v>GBD ENTERPRISES</v>
          </cell>
          <cell r="H1442" t="str">
            <v>-</v>
          </cell>
          <cell r="J1442" t="str">
            <v>Domestic</v>
          </cell>
          <cell r="K1442" t="str">
            <v>-</v>
          </cell>
          <cell r="L1442" t="str">
            <v>Non-Sugar</v>
          </cell>
          <cell r="O1442" t="str">
            <v>-</v>
          </cell>
          <cell r="P1442" t="str">
            <v>-</v>
          </cell>
          <cell r="Q1442" t="str">
            <v>-</v>
          </cell>
          <cell r="R1442" t="str">
            <v>-</v>
          </cell>
          <cell r="T1442" t="str">
            <v>-</v>
          </cell>
          <cell r="U1442" t="str">
            <v>-</v>
          </cell>
          <cell r="W1442" t="str">
            <v>-</v>
          </cell>
        </row>
        <row r="1443">
          <cell r="F1443" t="str">
            <v>GURG01G091</v>
          </cell>
          <cell r="G1443" t="str">
            <v>GEA WESTFALIA</v>
          </cell>
          <cell r="H1443" t="str">
            <v>-</v>
          </cell>
          <cell r="J1443" t="str">
            <v>Domestic</v>
          </cell>
          <cell r="K1443" t="str">
            <v>-</v>
          </cell>
          <cell r="L1443" t="str">
            <v>Non-Sugar</v>
          </cell>
          <cell r="O1443" t="str">
            <v>-</v>
          </cell>
          <cell r="P1443" t="str">
            <v>-</v>
          </cell>
          <cell r="Q1443" t="str">
            <v>-</v>
          </cell>
          <cell r="R1443" t="str">
            <v>-</v>
          </cell>
          <cell r="T1443" t="str">
            <v>-</v>
          </cell>
          <cell r="U1443" t="str">
            <v>-</v>
          </cell>
          <cell r="W1443" t="str">
            <v>-</v>
          </cell>
        </row>
        <row r="1444">
          <cell r="F1444" t="str">
            <v>SOLP01G143</v>
          </cell>
          <cell r="G1444" t="str">
            <v>GEETANJALI SUGARS PRIVATE LTD</v>
          </cell>
          <cell r="H1444" t="str">
            <v>-</v>
          </cell>
          <cell r="J1444" t="str">
            <v>Domestic</v>
          </cell>
          <cell r="P1444" t="str">
            <v>MRK</v>
          </cell>
          <cell r="Q1444" t="str">
            <v>-</v>
          </cell>
        </row>
        <row r="1445">
          <cell r="F1445" t="str">
            <v>KOLK01G084</v>
          </cell>
          <cell r="G1445" t="str">
            <v>GEM</v>
          </cell>
          <cell r="H1445" t="str">
            <v>-</v>
          </cell>
          <cell r="J1445" t="str">
            <v>Domestic</v>
          </cell>
          <cell r="K1445" t="str">
            <v>-</v>
          </cell>
          <cell r="L1445" t="str">
            <v>Non-Sugar</v>
          </cell>
          <cell r="O1445" t="str">
            <v>-</v>
          </cell>
          <cell r="P1445" t="str">
            <v>-</v>
          </cell>
          <cell r="Q1445" t="str">
            <v>-</v>
          </cell>
          <cell r="R1445" t="str">
            <v>-</v>
          </cell>
          <cell r="T1445" t="str">
            <v>-</v>
          </cell>
          <cell r="U1445" t="str">
            <v>-</v>
          </cell>
          <cell r="W1445" t="str">
            <v>-</v>
          </cell>
        </row>
        <row r="1446">
          <cell r="F1446" t="str">
            <v>PUNE01G078</v>
          </cell>
          <cell r="G1446" t="str">
            <v>GEM PHARMA SYSTEMS INDIA PRIVATE LIMITED</v>
          </cell>
          <cell r="H1446" t="str">
            <v>-</v>
          </cell>
          <cell r="J1446" t="str">
            <v>Domestic</v>
          </cell>
          <cell r="K1446" t="str">
            <v>-</v>
          </cell>
          <cell r="L1446" t="str">
            <v>Non-Sugar</v>
          </cell>
          <cell r="O1446" t="str">
            <v>-</v>
          </cell>
          <cell r="P1446" t="str">
            <v>-</v>
          </cell>
          <cell r="Q1446" t="str">
            <v>-</v>
          </cell>
          <cell r="R1446" t="str">
            <v>-</v>
          </cell>
          <cell r="T1446" t="str">
            <v>-</v>
          </cell>
          <cell r="U1446" t="str">
            <v>-</v>
          </cell>
          <cell r="W1446" t="str">
            <v>-</v>
          </cell>
        </row>
        <row r="1447">
          <cell r="F1447" t="str">
            <v>BAGA01G005</v>
          </cell>
          <cell r="G1447" t="str">
            <v>GEM SUGAR PROJECT GEM SUGARS LIMITED</v>
          </cell>
          <cell r="H1447">
            <v>2013</v>
          </cell>
          <cell r="J1447" t="str">
            <v>Domestic</v>
          </cell>
          <cell r="K1447" t="str">
            <v>Sugar</v>
          </cell>
          <cell r="M1447" t="str">
            <v>End User</v>
          </cell>
          <cell r="O1447" t="str">
            <v>-</v>
          </cell>
          <cell r="P1447" t="str">
            <v>-</v>
          </cell>
          <cell r="Q1447" t="str">
            <v>-</v>
          </cell>
          <cell r="R1447" t="str">
            <v>-</v>
          </cell>
          <cell r="T1447" t="str">
            <v>-</v>
          </cell>
          <cell r="W1447" t="str">
            <v>-</v>
          </cell>
        </row>
        <row r="1448">
          <cell r="F1448" t="str">
            <v>BURD01G018</v>
          </cell>
          <cell r="G1448" t="str">
            <v>GENERAL MANAGER (F) I/C EASTERN COALFIELDS LIMITED</v>
          </cell>
          <cell r="H1448" t="str">
            <v>-</v>
          </cell>
          <cell r="J1448" t="str">
            <v>Domestic</v>
          </cell>
          <cell r="K1448" t="str">
            <v>-</v>
          </cell>
          <cell r="L1448" t="str">
            <v>Non-Sugar</v>
          </cell>
          <cell r="O1448" t="str">
            <v>-</v>
          </cell>
          <cell r="P1448" t="str">
            <v>-</v>
          </cell>
          <cell r="Q1448" t="str">
            <v>-</v>
          </cell>
          <cell r="R1448" t="str">
            <v>-</v>
          </cell>
          <cell r="T1448" t="str">
            <v>-</v>
          </cell>
          <cell r="U1448" t="str">
            <v>-</v>
          </cell>
          <cell r="W1448" t="str">
            <v>-</v>
          </cell>
        </row>
        <row r="1449">
          <cell r="F1449" t="str">
            <v>CHEN01G100</v>
          </cell>
          <cell r="G1449" t="str">
            <v>GEO MARINE CONSULTANT PVT.LTD.</v>
          </cell>
          <cell r="H1449" t="str">
            <v>-</v>
          </cell>
          <cell r="J1449" t="str">
            <v>Domestic</v>
          </cell>
          <cell r="K1449" t="str">
            <v>-</v>
          </cell>
          <cell r="L1449" t="str">
            <v>Non-Sugar</v>
          </cell>
          <cell r="O1449" t="str">
            <v>-</v>
          </cell>
          <cell r="P1449" t="str">
            <v>-</v>
          </cell>
          <cell r="Q1449" t="str">
            <v>-</v>
          </cell>
          <cell r="R1449" t="str">
            <v>-</v>
          </cell>
          <cell r="T1449" t="str">
            <v>-</v>
          </cell>
          <cell r="U1449" t="str">
            <v>-</v>
          </cell>
          <cell r="W1449" t="str">
            <v>-</v>
          </cell>
        </row>
        <row r="1450">
          <cell r="F1450" t="str">
            <v>KOLH01G075</v>
          </cell>
          <cell r="G1450" t="str">
            <v>GHATGE PATIL IND LTD KAGAL KOLHAPUR</v>
          </cell>
          <cell r="H1450" t="str">
            <v>-</v>
          </cell>
          <cell r="J1450" t="str">
            <v>Domestic</v>
          </cell>
          <cell r="K1450" t="str">
            <v>-</v>
          </cell>
          <cell r="L1450" t="str">
            <v>Non-Sugar</v>
          </cell>
          <cell r="O1450" t="str">
            <v>-</v>
          </cell>
          <cell r="P1450" t="str">
            <v>-</v>
          </cell>
          <cell r="Q1450" t="str">
            <v>-</v>
          </cell>
          <cell r="R1450" t="str">
            <v>-</v>
          </cell>
          <cell r="T1450" t="str">
            <v>-</v>
          </cell>
          <cell r="U1450" t="str">
            <v>-</v>
          </cell>
          <cell r="W1450" t="str">
            <v>-</v>
          </cell>
        </row>
        <row r="1451">
          <cell r="F1451" t="str">
            <v>GHZB01G098</v>
          </cell>
          <cell r="G1451" t="str">
            <v>GHAZIYABAD POLYMERS PVT.LTD.</v>
          </cell>
          <cell r="H1451" t="str">
            <v>-</v>
          </cell>
          <cell r="J1451" t="str">
            <v>Domestic</v>
          </cell>
          <cell r="K1451" t="str">
            <v>-</v>
          </cell>
          <cell r="L1451" t="str">
            <v>Non-Sugar</v>
          </cell>
          <cell r="O1451" t="str">
            <v>-</v>
          </cell>
          <cell r="P1451" t="str">
            <v>-</v>
          </cell>
          <cell r="Q1451" t="str">
            <v>-</v>
          </cell>
          <cell r="R1451" t="str">
            <v>-</v>
          </cell>
          <cell r="T1451" t="str">
            <v>-</v>
          </cell>
          <cell r="U1451" t="str">
            <v>24-25</v>
          </cell>
          <cell r="W1451">
            <v>45572</v>
          </cell>
        </row>
        <row r="1452">
          <cell r="F1452" t="str">
            <v>THAN01G046</v>
          </cell>
          <cell r="G1452" t="str">
            <v>GIPFEL ENGINEERING</v>
          </cell>
          <cell r="H1452" t="str">
            <v>-</v>
          </cell>
          <cell r="J1452" t="str">
            <v>Domestic</v>
          </cell>
          <cell r="K1452" t="str">
            <v>-</v>
          </cell>
          <cell r="L1452" t="str">
            <v>Non-Sugar</v>
          </cell>
          <cell r="O1452" t="str">
            <v>-</v>
          </cell>
          <cell r="P1452" t="str">
            <v>-</v>
          </cell>
          <cell r="Q1452" t="str">
            <v>-</v>
          </cell>
          <cell r="R1452" t="str">
            <v>-</v>
          </cell>
          <cell r="T1452" t="str">
            <v>-</v>
          </cell>
          <cell r="U1452" t="str">
            <v>-</v>
          </cell>
          <cell r="W1452" t="str">
            <v>-</v>
          </cell>
        </row>
        <row r="1453">
          <cell r="F1453" t="str">
            <v>NELL01G094</v>
          </cell>
          <cell r="G1453" t="str">
            <v>GIRI ENGINEERING COMPANY</v>
          </cell>
          <cell r="H1453" t="str">
            <v>-</v>
          </cell>
          <cell r="J1453" t="str">
            <v>Domestic</v>
          </cell>
          <cell r="K1453" t="str">
            <v>-</v>
          </cell>
          <cell r="L1453" t="str">
            <v>Non-Sugar</v>
          </cell>
          <cell r="O1453" t="str">
            <v>-</v>
          </cell>
          <cell r="P1453" t="str">
            <v>-</v>
          </cell>
          <cell r="Q1453" t="str">
            <v>-</v>
          </cell>
          <cell r="R1453" t="str">
            <v>-</v>
          </cell>
          <cell r="T1453" t="str">
            <v>-</v>
          </cell>
          <cell r="U1453" t="str">
            <v>-</v>
          </cell>
          <cell r="W1453" t="str">
            <v>-</v>
          </cell>
        </row>
        <row r="1454">
          <cell r="F1454" t="str">
            <v>CHEN01G097</v>
          </cell>
          <cell r="G1454" t="str">
            <v>GIRININDIA TRENDZ EXIM PVT LTD</v>
          </cell>
          <cell r="H1454" t="str">
            <v>-</v>
          </cell>
          <cell r="J1454" t="str">
            <v>Domestic</v>
          </cell>
          <cell r="K1454" t="str">
            <v>-</v>
          </cell>
          <cell r="L1454" t="str">
            <v>Non-Sugar</v>
          </cell>
          <cell r="O1454" t="str">
            <v>-</v>
          </cell>
          <cell r="P1454" t="str">
            <v>-</v>
          </cell>
          <cell r="Q1454" t="str">
            <v>-</v>
          </cell>
          <cell r="R1454" t="str">
            <v>-</v>
          </cell>
          <cell r="T1454" t="str">
            <v>-</v>
          </cell>
          <cell r="U1454" t="str">
            <v>-</v>
          </cell>
          <cell r="W1454" t="str">
            <v>-</v>
          </cell>
        </row>
        <row r="1455">
          <cell r="F1455" t="str">
            <v>SAHA01G063</v>
          </cell>
          <cell r="G1455" t="str">
            <v>GITA PUMPS INDIA PVT LTD.</v>
          </cell>
          <cell r="H1455" t="str">
            <v>21-22</v>
          </cell>
          <cell r="J1455" t="str">
            <v>Domestic</v>
          </cell>
          <cell r="K1455" t="str">
            <v>OTHERS</v>
          </cell>
          <cell r="L1455" t="str">
            <v>Non-Sugar</v>
          </cell>
          <cell r="M1455" t="str">
            <v>OEM</v>
          </cell>
          <cell r="O1455" t="str">
            <v>-</v>
          </cell>
          <cell r="P1455" t="str">
            <v>HO</v>
          </cell>
          <cell r="Q1455" t="str">
            <v>-</v>
          </cell>
          <cell r="T1455" t="str">
            <v>-</v>
          </cell>
          <cell r="U1455" t="str">
            <v>-</v>
          </cell>
          <cell r="W1455" t="str">
            <v>-</v>
          </cell>
        </row>
        <row r="1456">
          <cell r="F1456" t="str">
            <v>DHAN01G037</v>
          </cell>
          <cell r="G1456" t="str">
            <v>GKC POWER PRIVATE LIMITED</v>
          </cell>
          <cell r="H1456" t="str">
            <v>-</v>
          </cell>
          <cell r="J1456" t="str">
            <v>Domestic</v>
          </cell>
          <cell r="K1456" t="str">
            <v>-</v>
          </cell>
          <cell r="L1456" t="str">
            <v>Non-Sugar</v>
          </cell>
          <cell r="O1456" t="str">
            <v>-</v>
          </cell>
          <cell r="P1456" t="str">
            <v>-</v>
          </cell>
          <cell r="Q1456" t="str">
            <v>-</v>
          </cell>
          <cell r="R1456" t="str">
            <v>-</v>
          </cell>
          <cell r="T1456" t="str">
            <v>-</v>
          </cell>
          <cell r="U1456" t="str">
            <v>-</v>
          </cell>
          <cell r="W1456" t="str">
            <v>-</v>
          </cell>
        </row>
        <row r="1457">
          <cell r="F1457" t="str">
            <v>TRIC01G062</v>
          </cell>
          <cell r="G1457" t="str">
            <v>GKN FOOD PRODUCTS</v>
          </cell>
          <cell r="H1457" t="str">
            <v>-</v>
          </cell>
          <cell r="J1457" t="str">
            <v>Domestic</v>
          </cell>
          <cell r="K1457" t="str">
            <v>-</v>
          </cell>
          <cell r="L1457" t="str">
            <v>Non-Sugar</v>
          </cell>
          <cell r="O1457" t="str">
            <v>-</v>
          </cell>
          <cell r="P1457" t="str">
            <v>-</v>
          </cell>
          <cell r="Q1457" t="str">
            <v>-</v>
          </cell>
          <cell r="R1457" t="str">
            <v>-</v>
          </cell>
          <cell r="T1457" t="str">
            <v>-</v>
          </cell>
          <cell r="U1457" t="str">
            <v>-</v>
          </cell>
          <cell r="W1457" t="str">
            <v>-</v>
          </cell>
        </row>
        <row r="1458">
          <cell r="F1458" t="str">
            <v>MERT01G035</v>
          </cell>
          <cell r="G1458" t="str">
            <v>GLOBAL CANE SERVICES (NOT IN USE)</v>
          </cell>
          <cell r="H1458" t="str">
            <v>-</v>
          </cell>
          <cell r="J1458" t="str">
            <v>Domestic</v>
          </cell>
          <cell r="K1458" t="str">
            <v>-</v>
          </cell>
          <cell r="L1458" t="str">
            <v>Non-Sugar</v>
          </cell>
          <cell r="O1458" t="str">
            <v>-</v>
          </cell>
          <cell r="P1458" t="str">
            <v>-</v>
          </cell>
          <cell r="Q1458" t="str">
            <v>-</v>
          </cell>
          <cell r="R1458" t="str">
            <v>-</v>
          </cell>
          <cell r="T1458" t="str">
            <v>-</v>
          </cell>
          <cell r="U1458" t="str">
            <v>-</v>
          </cell>
          <cell r="W1458" t="str">
            <v>-</v>
          </cell>
        </row>
        <row r="1459">
          <cell r="F1459" t="str">
            <v>NANA01G022</v>
          </cell>
          <cell r="G1459" t="str">
            <v>GLOBAL CASETECH PVT LTD.</v>
          </cell>
          <cell r="H1459" t="str">
            <v>-</v>
          </cell>
          <cell r="J1459" t="str">
            <v>Domestic</v>
          </cell>
          <cell r="L1459" t="str">
            <v>Non-Sugar</v>
          </cell>
          <cell r="O1459" t="str">
            <v>-</v>
          </cell>
          <cell r="P1459" t="str">
            <v>-</v>
          </cell>
          <cell r="Q1459" t="str">
            <v>-</v>
          </cell>
        </row>
        <row r="1460">
          <cell r="F1460" t="str">
            <v>BELG01G073</v>
          </cell>
          <cell r="G1460" t="str">
            <v>GLOBAL PROCUREMENT - PFIZER N.V</v>
          </cell>
          <cell r="H1460" t="str">
            <v>-</v>
          </cell>
          <cell r="J1460" t="str">
            <v>Domestic</v>
          </cell>
          <cell r="K1460" t="str">
            <v>-</v>
          </cell>
          <cell r="L1460" t="str">
            <v>Non-Sugar</v>
          </cell>
          <cell r="O1460" t="str">
            <v>-</v>
          </cell>
          <cell r="P1460" t="str">
            <v>-</v>
          </cell>
          <cell r="Q1460" t="str">
            <v>-</v>
          </cell>
          <cell r="R1460" t="str">
            <v>-</v>
          </cell>
          <cell r="T1460" t="str">
            <v>-</v>
          </cell>
          <cell r="U1460" t="str">
            <v>-</v>
          </cell>
          <cell r="W1460" t="str">
            <v>-</v>
          </cell>
        </row>
        <row r="1461">
          <cell r="F1461" t="str">
            <v>UNNA01G006</v>
          </cell>
          <cell r="G1461" t="str">
            <v>GLOBAL SMELTERS LIMITED</v>
          </cell>
          <cell r="H1461" t="str">
            <v>-</v>
          </cell>
          <cell r="J1461" t="str">
            <v>Domestic</v>
          </cell>
          <cell r="K1461" t="str">
            <v>-</v>
          </cell>
          <cell r="L1461" t="str">
            <v>Non-Sugar</v>
          </cell>
          <cell r="O1461" t="str">
            <v>-</v>
          </cell>
          <cell r="P1461" t="str">
            <v>-</v>
          </cell>
          <cell r="Q1461" t="str">
            <v>-</v>
          </cell>
          <cell r="R1461" t="str">
            <v>-</v>
          </cell>
          <cell r="T1461" t="str">
            <v>-</v>
          </cell>
          <cell r="U1461" t="str">
            <v>-</v>
          </cell>
          <cell r="W1461" t="str">
            <v>-</v>
          </cell>
        </row>
        <row r="1462">
          <cell r="F1462" t="str">
            <v>BARL01G007</v>
          </cell>
          <cell r="G1462" t="str">
            <v>GLOBE FRUIT PRODUCTS</v>
          </cell>
          <cell r="H1462" t="str">
            <v>-</v>
          </cell>
          <cell r="J1462" t="str">
            <v>Domestic</v>
          </cell>
          <cell r="K1462" t="str">
            <v>-</v>
          </cell>
          <cell r="L1462" t="str">
            <v>Non-Sugar</v>
          </cell>
          <cell r="O1462" t="str">
            <v>-</v>
          </cell>
          <cell r="P1462" t="str">
            <v>-</v>
          </cell>
          <cell r="Q1462" t="str">
            <v>-</v>
          </cell>
          <cell r="R1462" t="str">
            <v>-</v>
          </cell>
          <cell r="T1462" t="str">
            <v>-</v>
          </cell>
          <cell r="U1462" t="str">
            <v>-</v>
          </cell>
          <cell r="W1462" t="str">
            <v>-</v>
          </cell>
        </row>
        <row r="1463">
          <cell r="F1463" t="str">
            <v>ALWR01G020</v>
          </cell>
          <cell r="G1463" t="str">
            <v>GLOBUS SPIRITS LTD. (NOT IN USE)</v>
          </cell>
          <cell r="H1463">
            <v>2015</v>
          </cell>
          <cell r="J1463" t="str">
            <v>Domestic</v>
          </cell>
          <cell r="K1463" t="str">
            <v>-</v>
          </cell>
          <cell r="L1463" t="str">
            <v>Non-Sugar</v>
          </cell>
          <cell r="M1463" t="str">
            <v>End User</v>
          </cell>
          <cell r="O1463" t="str">
            <v>-</v>
          </cell>
          <cell r="P1463" t="str">
            <v>-</v>
          </cell>
          <cell r="Q1463" t="str">
            <v>-</v>
          </cell>
          <cell r="R1463" t="str">
            <v>-</v>
          </cell>
          <cell r="T1463" t="str">
            <v>-</v>
          </cell>
          <cell r="U1463" t="str">
            <v>-</v>
          </cell>
          <cell r="W1463" t="str">
            <v>-</v>
          </cell>
        </row>
        <row r="1464">
          <cell r="F1464" t="str">
            <v>SIKA01G089</v>
          </cell>
          <cell r="G1464" t="str">
            <v>GMK LABS PVT LTD</v>
          </cell>
          <cell r="H1464" t="str">
            <v>-</v>
          </cell>
          <cell r="J1464" t="str">
            <v>Domestic</v>
          </cell>
          <cell r="K1464" t="str">
            <v>-</v>
          </cell>
          <cell r="L1464" t="str">
            <v>Non-Sugar</v>
          </cell>
          <cell r="O1464" t="str">
            <v>-</v>
          </cell>
          <cell r="P1464" t="str">
            <v>-</v>
          </cell>
          <cell r="Q1464" t="str">
            <v>-</v>
          </cell>
          <cell r="R1464" t="str">
            <v>-</v>
          </cell>
          <cell r="T1464" t="str">
            <v>-</v>
          </cell>
          <cell r="U1464" t="str">
            <v>-</v>
          </cell>
          <cell r="W1464" t="str">
            <v>-</v>
          </cell>
        </row>
        <row r="1465">
          <cell r="F1465" t="str">
            <v>NODA01G038</v>
          </cell>
          <cell r="G1465" t="str">
            <v>GMW PRIVATE LIMITED</v>
          </cell>
          <cell r="H1465" t="str">
            <v>-</v>
          </cell>
          <cell r="J1465" t="str">
            <v>Domestic</v>
          </cell>
          <cell r="K1465" t="str">
            <v>-</v>
          </cell>
          <cell r="L1465" t="str">
            <v>Non-Sugar</v>
          </cell>
          <cell r="O1465" t="str">
            <v>-</v>
          </cell>
          <cell r="P1465" t="str">
            <v>-</v>
          </cell>
          <cell r="Q1465" t="str">
            <v>-</v>
          </cell>
          <cell r="R1465" t="str">
            <v>-</v>
          </cell>
          <cell r="T1465" t="str">
            <v>-</v>
          </cell>
          <cell r="U1465" t="str">
            <v>-</v>
          </cell>
          <cell r="W1465" t="str">
            <v>-</v>
          </cell>
        </row>
        <row r="1466">
          <cell r="F1466" t="str">
            <v>HOSH01G086</v>
          </cell>
          <cell r="G1466" t="str">
            <v>GNA AXLES LIMITED</v>
          </cell>
          <cell r="H1466" t="str">
            <v>-</v>
          </cell>
          <cell r="J1466" t="str">
            <v>Domestic</v>
          </cell>
          <cell r="K1466" t="str">
            <v>-</v>
          </cell>
          <cell r="L1466" t="str">
            <v>Non-Sugar</v>
          </cell>
          <cell r="O1466" t="str">
            <v>-</v>
          </cell>
          <cell r="P1466" t="str">
            <v>-</v>
          </cell>
          <cell r="Q1466" t="str">
            <v>-</v>
          </cell>
          <cell r="R1466" t="str">
            <v>-</v>
          </cell>
          <cell r="T1466" t="str">
            <v>-</v>
          </cell>
          <cell r="U1466" t="str">
            <v>-</v>
          </cell>
          <cell r="W1466" t="str">
            <v>-</v>
          </cell>
        </row>
        <row r="1467">
          <cell r="F1467" t="str">
            <v>NANA01G041</v>
          </cell>
          <cell r="G1467" t="str">
            <v>GODREJ CONSUMER PRODUCTS LTD</v>
          </cell>
          <cell r="H1467" t="str">
            <v>-</v>
          </cell>
          <cell r="J1467" t="str">
            <v>Domestic</v>
          </cell>
          <cell r="L1467" t="str">
            <v>Non-Sugar</v>
          </cell>
          <cell r="O1467" t="str">
            <v>-</v>
          </cell>
          <cell r="P1467" t="str">
            <v>-</v>
          </cell>
          <cell r="Q1467" t="str">
            <v>-</v>
          </cell>
        </row>
        <row r="1468">
          <cell r="F1468" t="str">
            <v>PATA01G040</v>
          </cell>
          <cell r="G1468" t="str">
            <v>GOKUL AGRI INTERNATION LTD</v>
          </cell>
          <cell r="H1468" t="str">
            <v>-</v>
          </cell>
          <cell r="J1468" t="str">
            <v>Domestic</v>
          </cell>
          <cell r="K1468" t="str">
            <v>-</v>
          </cell>
          <cell r="L1468" t="str">
            <v>Non-Sugar</v>
          </cell>
          <cell r="O1468" t="str">
            <v>-</v>
          </cell>
          <cell r="P1468" t="str">
            <v>-</v>
          </cell>
          <cell r="Q1468" t="str">
            <v>-</v>
          </cell>
          <cell r="R1468" t="str">
            <v>-</v>
          </cell>
          <cell r="T1468" t="str">
            <v>-</v>
          </cell>
          <cell r="U1468" t="str">
            <v>-</v>
          </cell>
          <cell r="W1468" t="str">
            <v>-</v>
          </cell>
        </row>
        <row r="1469">
          <cell r="F1469" t="str">
            <v>KANP01G030</v>
          </cell>
          <cell r="G1469" t="str">
            <v>GOKUL PASHU AAHAAR</v>
          </cell>
          <cell r="H1469" t="str">
            <v>-</v>
          </cell>
          <cell r="J1469" t="str">
            <v>Domestic</v>
          </cell>
          <cell r="K1469" t="str">
            <v>-</v>
          </cell>
          <cell r="L1469" t="str">
            <v>Non-Sugar</v>
          </cell>
          <cell r="O1469" t="str">
            <v>-</v>
          </cell>
          <cell r="P1469" t="str">
            <v>-</v>
          </cell>
          <cell r="Q1469" t="str">
            <v>-</v>
          </cell>
          <cell r="R1469" t="str">
            <v>-</v>
          </cell>
          <cell r="T1469" t="str">
            <v>-</v>
          </cell>
          <cell r="U1469" t="str">
            <v>-</v>
          </cell>
          <cell r="W1469" t="str">
            <v>-</v>
          </cell>
        </row>
        <row r="1470">
          <cell r="F1470" t="str">
            <v>RORK01G034</v>
          </cell>
          <cell r="G1470" t="str">
            <v>GOLD PLUS GLASS INDUSTRY LIMITED</v>
          </cell>
          <cell r="H1470" t="str">
            <v>-</v>
          </cell>
          <cell r="J1470" t="str">
            <v>Domestic</v>
          </cell>
          <cell r="K1470" t="str">
            <v>-</v>
          </cell>
          <cell r="L1470" t="str">
            <v>Non-Sugar</v>
          </cell>
          <cell r="O1470" t="str">
            <v>-</v>
          </cell>
          <cell r="P1470" t="str">
            <v>-</v>
          </cell>
          <cell r="Q1470" t="str">
            <v>-</v>
          </cell>
          <cell r="R1470" t="str">
            <v>-</v>
          </cell>
          <cell r="T1470" t="str">
            <v>-</v>
          </cell>
          <cell r="U1470" t="str">
            <v>-</v>
          </cell>
          <cell r="W1470" t="str">
            <v>-</v>
          </cell>
        </row>
        <row r="1471">
          <cell r="F1471" t="str">
            <v>KARN01G043</v>
          </cell>
          <cell r="G1471" t="str">
            <v>GOODRICH AGROCHEM PVT LTD</v>
          </cell>
          <cell r="H1471">
            <v>2016</v>
          </cell>
          <cell r="J1471" t="str">
            <v>Domestic</v>
          </cell>
          <cell r="K1471" t="str">
            <v>-</v>
          </cell>
          <cell r="L1471" t="str">
            <v>Non-Sugar</v>
          </cell>
          <cell r="M1471" t="str">
            <v>End User</v>
          </cell>
          <cell r="O1471" t="str">
            <v>-</v>
          </cell>
          <cell r="P1471" t="str">
            <v>-</v>
          </cell>
          <cell r="Q1471" t="str">
            <v>-</v>
          </cell>
          <cell r="R1471" t="str">
            <v>-</v>
          </cell>
          <cell r="T1471" t="str">
            <v>-</v>
          </cell>
          <cell r="U1471" t="str">
            <v>-</v>
          </cell>
          <cell r="W1471" t="str">
            <v>-</v>
          </cell>
        </row>
        <row r="1472">
          <cell r="F1472" t="str">
            <v>KARN01G045</v>
          </cell>
          <cell r="G1472" t="str">
            <v>GOODRICH CEREALS</v>
          </cell>
          <cell r="H1472">
            <v>2016</v>
          </cell>
          <cell r="J1472" t="str">
            <v>Domestic</v>
          </cell>
          <cell r="K1472" t="str">
            <v>Food</v>
          </cell>
          <cell r="L1472" t="str">
            <v>Non-Sugar</v>
          </cell>
          <cell r="M1472" t="str">
            <v>End User</v>
          </cell>
          <cell r="O1472" t="str">
            <v>-</v>
          </cell>
          <cell r="P1472" t="str">
            <v>HO</v>
          </cell>
          <cell r="Q1472" t="str">
            <v>-</v>
          </cell>
          <cell r="T1472" t="str">
            <v>WESTERN - 3</v>
          </cell>
          <cell r="U1472" t="str">
            <v>24-25</v>
          </cell>
          <cell r="W1472" t="str">
            <v>19-10-2024
28-04-2024
08-01-2024</v>
          </cell>
        </row>
        <row r="1473">
          <cell r="F1473" t="str">
            <v>PUNE01G076</v>
          </cell>
          <cell r="G1473" t="str">
            <v>GOPI INDUSTRIES AMRAVATI</v>
          </cell>
          <cell r="H1473" t="str">
            <v>-</v>
          </cell>
          <cell r="J1473" t="str">
            <v>Domestic</v>
          </cell>
          <cell r="K1473" t="str">
            <v>-</v>
          </cell>
          <cell r="L1473" t="str">
            <v>Non-Sugar</v>
          </cell>
          <cell r="O1473" t="str">
            <v>-</v>
          </cell>
          <cell r="P1473" t="str">
            <v>-</v>
          </cell>
          <cell r="Q1473" t="str">
            <v>-</v>
          </cell>
          <cell r="R1473" t="str">
            <v>-</v>
          </cell>
          <cell r="T1473" t="str">
            <v>-</v>
          </cell>
          <cell r="U1473" t="str">
            <v>-</v>
          </cell>
          <cell r="W1473" t="str">
            <v>-</v>
          </cell>
        </row>
        <row r="1474">
          <cell r="F1474" t="str">
            <v>ARGB01G052</v>
          </cell>
          <cell r="G1474" t="str">
            <v>GRAINOTCH INDUSTRIES LTD</v>
          </cell>
          <cell r="H1474">
            <v>2018</v>
          </cell>
          <cell r="J1474" t="str">
            <v>Domestic</v>
          </cell>
          <cell r="K1474" t="str">
            <v>Distillery</v>
          </cell>
          <cell r="L1474" t="str">
            <v>Non-Sugar</v>
          </cell>
          <cell r="M1474" t="str">
            <v>End User</v>
          </cell>
          <cell r="O1474" t="str">
            <v>-</v>
          </cell>
          <cell r="P1474" t="str">
            <v>-</v>
          </cell>
          <cell r="Q1474" t="str">
            <v>-</v>
          </cell>
          <cell r="R1474" t="str">
            <v>-</v>
          </cell>
          <cell r="T1474" t="str">
            <v>VISIT NOT REQUIRED</v>
          </cell>
          <cell r="W1474" t="str">
            <v>-</v>
          </cell>
        </row>
        <row r="1475">
          <cell r="F1475" t="str">
            <v>NANA01G032</v>
          </cell>
          <cell r="G1475" t="str">
            <v>GRAVISS GROUP</v>
          </cell>
          <cell r="H1475" t="str">
            <v>-</v>
          </cell>
          <cell r="J1475" t="str">
            <v>Domestic</v>
          </cell>
          <cell r="L1475" t="str">
            <v>Non-Sugar</v>
          </cell>
          <cell r="O1475" t="str">
            <v>-</v>
          </cell>
          <cell r="P1475" t="str">
            <v>-</v>
          </cell>
          <cell r="Q1475" t="str">
            <v>-</v>
          </cell>
        </row>
        <row r="1476">
          <cell r="F1476" t="str">
            <v>CHEN01G079</v>
          </cell>
          <cell r="G1476" t="str">
            <v>GREEN CONNECT TN</v>
          </cell>
          <cell r="H1476" t="str">
            <v>-</v>
          </cell>
          <cell r="J1476" t="str">
            <v>Domestic</v>
          </cell>
          <cell r="K1476" t="str">
            <v>-</v>
          </cell>
          <cell r="L1476" t="str">
            <v>Non-Sugar</v>
          </cell>
          <cell r="O1476" t="str">
            <v>-</v>
          </cell>
          <cell r="P1476" t="str">
            <v>-</v>
          </cell>
          <cell r="Q1476" t="str">
            <v>-</v>
          </cell>
          <cell r="R1476" t="str">
            <v>-</v>
          </cell>
          <cell r="T1476" t="str">
            <v>-</v>
          </cell>
          <cell r="U1476" t="str">
            <v>-</v>
          </cell>
          <cell r="W1476" t="str">
            <v>-</v>
          </cell>
        </row>
        <row r="1477">
          <cell r="F1477" t="str">
            <v>VELL01G101</v>
          </cell>
          <cell r="G1477" t="str">
            <v>GREEN GENE ENVIRO PROTECTION</v>
          </cell>
          <cell r="H1477" t="str">
            <v>-</v>
          </cell>
          <cell r="J1477" t="str">
            <v>Domestic</v>
          </cell>
          <cell r="K1477" t="str">
            <v>-</v>
          </cell>
          <cell r="L1477" t="str">
            <v>Non-Sugar</v>
          </cell>
          <cell r="O1477" t="str">
            <v>-</v>
          </cell>
          <cell r="P1477" t="str">
            <v>-</v>
          </cell>
          <cell r="Q1477" t="str">
            <v>-</v>
          </cell>
          <cell r="R1477" t="str">
            <v>-</v>
          </cell>
          <cell r="T1477" t="str">
            <v>-</v>
          </cell>
          <cell r="U1477" t="str">
            <v>-</v>
          </cell>
          <cell r="W1477" t="str">
            <v>-</v>
          </cell>
        </row>
        <row r="1478">
          <cell r="F1478" t="str">
            <v>SILI01G092</v>
          </cell>
          <cell r="G1478" t="str">
            <v>GREENERGY SOLUTIONS PVT. LIMITED</v>
          </cell>
          <cell r="H1478" t="str">
            <v>-</v>
          </cell>
          <cell r="J1478" t="str">
            <v>Domestic</v>
          </cell>
          <cell r="K1478" t="str">
            <v>-</v>
          </cell>
          <cell r="L1478" t="str">
            <v>Non-Sugar</v>
          </cell>
          <cell r="O1478" t="str">
            <v>-</v>
          </cell>
          <cell r="P1478" t="str">
            <v>-</v>
          </cell>
          <cell r="Q1478" t="str">
            <v>-</v>
          </cell>
          <cell r="R1478" t="str">
            <v>-</v>
          </cell>
          <cell r="T1478" t="str">
            <v>-</v>
          </cell>
          <cell r="U1478" t="str">
            <v>-</v>
          </cell>
          <cell r="W1478" t="str">
            <v>-</v>
          </cell>
        </row>
        <row r="1479">
          <cell r="F1479" t="str">
            <v>KRSH01G057</v>
          </cell>
          <cell r="G1479" t="str">
            <v>GREENPETAL BIO - SCIENCES</v>
          </cell>
          <cell r="H1479">
            <v>2020</v>
          </cell>
          <cell r="J1479" t="str">
            <v>Domestic</v>
          </cell>
          <cell r="K1479" t="str">
            <v>Others</v>
          </cell>
          <cell r="L1479" t="str">
            <v>Non-Sugar</v>
          </cell>
          <cell r="M1479" t="str">
            <v>OEM</v>
          </cell>
          <cell r="P1479" t="str">
            <v>SI-GS</v>
          </cell>
          <cell r="Q1479" t="str">
            <v>SI-GS</v>
          </cell>
          <cell r="W1479" t="str">
            <v>-</v>
          </cell>
        </row>
        <row r="1480">
          <cell r="F1480" t="str">
            <v>DLHI01G085</v>
          </cell>
          <cell r="G1480" t="str">
            <v>GREY WATER SOLUTION PVT LTD</v>
          </cell>
          <cell r="H1480" t="str">
            <v>-</v>
          </cell>
          <cell r="J1480" t="str">
            <v>Domestic</v>
          </cell>
          <cell r="K1480" t="str">
            <v>-</v>
          </cell>
          <cell r="L1480" t="str">
            <v>Non-Sugar</v>
          </cell>
          <cell r="O1480" t="str">
            <v>-</v>
          </cell>
          <cell r="P1480" t="str">
            <v>-</v>
          </cell>
          <cell r="Q1480" t="str">
            <v>-</v>
          </cell>
          <cell r="R1480" t="str">
            <v>-</v>
          </cell>
          <cell r="T1480" t="str">
            <v>-</v>
          </cell>
          <cell r="U1480" t="str">
            <v>-</v>
          </cell>
          <cell r="W1480" t="str">
            <v>-</v>
          </cell>
        </row>
        <row r="1481">
          <cell r="F1481" t="str">
            <v>MANS01G095</v>
          </cell>
          <cell r="G1481" t="str">
            <v>GROUP EJKK</v>
          </cell>
          <cell r="H1481" t="str">
            <v>-</v>
          </cell>
          <cell r="J1481" t="str">
            <v>Export</v>
          </cell>
          <cell r="K1481" t="str">
            <v>-</v>
          </cell>
          <cell r="L1481" t="str">
            <v>Non-Sugar</v>
          </cell>
          <cell r="O1481" t="str">
            <v>-</v>
          </cell>
          <cell r="P1481" t="str">
            <v>-</v>
          </cell>
          <cell r="Q1481" t="str">
            <v>-</v>
          </cell>
          <cell r="R1481" t="str">
            <v>-</v>
          </cell>
          <cell r="T1481" t="str">
            <v>-</v>
          </cell>
          <cell r="U1481" t="str">
            <v>-</v>
          </cell>
          <cell r="W1481" t="str">
            <v>-</v>
          </cell>
        </row>
        <row r="1482">
          <cell r="F1482" t="str">
            <v>MALA01G047</v>
          </cell>
          <cell r="G1482" t="str">
            <v>GROUP OF SARAL FILTERATION PVT LTD</v>
          </cell>
          <cell r="H1482" t="str">
            <v>-</v>
          </cell>
          <cell r="J1482" t="str">
            <v>Export</v>
          </cell>
          <cell r="K1482" t="str">
            <v>-</v>
          </cell>
          <cell r="L1482" t="str">
            <v>Non-Sugar</v>
          </cell>
          <cell r="O1482" t="str">
            <v>-</v>
          </cell>
          <cell r="P1482" t="str">
            <v>-</v>
          </cell>
          <cell r="Q1482" t="str">
            <v>-</v>
          </cell>
          <cell r="R1482" t="str">
            <v>-</v>
          </cell>
          <cell r="T1482" t="str">
            <v>-</v>
          </cell>
          <cell r="U1482" t="str">
            <v>-</v>
          </cell>
          <cell r="W1482" t="str">
            <v>-</v>
          </cell>
        </row>
        <row r="1483">
          <cell r="F1483" t="str">
            <v>THAN01G019</v>
          </cell>
          <cell r="G1483" t="str">
            <v>GUBBI ENTERPRISES</v>
          </cell>
          <cell r="H1483" t="str">
            <v>-</v>
          </cell>
          <cell r="J1483" t="str">
            <v>Domestic</v>
          </cell>
          <cell r="K1483" t="str">
            <v>-</v>
          </cell>
          <cell r="L1483" t="str">
            <v>Non-Sugar</v>
          </cell>
          <cell r="O1483" t="str">
            <v>-</v>
          </cell>
          <cell r="P1483" t="str">
            <v>-</v>
          </cell>
          <cell r="Q1483" t="str">
            <v>-</v>
          </cell>
          <cell r="R1483" t="str">
            <v>-</v>
          </cell>
          <cell r="T1483" t="str">
            <v>-</v>
          </cell>
          <cell r="U1483" t="str">
            <v>-</v>
          </cell>
          <cell r="W1483" t="str">
            <v>-</v>
          </cell>
        </row>
        <row r="1484">
          <cell r="F1484" t="str">
            <v>BHAR01G044</v>
          </cell>
          <cell r="G1484" t="str">
            <v>GUJARAT FLUORO CHEMICAL</v>
          </cell>
          <cell r="H1484" t="str">
            <v>-</v>
          </cell>
          <cell r="J1484" t="str">
            <v>Domestic</v>
          </cell>
          <cell r="K1484" t="str">
            <v>CHEMICAL</v>
          </cell>
          <cell r="L1484" t="str">
            <v>Non-Sugar</v>
          </cell>
          <cell r="M1484" t="str">
            <v>End User</v>
          </cell>
          <cell r="O1484" t="str">
            <v>-</v>
          </cell>
          <cell r="P1484" t="str">
            <v>-</v>
          </cell>
          <cell r="Q1484" t="str">
            <v>-</v>
          </cell>
          <cell r="R1484" t="str">
            <v>-</v>
          </cell>
          <cell r="T1484" t="str">
            <v>-</v>
          </cell>
          <cell r="U1484" t="str">
            <v>-</v>
          </cell>
          <cell r="W1484" t="str">
            <v>-</v>
          </cell>
        </row>
        <row r="1485">
          <cell r="F1485" t="str">
            <v>VADO01G013</v>
          </cell>
          <cell r="G1485" t="str">
            <v>GUJARAT STATE FERTILIZERS&amp; CHEMICALS LIMITED</v>
          </cell>
          <cell r="H1485" t="str">
            <v>-</v>
          </cell>
          <cell r="J1485" t="str">
            <v>Domestic</v>
          </cell>
          <cell r="K1485" t="str">
            <v>CHEMICAL</v>
          </cell>
          <cell r="L1485" t="str">
            <v>Non-Sugar</v>
          </cell>
          <cell r="M1485" t="str">
            <v>End User</v>
          </cell>
          <cell r="O1485" t="str">
            <v>-</v>
          </cell>
          <cell r="P1485" t="str">
            <v>-</v>
          </cell>
          <cell r="Q1485" t="str">
            <v>-</v>
          </cell>
          <cell r="R1485" t="str">
            <v>-</v>
          </cell>
          <cell r="T1485" t="str">
            <v>-</v>
          </cell>
          <cell r="U1485" t="str">
            <v>-</v>
          </cell>
          <cell r="W1485" t="str">
            <v>-</v>
          </cell>
        </row>
        <row r="1486">
          <cell r="F1486" t="str">
            <v>GUJA01G099</v>
          </cell>
          <cell r="G1486" t="str">
            <v>GUJRAT POLYSOL CHEMICAL LTD.</v>
          </cell>
          <cell r="H1486" t="str">
            <v>-</v>
          </cell>
          <cell r="J1486" t="str">
            <v>Domestic</v>
          </cell>
          <cell r="K1486" t="str">
            <v>CHEMICAL</v>
          </cell>
          <cell r="L1486" t="str">
            <v>Non-Sugar</v>
          </cell>
          <cell r="M1486" t="str">
            <v>End User</v>
          </cell>
          <cell r="O1486" t="str">
            <v>-</v>
          </cell>
          <cell r="P1486" t="str">
            <v>-</v>
          </cell>
          <cell r="Q1486" t="str">
            <v>-</v>
          </cell>
          <cell r="R1486" t="str">
            <v>-</v>
          </cell>
          <cell r="T1486" t="str">
            <v>-</v>
          </cell>
          <cell r="U1486" t="str">
            <v>-</v>
          </cell>
          <cell r="W1486" t="str">
            <v>-</v>
          </cell>
        </row>
        <row r="1487">
          <cell r="F1487" t="str">
            <v>LAKM01G024</v>
          </cell>
          <cell r="G1487" t="str">
            <v>GULARIA CHINI MILLS</v>
          </cell>
          <cell r="H1487" t="str">
            <v>-</v>
          </cell>
          <cell r="J1487" t="str">
            <v>Domestic</v>
          </cell>
          <cell r="K1487" t="str">
            <v>Sugar</v>
          </cell>
          <cell r="L1487" t="str">
            <v>Sugar</v>
          </cell>
          <cell r="M1487" t="str">
            <v>End User</v>
          </cell>
          <cell r="O1487" t="str">
            <v>-</v>
          </cell>
          <cell r="P1487" t="str">
            <v>-</v>
          </cell>
          <cell r="Q1487" t="str">
            <v>-</v>
          </cell>
          <cell r="R1487" t="str">
            <v>-</v>
          </cell>
          <cell r="T1487" t="str">
            <v>-</v>
          </cell>
          <cell r="U1487" t="str">
            <v>-</v>
          </cell>
          <cell r="W1487" t="str">
            <v>-</v>
          </cell>
        </row>
        <row r="1488">
          <cell r="F1488" t="str">
            <v>CHEN01G015</v>
          </cell>
          <cell r="G1488" t="str">
            <v>GUNA SEKARAN</v>
          </cell>
          <cell r="H1488">
            <v>2015</v>
          </cell>
          <cell r="J1488" t="str">
            <v>Domestic</v>
          </cell>
          <cell r="K1488" t="str">
            <v>Others</v>
          </cell>
          <cell r="L1488" t="str">
            <v>Non-Sugar</v>
          </cell>
          <cell r="P1488" t="str">
            <v>SI-GS</v>
          </cell>
          <cell r="Q1488" t="str">
            <v>SI-GS</v>
          </cell>
          <cell r="W1488" t="str">
            <v>-</v>
          </cell>
        </row>
        <row r="1489">
          <cell r="F1489" t="str">
            <v>GUNT01G014</v>
          </cell>
          <cell r="G1489" t="str">
            <v>GUNTUR DIST. MILK PRODUCERS MUTUALLY-</v>
          </cell>
          <cell r="H1489" t="str">
            <v>-</v>
          </cell>
          <cell r="J1489" t="str">
            <v>Domestic</v>
          </cell>
          <cell r="K1489" t="str">
            <v>Dairy</v>
          </cell>
          <cell r="L1489" t="str">
            <v>Non-Sugar</v>
          </cell>
          <cell r="P1489" t="str">
            <v>SI-GS</v>
          </cell>
          <cell r="Q1489" t="str">
            <v>SI-GS</v>
          </cell>
          <cell r="W1489" t="str">
            <v>-</v>
          </cell>
        </row>
        <row r="1490">
          <cell r="F1490" t="str">
            <v>BATH01G067</v>
          </cell>
          <cell r="G1490" t="str">
            <v>GURU NANAK TRADING CO.</v>
          </cell>
          <cell r="H1490" t="str">
            <v>-</v>
          </cell>
          <cell r="J1490" t="str">
            <v>Domestic</v>
          </cell>
          <cell r="K1490" t="str">
            <v>-</v>
          </cell>
          <cell r="L1490" t="str">
            <v>Non-Sugar</v>
          </cell>
          <cell r="O1490" t="str">
            <v>-</v>
          </cell>
          <cell r="P1490" t="str">
            <v>-</v>
          </cell>
          <cell r="Q1490" t="str">
            <v>-</v>
          </cell>
          <cell r="R1490" t="str">
            <v>-</v>
          </cell>
          <cell r="T1490" t="str">
            <v>-</v>
          </cell>
          <cell r="U1490" t="str">
            <v>-</v>
          </cell>
          <cell r="W1490" t="str">
            <v>-</v>
          </cell>
        </row>
        <row r="1491">
          <cell r="F1491" t="str">
            <v>SONI01G096</v>
          </cell>
          <cell r="G1491" t="str">
            <v>GURU TEG BAHADUR ENGG WORKS</v>
          </cell>
          <cell r="H1491" t="str">
            <v>-</v>
          </cell>
          <cell r="J1491" t="str">
            <v>Domestic</v>
          </cell>
          <cell r="K1491" t="str">
            <v>-</v>
          </cell>
          <cell r="L1491" t="str">
            <v>Non-Sugar</v>
          </cell>
          <cell r="O1491" t="str">
            <v>-</v>
          </cell>
          <cell r="P1491" t="str">
            <v>-</v>
          </cell>
          <cell r="Q1491" t="str">
            <v>-</v>
          </cell>
          <cell r="R1491" t="str">
            <v>-</v>
          </cell>
          <cell r="T1491" t="str">
            <v>-</v>
          </cell>
          <cell r="U1491" t="str">
            <v>-</v>
          </cell>
          <cell r="W1491" t="str">
            <v>-</v>
          </cell>
        </row>
        <row r="1492">
          <cell r="F1492" t="str">
            <v>CHEN01G028</v>
          </cell>
          <cell r="G1492" t="str">
            <v>GYPSUM ENGINEERING SOLUTION</v>
          </cell>
          <cell r="H1492" t="str">
            <v>-</v>
          </cell>
          <cell r="J1492" t="str">
            <v>Domestic</v>
          </cell>
          <cell r="K1492" t="str">
            <v>others</v>
          </cell>
          <cell r="L1492" t="str">
            <v>Non-Sugar</v>
          </cell>
          <cell r="M1492" t="str">
            <v>Trader</v>
          </cell>
          <cell r="O1492" t="str">
            <v>-</v>
          </cell>
          <cell r="P1492" t="str">
            <v>-</v>
          </cell>
          <cell r="Q1492" t="str">
            <v>-</v>
          </cell>
          <cell r="R1492" t="str">
            <v>-</v>
          </cell>
          <cell r="T1492" t="str">
            <v>-</v>
          </cell>
          <cell r="W1492" t="str">
            <v>-</v>
          </cell>
        </row>
        <row r="1493">
          <cell r="F1493" t="str">
            <v>LUCK01H058</v>
          </cell>
          <cell r="G1493" t="str">
            <v>H A L LUCKNOW</v>
          </cell>
          <cell r="H1493" t="str">
            <v>-</v>
          </cell>
          <cell r="J1493" t="str">
            <v>Domestic</v>
          </cell>
          <cell r="K1493" t="str">
            <v>-</v>
          </cell>
          <cell r="L1493" t="str">
            <v>Non-Sugar</v>
          </cell>
          <cell r="O1493" t="str">
            <v>-</v>
          </cell>
          <cell r="P1493" t="str">
            <v>-</v>
          </cell>
          <cell r="Q1493" t="str">
            <v>-</v>
          </cell>
          <cell r="R1493" t="str">
            <v>-</v>
          </cell>
          <cell r="T1493" t="str">
            <v>-</v>
          </cell>
          <cell r="U1493" t="str">
            <v>-</v>
          </cell>
          <cell r="W1493" t="str">
            <v>-</v>
          </cell>
        </row>
        <row r="1494">
          <cell r="F1494" t="str">
            <v>KARA01H081</v>
          </cell>
          <cell r="G1494" t="str">
            <v>H2 NEXT PRIVATE LIMITED</v>
          </cell>
          <cell r="H1494" t="str">
            <v>-</v>
          </cell>
          <cell r="J1494" t="str">
            <v>Domestic</v>
          </cell>
          <cell r="K1494" t="str">
            <v>BIOGAS</v>
          </cell>
          <cell r="L1494" t="str">
            <v>Non-Sugar</v>
          </cell>
          <cell r="M1494" t="str">
            <v>OEM</v>
          </cell>
          <cell r="P1494" t="str">
            <v>SI-GS</v>
          </cell>
          <cell r="Q1494" t="str">
            <v>SI-GS</v>
          </cell>
        </row>
        <row r="1495">
          <cell r="F1495" t="str">
            <v>GRND01H065</v>
          </cell>
          <cell r="G1495" t="str">
            <v>HANU TECH ENGINEERING SOLUTIONS</v>
          </cell>
          <cell r="H1495" t="str">
            <v>-</v>
          </cell>
          <cell r="J1495" t="str">
            <v>Domestic</v>
          </cell>
          <cell r="K1495" t="str">
            <v>-</v>
          </cell>
          <cell r="L1495" t="str">
            <v>Non-Sugar</v>
          </cell>
          <cell r="O1495" t="str">
            <v>-</v>
          </cell>
          <cell r="P1495" t="str">
            <v>-</v>
          </cell>
          <cell r="Q1495" t="str">
            <v>-</v>
          </cell>
          <cell r="R1495" t="str">
            <v>-</v>
          </cell>
          <cell r="T1495" t="str">
            <v>-</v>
          </cell>
          <cell r="U1495" t="str">
            <v>-</v>
          </cell>
          <cell r="W1495" t="str">
            <v>-</v>
          </cell>
        </row>
        <row r="1496">
          <cell r="F1496" t="str">
            <v>HYDE01H061</v>
          </cell>
          <cell r="G1496" t="str">
            <v>HARDAYAL ENGINEERING WORKS (P).LTD</v>
          </cell>
          <cell r="H1496" t="str">
            <v>-</v>
          </cell>
          <cell r="J1496" t="str">
            <v>Domestic</v>
          </cell>
          <cell r="K1496" t="str">
            <v>-</v>
          </cell>
          <cell r="L1496" t="str">
            <v>Non-Sugar</v>
          </cell>
          <cell r="O1496" t="str">
            <v>-</v>
          </cell>
          <cell r="P1496" t="str">
            <v>-</v>
          </cell>
          <cell r="Q1496" t="str">
            <v>-</v>
          </cell>
          <cell r="R1496" t="str">
            <v>-</v>
          </cell>
          <cell r="T1496" t="str">
            <v>-</v>
          </cell>
          <cell r="U1496" t="str">
            <v>-</v>
          </cell>
          <cell r="W1496" t="str">
            <v>-</v>
          </cell>
        </row>
        <row r="1497">
          <cell r="F1497" t="str">
            <v>MERT01H052</v>
          </cell>
          <cell r="G1497" t="str">
            <v>HARSH ENTERPRISES</v>
          </cell>
          <cell r="H1497" t="str">
            <v>-</v>
          </cell>
          <cell r="J1497" t="str">
            <v>Domestic</v>
          </cell>
          <cell r="K1497" t="str">
            <v>-</v>
          </cell>
          <cell r="L1497" t="str">
            <v>Non-Sugar</v>
          </cell>
          <cell r="O1497" t="str">
            <v>-</v>
          </cell>
          <cell r="P1497" t="str">
            <v>-</v>
          </cell>
          <cell r="Q1497" t="str">
            <v>-</v>
          </cell>
          <cell r="R1497" t="str">
            <v>-</v>
          </cell>
          <cell r="T1497" t="str">
            <v>-</v>
          </cell>
          <cell r="U1497" t="str">
            <v>-</v>
          </cell>
          <cell r="W1497" t="str">
            <v>-</v>
          </cell>
        </row>
        <row r="1498">
          <cell r="F1498" t="str">
            <v>BELG01H002</v>
          </cell>
          <cell r="G1498" t="str">
            <v>HATTARKI FEEDS</v>
          </cell>
          <cell r="H1498">
            <v>2013</v>
          </cell>
          <cell r="J1498" t="str">
            <v>Domestic</v>
          </cell>
          <cell r="K1498" t="str">
            <v>Cattle Feed</v>
          </cell>
          <cell r="L1498" t="str">
            <v>Non-Sugar</v>
          </cell>
          <cell r="M1498" t="str">
            <v>End User</v>
          </cell>
          <cell r="O1498" t="str">
            <v>-</v>
          </cell>
          <cell r="P1498" t="str">
            <v>-</v>
          </cell>
          <cell r="Q1498" t="str">
            <v>-</v>
          </cell>
          <cell r="R1498" t="str">
            <v>-</v>
          </cell>
          <cell r="T1498" t="str">
            <v>-</v>
          </cell>
          <cell r="W1498" t="str">
            <v>-</v>
          </cell>
        </row>
        <row r="1499">
          <cell r="F1499" t="str">
            <v>GURG01H070</v>
          </cell>
          <cell r="G1499" t="str">
            <v>HAUBERK CHEMICALS</v>
          </cell>
          <cell r="H1499" t="str">
            <v>-</v>
          </cell>
          <cell r="J1499" t="str">
            <v>Domestic</v>
          </cell>
          <cell r="K1499" t="str">
            <v>CHEMICAL</v>
          </cell>
          <cell r="L1499" t="str">
            <v>Non-Sugar</v>
          </cell>
          <cell r="M1499" t="str">
            <v>End User</v>
          </cell>
          <cell r="O1499" t="str">
            <v>-</v>
          </cell>
          <cell r="P1499" t="str">
            <v>-</v>
          </cell>
          <cell r="Q1499" t="str">
            <v>-</v>
          </cell>
          <cell r="R1499" t="str">
            <v>-</v>
          </cell>
          <cell r="T1499" t="str">
            <v>-</v>
          </cell>
          <cell r="U1499" t="str">
            <v>-</v>
          </cell>
          <cell r="W1499" t="str">
            <v>-</v>
          </cell>
        </row>
        <row r="1500">
          <cell r="F1500" t="str">
            <v>GUJA01H071</v>
          </cell>
          <cell r="G1500" t="str">
            <v>HB MICRON</v>
          </cell>
          <cell r="H1500" t="str">
            <v>-</v>
          </cell>
          <cell r="J1500" t="str">
            <v>Domestic</v>
          </cell>
          <cell r="K1500" t="str">
            <v>-</v>
          </cell>
          <cell r="L1500" t="str">
            <v>Non-Sugar</v>
          </cell>
          <cell r="O1500" t="str">
            <v>-</v>
          </cell>
          <cell r="P1500" t="str">
            <v>-</v>
          </cell>
          <cell r="Q1500" t="str">
            <v>-</v>
          </cell>
          <cell r="R1500" t="str">
            <v>-</v>
          </cell>
          <cell r="T1500" t="str">
            <v>-</v>
          </cell>
          <cell r="U1500" t="str">
            <v>-</v>
          </cell>
          <cell r="W1500" t="str">
            <v>-</v>
          </cell>
        </row>
        <row r="1501">
          <cell r="F1501" t="str">
            <v>DEDH01H024</v>
          </cell>
          <cell r="G1501" t="str">
            <v>HEMA LABORATORIES PVT. LTD.</v>
          </cell>
          <cell r="H1501">
            <v>2014</v>
          </cell>
          <cell r="J1501" t="str">
            <v>Domestic</v>
          </cell>
          <cell r="K1501" t="str">
            <v>-</v>
          </cell>
          <cell r="L1501" t="str">
            <v>Non-Sugar</v>
          </cell>
          <cell r="M1501" t="str">
            <v>End User</v>
          </cell>
          <cell r="O1501" t="str">
            <v>-</v>
          </cell>
          <cell r="P1501" t="str">
            <v>-</v>
          </cell>
          <cell r="Q1501" t="str">
            <v>-</v>
          </cell>
          <cell r="R1501" t="str">
            <v>-</v>
          </cell>
          <cell r="T1501" t="str">
            <v>-</v>
          </cell>
          <cell r="U1501" t="str">
            <v>-</v>
          </cell>
          <cell r="W1501" t="str">
            <v>-</v>
          </cell>
        </row>
        <row r="1502">
          <cell r="F1502" t="str">
            <v>KOLH01H003</v>
          </cell>
          <cell r="G1502" t="str">
            <v>HEMARUS INDUSTRIES LIMITED</v>
          </cell>
          <cell r="H1502">
            <v>2013</v>
          </cell>
          <cell r="J1502" t="str">
            <v>Domestic</v>
          </cell>
          <cell r="K1502" t="str">
            <v>-</v>
          </cell>
          <cell r="L1502" t="str">
            <v>Non-Sugar</v>
          </cell>
          <cell r="M1502" t="str">
            <v>End User</v>
          </cell>
          <cell r="O1502" t="str">
            <v>-</v>
          </cell>
          <cell r="P1502" t="str">
            <v>WI-SV</v>
          </cell>
          <cell r="Q1502" t="str">
            <v>SUDHIR</v>
          </cell>
          <cell r="R1502" t="str">
            <v>-</v>
          </cell>
          <cell r="T1502" t="str">
            <v>-</v>
          </cell>
          <cell r="U1502" t="str">
            <v>-</v>
          </cell>
        </row>
        <row r="1503">
          <cell r="F1503" t="str">
            <v>BARW01H030</v>
          </cell>
          <cell r="G1503" t="str">
            <v>HEMARUS INDUSTRIES LTD.</v>
          </cell>
          <cell r="H1503" t="str">
            <v>-</v>
          </cell>
          <cell r="J1503" t="str">
            <v>Domestic</v>
          </cell>
          <cell r="K1503" t="str">
            <v>-</v>
          </cell>
          <cell r="L1503" t="str">
            <v>Non-Sugar</v>
          </cell>
          <cell r="O1503" t="str">
            <v>-</v>
          </cell>
          <cell r="P1503" t="str">
            <v>-</v>
          </cell>
          <cell r="Q1503" t="str">
            <v>-</v>
          </cell>
          <cell r="R1503" t="str">
            <v>-</v>
          </cell>
          <cell r="T1503" t="str">
            <v>-</v>
          </cell>
          <cell r="U1503" t="str">
            <v>-</v>
          </cell>
          <cell r="W1503" t="str">
            <v>-</v>
          </cell>
        </row>
        <row r="1504">
          <cell r="F1504" t="str">
            <v>MUMB01H051</v>
          </cell>
          <cell r="G1504" t="str">
            <v>HEMCO CORPORATION</v>
          </cell>
          <cell r="H1504" t="str">
            <v>-</v>
          </cell>
          <cell r="J1504" t="str">
            <v>Domestic</v>
          </cell>
          <cell r="K1504" t="str">
            <v>-</v>
          </cell>
          <cell r="L1504" t="str">
            <v>Non-Sugar</v>
          </cell>
          <cell r="O1504" t="str">
            <v>-</v>
          </cell>
          <cell r="P1504" t="str">
            <v>-</v>
          </cell>
          <cell r="Q1504" t="str">
            <v>-</v>
          </cell>
          <cell r="R1504" t="str">
            <v>-</v>
          </cell>
          <cell r="T1504" t="str">
            <v>-</v>
          </cell>
          <cell r="U1504" t="str">
            <v>-</v>
          </cell>
          <cell r="W1504" t="str">
            <v>-</v>
          </cell>
        </row>
        <row r="1505">
          <cell r="F1505" t="str">
            <v>MYSR01H064</v>
          </cell>
          <cell r="G1505" t="str">
            <v>HI ELUBE SPECIALITIES</v>
          </cell>
          <cell r="H1505" t="str">
            <v>-</v>
          </cell>
          <cell r="J1505" t="str">
            <v>Domestic</v>
          </cell>
          <cell r="K1505" t="str">
            <v>-</v>
          </cell>
          <cell r="L1505" t="str">
            <v>Non-Sugar</v>
          </cell>
          <cell r="O1505" t="str">
            <v>-</v>
          </cell>
          <cell r="P1505" t="str">
            <v>-</v>
          </cell>
          <cell r="Q1505" t="str">
            <v>-</v>
          </cell>
          <cell r="R1505" t="str">
            <v>-</v>
          </cell>
          <cell r="T1505" t="str">
            <v>-</v>
          </cell>
          <cell r="U1505" t="str">
            <v>-</v>
          </cell>
          <cell r="W1505" t="str">
            <v>-</v>
          </cell>
        </row>
        <row r="1506">
          <cell r="F1506" t="str">
            <v>MUMB01H041</v>
          </cell>
          <cell r="G1506" t="str">
            <v>HI POINT SERVICES (I) PVT LTD</v>
          </cell>
          <cell r="H1506" t="str">
            <v>-</v>
          </cell>
          <cell r="J1506" t="str">
            <v>Domestic</v>
          </cell>
          <cell r="P1506" t="str">
            <v>LGP</v>
          </cell>
          <cell r="Q1506" t="str">
            <v>-</v>
          </cell>
        </row>
        <row r="1507">
          <cell r="F1507" t="str">
            <v>MUMB01H050</v>
          </cell>
          <cell r="G1507" t="str">
            <v>HI- POINT SERVICES (I) PVT LTD</v>
          </cell>
          <cell r="H1507" t="str">
            <v>-</v>
          </cell>
          <cell r="J1507" t="str">
            <v>Domestic</v>
          </cell>
          <cell r="K1507" t="str">
            <v>-</v>
          </cell>
          <cell r="L1507" t="str">
            <v>Non-Sugar</v>
          </cell>
          <cell r="O1507" t="str">
            <v>-</v>
          </cell>
          <cell r="P1507" t="str">
            <v>-</v>
          </cell>
          <cell r="Q1507" t="str">
            <v>-</v>
          </cell>
          <cell r="R1507" t="str">
            <v>-</v>
          </cell>
          <cell r="T1507" t="str">
            <v>-</v>
          </cell>
          <cell r="U1507" t="str">
            <v>-</v>
          </cell>
          <cell r="W1507" t="str">
            <v>-</v>
          </cell>
        </row>
        <row r="1508">
          <cell r="F1508" t="str">
            <v>NANA01H037</v>
          </cell>
          <cell r="G1508" t="str">
            <v>HIGH FACTORY ADHESIVES AND CLEANING CHEMICALS</v>
          </cell>
          <cell r="H1508" t="str">
            <v>-</v>
          </cell>
          <cell r="J1508" t="str">
            <v>Export</v>
          </cell>
          <cell r="L1508" t="str">
            <v>Non-Sugar</v>
          </cell>
          <cell r="O1508" t="str">
            <v>-</v>
          </cell>
          <cell r="P1508" t="str">
            <v>-</v>
          </cell>
          <cell r="Q1508" t="str">
            <v>-</v>
          </cell>
        </row>
        <row r="1509">
          <cell r="F1509" t="str">
            <v>KANP01H063</v>
          </cell>
          <cell r="G1509" t="str">
            <v>HILTEX INDUSTRIAL FABRICS</v>
          </cell>
          <cell r="H1509" t="str">
            <v>-</v>
          </cell>
          <cell r="J1509" t="str">
            <v>Domestic</v>
          </cell>
          <cell r="K1509" t="str">
            <v>-</v>
          </cell>
          <cell r="L1509" t="str">
            <v>Non-Sugar</v>
          </cell>
          <cell r="O1509" t="str">
            <v>-</v>
          </cell>
          <cell r="P1509" t="str">
            <v>-</v>
          </cell>
          <cell r="Q1509" t="str">
            <v>-</v>
          </cell>
          <cell r="R1509" t="str">
            <v>-</v>
          </cell>
          <cell r="T1509" t="str">
            <v>-</v>
          </cell>
          <cell r="U1509" t="str">
            <v>-</v>
          </cell>
          <cell r="W1509" t="str">
            <v>-</v>
          </cell>
        </row>
        <row r="1510">
          <cell r="F1510" t="str">
            <v>GHZB01H069</v>
          </cell>
          <cell r="G1510" t="str">
            <v>HIMVATI FOODS PRIVATE LTD</v>
          </cell>
          <cell r="H1510" t="str">
            <v>-</v>
          </cell>
          <cell r="J1510" t="str">
            <v>Domestic</v>
          </cell>
          <cell r="K1510" t="str">
            <v>-</v>
          </cell>
          <cell r="L1510" t="str">
            <v>Non-Sugar</v>
          </cell>
          <cell r="O1510" t="str">
            <v>-</v>
          </cell>
          <cell r="P1510" t="str">
            <v>-</v>
          </cell>
          <cell r="Q1510" t="str">
            <v>-</v>
          </cell>
          <cell r="R1510" t="str">
            <v>-</v>
          </cell>
          <cell r="T1510" t="str">
            <v>-</v>
          </cell>
          <cell r="U1510" t="str">
            <v>-</v>
          </cell>
          <cell r="W1510" t="str">
            <v>-</v>
          </cell>
        </row>
        <row r="1511">
          <cell r="F1511" t="str">
            <v>KANP01H038</v>
          </cell>
          <cell r="G1511" t="str">
            <v>HIND PETROLEUM</v>
          </cell>
          <cell r="H1511" t="str">
            <v>-</v>
          </cell>
          <cell r="J1511" t="str">
            <v>Domestic</v>
          </cell>
          <cell r="K1511" t="str">
            <v>-</v>
          </cell>
          <cell r="L1511" t="str">
            <v>Non-Sugar</v>
          </cell>
          <cell r="O1511" t="str">
            <v>-</v>
          </cell>
          <cell r="P1511" t="str">
            <v>-</v>
          </cell>
          <cell r="Q1511" t="str">
            <v>-</v>
          </cell>
          <cell r="R1511" t="str">
            <v>-</v>
          </cell>
          <cell r="T1511" t="str">
            <v>-</v>
          </cell>
          <cell r="U1511" t="str">
            <v>-</v>
          </cell>
          <cell r="W1511" t="str">
            <v>-</v>
          </cell>
        </row>
        <row r="1512">
          <cell r="F1512" t="str">
            <v>MUMB01H048</v>
          </cell>
          <cell r="G1512" t="str">
            <v>HIND TERMINALS WAREHOUSE NHAVA SHEVA</v>
          </cell>
          <cell r="H1512" t="str">
            <v>-</v>
          </cell>
          <cell r="J1512" t="str">
            <v>Domestic</v>
          </cell>
          <cell r="K1512" t="str">
            <v>-</v>
          </cell>
          <cell r="L1512" t="str">
            <v>Non-Sugar</v>
          </cell>
          <cell r="O1512" t="str">
            <v>-</v>
          </cell>
          <cell r="P1512" t="str">
            <v>-</v>
          </cell>
          <cell r="Q1512" t="str">
            <v>-</v>
          </cell>
          <cell r="R1512" t="str">
            <v>-</v>
          </cell>
          <cell r="T1512" t="str">
            <v>-</v>
          </cell>
          <cell r="U1512" t="str">
            <v>-</v>
          </cell>
          <cell r="W1512" t="str">
            <v>-</v>
          </cell>
        </row>
        <row r="1513">
          <cell r="F1513" t="str">
            <v>RAIG01H039</v>
          </cell>
          <cell r="G1513" t="str">
            <v>HINDUSTAN CONSTRUCTION COMPANY LTD</v>
          </cell>
          <cell r="H1513" t="str">
            <v>-</v>
          </cell>
          <cell r="J1513" t="str">
            <v>Domestic</v>
          </cell>
          <cell r="K1513" t="str">
            <v>-</v>
          </cell>
          <cell r="L1513" t="str">
            <v>Non-Sugar</v>
          </cell>
          <cell r="O1513" t="str">
            <v>-</v>
          </cell>
          <cell r="P1513" t="str">
            <v>-</v>
          </cell>
          <cell r="Q1513" t="str">
            <v>-</v>
          </cell>
          <cell r="R1513" t="str">
            <v>-</v>
          </cell>
          <cell r="T1513" t="str">
            <v>-</v>
          </cell>
          <cell r="U1513" t="str">
            <v>-</v>
          </cell>
          <cell r="W1513" t="str">
            <v>-</v>
          </cell>
        </row>
        <row r="1514">
          <cell r="F1514" t="str">
            <v>AHME01H024</v>
          </cell>
          <cell r="G1514" t="str">
            <v>HINDUSTAN DORR-OLIVER LIMITED</v>
          </cell>
          <cell r="H1514" t="str">
            <v>-</v>
          </cell>
          <cell r="J1514" t="str">
            <v>Domestic</v>
          </cell>
          <cell r="K1514" t="str">
            <v>-</v>
          </cell>
          <cell r="L1514" t="str">
            <v>Non-Sugar</v>
          </cell>
          <cell r="O1514" t="str">
            <v>-</v>
          </cell>
          <cell r="P1514" t="str">
            <v>-</v>
          </cell>
          <cell r="Q1514" t="str">
            <v>-</v>
          </cell>
          <cell r="R1514" t="str">
            <v>-</v>
          </cell>
          <cell r="T1514" t="str">
            <v>-</v>
          </cell>
          <cell r="U1514" t="str">
            <v>-</v>
          </cell>
          <cell r="W1514" t="str">
            <v>-</v>
          </cell>
        </row>
        <row r="1515">
          <cell r="F1515" t="str">
            <v>MUMB01H029</v>
          </cell>
          <cell r="G1515" t="str">
            <v>HI-POINT SERVICES (I) PVT. LTD.</v>
          </cell>
          <cell r="H1515" t="str">
            <v>-</v>
          </cell>
          <cell r="J1515" t="str">
            <v>Domestic</v>
          </cell>
          <cell r="K1515" t="str">
            <v>-</v>
          </cell>
          <cell r="L1515" t="str">
            <v>Non-Sugar</v>
          </cell>
          <cell r="O1515" t="str">
            <v>-</v>
          </cell>
          <cell r="P1515" t="str">
            <v>-</v>
          </cell>
          <cell r="Q1515" t="str">
            <v>-</v>
          </cell>
          <cell r="R1515" t="str">
            <v>-</v>
          </cell>
          <cell r="T1515" t="str">
            <v>-</v>
          </cell>
          <cell r="U1515" t="str">
            <v>-</v>
          </cell>
          <cell r="W1515" t="str">
            <v>-</v>
          </cell>
        </row>
        <row r="1516">
          <cell r="F1516" t="str">
            <v>PUNE01H011</v>
          </cell>
          <cell r="G1516" t="str">
            <v>HITECH ENG (A/C AUDUMBAR )</v>
          </cell>
          <cell r="H1516">
            <v>2019</v>
          </cell>
          <cell r="J1516" t="str">
            <v>Domestic</v>
          </cell>
          <cell r="K1516" t="str">
            <v>Others</v>
          </cell>
          <cell r="L1516" t="str">
            <v>Non-Sugar</v>
          </cell>
          <cell r="M1516" t="str">
            <v>OEM</v>
          </cell>
          <cell r="O1516" t="str">
            <v>-</v>
          </cell>
          <cell r="P1516" t="str">
            <v>-</v>
          </cell>
          <cell r="Q1516" t="str">
            <v>-</v>
          </cell>
          <cell r="R1516" t="str">
            <v>-</v>
          </cell>
          <cell r="T1516" t="str">
            <v>-</v>
          </cell>
          <cell r="W1516" t="str">
            <v>-</v>
          </cell>
        </row>
        <row r="1517">
          <cell r="F1517" t="str">
            <v>PUNE01H012</v>
          </cell>
          <cell r="G1517" t="str">
            <v>HITECH ENG (A/C HINDUSTAN )</v>
          </cell>
          <cell r="H1517">
            <v>2019</v>
          </cell>
          <cell r="J1517" t="str">
            <v>Domestic</v>
          </cell>
          <cell r="K1517" t="str">
            <v>Others</v>
          </cell>
          <cell r="L1517" t="str">
            <v>Non-Sugar</v>
          </cell>
          <cell r="M1517" t="str">
            <v>OEM</v>
          </cell>
          <cell r="O1517" t="str">
            <v>-</v>
          </cell>
          <cell r="P1517" t="str">
            <v>-</v>
          </cell>
          <cell r="Q1517" t="str">
            <v>-</v>
          </cell>
          <cell r="R1517" t="str">
            <v>-</v>
          </cell>
          <cell r="T1517" t="str">
            <v>-</v>
          </cell>
          <cell r="W1517" t="str">
            <v>-</v>
          </cell>
        </row>
        <row r="1518">
          <cell r="F1518" t="str">
            <v>SOLP01H014</v>
          </cell>
          <cell r="G1518" t="str">
            <v>HITECH ENG (A/C SITARAM)</v>
          </cell>
          <cell r="H1518">
            <v>2019</v>
          </cell>
          <cell r="J1518" t="str">
            <v>Domestic</v>
          </cell>
          <cell r="K1518" t="str">
            <v>Others</v>
          </cell>
          <cell r="L1518" t="str">
            <v>Non-Sugar</v>
          </cell>
          <cell r="M1518" t="str">
            <v>OEM</v>
          </cell>
          <cell r="O1518" t="str">
            <v>-</v>
          </cell>
          <cell r="P1518" t="str">
            <v>-</v>
          </cell>
          <cell r="Q1518" t="str">
            <v>-</v>
          </cell>
          <cell r="R1518" t="str">
            <v>-</v>
          </cell>
          <cell r="T1518" t="str">
            <v>-</v>
          </cell>
          <cell r="W1518" t="str">
            <v>-</v>
          </cell>
        </row>
        <row r="1519">
          <cell r="F1519" t="str">
            <v>SOLP01H010</v>
          </cell>
          <cell r="G1519" t="str">
            <v>HITECH ENG (A/CARYAN ) YEDESHASWARI SUGAR &amp; AGRO UNIT 2</v>
          </cell>
          <cell r="H1519">
            <v>2019</v>
          </cell>
          <cell r="J1519" t="str">
            <v>Domestic</v>
          </cell>
          <cell r="K1519" t="str">
            <v>Sugar</v>
          </cell>
          <cell r="M1519" t="str">
            <v>End User</v>
          </cell>
          <cell r="O1519" t="str">
            <v>-</v>
          </cell>
          <cell r="P1519" t="str">
            <v>-</v>
          </cell>
          <cell r="Q1519" t="str">
            <v>-</v>
          </cell>
          <cell r="R1519" t="str">
            <v>-</v>
          </cell>
          <cell r="T1519" t="str">
            <v>-</v>
          </cell>
          <cell r="W1519" t="str">
            <v>-</v>
          </cell>
        </row>
        <row r="1520">
          <cell r="F1520" t="str">
            <v>PUNE01H013</v>
          </cell>
          <cell r="G1520" t="str">
            <v>HITECH ENG (A/CMAH. SSK )</v>
          </cell>
          <cell r="H1520">
            <v>2019</v>
          </cell>
          <cell r="J1520" t="str">
            <v>Domestic</v>
          </cell>
          <cell r="K1520" t="str">
            <v>others</v>
          </cell>
          <cell r="L1520" t="str">
            <v>Non-Sugar</v>
          </cell>
          <cell r="M1520" t="str">
            <v>OEM</v>
          </cell>
          <cell r="O1520" t="str">
            <v>-</v>
          </cell>
          <cell r="P1520" t="str">
            <v>-</v>
          </cell>
          <cell r="Q1520" t="str">
            <v>-</v>
          </cell>
          <cell r="R1520" t="str">
            <v>-</v>
          </cell>
          <cell r="T1520" t="str">
            <v>-</v>
          </cell>
          <cell r="W1520" t="str">
            <v>-</v>
          </cell>
        </row>
        <row r="1521">
          <cell r="F1521" t="str">
            <v>BELG01H015</v>
          </cell>
          <cell r="G1521" t="str">
            <v>HITECH ENG (A/CSOUB LAXMI )</v>
          </cell>
          <cell r="H1521">
            <v>2019</v>
          </cell>
          <cell r="J1521" t="str">
            <v>Domestic</v>
          </cell>
          <cell r="K1521" t="str">
            <v>others</v>
          </cell>
          <cell r="L1521" t="str">
            <v>Non-Sugar</v>
          </cell>
          <cell r="M1521" t="str">
            <v>OEM</v>
          </cell>
          <cell r="O1521" t="str">
            <v>-</v>
          </cell>
          <cell r="P1521" t="str">
            <v>-</v>
          </cell>
          <cell r="Q1521" t="str">
            <v>-</v>
          </cell>
          <cell r="R1521" t="str">
            <v>-</v>
          </cell>
          <cell r="T1521" t="str">
            <v>-</v>
          </cell>
          <cell r="W1521" t="str">
            <v>-</v>
          </cell>
        </row>
        <row r="1522">
          <cell r="F1522" t="str">
            <v>PUNE01H026</v>
          </cell>
          <cell r="G1522" t="str">
            <v>HI-TECH ENG (PROJ.- UDGERI)</v>
          </cell>
          <cell r="H1522">
            <v>2019</v>
          </cell>
          <cell r="J1522" t="str">
            <v>Domestic</v>
          </cell>
          <cell r="K1522" t="str">
            <v>Others</v>
          </cell>
          <cell r="L1522" t="str">
            <v>Non-Sugar</v>
          </cell>
          <cell r="M1522" t="str">
            <v>OEM</v>
          </cell>
          <cell r="O1522" t="str">
            <v>-</v>
          </cell>
          <cell r="P1522" t="str">
            <v>-</v>
          </cell>
          <cell r="Q1522" t="str">
            <v>-</v>
          </cell>
          <cell r="R1522" t="str">
            <v>-</v>
          </cell>
          <cell r="T1522" t="str">
            <v>-</v>
          </cell>
          <cell r="W1522" t="str">
            <v>-</v>
          </cell>
        </row>
        <row r="1523">
          <cell r="F1523" t="str">
            <v>AHMD01H016</v>
          </cell>
          <cell r="G1523" t="str">
            <v>HITECH ENG CORP (A/C SAIKRIPA SSK)</v>
          </cell>
          <cell r="H1523">
            <v>2013</v>
          </cell>
          <cell r="J1523" t="str">
            <v>Domestic</v>
          </cell>
          <cell r="K1523" t="str">
            <v>others</v>
          </cell>
          <cell r="L1523" t="str">
            <v>Non-Sugar</v>
          </cell>
          <cell r="M1523" t="str">
            <v>OEM</v>
          </cell>
          <cell r="O1523" t="str">
            <v>-</v>
          </cell>
          <cell r="P1523" t="str">
            <v>-</v>
          </cell>
          <cell r="Q1523" t="str">
            <v>-</v>
          </cell>
          <cell r="R1523" t="str">
            <v>-</v>
          </cell>
          <cell r="T1523" t="str">
            <v>-</v>
          </cell>
          <cell r="W1523" t="str">
            <v>-</v>
          </cell>
        </row>
        <row r="1524">
          <cell r="F1524" t="str">
            <v>BELG01H018</v>
          </cell>
          <cell r="G1524" t="str">
            <v>HITECH ENG CORP (A/C SHIVSAGAR SUGAR )</v>
          </cell>
          <cell r="H1524">
            <v>2019</v>
          </cell>
          <cell r="J1524" t="str">
            <v>Domestic</v>
          </cell>
          <cell r="K1524" t="str">
            <v>Others</v>
          </cell>
          <cell r="L1524" t="str">
            <v>Non-Sugar</v>
          </cell>
          <cell r="M1524" t="str">
            <v>End User</v>
          </cell>
          <cell r="O1524" t="str">
            <v>-</v>
          </cell>
          <cell r="P1524" t="str">
            <v>-</v>
          </cell>
          <cell r="Q1524" t="str">
            <v>-</v>
          </cell>
          <cell r="R1524" t="str">
            <v>-</v>
          </cell>
          <cell r="T1524" t="str">
            <v>-</v>
          </cell>
          <cell r="W1524" t="str">
            <v>-</v>
          </cell>
        </row>
        <row r="1525">
          <cell r="F1525" t="str">
            <v>RAIG01H020</v>
          </cell>
          <cell r="G1525" t="str">
            <v>HITECH ENG CORP (SHIVSHAKTI SUGAR )</v>
          </cell>
          <cell r="H1525">
            <v>2019</v>
          </cell>
          <cell r="J1525" t="str">
            <v>Domestic</v>
          </cell>
          <cell r="K1525" t="str">
            <v>Sugar</v>
          </cell>
          <cell r="M1525" t="str">
            <v>End User</v>
          </cell>
          <cell r="O1525" t="str">
            <v>-</v>
          </cell>
          <cell r="P1525" t="str">
            <v>-</v>
          </cell>
          <cell r="Q1525" t="str">
            <v>-</v>
          </cell>
          <cell r="R1525" t="str">
            <v>-</v>
          </cell>
          <cell r="T1525" t="str">
            <v>-</v>
          </cell>
          <cell r="W1525" t="str">
            <v>-</v>
          </cell>
        </row>
        <row r="1526">
          <cell r="F1526" t="str">
            <v>JALN01H017</v>
          </cell>
          <cell r="G1526" t="str">
            <v>HITECH ENG CORPA/CSAMSUDHI SUGAR LTD</v>
          </cell>
          <cell r="H1526">
            <v>2019</v>
          </cell>
          <cell r="J1526" t="str">
            <v>Domestic</v>
          </cell>
          <cell r="K1526" t="str">
            <v>Sugar</v>
          </cell>
          <cell r="M1526" t="str">
            <v>End User</v>
          </cell>
          <cell r="O1526" t="str">
            <v>-</v>
          </cell>
          <cell r="P1526" t="str">
            <v>-</v>
          </cell>
          <cell r="Q1526" t="str">
            <v>-</v>
          </cell>
          <cell r="R1526" t="str">
            <v>-</v>
          </cell>
          <cell r="T1526" t="str">
            <v>-</v>
          </cell>
          <cell r="W1526" t="str">
            <v>-</v>
          </cell>
        </row>
        <row r="1527">
          <cell r="F1527" t="str">
            <v>SOLP01H019</v>
          </cell>
          <cell r="G1527" t="str">
            <v>HITECH ENG CORPN (JAKRAYA SUGAR LTD</v>
          </cell>
          <cell r="H1527">
            <v>2019</v>
          </cell>
          <cell r="J1527" t="str">
            <v>Domestic</v>
          </cell>
          <cell r="K1527" t="str">
            <v>Sugar</v>
          </cell>
          <cell r="M1527" t="str">
            <v>End User</v>
          </cell>
          <cell r="O1527" t="str">
            <v>-</v>
          </cell>
          <cell r="P1527" t="str">
            <v>-</v>
          </cell>
          <cell r="Q1527" t="str">
            <v>-</v>
          </cell>
          <cell r="R1527" t="str">
            <v>-</v>
          </cell>
          <cell r="T1527" t="str">
            <v>-</v>
          </cell>
          <cell r="W1527" t="str">
            <v>-</v>
          </cell>
        </row>
        <row r="1528">
          <cell r="F1528" t="str">
            <v>PUNE01H005</v>
          </cell>
          <cell r="G1528" t="str">
            <v>HI-TECH ENGINEERING CORPN.INDIA PVT. LTD.</v>
          </cell>
          <cell r="H1528">
            <v>2013</v>
          </cell>
          <cell r="J1528" t="str">
            <v>Domestic</v>
          </cell>
          <cell r="K1528" t="str">
            <v>Others</v>
          </cell>
          <cell r="L1528" t="str">
            <v>Non-Sugar</v>
          </cell>
          <cell r="M1528" t="str">
            <v>OEM</v>
          </cell>
          <cell r="O1528" t="str">
            <v>-</v>
          </cell>
          <cell r="P1528" t="str">
            <v>-</v>
          </cell>
          <cell r="Q1528" t="str">
            <v>-</v>
          </cell>
          <cell r="R1528" t="str">
            <v>-</v>
          </cell>
          <cell r="T1528" t="str">
            <v>-</v>
          </cell>
          <cell r="W1528" t="str">
            <v>-</v>
          </cell>
        </row>
        <row r="1529">
          <cell r="F1529" t="str">
            <v>MUMB01H028</v>
          </cell>
          <cell r="G1529" t="str">
            <v>HI-TECH ENGINEERS</v>
          </cell>
          <cell r="H1529" t="str">
            <v>-</v>
          </cell>
          <cell r="J1529" t="str">
            <v>Domestic</v>
          </cell>
          <cell r="K1529" t="str">
            <v>others</v>
          </cell>
          <cell r="L1529" t="str">
            <v>Non-Sugar</v>
          </cell>
          <cell r="M1529" t="str">
            <v>OEM</v>
          </cell>
          <cell r="O1529" t="str">
            <v>-</v>
          </cell>
          <cell r="P1529" t="str">
            <v>-</v>
          </cell>
          <cell r="Q1529" t="str">
            <v>-</v>
          </cell>
          <cell r="R1529" t="str">
            <v>-</v>
          </cell>
          <cell r="T1529" t="str">
            <v>-</v>
          </cell>
          <cell r="W1529" t="str">
            <v>-</v>
          </cell>
        </row>
        <row r="1530">
          <cell r="F1530" t="str">
            <v>MUMB01H035</v>
          </cell>
          <cell r="G1530" t="str">
            <v>HITECH GLOBAL INFRASTRUCTURE PVT LTD</v>
          </cell>
          <cell r="H1530" t="str">
            <v>-</v>
          </cell>
          <cell r="J1530" t="str">
            <v>Domestic</v>
          </cell>
          <cell r="K1530" t="str">
            <v>-</v>
          </cell>
          <cell r="L1530" t="str">
            <v>Non-Sugar</v>
          </cell>
          <cell r="O1530" t="str">
            <v>-</v>
          </cell>
          <cell r="P1530" t="str">
            <v>-</v>
          </cell>
          <cell r="Q1530" t="str">
            <v>-</v>
          </cell>
          <cell r="R1530" t="str">
            <v>-</v>
          </cell>
          <cell r="T1530" t="str">
            <v>-</v>
          </cell>
          <cell r="U1530" t="str">
            <v>-</v>
          </cell>
          <cell r="W1530" t="str">
            <v>-</v>
          </cell>
        </row>
        <row r="1531">
          <cell r="F1531" t="str">
            <v>BRAH01H006</v>
          </cell>
          <cell r="G1531" t="str">
            <v>HITEN IMPEX PVT. LTD.</v>
          </cell>
          <cell r="H1531" t="str">
            <v>-</v>
          </cell>
          <cell r="J1531" t="str">
            <v>Domestic</v>
          </cell>
          <cell r="K1531" t="str">
            <v>-</v>
          </cell>
          <cell r="L1531" t="str">
            <v>Non-Sugar</v>
          </cell>
          <cell r="O1531" t="str">
            <v>-</v>
          </cell>
          <cell r="P1531" t="str">
            <v>-</v>
          </cell>
          <cell r="Q1531" t="str">
            <v>-</v>
          </cell>
          <cell r="R1531" t="str">
            <v>-</v>
          </cell>
          <cell r="T1531" t="str">
            <v>-</v>
          </cell>
          <cell r="U1531" t="str">
            <v>-</v>
          </cell>
          <cell r="W1531" t="str">
            <v>-</v>
          </cell>
        </row>
        <row r="1532">
          <cell r="F1532" t="str">
            <v>AGRA01H060</v>
          </cell>
          <cell r="G1532" t="str">
            <v>HMA AGRO</v>
          </cell>
          <cell r="H1532" t="str">
            <v>-</v>
          </cell>
          <cell r="J1532" t="str">
            <v>Domestic</v>
          </cell>
          <cell r="K1532" t="str">
            <v>-</v>
          </cell>
          <cell r="L1532" t="str">
            <v>Non-Sugar</v>
          </cell>
          <cell r="O1532" t="str">
            <v>-</v>
          </cell>
          <cell r="P1532" t="str">
            <v>-</v>
          </cell>
          <cell r="Q1532" t="str">
            <v>-</v>
          </cell>
          <cell r="R1532" t="str">
            <v>-</v>
          </cell>
          <cell r="T1532" t="str">
            <v>-</v>
          </cell>
          <cell r="U1532" t="str">
            <v>-</v>
          </cell>
          <cell r="W1532" t="str">
            <v>-</v>
          </cell>
        </row>
        <row r="1533">
          <cell r="F1533" t="str">
            <v>BANG01H049</v>
          </cell>
          <cell r="G1533" t="str">
            <v>HMT MACHINE</v>
          </cell>
          <cell r="H1533" t="str">
            <v>-</v>
          </cell>
          <cell r="J1533" t="str">
            <v>Domestic</v>
          </cell>
          <cell r="K1533" t="str">
            <v>-</v>
          </cell>
          <cell r="L1533" t="str">
            <v>Non-Sugar</v>
          </cell>
          <cell r="O1533" t="str">
            <v>-</v>
          </cell>
          <cell r="P1533" t="str">
            <v>-</v>
          </cell>
          <cell r="Q1533" t="str">
            <v>-</v>
          </cell>
          <cell r="R1533" t="str">
            <v>-</v>
          </cell>
          <cell r="T1533" t="str">
            <v>-</v>
          </cell>
          <cell r="U1533" t="str">
            <v>-</v>
          </cell>
          <cell r="W1533" t="str">
            <v>-</v>
          </cell>
        </row>
        <row r="1534">
          <cell r="F1534" t="str">
            <v>NODA01H068</v>
          </cell>
          <cell r="G1534" t="str">
            <v>HNA CONTRACTING AND TRADING LLP</v>
          </cell>
          <cell r="H1534" t="str">
            <v>-</v>
          </cell>
          <cell r="J1534" t="str">
            <v>Domestic</v>
          </cell>
          <cell r="K1534" t="str">
            <v>-</v>
          </cell>
          <cell r="L1534" t="str">
            <v>Non-Sugar</v>
          </cell>
          <cell r="O1534" t="str">
            <v>-</v>
          </cell>
          <cell r="P1534" t="str">
            <v>-</v>
          </cell>
          <cell r="Q1534" t="str">
            <v>-</v>
          </cell>
          <cell r="R1534" t="str">
            <v>-</v>
          </cell>
          <cell r="T1534" t="str">
            <v>-</v>
          </cell>
          <cell r="U1534" t="str">
            <v>-</v>
          </cell>
          <cell r="W1534" t="str">
            <v>-</v>
          </cell>
        </row>
        <row r="1535">
          <cell r="F1535" t="str">
            <v>VIET01H042</v>
          </cell>
          <cell r="G1535" t="str">
            <v>HUNG THINH LIMITED</v>
          </cell>
          <cell r="H1535">
            <v>2017</v>
          </cell>
          <cell r="J1535" t="str">
            <v>Export</v>
          </cell>
          <cell r="K1535" t="str">
            <v>OTHERS</v>
          </cell>
          <cell r="L1535" t="str">
            <v>Non-Sugar</v>
          </cell>
          <cell r="M1535" t="str">
            <v>OEM</v>
          </cell>
          <cell r="O1535" t="str">
            <v>-</v>
          </cell>
          <cell r="P1535" t="str">
            <v>VA</v>
          </cell>
          <cell r="Q1535" t="str">
            <v>VG</v>
          </cell>
          <cell r="T1535" t="str">
            <v>-</v>
          </cell>
          <cell r="U1535" t="str">
            <v>-</v>
          </cell>
          <cell r="W1535" t="str">
            <v>-</v>
          </cell>
        </row>
        <row r="1536">
          <cell r="F1536" t="str">
            <v>MOHL01H059</v>
          </cell>
          <cell r="G1536" t="str">
            <v>HYDROTECH PARYAVARAN (INDIA) PVT. LTD</v>
          </cell>
          <cell r="H1536" t="str">
            <v>-</v>
          </cell>
          <cell r="J1536" t="str">
            <v>Domestic</v>
          </cell>
          <cell r="K1536" t="str">
            <v>-</v>
          </cell>
          <cell r="L1536" t="str">
            <v>Non-Sugar</v>
          </cell>
          <cell r="O1536" t="str">
            <v>-</v>
          </cell>
          <cell r="P1536" t="str">
            <v>-</v>
          </cell>
          <cell r="Q1536" t="str">
            <v>-</v>
          </cell>
          <cell r="R1536" t="str">
            <v>-</v>
          </cell>
          <cell r="T1536" t="str">
            <v>-</v>
          </cell>
          <cell r="U1536" t="str">
            <v>-</v>
          </cell>
          <cell r="W1536" t="str">
            <v>-</v>
          </cell>
        </row>
        <row r="1537">
          <cell r="F1537" t="str">
            <v>CHEN01I058</v>
          </cell>
          <cell r="G1537" t="str">
            <v>I FLUIDS ENGINEERING</v>
          </cell>
          <cell r="H1537" t="str">
            <v>-</v>
          </cell>
          <cell r="J1537" t="str">
            <v>Domestic</v>
          </cell>
          <cell r="K1537" t="str">
            <v>-</v>
          </cell>
          <cell r="L1537" t="str">
            <v>Non-Sugar</v>
          </cell>
          <cell r="O1537" t="str">
            <v>-</v>
          </cell>
          <cell r="P1537" t="str">
            <v>-</v>
          </cell>
          <cell r="Q1537" t="str">
            <v>-</v>
          </cell>
          <cell r="R1537" t="str">
            <v>-</v>
          </cell>
          <cell r="T1537" t="str">
            <v>-</v>
          </cell>
          <cell r="U1537" t="str">
            <v>-</v>
          </cell>
          <cell r="W1537" t="str">
            <v>-</v>
          </cell>
        </row>
        <row r="1538">
          <cell r="F1538" t="str">
            <v>DLHI01I059</v>
          </cell>
          <cell r="G1538" t="str">
            <v>ICD TUGHLAKABAD</v>
          </cell>
          <cell r="H1538" t="str">
            <v>-</v>
          </cell>
          <cell r="J1538" t="str">
            <v>Domestic</v>
          </cell>
          <cell r="K1538" t="str">
            <v>-</v>
          </cell>
          <cell r="L1538" t="str">
            <v>Non-Sugar</v>
          </cell>
          <cell r="O1538" t="str">
            <v>-</v>
          </cell>
          <cell r="P1538" t="str">
            <v>-</v>
          </cell>
          <cell r="Q1538" t="str">
            <v>-</v>
          </cell>
          <cell r="R1538" t="str">
            <v>-</v>
          </cell>
          <cell r="T1538" t="str">
            <v>-</v>
          </cell>
          <cell r="U1538" t="str">
            <v>-</v>
          </cell>
          <cell r="W1538" t="str">
            <v>-</v>
          </cell>
        </row>
        <row r="1539">
          <cell r="F1539" t="str">
            <v>DLHI01I057</v>
          </cell>
          <cell r="G1539" t="str">
            <v>IIT DELHI</v>
          </cell>
          <cell r="H1539" t="str">
            <v>-</v>
          </cell>
          <cell r="J1539" t="str">
            <v>Domestic</v>
          </cell>
          <cell r="K1539" t="str">
            <v>-</v>
          </cell>
          <cell r="L1539" t="str">
            <v>Non-Sugar</v>
          </cell>
          <cell r="O1539" t="str">
            <v>-</v>
          </cell>
          <cell r="P1539" t="str">
            <v>-</v>
          </cell>
          <cell r="Q1539" t="str">
            <v>-</v>
          </cell>
          <cell r="R1539" t="str">
            <v>-</v>
          </cell>
          <cell r="T1539" t="str">
            <v>-</v>
          </cell>
          <cell r="U1539" t="str">
            <v>-</v>
          </cell>
          <cell r="W1539" t="str">
            <v>-</v>
          </cell>
        </row>
        <row r="1540">
          <cell r="F1540" t="str">
            <v>AHME01I038</v>
          </cell>
          <cell r="G1540" t="str">
            <v>IMAX ASSOCIATES</v>
          </cell>
          <cell r="H1540" t="str">
            <v>19-20</v>
          </cell>
          <cell r="J1540" t="str">
            <v>Domestic</v>
          </cell>
          <cell r="K1540" t="str">
            <v>-</v>
          </cell>
          <cell r="L1540" t="str">
            <v>Non-Sugar</v>
          </cell>
          <cell r="M1540" t="str">
            <v>End User</v>
          </cell>
          <cell r="O1540" t="str">
            <v>-</v>
          </cell>
          <cell r="P1540" t="str">
            <v>-</v>
          </cell>
          <cell r="Q1540" t="str">
            <v>-</v>
          </cell>
          <cell r="R1540" t="str">
            <v>-</v>
          </cell>
          <cell r="T1540" t="str">
            <v>-</v>
          </cell>
          <cell r="U1540" t="str">
            <v>-</v>
          </cell>
          <cell r="W1540" t="str">
            <v>-</v>
          </cell>
        </row>
        <row r="1541">
          <cell r="F1541" t="str">
            <v>ANAN01I039</v>
          </cell>
          <cell r="G1541" t="str">
            <v>IMAX ASSOCIATES C/O THE PRINCIPAL &amp; DEAN</v>
          </cell>
          <cell r="H1541" t="str">
            <v>-</v>
          </cell>
          <cell r="J1541" t="str">
            <v>Domestic</v>
          </cell>
          <cell r="K1541" t="str">
            <v>-</v>
          </cell>
          <cell r="L1541" t="str">
            <v>Non-Sugar</v>
          </cell>
          <cell r="O1541" t="str">
            <v>-</v>
          </cell>
          <cell r="P1541" t="str">
            <v>-</v>
          </cell>
          <cell r="Q1541" t="str">
            <v>-</v>
          </cell>
          <cell r="R1541" t="str">
            <v>-</v>
          </cell>
          <cell r="T1541" t="str">
            <v>-</v>
          </cell>
          <cell r="U1541" t="str">
            <v>-</v>
          </cell>
          <cell r="W1541" t="str">
            <v>-</v>
          </cell>
        </row>
        <row r="1542">
          <cell r="F1542" t="str">
            <v>KAKI01I001</v>
          </cell>
          <cell r="G1542" t="str">
            <v>IMC LIMITED</v>
          </cell>
          <cell r="H1542" t="str">
            <v>-</v>
          </cell>
          <cell r="J1542" t="str">
            <v>Domestic</v>
          </cell>
          <cell r="K1542" t="str">
            <v>Others</v>
          </cell>
          <cell r="L1542" t="str">
            <v>Non-Sugar</v>
          </cell>
          <cell r="M1542" t="str">
            <v>OEM</v>
          </cell>
          <cell r="P1542" t="str">
            <v>SI-GS</v>
          </cell>
          <cell r="Q1542" t="str">
            <v>SI-GS</v>
          </cell>
          <cell r="W1542" t="str">
            <v>-</v>
          </cell>
        </row>
        <row r="1543">
          <cell r="F1543" t="str">
            <v>BOKA01I027</v>
          </cell>
          <cell r="G1543" t="str">
            <v>IMPERIAL FASTNERS PRIVATE LIMITED</v>
          </cell>
          <cell r="H1543" t="str">
            <v>-</v>
          </cell>
          <cell r="J1543" t="str">
            <v>Domestic</v>
          </cell>
          <cell r="K1543" t="str">
            <v>-</v>
          </cell>
          <cell r="L1543" t="str">
            <v>Non-Sugar</v>
          </cell>
          <cell r="O1543" t="str">
            <v>-</v>
          </cell>
          <cell r="P1543" t="str">
            <v>-</v>
          </cell>
          <cell r="Q1543" t="str">
            <v>-</v>
          </cell>
          <cell r="R1543" t="str">
            <v>-</v>
          </cell>
          <cell r="T1543" t="str">
            <v>-</v>
          </cell>
          <cell r="U1543" t="str">
            <v>-</v>
          </cell>
          <cell r="W1543" t="str">
            <v>-</v>
          </cell>
        </row>
        <row r="1544">
          <cell r="F1544" t="str">
            <v>LUCK01I023</v>
          </cell>
          <cell r="G1544" t="str">
            <v>INDAF ENGG &amp; PROJECT CONSULTANTS PVT LTD</v>
          </cell>
          <cell r="H1544" t="str">
            <v>-</v>
          </cell>
          <cell r="J1544" t="str">
            <v>Domestic</v>
          </cell>
          <cell r="K1544" t="str">
            <v>-</v>
          </cell>
          <cell r="L1544" t="str">
            <v>Non-Sugar</v>
          </cell>
          <cell r="O1544" t="str">
            <v>-</v>
          </cell>
          <cell r="P1544" t="str">
            <v>-</v>
          </cell>
          <cell r="Q1544" t="str">
            <v>-</v>
          </cell>
          <cell r="R1544" t="str">
            <v>-</v>
          </cell>
          <cell r="T1544" t="str">
            <v>-</v>
          </cell>
          <cell r="U1544" t="str">
            <v>-</v>
          </cell>
          <cell r="W1544" t="str">
            <v>-</v>
          </cell>
        </row>
        <row r="1545">
          <cell r="F1545" t="str">
            <v>LUCK01I021</v>
          </cell>
          <cell r="G1545" t="str">
            <v>INDAF ENGG &amp; PROJECT CONSULTANTS PVT LTD.</v>
          </cell>
          <cell r="H1545" t="str">
            <v>-</v>
          </cell>
          <cell r="J1545" t="str">
            <v>Domestic</v>
          </cell>
          <cell r="K1545" t="str">
            <v>-</v>
          </cell>
          <cell r="L1545" t="str">
            <v>Non-Sugar</v>
          </cell>
          <cell r="O1545" t="str">
            <v>-</v>
          </cell>
          <cell r="P1545" t="str">
            <v>-</v>
          </cell>
          <cell r="Q1545" t="str">
            <v>-</v>
          </cell>
          <cell r="R1545" t="str">
            <v>-</v>
          </cell>
          <cell r="T1545" t="str">
            <v>-</v>
          </cell>
          <cell r="U1545" t="str">
            <v>-</v>
          </cell>
          <cell r="W1545" t="str">
            <v>-</v>
          </cell>
        </row>
        <row r="1546">
          <cell r="F1546" t="str">
            <v>MUMB01I034</v>
          </cell>
          <cell r="G1546" t="str">
            <v>INDAUST MARITIME P LTD</v>
          </cell>
          <cell r="H1546" t="str">
            <v>-</v>
          </cell>
          <cell r="J1546" t="str">
            <v>Domestic</v>
          </cell>
          <cell r="K1546" t="str">
            <v>-</v>
          </cell>
          <cell r="L1546" t="str">
            <v>Non-Sugar</v>
          </cell>
          <cell r="O1546" t="str">
            <v>-</v>
          </cell>
          <cell r="P1546" t="str">
            <v>-</v>
          </cell>
          <cell r="Q1546" t="str">
            <v>-</v>
          </cell>
          <cell r="R1546" t="str">
            <v>-</v>
          </cell>
          <cell r="T1546" t="str">
            <v>-</v>
          </cell>
          <cell r="U1546" t="str">
            <v>-</v>
          </cell>
          <cell r="W1546" t="str">
            <v>-</v>
          </cell>
        </row>
        <row r="1547">
          <cell r="F1547" t="str">
            <v>NODA01I049</v>
          </cell>
          <cell r="G1547" t="str">
            <v>INDIA EXPO CENTER &amp; MART</v>
          </cell>
          <cell r="H1547" t="str">
            <v>-</v>
          </cell>
          <cell r="J1547" t="str">
            <v>Domestic</v>
          </cell>
          <cell r="K1547" t="str">
            <v>-</v>
          </cell>
          <cell r="L1547" t="str">
            <v>Non-Sugar</v>
          </cell>
          <cell r="O1547" t="str">
            <v>-</v>
          </cell>
          <cell r="P1547" t="str">
            <v>-</v>
          </cell>
          <cell r="Q1547" t="str">
            <v>-</v>
          </cell>
          <cell r="R1547" t="str">
            <v>-</v>
          </cell>
          <cell r="T1547" t="str">
            <v>-</v>
          </cell>
          <cell r="U1547" t="str">
            <v>-</v>
          </cell>
          <cell r="W1547" t="str">
            <v>-</v>
          </cell>
        </row>
        <row r="1548">
          <cell r="F1548" t="str">
            <v>UDAM01I017</v>
          </cell>
          <cell r="G1548" t="str">
            <v>INDIA GLYCOLS LTD</v>
          </cell>
          <cell r="H1548">
            <v>2012</v>
          </cell>
          <cell r="J1548" t="str">
            <v>Domestic</v>
          </cell>
          <cell r="K1548" t="str">
            <v>-</v>
          </cell>
          <cell r="L1548" t="str">
            <v>Non-Sugar</v>
          </cell>
          <cell r="M1548" t="str">
            <v>End User</v>
          </cell>
          <cell r="O1548" t="str">
            <v>-</v>
          </cell>
          <cell r="P1548" t="str">
            <v>-</v>
          </cell>
          <cell r="Q1548" t="str">
            <v>-</v>
          </cell>
          <cell r="R1548" t="str">
            <v>-</v>
          </cell>
          <cell r="T1548" t="str">
            <v>-</v>
          </cell>
          <cell r="U1548" t="str">
            <v>-</v>
          </cell>
          <cell r="W1548" t="str">
            <v>-</v>
          </cell>
        </row>
        <row r="1549">
          <cell r="F1549" t="str">
            <v>MUMB01I002</v>
          </cell>
          <cell r="G1549" t="str">
            <v>INDIA GOVERNMENT MINT MINISTRY OF FINANCE</v>
          </cell>
          <cell r="H1549" t="str">
            <v>-</v>
          </cell>
          <cell r="J1549" t="str">
            <v>Domestic</v>
          </cell>
          <cell r="P1549" t="str">
            <v>LGP</v>
          </cell>
          <cell r="Q1549" t="str">
            <v>-</v>
          </cell>
        </row>
        <row r="1550">
          <cell r="F1550" t="str">
            <v>NODA01I029</v>
          </cell>
          <cell r="G1550" t="str">
            <v>INDIAMART INTERMESH LTD</v>
          </cell>
          <cell r="H1550" t="str">
            <v>-</v>
          </cell>
          <cell r="J1550" t="str">
            <v>Domestic</v>
          </cell>
          <cell r="K1550" t="str">
            <v>-</v>
          </cell>
          <cell r="L1550" t="str">
            <v>Non-Sugar</v>
          </cell>
          <cell r="O1550" t="str">
            <v>-</v>
          </cell>
          <cell r="P1550" t="str">
            <v>-</v>
          </cell>
          <cell r="Q1550" t="str">
            <v>-</v>
          </cell>
          <cell r="R1550" t="str">
            <v>-</v>
          </cell>
          <cell r="T1550" t="str">
            <v>-</v>
          </cell>
          <cell r="U1550" t="str">
            <v>-</v>
          </cell>
          <cell r="W1550" t="str">
            <v>-</v>
          </cell>
        </row>
        <row r="1551">
          <cell r="F1551" t="str">
            <v>BARL01I056</v>
          </cell>
          <cell r="G1551" t="str">
            <v>INDIAN CANE POWER LIMITED</v>
          </cell>
          <cell r="H1551" t="str">
            <v>-</v>
          </cell>
          <cell r="J1551" t="str">
            <v>Domestic</v>
          </cell>
          <cell r="K1551" t="str">
            <v>Sugar</v>
          </cell>
          <cell r="M1551" t="str">
            <v>End User</v>
          </cell>
          <cell r="O1551" t="str">
            <v>-</v>
          </cell>
          <cell r="P1551" t="str">
            <v>-</v>
          </cell>
          <cell r="Q1551" t="str">
            <v>-</v>
          </cell>
          <cell r="R1551" t="str">
            <v>-</v>
          </cell>
          <cell r="T1551" t="str">
            <v>-</v>
          </cell>
          <cell r="W1551" t="str">
            <v>-</v>
          </cell>
        </row>
        <row r="1552">
          <cell r="F1552" t="str">
            <v>BELG01I055</v>
          </cell>
          <cell r="G1552" t="str">
            <v>INDIAN CANE POWER LIMITED</v>
          </cell>
          <cell r="H1552" t="str">
            <v>-</v>
          </cell>
          <cell r="J1552" t="str">
            <v>Domestic</v>
          </cell>
          <cell r="K1552" t="str">
            <v>Sugar</v>
          </cell>
          <cell r="M1552" t="str">
            <v>End User</v>
          </cell>
          <cell r="O1552" t="str">
            <v>-</v>
          </cell>
          <cell r="P1552" t="str">
            <v>-</v>
          </cell>
          <cell r="Q1552" t="str">
            <v>-</v>
          </cell>
          <cell r="R1552" t="str">
            <v>-</v>
          </cell>
          <cell r="T1552" t="str">
            <v>-</v>
          </cell>
          <cell r="W1552" t="str">
            <v>-</v>
          </cell>
        </row>
        <row r="1553">
          <cell r="F1553" t="str">
            <v>MUMB01I062</v>
          </cell>
          <cell r="G1553" t="str">
            <v>INDIAN OIL CORPORATIN LTD</v>
          </cell>
          <cell r="H1553" t="str">
            <v>-</v>
          </cell>
          <cell r="J1553" t="str">
            <v>Domestic</v>
          </cell>
          <cell r="K1553" t="str">
            <v>-</v>
          </cell>
          <cell r="L1553" t="str">
            <v>Non-Sugar</v>
          </cell>
          <cell r="O1553" t="str">
            <v>-</v>
          </cell>
          <cell r="P1553" t="str">
            <v>-</v>
          </cell>
          <cell r="Q1553" t="str">
            <v>-</v>
          </cell>
          <cell r="R1553" t="str">
            <v>-</v>
          </cell>
          <cell r="T1553" t="str">
            <v>-</v>
          </cell>
          <cell r="U1553" t="str">
            <v>-</v>
          </cell>
          <cell r="W1553" t="str">
            <v>-</v>
          </cell>
        </row>
        <row r="1554">
          <cell r="F1554" t="str">
            <v>DHAN01I007</v>
          </cell>
          <cell r="G1554" t="str">
            <v>INDIAN SCHOOL OF MINES</v>
          </cell>
          <cell r="H1554" t="str">
            <v>-</v>
          </cell>
          <cell r="J1554" t="str">
            <v>Domestic</v>
          </cell>
          <cell r="K1554" t="str">
            <v>-</v>
          </cell>
          <cell r="L1554" t="str">
            <v>Non-Sugar</v>
          </cell>
          <cell r="O1554" t="str">
            <v>-</v>
          </cell>
          <cell r="P1554" t="str">
            <v>-</v>
          </cell>
          <cell r="Q1554" t="str">
            <v>-</v>
          </cell>
          <cell r="R1554" t="str">
            <v>-</v>
          </cell>
          <cell r="T1554" t="str">
            <v>-</v>
          </cell>
          <cell r="U1554" t="str">
            <v>-</v>
          </cell>
          <cell r="W1554" t="str">
            <v>-</v>
          </cell>
        </row>
        <row r="1555">
          <cell r="F1555" t="str">
            <v>SOLP01I025</v>
          </cell>
          <cell r="G1555" t="str">
            <v>INDIAN SUGAR MANUFACTURING CO. (UNIT-2) LTD (renamed to Babanrao shinde sugar &amp; allied)</v>
          </cell>
          <cell r="H1555" t="str">
            <v>-</v>
          </cell>
          <cell r="J1555" t="str">
            <v>Domestic</v>
          </cell>
          <cell r="K1555" t="str">
            <v>Sugar</v>
          </cell>
          <cell r="M1555" t="str">
            <v>End User</v>
          </cell>
          <cell r="O1555" t="str">
            <v>-</v>
          </cell>
          <cell r="P1555" t="str">
            <v>-</v>
          </cell>
          <cell r="Q1555" t="str">
            <v>-</v>
          </cell>
          <cell r="R1555" t="str">
            <v>-</v>
          </cell>
          <cell r="T1555" t="str">
            <v>-</v>
          </cell>
          <cell r="W1555" t="str">
            <v>-</v>
          </cell>
        </row>
        <row r="1556">
          <cell r="F1556" t="str">
            <v>BIJA01I009</v>
          </cell>
          <cell r="G1556" t="str">
            <v>INDIAN SUGAR MANUFACTURING COMPANY LIMITED (renamed to Shri Dutt India-UNIT 3 Chadchan)</v>
          </cell>
          <cell r="H1556">
            <v>2013</v>
          </cell>
          <cell r="J1556" t="str">
            <v>Domestic</v>
          </cell>
          <cell r="K1556" t="str">
            <v>Sugar</v>
          </cell>
          <cell r="L1556" t="str">
            <v>Sugar</v>
          </cell>
          <cell r="M1556" t="str">
            <v>End User</v>
          </cell>
          <cell r="O1556" t="str">
            <v>Sugar 4500
Distillery 100 KLPD</v>
          </cell>
          <cell r="P1556" t="str">
            <v>-</v>
          </cell>
          <cell r="Q1556" t="str">
            <v>-</v>
          </cell>
          <cell r="R1556" t="str">
            <v>-</v>
          </cell>
          <cell r="T1556" t="str">
            <v>TOUR-3 (VIJAYPURA)</v>
          </cell>
          <cell r="W1556" t="str">
            <v>-</v>
          </cell>
        </row>
        <row r="1557">
          <cell r="F1557" t="str">
            <v>DLHI01I028</v>
          </cell>
          <cell r="G1557" t="str">
            <v>INDO AMERICAN CHEMICALS</v>
          </cell>
          <cell r="H1557" t="str">
            <v>-</v>
          </cell>
          <cell r="J1557" t="str">
            <v>Domestic</v>
          </cell>
          <cell r="K1557" t="str">
            <v>CHEMICAL</v>
          </cell>
          <cell r="L1557" t="str">
            <v>Non-Sugar</v>
          </cell>
          <cell r="M1557" t="str">
            <v>End User</v>
          </cell>
          <cell r="O1557" t="str">
            <v>-</v>
          </cell>
          <cell r="P1557" t="str">
            <v>-</v>
          </cell>
          <cell r="Q1557" t="str">
            <v>-</v>
          </cell>
          <cell r="R1557" t="str">
            <v>-</v>
          </cell>
          <cell r="T1557" t="str">
            <v>-</v>
          </cell>
          <cell r="U1557" t="str">
            <v>-</v>
          </cell>
          <cell r="W1557" t="str">
            <v>-</v>
          </cell>
        </row>
        <row r="1558">
          <cell r="F1558" t="str">
            <v>DLHI01I068</v>
          </cell>
          <cell r="G1558" t="str">
            <v>INDOSPIRIT GROUP</v>
          </cell>
          <cell r="H1558" t="str">
            <v>-</v>
          </cell>
          <cell r="J1558" t="str">
            <v>Domestic</v>
          </cell>
          <cell r="K1558" t="str">
            <v>-</v>
          </cell>
          <cell r="L1558" t="str">
            <v>Non-Sugar</v>
          </cell>
          <cell r="O1558" t="str">
            <v>-</v>
          </cell>
          <cell r="P1558" t="str">
            <v>-</v>
          </cell>
          <cell r="Q1558" t="str">
            <v>-</v>
          </cell>
          <cell r="R1558" t="str">
            <v>-</v>
          </cell>
          <cell r="T1558" t="str">
            <v>-</v>
          </cell>
          <cell r="U1558" t="str">
            <v>-</v>
          </cell>
          <cell r="W1558" t="str">
            <v>-</v>
          </cell>
        </row>
        <row r="1559">
          <cell r="F1559" t="str">
            <v>MUMB01I026</v>
          </cell>
          <cell r="G1559" t="str">
            <v>INDSTRIAL ENGINEERING SYSTEM</v>
          </cell>
          <cell r="H1559" t="str">
            <v>-</v>
          </cell>
          <cell r="J1559" t="str">
            <v>Domestic</v>
          </cell>
          <cell r="P1559" t="str">
            <v>LGP</v>
          </cell>
          <cell r="Q1559" t="str">
            <v>-</v>
          </cell>
        </row>
        <row r="1560">
          <cell r="F1560" t="str">
            <v>HYDE01I012</v>
          </cell>
          <cell r="G1560" t="str">
            <v>INDU PROJECTS LIMITED</v>
          </cell>
          <cell r="H1560" t="str">
            <v>-</v>
          </cell>
          <cell r="J1560" t="str">
            <v>Domestic</v>
          </cell>
          <cell r="P1560" t="str">
            <v>-</v>
          </cell>
          <cell r="Q1560" t="str">
            <v>-</v>
          </cell>
        </row>
        <row r="1561">
          <cell r="F1561" t="str">
            <v>GURG01I050</v>
          </cell>
          <cell r="G1561" t="str">
            <v>INDUSTRIAL AUTOMATION SYSTEM PVT. LTD</v>
          </cell>
          <cell r="H1561" t="str">
            <v>-</v>
          </cell>
          <cell r="J1561" t="str">
            <v>Domestic</v>
          </cell>
          <cell r="K1561" t="str">
            <v>-</v>
          </cell>
          <cell r="L1561" t="str">
            <v>Non-Sugar</v>
          </cell>
          <cell r="O1561" t="str">
            <v>-</v>
          </cell>
          <cell r="P1561" t="str">
            <v>-</v>
          </cell>
          <cell r="Q1561" t="str">
            <v>-</v>
          </cell>
          <cell r="R1561" t="str">
            <v>-</v>
          </cell>
          <cell r="T1561" t="str">
            <v>-</v>
          </cell>
          <cell r="U1561" t="str">
            <v>-</v>
          </cell>
          <cell r="W1561" t="str">
            <v>-</v>
          </cell>
        </row>
        <row r="1562">
          <cell r="F1562" t="str">
            <v>MUMB01I024</v>
          </cell>
          <cell r="G1562" t="str">
            <v>INDUSTRIAL ENGINEERING SYSTEM</v>
          </cell>
          <cell r="H1562">
            <v>2014</v>
          </cell>
          <cell r="J1562" t="str">
            <v>Domestic</v>
          </cell>
          <cell r="K1562" t="str">
            <v>OTHERS</v>
          </cell>
          <cell r="L1562" t="str">
            <v>Non-Sugar</v>
          </cell>
          <cell r="M1562" t="str">
            <v>OEM</v>
          </cell>
          <cell r="O1562" t="str">
            <v>-</v>
          </cell>
          <cell r="P1562" t="str">
            <v>VA</v>
          </cell>
          <cell r="Q1562" t="str">
            <v>-</v>
          </cell>
          <cell r="T1562" t="str">
            <v>-</v>
          </cell>
          <cell r="U1562" t="str">
            <v>-</v>
          </cell>
        </row>
        <row r="1563">
          <cell r="F1563" t="str">
            <v>DLHI01I013</v>
          </cell>
          <cell r="G1563" t="str">
            <v>INFINITY INDUSTRIAL SERVICES</v>
          </cell>
          <cell r="H1563" t="str">
            <v>-</v>
          </cell>
          <cell r="J1563" t="str">
            <v>Domestic</v>
          </cell>
          <cell r="K1563" t="str">
            <v>-</v>
          </cell>
          <cell r="L1563" t="str">
            <v>Non-Sugar</v>
          </cell>
          <cell r="O1563" t="str">
            <v>-</v>
          </cell>
          <cell r="P1563" t="str">
            <v>-</v>
          </cell>
          <cell r="Q1563" t="str">
            <v>-</v>
          </cell>
          <cell r="R1563" t="str">
            <v>-</v>
          </cell>
          <cell r="T1563" t="str">
            <v>-</v>
          </cell>
          <cell r="U1563" t="str">
            <v>-</v>
          </cell>
          <cell r="W1563" t="str">
            <v>-</v>
          </cell>
        </row>
        <row r="1564">
          <cell r="F1564" t="str">
            <v>COIM01I051</v>
          </cell>
          <cell r="G1564" t="str">
            <v>INFITRAA ENGINEERING PVT LTD</v>
          </cell>
          <cell r="H1564" t="str">
            <v>-</v>
          </cell>
          <cell r="J1564" t="str">
            <v>Domestic</v>
          </cell>
          <cell r="K1564" t="str">
            <v>-</v>
          </cell>
          <cell r="L1564" t="str">
            <v>Non-Sugar</v>
          </cell>
          <cell r="O1564" t="str">
            <v>-</v>
          </cell>
          <cell r="P1564" t="str">
            <v>-</v>
          </cell>
          <cell r="Q1564" t="str">
            <v>-</v>
          </cell>
          <cell r="R1564" t="str">
            <v>-</v>
          </cell>
          <cell r="T1564" t="str">
            <v>-</v>
          </cell>
          <cell r="U1564" t="str">
            <v>-</v>
          </cell>
          <cell r="W1564" t="str">
            <v>-</v>
          </cell>
        </row>
        <row r="1565">
          <cell r="F1565" t="str">
            <v>CHAN01I033</v>
          </cell>
          <cell r="G1565" t="str">
            <v>INNOVATION HUB</v>
          </cell>
          <cell r="H1565" t="str">
            <v>-</v>
          </cell>
          <cell r="J1565" t="str">
            <v>Domestic</v>
          </cell>
          <cell r="K1565" t="str">
            <v>-</v>
          </cell>
          <cell r="L1565" t="str">
            <v>Non-Sugar</v>
          </cell>
          <cell r="O1565" t="str">
            <v>-</v>
          </cell>
          <cell r="P1565" t="str">
            <v>-</v>
          </cell>
          <cell r="Q1565" t="str">
            <v>-</v>
          </cell>
          <cell r="R1565" t="str">
            <v>-</v>
          </cell>
          <cell r="T1565" t="str">
            <v>-</v>
          </cell>
          <cell r="U1565" t="str">
            <v>-</v>
          </cell>
          <cell r="W1565" t="str">
            <v>-</v>
          </cell>
        </row>
        <row r="1566">
          <cell r="F1566" t="str">
            <v>FARD01I063</v>
          </cell>
          <cell r="G1566" t="str">
            <v>INNOVATIQUE ENGINEERS</v>
          </cell>
          <cell r="H1566" t="str">
            <v>-</v>
          </cell>
          <cell r="J1566" t="str">
            <v>Domestic</v>
          </cell>
          <cell r="K1566" t="str">
            <v>-</v>
          </cell>
          <cell r="L1566" t="str">
            <v>Non-Sugar</v>
          </cell>
          <cell r="O1566" t="str">
            <v>-</v>
          </cell>
          <cell r="P1566" t="str">
            <v>-</v>
          </cell>
          <cell r="Q1566" t="str">
            <v>-</v>
          </cell>
          <cell r="R1566" t="str">
            <v>-</v>
          </cell>
          <cell r="T1566" t="str">
            <v>-</v>
          </cell>
          <cell r="U1566" t="str">
            <v>-</v>
          </cell>
          <cell r="W1566" t="str">
            <v>-</v>
          </cell>
        </row>
        <row r="1567">
          <cell r="F1567" t="str">
            <v>DLHI01I044</v>
          </cell>
          <cell r="G1567" t="str">
            <v>INTEGRAL SCREW INDUSTRIES</v>
          </cell>
          <cell r="H1567" t="str">
            <v>-</v>
          </cell>
          <cell r="J1567" t="str">
            <v>Domestic</v>
          </cell>
          <cell r="K1567" t="str">
            <v>-</v>
          </cell>
          <cell r="L1567" t="str">
            <v>Non-Sugar</v>
          </cell>
          <cell r="O1567" t="str">
            <v>-</v>
          </cell>
          <cell r="P1567" t="str">
            <v>-</v>
          </cell>
          <cell r="Q1567" t="str">
            <v>-</v>
          </cell>
          <cell r="R1567" t="str">
            <v>-</v>
          </cell>
          <cell r="T1567" t="str">
            <v>-</v>
          </cell>
          <cell r="U1567" t="str">
            <v>-</v>
          </cell>
          <cell r="W1567" t="str">
            <v>-</v>
          </cell>
        </row>
        <row r="1568">
          <cell r="F1568" t="str">
            <v>EGPT01I040</v>
          </cell>
          <cell r="G1568" t="str">
            <v>INTERNATIONAL CO FOR SUPPLIES AND SERVICES</v>
          </cell>
          <cell r="H1568" t="str">
            <v>-</v>
          </cell>
          <cell r="J1568" t="str">
            <v>Export</v>
          </cell>
          <cell r="K1568" t="str">
            <v>-</v>
          </cell>
          <cell r="L1568" t="str">
            <v>Non-Sugar</v>
          </cell>
          <cell r="O1568" t="str">
            <v>-</v>
          </cell>
          <cell r="P1568" t="str">
            <v>-</v>
          </cell>
          <cell r="Q1568" t="str">
            <v>-</v>
          </cell>
          <cell r="R1568" t="str">
            <v>-</v>
          </cell>
          <cell r="T1568" t="str">
            <v>-</v>
          </cell>
          <cell r="U1568" t="str">
            <v>-</v>
          </cell>
          <cell r="W1568" t="str">
            <v>-</v>
          </cell>
        </row>
        <row r="1569">
          <cell r="F1569" t="str">
            <v>PUNE01I014</v>
          </cell>
          <cell r="G1569" t="str">
            <v>INTERPACK MACHINES PVT. LTD.</v>
          </cell>
          <cell r="H1569">
            <v>2018</v>
          </cell>
          <cell r="J1569" t="str">
            <v>Domestic</v>
          </cell>
          <cell r="K1569" t="str">
            <v>-</v>
          </cell>
          <cell r="L1569" t="str">
            <v>Non-Sugar</v>
          </cell>
          <cell r="O1569" t="str">
            <v>-</v>
          </cell>
          <cell r="P1569" t="str">
            <v>-</v>
          </cell>
          <cell r="Q1569" t="str">
            <v>-</v>
          </cell>
          <cell r="R1569" t="str">
            <v>-</v>
          </cell>
          <cell r="T1569" t="str">
            <v>-</v>
          </cell>
          <cell r="U1569" t="str">
            <v>-</v>
          </cell>
          <cell r="W1569" t="str">
            <v>-</v>
          </cell>
        </row>
        <row r="1570">
          <cell r="F1570" t="str">
            <v>BHAR01I064</v>
          </cell>
          <cell r="G1570" t="str">
            <v>ION EXCHANGE(TEJ SINGH)</v>
          </cell>
          <cell r="H1570" t="str">
            <v>-</v>
          </cell>
          <cell r="J1570" t="str">
            <v>Domestic</v>
          </cell>
          <cell r="K1570" t="str">
            <v>-</v>
          </cell>
          <cell r="L1570" t="str">
            <v>Non-Sugar</v>
          </cell>
          <cell r="O1570" t="str">
            <v>-</v>
          </cell>
          <cell r="P1570" t="str">
            <v>-</v>
          </cell>
          <cell r="Q1570" t="str">
            <v>-</v>
          </cell>
          <cell r="R1570" t="str">
            <v>-</v>
          </cell>
          <cell r="T1570" t="str">
            <v>-</v>
          </cell>
          <cell r="U1570" t="str">
            <v>-</v>
          </cell>
          <cell r="W1570" t="str">
            <v>-</v>
          </cell>
        </row>
        <row r="1571">
          <cell r="F1571" t="str">
            <v>AHME01I019</v>
          </cell>
          <cell r="G1571" t="str">
            <v>IONEX ENGINEERS</v>
          </cell>
          <cell r="H1571" t="str">
            <v>-</v>
          </cell>
          <cell r="J1571" t="str">
            <v>Domestic</v>
          </cell>
          <cell r="K1571" t="str">
            <v>-</v>
          </cell>
          <cell r="L1571" t="str">
            <v>Non-Sugar</v>
          </cell>
          <cell r="O1571" t="str">
            <v>-</v>
          </cell>
          <cell r="P1571" t="str">
            <v>-</v>
          </cell>
          <cell r="Q1571" t="str">
            <v>-</v>
          </cell>
          <cell r="R1571" t="str">
            <v>-</v>
          </cell>
          <cell r="T1571" t="str">
            <v>-</v>
          </cell>
          <cell r="U1571" t="str">
            <v>-</v>
          </cell>
          <cell r="W1571" t="str">
            <v>-</v>
          </cell>
        </row>
        <row r="1572">
          <cell r="F1572" t="str">
            <v>FARD01I069</v>
          </cell>
          <cell r="G1572" t="str">
            <v>ISEPCONTROL</v>
          </cell>
          <cell r="H1572" t="str">
            <v>-</v>
          </cell>
          <cell r="J1572" t="str">
            <v>Domestic</v>
          </cell>
          <cell r="K1572" t="str">
            <v>-</v>
          </cell>
          <cell r="L1572" t="str">
            <v>Non-Sugar</v>
          </cell>
          <cell r="O1572" t="str">
            <v>-</v>
          </cell>
          <cell r="P1572" t="str">
            <v>-</v>
          </cell>
          <cell r="Q1572" t="str">
            <v>-</v>
          </cell>
          <cell r="R1572" t="str">
            <v>-</v>
          </cell>
          <cell r="T1572" t="str">
            <v>-</v>
          </cell>
          <cell r="U1572" t="str">
            <v>-</v>
          </cell>
          <cell r="W1572" t="str">
            <v>-</v>
          </cell>
        </row>
        <row r="1573">
          <cell r="F1573" t="str">
            <v>AHMD01I067</v>
          </cell>
          <cell r="G1573" t="str">
            <v>ISMT ENTERPRISES</v>
          </cell>
          <cell r="H1573" t="str">
            <v>-</v>
          </cell>
          <cell r="J1573" t="str">
            <v>Domestic</v>
          </cell>
          <cell r="K1573" t="str">
            <v>-</v>
          </cell>
          <cell r="L1573" t="str">
            <v>Non-Sugar</v>
          </cell>
          <cell r="O1573" t="str">
            <v>-</v>
          </cell>
          <cell r="P1573" t="str">
            <v>-</v>
          </cell>
          <cell r="Q1573" t="str">
            <v>-</v>
          </cell>
          <cell r="R1573" t="str">
            <v>-</v>
          </cell>
          <cell r="T1573" t="str">
            <v>-</v>
          </cell>
          <cell r="U1573" t="str">
            <v>-</v>
          </cell>
          <cell r="W1573" t="str">
            <v>-</v>
          </cell>
        </row>
        <row r="1574">
          <cell r="F1574" t="str">
            <v>DEHR01I053</v>
          </cell>
          <cell r="G1574" t="str">
            <v>ITW INDIA LTD UTTARAKHAND</v>
          </cell>
          <cell r="H1574" t="str">
            <v>-</v>
          </cell>
          <cell r="J1574" t="str">
            <v>Domestic</v>
          </cell>
          <cell r="K1574" t="str">
            <v>-</v>
          </cell>
          <cell r="L1574" t="str">
            <v>Non-Sugar</v>
          </cell>
          <cell r="O1574" t="str">
            <v>-</v>
          </cell>
          <cell r="P1574" t="str">
            <v>-</v>
          </cell>
          <cell r="Q1574" t="str">
            <v>-</v>
          </cell>
          <cell r="R1574" t="str">
            <v>-</v>
          </cell>
          <cell r="T1574" t="str">
            <v>-</v>
          </cell>
          <cell r="U1574" t="str">
            <v>-</v>
          </cell>
          <cell r="W1574" t="str">
            <v>-</v>
          </cell>
        </row>
        <row r="1575">
          <cell r="F1575" t="str">
            <v>RAYA01J035</v>
          </cell>
          <cell r="G1575" t="str">
            <v>J K PAPER LTD</v>
          </cell>
          <cell r="H1575" t="str">
            <v>-</v>
          </cell>
          <cell r="J1575" t="str">
            <v>Domestic</v>
          </cell>
          <cell r="K1575" t="str">
            <v>Paper</v>
          </cell>
          <cell r="L1575" t="str">
            <v>Non-Sugar</v>
          </cell>
          <cell r="M1575" t="str">
            <v>End User</v>
          </cell>
          <cell r="O1575" t="str">
            <v>-</v>
          </cell>
          <cell r="P1575" t="str">
            <v>-</v>
          </cell>
          <cell r="Q1575" t="str">
            <v>-</v>
          </cell>
          <cell r="R1575" t="str">
            <v>-</v>
          </cell>
          <cell r="T1575" t="str">
            <v>-</v>
          </cell>
          <cell r="U1575" t="str">
            <v>-</v>
          </cell>
          <cell r="W1575" t="str">
            <v>-</v>
          </cell>
        </row>
        <row r="1576">
          <cell r="F1576" t="str">
            <v>KUSH01J001</v>
          </cell>
          <cell r="G1576" t="str">
            <v>J.H.V. DISTILLERIES &amp; SUGAR MILLS LTD.</v>
          </cell>
          <cell r="H1576">
            <v>2012</v>
          </cell>
          <cell r="J1576" t="str">
            <v>Domestic</v>
          </cell>
          <cell r="K1576" t="str">
            <v>Sugar</v>
          </cell>
          <cell r="L1576" t="str">
            <v>Sugar</v>
          </cell>
          <cell r="M1576" t="str">
            <v>End User</v>
          </cell>
          <cell r="O1576" t="str">
            <v>-</v>
          </cell>
          <cell r="P1576" t="str">
            <v>-</v>
          </cell>
          <cell r="Q1576" t="str">
            <v>-</v>
          </cell>
          <cell r="R1576" t="str">
            <v>-</v>
          </cell>
          <cell r="T1576" t="str">
            <v>-</v>
          </cell>
          <cell r="U1576" t="str">
            <v>-</v>
          </cell>
          <cell r="W1576" t="str">
            <v>-</v>
          </cell>
        </row>
        <row r="1577">
          <cell r="F1577" t="str">
            <v>KHUR01J038</v>
          </cell>
          <cell r="G1577" t="str">
            <v>J.S. CERAMICS</v>
          </cell>
          <cell r="H1577" t="str">
            <v>20-21</v>
          </cell>
          <cell r="J1577" t="str">
            <v>Domestic</v>
          </cell>
          <cell r="K1577" t="str">
            <v>OTHERS</v>
          </cell>
          <cell r="L1577" t="str">
            <v>Non-Sugar</v>
          </cell>
          <cell r="M1577" t="str">
            <v>End User</v>
          </cell>
          <cell r="O1577" t="str">
            <v>-</v>
          </cell>
          <cell r="P1577" t="str">
            <v>VA</v>
          </cell>
          <cell r="Q1577" t="str">
            <v>-</v>
          </cell>
          <cell r="T1577" t="str">
            <v>-</v>
          </cell>
          <cell r="U1577" t="str">
            <v>-</v>
          </cell>
          <cell r="W1577" t="str">
            <v>-</v>
          </cell>
        </row>
        <row r="1578">
          <cell r="F1578" t="str">
            <v>UNNA01J021</v>
          </cell>
          <cell r="G1578" t="str">
            <v>J.S. INTERNATIONAL (D.T.A. UNIT)</v>
          </cell>
          <cell r="H1578">
            <v>2014</v>
          </cell>
          <cell r="J1578" t="str">
            <v>Domestic</v>
          </cell>
          <cell r="K1578" t="str">
            <v>-</v>
          </cell>
          <cell r="L1578" t="str">
            <v>Non-Sugar</v>
          </cell>
          <cell r="O1578" t="str">
            <v>-</v>
          </cell>
          <cell r="P1578" t="str">
            <v>-</v>
          </cell>
          <cell r="Q1578" t="str">
            <v>-</v>
          </cell>
          <cell r="R1578" t="str">
            <v>-</v>
          </cell>
          <cell r="T1578" t="str">
            <v>-</v>
          </cell>
          <cell r="U1578" t="str">
            <v>-</v>
          </cell>
          <cell r="W1578" t="str">
            <v>-</v>
          </cell>
        </row>
        <row r="1579">
          <cell r="F1579" t="str">
            <v>NANA01J024</v>
          </cell>
          <cell r="G1579" t="str">
            <v>JAENAM</v>
          </cell>
          <cell r="H1579" t="str">
            <v>-</v>
          </cell>
          <cell r="J1579" t="str">
            <v>Domestic</v>
          </cell>
          <cell r="P1579" t="str">
            <v>-</v>
          </cell>
          <cell r="Q1579" t="str">
            <v>-</v>
          </cell>
        </row>
        <row r="1580">
          <cell r="F1580" t="str">
            <v>NAND01J004</v>
          </cell>
          <cell r="G1580" t="str">
            <v>JAI AMBIKA SAHKARI SAKHAR - KARKHANA LTD</v>
          </cell>
          <cell r="H1580" t="str">
            <v>-</v>
          </cell>
          <cell r="J1580" t="str">
            <v>Domestic</v>
          </cell>
          <cell r="K1580" t="str">
            <v>Sugar</v>
          </cell>
          <cell r="M1580" t="str">
            <v>End User</v>
          </cell>
          <cell r="O1580" t="str">
            <v>-</v>
          </cell>
          <cell r="P1580" t="str">
            <v>-</v>
          </cell>
          <cell r="Q1580" t="str">
            <v>-</v>
          </cell>
          <cell r="R1580" t="str">
            <v>-</v>
          </cell>
          <cell r="T1580" t="str">
            <v>-</v>
          </cell>
          <cell r="W1580" t="str">
            <v>-</v>
          </cell>
        </row>
        <row r="1581">
          <cell r="F1581" t="str">
            <v>PUNE01J029</v>
          </cell>
          <cell r="G1581" t="str">
            <v>JAI HIND SUGAR PVT LTD</v>
          </cell>
          <cell r="H1581">
            <v>2017</v>
          </cell>
          <cell r="J1581" t="str">
            <v>Domestic</v>
          </cell>
          <cell r="K1581" t="str">
            <v>Sugar</v>
          </cell>
          <cell r="M1581" t="str">
            <v>End User</v>
          </cell>
          <cell r="O1581" t="str">
            <v>-</v>
          </cell>
          <cell r="P1581" t="str">
            <v>-</v>
          </cell>
          <cell r="Q1581" t="str">
            <v>-</v>
          </cell>
          <cell r="R1581" t="str">
            <v>-</v>
          </cell>
          <cell r="T1581" t="str">
            <v>-</v>
          </cell>
          <cell r="W1581" t="str">
            <v>-</v>
          </cell>
        </row>
        <row r="1582">
          <cell r="F1582" t="str">
            <v>INDR01J053</v>
          </cell>
          <cell r="G1582" t="str">
            <v>JAI KISHAN AGRO</v>
          </cell>
          <cell r="H1582" t="str">
            <v>-</v>
          </cell>
          <cell r="J1582" t="str">
            <v>Domestic</v>
          </cell>
          <cell r="K1582" t="str">
            <v>-</v>
          </cell>
          <cell r="L1582" t="str">
            <v>Non-Sugar</v>
          </cell>
          <cell r="O1582" t="str">
            <v>-</v>
          </cell>
          <cell r="P1582" t="str">
            <v>-</v>
          </cell>
          <cell r="Q1582" t="str">
            <v>-</v>
          </cell>
          <cell r="R1582" t="str">
            <v>KAMLESH</v>
          </cell>
          <cell r="T1582" t="str">
            <v>-</v>
          </cell>
          <cell r="U1582" t="str">
            <v>24-25</v>
          </cell>
          <cell r="W1582" t="str">
            <v>29-01-2025
8/9/2024</v>
          </cell>
        </row>
        <row r="1583">
          <cell r="F1583" t="str">
            <v>YAVA01J005</v>
          </cell>
          <cell r="G1583" t="str">
            <v>JAIKISAN SAHAKARI SAKHAR - KARKHANA LTD</v>
          </cell>
          <cell r="H1583">
            <v>2014</v>
          </cell>
          <cell r="J1583" t="str">
            <v>Domestic</v>
          </cell>
          <cell r="K1583" t="str">
            <v>Sugar</v>
          </cell>
          <cell r="M1583" t="str">
            <v>End User</v>
          </cell>
          <cell r="O1583" t="str">
            <v>-</v>
          </cell>
          <cell r="P1583" t="str">
            <v>-</v>
          </cell>
          <cell r="Q1583" t="str">
            <v>-</v>
          </cell>
          <cell r="R1583" t="str">
            <v>-</v>
          </cell>
          <cell r="T1583" t="str">
            <v>-</v>
          </cell>
          <cell r="W1583" t="str">
            <v>-</v>
          </cell>
        </row>
        <row r="1584">
          <cell r="F1584" t="str">
            <v>RAIP01J052</v>
          </cell>
          <cell r="G1584" t="str">
            <v>JALARAM HARDWARE STORES</v>
          </cell>
          <cell r="H1584" t="str">
            <v>-</v>
          </cell>
          <cell r="J1584" t="str">
            <v>Domestic</v>
          </cell>
          <cell r="K1584" t="str">
            <v>-</v>
          </cell>
          <cell r="L1584" t="str">
            <v>Non-Sugar</v>
          </cell>
          <cell r="O1584" t="str">
            <v>-</v>
          </cell>
          <cell r="P1584" t="str">
            <v>-</v>
          </cell>
          <cell r="Q1584" t="str">
            <v>-</v>
          </cell>
          <cell r="R1584" t="str">
            <v>-</v>
          </cell>
          <cell r="T1584" t="str">
            <v>-</v>
          </cell>
          <cell r="U1584" t="str">
            <v>-</v>
          </cell>
          <cell r="W1584" t="str">
            <v>-</v>
          </cell>
        </row>
        <row r="1585">
          <cell r="F1585" t="str">
            <v>GUJA01J047</v>
          </cell>
          <cell r="G1585" t="str">
            <v>JALARAM SODA FACTORY</v>
          </cell>
          <cell r="H1585" t="str">
            <v>-</v>
          </cell>
          <cell r="J1585" t="str">
            <v>Domestic</v>
          </cell>
          <cell r="K1585" t="str">
            <v>-</v>
          </cell>
          <cell r="L1585" t="str">
            <v>Non-Sugar</v>
          </cell>
          <cell r="O1585" t="str">
            <v>-</v>
          </cell>
          <cell r="P1585" t="str">
            <v>-</v>
          </cell>
          <cell r="Q1585" t="str">
            <v>-</v>
          </cell>
          <cell r="R1585" t="str">
            <v>-</v>
          </cell>
          <cell r="T1585" t="str">
            <v>-</v>
          </cell>
          <cell r="U1585" t="str">
            <v>-</v>
          </cell>
          <cell r="W1585" t="str">
            <v>-</v>
          </cell>
        </row>
        <row r="1586">
          <cell r="F1586" t="str">
            <v>BARO01J031</v>
          </cell>
          <cell r="G1586" t="str">
            <v>JAMSHEDPUR</v>
          </cell>
          <cell r="H1586" t="str">
            <v>-</v>
          </cell>
          <cell r="J1586" t="str">
            <v>Domestic</v>
          </cell>
          <cell r="K1586" t="str">
            <v>-</v>
          </cell>
          <cell r="L1586" t="str">
            <v>Non-Sugar</v>
          </cell>
          <cell r="O1586" t="str">
            <v>-</v>
          </cell>
          <cell r="P1586" t="str">
            <v>-</v>
          </cell>
          <cell r="Q1586" t="str">
            <v>-</v>
          </cell>
          <cell r="R1586" t="str">
            <v>-</v>
          </cell>
          <cell r="T1586" t="str">
            <v>-</v>
          </cell>
          <cell r="U1586" t="str">
            <v>-</v>
          </cell>
          <cell r="W1586" t="str">
            <v>-</v>
          </cell>
        </row>
        <row r="1587">
          <cell r="F1587" t="str">
            <v>BEED01J010</v>
          </cell>
          <cell r="G1587" t="str">
            <v>JAY MAHESH SUGAR INDUSTRIES LIMITED</v>
          </cell>
          <cell r="H1587">
            <v>2015</v>
          </cell>
          <cell r="J1587" t="str">
            <v>Domestic</v>
          </cell>
          <cell r="K1587" t="str">
            <v>Sugar</v>
          </cell>
          <cell r="M1587" t="str">
            <v>End User</v>
          </cell>
          <cell r="O1587" t="str">
            <v>-</v>
          </cell>
          <cell r="P1587" t="str">
            <v>-</v>
          </cell>
          <cell r="Q1587" t="str">
            <v>-</v>
          </cell>
          <cell r="R1587" t="str">
            <v>-</v>
          </cell>
          <cell r="T1587" t="str">
            <v>-</v>
          </cell>
          <cell r="W1587" t="str">
            <v>-</v>
          </cell>
        </row>
        <row r="1588">
          <cell r="F1588" t="str">
            <v>VISH01J032</v>
          </cell>
          <cell r="G1588" t="str">
            <v>JAYALAKSHMI AGRO INDUSTRIES LIMITED</v>
          </cell>
          <cell r="H1588" t="str">
            <v>-</v>
          </cell>
          <cell r="J1588" t="str">
            <v>Domestic</v>
          </cell>
          <cell r="K1588" t="str">
            <v>Others</v>
          </cell>
          <cell r="L1588" t="str">
            <v>Non-Sugar</v>
          </cell>
          <cell r="P1588" t="str">
            <v>SI-GS</v>
          </cell>
          <cell r="Q1588" t="str">
            <v>SI-GS</v>
          </cell>
          <cell r="W1588" t="str">
            <v>-</v>
          </cell>
        </row>
        <row r="1589">
          <cell r="F1589" t="str">
            <v>MEDA01J019</v>
          </cell>
          <cell r="G1589" t="str">
            <v>JEEVAKA SUGAR &amp; POWER PRIVATE LIMITED</v>
          </cell>
          <cell r="H1589" t="str">
            <v>-</v>
          </cell>
          <cell r="J1589" t="str">
            <v>Domestic</v>
          </cell>
          <cell r="K1589" t="str">
            <v>Sugar</v>
          </cell>
          <cell r="P1589" t="str">
            <v>SI-GS</v>
          </cell>
          <cell r="Q1589" t="str">
            <v>SI-GS</v>
          </cell>
          <cell r="W1589" t="str">
            <v>-</v>
          </cell>
        </row>
        <row r="1590">
          <cell r="F1590" t="str">
            <v>PHIL01J030</v>
          </cell>
          <cell r="G1590" t="str">
            <v>JET TECH ENERGY &amp; CONSTRUCTION</v>
          </cell>
          <cell r="H1590" t="str">
            <v>-</v>
          </cell>
          <cell r="J1590" t="str">
            <v>Export</v>
          </cell>
          <cell r="K1590" t="str">
            <v>-</v>
          </cell>
          <cell r="L1590" t="str">
            <v>Non-Sugar</v>
          </cell>
          <cell r="O1590" t="str">
            <v>-</v>
          </cell>
          <cell r="P1590" t="str">
            <v>-</v>
          </cell>
          <cell r="Q1590" t="str">
            <v>-</v>
          </cell>
          <cell r="R1590" t="str">
            <v>-</v>
          </cell>
          <cell r="T1590" t="str">
            <v>-</v>
          </cell>
          <cell r="U1590" t="str">
            <v>-</v>
          </cell>
          <cell r="W1590" t="str">
            <v>-</v>
          </cell>
        </row>
        <row r="1591">
          <cell r="F1591" t="str">
            <v>KANP01J043</v>
          </cell>
          <cell r="G1591" t="str">
            <v>JHA TRADERS</v>
          </cell>
          <cell r="H1591" t="str">
            <v>22-23</v>
          </cell>
          <cell r="J1591" t="str">
            <v>Domestic</v>
          </cell>
          <cell r="K1591" t="str">
            <v>OTHERS</v>
          </cell>
          <cell r="L1591" t="str">
            <v>Non-Sugar</v>
          </cell>
          <cell r="M1591" t="str">
            <v>OEM</v>
          </cell>
          <cell r="O1591" t="str">
            <v>-</v>
          </cell>
          <cell r="P1591" t="str">
            <v>VA</v>
          </cell>
          <cell r="Q1591" t="str">
            <v>-</v>
          </cell>
          <cell r="T1591" t="str">
            <v>-</v>
          </cell>
          <cell r="U1591" t="str">
            <v>-</v>
          </cell>
          <cell r="W1591" t="str">
            <v>-</v>
          </cell>
        </row>
        <row r="1592">
          <cell r="F1592" t="str">
            <v>KUSH01J013</v>
          </cell>
          <cell r="G1592" t="str">
            <v>JHV DISTILLERY &amp; CHEMICAL</v>
          </cell>
          <cell r="H1592" t="str">
            <v>-</v>
          </cell>
          <cell r="J1592" t="str">
            <v>Domestic</v>
          </cell>
          <cell r="K1592" t="str">
            <v>Distillery</v>
          </cell>
          <cell r="L1592" t="str">
            <v>Non-Sugar</v>
          </cell>
          <cell r="M1592" t="str">
            <v>End User</v>
          </cell>
          <cell r="O1592" t="str">
            <v>-</v>
          </cell>
          <cell r="P1592" t="str">
            <v>-</v>
          </cell>
          <cell r="Q1592" t="str">
            <v>-</v>
          </cell>
          <cell r="R1592" t="str">
            <v>-</v>
          </cell>
          <cell r="T1592" t="str">
            <v>-</v>
          </cell>
          <cell r="U1592" t="str">
            <v>-</v>
          </cell>
          <cell r="W1592" t="str">
            <v>-</v>
          </cell>
        </row>
        <row r="1593">
          <cell r="F1593" t="str">
            <v>AMRO01J039</v>
          </cell>
          <cell r="G1593" t="str">
            <v>JINDAL COURIER SERVICES</v>
          </cell>
          <cell r="H1593" t="str">
            <v>-</v>
          </cell>
          <cell r="J1593" t="str">
            <v>Domestic</v>
          </cell>
          <cell r="K1593" t="str">
            <v>-</v>
          </cell>
          <cell r="L1593" t="str">
            <v>Non-Sugar</v>
          </cell>
          <cell r="O1593" t="str">
            <v>-</v>
          </cell>
          <cell r="P1593" t="str">
            <v>-</v>
          </cell>
          <cell r="Q1593" t="str">
            <v>-</v>
          </cell>
          <cell r="R1593" t="str">
            <v>-</v>
          </cell>
          <cell r="T1593" t="str">
            <v>-</v>
          </cell>
          <cell r="U1593" t="str">
            <v>-</v>
          </cell>
          <cell r="W1593" t="str">
            <v>-</v>
          </cell>
        </row>
        <row r="1594">
          <cell r="F1594" t="str">
            <v>DLHI01J050</v>
          </cell>
          <cell r="G1594" t="str">
            <v>JINDAL SAW LIMITED</v>
          </cell>
          <cell r="H1594" t="str">
            <v>-</v>
          </cell>
          <cell r="J1594" t="str">
            <v>Domestic</v>
          </cell>
          <cell r="K1594" t="str">
            <v>-</v>
          </cell>
          <cell r="L1594" t="str">
            <v>Non-Sugar</v>
          </cell>
          <cell r="O1594" t="str">
            <v>-</v>
          </cell>
          <cell r="P1594" t="str">
            <v>-</v>
          </cell>
          <cell r="Q1594" t="str">
            <v>-</v>
          </cell>
          <cell r="R1594" t="str">
            <v>-</v>
          </cell>
          <cell r="T1594" t="str">
            <v>-</v>
          </cell>
          <cell r="U1594" t="str">
            <v>-</v>
          </cell>
          <cell r="W1594" t="str">
            <v>-</v>
          </cell>
        </row>
        <row r="1595">
          <cell r="F1595" t="str">
            <v>SURA01J055</v>
          </cell>
          <cell r="G1595" t="str">
            <v>JNJ MACHINES</v>
          </cell>
          <cell r="H1595" t="str">
            <v>-</v>
          </cell>
          <cell r="J1595" t="str">
            <v>Domestic</v>
          </cell>
          <cell r="K1595" t="str">
            <v>-</v>
          </cell>
          <cell r="L1595" t="str">
            <v>Non-Sugar</v>
          </cell>
          <cell r="O1595" t="str">
            <v>-</v>
          </cell>
          <cell r="P1595" t="str">
            <v>-</v>
          </cell>
          <cell r="Q1595" t="str">
            <v>-</v>
          </cell>
          <cell r="R1595" t="str">
            <v>-</v>
          </cell>
          <cell r="T1595" t="str">
            <v>-</v>
          </cell>
          <cell r="U1595" t="str">
            <v>-</v>
          </cell>
          <cell r="W1595" t="str">
            <v>-</v>
          </cell>
        </row>
        <row r="1596">
          <cell r="F1596" t="str">
            <v>ARGB01J042</v>
          </cell>
          <cell r="G1596" t="str">
            <v>JOLLYWOOD LIMITED AURANGABAD</v>
          </cell>
          <cell r="H1596" t="str">
            <v>-</v>
          </cell>
          <cell r="J1596" t="str">
            <v>Domestic</v>
          </cell>
          <cell r="K1596" t="str">
            <v>-</v>
          </cell>
          <cell r="L1596" t="str">
            <v>Non-Sugar</v>
          </cell>
          <cell r="O1596" t="str">
            <v>-</v>
          </cell>
          <cell r="P1596" t="str">
            <v>-</v>
          </cell>
          <cell r="Q1596" t="str">
            <v>-</v>
          </cell>
          <cell r="R1596" t="str">
            <v>-</v>
          </cell>
          <cell r="T1596" t="str">
            <v>-</v>
          </cell>
          <cell r="U1596" t="str">
            <v>-</v>
          </cell>
          <cell r="W1596" t="str">
            <v>-</v>
          </cell>
        </row>
        <row r="1597">
          <cell r="F1597" t="str">
            <v>NODA01J045</v>
          </cell>
          <cell r="G1597" t="str">
            <v>JP ENVIRO</v>
          </cell>
          <cell r="H1597" t="str">
            <v>-</v>
          </cell>
          <cell r="J1597" t="str">
            <v>Domestic</v>
          </cell>
          <cell r="K1597" t="str">
            <v>-</v>
          </cell>
          <cell r="L1597" t="str">
            <v>Non-Sugar</v>
          </cell>
          <cell r="O1597" t="str">
            <v>-</v>
          </cell>
          <cell r="P1597" t="str">
            <v>-</v>
          </cell>
          <cell r="Q1597" t="str">
            <v>-</v>
          </cell>
          <cell r="R1597" t="str">
            <v>-</v>
          </cell>
          <cell r="T1597" t="str">
            <v>-</v>
          </cell>
          <cell r="U1597" t="str">
            <v>-</v>
          </cell>
          <cell r="W1597" t="str">
            <v>-</v>
          </cell>
        </row>
        <row r="1598">
          <cell r="F1598" t="str">
            <v>VADO01J041</v>
          </cell>
          <cell r="G1598" t="str">
            <v>JS CORRUPACK PVT LTD</v>
          </cell>
          <cell r="H1598" t="str">
            <v>-</v>
          </cell>
          <cell r="J1598" t="str">
            <v>Domestic</v>
          </cell>
          <cell r="K1598" t="str">
            <v>-</v>
          </cell>
          <cell r="L1598" t="str">
            <v>Non-Sugar</v>
          </cell>
          <cell r="O1598" t="str">
            <v>-</v>
          </cell>
          <cell r="P1598" t="str">
            <v>-</v>
          </cell>
          <cell r="Q1598" t="str">
            <v>-</v>
          </cell>
          <cell r="R1598" t="str">
            <v>-</v>
          </cell>
          <cell r="T1598" t="str">
            <v>-</v>
          </cell>
          <cell r="U1598" t="str">
            <v>-</v>
          </cell>
          <cell r="W1598" t="str">
            <v>-</v>
          </cell>
        </row>
        <row r="1599">
          <cell r="F1599" t="str">
            <v>MUMB01J040</v>
          </cell>
          <cell r="G1599" t="str">
            <v>JWR CFS</v>
          </cell>
          <cell r="H1599" t="str">
            <v>-</v>
          </cell>
          <cell r="J1599" t="str">
            <v>Domestic</v>
          </cell>
          <cell r="K1599" t="str">
            <v>-</v>
          </cell>
          <cell r="L1599" t="str">
            <v>Non-Sugar</v>
          </cell>
          <cell r="O1599" t="str">
            <v>-</v>
          </cell>
          <cell r="P1599" t="str">
            <v>-</v>
          </cell>
          <cell r="Q1599" t="str">
            <v>-</v>
          </cell>
          <cell r="R1599" t="str">
            <v>-</v>
          </cell>
          <cell r="T1599" t="str">
            <v>-</v>
          </cell>
          <cell r="U1599" t="str">
            <v>-</v>
          </cell>
          <cell r="W1599" t="str">
            <v>-</v>
          </cell>
        </row>
        <row r="1600">
          <cell r="F1600" t="str">
            <v>MUMB01J025</v>
          </cell>
          <cell r="G1600" t="str">
            <v>JYOTI IMPEX</v>
          </cell>
          <cell r="H1600" t="str">
            <v>-</v>
          </cell>
          <cell r="J1600" t="str">
            <v>Domestic</v>
          </cell>
          <cell r="K1600" t="str">
            <v>-</v>
          </cell>
          <cell r="L1600" t="str">
            <v>Non-Sugar</v>
          </cell>
          <cell r="O1600" t="str">
            <v>-</v>
          </cell>
          <cell r="P1600" t="str">
            <v>-</v>
          </cell>
          <cell r="Q1600" t="str">
            <v>-</v>
          </cell>
          <cell r="R1600" t="str">
            <v>-</v>
          </cell>
          <cell r="T1600" t="str">
            <v>-</v>
          </cell>
          <cell r="U1600" t="str">
            <v>-</v>
          </cell>
          <cell r="W1600" t="str">
            <v>-</v>
          </cell>
        </row>
        <row r="1601">
          <cell r="F1601" t="str">
            <v>NANA01J023</v>
          </cell>
          <cell r="G1601" t="str">
            <v>JYOTI IMPEX</v>
          </cell>
          <cell r="H1601" t="str">
            <v>-</v>
          </cell>
          <cell r="J1601" t="str">
            <v>Domestic</v>
          </cell>
          <cell r="P1601" t="str">
            <v>-</v>
          </cell>
          <cell r="Q1601" t="str">
            <v>-</v>
          </cell>
        </row>
        <row r="1602">
          <cell r="F1602" t="str">
            <v>KANP01K061</v>
          </cell>
          <cell r="G1602" t="str">
            <v>K. E. ALLOYS PVT LTD</v>
          </cell>
          <cell r="H1602" t="str">
            <v>-</v>
          </cell>
          <cell r="J1602" t="str">
            <v>Domestic</v>
          </cell>
          <cell r="K1602" t="str">
            <v>-</v>
          </cell>
          <cell r="L1602" t="str">
            <v>Non-Sugar</v>
          </cell>
          <cell r="O1602" t="str">
            <v>-</v>
          </cell>
          <cell r="P1602" t="str">
            <v>-</v>
          </cell>
          <cell r="Q1602" t="str">
            <v>-</v>
          </cell>
          <cell r="R1602" t="str">
            <v>-</v>
          </cell>
          <cell r="T1602" t="str">
            <v>-</v>
          </cell>
          <cell r="U1602" t="str">
            <v>-</v>
          </cell>
          <cell r="W1602" t="str">
            <v>-</v>
          </cell>
        </row>
        <row r="1603">
          <cell r="F1603" t="str">
            <v>SONI01K025</v>
          </cell>
          <cell r="G1603" t="str">
            <v>K.C. INTERNATIONAL LTD</v>
          </cell>
          <cell r="H1603" t="str">
            <v>-</v>
          </cell>
          <cell r="J1603" t="str">
            <v>Domestic</v>
          </cell>
          <cell r="K1603" t="str">
            <v>-</v>
          </cell>
          <cell r="L1603" t="str">
            <v>Non-Sugar</v>
          </cell>
          <cell r="O1603" t="str">
            <v>-</v>
          </cell>
          <cell r="P1603" t="str">
            <v>-</v>
          </cell>
          <cell r="Q1603" t="str">
            <v>-</v>
          </cell>
          <cell r="R1603" t="str">
            <v>-</v>
          </cell>
          <cell r="T1603" t="str">
            <v>-</v>
          </cell>
          <cell r="U1603" t="str">
            <v>-</v>
          </cell>
          <cell r="W1603" t="str">
            <v>-</v>
          </cell>
        </row>
        <row r="1604">
          <cell r="F1604" t="str">
            <v>AHME01K030</v>
          </cell>
          <cell r="G1604" t="str">
            <v>K.G. CORPORATION</v>
          </cell>
          <cell r="H1604" t="str">
            <v>-</v>
          </cell>
          <cell r="J1604" t="str">
            <v>Domestic</v>
          </cell>
          <cell r="K1604" t="str">
            <v>OTHERS</v>
          </cell>
          <cell r="L1604" t="str">
            <v>Non-Sugar</v>
          </cell>
          <cell r="M1604" t="str">
            <v>OEM</v>
          </cell>
          <cell r="O1604" t="str">
            <v>-</v>
          </cell>
          <cell r="P1604" t="str">
            <v>HO</v>
          </cell>
          <cell r="Q1604" t="str">
            <v>-</v>
          </cell>
          <cell r="T1604" t="str">
            <v>-</v>
          </cell>
          <cell r="U1604" t="str">
            <v>-</v>
          </cell>
          <cell r="W1604" t="str">
            <v>-</v>
          </cell>
        </row>
        <row r="1605">
          <cell r="F1605" t="str">
            <v>HYDE01K107</v>
          </cell>
          <cell r="G1605" t="str">
            <v>KAKATIYA THERMAL POWER PROJECT</v>
          </cell>
          <cell r="H1605" t="str">
            <v>-</v>
          </cell>
          <cell r="J1605" t="str">
            <v>Domestic</v>
          </cell>
          <cell r="K1605" t="str">
            <v>-</v>
          </cell>
          <cell r="L1605" t="str">
            <v>Non-Sugar</v>
          </cell>
          <cell r="O1605" t="str">
            <v>-</v>
          </cell>
          <cell r="P1605" t="str">
            <v>-</v>
          </cell>
          <cell r="Q1605" t="str">
            <v>-</v>
          </cell>
          <cell r="R1605" t="str">
            <v>-</v>
          </cell>
          <cell r="T1605" t="str">
            <v>-</v>
          </cell>
          <cell r="U1605" t="str">
            <v>-</v>
          </cell>
          <cell r="W1605" t="str">
            <v>-</v>
          </cell>
        </row>
        <row r="1606">
          <cell r="F1606" t="str">
            <v>PUNE01K116</v>
          </cell>
          <cell r="G1606" t="str">
            <v>KAKOLIL TRADE AGENCIES</v>
          </cell>
          <cell r="H1606" t="str">
            <v>-</v>
          </cell>
          <cell r="J1606" t="str">
            <v>Domestic</v>
          </cell>
          <cell r="K1606" t="str">
            <v>-</v>
          </cell>
          <cell r="L1606" t="str">
            <v>Non-Sugar</v>
          </cell>
          <cell r="O1606" t="str">
            <v>-</v>
          </cell>
          <cell r="P1606" t="str">
            <v>-</v>
          </cell>
          <cell r="Q1606" t="str">
            <v>-</v>
          </cell>
          <cell r="R1606" t="str">
            <v>-</v>
          </cell>
          <cell r="T1606" t="str">
            <v>-</v>
          </cell>
          <cell r="U1606" t="str">
            <v>-</v>
          </cell>
          <cell r="W1606" t="str">
            <v>-</v>
          </cell>
        </row>
        <row r="1607">
          <cell r="F1607" t="str">
            <v>NAND01K070</v>
          </cell>
          <cell r="G1607" t="str">
            <v>KALANTRI ENGINEERING WORKS</v>
          </cell>
          <cell r="H1607">
            <v>2018</v>
          </cell>
          <cell r="J1607" t="str">
            <v>Domestic</v>
          </cell>
          <cell r="K1607" t="str">
            <v>etp/wtp/stp</v>
          </cell>
          <cell r="L1607" t="str">
            <v>Non-Sugar</v>
          </cell>
          <cell r="M1607" t="str">
            <v>OEM</v>
          </cell>
          <cell r="O1607" t="str">
            <v>-</v>
          </cell>
          <cell r="P1607" t="str">
            <v>AV</v>
          </cell>
          <cell r="Q1607" t="str">
            <v>AV</v>
          </cell>
          <cell r="R1607" t="str">
            <v>OEM</v>
          </cell>
          <cell r="T1607" t="str">
            <v>-</v>
          </cell>
          <cell r="W1607" t="str">
            <v>-</v>
          </cell>
        </row>
        <row r="1608">
          <cell r="F1608" t="str">
            <v>MUMB01K052</v>
          </cell>
          <cell r="G1608" t="str">
            <v>KALPATARU ENGINEERS</v>
          </cell>
          <cell r="H1608" t="str">
            <v>-</v>
          </cell>
          <cell r="J1608" t="str">
            <v>Domestic</v>
          </cell>
          <cell r="K1608" t="str">
            <v>-</v>
          </cell>
          <cell r="L1608" t="str">
            <v>Non-Sugar</v>
          </cell>
          <cell r="O1608" t="str">
            <v>-</v>
          </cell>
          <cell r="P1608" t="str">
            <v>-</v>
          </cell>
          <cell r="Q1608" t="str">
            <v>-</v>
          </cell>
          <cell r="R1608" t="str">
            <v>-</v>
          </cell>
          <cell r="T1608" t="str">
            <v>-</v>
          </cell>
          <cell r="U1608" t="str">
            <v>-</v>
          </cell>
          <cell r="W1608" t="str">
            <v>-</v>
          </cell>
        </row>
        <row r="1609">
          <cell r="F1609" t="str">
            <v>CHEN01K117</v>
          </cell>
          <cell r="G1609" t="str">
            <v>KALVARI AGENCIES</v>
          </cell>
          <cell r="H1609" t="str">
            <v>-</v>
          </cell>
          <cell r="J1609" t="str">
            <v>Domestic</v>
          </cell>
          <cell r="K1609" t="str">
            <v>-</v>
          </cell>
          <cell r="L1609" t="str">
            <v>Non-Sugar</v>
          </cell>
          <cell r="O1609" t="str">
            <v>-</v>
          </cell>
          <cell r="P1609" t="str">
            <v>-</v>
          </cell>
          <cell r="Q1609" t="str">
            <v>-</v>
          </cell>
          <cell r="R1609" t="str">
            <v>-</v>
          </cell>
          <cell r="T1609" t="str">
            <v>-</v>
          </cell>
          <cell r="U1609" t="str">
            <v>-</v>
          </cell>
          <cell r="W1609" t="str">
            <v>-</v>
          </cell>
        </row>
        <row r="1610">
          <cell r="F1610" t="str">
            <v>MAHA01K087</v>
          </cell>
          <cell r="G1610" t="str">
            <v>KAMAL NATH ANJIR PROCESS</v>
          </cell>
          <cell r="H1610" t="str">
            <v>-</v>
          </cell>
          <cell r="J1610" t="str">
            <v>Domestic</v>
          </cell>
          <cell r="P1610" t="str">
            <v>LGP</v>
          </cell>
          <cell r="Q1610" t="str">
            <v>-</v>
          </cell>
        </row>
        <row r="1611">
          <cell r="F1611" t="str">
            <v>ATHA01K095</v>
          </cell>
          <cell r="G1611" t="str">
            <v>KAMCO LTD</v>
          </cell>
          <cell r="H1611" t="str">
            <v>-</v>
          </cell>
          <cell r="J1611" t="str">
            <v>Domestic</v>
          </cell>
          <cell r="K1611" t="str">
            <v>-</v>
          </cell>
          <cell r="L1611" t="str">
            <v>Non-Sugar</v>
          </cell>
          <cell r="O1611" t="str">
            <v>-</v>
          </cell>
          <cell r="P1611" t="str">
            <v>-</v>
          </cell>
          <cell r="Q1611" t="str">
            <v>-</v>
          </cell>
          <cell r="R1611" t="str">
            <v>-</v>
          </cell>
          <cell r="T1611" t="str">
            <v>-</v>
          </cell>
          <cell r="U1611" t="str">
            <v>-</v>
          </cell>
          <cell r="W1611" t="str">
            <v>-</v>
          </cell>
        </row>
        <row r="1612">
          <cell r="F1612" t="str">
            <v>OSMA01K039</v>
          </cell>
          <cell r="G1612" t="str">
            <v>KANCHESHWAR SUGAR LTD GAT NO-155 (renamed to ganga cane energy)(New name-Manjra sugar industries ltd.)</v>
          </cell>
          <cell r="H1612">
            <v>2015</v>
          </cell>
          <cell r="J1612" t="str">
            <v>Domestic</v>
          </cell>
          <cell r="K1612" t="str">
            <v>Sugar</v>
          </cell>
          <cell r="M1612" t="str">
            <v>End User</v>
          </cell>
          <cell r="O1612" t="str">
            <v>-</v>
          </cell>
          <cell r="P1612" t="str">
            <v>AV</v>
          </cell>
          <cell r="Q1612" t="str">
            <v>-</v>
          </cell>
          <cell r="R1612" t="str">
            <v>-</v>
          </cell>
          <cell r="T1612" t="str">
            <v>-</v>
          </cell>
          <cell r="W1612" t="str">
            <v>-</v>
          </cell>
        </row>
        <row r="1613">
          <cell r="F1613" t="str">
            <v>CHEN01K149</v>
          </cell>
          <cell r="G1613" t="str">
            <v>KANKYO BERT PVT. LTD</v>
          </cell>
          <cell r="H1613" t="str">
            <v>-</v>
          </cell>
          <cell r="J1613" t="str">
            <v>Domestic</v>
          </cell>
          <cell r="K1613" t="str">
            <v>BIOGAS</v>
          </cell>
          <cell r="L1613" t="str">
            <v>Non-Sugar</v>
          </cell>
          <cell r="M1613" t="str">
            <v>OEM</v>
          </cell>
          <cell r="P1613" t="str">
            <v>SI-GS</v>
          </cell>
          <cell r="Q1613" t="str">
            <v>SI-GS</v>
          </cell>
          <cell r="W1613">
            <v>45532</v>
          </cell>
        </row>
        <row r="1614">
          <cell r="F1614" t="str">
            <v>ANKL01K004</v>
          </cell>
          <cell r="G1614" t="str">
            <v>KANORIA CHEMICALS &amp; INDS.LTD</v>
          </cell>
          <cell r="H1614" t="str">
            <v>NA</v>
          </cell>
          <cell r="J1614" t="str">
            <v>Domestic</v>
          </cell>
          <cell r="K1614" t="str">
            <v>CHEMICAL</v>
          </cell>
          <cell r="L1614" t="str">
            <v>Non-Sugar</v>
          </cell>
          <cell r="M1614" t="str">
            <v>End User</v>
          </cell>
          <cell r="O1614" t="str">
            <v>-</v>
          </cell>
          <cell r="P1614" t="str">
            <v>-</v>
          </cell>
          <cell r="Q1614" t="str">
            <v>-</v>
          </cell>
          <cell r="R1614" t="str">
            <v>-</v>
          </cell>
          <cell r="T1614" t="str">
            <v>-</v>
          </cell>
          <cell r="U1614" t="str">
            <v>-</v>
          </cell>
          <cell r="W1614" t="str">
            <v>-</v>
          </cell>
        </row>
        <row r="1615">
          <cell r="F1615" t="str">
            <v>BANG01K093</v>
          </cell>
          <cell r="G1615" t="str">
            <v>KARDHAN ENGINEERING</v>
          </cell>
          <cell r="H1615" t="str">
            <v>-</v>
          </cell>
          <cell r="J1615" t="str">
            <v>Domestic</v>
          </cell>
          <cell r="K1615" t="str">
            <v>-</v>
          </cell>
          <cell r="L1615" t="str">
            <v>Non-Sugar</v>
          </cell>
          <cell r="O1615" t="str">
            <v>-</v>
          </cell>
          <cell r="P1615" t="str">
            <v>-</v>
          </cell>
          <cell r="Q1615" t="str">
            <v>-</v>
          </cell>
          <cell r="R1615" t="str">
            <v>-</v>
          </cell>
          <cell r="T1615" t="str">
            <v>-</v>
          </cell>
          <cell r="U1615" t="str">
            <v>-</v>
          </cell>
          <cell r="W1615" t="str">
            <v>-</v>
          </cell>
        </row>
        <row r="1616">
          <cell r="F1616" t="str">
            <v>BANG01K098</v>
          </cell>
          <cell r="G1616" t="str">
            <v>KARLE INTERNATIONAL</v>
          </cell>
          <cell r="H1616" t="str">
            <v>-</v>
          </cell>
          <cell r="J1616" t="str">
            <v>Domestic</v>
          </cell>
          <cell r="K1616" t="str">
            <v>-</v>
          </cell>
          <cell r="L1616" t="str">
            <v>Non-Sugar</v>
          </cell>
          <cell r="O1616" t="str">
            <v>-</v>
          </cell>
          <cell r="P1616" t="str">
            <v>-</v>
          </cell>
          <cell r="Q1616" t="str">
            <v>-</v>
          </cell>
          <cell r="R1616" t="str">
            <v>-</v>
          </cell>
          <cell r="T1616" t="str">
            <v>-</v>
          </cell>
          <cell r="U1616" t="str">
            <v>-</v>
          </cell>
          <cell r="W1616" t="str">
            <v>-</v>
          </cell>
        </row>
        <row r="1617">
          <cell r="F1617" t="str">
            <v>JALN01K088</v>
          </cell>
          <cell r="G1617" t="str">
            <v>KARMYOGI ANKUSHRAO TOPE SAMARTH SSK LTD</v>
          </cell>
          <cell r="H1617" t="str">
            <v>-</v>
          </cell>
          <cell r="J1617" t="str">
            <v>Domestic</v>
          </cell>
          <cell r="K1617" t="str">
            <v>Sugar</v>
          </cell>
          <cell r="M1617" t="str">
            <v>End User</v>
          </cell>
          <cell r="O1617" t="str">
            <v>-</v>
          </cell>
          <cell r="P1617" t="str">
            <v>-</v>
          </cell>
          <cell r="Q1617" t="str">
            <v>-</v>
          </cell>
          <cell r="R1617" t="str">
            <v>-</v>
          </cell>
          <cell r="T1617" t="str">
            <v>-</v>
          </cell>
          <cell r="W1617" t="str">
            <v>-</v>
          </cell>
        </row>
        <row r="1618">
          <cell r="F1618" t="str">
            <v>CHIT01K009</v>
          </cell>
          <cell r="G1618" t="str">
            <v>KBD SUGARS &amp; DISTILLERIES LTD</v>
          </cell>
          <cell r="H1618">
            <v>2017</v>
          </cell>
          <cell r="J1618" t="str">
            <v>Domestic</v>
          </cell>
          <cell r="K1618" t="str">
            <v>Sugar</v>
          </cell>
          <cell r="P1618" t="str">
            <v>SI-GS</v>
          </cell>
          <cell r="Q1618" t="str">
            <v>SI-GS</v>
          </cell>
          <cell r="W1618" t="str">
            <v>-</v>
          </cell>
        </row>
        <row r="1619">
          <cell r="F1619" t="str">
            <v>KRSH01K002</v>
          </cell>
          <cell r="G1619" t="str">
            <v>KCP SUGAR AND INDUSTRIES CORPN. LTD.</v>
          </cell>
          <cell r="H1619">
            <v>2013</v>
          </cell>
          <cell r="J1619" t="str">
            <v>Domestic</v>
          </cell>
          <cell r="K1619" t="str">
            <v>Sugar</v>
          </cell>
          <cell r="M1619" t="str">
            <v>OEM</v>
          </cell>
          <cell r="P1619" t="str">
            <v>SI-GS</v>
          </cell>
          <cell r="Q1619" t="str">
            <v>SI-GS</v>
          </cell>
          <cell r="W1619" t="str">
            <v>-</v>
          </cell>
        </row>
        <row r="1620">
          <cell r="F1620" t="str">
            <v>BAGL01U058</v>
          </cell>
          <cell r="G1620" t="str">
            <v>KEDARNATH SUGAR LTD( KSL UNIT 4) nirani</v>
          </cell>
          <cell r="H1620">
            <v>2017</v>
          </cell>
          <cell r="J1620" t="str">
            <v>Domestic</v>
          </cell>
          <cell r="K1620" t="str">
            <v>Sugar</v>
          </cell>
          <cell r="M1620" t="str">
            <v>End User</v>
          </cell>
          <cell r="O1620">
            <v>6000</v>
          </cell>
          <cell r="P1620" t="str">
            <v>AV</v>
          </cell>
          <cell r="Q1620" t="str">
            <v>AV</v>
          </cell>
          <cell r="R1620" t="str">
            <v>VG</v>
          </cell>
          <cell r="T1620" t="str">
            <v>TOUR-2 (MUDHOL)</v>
          </cell>
          <cell r="U1620" t="str">
            <v>23-24</v>
          </cell>
          <cell r="W1620" t="str">
            <v>28-02-2024
01-04-2023
14-10-2022</v>
          </cell>
        </row>
        <row r="1621">
          <cell r="F1621" t="str">
            <v>SURA01K106</v>
          </cell>
          <cell r="G1621" t="str">
            <v>KEMI IMPEX PVT. LTD.</v>
          </cell>
          <cell r="H1621" t="str">
            <v>-</v>
          </cell>
          <cell r="J1621" t="str">
            <v>Domestic</v>
          </cell>
          <cell r="K1621" t="str">
            <v>-</v>
          </cell>
          <cell r="L1621" t="str">
            <v>Non-Sugar</v>
          </cell>
          <cell r="O1621" t="str">
            <v>-</v>
          </cell>
          <cell r="P1621" t="str">
            <v>-</v>
          </cell>
          <cell r="Q1621" t="str">
            <v>-</v>
          </cell>
          <cell r="R1621" t="str">
            <v>-</v>
          </cell>
          <cell r="T1621" t="str">
            <v>-</v>
          </cell>
          <cell r="U1621" t="str">
            <v>-</v>
          </cell>
          <cell r="W1621" t="str">
            <v>-</v>
          </cell>
        </row>
        <row r="1622">
          <cell r="F1622" t="str">
            <v>AHME01K011</v>
          </cell>
          <cell r="G1622" t="str">
            <v>KEN ENGINEERS</v>
          </cell>
          <cell r="H1622" t="str">
            <v>-</v>
          </cell>
          <cell r="J1622" t="str">
            <v>Domestic</v>
          </cell>
          <cell r="K1622" t="str">
            <v>-</v>
          </cell>
          <cell r="L1622" t="str">
            <v>Non-Sugar</v>
          </cell>
          <cell r="O1622" t="str">
            <v>-</v>
          </cell>
          <cell r="P1622" t="str">
            <v>-</v>
          </cell>
          <cell r="Q1622" t="str">
            <v>-</v>
          </cell>
          <cell r="R1622" t="str">
            <v>-</v>
          </cell>
          <cell r="T1622" t="str">
            <v>-</v>
          </cell>
          <cell r="U1622" t="str">
            <v>-</v>
          </cell>
          <cell r="W1622" t="str">
            <v>-</v>
          </cell>
        </row>
        <row r="1623">
          <cell r="F1623" t="str">
            <v>HALD01K033</v>
          </cell>
          <cell r="G1623" t="str">
            <v>KHAITAN (INDIA) LIMITED</v>
          </cell>
          <cell r="H1623" t="str">
            <v>-</v>
          </cell>
          <cell r="J1623" t="str">
            <v>Domestic</v>
          </cell>
          <cell r="K1623" t="str">
            <v>-</v>
          </cell>
          <cell r="L1623" t="str">
            <v>Non-Sugar</v>
          </cell>
          <cell r="O1623" t="str">
            <v>-</v>
          </cell>
          <cell r="P1623" t="str">
            <v>-</v>
          </cell>
          <cell r="Q1623" t="str">
            <v>-</v>
          </cell>
          <cell r="R1623" t="str">
            <v>-</v>
          </cell>
          <cell r="T1623" t="str">
            <v>-</v>
          </cell>
          <cell r="U1623" t="str">
            <v>-</v>
          </cell>
          <cell r="W1623" t="str">
            <v>-</v>
          </cell>
        </row>
        <row r="1624">
          <cell r="F1624" t="str">
            <v>AMRI01K103</v>
          </cell>
          <cell r="G1624" t="str">
            <v>KHASA DISTILLERY CO.</v>
          </cell>
          <cell r="H1624" t="str">
            <v>22-23</v>
          </cell>
          <cell r="J1624" t="str">
            <v>Domestic</v>
          </cell>
          <cell r="K1624" t="str">
            <v>Distillery</v>
          </cell>
          <cell r="L1624" t="str">
            <v>Non-Sugar</v>
          </cell>
          <cell r="M1624" t="str">
            <v>End User</v>
          </cell>
          <cell r="O1624" t="str">
            <v>-</v>
          </cell>
          <cell r="P1624" t="str">
            <v>VA</v>
          </cell>
          <cell r="Q1624" t="str">
            <v>HIMANSHU KUSHWAHA</v>
          </cell>
          <cell r="T1624" t="str">
            <v>-</v>
          </cell>
          <cell r="U1624" t="str">
            <v>-</v>
          </cell>
          <cell r="W1624" t="str">
            <v>-</v>
          </cell>
        </row>
        <row r="1625">
          <cell r="F1625" t="str">
            <v>DMNA01K023</v>
          </cell>
          <cell r="G1625" t="str">
            <v>KHEMANI DISTILLERIES LTD.</v>
          </cell>
          <cell r="H1625">
            <v>2013</v>
          </cell>
          <cell r="J1625" t="str">
            <v>Domestic</v>
          </cell>
          <cell r="K1625" t="str">
            <v>-</v>
          </cell>
          <cell r="L1625" t="str">
            <v>Non-Sugar</v>
          </cell>
          <cell r="M1625" t="str">
            <v>End User</v>
          </cell>
          <cell r="O1625" t="str">
            <v>-</v>
          </cell>
          <cell r="P1625" t="str">
            <v>-</v>
          </cell>
          <cell r="Q1625" t="str">
            <v>-</v>
          </cell>
          <cell r="R1625" t="str">
            <v>-</v>
          </cell>
          <cell r="T1625" t="str">
            <v>-</v>
          </cell>
          <cell r="U1625" t="str">
            <v>-</v>
          </cell>
          <cell r="W1625" t="str">
            <v>-</v>
          </cell>
        </row>
        <row r="1626">
          <cell r="F1626" t="str">
            <v>NODA01K089</v>
          </cell>
          <cell r="G1626" t="str">
            <v>KILIMANJARO BIO CHEM LTD</v>
          </cell>
          <cell r="H1626" t="str">
            <v>-</v>
          </cell>
          <cell r="J1626" t="str">
            <v>Domestic</v>
          </cell>
          <cell r="K1626" t="str">
            <v>-</v>
          </cell>
          <cell r="L1626" t="str">
            <v>Non-Sugar</v>
          </cell>
          <cell r="O1626" t="str">
            <v>-</v>
          </cell>
          <cell r="P1626" t="str">
            <v>-</v>
          </cell>
          <cell r="Q1626" t="str">
            <v>-</v>
          </cell>
          <cell r="R1626" t="str">
            <v>-</v>
          </cell>
          <cell r="T1626" t="str">
            <v>-</v>
          </cell>
          <cell r="U1626" t="str">
            <v>-</v>
          </cell>
          <cell r="W1626" t="str">
            <v>-</v>
          </cell>
        </row>
        <row r="1627">
          <cell r="F1627" t="str">
            <v>NANA01K045</v>
          </cell>
          <cell r="G1627" t="str">
            <v>KING REMEDIES MEHSANA</v>
          </cell>
          <cell r="H1627" t="str">
            <v>-</v>
          </cell>
          <cell r="J1627" t="str">
            <v>Domestic</v>
          </cell>
          <cell r="L1627" t="str">
            <v>Non-Sugar</v>
          </cell>
          <cell r="O1627" t="str">
            <v>-</v>
          </cell>
          <cell r="P1627" t="str">
            <v>-</v>
          </cell>
          <cell r="Q1627" t="str">
            <v>-</v>
          </cell>
        </row>
        <row r="1628">
          <cell r="F1628" t="str">
            <v>BHAR01K015</v>
          </cell>
          <cell r="G1628" t="str">
            <v>KINJAL CHEMICALS PVT. LTD</v>
          </cell>
          <cell r="H1628" t="str">
            <v>-</v>
          </cell>
          <cell r="J1628" t="str">
            <v>Domestic</v>
          </cell>
          <cell r="K1628" t="str">
            <v>CHEMICAL</v>
          </cell>
          <cell r="L1628" t="str">
            <v>Non-Sugar</v>
          </cell>
          <cell r="M1628" t="str">
            <v>End User</v>
          </cell>
          <cell r="O1628" t="str">
            <v>-</v>
          </cell>
          <cell r="P1628" t="str">
            <v>-</v>
          </cell>
          <cell r="Q1628" t="str">
            <v>-</v>
          </cell>
          <cell r="R1628" t="str">
            <v>-</v>
          </cell>
          <cell r="T1628" t="str">
            <v>-</v>
          </cell>
          <cell r="U1628" t="str">
            <v>-</v>
          </cell>
          <cell r="W1628" t="str">
            <v>-</v>
          </cell>
        </row>
        <row r="1629">
          <cell r="F1629" t="str">
            <v>PUNE01K112</v>
          </cell>
          <cell r="G1629" t="str">
            <v>KIRAN PUNE</v>
          </cell>
          <cell r="H1629" t="str">
            <v>-</v>
          </cell>
          <cell r="J1629" t="str">
            <v>Domestic</v>
          </cell>
          <cell r="K1629" t="str">
            <v>-</v>
          </cell>
          <cell r="L1629" t="str">
            <v>Non-Sugar</v>
          </cell>
          <cell r="O1629" t="str">
            <v>-</v>
          </cell>
          <cell r="P1629" t="str">
            <v>-</v>
          </cell>
          <cell r="Q1629" t="str">
            <v>-</v>
          </cell>
          <cell r="R1629" t="str">
            <v>-</v>
          </cell>
          <cell r="T1629" t="str">
            <v>-</v>
          </cell>
          <cell r="U1629" t="str">
            <v>-</v>
          </cell>
          <cell r="W1629" t="str">
            <v>-</v>
          </cell>
        </row>
        <row r="1630">
          <cell r="F1630" t="str">
            <v>SANG01K017</v>
          </cell>
          <cell r="G1630" t="str">
            <v>KIRLOSKAR BROTHERS LIMITED</v>
          </cell>
          <cell r="H1630" t="str">
            <v>-</v>
          </cell>
          <cell r="J1630" t="str">
            <v>Domestic</v>
          </cell>
          <cell r="K1630" t="str">
            <v>OTHERS</v>
          </cell>
          <cell r="L1630" t="str">
            <v>Non-Sugar</v>
          </cell>
          <cell r="M1630" t="str">
            <v>OEM</v>
          </cell>
          <cell r="O1630" t="str">
            <v>-</v>
          </cell>
          <cell r="P1630" t="str">
            <v>HO</v>
          </cell>
          <cell r="Q1630" t="str">
            <v>-</v>
          </cell>
        </row>
        <row r="1631">
          <cell r="F1631" t="str">
            <v>KANP01K024</v>
          </cell>
          <cell r="G1631" t="str">
            <v>KISHORE BANDHU P LTD</v>
          </cell>
          <cell r="H1631" t="str">
            <v>NA</v>
          </cell>
          <cell r="J1631" t="str">
            <v>Domestic</v>
          </cell>
          <cell r="K1631" t="str">
            <v>-</v>
          </cell>
          <cell r="L1631" t="str">
            <v>Non-Sugar</v>
          </cell>
          <cell r="O1631" t="str">
            <v>-</v>
          </cell>
          <cell r="P1631" t="str">
            <v>-</v>
          </cell>
          <cell r="Q1631" t="str">
            <v>-</v>
          </cell>
          <cell r="R1631" t="str">
            <v>-</v>
          </cell>
          <cell r="T1631" t="str">
            <v>-</v>
          </cell>
          <cell r="U1631" t="str">
            <v>-</v>
          </cell>
          <cell r="W1631" t="str">
            <v>-</v>
          </cell>
        </row>
        <row r="1632">
          <cell r="F1632" t="str">
            <v>KUTC01K115</v>
          </cell>
          <cell r="G1632" t="str">
            <v>KISSAN MINERALS</v>
          </cell>
          <cell r="H1632" t="str">
            <v>-</v>
          </cell>
          <cell r="J1632" t="str">
            <v>Domestic</v>
          </cell>
          <cell r="K1632" t="str">
            <v>-</v>
          </cell>
          <cell r="L1632" t="str">
            <v>Non-Sugar</v>
          </cell>
          <cell r="O1632" t="str">
            <v>-</v>
          </cell>
          <cell r="P1632" t="str">
            <v>-</v>
          </cell>
          <cell r="Q1632" t="str">
            <v>-</v>
          </cell>
          <cell r="R1632" t="str">
            <v>-</v>
          </cell>
          <cell r="T1632" t="str">
            <v>-</v>
          </cell>
          <cell r="U1632" t="str">
            <v>-</v>
          </cell>
          <cell r="W1632" t="str">
            <v>-</v>
          </cell>
        </row>
        <row r="1633">
          <cell r="F1633" t="str">
            <v>KANP01K104</v>
          </cell>
          <cell r="G1633" t="str">
            <v>KN AGRO</v>
          </cell>
          <cell r="H1633" t="str">
            <v>-</v>
          </cell>
          <cell r="J1633" t="str">
            <v>Domestic</v>
          </cell>
          <cell r="K1633" t="str">
            <v>-</v>
          </cell>
          <cell r="L1633" t="str">
            <v>Non-Sugar</v>
          </cell>
          <cell r="O1633" t="str">
            <v>-</v>
          </cell>
          <cell r="P1633" t="str">
            <v>-</v>
          </cell>
          <cell r="Q1633" t="str">
            <v>-</v>
          </cell>
          <cell r="R1633" t="str">
            <v>-</v>
          </cell>
          <cell r="T1633" t="str">
            <v>-</v>
          </cell>
          <cell r="U1633" t="str">
            <v>-</v>
          </cell>
          <cell r="W1633" t="str">
            <v>-</v>
          </cell>
        </row>
        <row r="1634">
          <cell r="F1634" t="str">
            <v>UDUP01K079</v>
          </cell>
          <cell r="G1634" t="str">
            <v>KOMAL FEEDS</v>
          </cell>
          <cell r="H1634" t="str">
            <v>22-23</v>
          </cell>
          <cell r="J1634" t="str">
            <v>Domestic</v>
          </cell>
          <cell r="K1634" t="str">
            <v>Cattle Feed</v>
          </cell>
          <cell r="L1634" t="str">
            <v>Non-Sugar</v>
          </cell>
          <cell r="M1634" t="str">
            <v>End User</v>
          </cell>
          <cell r="O1634" t="str">
            <v>-</v>
          </cell>
          <cell r="P1634" t="str">
            <v>AV</v>
          </cell>
          <cell r="Q1634" t="str">
            <v>AV</v>
          </cell>
          <cell r="R1634" t="str">
            <v>VG</v>
          </cell>
          <cell r="T1634" t="str">
            <v>TOUR-4 (DAVANGERE)</v>
          </cell>
          <cell r="W1634" t="str">
            <v>-</v>
          </cell>
        </row>
        <row r="1635">
          <cell r="F1635" t="str">
            <v>GURD01K034</v>
          </cell>
          <cell r="G1635" t="str">
            <v>KOMAL STRAW BOARD &amp; MILL BOARD INDUSTRIES</v>
          </cell>
          <cell r="H1635">
            <v>2013</v>
          </cell>
          <cell r="J1635" t="str">
            <v>Domestic</v>
          </cell>
          <cell r="K1635" t="str">
            <v>-</v>
          </cell>
          <cell r="L1635" t="str">
            <v>Non-Sugar</v>
          </cell>
          <cell r="M1635" t="str">
            <v>End User</v>
          </cell>
          <cell r="O1635" t="str">
            <v>-</v>
          </cell>
          <cell r="P1635" t="str">
            <v>-</v>
          </cell>
          <cell r="Q1635" t="str">
            <v>-</v>
          </cell>
          <cell r="R1635" t="str">
            <v>-</v>
          </cell>
          <cell r="T1635" t="str">
            <v>-</v>
          </cell>
          <cell r="U1635" t="str">
            <v>-</v>
          </cell>
          <cell r="W1635" t="str">
            <v>-</v>
          </cell>
        </row>
        <row r="1636">
          <cell r="F1636" t="str">
            <v>BANG01K059</v>
          </cell>
          <cell r="G1636" t="str">
            <v>KOMARLA FEEDS &amp; FOODS PVT LTD</v>
          </cell>
          <cell r="H1636" t="str">
            <v>-</v>
          </cell>
          <cell r="J1636" t="str">
            <v>Domestic</v>
          </cell>
          <cell r="K1636" t="str">
            <v>Cattlefeed</v>
          </cell>
          <cell r="L1636" t="str">
            <v>Non-Sugar</v>
          </cell>
          <cell r="M1636" t="str">
            <v>End User</v>
          </cell>
          <cell r="O1636" t="str">
            <v>-</v>
          </cell>
          <cell r="P1636" t="str">
            <v>-</v>
          </cell>
          <cell r="Q1636" t="str">
            <v>-</v>
          </cell>
          <cell r="R1636" t="str">
            <v>-</v>
          </cell>
          <cell r="T1636" t="str">
            <v>-</v>
          </cell>
          <cell r="U1636" t="str">
            <v>-</v>
          </cell>
          <cell r="W1636" t="str">
            <v>-</v>
          </cell>
        </row>
        <row r="1637">
          <cell r="F1637" t="str">
            <v>KOLK01K109</v>
          </cell>
          <cell r="G1637" t="str">
            <v>KORPIS TRADERS PVT.LTD.</v>
          </cell>
          <cell r="H1637" t="str">
            <v>-</v>
          </cell>
          <cell r="J1637" t="str">
            <v>Domestic</v>
          </cell>
          <cell r="K1637" t="str">
            <v>-</v>
          </cell>
          <cell r="L1637" t="str">
            <v>Non-Sugar</v>
          </cell>
          <cell r="O1637" t="str">
            <v>-</v>
          </cell>
          <cell r="P1637" t="str">
            <v>-</v>
          </cell>
          <cell r="Q1637" t="str">
            <v>-</v>
          </cell>
          <cell r="R1637" t="str">
            <v>-</v>
          </cell>
          <cell r="T1637" t="str">
            <v>-</v>
          </cell>
          <cell r="U1637" t="str">
            <v>-</v>
          </cell>
          <cell r="W1637" t="str">
            <v>-</v>
          </cell>
        </row>
        <row r="1638">
          <cell r="F1638" t="str">
            <v>GUNA01K022</v>
          </cell>
          <cell r="G1638" t="str">
            <v>KRISHAK SAHAKARI SHAKKAR KARKHANA MARYADIT</v>
          </cell>
          <cell r="H1638">
            <v>2014</v>
          </cell>
          <cell r="J1638" t="str">
            <v>Domestic</v>
          </cell>
          <cell r="K1638" t="str">
            <v>-</v>
          </cell>
          <cell r="L1638" t="str">
            <v>Non-Sugar</v>
          </cell>
          <cell r="M1638" t="str">
            <v>End User</v>
          </cell>
          <cell r="O1638" t="str">
            <v>-</v>
          </cell>
          <cell r="P1638" t="str">
            <v>-</v>
          </cell>
          <cell r="Q1638" t="str">
            <v>-</v>
          </cell>
          <cell r="R1638" t="str">
            <v>-</v>
          </cell>
          <cell r="T1638" t="str">
            <v>-</v>
          </cell>
          <cell r="U1638" t="str">
            <v>-</v>
          </cell>
          <cell r="W1638" t="str">
            <v>-</v>
          </cell>
        </row>
        <row r="1639">
          <cell r="F1639" t="str">
            <v>BHUB01K055</v>
          </cell>
          <cell r="G1639" t="str">
            <v>KRISHNA ENGINEERS &amp; CONSULTANTS</v>
          </cell>
          <cell r="H1639" t="str">
            <v>-</v>
          </cell>
          <cell r="J1639" t="str">
            <v>Domestic</v>
          </cell>
          <cell r="K1639" t="str">
            <v>Others</v>
          </cell>
          <cell r="L1639" t="str">
            <v>Non-Sugar</v>
          </cell>
          <cell r="M1639" t="str">
            <v>OEM</v>
          </cell>
          <cell r="P1639" t="str">
            <v>SI-GS</v>
          </cell>
          <cell r="Q1639" t="str">
            <v>SI-GS</v>
          </cell>
          <cell r="W1639" t="str">
            <v>-</v>
          </cell>
        </row>
        <row r="1640">
          <cell r="F1640" t="str">
            <v>BELG01K077</v>
          </cell>
          <cell r="G1640" t="str">
            <v>KRISHNA SAHAKARI SAKKARE KARKHANE NIYAMIT (New name The Krishna SSKN)</v>
          </cell>
          <cell r="H1640" t="str">
            <v>20-21</v>
          </cell>
          <cell r="J1640" t="str">
            <v>Domestic</v>
          </cell>
          <cell r="K1640" t="str">
            <v>Sugar</v>
          </cell>
          <cell r="M1640" t="str">
            <v>End User</v>
          </cell>
          <cell r="O1640" t="str">
            <v>-</v>
          </cell>
          <cell r="P1640" t="str">
            <v>-</v>
          </cell>
          <cell r="Q1640" t="str">
            <v>-</v>
          </cell>
          <cell r="R1640" t="str">
            <v>-</v>
          </cell>
          <cell r="T1640" t="str">
            <v>TOUR NOT MAPPED</v>
          </cell>
          <cell r="W1640" t="str">
            <v>-</v>
          </cell>
        </row>
        <row r="1641">
          <cell r="F1641" t="str">
            <v>MUMB01K047</v>
          </cell>
          <cell r="G1641" t="str">
            <v>KRISNA FOOD</v>
          </cell>
          <cell r="H1641" t="str">
            <v>-</v>
          </cell>
          <cell r="J1641" t="str">
            <v>Domestic</v>
          </cell>
          <cell r="K1641" t="str">
            <v>-</v>
          </cell>
          <cell r="L1641" t="str">
            <v>Non-Sugar</v>
          </cell>
          <cell r="O1641" t="str">
            <v>-</v>
          </cell>
          <cell r="P1641" t="str">
            <v>-</v>
          </cell>
          <cell r="Q1641" t="str">
            <v>-</v>
          </cell>
          <cell r="R1641" t="str">
            <v>-</v>
          </cell>
          <cell r="T1641" t="str">
            <v>-</v>
          </cell>
          <cell r="U1641" t="str">
            <v>-</v>
          </cell>
          <cell r="W1641" t="str">
            <v>-</v>
          </cell>
        </row>
        <row r="1642">
          <cell r="F1642" t="str">
            <v>MUMB01K058</v>
          </cell>
          <cell r="G1642" t="str">
            <v>KROMA ENTERPRISES</v>
          </cell>
          <cell r="H1642" t="str">
            <v>-</v>
          </cell>
          <cell r="J1642" t="str">
            <v>Domestic</v>
          </cell>
          <cell r="K1642" t="str">
            <v>-</v>
          </cell>
          <cell r="L1642" t="str">
            <v>Non-Sugar</v>
          </cell>
          <cell r="O1642" t="str">
            <v>-</v>
          </cell>
          <cell r="P1642" t="str">
            <v>-</v>
          </cell>
          <cell r="Q1642" t="str">
            <v>-</v>
          </cell>
          <cell r="R1642" t="str">
            <v>-</v>
          </cell>
          <cell r="T1642" t="str">
            <v>-</v>
          </cell>
          <cell r="U1642" t="str">
            <v>-</v>
          </cell>
          <cell r="W1642" t="str">
            <v>-</v>
          </cell>
        </row>
        <row r="1643">
          <cell r="F1643" t="str">
            <v>NANA01K053</v>
          </cell>
          <cell r="G1643" t="str">
            <v>KSBT ENGINEERING CO LTD</v>
          </cell>
          <cell r="H1643" t="str">
            <v>-</v>
          </cell>
          <cell r="J1643" t="str">
            <v>Export</v>
          </cell>
          <cell r="K1643" t="str">
            <v>OTHERS</v>
          </cell>
          <cell r="L1643" t="str">
            <v>Non-Sugar</v>
          </cell>
          <cell r="M1643" t="str">
            <v>OEM</v>
          </cell>
          <cell r="O1643" t="str">
            <v>-</v>
          </cell>
          <cell r="P1643" t="str">
            <v>VA</v>
          </cell>
          <cell r="Q1643" t="str">
            <v>VG</v>
          </cell>
        </row>
        <row r="1644">
          <cell r="F1644" t="str">
            <v>VIRU01K097</v>
          </cell>
          <cell r="G1644" t="str">
            <v>KUMAR AGRO REFINERY PVT LTD</v>
          </cell>
          <cell r="H1644" t="str">
            <v>-</v>
          </cell>
          <cell r="J1644" t="str">
            <v>Domestic</v>
          </cell>
          <cell r="K1644" t="str">
            <v>-</v>
          </cell>
          <cell r="L1644" t="str">
            <v>Non-Sugar</v>
          </cell>
          <cell r="O1644" t="str">
            <v>-</v>
          </cell>
          <cell r="P1644" t="str">
            <v>-</v>
          </cell>
          <cell r="Q1644" t="str">
            <v>-</v>
          </cell>
          <cell r="R1644" t="str">
            <v>-</v>
          </cell>
          <cell r="T1644" t="str">
            <v>-</v>
          </cell>
          <cell r="U1644" t="str">
            <v>-</v>
          </cell>
          <cell r="W1644" t="str">
            <v>-</v>
          </cell>
        </row>
        <row r="1645">
          <cell r="F1645" t="str">
            <v>VADO01K046</v>
          </cell>
          <cell r="G1645" t="str">
            <v>KUMAR ORGANIC PRODUCTS LIMITED</v>
          </cell>
          <cell r="H1645" t="str">
            <v>-</v>
          </cell>
          <cell r="J1645" t="str">
            <v>Domestic</v>
          </cell>
          <cell r="K1645" t="str">
            <v>-</v>
          </cell>
          <cell r="L1645" t="str">
            <v>Non-Sugar</v>
          </cell>
          <cell r="O1645" t="str">
            <v>-</v>
          </cell>
          <cell r="P1645" t="str">
            <v>-</v>
          </cell>
          <cell r="Q1645" t="str">
            <v>-</v>
          </cell>
          <cell r="R1645" t="str">
            <v>-</v>
          </cell>
          <cell r="T1645" t="str">
            <v>-</v>
          </cell>
          <cell r="U1645" t="str">
            <v>-</v>
          </cell>
          <cell r="W1645" t="str">
            <v>-</v>
          </cell>
        </row>
        <row r="1646">
          <cell r="F1646" t="str">
            <v>PUNE01K141</v>
          </cell>
          <cell r="G1646" t="str">
            <v>KUNJIR BIOENERGY INDIA LLP</v>
          </cell>
          <cell r="H1646" t="str">
            <v>-</v>
          </cell>
          <cell r="J1646" t="str">
            <v>Domestic</v>
          </cell>
          <cell r="P1646" t="str">
            <v>AV</v>
          </cell>
          <cell r="Q1646" t="str">
            <v>-</v>
          </cell>
        </row>
        <row r="1647">
          <cell r="F1647" t="str">
            <v>AHMD01K057</v>
          </cell>
          <cell r="G1647" t="str">
            <v>KURITA MACHINERY ASIA PVT LTD</v>
          </cell>
          <cell r="H1647" t="str">
            <v>-</v>
          </cell>
          <cell r="J1647" t="str">
            <v>Domestic</v>
          </cell>
          <cell r="K1647" t="str">
            <v>-</v>
          </cell>
          <cell r="L1647" t="str">
            <v>Non-Sugar</v>
          </cell>
          <cell r="O1647" t="str">
            <v>-</v>
          </cell>
          <cell r="P1647" t="str">
            <v>-</v>
          </cell>
          <cell r="Q1647" t="str">
            <v>-</v>
          </cell>
          <cell r="R1647" t="str">
            <v>-</v>
          </cell>
          <cell r="T1647" t="str">
            <v>-</v>
          </cell>
          <cell r="U1647" t="str">
            <v>-</v>
          </cell>
          <cell r="W1647" t="str">
            <v>-</v>
          </cell>
        </row>
        <row r="1648">
          <cell r="F1648" t="str">
            <v>PUNE01K105</v>
          </cell>
          <cell r="G1648" t="str">
            <v>KUSHWAHA INDUSTRIES</v>
          </cell>
          <cell r="H1648" t="str">
            <v>-</v>
          </cell>
          <cell r="J1648" t="str">
            <v>Domestic</v>
          </cell>
          <cell r="K1648" t="str">
            <v>-</v>
          </cell>
          <cell r="L1648" t="str">
            <v>Non-Sugar</v>
          </cell>
          <cell r="O1648" t="str">
            <v>-</v>
          </cell>
          <cell r="P1648" t="str">
            <v>-</v>
          </cell>
          <cell r="Q1648" t="str">
            <v>-</v>
          </cell>
          <cell r="R1648" t="str">
            <v>-</v>
          </cell>
          <cell r="T1648" t="str">
            <v>-</v>
          </cell>
          <cell r="U1648" t="str">
            <v>-</v>
          </cell>
          <cell r="W1648" t="str">
            <v>-</v>
          </cell>
        </row>
        <row r="1649">
          <cell r="F1649" t="str">
            <v>VAPI01L016</v>
          </cell>
          <cell r="G1649" t="str">
            <v>L. N. RAMOLIA</v>
          </cell>
          <cell r="H1649" t="str">
            <v>-</v>
          </cell>
          <cell r="J1649" t="str">
            <v>Domestic</v>
          </cell>
          <cell r="K1649" t="str">
            <v>-</v>
          </cell>
          <cell r="L1649" t="str">
            <v>Non-Sugar</v>
          </cell>
          <cell r="O1649" t="str">
            <v>-</v>
          </cell>
          <cell r="P1649" t="str">
            <v>-</v>
          </cell>
          <cell r="Q1649" t="str">
            <v>-</v>
          </cell>
          <cell r="R1649" t="str">
            <v>-</v>
          </cell>
          <cell r="T1649" t="str">
            <v>-</v>
          </cell>
          <cell r="U1649" t="str">
            <v>-</v>
          </cell>
          <cell r="W1649" t="str">
            <v>-</v>
          </cell>
        </row>
        <row r="1650">
          <cell r="F1650" t="str">
            <v>NODA01L019</v>
          </cell>
          <cell r="G1650" t="str">
            <v>LA NGA SUGAR</v>
          </cell>
          <cell r="H1650" t="str">
            <v>-</v>
          </cell>
          <cell r="J1650" t="str">
            <v>Domestic</v>
          </cell>
          <cell r="K1650" t="str">
            <v>Sugar</v>
          </cell>
          <cell r="L1650" t="str">
            <v>Sugar</v>
          </cell>
          <cell r="M1650" t="str">
            <v>End User</v>
          </cell>
          <cell r="O1650" t="str">
            <v>-</v>
          </cell>
          <cell r="P1650" t="str">
            <v>-</v>
          </cell>
          <cell r="Q1650" t="str">
            <v>-</v>
          </cell>
          <cell r="R1650" t="str">
            <v>-</v>
          </cell>
          <cell r="T1650" t="str">
            <v>-</v>
          </cell>
          <cell r="U1650" t="str">
            <v>-</v>
          </cell>
          <cell r="W1650" t="str">
            <v>-</v>
          </cell>
        </row>
        <row r="1651">
          <cell r="F1651" t="str">
            <v>MUMB01L032</v>
          </cell>
          <cell r="G1651" t="str">
            <v>LASA SUPERGENERICS</v>
          </cell>
          <cell r="H1651" t="str">
            <v>-</v>
          </cell>
          <cell r="J1651" t="str">
            <v>Domestic</v>
          </cell>
          <cell r="K1651" t="str">
            <v>-</v>
          </cell>
          <cell r="L1651" t="str">
            <v>Non-Sugar</v>
          </cell>
          <cell r="O1651" t="str">
            <v>-</v>
          </cell>
          <cell r="P1651" t="str">
            <v>-</v>
          </cell>
          <cell r="Q1651" t="str">
            <v>-</v>
          </cell>
          <cell r="R1651" t="str">
            <v>-</v>
          </cell>
          <cell r="T1651" t="str">
            <v>-</v>
          </cell>
          <cell r="U1651" t="str">
            <v>-</v>
          </cell>
          <cell r="W1651" t="str">
            <v>-</v>
          </cell>
        </row>
        <row r="1652">
          <cell r="F1652" t="str">
            <v>KOLH01L031</v>
          </cell>
          <cell r="G1652" t="str">
            <v>LAVISHA MANUFACTURER &amp; TRADERS PVT LTD (Formerly Shivam sugars)</v>
          </cell>
          <cell r="H1652" t="str">
            <v>22-23</v>
          </cell>
          <cell r="J1652" t="str">
            <v>Domestic</v>
          </cell>
          <cell r="K1652" t="str">
            <v>Sugar</v>
          </cell>
          <cell r="M1652" t="str">
            <v>End User</v>
          </cell>
          <cell r="O1652" t="str">
            <v>-</v>
          </cell>
          <cell r="P1652" t="str">
            <v>AV</v>
          </cell>
          <cell r="Q1652" t="str">
            <v>AV</v>
          </cell>
          <cell r="R1652" t="str">
            <v>VG</v>
          </cell>
          <cell r="T1652" t="str">
            <v>TOUR-5 (KOLHAPUR)</v>
          </cell>
          <cell r="W1652" t="str">
            <v>-</v>
          </cell>
        </row>
        <row r="1653">
          <cell r="F1653" t="str">
            <v>VAPI01L006</v>
          </cell>
          <cell r="G1653" t="str">
            <v>LAXMI POLYADDITIVES</v>
          </cell>
          <cell r="H1653" t="str">
            <v>-</v>
          </cell>
          <cell r="J1653" t="str">
            <v>Domestic</v>
          </cell>
          <cell r="K1653" t="str">
            <v>-</v>
          </cell>
          <cell r="L1653" t="str">
            <v>Non-Sugar</v>
          </cell>
          <cell r="O1653" t="str">
            <v>-</v>
          </cell>
          <cell r="P1653" t="str">
            <v>-</v>
          </cell>
          <cell r="Q1653" t="str">
            <v>-</v>
          </cell>
          <cell r="R1653" t="str">
            <v>-</v>
          </cell>
          <cell r="T1653" t="str">
            <v>-</v>
          </cell>
          <cell r="U1653" t="str">
            <v>-</v>
          </cell>
          <cell r="W1653" t="str">
            <v>-</v>
          </cell>
        </row>
        <row r="1654">
          <cell r="F1654" t="str">
            <v>BANG01L034</v>
          </cell>
          <cell r="G1654" t="str">
            <v>LEEDARI ENTERPRISES</v>
          </cell>
          <cell r="H1654" t="str">
            <v>-</v>
          </cell>
          <cell r="J1654" t="str">
            <v>Domestic</v>
          </cell>
          <cell r="K1654" t="str">
            <v>-</v>
          </cell>
          <cell r="L1654" t="str">
            <v>Non-Sugar</v>
          </cell>
          <cell r="O1654" t="str">
            <v>-</v>
          </cell>
          <cell r="P1654" t="str">
            <v>-</v>
          </cell>
          <cell r="Q1654" t="str">
            <v>-</v>
          </cell>
          <cell r="R1654" t="str">
            <v>-</v>
          </cell>
          <cell r="T1654" t="str">
            <v>-</v>
          </cell>
          <cell r="U1654" t="str">
            <v>-</v>
          </cell>
          <cell r="W1654" t="str">
            <v>-</v>
          </cell>
        </row>
        <row r="1655">
          <cell r="F1655" t="str">
            <v>VIET01L028</v>
          </cell>
          <cell r="G1655" t="str">
            <v>LEHOANG PUMPS</v>
          </cell>
          <cell r="H1655" t="str">
            <v>-</v>
          </cell>
          <cell r="J1655" t="str">
            <v>Export</v>
          </cell>
          <cell r="K1655" t="str">
            <v>OTHERS</v>
          </cell>
          <cell r="L1655" t="str">
            <v>Non-Sugar</v>
          </cell>
          <cell r="M1655" t="str">
            <v>OEM</v>
          </cell>
          <cell r="O1655" t="str">
            <v>-</v>
          </cell>
          <cell r="P1655" t="str">
            <v>VA</v>
          </cell>
          <cell r="Q1655" t="str">
            <v>VG</v>
          </cell>
          <cell r="T1655" t="str">
            <v>-</v>
          </cell>
          <cell r="U1655" t="str">
            <v>-</v>
          </cell>
          <cell r="W1655" t="str">
            <v>-</v>
          </cell>
        </row>
        <row r="1656">
          <cell r="F1656" t="str">
            <v>PUNE01L024</v>
          </cell>
          <cell r="G1656" t="str">
            <v>LINGARAJ SUPPLY AGENCY</v>
          </cell>
          <cell r="H1656" t="str">
            <v>-</v>
          </cell>
          <cell r="J1656" t="str">
            <v>Domestic</v>
          </cell>
          <cell r="K1656" t="str">
            <v>-</v>
          </cell>
          <cell r="L1656" t="str">
            <v>Non-Sugar</v>
          </cell>
          <cell r="O1656" t="str">
            <v>-</v>
          </cell>
          <cell r="P1656" t="str">
            <v>-</v>
          </cell>
          <cell r="Q1656" t="str">
            <v>-</v>
          </cell>
          <cell r="R1656" t="str">
            <v>-</v>
          </cell>
          <cell r="T1656" t="str">
            <v>-</v>
          </cell>
          <cell r="U1656" t="str">
            <v>-</v>
          </cell>
          <cell r="W1656" t="str">
            <v>-</v>
          </cell>
        </row>
        <row r="1657">
          <cell r="F1657" t="str">
            <v>AHME01L013</v>
          </cell>
          <cell r="G1657" t="str">
            <v>LINK (INDIA) MACHINERY PVT. LTD.</v>
          </cell>
          <cell r="H1657">
            <v>2014</v>
          </cell>
          <cell r="J1657" t="str">
            <v>Domestic</v>
          </cell>
          <cell r="K1657" t="str">
            <v>-</v>
          </cell>
          <cell r="L1657" t="str">
            <v>Non-Sugar</v>
          </cell>
          <cell r="O1657" t="str">
            <v>-</v>
          </cell>
          <cell r="P1657" t="str">
            <v>-</v>
          </cell>
          <cell r="Q1657" t="str">
            <v>-</v>
          </cell>
          <cell r="R1657" t="str">
            <v>-</v>
          </cell>
          <cell r="T1657" t="str">
            <v>-</v>
          </cell>
          <cell r="U1657" t="str">
            <v>-</v>
          </cell>
          <cell r="W1657" t="str">
            <v>-</v>
          </cell>
        </row>
        <row r="1658">
          <cell r="F1658" t="str">
            <v>SOLP01L010</v>
          </cell>
          <cell r="G1658" t="str">
            <v>LOKMANGAL SUGAR ETHANOL &amp; COGENERATION INDUSTRIES LTD</v>
          </cell>
          <cell r="H1658" t="str">
            <v>-</v>
          </cell>
          <cell r="J1658" t="str">
            <v>Domestic</v>
          </cell>
          <cell r="K1658" t="str">
            <v>Sugar</v>
          </cell>
          <cell r="L1658" t="str">
            <v>Sugar</v>
          </cell>
          <cell r="M1658" t="str">
            <v>End User</v>
          </cell>
          <cell r="O1658" t="str">
            <v>-</v>
          </cell>
          <cell r="P1658" t="str">
            <v>-</v>
          </cell>
          <cell r="Q1658" t="str">
            <v>-</v>
          </cell>
          <cell r="R1658" t="str">
            <v>-</v>
          </cell>
          <cell r="T1658" t="str">
            <v>-</v>
          </cell>
          <cell r="W1658" t="str">
            <v>-</v>
          </cell>
        </row>
        <row r="1659">
          <cell r="F1659" t="str">
            <v>BEED01M026</v>
          </cell>
          <cell r="G1659" t="str">
            <v>LOKNETE SUNDARRAOJI SOLANKE SAHAKARI SAKHAR KARKHANA LTD.(Formerly MAJALGAON SSK LTD.)</v>
          </cell>
          <cell r="H1659" t="str">
            <v>-</v>
          </cell>
          <cell r="J1659" t="str">
            <v>Domestic</v>
          </cell>
          <cell r="K1659" t="str">
            <v>Sugar</v>
          </cell>
          <cell r="L1659" t="str">
            <v>Sugar</v>
          </cell>
          <cell r="M1659" t="str">
            <v>End User</v>
          </cell>
          <cell r="O1659">
            <v>6000</v>
          </cell>
          <cell r="P1659" t="str">
            <v>AV</v>
          </cell>
          <cell r="Q1659" t="str">
            <v>AV</v>
          </cell>
          <cell r="R1659" t="str">
            <v>AT</v>
          </cell>
          <cell r="T1659" t="str">
            <v>Tour-13 (Beed)</v>
          </cell>
          <cell r="U1659" t="str">
            <v>23-24</v>
          </cell>
          <cell r="W1659">
            <v>45239</v>
          </cell>
        </row>
        <row r="1660">
          <cell r="F1660" t="str">
            <v>VADO01L017</v>
          </cell>
          <cell r="G1660" t="str">
            <v>LOLITE CUBE INFRAMATERIAL PVT LTD</v>
          </cell>
          <cell r="H1660" t="str">
            <v>-</v>
          </cell>
          <cell r="J1660" t="str">
            <v>Domestic</v>
          </cell>
          <cell r="K1660" t="str">
            <v>-</v>
          </cell>
          <cell r="L1660" t="str">
            <v>Non-Sugar</v>
          </cell>
          <cell r="O1660" t="str">
            <v>-</v>
          </cell>
          <cell r="P1660" t="str">
            <v>-</v>
          </cell>
          <cell r="Q1660" t="str">
            <v>-</v>
          </cell>
          <cell r="R1660" t="str">
            <v>-</v>
          </cell>
          <cell r="T1660" t="str">
            <v>-</v>
          </cell>
          <cell r="U1660" t="str">
            <v>-</v>
          </cell>
          <cell r="W1660" t="str">
            <v>-</v>
          </cell>
        </row>
        <row r="1661">
          <cell r="F1661" t="str">
            <v>PUNA01L012</v>
          </cell>
          <cell r="G1661" t="str">
            <v>LOTUS ENVIRONMENT TECH. LTD</v>
          </cell>
          <cell r="H1661" t="str">
            <v>-</v>
          </cell>
          <cell r="J1661" t="str">
            <v>Domestic</v>
          </cell>
          <cell r="K1661" t="str">
            <v>-</v>
          </cell>
          <cell r="L1661" t="str">
            <v>Non-Sugar</v>
          </cell>
          <cell r="O1661" t="str">
            <v>-</v>
          </cell>
          <cell r="P1661" t="str">
            <v>-</v>
          </cell>
          <cell r="Q1661" t="str">
            <v>-</v>
          </cell>
          <cell r="R1661" t="str">
            <v>-</v>
          </cell>
          <cell r="T1661" t="str">
            <v>-</v>
          </cell>
          <cell r="U1661" t="str">
            <v>-</v>
          </cell>
          <cell r="W1661" t="str">
            <v>-</v>
          </cell>
        </row>
        <row r="1662">
          <cell r="F1662" t="str">
            <v>PUNE01L011</v>
          </cell>
          <cell r="G1662" t="str">
            <v>LOTUS ENVIRONMENT TECHNOLOGY PVT LTD</v>
          </cell>
          <cell r="H1662" t="str">
            <v>-</v>
          </cell>
          <cell r="J1662" t="str">
            <v>Domestic</v>
          </cell>
          <cell r="K1662" t="str">
            <v>-</v>
          </cell>
          <cell r="L1662" t="str">
            <v>Non-Sugar</v>
          </cell>
          <cell r="O1662" t="str">
            <v>-</v>
          </cell>
          <cell r="P1662" t="str">
            <v>-</v>
          </cell>
          <cell r="Q1662" t="str">
            <v>-</v>
          </cell>
          <cell r="R1662" t="str">
            <v>-</v>
          </cell>
          <cell r="T1662" t="str">
            <v>-</v>
          </cell>
          <cell r="U1662" t="str">
            <v>-</v>
          </cell>
          <cell r="W1662" t="str">
            <v>-</v>
          </cell>
        </row>
        <row r="1663">
          <cell r="F1663" t="str">
            <v>SIKA01M141</v>
          </cell>
          <cell r="G1663" t="str">
            <v>M/S AHUJA ENGINEERING SERVICES PVT LTD</v>
          </cell>
          <cell r="H1663" t="str">
            <v>-</v>
          </cell>
          <cell r="J1663" t="str">
            <v>Domestic</v>
          </cell>
          <cell r="K1663" t="str">
            <v>-</v>
          </cell>
          <cell r="L1663" t="str">
            <v>Non-Sugar</v>
          </cell>
          <cell r="O1663" t="str">
            <v>-</v>
          </cell>
          <cell r="P1663" t="str">
            <v>-</v>
          </cell>
          <cell r="Q1663" t="str">
            <v>-</v>
          </cell>
          <cell r="R1663" t="str">
            <v>-</v>
          </cell>
          <cell r="T1663" t="str">
            <v>-</v>
          </cell>
          <cell r="U1663" t="str">
            <v>-</v>
          </cell>
          <cell r="W1663" t="str">
            <v>-</v>
          </cell>
        </row>
        <row r="1664">
          <cell r="F1664" t="str">
            <v>ALWR01M099</v>
          </cell>
          <cell r="G1664" t="str">
            <v>M/S CRYSTAL CLEAR WATER TECHNOLOGY</v>
          </cell>
          <cell r="H1664" t="str">
            <v>-</v>
          </cell>
          <cell r="J1664" t="str">
            <v>Domestic</v>
          </cell>
          <cell r="K1664" t="str">
            <v>-</v>
          </cell>
          <cell r="L1664" t="str">
            <v>Non-Sugar</v>
          </cell>
          <cell r="O1664" t="str">
            <v>-</v>
          </cell>
          <cell r="P1664" t="str">
            <v>-</v>
          </cell>
          <cell r="Q1664" t="str">
            <v>-</v>
          </cell>
          <cell r="R1664" t="str">
            <v>-</v>
          </cell>
          <cell r="T1664" t="str">
            <v>-</v>
          </cell>
          <cell r="U1664" t="str">
            <v>-</v>
          </cell>
          <cell r="W1664" t="str">
            <v>-</v>
          </cell>
        </row>
        <row r="1665">
          <cell r="F1665" t="str">
            <v>JAKA01M118</v>
          </cell>
          <cell r="G1665" t="str">
            <v>M/S PT IKS</v>
          </cell>
          <cell r="H1665" t="str">
            <v>-</v>
          </cell>
          <cell r="J1665" t="str">
            <v>Export</v>
          </cell>
          <cell r="K1665" t="str">
            <v>-</v>
          </cell>
          <cell r="L1665" t="str">
            <v>Non-Sugar</v>
          </cell>
          <cell r="O1665" t="str">
            <v>-</v>
          </cell>
          <cell r="P1665" t="str">
            <v>-</v>
          </cell>
          <cell r="Q1665" t="str">
            <v>VG</v>
          </cell>
          <cell r="R1665" t="str">
            <v>-</v>
          </cell>
          <cell r="T1665" t="str">
            <v>-</v>
          </cell>
          <cell r="U1665" t="str">
            <v>-</v>
          </cell>
          <cell r="W1665" t="str">
            <v>-</v>
          </cell>
        </row>
        <row r="1666">
          <cell r="F1666" t="str">
            <v>HYDE01M149</v>
          </cell>
          <cell r="G1666" t="str">
            <v>M/S SATYASAI CHEMICAL PRODUCTS</v>
          </cell>
          <cell r="H1666" t="str">
            <v>-</v>
          </cell>
          <cell r="J1666" t="str">
            <v>Domestic</v>
          </cell>
          <cell r="K1666" t="str">
            <v>CHEMICAL</v>
          </cell>
          <cell r="L1666" t="str">
            <v>Non-Sugar</v>
          </cell>
          <cell r="M1666" t="str">
            <v>End User</v>
          </cell>
          <cell r="O1666" t="str">
            <v>-</v>
          </cell>
          <cell r="P1666" t="str">
            <v>-</v>
          </cell>
          <cell r="Q1666" t="str">
            <v>-</v>
          </cell>
          <cell r="R1666" t="str">
            <v>-</v>
          </cell>
          <cell r="T1666" t="str">
            <v>-</v>
          </cell>
          <cell r="U1666" t="str">
            <v>-</v>
          </cell>
          <cell r="W1666" t="str">
            <v>-</v>
          </cell>
        </row>
        <row r="1667">
          <cell r="F1667" t="str">
            <v>LUCK01M126</v>
          </cell>
          <cell r="G1667" t="str">
            <v>MAA GAYATRI TECHNOCHEM ENTERPRISE</v>
          </cell>
          <cell r="H1667" t="str">
            <v>-</v>
          </cell>
          <cell r="J1667" t="str">
            <v>Domestic</v>
          </cell>
          <cell r="K1667" t="str">
            <v>-</v>
          </cell>
          <cell r="L1667" t="str">
            <v>Non-Sugar</v>
          </cell>
          <cell r="O1667" t="str">
            <v>-</v>
          </cell>
          <cell r="P1667" t="str">
            <v>-</v>
          </cell>
          <cell r="Q1667" t="str">
            <v>-</v>
          </cell>
          <cell r="R1667" t="str">
            <v>-</v>
          </cell>
          <cell r="T1667" t="str">
            <v>-</v>
          </cell>
          <cell r="U1667" t="str">
            <v>-</v>
          </cell>
          <cell r="W1667" t="str">
            <v>-</v>
          </cell>
        </row>
        <row r="1668">
          <cell r="F1668" t="str">
            <v>HRDO01M112</v>
          </cell>
          <cell r="G1668" t="str">
            <v>MAA GYATRI DISTILERY</v>
          </cell>
          <cell r="H1668" t="str">
            <v>-</v>
          </cell>
          <cell r="J1668" t="str">
            <v>Domestic</v>
          </cell>
          <cell r="K1668" t="str">
            <v>-</v>
          </cell>
          <cell r="L1668" t="str">
            <v>Non-Sugar</v>
          </cell>
          <cell r="O1668" t="str">
            <v>-</v>
          </cell>
          <cell r="P1668" t="str">
            <v>-</v>
          </cell>
          <cell r="Q1668" t="str">
            <v>-</v>
          </cell>
          <cell r="R1668" t="str">
            <v>-</v>
          </cell>
          <cell r="T1668" t="str">
            <v>-</v>
          </cell>
          <cell r="U1668" t="str">
            <v>-</v>
          </cell>
          <cell r="W1668" t="str">
            <v>-</v>
          </cell>
        </row>
        <row r="1669">
          <cell r="F1669" t="str">
            <v>KHOR01M038</v>
          </cell>
          <cell r="G1669" t="str">
            <v>MAA MANGLA FLOUR MILLS (P) LTD. PO-JANLA</v>
          </cell>
          <cell r="H1669" t="str">
            <v>-</v>
          </cell>
          <cell r="J1669" t="str">
            <v>Domestic</v>
          </cell>
          <cell r="P1669" t="str">
            <v>LGP</v>
          </cell>
          <cell r="Q1669" t="str">
            <v>-</v>
          </cell>
        </row>
        <row r="1670">
          <cell r="F1670" t="str">
            <v>DHAR01M054</v>
          </cell>
          <cell r="G1670" t="str">
            <v>MAAREWA SUGARS PVT. LTD. (Maheshwari Group)</v>
          </cell>
          <cell r="H1670">
            <v>2018</v>
          </cell>
          <cell r="J1670" t="str">
            <v>Domestic</v>
          </cell>
          <cell r="K1670" t="str">
            <v>Sugar</v>
          </cell>
          <cell r="L1670" t="str">
            <v>Sugar</v>
          </cell>
          <cell r="M1670" t="str">
            <v>End User</v>
          </cell>
          <cell r="O1670" t="str">
            <v>-</v>
          </cell>
          <cell r="P1670" t="str">
            <v>HO</v>
          </cell>
          <cell r="Q1670" t="str">
            <v>-</v>
          </cell>
          <cell r="T1670" t="str">
            <v>-</v>
          </cell>
          <cell r="U1670" t="str">
            <v>23-24</v>
          </cell>
          <cell r="W1670">
            <v>45285</v>
          </cell>
        </row>
        <row r="1671">
          <cell r="F1671" t="str">
            <v>GRND01M091</v>
          </cell>
          <cell r="G1671" t="str">
            <v>MACLEAN ENGINEERING PROJECTS</v>
          </cell>
          <cell r="H1671" t="str">
            <v>-</v>
          </cell>
          <cell r="J1671" t="str">
            <v>Domestic</v>
          </cell>
          <cell r="K1671" t="str">
            <v>-</v>
          </cell>
          <cell r="L1671" t="str">
            <v>Non-Sugar</v>
          </cell>
          <cell r="O1671" t="str">
            <v>-</v>
          </cell>
          <cell r="P1671" t="str">
            <v>-</v>
          </cell>
          <cell r="Q1671" t="str">
            <v>-</v>
          </cell>
          <cell r="R1671" t="str">
            <v>-</v>
          </cell>
          <cell r="T1671" t="str">
            <v>-</v>
          </cell>
          <cell r="U1671" t="str">
            <v>-</v>
          </cell>
          <cell r="W1671" t="str">
            <v>-</v>
          </cell>
        </row>
        <row r="1672">
          <cell r="F1672" t="str">
            <v>MUMB01M002</v>
          </cell>
          <cell r="G1672" t="str">
            <v>MACRO MACHINERY &amp; INDUSTRIAL - SUPPLY CORP.</v>
          </cell>
          <cell r="H1672" t="str">
            <v>-</v>
          </cell>
          <cell r="J1672" t="str">
            <v>Domestic</v>
          </cell>
          <cell r="K1672" t="str">
            <v>-</v>
          </cell>
          <cell r="L1672" t="str">
            <v>Non-Sugar</v>
          </cell>
          <cell r="O1672" t="str">
            <v>-</v>
          </cell>
          <cell r="P1672" t="str">
            <v>-</v>
          </cell>
          <cell r="Q1672" t="str">
            <v>-</v>
          </cell>
          <cell r="R1672" t="str">
            <v>-</v>
          </cell>
          <cell r="T1672" t="str">
            <v>-</v>
          </cell>
          <cell r="U1672" t="str">
            <v>-</v>
          </cell>
          <cell r="W1672" t="str">
            <v>-</v>
          </cell>
        </row>
        <row r="1673">
          <cell r="F1673" t="str">
            <v>PUNE01M105</v>
          </cell>
          <cell r="G1673" t="str">
            <v>Macsen Laboratories Manufacture of fine Chemicals &amp; Pharmaceuticals</v>
          </cell>
          <cell r="H1673" t="str">
            <v>-</v>
          </cell>
          <cell r="J1673" t="str">
            <v>Domestic</v>
          </cell>
          <cell r="K1673" t="str">
            <v>CHEMICAL</v>
          </cell>
          <cell r="L1673" t="str">
            <v>Non-Sugar</v>
          </cell>
          <cell r="M1673" t="str">
            <v>End User</v>
          </cell>
          <cell r="O1673" t="str">
            <v>-</v>
          </cell>
          <cell r="P1673" t="str">
            <v>-</v>
          </cell>
          <cell r="Q1673" t="str">
            <v>-</v>
          </cell>
          <cell r="R1673" t="str">
            <v>-</v>
          </cell>
          <cell r="T1673" t="str">
            <v>-</v>
          </cell>
          <cell r="U1673" t="str">
            <v>-</v>
          </cell>
          <cell r="W1673" t="str">
            <v>-</v>
          </cell>
        </row>
        <row r="1674">
          <cell r="F1674" t="str">
            <v>PUNE1M105</v>
          </cell>
          <cell r="G1674" t="str">
            <v>Macsen Laboratories Manufacture of fine Chemicals &amp; Pharmaceuticals</v>
          </cell>
          <cell r="H1674" t="str">
            <v>-</v>
          </cell>
          <cell r="J1674" t="str">
            <v>Domestic</v>
          </cell>
          <cell r="P1674" t="str">
            <v>-</v>
          </cell>
          <cell r="Q1674" t="str">
            <v>-</v>
          </cell>
        </row>
        <row r="1675">
          <cell r="F1675" t="str">
            <v>MUMB01M049</v>
          </cell>
          <cell r="G1675" t="str">
            <v>MADAN TRANS POWER</v>
          </cell>
          <cell r="H1675" t="str">
            <v>-</v>
          </cell>
          <cell r="J1675" t="str">
            <v>Domestic</v>
          </cell>
          <cell r="K1675" t="str">
            <v>-</v>
          </cell>
          <cell r="L1675" t="str">
            <v>Non-Sugar</v>
          </cell>
          <cell r="O1675" t="str">
            <v>-</v>
          </cell>
          <cell r="P1675" t="str">
            <v>-</v>
          </cell>
          <cell r="Q1675" t="str">
            <v>-</v>
          </cell>
          <cell r="R1675" t="str">
            <v>-</v>
          </cell>
          <cell r="T1675" t="str">
            <v>-</v>
          </cell>
          <cell r="U1675" t="str">
            <v>-</v>
          </cell>
          <cell r="W1675" t="str">
            <v>-</v>
          </cell>
        </row>
        <row r="1676">
          <cell r="F1676" t="str">
            <v>HYDE01M143</v>
          </cell>
          <cell r="G1676" t="str">
            <v>MAGNUM ENTERPRICES</v>
          </cell>
          <cell r="H1676" t="str">
            <v>-</v>
          </cell>
          <cell r="J1676" t="str">
            <v>Domestic</v>
          </cell>
          <cell r="K1676" t="str">
            <v>-</v>
          </cell>
          <cell r="L1676" t="str">
            <v>Non-Sugar</v>
          </cell>
          <cell r="O1676" t="str">
            <v>-</v>
          </cell>
          <cell r="P1676" t="str">
            <v>-</v>
          </cell>
          <cell r="Q1676" t="str">
            <v>-</v>
          </cell>
          <cell r="R1676" t="str">
            <v>-</v>
          </cell>
          <cell r="T1676" t="str">
            <v>-</v>
          </cell>
          <cell r="U1676" t="str">
            <v>-</v>
          </cell>
          <cell r="W1676" t="str">
            <v>-</v>
          </cell>
        </row>
        <row r="1677">
          <cell r="F1677" t="str">
            <v>KOLH01M047</v>
          </cell>
          <cell r="G1677" t="str">
            <v>MAHADIK SUAGR &amp; AGRO PRODUCTS LTD. (RELIABLE SUGAR &amp; POWERS LTD)</v>
          </cell>
          <cell r="H1677" t="str">
            <v>-</v>
          </cell>
          <cell r="J1677" t="str">
            <v>Domestic</v>
          </cell>
          <cell r="K1677" t="str">
            <v>Sugar</v>
          </cell>
          <cell r="M1677" t="str">
            <v>End User</v>
          </cell>
          <cell r="O1677" t="str">
            <v>-</v>
          </cell>
          <cell r="P1677" t="str">
            <v>-</v>
          </cell>
          <cell r="Q1677" t="str">
            <v>-</v>
          </cell>
          <cell r="R1677" t="str">
            <v>-</v>
          </cell>
          <cell r="T1677" t="str">
            <v>-</v>
          </cell>
          <cell r="W1677" t="str">
            <v>-</v>
          </cell>
        </row>
        <row r="1678">
          <cell r="F1678" t="str">
            <v>KOLA01M036</v>
          </cell>
          <cell r="G1678" t="str">
            <v>MAHADIK SUGAR &amp; AGRO PRODUCTS LTD. PANORI</v>
          </cell>
          <cell r="H1678">
            <v>2015</v>
          </cell>
          <cell r="J1678" t="str">
            <v>Domestic</v>
          </cell>
          <cell r="K1678" t="str">
            <v>Sugar</v>
          </cell>
          <cell r="M1678" t="str">
            <v>End User</v>
          </cell>
          <cell r="O1678" t="str">
            <v>-</v>
          </cell>
          <cell r="P1678" t="str">
            <v>-</v>
          </cell>
          <cell r="Q1678" t="str">
            <v>-</v>
          </cell>
          <cell r="R1678" t="str">
            <v>-</v>
          </cell>
          <cell r="T1678" t="str">
            <v>-</v>
          </cell>
          <cell r="W1678" t="str">
            <v>-</v>
          </cell>
        </row>
        <row r="1679">
          <cell r="F1679" t="str">
            <v>KAPU01M060</v>
          </cell>
          <cell r="G1679" t="str">
            <v>MAHAJAN MOLASSES COMPANY</v>
          </cell>
          <cell r="H1679" t="str">
            <v>-</v>
          </cell>
          <cell r="J1679" t="str">
            <v>Domestic</v>
          </cell>
          <cell r="K1679" t="str">
            <v>-</v>
          </cell>
          <cell r="L1679" t="str">
            <v>Non-Sugar</v>
          </cell>
          <cell r="O1679" t="str">
            <v>-</v>
          </cell>
          <cell r="P1679" t="str">
            <v>-</v>
          </cell>
          <cell r="Q1679" t="str">
            <v>-</v>
          </cell>
          <cell r="R1679" t="str">
            <v>-</v>
          </cell>
          <cell r="T1679" t="str">
            <v>-</v>
          </cell>
          <cell r="U1679" t="str">
            <v>-</v>
          </cell>
          <cell r="W1679" t="str">
            <v>-</v>
          </cell>
        </row>
        <row r="1680">
          <cell r="F1680" t="str">
            <v>INDR01M151</v>
          </cell>
          <cell r="G1680" t="str">
            <v>MAHAK ENTERPRISES</v>
          </cell>
          <cell r="H1680" t="str">
            <v>-</v>
          </cell>
          <cell r="J1680" t="str">
            <v>Domestic</v>
          </cell>
          <cell r="K1680" t="str">
            <v>-</v>
          </cell>
          <cell r="L1680" t="str">
            <v>Non-Sugar</v>
          </cell>
          <cell r="O1680" t="str">
            <v>-</v>
          </cell>
          <cell r="P1680" t="str">
            <v>-</v>
          </cell>
          <cell r="Q1680" t="str">
            <v>-</v>
          </cell>
          <cell r="R1680" t="str">
            <v>-</v>
          </cell>
          <cell r="T1680" t="str">
            <v>-</v>
          </cell>
          <cell r="U1680" t="str">
            <v>-</v>
          </cell>
          <cell r="W1680" t="str">
            <v>-</v>
          </cell>
        </row>
        <row r="1681">
          <cell r="F1681" t="str">
            <v>PATI01M103</v>
          </cell>
          <cell r="G1681" t="str">
            <v>MAHALAXMI PAPER MILL-MUZAFFARNAGAR</v>
          </cell>
          <cell r="H1681" t="str">
            <v>-</v>
          </cell>
          <cell r="J1681" t="str">
            <v>Domestic</v>
          </cell>
          <cell r="K1681" t="str">
            <v>Paper</v>
          </cell>
          <cell r="L1681" t="str">
            <v>Non-Sugar</v>
          </cell>
          <cell r="M1681" t="str">
            <v>End User</v>
          </cell>
          <cell r="O1681" t="str">
            <v>-</v>
          </cell>
          <cell r="P1681" t="str">
            <v>-</v>
          </cell>
          <cell r="Q1681" t="str">
            <v>-</v>
          </cell>
          <cell r="R1681" t="str">
            <v>-</v>
          </cell>
          <cell r="T1681" t="str">
            <v>-</v>
          </cell>
          <cell r="U1681" t="str">
            <v>-</v>
          </cell>
          <cell r="W1681" t="str">
            <v>-</v>
          </cell>
        </row>
        <row r="1682">
          <cell r="F1682" t="str">
            <v>PARB01M057</v>
          </cell>
          <cell r="G1682" t="str">
            <v>MAHARASHTRA SHETKARI SUGAR LTD.</v>
          </cell>
          <cell r="H1682" t="str">
            <v>-</v>
          </cell>
          <cell r="J1682" t="str">
            <v>Domestic</v>
          </cell>
          <cell r="K1682" t="str">
            <v>Sugar</v>
          </cell>
          <cell r="M1682" t="str">
            <v>End User</v>
          </cell>
          <cell r="O1682" t="str">
            <v>-</v>
          </cell>
          <cell r="P1682" t="str">
            <v>-</v>
          </cell>
          <cell r="Q1682" t="str">
            <v>-</v>
          </cell>
          <cell r="R1682" t="str">
            <v>-</v>
          </cell>
          <cell r="T1682" t="str">
            <v>-</v>
          </cell>
          <cell r="W1682" t="str">
            <v>-</v>
          </cell>
        </row>
        <row r="1683">
          <cell r="F1683" t="str">
            <v>PARB01M023</v>
          </cell>
          <cell r="G1683" t="str">
            <v>MAHARASHTRA SHETKARI SUGAR LTD.</v>
          </cell>
          <cell r="H1683">
            <v>2014</v>
          </cell>
          <cell r="J1683" t="str">
            <v>Domestic</v>
          </cell>
          <cell r="K1683" t="str">
            <v>Sugar</v>
          </cell>
          <cell r="M1683" t="str">
            <v>End User</v>
          </cell>
          <cell r="O1683" t="str">
            <v>-</v>
          </cell>
          <cell r="P1683" t="str">
            <v>-</v>
          </cell>
          <cell r="Q1683" t="str">
            <v>-</v>
          </cell>
          <cell r="R1683" t="str">
            <v>-</v>
          </cell>
          <cell r="T1683" t="str">
            <v>-</v>
          </cell>
          <cell r="W1683" t="str">
            <v>-</v>
          </cell>
        </row>
        <row r="1684">
          <cell r="F1684" t="str">
            <v>PARB01M022</v>
          </cell>
          <cell r="G1684" t="str">
            <v>MAHARASTRA SHETKARI SUGAR LTD.</v>
          </cell>
          <cell r="H1684" t="str">
            <v>-</v>
          </cell>
          <cell r="J1684" t="str">
            <v>Domestic</v>
          </cell>
          <cell r="K1684" t="str">
            <v>Sugar</v>
          </cell>
          <cell r="M1684" t="str">
            <v>End User</v>
          </cell>
          <cell r="O1684" t="str">
            <v>-</v>
          </cell>
          <cell r="P1684" t="str">
            <v>-</v>
          </cell>
          <cell r="Q1684" t="str">
            <v>-</v>
          </cell>
          <cell r="R1684" t="str">
            <v>-</v>
          </cell>
          <cell r="T1684" t="str">
            <v>-</v>
          </cell>
          <cell r="W1684" t="str">
            <v>-</v>
          </cell>
        </row>
        <row r="1685">
          <cell r="F1685" t="str">
            <v>GHZB01M067</v>
          </cell>
          <cell r="G1685" t="str">
            <v>KUSHWAHA INDUSTRIES</v>
          </cell>
          <cell r="H1685" t="str">
            <v>-</v>
          </cell>
          <cell r="J1685" t="str">
            <v>Domestic</v>
          </cell>
          <cell r="K1685" t="str">
            <v>-</v>
          </cell>
          <cell r="L1685" t="str">
            <v>Non-Sugar</v>
          </cell>
          <cell r="O1685" t="str">
            <v>-</v>
          </cell>
          <cell r="P1685" t="str">
            <v>-</v>
          </cell>
          <cell r="Q1685" t="str">
            <v>-</v>
          </cell>
          <cell r="R1685" t="str">
            <v>-</v>
          </cell>
          <cell r="T1685" t="str">
            <v>-</v>
          </cell>
          <cell r="U1685" t="str">
            <v>-</v>
          </cell>
          <cell r="W1685" t="str">
            <v>-</v>
          </cell>
        </row>
        <row r="1686">
          <cell r="F1686" t="str">
            <v>PATA01M065</v>
          </cell>
          <cell r="G1686" t="str">
            <v>MAHESHWARI PAPER MILLS</v>
          </cell>
          <cell r="H1686" t="str">
            <v>-</v>
          </cell>
          <cell r="J1686" t="str">
            <v>Domestic</v>
          </cell>
          <cell r="K1686" t="str">
            <v>Paper</v>
          </cell>
          <cell r="L1686" t="str">
            <v>Non-Sugar</v>
          </cell>
          <cell r="M1686" t="str">
            <v>End User</v>
          </cell>
          <cell r="O1686" t="str">
            <v>-</v>
          </cell>
          <cell r="P1686" t="str">
            <v>-</v>
          </cell>
          <cell r="Q1686" t="str">
            <v>-</v>
          </cell>
          <cell r="R1686" t="str">
            <v>-</v>
          </cell>
          <cell r="T1686" t="str">
            <v>-</v>
          </cell>
          <cell r="U1686" t="str">
            <v>-</v>
          </cell>
          <cell r="W1686" t="str">
            <v>-</v>
          </cell>
        </row>
        <row r="1687">
          <cell r="F1687" t="str">
            <v>ALAH01M122</v>
          </cell>
          <cell r="G1687" t="str">
            <v>MAHROTRA REFRIGERATION PRAYAGRAJ</v>
          </cell>
          <cell r="H1687" t="str">
            <v>-</v>
          </cell>
          <cell r="J1687" t="str">
            <v>Domestic</v>
          </cell>
          <cell r="K1687" t="str">
            <v>-</v>
          </cell>
          <cell r="L1687" t="str">
            <v>Non-Sugar</v>
          </cell>
          <cell r="O1687" t="str">
            <v>-</v>
          </cell>
          <cell r="P1687" t="str">
            <v>-</v>
          </cell>
          <cell r="Q1687" t="str">
            <v>-</v>
          </cell>
          <cell r="R1687" t="str">
            <v>-</v>
          </cell>
          <cell r="T1687" t="str">
            <v>-</v>
          </cell>
          <cell r="U1687" t="str">
            <v>-</v>
          </cell>
          <cell r="W1687" t="str">
            <v>-</v>
          </cell>
        </row>
        <row r="1688">
          <cell r="F1688" t="str">
            <v>AHME01M123</v>
          </cell>
          <cell r="G1688" t="str">
            <v>MAJOR AGRO</v>
          </cell>
          <cell r="H1688" t="str">
            <v>-</v>
          </cell>
          <cell r="J1688" t="str">
            <v>Domestic</v>
          </cell>
          <cell r="K1688" t="str">
            <v>-</v>
          </cell>
          <cell r="L1688" t="str">
            <v>Non-Sugar</v>
          </cell>
          <cell r="O1688" t="str">
            <v>-</v>
          </cell>
          <cell r="P1688" t="str">
            <v>-</v>
          </cell>
          <cell r="Q1688" t="str">
            <v>-</v>
          </cell>
          <cell r="R1688" t="str">
            <v>-</v>
          </cell>
          <cell r="T1688" t="str">
            <v>-</v>
          </cell>
          <cell r="U1688" t="str">
            <v>-</v>
          </cell>
          <cell r="W1688" t="str">
            <v>-</v>
          </cell>
        </row>
        <row r="1689">
          <cell r="F1689" t="str">
            <v>GUJA01M153</v>
          </cell>
          <cell r="G1689" t="str">
            <v>MAKSON MACHINERY PVT.LTD.</v>
          </cell>
          <cell r="H1689" t="str">
            <v>-</v>
          </cell>
          <cell r="J1689" t="str">
            <v>Domestic</v>
          </cell>
          <cell r="K1689" t="str">
            <v>-</v>
          </cell>
          <cell r="L1689" t="str">
            <v>Non-Sugar</v>
          </cell>
          <cell r="O1689" t="str">
            <v>-</v>
          </cell>
          <cell r="P1689" t="str">
            <v>-</v>
          </cell>
          <cell r="Q1689" t="str">
            <v>-</v>
          </cell>
          <cell r="R1689" t="str">
            <v>-</v>
          </cell>
          <cell r="T1689" t="str">
            <v>-</v>
          </cell>
          <cell r="U1689" t="str">
            <v>-</v>
          </cell>
          <cell r="W1689" t="str">
            <v>-</v>
          </cell>
        </row>
        <row r="1690">
          <cell r="F1690" t="str">
            <v>ANGU01M145</v>
          </cell>
          <cell r="G1690" t="str">
            <v>MALLYAGIRI DAIRY</v>
          </cell>
          <cell r="H1690" t="str">
            <v>-</v>
          </cell>
          <cell r="J1690" t="str">
            <v>Domestic</v>
          </cell>
          <cell r="K1690" t="str">
            <v>Dairy</v>
          </cell>
          <cell r="L1690" t="str">
            <v>Non-Sugar</v>
          </cell>
          <cell r="M1690" t="str">
            <v>End User</v>
          </cell>
          <cell r="O1690" t="str">
            <v>-</v>
          </cell>
          <cell r="P1690" t="str">
            <v>-</v>
          </cell>
          <cell r="Q1690" t="str">
            <v>-</v>
          </cell>
          <cell r="R1690" t="str">
            <v>-</v>
          </cell>
          <cell r="T1690" t="str">
            <v>-</v>
          </cell>
          <cell r="U1690" t="str">
            <v>-</v>
          </cell>
          <cell r="W1690" t="str">
            <v>-</v>
          </cell>
        </row>
        <row r="1691">
          <cell r="F1691" t="str">
            <v>BANG01M135</v>
          </cell>
          <cell r="G1691" t="str">
            <v>MALUR INDUSTRIAL</v>
          </cell>
          <cell r="H1691" t="str">
            <v>-</v>
          </cell>
          <cell r="J1691" t="str">
            <v>Domestic</v>
          </cell>
          <cell r="K1691" t="str">
            <v>-</v>
          </cell>
          <cell r="L1691" t="str">
            <v>Non-Sugar</v>
          </cell>
          <cell r="O1691" t="str">
            <v>-</v>
          </cell>
          <cell r="P1691" t="str">
            <v>-</v>
          </cell>
          <cell r="Q1691" t="str">
            <v>-</v>
          </cell>
          <cell r="R1691" t="str">
            <v>-</v>
          </cell>
          <cell r="T1691" t="str">
            <v>-</v>
          </cell>
          <cell r="U1691" t="str">
            <v>-</v>
          </cell>
          <cell r="W1691" t="str">
            <v>-</v>
          </cell>
        </row>
        <row r="1692">
          <cell r="F1692" t="str">
            <v>BIJA01M027</v>
          </cell>
          <cell r="G1692" t="str">
            <v>MANALI SUGARS LIMITED (Renamed to Sri Sai Basava sugars_S432)</v>
          </cell>
          <cell r="H1692">
            <v>2013</v>
          </cell>
          <cell r="J1692" t="str">
            <v>Domestic</v>
          </cell>
          <cell r="K1692" t="str">
            <v>Sugar</v>
          </cell>
          <cell r="M1692" t="str">
            <v>End User</v>
          </cell>
          <cell r="O1692">
            <v>3500</v>
          </cell>
          <cell r="P1692" t="str">
            <v>-</v>
          </cell>
          <cell r="Q1692" t="str">
            <v>-</v>
          </cell>
          <cell r="R1692" t="str">
            <v>-</v>
          </cell>
          <cell r="T1692" t="str">
            <v>-</v>
          </cell>
          <cell r="W1692" t="str">
            <v>-</v>
          </cell>
        </row>
        <row r="1693">
          <cell r="F1693" t="str">
            <v>SANG01M018</v>
          </cell>
          <cell r="G1693" t="str">
            <v>MANGANGA SAHAKARI SAKHAR KARKHANA LTD.</v>
          </cell>
          <cell r="H1693">
            <v>2013</v>
          </cell>
          <cell r="J1693" t="str">
            <v>Domestic</v>
          </cell>
          <cell r="K1693" t="str">
            <v>Sugar</v>
          </cell>
          <cell r="M1693" t="str">
            <v>End User</v>
          </cell>
          <cell r="O1693">
            <v>2500</v>
          </cell>
          <cell r="P1693" t="str">
            <v>-</v>
          </cell>
          <cell r="Q1693" t="str">
            <v>-</v>
          </cell>
          <cell r="R1693" t="str">
            <v>-</v>
          </cell>
          <cell r="T1693" t="str">
            <v>TOUR-6 (SANGLI)</v>
          </cell>
          <cell r="U1693" t="str">
            <v>23-24</v>
          </cell>
          <cell r="W1693">
            <v>45155</v>
          </cell>
        </row>
        <row r="1694">
          <cell r="F1694" t="str">
            <v>VIET01M129</v>
          </cell>
          <cell r="G1694" t="str">
            <v>MANJANATH CATTLE FEED</v>
          </cell>
          <cell r="H1694" t="str">
            <v>-</v>
          </cell>
          <cell r="J1694" t="str">
            <v>Export</v>
          </cell>
          <cell r="K1694" t="str">
            <v>Cattlefeed</v>
          </cell>
          <cell r="L1694" t="str">
            <v>Non-Sugar</v>
          </cell>
          <cell r="M1694" t="str">
            <v>End User</v>
          </cell>
          <cell r="O1694" t="str">
            <v>-</v>
          </cell>
          <cell r="P1694" t="str">
            <v>-</v>
          </cell>
          <cell r="Q1694" t="str">
            <v>VG</v>
          </cell>
          <cell r="R1694" t="str">
            <v>-</v>
          </cell>
          <cell r="T1694" t="str">
            <v>-</v>
          </cell>
          <cell r="U1694" t="str">
            <v>-</v>
          </cell>
          <cell r="W1694" t="str">
            <v>-</v>
          </cell>
        </row>
        <row r="1695">
          <cell r="F1695" t="str">
            <v>NANA01M050</v>
          </cell>
          <cell r="G1695" t="str">
            <v>MARIA LOUSIA MILL</v>
          </cell>
          <cell r="H1695" t="str">
            <v>-</v>
          </cell>
          <cell r="J1695" t="str">
            <v>Export</v>
          </cell>
          <cell r="K1695" t="str">
            <v>OTHERS</v>
          </cell>
          <cell r="L1695" t="str">
            <v>Non-Sugar</v>
          </cell>
          <cell r="M1695" t="str">
            <v>OEM</v>
          </cell>
          <cell r="O1695" t="str">
            <v>-</v>
          </cell>
          <cell r="P1695" t="str">
            <v>VA</v>
          </cell>
          <cell r="Q1695" t="str">
            <v>ANKUR</v>
          </cell>
        </row>
        <row r="1696">
          <cell r="F1696" t="str">
            <v>BADD01M059</v>
          </cell>
          <cell r="G1696" t="str">
            <v>MARICO LIMITED</v>
          </cell>
          <cell r="H1696" t="str">
            <v>-</v>
          </cell>
          <cell r="J1696" t="str">
            <v>Domestic</v>
          </cell>
          <cell r="K1696" t="str">
            <v>-</v>
          </cell>
          <cell r="L1696" t="str">
            <v>Non-Sugar</v>
          </cell>
          <cell r="O1696" t="str">
            <v>-</v>
          </cell>
          <cell r="P1696" t="str">
            <v>-</v>
          </cell>
          <cell r="Q1696" t="str">
            <v>-</v>
          </cell>
          <cell r="R1696" t="str">
            <v>-</v>
          </cell>
          <cell r="T1696" t="str">
            <v>-</v>
          </cell>
          <cell r="U1696" t="str">
            <v>-</v>
          </cell>
          <cell r="W1696" t="str">
            <v>-</v>
          </cell>
        </row>
        <row r="1697">
          <cell r="F1697" t="str">
            <v>KAPU01M021</v>
          </cell>
          <cell r="G1697" t="str">
            <v>MARKFED REFINED OIL AND ALCOHOL INDUSTRIES</v>
          </cell>
          <cell r="H1697">
            <v>2013</v>
          </cell>
          <cell r="J1697" t="str">
            <v>Domestic</v>
          </cell>
          <cell r="K1697" t="str">
            <v>-</v>
          </cell>
          <cell r="L1697" t="str">
            <v>Non-Sugar</v>
          </cell>
          <cell r="M1697" t="str">
            <v>End User</v>
          </cell>
          <cell r="O1697" t="str">
            <v>-</v>
          </cell>
          <cell r="P1697" t="str">
            <v>-</v>
          </cell>
          <cell r="Q1697" t="str">
            <v>-</v>
          </cell>
          <cell r="R1697" t="str">
            <v>-</v>
          </cell>
          <cell r="T1697" t="str">
            <v>-</v>
          </cell>
          <cell r="U1697" t="str">
            <v>-</v>
          </cell>
          <cell r="W1697" t="str">
            <v>-</v>
          </cell>
        </row>
        <row r="1698">
          <cell r="F1698" t="str">
            <v>SOLN01M142</v>
          </cell>
          <cell r="G1698" t="str">
            <v>MARTIN &amp; BROWN BIO SCIENCE</v>
          </cell>
          <cell r="H1698" t="str">
            <v>-</v>
          </cell>
          <cell r="J1698" t="str">
            <v>Domestic</v>
          </cell>
          <cell r="K1698" t="str">
            <v>-</v>
          </cell>
          <cell r="L1698" t="str">
            <v>Non-Sugar</v>
          </cell>
          <cell r="O1698" t="str">
            <v>-</v>
          </cell>
          <cell r="P1698" t="str">
            <v>-</v>
          </cell>
          <cell r="Q1698" t="str">
            <v>-</v>
          </cell>
          <cell r="R1698" t="str">
            <v>-</v>
          </cell>
          <cell r="T1698" t="str">
            <v>-</v>
          </cell>
          <cell r="U1698" t="str">
            <v>-</v>
          </cell>
          <cell r="W1698" t="str">
            <v>-</v>
          </cell>
        </row>
        <row r="1699">
          <cell r="F1699" t="str">
            <v>CHEN01M048</v>
          </cell>
          <cell r="G1699" t="str">
            <v>MASE EXPORTS</v>
          </cell>
          <cell r="H1699" t="str">
            <v>-</v>
          </cell>
          <cell r="J1699" t="str">
            <v>Domestic</v>
          </cell>
          <cell r="K1699" t="str">
            <v>Others</v>
          </cell>
          <cell r="L1699" t="str">
            <v>Non-Sugar</v>
          </cell>
          <cell r="P1699" t="str">
            <v>SI-GS</v>
          </cell>
          <cell r="Q1699" t="str">
            <v>SI-GS</v>
          </cell>
          <cell r="W1699" t="str">
            <v>-</v>
          </cell>
        </row>
        <row r="1700">
          <cell r="F1700" t="str">
            <v>BELG01M220</v>
          </cell>
          <cell r="G1700" t="str">
            <v>MASH MAKES (SPV One)</v>
          </cell>
          <cell r="H1700" t="str">
            <v>-</v>
          </cell>
          <cell r="J1700" t="str">
            <v>Domestic</v>
          </cell>
          <cell r="K1700" t="str">
            <v>BIOGAS</v>
          </cell>
          <cell r="L1700" t="str">
            <v>Non-Sugar</v>
          </cell>
          <cell r="M1700" t="str">
            <v>End User</v>
          </cell>
          <cell r="P1700" t="str">
            <v>WI-SV</v>
          </cell>
          <cell r="Q1700" t="str">
            <v>SUDHIR</v>
          </cell>
        </row>
        <row r="1701">
          <cell r="F1701" t="str">
            <v>NIGE01M115</v>
          </cell>
          <cell r="G1701" t="str">
            <v>MASSKANA SUGAR FACTORY</v>
          </cell>
          <cell r="H1701" t="str">
            <v>-</v>
          </cell>
          <cell r="J1701" t="str">
            <v>Export</v>
          </cell>
          <cell r="K1701" t="str">
            <v>Sugar</v>
          </cell>
          <cell r="L1701" t="str">
            <v>Sugar</v>
          </cell>
          <cell r="M1701" t="str">
            <v>End User</v>
          </cell>
          <cell r="O1701" t="str">
            <v>-</v>
          </cell>
          <cell r="P1701" t="str">
            <v>-</v>
          </cell>
          <cell r="Q1701" t="str">
            <v>-</v>
          </cell>
          <cell r="R1701" t="str">
            <v>-</v>
          </cell>
          <cell r="T1701" t="str">
            <v>-</v>
          </cell>
          <cell r="U1701" t="str">
            <v>-</v>
          </cell>
          <cell r="W1701" t="str">
            <v>-</v>
          </cell>
        </row>
        <row r="1702">
          <cell r="F1702" t="str">
            <v>SOLP01M092</v>
          </cell>
          <cell r="G1702" t="str">
            <v>MATOSHRI STONE CRUSHER</v>
          </cell>
          <cell r="H1702">
            <v>2020</v>
          </cell>
          <cell r="J1702" t="str">
            <v>Domestic</v>
          </cell>
          <cell r="K1702" t="str">
            <v>Others</v>
          </cell>
          <cell r="L1702" t="str">
            <v>Non-Sugar</v>
          </cell>
          <cell r="M1702" t="str">
            <v>End User</v>
          </cell>
          <cell r="O1702" t="str">
            <v>-</v>
          </cell>
          <cell r="P1702" t="str">
            <v>-</v>
          </cell>
          <cell r="Q1702" t="str">
            <v>-</v>
          </cell>
          <cell r="R1702" t="str">
            <v>-</v>
          </cell>
          <cell r="T1702" t="str">
            <v>-</v>
          </cell>
          <cell r="W1702" t="str">
            <v>-</v>
          </cell>
        </row>
        <row r="1703">
          <cell r="F1703" t="str">
            <v>BANG01L033</v>
          </cell>
          <cell r="G1703" t="str">
            <v>MAX PRO ENGINEERS</v>
          </cell>
          <cell r="H1703" t="str">
            <v>-</v>
          </cell>
          <cell r="J1703" t="str">
            <v>Domestic</v>
          </cell>
          <cell r="K1703" t="str">
            <v>-</v>
          </cell>
          <cell r="L1703" t="str">
            <v>Non-Sugar</v>
          </cell>
          <cell r="O1703" t="str">
            <v>-</v>
          </cell>
          <cell r="P1703" t="str">
            <v>-</v>
          </cell>
          <cell r="Q1703" t="str">
            <v>-</v>
          </cell>
          <cell r="R1703" t="str">
            <v>-</v>
          </cell>
          <cell r="T1703" t="str">
            <v>-</v>
          </cell>
          <cell r="U1703" t="str">
            <v>-</v>
          </cell>
          <cell r="W1703" t="str">
            <v>-</v>
          </cell>
        </row>
        <row r="1704">
          <cell r="F1704" t="str">
            <v>SRIL01M107</v>
          </cell>
          <cell r="G1704" t="str">
            <v>MAXMRM ENTERPRISES</v>
          </cell>
          <cell r="H1704" t="str">
            <v>-</v>
          </cell>
          <cell r="J1704" t="str">
            <v>Export</v>
          </cell>
          <cell r="K1704" t="str">
            <v>-</v>
          </cell>
          <cell r="L1704" t="str">
            <v>Non-Sugar</v>
          </cell>
          <cell r="O1704" t="str">
            <v>-</v>
          </cell>
          <cell r="P1704" t="str">
            <v>-</v>
          </cell>
          <cell r="Q1704" t="str">
            <v>-</v>
          </cell>
          <cell r="R1704" t="str">
            <v>-</v>
          </cell>
          <cell r="T1704" t="str">
            <v>-</v>
          </cell>
          <cell r="U1704" t="str">
            <v>-</v>
          </cell>
          <cell r="W1704" t="str">
            <v>-</v>
          </cell>
        </row>
        <row r="1705">
          <cell r="F1705" t="str">
            <v>GHZB01M098</v>
          </cell>
          <cell r="G1705" t="str">
            <v>MAXTECH ENGINEERING CORPORATION</v>
          </cell>
          <cell r="H1705" t="str">
            <v>-</v>
          </cell>
          <cell r="J1705" t="str">
            <v>Domestic</v>
          </cell>
          <cell r="K1705" t="str">
            <v>-</v>
          </cell>
          <cell r="L1705" t="str">
            <v>Non-Sugar</v>
          </cell>
          <cell r="O1705" t="str">
            <v>-</v>
          </cell>
          <cell r="P1705" t="str">
            <v>-</v>
          </cell>
          <cell r="Q1705" t="str">
            <v>-</v>
          </cell>
          <cell r="R1705" t="str">
            <v>-</v>
          </cell>
          <cell r="T1705" t="str">
            <v>-</v>
          </cell>
          <cell r="U1705" t="str">
            <v>-</v>
          </cell>
          <cell r="W1705" t="str">
            <v>-</v>
          </cell>
        </row>
        <row r="1706">
          <cell r="F1706" t="str">
            <v>MUMB01M131</v>
          </cell>
          <cell r="G1706" t="str">
            <v>MAZAHON DOCK SHIPBUILDERS LTD</v>
          </cell>
          <cell r="H1706" t="str">
            <v>-</v>
          </cell>
          <cell r="J1706" t="str">
            <v>Domestic</v>
          </cell>
          <cell r="K1706" t="str">
            <v>-</v>
          </cell>
          <cell r="L1706" t="str">
            <v>Non-Sugar</v>
          </cell>
          <cell r="O1706" t="str">
            <v>-</v>
          </cell>
          <cell r="P1706" t="str">
            <v>-</v>
          </cell>
          <cell r="Q1706" t="str">
            <v>-</v>
          </cell>
          <cell r="R1706" t="str">
            <v>-</v>
          </cell>
          <cell r="T1706" t="str">
            <v>-</v>
          </cell>
          <cell r="U1706" t="str">
            <v>-</v>
          </cell>
          <cell r="W1706" t="str">
            <v>-</v>
          </cell>
        </row>
        <row r="1707">
          <cell r="F1707" t="str">
            <v>ETHI01M030</v>
          </cell>
          <cell r="G1707" t="str">
            <v>METAHARA SUGAR FACTORY</v>
          </cell>
          <cell r="H1707" t="str">
            <v>-</v>
          </cell>
          <cell r="J1707" t="str">
            <v>Export</v>
          </cell>
          <cell r="P1707" t="str">
            <v>MRK</v>
          </cell>
          <cell r="Q1707" t="str">
            <v>-</v>
          </cell>
        </row>
        <row r="1708">
          <cell r="F1708" t="str">
            <v>VISA01M148</v>
          </cell>
          <cell r="G1708" t="str">
            <v>METAL AGE MACHINERIES</v>
          </cell>
          <cell r="H1708" t="str">
            <v>-</v>
          </cell>
          <cell r="J1708" t="str">
            <v>Domestic</v>
          </cell>
          <cell r="K1708" t="str">
            <v>-</v>
          </cell>
          <cell r="L1708" t="str">
            <v>Non-Sugar</v>
          </cell>
          <cell r="O1708" t="str">
            <v>-</v>
          </cell>
          <cell r="P1708" t="str">
            <v>-</v>
          </cell>
          <cell r="Q1708" t="str">
            <v>-</v>
          </cell>
          <cell r="R1708" t="str">
            <v>-</v>
          </cell>
          <cell r="T1708" t="str">
            <v>-</v>
          </cell>
          <cell r="U1708" t="str">
            <v>-</v>
          </cell>
          <cell r="W1708" t="str">
            <v>-</v>
          </cell>
        </row>
        <row r="1709">
          <cell r="F1709" t="str">
            <v>NODA01M144</v>
          </cell>
          <cell r="G1709" t="str">
            <v>METERING INDIA</v>
          </cell>
          <cell r="H1709" t="str">
            <v>-</v>
          </cell>
          <cell r="J1709" t="str">
            <v>Domestic</v>
          </cell>
          <cell r="K1709" t="str">
            <v>-</v>
          </cell>
          <cell r="L1709" t="str">
            <v>Non-Sugar</v>
          </cell>
          <cell r="O1709" t="str">
            <v>-</v>
          </cell>
          <cell r="P1709" t="str">
            <v>-</v>
          </cell>
          <cell r="Q1709" t="str">
            <v>-</v>
          </cell>
          <cell r="R1709" t="str">
            <v>-</v>
          </cell>
          <cell r="T1709" t="str">
            <v>-</v>
          </cell>
          <cell r="U1709" t="str">
            <v>-</v>
          </cell>
          <cell r="W1709" t="str">
            <v>-</v>
          </cell>
        </row>
        <row r="1710">
          <cell r="F1710" t="str">
            <v>GUJA01M147</v>
          </cell>
          <cell r="G1710" t="str">
            <v>MICRO ENVIRO WATER SOLUTION</v>
          </cell>
          <cell r="H1710" t="str">
            <v>-</v>
          </cell>
          <cell r="J1710" t="str">
            <v>Domestic</v>
          </cell>
          <cell r="K1710" t="str">
            <v>-</v>
          </cell>
          <cell r="L1710" t="str">
            <v>Non-Sugar</v>
          </cell>
          <cell r="O1710" t="str">
            <v>-</v>
          </cell>
          <cell r="P1710" t="str">
            <v>-</v>
          </cell>
          <cell r="Q1710" t="str">
            <v>-</v>
          </cell>
          <cell r="R1710" t="str">
            <v>-</v>
          </cell>
          <cell r="T1710" t="str">
            <v>-</v>
          </cell>
          <cell r="U1710" t="str">
            <v>-</v>
          </cell>
          <cell r="W1710" t="str">
            <v>-</v>
          </cell>
        </row>
        <row r="1711">
          <cell r="F1711" t="str">
            <v>LA M01M040</v>
          </cell>
          <cell r="G1711" t="str">
            <v>MINERA BATEAS SAC</v>
          </cell>
          <cell r="H1711" t="str">
            <v>-</v>
          </cell>
          <cell r="J1711" t="str">
            <v>Export</v>
          </cell>
          <cell r="K1711" t="str">
            <v>-</v>
          </cell>
          <cell r="L1711" t="str">
            <v>Non-Sugar</v>
          </cell>
          <cell r="O1711" t="str">
            <v>-</v>
          </cell>
          <cell r="P1711" t="str">
            <v>-</v>
          </cell>
          <cell r="Q1711" t="str">
            <v>-</v>
          </cell>
          <cell r="R1711" t="str">
            <v>-</v>
          </cell>
          <cell r="T1711" t="str">
            <v>-</v>
          </cell>
          <cell r="U1711" t="str">
            <v>-</v>
          </cell>
          <cell r="W1711" t="str">
            <v>-</v>
          </cell>
        </row>
        <row r="1712">
          <cell r="F1712" t="str">
            <v>PUNE01M133</v>
          </cell>
          <cell r="G1712" t="str">
            <v>MINIMAC SYSTEMS PVT. LTD.</v>
          </cell>
          <cell r="H1712" t="str">
            <v>-</v>
          </cell>
          <cell r="J1712" t="str">
            <v>Domestic</v>
          </cell>
          <cell r="K1712" t="str">
            <v>-</v>
          </cell>
          <cell r="L1712" t="str">
            <v>Non-Sugar</v>
          </cell>
          <cell r="O1712" t="str">
            <v>-</v>
          </cell>
          <cell r="P1712" t="str">
            <v>-</v>
          </cell>
          <cell r="Q1712" t="str">
            <v>-</v>
          </cell>
          <cell r="R1712" t="str">
            <v>-</v>
          </cell>
          <cell r="T1712" t="str">
            <v>-</v>
          </cell>
          <cell r="U1712" t="str">
            <v>-</v>
          </cell>
          <cell r="W1712" t="str">
            <v>-</v>
          </cell>
        </row>
        <row r="1713">
          <cell r="F1713" t="str">
            <v>TANZ01M132</v>
          </cell>
          <cell r="G1713" t="str">
            <v>MIPSOMAN OMAN</v>
          </cell>
          <cell r="H1713" t="str">
            <v>-</v>
          </cell>
          <cell r="J1713" t="str">
            <v>Export</v>
          </cell>
          <cell r="K1713" t="str">
            <v>-</v>
          </cell>
          <cell r="L1713" t="str">
            <v>Non-Sugar</v>
          </cell>
          <cell r="O1713" t="str">
            <v>-</v>
          </cell>
          <cell r="P1713" t="str">
            <v>-</v>
          </cell>
          <cell r="Q1713" t="str">
            <v>-</v>
          </cell>
          <cell r="R1713" t="str">
            <v>-</v>
          </cell>
          <cell r="T1713" t="str">
            <v>-</v>
          </cell>
          <cell r="U1713" t="str">
            <v>-</v>
          </cell>
          <cell r="W1713" t="str">
            <v>-</v>
          </cell>
        </row>
        <row r="1714">
          <cell r="F1714" t="str">
            <v>MUMB01M053</v>
          </cell>
          <cell r="G1714" t="str">
            <v>MIRANDA AUTOMATION PVT LTD.</v>
          </cell>
          <cell r="H1714" t="str">
            <v>-</v>
          </cell>
          <cell r="J1714" t="str">
            <v>Domestic</v>
          </cell>
          <cell r="K1714" t="str">
            <v>-</v>
          </cell>
          <cell r="L1714" t="str">
            <v>Non-Sugar</v>
          </cell>
          <cell r="O1714" t="str">
            <v>-</v>
          </cell>
          <cell r="P1714" t="str">
            <v>-</v>
          </cell>
          <cell r="Q1714" t="str">
            <v>-</v>
          </cell>
          <cell r="R1714" t="str">
            <v>-</v>
          </cell>
          <cell r="T1714" t="str">
            <v>-</v>
          </cell>
          <cell r="U1714" t="str">
            <v>-</v>
          </cell>
          <cell r="W1714" t="str">
            <v>-</v>
          </cell>
        </row>
        <row r="1715">
          <cell r="F1715" t="str">
            <v>PUNE01M064</v>
          </cell>
          <cell r="G1715" t="str">
            <v>MIST RESSONANCE ENGG PVT LTD</v>
          </cell>
          <cell r="H1715" t="str">
            <v>-</v>
          </cell>
          <cell r="J1715" t="str">
            <v>Domestic</v>
          </cell>
          <cell r="K1715" t="str">
            <v>-</v>
          </cell>
          <cell r="L1715" t="str">
            <v>Non-Sugar</v>
          </cell>
          <cell r="O1715" t="str">
            <v>-</v>
          </cell>
          <cell r="P1715" t="str">
            <v>-</v>
          </cell>
          <cell r="Q1715" t="str">
            <v>-</v>
          </cell>
          <cell r="R1715" t="str">
            <v>-</v>
          </cell>
          <cell r="T1715" t="str">
            <v>-</v>
          </cell>
          <cell r="U1715" t="str">
            <v>-</v>
          </cell>
          <cell r="W1715" t="str">
            <v>-</v>
          </cell>
        </row>
        <row r="1716">
          <cell r="F1716" t="str">
            <v>UGAN01M044</v>
          </cell>
          <cell r="G1716" t="str">
            <v>MIXER CHILE LTD</v>
          </cell>
          <cell r="H1716" t="str">
            <v>-</v>
          </cell>
          <cell r="J1716" t="str">
            <v>Export</v>
          </cell>
          <cell r="K1716" t="str">
            <v>-</v>
          </cell>
          <cell r="L1716" t="str">
            <v>Non-Sugar</v>
          </cell>
          <cell r="O1716" t="str">
            <v>-</v>
          </cell>
          <cell r="P1716" t="str">
            <v>-</v>
          </cell>
          <cell r="Q1716" t="str">
            <v>-</v>
          </cell>
          <cell r="R1716" t="str">
            <v>-</v>
          </cell>
          <cell r="T1716" t="str">
            <v>-</v>
          </cell>
          <cell r="U1716" t="str">
            <v>-</v>
          </cell>
          <cell r="W1716" t="str">
            <v>-</v>
          </cell>
        </row>
        <row r="1717">
          <cell r="F1717" t="str">
            <v>AHME01M011</v>
          </cell>
          <cell r="G1717" t="str">
            <v>MODERN DENIM LIMITED</v>
          </cell>
          <cell r="H1717">
            <v>2017</v>
          </cell>
          <cell r="J1717" t="str">
            <v>Domestic</v>
          </cell>
          <cell r="K1717" t="str">
            <v>-</v>
          </cell>
          <cell r="L1717" t="str">
            <v>Non-Sugar</v>
          </cell>
          <cell r="M1717" t="str">
            <v>End User</v>
          </cell>
          <cell r="O1717" t="str">
            <v>-</v>
          </cell>
          <cell r="P1717" t="str">
            <v>-</v>
          </cell>
          <cell r="Q1717" t="str">
            <v>-</v>
          </cell>
          <cell r="R1717" t="str">
            <v>-</v>
          </cell>
          <cell r="T1717" t="str">
            <v>-</v>
          </cell>
          <cell r="U1717" t="str">
            <v>-</v>
          </cell>
          <cell r="W1717" t="str">
            <v>-</v>
          </cell>
        </row>
        <row r="1718">
          <cell r="F1718" t="str">
            <v>UGAN01M076</v>
          </cell>
          <cell r="G1718" t="str">
            <v>MODERN DISTILLERS LTD</v>
          </cell>
          <cell r="H1718">
            <v>2018</v>
          </cell>
          <cell r="J1718" t="str">
            <v>Export</v>
          </cell>
          <cell r="K1718" t="str">
            <v>-</v>
          </cell>
          <cell r="L1718" t="str">
            <v>Non-Sugar</v>
          </cell>
          <cell r="O1718" t="str">
            <v>50KLPD</v>
          </cell>
          <cell r="P1718" t="str">
            <v>NI</v>
          </cell>
          <cell r="Q1718" t="str">
            <v>AVIRAL SHUKLA</v>
          </cell>
          <cell r="R1718" t="str">
            <v>AKSHAY AWASTHI</v>
          </cell>
          <cell r="T1718" t="str">
            <v>-</v>
          </cell>
          <cell r="U1718" t="str">
            <v>22-23</v>
          </cell>
          <cell r="W1718" t="str">
            <v>30-05-2022</v>
          </cell>
        </row>
        <row r="1719">
          <cell r="F1719" t="str">
            <v>AHME01M025</v>
          </cell>
          <cell r="G1719" t="str">
            <v>MODERN ENGINEERING</v>
          </cell>
          <cell r="H1719" t="str">
            <v>-</v>
          </cell>
          <cell r="J1719" t="str">
            <v>Domestic</v>
          </cell>
          <cell r="K1719" t="str">
            <v>-</v>
          </cell>
          <cell r="L1719" t="str">
            <v>Non-Sugar</v>
          </cell>
          <cell r="O1719" t="str">
            <v>-</v>
          </cell>
          <cell r="P1719" t="str">
            <v>-</v>
          </cell>
          <cell r="Q1719" t="str">
            <v>-</v>
          </cell>
          <cell r="R1719" t="str">
            <v>-</v>
          </cell>
          <cell r="T1719" t="str">
            <v>-</v>
          </cell>
          <cell r="U1719" t="str">
            <v>-</v>
          </cell>
          <cell r="W1719" t="str">
            <v>-</v>
          </cell>
        </row>
        <row r="1720">
          <cell r="F1720" t="str">
            <v>JAIP01M121</v>
          </cell>
          <cell r="G1720" t="str">
            <v>MODERN INSULATOR LIMITED</v>
          </cell>
          <cell r="H1720" t="str">
            <v>-</v>
          </cell>
          <cell r="J1720" t="str">
            <v>Domestic</v>
          </cell>
          <cell r="K1720" t="str">
            <v>-</v>
          </cell>
          <cell r="L1720" t="str">
            <v>Non-Sugar</v>
          </cell>
          <cell r="O1720" t="str">
            <v>-</v>
          </cell>
          <cell r="P1720" t="str">
            <v>-</v>
          </cell>
          <cell r="Q1720" t="str">
            <v>-</v>
          </cell>
          <cell r="R1720" t="str">
            <v>-</v>
          </cell>
          <cell r="T1720" t="str">
            <v>-</v>
          </cell>
          <cell r="U1720" t="str">
            <v>-</v>
          </cell>
          <cell r="W1720" t="str">
            <v>-</v>
          </cell>
        </row>
        <row r="1721">
          <cell r="F1721" t="str">
            <v>MODI01M024</v>
          </cell>
          <cell r="G1721" t="str">
            <v>MODI SUGAR MILLS</v>
          </cell>
          <cell r="H1721" t="str">
            <v>-</v>
          </cell>
          <cell r="I1721" t="str">
            <v>Modi Group</v>
          </cell>
          <cell r="J1721" t="str">
            <v>Domestic</v>
          </cell>
          <cell r="K1721" t="str">
            <v>Sugar</v>
          </cell>
          <cell r="L1721" t="str">
            <v>Sugar</v>
          </cell>
          <cell r="M1721" t="str">
            <v>Group (Mills)</v>
          </cell>
          <cell r="O1721">
            <v>5000</v>
          </cell>
          <cell r="P1721" t="str">
            <v>-</v>
          </cell>
          <cell r="Q1721" t="str">
            <v>AKSHAY AWASTHI</v>
          </cell>
          <cell r="R1721" t="str">
            <v>-</v>
          </cell>
        </row>
        <row r="1722">
          <cell r="F1722" t="str">
            <v>CHEN01M083</v>
          </cell>
          <cell r="G1722" t="str">
            <v>MOHAN BREWERIES AND DISTILLERIES LTD</v>
          </cell>
          <cell r="H1722" t="str">
            <v>-</v>
          </cell>
          <cell r="J1722" t="str">
            <v>Domestic</v>
          </cell>
          <cell r="K1722" t="str">
            <v>Others</v>
          </cell>
          <cell r="L1722" t="str">
            <v>Non-Sugar</v>
          </cell>
          <cell r="P1722" t="str">
            <v>SI-GS</v>
          </cell>
          <cell r="Q1722" t="str">
            <v>SI-GS</v>
          </cell>
          <cell r="W1722">
            <v>45219</v>
          </cell>
        </row>
        <row r="1723">
          <cell r="F1723" t="str">
            <v>CHEN01M082</v>
          </cell>
          <cell r="G1723" t="str">
            <v>MOHAN BREWERIES AND DISTILLERIES LTD</v>
          </cell>
          <cell r="H1723">
            <v>2019</v>
          </cell>
          <cell r="J1723" t="str">
            <v>Domestic</v>
          </cell>
          <cell r="K1723" t="str">
            <v>Food</v>
          </cell>
          <cell r="L1723" t="str">
            <v>Non-Sugar</v>
          </cell>
          <cell r="P1723" t="str">
            <v>SI-GS</v>
          </cell>
          <cell r="Q1723" t="str">
            <v>SI-GS</v>
          </cell>
          <cell r="W1723">
            <v>45219</v>
          </cell>
        </row>
        <row r="1724">
          <cell r="F1724" t="str">
            <v>PARB01M077</v>
          </cell>
          <cell r="G1724" t="str">
            <v>MOHTADEVI NARSINHA SUGAR &amp; AGRO PRODUCT LLP</v>
          </cell>
          <cell r="H1724" t="str">
            <v>-</v>
          </cell>
          <cell r="J1724" t="str">
            <v>Domestic</v>
          </cell>
          <cell r="K1724" t="str">
            <v>Sugar</v>
          </cell>
          <cell r="M1724" t="str">
            <v>End User</v>
          </cell>
          <cell r="O1724" t="str">
            <v>-</v>
          </cell>
          <cell r="P1724" t="str">
            <v>-</v>
          </cell>
          <cell r="Q1724" t="str">
            <v>-</v>
          </cell>
          <cell r="R1724" t="str">
            <v>-</v>
          </cell>
          <cell r="T1724" t="str">
            <v>-</v>
          </cell>
          <cell r="W1724" t="str">
            <v>-</v>
          </cell>
        </row>
        <row r="1725">
          <cell r="F1725" t="str">
            <v>HYDE01M138</v>
          </cell>
          <cell r="G1725" t="str">
            <v>MONDI (SERGEY KHOZYAINOV)</v>
          </cell>
          <cell r="H1725" t="str">
            <v>-</v>
          </cell>
          <cell r="J1725" t="str">
            <v>Domestic</v>
          </cell>
          <cell r="K1725" t="str">
            <v>-</v>
          </cell>
          <cell r="L1725" t="str">
            <v>Non-Sugar</v>
          </cell>
          <cell r="O1725" t="str">
            <v>-</v>
          </cell>
          <cell r="P1725" t="str">
            <v>-</v>
          </cell>
          <cell r="Q1725" t="str">
            <v>-</v>
          </cell>
          <cell r="R1725" t="str">
            <v>-</v>
          </cell>
          <cell r="T1725" t="str">
            <v>-</v>
          </cell>
          <cell r="U1725" t="str">
            <v>-</v>
          </cell>
          <cell r="W1725" t="str">
            <v>-</v>
          </cell>
        </row>
        <row r="1726">
          <cell r="F1726" t="str">
            <v>NAGP01M128</v>
          </cell>
          <cell r="G1726" t="str">
            <v>MORARJEE TEXTILE</v>
          </cell>
          <cell r="H1726" t="str">
            <v>-</v>
          </cell>
          <cell r="J1726" t="str">
            <v>Domestic</v>
          </cell>
          <cell r="K1726" t="str">
            <v>-</v>
          </cell>
          <cell r="L1726" t="str">
            <v>Non-Sugar</v>
          </cell>
          <cell r="O1726" t="str">
            <v>-</v>
          </cell>
          <cell r="P1726" t="str">
            <v>-</v>
          </cell>
          <cell r="Q1726" t="str">
            <v>-</v>
          </cell>
          <cell r="R1726" t="str">
            <v>-</v>
          </cell>
          <cell r="T1726" t="str">
            <v>-</v>
          </cell>
          <cell r="U1726" t="str">
            <v>-</v>
          </cell>
          <cell r="W1726" t="str">
            <v>-</v>
          </cell>
        </row>
        <row r="1727">
          <cell r="F1727" t="str">
            <v>JALG01M096</v>
          </cell>
          <cell r="G1727" t="str">
            <v>MORNISA BIOORGANICS PVT LTD</v>
          </cell>
          <cell r="H1727">
            <v>2021</v>
          </cell>
          <cell r="J1727" t="str">
            <v>Domestic</v>
          </cell>
          <cell r="K1727" t="str">
            <v>Food</v>
          </cell>
          <cell r="L1727" t="str">
            <v>Non-Sugar</v>
          </cell>
          <cell r="M1727" t="str">
            <v>End User</v>
          </cell>
          <cell r="O1727" t="str">
            <v>-</v>
          </cell>
          <cell r="P1727" t="str">
            <v>-</v>
          </cell>
          <cell r="Q1727" t="str">
            <v>-</v>
          </cell>
          <cell r="R1727" t="str">
            <v>-</v>
          </cell>
          <cell r="T1727" t="str">
            <v>Tour 18- Jalgaon</v>
          </cell>
          <cell r="U1727" t="str">
            <v>23-24</v>
          </cell>
          <cell r="W1727">
            <v>45357</v>
          </cell>
        </row>
        <row r="1728">
          <cell r="F1728" t="str">
            <v>ALAH01M117</v>
          </cell>
          <cell r="G1728" t="str">
            <v>MOTILAL NEHRU NATIONAL INSTITUTE OF TECHNOLOGY</v>
          </cell>
          <cell r="H1728" t="str">
            <v>-</v>
          </cell>
          <cell r="J1728" t="str">
            <v>Domestic</v>
          </cell>
          <cell r="K1728" t="str">
            <v>-</v>
          </cell>
          <cell r="L1728" t="str">
            <v>Non-Sugar</v>
          </cell>
          <cell r="O1728" t="str">
            <v>-</v>
          </cell>
          <cell r="P1728" t="str">
            <v>-</v>
          </cell>
          <cell r="Q1728" t="str">
            <v>-</v>
          </cell>
          <cell r="R1728" t="str">
            <v>-</v>
          </cell>
          <cell r="T1728" t="str">
            <v>-</v>
          </cell>
          <cell r="U1728" t="str">
            <v>-</v>
          </cell>
          <cell r="W1728" t="str">
            <v>-</v>
          </cell>
        </row>
        <row r="1729">
          <cell r="F1729" t="str">
            <v>UGAN01M069</v>
          </cell>
          <cell r="G1729" t="str">
            <v>MR PATEL</v>
          </cell>
          <cell r="H1729" t="str">
            <v>-</v>
          </cell>
          <cell r="J1729" t="str">
            <v>Export</v>
          </cell>
          <cell r="K1729" t="str">
            <v>-</v>
          </cell>
          <cell r="L1729" t="str">
            <v>Non-Sugar</v>
          </cell>
          <cell r="O1729" t="str">
            <v>-</v>
          </cell>
          <cell r="P1729" t="str">
            <v>-</v>
          </cell>
          <cell r="Q1729" t="str">
            <v>-</v>
          </cell>
          <cell r="R1729" t="str">
            <v>-</v>
          </cell>
          <cell r="T1729" t="str">
            <v>-</v>
          </cell>
          <cell r="U1729" t="str">
            <v>-</v>
          </cell>
          <cell r="W1729" t="str">
            <v>-</v>
          </cell>
        </row>
        <row r="1730">
          <cell r="F1730" t="str">
            <v>PUNE01M093</v>
          </cell>
          <cell r="G1730" t="str">
            <v>MR. S.K. KIRANE</v>
          </cell>
          <cell r="H1730" t="str">
            <v>-</v>
          </cell>
          <cell r="J1730" t="str">
            <v>Domestic</v>
          </cell>
          <cell r="K1730" t="str">
            <v>-</v>
          </cell>
          <cell r="L1730" t="str">
            <v>Non-Sugar</v>
          </cell>
          <cell r="O1730" t="str">
            <v>-</v>
          </cell>
          <cell r="P1730" t="str">
            <v>-</v>
          </cell>
          <cell r="Q1730" t="str">
            <v>-</v>
          </cell>
          <cell r="R1730" t="str">
            <v>-</v>
          </cell>
          <cell r="T1730" t="str">
            <v>-</v>
          </cell>
          <cell r="U1730" t="str">
            <v>-</v>
          </cell>
          <cell r="W1730" t="str">
            <v>-</v>
          </cell>
        </row>
        <row r="1731">
          <cell r="F1731" t="str">
            <v>BAGL01U056</v>
          </cell>
          <cell r="G1731" t="str">
            <v>MRN CANE (I) SUGAR( UNIT-3) (formerly M080 MRN CANE POWER (INDIA) LTD)</v>
          </cell>
          <cell r="H1731">
            <v>2017</v>
          </cell>
          <cell r="J1731" t="str">
            <v>Domestic</v>
          </cell>
          <cell r="K1731" t="str">
            <v>Sugar</v>
          </cell>
          <cell r="L1731" t="str">
            <v>Sugar</v>
          </cell>
          <cell r="M1731" t="str">
            <v>End User</v>
          </cell>
          <cell r="O1731">
            <v>7500</v>
          </cell>
          <cell r="P1731" t="str">
            <v>AV</v>
          </cell>
          <cell r="Q1731" t="str">
            <v>AV</v>
          </cell>
          <cell r="R1731" t="str">
            <v>VG</v>
          </cell>
          <cell r="T1731" t="str">
            <v>TOUR-2 (MUDHOL)</v>
          </cell>
          <cell r="U1731" t="str">
            <v>23-24</v>
          </cell>
          <cell r="W1731" t="str">
            <v>29-02-2024
02-04-2023
14-10-2022</v>
          </cell>
        </row>
        <row r="1732">
          <cell r="F1732" t="str">
            <v>BAGL01M080</v>
          </cell>
          <cell r="G1732" t="str">
            <v>MRN CANE POWER (INDIA) LTD</v>
          </cell>
          <cell r="H1732">
            <v>2017</v>
          </cell>
          <cell r="J1732" t="str">
            <v>Domestic</v>
          </cell>
          <cell r="K1732" t="str">
            <v>Sugar</v>
          </cell>
          <cell r="L1732" t="str">
            <v>Sugar</v>
          </cell>
          <cell r="M1732" t="str">
            <v>End User</v>
          </cell>
          <cell r="O1732">
            <v>7500</v>
          </cell>
          <cell r="P1732" t="str">
            <v>AV</v>
          </cell>
          <cell r="Q1732" t="str">
            <v>AV</v>
          </cell>
          <cell r="R1732" t="str">
            <v>VG</v>
          </cell>
          <cell r="T1732" t="str">
            <v>TOUR-2 (MUDHOL)</v>
          </cell>
        </row>
        <row r="1733">
          <cell r="F1733" t="str">
            <v>BAGL01M187</v>
          </cell>
          <cell r="G1733" t="str">
            <v>MRN CHAMUNDI CANE POWER AND BIOREFINERIES PVT LTD(NIRANI SUGAR)</v>
          </cell>
          <cell r="H1733" t="str">
            <v>24-25</v>
          </cell>
          <cell r="J1733" t="str">
            <v>Domestic</v>
          </cell>
          <cell r="K1733" t="str">
            <v>Sugar</v>
          </cell>
          <cell r="M1733" t="str">
            <v>End User</v>
          </cell>
          <cell r="O1733">
            <v>20000</v>
          </cell>
          <cell r="P1733" t="str">
            <v>AV</v>
          </cell>
          <cell r="Q1733" t="str">
            <v>AV</v>
          </cell>
          <cell r="R1733" t="str">
            <v>VG</v>
          </cell>
          <cell r="T1733" t="str">
            <v>TOUR-2 (MUDHOL)</v>
          </cell>
          <cell r="U1733" t="str">
            <v>23-24</v>
          </cell>
          <cell r="W1733" t="str">
            <v>29-02-2024
02-04-2023
15-10-2022</v>
          </cell>
        </row>
        <row r="1734">
          <cell r="F1734" t="str">
            <v>MYSR01M146</v>
          </cell>
          <cell r="G1734" t="str">
            <v>MRN SREERAMA SUGAR &amp; POWER PVT. LTD. (UNIT-II)</v>
          </cell>
          <cell r="H1734" t="str">
            <v>23-24</v>
          </cell>
          <cell r="J1734" t="str">
            <v>Domestic</v>
          </cell>
          <cell r="K1734" t="str">
            <v>Sugar</v>
          </cell>
          <cell r="L1734" t="str">
            <v>Sugar</v>
          </cell>
          <cell r="M1734" t="str">
            <v>End User</v>
          </cell>
          <cell r="N1734" t="str">
            <v>(0-5000)</v>
          </cell>
          <cell r="O1734">
            <v>2500</v>
          </cell>
          <cell r="P1734" t="str">
            <v>AV</v>
          </cell>
          <cell r="Q1734" t="str">
            <v>AV</v>
          </cell>
          <cell r="R1734" t="str">
            <v>VG</v>
          </cell>
          <cell r="T1734" t="str">
            <v>Mandya_Mysore - 1</v>
          </cell>
          <cell r="U1734" t="str">
            <v>25-26</v>
          </cell>
          <cell r="W1734" t="str">
            <v>9-2-26
13/2/2024</v>
          </cell>
        </row>
        <row r="1735">
          <cell r="F1735" t="str">
            <v>BANG01M134</v>
          </cell>
          <cell r="G1735" t="str">
            <v>MRPL PROJECT</v>
          </cell>
          <cell r="H1735" t="str">
            <v>-</v>
          </cell>
          <cell r="J1735" t="str">
            <v>Domestic</v>
          </cell>
          <cell r="K1735" t="str">
            <v>-</v>
          </cell>
          <cell r="L1735" t="str">
            <v>Non-Sugar</v>
          </cell>
          <cell r="O1735" t="str">
            <v>-</v>
          </cell>
          <cell r="P1735" t="str">
            <v>-</v>
          </cell>
          <cell r="Q1735" t="str">
            <v>-</v>
          </cell>
          <cell r="R1735" t="str">
            <v>-</v>
          </cell>
          <cell r="T1735" t="str">
            <v>-</v>
          </cell>
          <cell r="U1735" t="str">
            <v>-</v>
          </cell>
          <cell r="W1735" t="str">
            <v>-</v>
          </cell>
        </row>
        <row r="1736">
          <cell r="F1736" t="str">
            <v>DLHI01M150</v>
          </cell>
          <cell r="G1736" t="str">
            <v>MS FILTRATION</v>
          </cell>
          <cell r="H1736" t="str">
            <v>-</v>
          </cell>
          <cell r="J1736" t="str">
            <v>Domestic</v>
          </cell>
          <cell r="K1736" t="str">
            <v>-</v>
          </cell>
          <cell r="L1736" t="str">
            <v>Non-Sugar</v>
          </cell>
          <cell r="O1736" t="str">
            <v>-</v>
          </cell>
          <cell r="P1736" t="str">
            <v>-</v>
          </cell>
          <cell r="Q1736" t="str">
            <v>-</v>
          </cell>
          <cell r="R1736" t="str">
            <v>-</v>
          </cell>
          <cell r="T1736" t="str">
            <v>-</v>
          </cell>
          <cell r="U1736" t="str">
            <v>-</v>
          </cell>
          <cell r="W1736" t="str">
            <v>-</v>
          </cell>
        </row>
        <row r="1737">
          <cell r="F1737" t="str">
            <v>ALAH01M152</v>
          </cell>
          <cell r="G1737" t="str">
            <v>MSV SHOPPY</v>
          </cell>
          <cell r="H1737" t="str">
            <v>-</v>
          </cell>
          <cell r="J1737" t="str">
            <v>Domestic</v>
          </cell>
          <cell r="K1737" t="str">
            <v>-</v>
          </cell>
          <cell r="L1737" t="str">
            <v>Non-Sugar</v>
          </cell>
          <cell r="O1737" t="str">
            <v>-</v>
          </cell>
          <cell r="P1737" t="str">
            <v>-</v>
          </cell>
          <cell r="Q1737" t="str">
            <v>-</v>
          </cell>
          <cell r="R1737" t="str">
            <v>-</v>
          </cell>
          <cell r="T1737" t="str">
            <v>-</v>
          </cell>
          <cell r="U1737" t="str">
            <v>-</v>
          </cell>
          <cell r="W1737" t="str">
            <v>-</v>
          </cell>
        </row>
        <row r="1738">
          <cell r="F1738" t="str">
            <v>MUMB01M124</v>
          </cell>
          <cell r="G1738" t="str">
            <v>MUEZ-HEST INDIA PVT LTD</v>
          </cell>
          <cell r="H1738" t="str">
            <v>-</v>
          </cell>
          <cell r="J1738" t="str">
            <v>Domestic</v>
          </cell>
          <cell r="K1738" t="str">
            <v>-</v>
          </cell>
          <cell r="L1738" t="str">
            <v>Non-Sugar</v>
          </cell>
          <cell r="O1738" t="str">
            <v>-</v>
          </cell>
          <cell r="P1738" t="str">
            <v>-</v>
          </cell>
          <cell r="Q1738" t="str">
            <v>-</v>
          </cell>
          <cell r="R1738" t="str">
            <v>-</v>
          </cell>
          <cell r="T1738" t="str">
            <v>-</v>
          </cell>
          <cell r="U1738" t="str">
            <v>-</v>
          </cell>
          <cell r="W1738" t="str">
            <v>-</v>
          </cell>
        </row>
        <row r="1739">
          <cell r="F1739" t="str">
            <v>THIR01M015</v>
          </cell>
          <cell r="G1739" t="str">
            <v>MULTI PACKAGINGS PVT. LTD</v>
          </cell>
          <cell r="H1739" t="str">
            <v>-</v>
          </cell>
          <cell r="J1739" t="str">
            <v>Domestic</v>
          </cell>
          <cell r="K1739" t="str">
            <v>Others</v>
          </cell>
          <cell r="L1739" t="str">
            <v>Non-Sugar</v>
          </cell>
          <cell r="P1739" t="str">
            <v>SI-GS</v>
          </cell>
          <cell r="Q1739" t="str">
            <v>SI-GS</v>
          </cell>
          <cell r="W1739" t="str">
            <v>-</v>
          </cell>
        </row>
        <row r="1740">
          <cell r="F1740" t="str">
            <v>VIJA01M100</v>
          </cell>
          <cell r="G1740" t="str">
            <v>MURUGAN TRADERS (BASAVESHWAR SUGAR)</v>
          </cell>
          <cell r="H1740">
            <v>2021</v>
          </cell>
          <cell r="J1740" t="str">
            <v>Domestic</v>
          </cell>
          <cell r="K1740" t="str">
            <v>Sugar</v>
          </cell>
          <cell r="M1740" t="str">
            <v>End User</v>
          </cell>
          <cell r="O1740" t="str">
            <v>-</v>
          </cell>
          <cell r="P1740" t="str">
            <v>-</v>
          </cell>
          <cell r="Q1740" t="str">
            <v>-</v>
          </cell>
          <cell r="R1740" t="str">
            <v>-</v>
          </cell>
          <cell r="T1740" t="str">
            <v>-</v>
          </cell>
          <cell r="W1740" t="str">
            <v>-</v>
          </cell>
        </row>
        <row r="1741">
          <cell r="F1741" t="str">
            <v>PUNE01N026</v>
          </cell>
          <cell r="G1741" t="str">
            <v>N.H.E.C- INDU</v>
          </cell>
          <cell r="H1741">
            <v>2013</v>
          </cell>
          <cell r="J1741" t="str">
            <v>Domestic</v>
          </cell>
          <cell r="K1741" t="str">
            <v>others</v>
          </cell>
          <cell r="L1741" t="str">
            <v>Non-Sugar</v>
          </cell>
          <cell r="M1741" t="str">
            <v>OEM</v>
          </cell>
          <cell r="O1741" t="str">
            <v>-</v>
          </cell>
          <cell r="P1741" t="str">
            <v>-</v>
          </cell>
          <cell r="Q1741" t="str">
            <v>-</v>
          </cell>
          <cell r="R1741" t="str">
            <v>-</v>
          </cell>
          <cell r="T1741" t="str">
            <v>-</v>
          </cell>
          <cell r="W1741" t="str">
            <v>-</v>
          </cell>
        </row>
        <row r="1742">
          <cell r="F1742" t="str">
            <v>PUNE01N036</v>
          </cell>
          <cell r="G1742" t="str">
            <v>N.H.E.C. (PROJ.- CHHATRAPATI SSK)</v>
          </cell>
          <cell r="H1742">
            <v>2013</v>
          </cell>
          <cell r="J1742" t="str">
            <v>Domestic</v>
          </cell>
          <cell r="K1742" t="str">
            <v>others</v>
          </cell>
          <cell r="L1742" t="str">
            <v>Non-Sugar</v>
          </cell>
          <cell r="M1742" t="str">
            <v>OEM</v>
          </cell>
          <cell r="O1742" t="str">
            <v>-</v>
          </cell>
          <cell r="P1742" t="str">
            <v>-</v>
          </cell>
          <cell r="Q1742" t="str">
            <v>-</v>
          </cell>
          <cell r="R1742" t="str">
            <v>-</v>
          </cell>
          <cell r="T1742" t="str">
            <v>-</v>
          </cell>
          <cell r="W1742" t="str">
            <v>-</v>
          </cell>
        </row>
        <row r="1743">
          <cell r="F1743" t="str">
            <v>PUNE01N035</v>
          </cell>
          <cell r="G1743" t="str">
            <v>N.H.E.C. (PROJ.- DANTESHWARI MAIYA SSK)</v>
          </cell>
          <cell r="H1743">
            <v>2014</v>
          </cell>
          <cell r="J1743" t="str">
            <v>Domestic</v>
          </cell>
          <cell r="K1743" t="str">
            <v>others</v>
          </cell>
          <cell r="L1743" t="str">
            <v>Non-Sugar</v>
          </cell>
          <cell r="M1743" t="str">
            <v>OEM</v>
          </cell>
          <cell r="O1743" t="str">
            <v>-</v>
          </cell>
          <cell r="P1743" t="str">
            <v>-</v>
          </cell>
          <cell r="Q1743" t="str">
            <v>-</v>
          </cell>
          <cell r="R1743" t="str">
            <v>-</v>
          </cell>
          <cell r="T1743" t="str">
            <v>-</v>
          </cell>
          <cell r="W1743" t="str">
            <v>-</v>
          </cell>
        </row>
        <row r="1744">
          <cell r="F1744" t="str">
            <v>NAGA01N001</v>
          </cell>
          <cell r="G1744" t="str">
            <v>N.P.K.R.RAMASAMY CO-OPERATIVE SUGAR MILLS LTD</v>
          </cell>
          <cell r="H1744">
            <v>2013</v>
          </cell>
          <cell r="J1744" t="str">
            <v>Domestic</v>
          </cell>
          <cell r="K1744" t="str">
            <v>Sugar</v>
          </cell>
          <cell r="P1744" t="str">
            <v>SI-GS</v>
          </cell>
          <cell r="Q1744" t="str">
            <v>SI-GS</v>
          </cell>
          <cell r="W1744" t="str">
            <v>-</v>
          </cell>
        </row>
        <row r="1745">
          <cell r="F1745" t="str">
            <v>VISA01N002</v>
          </cell>
          <cell r="G1745" t="str">
            <v>NAGACHANDRA LIME BRIQUETTES - (P) LTD</v>
          </cell>
          <cell r="H1745" t="str">
            <v>-</v>
          </cell>
          <cell r="J1745" t="str">
            <v>Domestic</v>
          </cell>
          <cell r="K1745" t="str">
            <v>Others</v>
          </cell>
          <cell r="L1745" t="str">
            <v>Non-Sugar</v>
          </cell>
          <cell r="P1745" t="str">
            <v>SI-GS</v>
          </cell>
          <cell r="Q1745" t="str">
            <v>SI-GS</v>
          </cell>
          <cell r="W1745" t="str">
            <v>-</v>
          </cell>
        </row>
        <row r="1746">
          <cell r="F1746" t="str">
            <v>THIR01N108</v>
          </cell>
          <cell r="G1746" t="str">
            <v>NAGAPONNUS GROUP KERELA</v>
          </cell>
          <cell r="H1746" t="str">
            <v>-</v>
          </cell>
          <cell r="J1746" t="str">
            <v>Domestic</v>
          </cell>
          <cell r="K1746" t="str">
            <v>-</v>
          </cell>
          <cell r="L1746" t="str">
            <v>Non-Sugar</v>
          </cell>
          <cell r="O1746" t="str">
            <v>-</v>
          </cell>
          <cell r="P1746" t="str">
            <v>-</v>
          </cell>
          <cell r="Q1746" t="str">
            <v>-</v>
          </cell>
          <cell r="R1746" t="str">
            <v>-</v>
          </cell>
          <cell r="T1746" t="str">
            <v>-</v>
          </cell>
          <cell r="U1746" t="str">
            <v>-</v>
          </cell>
          <cell r="W1746" t="str">
            <v>-</v>
          </cell>
        </row>
        <row r="1747">
          <cell r="F1747" t="str">
            <v>SHAM01N115</v>
          </cell>
          <cell r="G1747" t="str">
            <v>NAGAR PANCHAYAT PALIKA KAIRMA</v>
          </cell>
          <cell r="H1747" t="str">
            <v>-</v>
          </cell>
          <cell r="J1747" t="str">
            <v>Domestic</v>
          </cell>
          <cell r="K1747" t="str">
            <v>-</v>
          </cell>
          <cell r="L1747" t="str">
            <v>Non-Sugar</v>
          </cell>
          <cell r="O1747" t="str">
            <v>-</v>
          </cell>
          <cell r="P1747" t="str">
            <v>-</v>
          </cell>
          <cell r="Q1747" t="str">
            <v>-</v>
          </cell>
          <cell r="R1747" t="str">
            <v>-</v>
          </cell>
          <cell r="T1747" t="str">
            <v>-</v>
          </cell>
          <cell r="U1747" t="str">
            <v>-</v>
          </cell>
          <cell r="W1747" t="str">
            <v>-</v>
          </cell>
        </row>
        <row r="1748">
          <cell r="F1748" t="str">
            <v>AHMD01N003</v>
          </cell>
          <cell r="G1748" t="str">
            <v>NAGAR TALUKA SAHAKARI SAKHAR KARKHANA LIMITED (Renamed to Piyush Sugar)</v>
          </cell>
          <cell r="H1748" t="str">
            <v>-</v>
          </cell>
          <cell r="J1748" t="str">
            <v>Domestic</v>
          </cell>
          <cell r="K1748" t="str">
            <v>Sugar</v>
          </cell>
          <cell r="M1748" t="str">
            <v>End User</v>
          </cell>
          <cell r="O1748" t="str">
            <v>-</v>
          </cell>
          <cell r="P1748" t="str">
            <v>-</v>
          </cell>
          <cell r="Q1748" t="str">
            <v>-</v>
          </cell>
          <cell r="R1748" t="str">
            <v>-</v>
          </cell>
          <cell r="T1748" t="str">
            <v>-</v>
          </cell>
          <cell r="W1748" t="str">
            <v>-</v>
          </cell>
        </row>
        <row r="1749">
          <cell r="F1749" t="str">
            <v>NAGP01N102</v>
          </cell>
          <cell r="G1749" t="str">
            <v>NAGPUR TECHNOCRAT NAGPUR</v>
          </cell>
          <cell r="H1749" t="str">
            <v>-</v>
          </cell>
          <cell r="J1749" t="str">
            <v>Domestic</v>
          </cell>
          <cell r="K1749" t="str">
            <v>-</v>
          </cell>
          <cell r="L1749" t="str">
            <v>Non-Sugar</v>
          </cell>
          <cell r="O1749" t="str">
            <v>-</v>
          </cell>
          <cell r="P1749" t="str">
            <v>-</v>
          </cell>
          <cell r="Q1749" t="str">
            <v>-</v>
          </cell>
          <cell r="R1749" t="str">
            <v>-</v>
          </cell>
          <cell r="T1749" t="str">
            <v>-</v>
          </cell>
          <cell r="U1749" t="str">
            <v>-</v>
          </cell>
          <cell r="W1749" t="str">
            <v>-</v>
          </cell>
        </row>
        <row r="1750">
          <cell r="F1750" t="str">
            <v>INDR01N126</v>
          </cell>
          <cell r="G1750" t="str">
            <v>NAIVEDYA CATTLE FEEED</v>
          </cell>
          <cell r="H1750" t="str">
            <v>-</v>
          </cell>
          <cell r="J1750" t="str">
            <v>Domestic</v>
          </cell>
          <cell r="K1750" t="str">
            <v>-</v>
          </cell>
          <cell r="L1750" t="str">
            <v>Non-Sugar</v>
          </cell>
          <cell r="O1750" t="str">
            <v>-</v>
          </cell>
          <cell r="P1750" t="str">
            <v>-</v>
          </cell>
          <cell r="Q1750" t="str">
            <v>-</v>
          </cell>
          <cell r="R1750" t="str">
            <v>-</v>
          </cell>
          <cell r="T1750" t="str">
            <v>-</v>
          </cell>
          <cell r="U1750" t="str">
            <v>-</v>
          </cell>
          <cell r="W1750" t="str">
            <v>-</v>
          </cell>
        </row>
        <row r="1751">
          <cell r="F1751" t="str">
            <v>KANP01N044</v>
          </cell>
          <cell r="G1751" t="str">
            <v>NAJ ENTERPRISES (SCRAP METARIAL)</v>
          </cell>
          <cell r="H1751" t="str">
            <v>-</v>
          </cell>
          <cell r="J1751" t="str">
            <v>Domestic</v>
          </cell>
          <cell r="K1751" t="str">
            <v>OTHERS</v>
          </cell>
          <cell r="L1751" t="str">
            <v>Non-Sugar</v>
          </cell>
          <cell r="M1751" t="str">
            <v>OEM</v>
          </cell>
          <cell r="O1751" t="str">
            <v>-</v>
          </cell>
          <cell r="P1751" t="str">
            <v>VA</v>
          </cell>
          <cell r="Q1751" t="str">
            <v>-</v>
          </cell>
          <cell r="T1751" t="str">
            <v>-</v>
          </cell>
          <cell r="U1751" t="str">
            <v>-</v>
          </cell>
          <cell r="W1751" t="str">
            <v>-</v>
          </cell>
        </row>
        <row r="1752">
          <cell r="F1752" t="str">
            <v>DLHI01N123</v>
          </cell>
          <cell r="G1752" t="str">
            <v>NAMAN INTERNATIONAL</v>
          </cell>
          <cell r="H1752" t="str">
            <v>-</v>
          </cell>
          <cell r="J1752" t="str">
            <v>Domestic</v>
          </cell>
          <cell r="K1752" t="str">
            <v>-</v>
          </cell>
          <cell r="L1752" t="str">
            <v>Non-Sugar</v>
          </cell>
          <cell r="O1752" t="str">
            <v>-</v>
          </cell>
          <cell r="P1752" t="str">
            <v>-</v>
          </cell>
          <cell r="Q1752" t="str">
            <v>-</v>
          </cell>
          <cell r="R1752" t="str">
            <v>-</v>
          </cell>
          <cell r="T1752" t="str">
            <v>-</v>
          </cell>
          <cell r="U1752" t="str">
            <v>-</v>
          </cell>
          <cell r="W1752" t="str">
            <v>-</v>
          </cell>
        </row>
        <row r="1753">
          <cell r="F1753" t="str">
            <v>DLHI01N131</v>
          </cell>
          <cell r="G1753" t="str">
            <v>NARESH TRADERS</v>
          </cell>
          <cell r="H1753" t="str">
            <v>-</v>
          </cell>
          <cell r="J1753" t="str">
            <v>Domestic</v>
          </cell>
          <cell r="K1753" t="str">
            <v>-</v>
          </cell>
          <cell r="L1753" t="str">
            <v>Non-Sugar</v>
          </cell>
          <cell r="O1753" t="str">
            <v>-</v>
          </cell>
          <cell r="P1753" t="str">
            <v>-</v>
          </cell>
          <cell r="Q1753" t="str">
            <v>-</v>
          </cell>
          <cell r="R1753" t="str">
            <v>-</v>
          </cell>
          <cell r="T1753" t="str">
            <v>-</v>
          </cell>
          <cell r="U1753" t="str">
            <v>-</v>
          </cell>
          <cell r="W1753" t="str">
            <v>-</v>
          </cell>
        </row>
        <row r="1754">
          <cell r="F1754" t="str">
            <v>PUNE01N117</v>
          </cell>
          <cell r="G1754" t="str">
            <v>NASHIK SAHAKARI SAKHAR KARKHANA LTD (RENAMED WITH ASTHALAXMI)</v>
          </cell>
          <cell r="H1754" t="str">
            <v>-</v>
          </cell>
          <cell r="J1754" t="str">
            <v>Domestic</v>
          </cell>
          <cell r="K1754" t="str">
            <v>Sugar</v>
          </cell>
          <cell r="M1754" t="str">
            <v>End User</v>
          </cell>
          <cell r="O1754" t="str">
            <v>-</v>
          </cell>
          <cell r="P1754" t="str">
            <v>-</v>
          </cell>
          <cell r="Q1754" t="str">
            <v>-</v>
          </cell>
          <cell r="R1754" t="str">
            <v>-</v>
          </cell>
          <cell r="T1754" t="str">
            <v>-</v>
          </cell>
          <cell r="W1754" t="str">
            <v>-</v>
          </cell>
        </row>
        <row r="1755">
          <cell r="F1755" t="str">
            <v>HYDE01N054</v>
          </cell>
          <cell r="G1755" t="str">
            <v>NATEMS SUGAR PRIVATE LIMITED</v>
          </cell>
          <cell r="H1755" t="str">
            <v>-</v>
          </cell>
          <cell r="J1755" t="str">
            <v>Domestic</v>
          </cell>
          <cell r="K1755" t="str">
            <v>Others</v>
          </cell>
          <cell r="L1755" t="str">
            <v>Non-Sugar</v>
          </cell>
          <cell r="P1755" t="str">
            <v>SI-GS</v>
          </cell>
          <cell r="Q1755" t="str">
            <v>SI-GS</v>
          </cell>
          <cell r="W1755">
            <v>44514</v>
          </cell>
        </row>
        <row r="1756">
          <cell r="F1756" t="str">
            <v>CHIT01P018</v>
          </cell>
          <cell r="G1756" t="str">
            <v>NATEMS SUGAR PRIVATE LIMITED</v>
          </cell>
          <cell r="H1756">
            <v>2014</v>
          </cell>
          <cell r="J1756" t="str">
            <v>Domestic</v>
          </cell>
          <cell r="K1756" t="str">
            <v>Sugar</v>
          </cell>
          <cell r="P1756" t="str">
            <v>SI-GS</v>
          </cell>
          <cell r="Q1756" t="str">
            <v>SI-GS</v>
          </cell>
          <cell r="W1756" t="str">
            <v>-</v>
          </cell>
        </row>
        <row r="1757">
          <cell r="F1757" t="str">
            <v>BHUB01N116</v>
          </cell>
          <cell r="G1757" t="str">
            <v>NATIONAL ALIMINIUM COMPANY LIMITED</v>
          </cell>
          <cell r="H1757" t="str">
            <v>-</v>
          </cell>
          <cell r="J1757" t="str">
            <v>Domestic</v>
          </cell>
          <cell r="K1757" t="str">
            <v>-</v>
          </cell>
          <cell r="L1757" t="str">
            <v>Non-Sugar</v>
          </cell>
          <cell r="O1757" t="str">
            <v>-</v>
          </cell>
          <cell r="P1757" t="str">
            <v>-</v>
          </cell>
          <cell r="Q1757" t="str">
            <v>-</v>
          </cell>
          <cell r="R1757" t="str">
            <v>-</v>
          </cell>
          <cell r="T1757" t="str">
            <v>-</v>
          </cell>
          <cell r="U1757" t="str">
            <v>-</v>
          </cell>
          <cell r="W1757" t="str">
            <v>-</v>
          </cell>
        </row>
        <row r="1758">
          <cell r="F1758" t="str">
            <v>CHAN01N107</v>
          </cell>
          <cell r="G1758" t="str">
            <v>NATIONAL FERTILIZER LIMITED</v>
          </cell>
          <cell r="H1758" t="str">
            <v>-</v>
          </cell>
          <cell r="J1758" t="str">
            <v>Domestic</v>
          </cell>
          <cell r="K1758" t="str">
            <v>-</v>
          </cell>
          <cell r="L1758" t="str">
            <v>Non-Sugar</v>
          </cell>
          <cell r="O1758" t="str">
            <v>-</v>
          </cell>
          <cell r="P1758" t="str">
            <v>-</v>
          </cell>
          <cell r="Q1758" t="str">
            <v>-</v>
          </cell>
          <cell r="R1758" t="str">
            <v>-</v>
          </cell>
          <cell r="T1758" t="str">
            <v>-</v>
          </cell>
          <cell r="U1758" t="str">
            <v>-</v>
          </cell>
          <cell r="W1758" t="str">
            <v>-</v>
          </cell>
        </row>
        <row r="1759">
          <cell r="F1759" t="str">
            <v>PUNE01N007</v>
          </cell>
          <cell r="G1759" t="str">
            <v>NATIONAL HEAVY ENGINEERING CO-OPERATIVE LIMITED</v>
          </cell>
          <cell r="H1759">
            <v>2013</v>
          </cell>
          <cell r="J1759" t="str">
            <v>Domestic</v>
          </cell>
          <cell r="K1759" t="str">
            <v>others</v>
          </cell>
          <cell r="L1759" t="str">
            <v>Non-Sugar</v>
          </cell>
          <cell r="M1759" t="str">
            <v>OEM</v>
          </cell>
          <cell r="O1759" t="str">
            <v>-</v>
          </cell>
          <cell r="P1759" t="str">
            <v>-</v>
          </cell>
          <cell r="Q1759" t="str">
            <v>-</v>
          </cell>
          <cell r="R1759" t="str">
            <v>-</v>
          </cell>
          <cell r="T1759" t="str">
            <v>-</v>
          </cell>
          <cell r="W1759" t="str">
            <v>-</v>
          </cell>
        </row>
        <row r="1760">
          <cell r="F1760" t="str">
            <v>BANG01N106</v>
          </cell>
          <cell r="G1760" t="str">
            <v>NAUVATA ENGINEERING BANGLORE</v>
          </cell>
          <cell r="H1760" t="str">
            <v>-</v>
          </cell>
          <cell r="J1760" t="str">
            <v>Domestic</v>
          </cell>
          <cell r="K1760" t="str">
            <v>-</v>
          </cell>
          <cell r="L1760" t="str">
            <v>Non-Sugar</v>
          </cell>
          <cell r="O1760" t="str">
            <v>-</v>
          </cell>
          <cell r="P1760" t="str">
            <v>-</v>
          </cell>
          <cell r="Q1760" t="str">
            <v>-</v>
          </cell>
          <cell r="R1760" t="str">
            <v>-</v>
          </cell>
          <cell r="T1760" t="str">
            <v>-</v>
          </cell>
          <cell r="U1760" t="str">
            <v>-</v>
          </cell>
          <cell r="W1760" t="str">
            <v>-</v>
          </cell>
        </row>
        <row r="1761">
          <cell r="F1761" t="str">
            <v>ESGO01N008</v>
          </cell>
          <cell r="G1761" t="str">
            <v>NAVA BHARAT VENTURES LTD.</v>
          </cell>
          <cell r="H1761">
            <v>2013</v>
          </cell>
          <cell r="J1761" t="str">
            <v>Domestic</v>
          </cell>
          <cell r="K1761" t="str">
            <v>Non-Sugar</v>
          </cell>
          <cell r="L1761" t="str">
            <v>Non-Sugar</v>
          </cell>
          <cell r="P1761" t="str">
            <v>SI-GS</v>
          </cell>
          <cell r="Q1761" t="str">
            <v>SI-GS</v>
          </cell>
          <cell r="W1761" t="str">
            <v>-</v>
          </cell>
        </row>
        <row r="1762">
          <cell r="F1762" t="str">
            <v>BHAR01N010</v>
          </cell>
          <cell r="G1762" t="str">
            <v>NAVDEEP CHEMICALS PVT. LTD</v>
          </cell>
          <cell r="H1762" t="str">
            <v>-</v>
          </cell>
          <cell r="J1762" t="str">
            <v>Domestic</v>
          </cell>
          <cell r="K1762" t="str">
            <v>CHEMICAL</v>
          </cell>
          <cell r="L1762" t="str">
            <v>Non-Sugar</v>
          </cell>
          <cell r="M1762" t="str">
            <v>End User</v>
          </cell>
          <cell r="O1762" t="str">
            <v>-</v>
          </cell>
          <cell r="P1762" t="str">
            <v>-</v>
          </cell>
          <cell r="Q1762" t="str">
            <v>-</v>
          </cell>
          <cell r="R1762" t="str">
            <v>-</v>
          </cell>
          <cell r="T1762" t="str">
            <v>-</v>
          </cell>
          <cell r="U1762" t="str">
            <v>-</v>
          </cell>
          <cell r="W1762" t="str">
            <v>-</v>
          </cell>
        </row>
        <row r="1763">
          <cell r="F1763" t="str">
            <v>BHAR01N011</v>
          </cell>
          <cell r="G1763" t="str">
            <v>NAVDEEP CHEMICALS PVT. LTD.</v>
          </cell>
          <cell r="H1763">
            <v>2013</v>
          </cell>
          <cell r="J1763" t="str">
            <v>Domestic</v>
          </cell>
          <cell r="K1763" t="str">
            <v>CHEMICAL</v>
          </cell>
          <cell r="L1763" t="str">
            <v>Non-Sugar</v>
          </cell>
          <cell r="M1763" t="str">
            <v>End User</v>
          </cell>
          <cell r="O1763" t="str">
            <v>-</v>
          </cell>
          <cell r="P1763" t="str">
            <v>-</v>
          </cell>
          <cell r="Q1763" t="str">
            <v>-</v>
          </cell>
          <cell r="R1763" t="str">
            <v>-</v>
          </cell>
          <cell r="T1763" t="str">
            <v>-</v>
          </cell>
          <cell r="U1763" t="str">
            <v>-</v>
          </cell>
          <cell r="W1763" t="str">
            <v>-</v>
          </cell>
        </row>
        <row r="1764">
          <cell r="F1764" t="str">
            <v>MUMB01N104</v>
          </cell>
          <cell r="G1764" t="str">
            <v>NAVICOM TECHNOLOGY INTERNATIONAL PVT LTD</v>
          </cell>
          <cell r="H1764" t="str">
            <v>-</v>
          </cell>
          <cell r="J1764" t="str">
            <v>Domestic</v>
          </cell>
          <cell r="K1764" t="str">
            <v>-</v>
          </cell>
          <cell r="L1764" t="str">
            <v>Non-Sugar</v>
          </cell>
          <cell r="O1764" t="str">
            <v>-</v>
          </cell>
          <cell r="P1764" t="str">
            <v>-</v>
          </cell>
          <cell r="Q1764" t="str">
            <v>-</v>
          </cell>
          <cell r="R1764" t="str">
            <v>-</v>
          </cell>
          <cell r="T1764" t="str">
            <v>-</v>
          </cell>
          <cell r="U1764" t="str">
            <v>-</v>
          </cell>
          <cell r="W1764" t="str">
            <v>-</v>
          </cell>
        </row>
        <row r="1765">
          <cell r="F1765" t="str">
            <v>RAIG01N081</v>
          </cell>
          <cell r="G1765" t="str">
            <v>NAVKAR (PREETI) CORPORATION LTD</v>
          </cell>
          <cell r="H1765" t="str">
            <v>-</v>
          </cell>
          <cell r="J1765" t="str">
            <v>Domestic</v>
          </cell>
          <cell r="K1765" t="str">
            <v>-</v>
          </cell>
          <cell r="L1765" t="str">
            <v>Non-Sugar</v>
          </cell>
          <cell r="O1765" t="str">
            <v>-</v>
          </cell>
          <cell r="P1765" t="str">
            <v>-</v>
          </cell>
          <cell r="Q1765" t="str">
            <v>-</v>
          </cell>
          <cell r="R1765" t="str">
            <v>-</v>
          </cell>
          <cell r="T1765" t="str">
            <v>-</v>
          </cell>
          <cell r="U1765" t="str">
            <v>-</v>
          </cell>
          <cell r="W1765" t="str">
            <v>-</v>
          </cell>
        </row>
        <row r="1766">
          <cell r="F1766" t="str">
            <v>RAIG01N080</v>
          </cell>
          <cell r="G1766" t="str">
            <v>NAVKAR CORPORATION LIMITED</v>
          </cell>
          <cell r="H1766" t="str">
            <v>-</v>
          </cell>
          <cell r="J1766" t="str">
            <v>Domestic</v>
          </cell>
          <cell r="K1766" t="str">
            <v>-</v>
          </cell>
          <cell r="L1766" t="str">
            <v>Non-Sugar</v>
          </cell>
          <cell r="O1766" t="str">
            <v>-</v>
          </cell>
          <cell r="P1766" t="str">
            <v>-</v>
          </cell>
          <cell r="Q1766" t="str">
            <v>-</v>
          </cell>
          <cell r="R1766" t="str">
            <v>-</v>
          </cell>
          <cell r="T1766" t="str">
            <v>-</v>
          </cell>
          <cell r="U1766" t="str">
            <v>-</v>
          </cell>
          <cell r="W1766" t="str">
            <v>-</v>
          </cell>
        </row>
        <row r="1767">
          <cell r="F1767" t="str">
            <v>NAYA01N012</v>
          </cell>
          <cell r="G1767" t="str">
            <v>NAYAAGARH SUGAR COMPLEX LTD</v>
          </cell>
          <cell r="H1767">
            <v>2013</v>
          </cell>
          <cell r="J1767" t="str">
            <v>Domestic</v>
          </cell>
          <cell r="K1767" t="str">
            <v>Sugar</v>
          </cell>
          <cell r="P1767" t="str">
            <v>SI-GS</v>
          </cell>
          <cell r="Q1767" t="str">
            <v>SI-GS</v>
          </cell>
          <cell r="W1767" t="str">
            <v>-</v>
          </cell>
        </row>
        <row r="1768">
          <cell r="F1768" t="str">
            <v>POND01N122</v>
          </cell>
          <cell r="G1768" t="str">
            <v>NC GOSMI INDIA PVT.LTD.(SAMPATH AMINE)</v>
          </cell>
          <cell r="H1768" t="str">
            <v>-</v>
          </cell>
          <cell r="J1768" t="str">
            <v>Domestic</v>
          </cell>
          <cell r="K1768" t="str">
            <v>-</v>
          </cell>
          <cell r="L1768" t="str">
            <v>Non-Sugar</v>
          </cell>
          <cell r="O1768" t="str">
            <v>-</v>
          </cell>
          <cell r="P1768" t="str">
            <v>-</v>
          </cell>
          <cell r="Q1768" t="str">
            <v>-</v>
          </cell>
          <cell r="R1768" t="str">
            <v>-</v>
          </cell>
          <cell r="T1768" t="str">
            <v>-</v>
          </cell>
          <cell r="U1768" t="str">
            <v>-</v>
          </cell>
          <cell r="W1768" t="str">
            <v>-</v>
          </cell>
        </row>
        <row r="1769">
          <cell r="F1769" t="str">
            <v>NIZA01N013</v>
          </cell>
          <cell r="G1769" t="str">
            <v>NCS GAYATRI SUGARS LTD.</v>
          </cell>
          <cell r="H1769" t="str">
            <v>-</v>
          </cell>
          <cell r="J1769" t="str">
            <v>Domestic</v>
          </cell>
          <cell r="K1769" t="str">
            <v>Others</v>
          </cell>
          <cell r="L1769" t="str">
            <v>Non-Sugar</v>
          </cell>
          <cell r="P1769" t="str">
            <v>SI-GS</v>
          </cell>
          <cell r="Q1769" t="str">
            <v>SI-GS</v>
          </cell>
          <cell r="W1769" t="str">
            <v>-</v>
          </cell>
        </row>
        <row r="1770">
          <cell r="F1770" t="str">
            <v>KAKN01N014</v>
          </cell>
          <cell r="G1770" t="str">
            <v>NCS STORAGE SYSTEMS PVT. LTD.</v>
          </cell>
          <cell r="H1770" t="str">
            <v>-</v>
          </cell>
          <cell r="J1770" t="str">
            <v>Domestic</v>
          </cell>
          <cell r="K1770" t="str">
            <v>Others</v>
          </cell>
          <cell r="L1770" t="str">
            <v>Non-Sugar</v>
          </cell>
          <cell r="P1770" t="str">
            <v>SI-GS</v>
          </cell>
          <cell r="Q1770" t="str">
            <v>SI-GS</v>
          </cell>
          <cell r="W1770" t="str">
            <v>-</v>
          </cell>
        </row>
        <row r="1771">
          <cell r="F1771" t="str">
            <v>NELL01N037</v>
          </cell>
          <cell r="G1771" t="str">
            <v>NCS SUGARS (NELLORE) LIMITED (FORMERLY - VDB SUGARS LIMITED)</v>
          </cell>
          <cell r="H1771">
            <v>2013</v>
          </cell>
          <cell r="J1771" t="str">
            <v>Domestic</v>
          </cell>
          <cell r="K1771" t="str">
            <v>Sugar</v>
          </cell>
          <cell r="P1771" t="str">
            <v>SI-GS</v>
          </cell>
          <cell r="Q1771" t="str">
            <v>SI-GS</v>
          </cell>
          <cell r="W1771" t="str">
            <v>-</v>
          </cell>
        </row>
        <row r="1772">
          <cell r="F1772" t="str">
            <v>VIZI01N015</v>
          </cell>
          <cell r="G1772" t="str">
            <v>NCS SUGARS LIMITED</v>
          </cell>
          <cell r="H1772">
            <v>2015</v>
          </cell>
          <cell r="J1772" t="str">
            <v>Domestic</v>
          </cell>
          <cell r="K1772" t="str">
            <v>Sugar</v>
          </cell>
          <cell r="P1772" t="str">
            <v>SI-GS</v>
          </cell>
          <cell r="Q1772" t="str">
            <v>SI-GS</v>
          </cell>
          <cell r="W1772">
            <v>44966</v>
          </cell>
        </row>
        <row r="1773">
          <cell r="F1773" t="str">
            <v>UDAM01N016</v>
          </cell>
          <cell r="G1773" t="str">
            <v>NECTAFRESH AGRO FOODS</v>
          </cell>
          <cell r="H1773" t="str">
            <v>-</v>
          </cell>
          <cell r="J1773" t="str">
            <v>Domestic</v>
          </cell>
          <cell r="K1773" t="str">
            <v>-</v>
          </cell>
          <cell r="L1773" t="str">
            <v>Non-Sugar</v>
          </cell>
          <cell r="O1773" t="str">
            <v>-</v>
          </cell>
          <cell r="P1773" t="str">
            <v>-</v>
          </cell>
          <cell r="Q1773" t="str">
            <v>-</v>
          </cell>
          <cell r="R1773" t="str">
            <v>-</v>
          </cell>
          <cell r="T1773" t="str">
            <v>-</v>
          </cell>
          <cell r="U1773" t="str">
            <v>-</v>
          </cell>
          <cell r="W1773" t="str">
            <v>-</v>
          </cell>
        </row>
        <row r="1774">
          <cell r="F1774" t="str">
            <v>JAIP01N101</v>
          </cell>
          <cell r="G1774" t="str">
            <v>NEELAM AQUA &amp; SPECIALITY CHEM (P) LTD</v>
          </cell>
          <cell r="H1774" t="str">
            <v>-</v>
          </cell>
          <cell r="J1774" t="str">
            <v>Domestic</v>
          </cell>
          <cell r="K1774" t="str">
            <v>-</v>
          </cell>
          <cell r="L1774" t="str">
            <v>Non-Sugar</v>
          </cell>
          <cell r="O1774" t="str">
            <v>-</v>
          </cell>
          <cell r="P1774" t="str">
            <v>-</v>
          </cell>
          <cell r="Q1774" t="str">
            <v>-</v>
          </cell>
          <cell r="R1774" t="str">
            <v>-</v>
          </cell>
          <cell r="T1774" t="str">
            <v>-</v>
          </cell>
          <cell r="U1774" t="str">
            <v>-</v>
          </cell>
          <cell r="W1774" t="str">
            <v>-</v>
          </cell>
        </row>
        <row r="1775">
          <cell r="F1775" t="str">
            <v>DLHI01N109</v>
          </cell>
          <cell r="G1775" t="str">
            <v>NEKIRAM FOODS PVT LTD</v>
          </cell>
          <cell r="H1775" t="str">
            <v>-</v>
          </cell>
          <cell r="J1775" t="str">
            <v>Domestic</v>
          </cell>
          <cell r="K1775" t="str">
            <v>-</v>
          </cell>
          <cell r="L1775" t="str">
            <v>Non-Sugar</v>
          </cell>
          <cell r="O1775" t="str">
            <v>-</v>
          </cell>
          <cell r="P1775" t="str">
            <v>-</v>
          </cell>
          <cell r="Q1775" t="str">
            <v>-</v>
          </cell>
          <cell r="R1775" t="str">
            <v>-</v>
          </cell>
          <cell r="T1775" t="str">
            <v>-</v>
          </cell>
          <cell r="U1775" t="str">
            <v>-</v>
          </cell>
          <cell r="W1775" t="str">
            <v>-</v>
          </cell>
        </row>
        <row r="1776">
          <cell r="F1776" t="str">
            <v>NEPA01N110</v>
          </cell>
          <cell r="G1776" t="str">
            <v>NEPA NAGAR</v>
          </cell>
          <cell r="H1776" t="str">
            <v>-</v>
          </cell>
          <cell r="J1776" t="str">
            <v>Domestic</v>
          </cell>
          <cell r="K1776" t="str">
            <v>-</v>
          </cell>
          <cell r="L1776" t="str">
            <v>Non-Sugar</v>
          </cell>
          <cell r="O1776" t="str">
            <v>-</v>
          </cell>
          <cell r="P1776" t="str">
            <v>-</v>
          </cell>
          <cell r="Q1776" t="str">
            <v>-</v>
          </cell>
          <cell r="R1776" t="str">
            <v>-</v>
          </cell>
          <cell r="T1776" t="str">
            <v>-</v>
          </cell>
          <cell r="U1776" t="str">
            <v>-</v>
          </cell>
          <cell r="W1776" t="str">
            <v>-</v>
          </cell>
        </row>
        <row r="1777">
          <cell r="F1777" t="str">
            <v>NODA01N111</v>
          </cell>
          <cell r="G1777" t="str">
            <v>NEPA PAPER MILL</v>
          </cell>
          <cell r="H1777" t="str">
            <v>-</v>
          </cell>
          <cell r="J1777" t="str">
            <v>Domestic</v>
          </cell>
          <cell r="K1777" t="str">
            <v>Paper</v>
          </cell>
          <cell r="L1777" t="str">
            <v>Non-Sugar</v>
          </cell>
          <cell r="M1777" t="str">
            <v>End User</v>
          </cell>
          <cell r="O1777" t="str">
            <v>-</v>
          </cell>
          <cell r="P1777" t="str">
            <v>VA</v>
          </cell>
          <cell r="Q1777" t="str">
            <v>AVIRAL SHUKLA</v>
          </cell>
          <cell r="T1777" t="str">
            <v>-</v>
          </cell>
          <cell r="U1777" t="str">
            <v>23-24</v>
          </cell>
          <cell r="W1777">
            <v>45286</v>
          </cell>
        </row>
        <row r="1778">
          <cell r="F1778" t="str">
            <v>NODA01N100</v>
          </cell>
          <cell r="G1778" t="str">
            <v>NETSOL WATER SOLUTIONS PVT LTD</v>
          </cell>
          <cell r="H1778" t="str">
            <v>-</v>
          </cell>
          <cell r="J1778" t="str">
            <v>Domestic</v>
          </cell>
          <cell r="K1778" t="str">
            <v>-</v>
          </cell>
          <cell r="L1778" t="str">
            <v>Non-Sugar</v>
          </cell>
          <cell r="O1778" t="str">
            <v>-</v>
          </cell>
          <cell r="P1778" t="str">
            <v>-</v>
          </cell>
          <cell r="Q1778" t="str">
            <v>-</v>
          </cell>
          <cell r="R1778" t="str">
            <v>-</v>
          </cell>
          <cell r="T1778" t="str">
            <v>-</v>
          </cell>
          <cell r="U1778" t="str">
            <v>-</v>
          </cell>
          <cell r="W1778" t="str">
            <v>-</v>
          </cell>
        </row>
        <row r="1779">
          <cell r="F1779" t="str">
            <v>KOLH01N124</v>
          </cell>
          <cell r="G1779" t="str">
            <v>NEW ARM INDUSTRIES</v>
          </cell>
          <cell r="H1779" t="str">
            <v>-</v>
          </cell>
          <cell r="J1779" t="str">
            <v>Domestic</v>
          </cell>
          <cell r="K1779" t="str">
            <v>-</v>
          </cell>
          <cell r="L1779" t="str">
            <v>Non-Sugar</v>
          </cell>
          <cell r="O1779" t="str">
            <v>-</v>
          </cell>
          <cell r="P1779" t="str">
            <v>-</v>
          </cell>
          <cell r="Q1779" t="str">
            <v>-</v>
          </cell>
          <cell r="R1779" t="str">
            <v>-</v>
          </cell>
          <cell r="T1779" t="str">
            <v>-</v>
          </cell>
          <cell r="U1779" t="str">
            <v>-</v>
          </cell>
          <cell r="W1779" t="str">
            <v>-</v>
          </cell>
        </row>
        <row r="1780">
          <cell r="F1780" t="str">
            <v>MEHS01N064</v>
          </cell>
          <cell r="G1780" t="str">
            <v>NEW WORLD HEALTHCARE PVT. LTD.</v>
          </cell>
          <cell r="H1780">
            <v>2017</v>
          </cell>
          <cell r="J1780" t="str">
            <v>Domestic</v>
          </cell>
          <cell r="K1780" t="str">
            <v>-</v>
          </cell>
          <cell r="L1780" t="str">
            <v>Non-Sugar</v>
          </cell>
          <cell r="M1780" t="str">
            <v>End User</v>
          </cell>
          <cell r="O1780" t="str">
            <v>-</v>
          </cell>
          <cell r="P1780" t="str">
            <v>-</v>
          </cell>
          <cell r="Q1780" t="str">
            <v>-</v>
          </cell>
          <cell r="R1780" t="str">
            <v>-</v>
          </cell>
          <cell r="T1780" t="str">
            <v>-</v>
          </cell>
          <cell r="U1780" t="str">
            <v>-</v>
          </cell>
          <cell r="W1780" t="str">
            <v>-</v>
          </cell>
        </row>
        <row r="1781">
          <cell r="F1781" t="str">
            <v>MUMB01N129</v>
          </cell>
          <cell r="G1781" t="str">
            <v>NEX LEVEL ACCESS FLOOR</v>
          </cell>
          <cell r="H1781" t="str">
            <v>-</v>
          </cell>
          <cell r="J1781" t="str">
            <v>Domestic</v>
          </cell>
          <cell r="K1781" t="str">
            <v>-</v>
          </cell>
          <cell r="L1781" t="str">
            <v>Non-Sugar</v>
          </cell>
          <cell r="O1781" t="str">
            <v>-</v>
          </cell>
          <cell r="P1781" t="str">
            <v>-</v>
          </cell>
          <cell r="Q1781" t="str">
            <v>-</v>
          </cell>
          <cell r="R1781" t="str">
            <v>-</v>
          </cell>
          <cell r="T1781" t="str">
            <v>-</v>
          </cell>
          <cell r="U1781" t="str">
            <v>-</v>
          </cell>
          <cell r="W1781" t="str">
            <v>-</v>
          </cell>
        </row>
        <row r="1782">
          <cell r="F1782" t="str">
            <v>KANP01N029</v>
          </cell>
          <cell r="G1782" t="str">
            <v>NFC</v>
          </cell>
          <cell r="H1782" t="str">
            <v>-</v>
          </cell>
          <cell r="J1782" t="str">
            <v>Domestic</v>
          </cell>
          <cell r="K1782" t="str">
            <v>-</v>
          </cell>
          <cell r="L1782" t="str">
            <v>Non-Sugar</v>
          </cell>
          <cell r="O1782" t="str">
            <v>-</v>
          </cell>
          <cell r="P1782" t="str">
            <v>-</v>
          </cell>
          <cell r="Q1782" t="str">
            <v>-</v>
          </cell>
          <cell r="R1782" t="str">
            <v>-</v>
          </cell>
          <cell r="T1782" t="str">
            <v>-</v>
          </cell>
          <cell r="U1782" t="str">
            <v>-</v>
          </cell>
          <cell r="W1782" t="str">
            <v>-</v>
          </cell>
        </row>
        <row r="1783">
          <cell r="F1783" t="str">
            <v>MUMB01N081</v>
          </cell>
          <cell r="G1783" t="str">
            <v>NHAVA SHEVA PORT-JWC LOGISTICS PARK PVT. LTD.</v>
          </cell>
          <cell r="H1783" t="str">
            <v>-</v>
          </cell>
          <cell r="J1783" t="str">
            <v>Domestic</v>
          </cell>
          <cell r="K1783" t="str">
            <v>-</v>
          </cell>
          <cell r="L1783" t="str">
            <v>Non-Sugar</v>
          </cell>
          <cell r="O1783" t="str">
            <v>-</v>
          </cell>
          <cell r="P1783" t="str">
            <v>-</v>
          </cell>
          <cell r="Q1783" t="str">
            <v>-</v>
          </cell>
          <cell r="R1783" t="str">
            <v>-</v>
          </cell>
          <cell r="T1783" t="str">
            <v>-</v>
          </cell>
          <cell r="U1783" t="str">
            <v>-</v>
          </cell>
          <cell r="W1783" t="str">
            <v>-</v>
          </cell>
        </row>
        <row r="1784">
          <cell r="F1784" t="str">
            <v>JAIP01N114</v>
          </cell>
          <cell r="G1784" t="str">
            <v>NICE QUARTZ &amp; STONES</v>
          </cell>
          <cell r="H1784" t="str">
            <v>-</v>
          </cell>
          <cell r="J1784" t="str">
            <v>Domestic</v>
          </cell>
          <cell r="K1784" t="str">
            <v>-</v>
          </cell>
          <cell r="L1784" t="str">
            <v>Non-Sugar</v>
          </cell>
          <cell r="O1784" t="str">
            <v>-</v>
          </cell>
          <cell r="P1784" t="str">
            <v>-</v>
          </cell>
          <cell r="Q1784" t="str">
            <v>-</v>
          </cell>
          <cell r="R1784" t="str">
            <v>-</v>
          </cell>
          <cell r="T1784" t="str">
            <v>-</v>
          </cell>
          <cell r="U1784" t="str">
            <v>-</v>
          </cell>
          <cell r="W1784" t="str">
            <v>-</v>
          </cell>
        </row>
        <row r="1785">
          <cell r="F1785" t="str">
            <v>KANP01N112</v>
          </cell>
          <cell r="G1785" t="str">
            <v>NIKHIL TECHNO CHEM</v>
          </cell>
          <cell r="H1785" t="str">
            <v>-</v>
          </cell>
          <cell r="J1785" t="str">
            <v>Domestic</v>
          </cell>
          <cell r="K1785" t="str">
            <v>-</v>
          </cell>
          <cell r="L1785" t="str">
            <v>Non-Sugar</v>
          </cell>
          <cell r="O1785" t="str">
            <v>-</v>
          </cell>
          <cell r="P1785" t="str">
            <v>-</v>
          </cell>
          <cell r="Q1785" t="str">
            <v>-</v>
          </cell>
          <cell r="R1785" t="str">
            <v>-</v>
          </cell>
          <cell r="T1785" t="str">
            <v>-</v>
          </cell>
          <cell r="U1785" t="str">
            <v>-</v>
          </cell>
          <cell r="W1785" t="str">
            <v>-</v>
          </cell>
        </row>
        <row r="1786">
          <cell r="F1786" t="str">
            <v>CHEN01N157</v>
          </cell>
          <cell r="G1786" t="str">
            <v>NIMIS INDIA</v>
          </cell>
          <cell r="H1786" t="str">
            <v>-</v>
          </cell>
          <cell r="J1786" t="str">
            <v>Domestic</v>
          </cell>
          <cell r="P1786" t="str">
            <v>SI-GS</v>
          </cell>
          <cell r="Q1786" t="str">
            <v>SI-GS</v>
          </cell>
        </row>
        <row r="1787">
          <cell r="F1787" t="str">
            <v>GURG01N121</v>
          </cell>
          <cell r="G1787" t="str">
            <v>NIMS INDIA PVT.LTD.</v>
          </cell>
          <cell r="H1787" t="str">
            <v>-</v>
          </cell>
          <cell r="J1787" t="str">
            <v>Domestic</v>
          </cell>
          <cell r="K1787" t="str">
            <v>-</v>
          </cell>
          <cell r="L1787" t="str">
            <v>Non-Sugar</v>
          </cell>
          <cell r="O1787" t="str">
            <v>-</v>
          </cell>
          <cell r="P1787" t="str">
            <v>-</v>
          </cell>
          <cell r="Q1787" t="str">
            <v>-</v>
          </cell>
          <cell r="R1787" t="str">
            <v>-</v>
          </cell>
          <cell r="T1787" t="str">
            <v>-</v>
          </cell>
          <cell r="U1787" t="str">
            <v>-</v>
          </cell>
          <cell r="W1787" t="str">
            <v>-</v>
          </cell>
        </row>
        <row r="1788">
          <cell r="F1788" t="str">
            <v>MAND01N083</v>
          </cell>
          <cell r="G1788" t="str">
            <v>NIRANI SUAGRS LTD</v>
          </cell>
          <cell r="H1788" t="str">
            <v>-</v>
          </cell>
          <cell r="J1788" t="str">
            <v>Domestic</v>
          </cell>
          <cell r="K1788" t="str">
            <v>Sugar</v>
          </cell>
          <cell r="M1788" t="str">
            <v>End User</v>
          </cell>
          <cell r="O1788" t="str">
            <v>-</v>
          </cell>
          <cell r="P1788" t="str">
            <v>-</v>
          </cell>
          <cell r="Q1788" t="str">
            <v>-</v>
          </cell>
          <cell r="R1788" t="str">
            <v>-</v>
          </cell>
          <cell r="T1788" t="str">
            <v>-</v>
          </cell>
          <cell r="W1788" t="str">
            <v>-</v>
          </cell>
        </row>
        <row r="1789">
          <cell r="F1789" t="str">
            <v>MUDH01N089</v>
          </cell>
          <cell r="G1789" t="str">
            <v>NIRANI SUGAR LTD (DISTILLERY DIVISION) (Renamed with NIRANI SUGARS LIMITED(UNIT-II) )</v>
          </cell>
          <cell r="H1789">
            <v>2021</v>
          </cell>
          <cell r="J1789" t="str">
            <v>Domestic</v>
          </cell>
          <cell r="K1789" t="str">
            <v>Distillery</v>
          </cell>
          <cell r="L1789" t="str">
            <v>Non-Sugar</v>
          </cell>
          <cell r="M1789" t="str">
            <v>End User</v>
          </cell>
          <cell r="O1789" t="str">
            <v>-</v>
          </cell>
          <cell r="P1789" t="str">
            <v>-</v>
          </cell>
          <cell r="Q1789" t="str">
            <v>-</v>
          </cell>
          <cell r="R1789" t="str">
            <v>-</v>
          </cell>
          <cell r="S1789" t="str">
            <v>https://maps.app.goo.gl/cJJZyaqbhsJSrnqg6</v>
          </cell>
          <cell r="T1789" t="str">
            <v>-</v>
          </cell>
          <cell r="U1789" t="str">
            <v>26-27</v>
          </cell>
          <cell r="V1789" t="str">
            <v>May</v>
          </cell>
          <cell r="W1789" t="str">
            <v>18.05.2026</v>
          </cell>
        </row>
        <row r="1790">
          <cell r="F1790" t="str">
            <v>BAGL01N020</v>
          </cell>
          <cell r="G1790" t="str">
            <v>NIRANI SUGARS LIMITED</v>
          </cell>
          <cell r="H1790">
            <v>2014</v>
          </cell>
          <cell r="J1790" t="str">
            <v>Domestic</v>
          </cell>
          <cell r="K1790" t="str">
            <v>Sugar</v>
          </cell>
          <cell r="M1790" t="str">
            <v>End User</v>
          </cell>
          <cell r="O1790" t="str">
            <v>Sugar
Distillery 700 KLPD</v>
          </cell>
          <cell r="P1790" t="str">
            <v>-</v>
          </cell>
          <cell r="Q1790" t="str">
            <v>-</v>
          </cell>
          <cell r="R1790" t="str">
            <v>-</v>
          </cell>
          <cell r="T1790" t="str">
            <v>TOUR-2 (MUDHOL)</v>
          </cell>
          <cell r="W1790" t="str">
            <v>-</v>
          </cell>
        </row>
        <row r="1791">
          <cell r="F1791" t="str">
            <v>AHME01N051</v>
          </cell>
          <cell r="G1791" t="str">
            <v>NIRMA LIMITED</v>
          </cell>
          <cell r="H1791">
            <v>2016</v>
          </cell>
          <cell r="J1791" t="str">
            <v>Domestic</v>
          </cell>
          <cell r="K1791" t="str">
            <v>-</v>
          </cell>
          <cell r="L1791" t="str">
            <v>Non-Sugar</v>
          </cell>
          <cell r="M1791" t="str">
            <v>End User</v>
          </cell>
          <cell r="O1791" t="str">
            <v>-</v>
          </cell>
          <cell r="P1791" t="str">
            <v>-</v>
          </cell>
          <cell r="Q1791" t="str">
            <v>-</v>
          </cell>
          <cell r="R1791" t="str">
            <v>-</v>
          </cell>
          <cell r="T1791" t="str">
            <v>-</v>
          </cell>
          <cell r="U1791" t="str">
            <v>-</v>
          </cell>
          <cell r="W1791" t="str">
            <v>-</v>
          </cell>
        </row>
        <row r="1792">
          <cell r="F1792" t="str">
            <v>NODA01N078</v>
          </cell>
          <cell r="G1792" t="str">
            <v>NIRYAS FOOD</v>
          </cell>
          <cell r="H1792" t="str">
            <v>-</v>
          </cell>
          <cell r="J1792" t="str">
            <v>Domestic</v>
          </cell>
          <cell r="K1792" t="str">
            <v>-</v>
          </cell>
          <cell r="L1792" t="str">
            <v>Non-Sugar</v>
          </cell>
          <cell r="O1792" t="str">
            <v>-</v>
          </cell>
          <cell r="P1792" t="str">
            <v>-</v>
          </cell>
          <cell r="Q1792" t="str">
            <v>-</v>
          </cell>
          <cell r="R1792" t="str">
            <v>-</v>
          </cell>
          <cell r="T1792" t="str">
            <v>-</v>
          </cell>
          <cell r="U1792" t="str">
            <v>-</v>
          </cell>
          <cell r="W1792" t="str">
            <v>-</v>
          </cell>
        </row>
        <row r="1793">
          <cell r="F1793" t="str">
            <v>BULA01N076</v>
          </cell>
          <cell r="G1793" t="str">
            <v>NIRYAS FOOD PRIVATE LIMITED</v>
          </cell>
          <cell r="H1793" t="str">
            <v>-</v>
          </cell>
          <cell r="J1793" t="str">
            <v>Domestic</v>
          </cell>
          <cell r="K1793" t="str">
            <v>-</v>
          </cell>
          <cell r="L1793" t="str">
            <v>Non-Sugar</v>
          </cell>
          <cell r="O1793" t="str">
            <v>-</v>
          </cell>
          <cell r="P1793" t="str">
            <v>-</v>
          </cell>
          <cell r="Q1793" t="str">
            <v>-</v>
          </cell>
          <cell r="R1793" t="str">
            <v>-</v>
          </cell>
          <cell r="T1793" t="str">
            <v>-</v>
          </cell>
          <cell r="U1793" t="str">
            <v>-</v>
          </cell>
          <cell r="W1793" t="str">
            <v>-</v>
          </cell>
        </row>
        <row r="1794">
          <cell r="F1794" t="str">
            <v>COCH01N043</v>
          </cell>
          <cell r="G1794" t="str">
            <v>NITTA GELATIN INDIA LIMITED</v>
          </cell>
          <cell r="H1794" t="str">
            <v>-</v>
          </cell>
          <cell r="J1794" t="str">
            <v>Domestic</v>
          </cell>
          <cell r="K1794" t="str">
            <v>-</v>
          </cell>
          <cell r="L1794" t="str">
            <v>Non-Sugar</v>
          </cell>
          <cell r="O1794" t="str">
            <v>-</v>
          </cell>
          <cell r="P1794" t="str">
            <v>-</v>
          </cell>
          <cell r="Q1794" t="str">
            <v>-</v>
          </cell>
          <cell r="R1794" t="str">
            <v>-</v>
          </cell>
          <cell r="T1794" t="str">
            <v>-</v>
          </cell>
          <cell r="U1794" t="str">
            <v>-</v>
          </cell>
          <cell r="W1794" t="str">
            <v>-</v>
          </cell>
        </row>
        <row r="1795">
          <cell r="F1795" t="str">
            <v>KARI01N021</v>
          </cell>
          <cell r="G1795" t="str">
            <v>NIZAM DECCAN SUGARS LTD</v>
          </cell>
          <cell r="H1795">
            <v>2013</v>
          </cell>
          <cell r="J1795" t="str">
            <v>Domestic</v>
          </cell>
          <cell r="K1795" t="str">
            <v>Sugar</v>
          </cell>
          <cell r="P1795" t="str">
            <v>SI-GS</v>
          </cell>
          <cell r="Q1795" t="str">
            <v>SI-GS</v>
          </cell>
          <cell r="W1795" t="str">
            <v>-</v>
          </cell>
        </row>
        <row r="1796">
          <cell r="F1796" t="str">
            <v>AHME01N045</v>
          </cell>
          <cell r="G1796" t="str">
            <v>NOBLES PAINTS INDUSTRIES</v>
          </cell>
          <cell r="H1796">
            <v>2014</v>
          </cell>
          <cell r="J1796" t="str">
            <v>Domestic</v>
          </cell>
          <cell r="K1796" t="str">
            <v>-</v>
          </cell>
          <cell r="L1796" t="str">
            <v>Non-Sugar</v>
          </cell>
          <cell r="O1796" t="str">
            <v>-</v>
          </cell>
          <cell r="P1796" t="str">
            <v>-</v>
          </cell>
          <cell r="Q1796" t="str">
            <v>-</v>
          </cell>
          <cell r="R1796" t="str">
            <v>-</v>
          </cell>
          <cell r="T1796" t="str">
            <v>-</v>
          </cell>
          <cell r="U1796" t="str">
            <v>-</v>
          </cell>
          <cell r="W1796" t="str">
            <v>-</v>
          </cell>
        </row>
        <row r="1797">
          <cell r="F1797" t="str">
            <v>RAIP01N118</v>
          </cell>
          <cell r="G1797" t="str">
            <v>NOEL'S FOOD &amp; HERBAL</v>
          </cell>
          <cell r="H1797" t="str">
            <v>-</v>
          </cell>
          <cell r="J1797" t="str">
            <v>Domestic</v>
          </cell>
          <cell r="K1797" t="str">
            <v>-</v>
          </cell>
          <cell r="L1797" t="str">
            <v>Non-Sugar</v>
          </cell>
          <cell r="O1797" t="str">
            <v>-</v>
          </cell>
          <cell r="P1797" t="str">
            <v>-</v>
          </cell>
          <cell r="Q1797" t="str">
            <v>-</v>
          </cell>
          <cell r="R1797" t="str">
            <v>-</v>
          </cell>
          <cell r="T1797" t="str">
            <v>-</v>
          </cell>
          <cell r="U1797" t="str">
            <v>-</v>
          </cell>
          <cell r="W1797" t="str">
            <v>-</v>
          </cell>
        </row>
        <row r="1798">
          <cell r="F1798" t="str">
            <v>OSMA01B053</v>
          </cell>
          <cell r="G1798" t="str">
            <v>NOT IN USE</v>
          </cell>
          <cell r="H1798" t="str">
            <v>-</v>
          </cell>
          <cell r="J1798" t="str">
            <v>Domestic</v>
          </cell>
          <cell r="K1798" t="str">
            <v>others</v>
          </cell>
          <cell r="L1798" t="str">
            <v>Non-Sugar</v>
          </cell>
          <cell r="M1798" t="str">
            <v>Trader</v>
          </cell>
          <cell r="O1798" t="str">
            <v>-</v>
          </cell>
          <cell r="P1798" t="str">
            <v>-</v>
          </cell>
          <cell r="Q1798" t="str">
            <v>-</v>
          </cell>
          <cell r="R1798" t="str">
            <v>-</v>
          </cell>
          <cell r="T1798" t="str">
            <v>-</v>
          </cell>
          <cell r="W1798" t="str">
            <v>-</v>
          </cell>
        </row>
        <row r="1799">
          <cell r="F1799" t="str">
            <v>MERT01N046</v>
          </cell>
          <cell r="G1799" t="str">
            <v>NSI EQUIPMENT PVT LTD.</v>
          </cell>
          <cell r="H1799" t="str">
            <v>-</v>
          </cell>
          <cell r="J1799" t="str">
            <v>Domestic</v>
          </cell>
          <cell r="K1799" t="str">
            <v>-</v>
          </cell>
          <cell r="L1799" t="str">
            <v>Non-Sugar</v>
          </cell>
          <cell r="O1799" t="str">
            <v>-</v>
          </cell>
          <cell r="P1799" t="str">
            <v>-</v>
          </cell>
          <cell r="Q1799" t="str">
            <v>-</v>
          </cell>
          <cell r="R1799" t="str">
            <v>-</v>
          </cell>
          <cell r="T1799" t="str">
            <v>-</v>
          </cell>
          <cell r="U1799" t="str">
            <v>-</v>
          </cell>
          <cell r="W1799" t="str">
            <v>-</v>
          </cell>
        </row>
        <row r="1800">
          <cell r="F1800" t="str">
            <v>MUMB01N120</v>
          </cell>
          <cell r="G1800" t="str">
            <v>NUCLEAR RECYCLE BOARD</v>
          </cell>
          <cell r="H1800" t="str">
            <v>-</v>
          </cell>
          <cell r="J1800" t="str">
            <v>Domestic</v>
          </cell>
          <cell r="K1800" t="str">
            <v>-</v>
          </cell>
          <cell r="L1800" t="str">
            <v>Non-Sugar</v>
          </cell>
          <cell r="O1800" t="str">
            <v>-</v>
          </cell>
          <cell r="P1800" t="str">
            <v>-</v>
          </cell>
          <cell r="Q1800" t="str">
            <v>-</v>
          </cell>
          <cell r="R1800" t="str">
            <v>-</v>
          </cell>
          <cell r="T1800" t="str">
            <v>-</v>
          </cell>
          <cell r="U1800" t="str">
            <v>-</v>
          </cell>
          <cell r="W1800" t="str">
            <v>-</v>
          </cell>
        </row>
        <row r="1801">
          <cell r="F1801" t="str">
            <v>CHIT001O001</v>
          </cell>
          <cell r="G1801" t="str">
            <v>O. R. DISTILLERIES LTD</v>
          </cell>
          <cell r="H1801" t="str">
            <v>-</v>
          </cell>
          <cell r="J1801" t="str">
            <v>Domestic</v>
          </cell>
          <cell r="K1801" t="str">
            <v>Distillery</v>
          </cell>
          <cell r="L1801" t="str">
            <v>Non-Sugar</v>
          </cell>
          <cell r="P1801" t="str">
            <v>SI-GS</v>
          </cell>
          <cell r="Q1801" t="str">
            <v>SI-GS</v>
          </cell>
          <cell r="W1801" t="str">
            <v>-</v>
          </cell>
        </row>
        <row r="1802">
          <cell r="F1802" t="str">
            <v>CHIT01O001</v>
          </cell>
          <cell r="G1802" t="str">
            <v>O. R. DISTILLERIES LTD</v>
          </cell>
          <cell r="H1802" t="str">
            <v>-</v>
          </cell>
          <cell r="J1802" t="str">
            <v>Domestic</v>
          </cell>
          <cell r="P1802" t="str">
            <v>SI-GS</v>
          </cell>
          <cell r="Q1802" t="str">
            <v>SI-GS</v>
          </cell>
        </row>
        <row r="1803">
          <cell r="F1803" t="str">
            <v>BATH01O012</v>
          </cell>
          <cell r="G1803" t="str">
            <v>OM SONS MARKETING PVT LTD.</v>
          </cell>
          <cell r="H1803">
            <v>2016</v>
          </cell>
          <cell r="J1803" t="str">
            <v>Domestic</v>
          </cell>
          <cell r="K1803" t="str">
            <v>-</v>
          </cell>
          <cell r="L1803" t="str">
            <v>Non-Sugar</v>
          </cell>
          <cell r="M1803" t="str">
            <v>End User</v>
          </cell>
          <cell r="O1803" t="str">
            <v>-</v>
          </cell>
          <cell r="P1803" t="str">
            <v>-</v>
          </cell>
          <cell r="Q1803" t="str">
            <v>-</v>
          </cell>
          <cell r="R1803" t="str">
            <v>-</v>
          </cell>
          <cell r="T1803" t="str">
            <v>-</v>
          </cell>
          <cell r="U1803" t="str">
            <v>-</v>
          </cell>
          <cell r="W1803" t="str">
            <v>-</v>
          </cell>
        </row>
        <row r="1804">
          <cell r="F1804" t="str">
            <v>KOLH01O009</v>
          </cell>
          <cell r="G1804" t="str">
            <v>OM SUGARS LIMITED (renamed to ARIHANT SUGARS)</v>
          </cell>
          <cell r="H1804">
            <v>2015</v>
          </cell>
          <cell r="J1804" t="str">
            <v>Domestic</v>
          </cell>
          <cell r="K1804" t="str">
            <v>Sugar</v>
          </cell>
          <cell r="M1804" t="str">
            <v>End User</v>
          </cell>
          <cell r="O1804">
            <v>2500</v>
          </cell>
          <cell r="P1804" t="str">
            <v>AV</v>
          </cell>
          <cell r="Q1804" t="str">
            <v>AV</v>
          </cell>
          <cell r="R1804" t="str">
            <v>VG</v>
          </cell>
          <cell r="T1804" t="str">
            <v>TOUR-1 (BELGAUM)</v>
          </cell>
          <cell r="U1804" t="str">
            <v>25-26</v>
          </cell>
          <cell r="W1804" t="str">
            <v>16-9-2025
1/17/2024</v>
          </cell>
        </row>
        <row r="1805">
          <cell r="F1805" t="str">
            <v>LUCK01O020</v>
          </cell>
          <cell r="G1805" t="str">
            <v>OMAXE THE PALACE OH-2</v>
          </cell>
          <cell r="H1805" t="str">
            <v>-</v>
          </cell>
          <cell r="J1805" t="str">
            <v>Domestic</v>
          </cell>
          <cell r="K1805" t="str">
            <v>-</v>
          </cell>
          <cell r="L1805" t="str">
            <v>Non-Sugar</v>
          </cell>
          <cell r="O1805" t="str">
            <v>-</v>
          </cell>
          <cell r="P1805" t="str">
            <v>-</v>
          </cell>
          <cell r="Q1805" t="str">
            <v>-</v>
          </cell>
          <cell r="R1805" t="str">
            <v>-</v>
          </cell>
          <cell r="T1805" t="str">
            <v>-</v>
          </cell>
          <cell r="U1805" t="str">
            <v>-</v>
          </cell>
          <cell r="W1805" t="str">
            <v>-</v>
          </cell>
        </row>
        <row r="1806">
          <cell r="F1806" t="str">
            <v>GURG01O029</v>
          </cell>
          <cell r="G1806" t="str">
            <v>ONE GROUP DEVELOPERS</v>
          </cell>
          <cell r="H1806" t="str">
            <v>-</v>
          </cell>
          <cell r="J1806" t="str">
            <v>Domestic</v>
          </cell>
          <cell r="K1806" t="str">
            <v>-</v>
          </cell>
          <cell r="L1806" t="str">
            <v>Non-Sugar</v>
          </cell>
          <cell r="O1806" t="str">
            <v>-</v>
          </cell>
          <cell r="P1806" t="str">
            <v>-</v>
          </cell>
          <cell r="Q1806" t="str">
            <v>-</v>
          </cell>
          <cell r="R1806" t="str">
            <v>-</v>
          </cell>
          <cell r="T1806" t="str">
            <v>-</v>
          </cell>
          <cell r="U1806" t="str">
            <v>-</v>
          </cell>
          <cell r="W1806" t="str">
            <v>-</v>
          </cell>
        </row>
        <row r="1807">
          <cell r="F1807" t="str">
            <v>ANKL01O008</v>
          </cell>
          <cell r="G1807" t="str">
            <v>ONGC</v>
          </cell>
          <cell r="H1807" t="str">
            <v>-</v>
          </cell>
          <cell r="J1807" t="str">
            <v>Domestic</v>
          </cell>
          <cell r="K1807" t="str">
            <v>-</v>
          </cell>
          <cell r="L1807" t="str">
            <v>Non-Sugar</v>
          </cell>
          <cell r="O1807" t="str">
            <v>-</v>
          </cell>
          <cell r="P1807" t="str">
            <v>-</v>
          </cell>
          <cell r="Q1807" t="str">
            <v>-</v>
          </cell>
          <cell r="R1807" t="str">
            <v>-</v>
          </cell>
          <cell r="T1807" t="str">
            <v>-</v>
          </cell>
          <cell r="U1807" t="str">
            <v>-</v>
          </cell>
          <cell r="W1807" t="str">
            <v>-</v>
          </cell>
        </row>
        <row r="1808">
          <cell r="F1808" t="str">
            <v>GHZB01O025</v>
          </cell>
          <cell r="G1808" t="str">
            <v>ORDNANCE FACTORY</v>
          </cell>
          <cell r="H1808" t="str">
            <v>-</v>
          </cell>
          <cell r="J1808" t="str">
            <v>Domestic</v>
          </cell>
          <cell r="K1808" t="str">
            <v>-</v>
          </cell>
          <cell r="L1808" t="str">
            <v>Non-Sugar</v>
          </cell>
          <cell r="O1808" t="str">
            <v>-</v>
          </cell>
          <cell r="P1808" t="str">
            <v>-</v>
          </cell>
          <cell r="Q1808" t="str">
            <v>-</v>
          </cell>
          <cell r="R1808" t="str">
            <v>-</v>
          </cell>
          <cell r="T1808" t="str">
            <v>-</v>
          </cell>
          <cell r="U1808" t="str">
            <v>-</v>
          </cell>
          <cell r="W1808" t="str">
            <v>-</v>
          </cell>
        </row>
        <row r="1809">
          <cell r="F1809" t="str">
            <v>THAN01O021</v>
          </cell>
          <cell r="G1809" t="str">
            <v>ORDNANCE FACTORY AMBARNATH</v>
          </cell>
          <cell r="H1809" t="str">
            <v>-</v>
          </cell>
          <cell r="J1809" t="str">
            <v>Domestic</v>
          </cell>
          <cell r="K1809" t="str">
            <v>-</v>
          </cell>
          <cell r="L1809" t="str">
            <v>Non-Sugar</v>
          </cell>
          <cell r="O1809" t="str">
            <v>-</v>
          </cell>
          <cell r="P1809" t="str">
            <v>-</v>
          </cell>
          <cell r="Q1809" t="str">
            <v>-</v>
          </cell>
          <cell r="R1809" t="str">
            <v>-</v>
          </cell>
          <cell r="T1809" t="str">
            <v>-</v>
          </cell>
          <cell r="U1809" t="str">
            <v>-</v>
          </cell>
          <cell r="W1809" t="str">
            <v>-</v>
          </cell>
        </row>
        <row r="1810">
          <cell r="F1810" t="str">
            <v>DLHI01O017</v>
          </cell>
          <cell r="G1810" t="str">
            <v>ORGANIC RECYCLING SYSTEMS PVT LTD</v>
          </cell>
          <cell r="H1810" t="str">
            <v>-</v>
          </cell>
          <cell r="J1810" t="str">
            <v>Domestic</v>
          </cell>
          <cell r="K1810" t="str">
            <v>-</v>
          </cell>
          <cell r="L1810" t="str">
            <v>Non-Sugar</v>
          </cell>
          <cell r="O1810" t="str">
            <v>-</v>
          </cell>
          <cell r="P1810" t="str">
            <v>-</v>
          </cell>
          <cell r="Q1810" t="str">
            <v>-</v>
          </cell>
          <cell r="R1810" t="str">
            <v>-</v>
          </cell>
          <cell r="T1810" t="str">
            <v>-</v>
          </cell>
          <cell r="U1810" t="str">
            <v>-</v>
          </cell>
          <cell r="W1810" t="str">
            <v>-</v>
          </cell>
        </row>
        <row r="1811">
          <cell r="F1811" t="str">
            <v>NODA01O014</v>
          </cell>
          <cell r="G1811" t="str">
            <v>ORIENT PAPER MILL</v>
          </cell>
          <cell r="H1811" t="str">
            <v>-</v>
          </cell>
          <cell r="J1811" t="str">
            <v>Domestic</v>
          </cell>
          <cell r="K1811" t="str">
            <v>Paper</v>
          </cell>
          <cell r="L1811" t="str">
            <v>Non-Sugar</v>
          </cell>
          <cell r="M1811" t="str">
            <v>End User</v>
          </cell>
          <cell r="O1811" t="str">
            <v>-</v>
          </cell>
          <cell r="P1811" t="str">
            <v>-</v>
          </cell>
          <cell r="Q1811" t="str">
            <v>-</v>
          </cell>
          <cell r="R1811" t="str">
            <v>-</v>
          </cell>
          <cell r="T1811" t="str">
            <v>-</v>
          </cell>
          <cell r="U1811" t="str">
            <v>-</v>
          </cell>
          <cell r="W1811" t="str">
            <v>-</v>
          </cell>
        </row>
        <row r="1812">
          <cell r="F1812" t="str">
            <v>KOLK01O013</v>
          </cell>
          <cell r="G1812" t="str">
            <v>ORIENTAL TRADING CORPORATION</v>
          </cell>
          <cell r="H1812">
            <v>2017</v>
          </cell>
          <cell r="J1812" t="str">
            <v>Domestic</v>
          </cell>
          <cell r="K1812" t="str">
            <v>-</v>
          </cell>
          <cell r="L1812" t="str">
            <v>Non-Sugar</v>
          </cell>
          <cell r="O1812" t="str">
            <v>-</v>
          </cell>
          <cell r="P1812" t="str">
            <v>-</v>
          </cell>
          <cell r="Q1812" t="str">
            <v>-</v>
          </cell>
          <cell r="R1812" t="str">
            <v>-</v>
          </cell>
          <cell r="T1812" t="str">
            <v>-</v>
          </cell>
          <cell r="U1812" t="str">
            <v>-</v>
          </cell>
          <cell r="W1812" t="str">
            <v>-</v>
          </cell>
        </row>
        <row r="1813">
          <cell r="F1813" t="str">
            <v>CHEN01O026</v>
          </cell>
          <cell r="G1813" t="str">
            <v>ORION WATER TREATMENT INDUSTRY</v>
          </cell>
          <cell r="H1813" t="str">
            <v>-</v>
          </cell>
          <cell r="J1813" t="str">
            <v>Domestic</v>
          </cell>
          <cell r="K1813" t="str">
            <v>-</v>
          </cell>
          <cell r="L1813" t="str">
            <v>Non-Sugar</v>
          </cell>
          <cell r="O1813" t="str">
            <v>-</v>
          </cell>
          <cell r="P1813" t="str">
            <v>-</v>
          </cell>
          <cell r="Q1813" t="str">
            <v>-</v>
          </cell>
          <cell r="R1813" t="str">
            <v>-</v>
          </cell>
          <cell r="T1813" t="str">
            <v>-</v>
          </cell>
          <cell r="U1813" t="str">
            <v>-</v>
          </cell>
          <cell r="W1813" t="str">
            <v>-</v>
          </cell>
        </row>
        <row r="1814">
          <cell r="F1814" t="str">
            <v>KANP01O028</v>
          </cell>
          <cell r="G1814" t="str">
            <v>OTTOVODIA PVT. LTD</v>
          </cell>
          <cell r="H1814" t="str">
            <v>-</v>
          </cell>
          <cell r="J1814" t="str">
            <v>Domestic</v>
          </cell>
          <cell r="K1814" t="str">
            <v>-</v>
          </cell>
          <cell r="L1814" t="str">
            <v>Non-Sugar</v>
          </cell>
          <cell r="O1814" t="str">
            <v>-</v>
          </cell>
          <cell r="P1814" t="str">
            <v>-</v>
          </cell>
          <cell r="Q1814" t="str">
            <v>-</v>
          </cell>
          <cell r="R1814" t="str">
            <v>-</v>
          </cell>
          <cell r="T1814" t="str">
            <v>-</v>
          </cell>
          <cell r="U1814" t="str">
            <v>-</v>
          </cell>
          <cell r="W1814" t="str">
            <v>-</v>
          </cell>
        </row>
        <row r="1815">
          <cell r="F1815" t="str">
            <v>DLHI01O006</v>
          </cell>
          <cell r="G1815" t="str">
            <v>OVERSEAS INFRASTRUCTURE ALLIANCE (I)PVT.LTD</v>
          </cell>
          <cell r="H1815" t="str">
            <v>-</v>
          </cell>
          <cell r="J1815" t="str">
            <v>Domestic</v>
          </cell>
          <cell r="K1815" t="str">
            <v>-</v>
          </cell>
          <cell r="L1815" t="str">
            <v>Non-Sugar</v>
          </cell>
          <cell r="O1815" t="str">
            <v>-</v>
          </cell>
          <cell r="P1815" t="str">
            <v>-</v>
          </cell>
          <cell r="Q1815" t="str">
            <v>-</v>
          </cell>
          <cell r="R1815" t="str">
            <v>-</v>
          </cell>
          <cell r="T1815" t="str">
            <v>-</v>
          </cell>
          <cell r="U1815" t="str">
            <v>-</v>
          </cell>
          <cell r="W1815" t="str">
            <v>-</v>
          </cell>
        </row>
        <row r="1816">
          <cell r="F1816" t="str">
            <v>BEED01P002</v>
          </cell>
          <cell r="G1816" t="str">
            <v>PADAMSHREE DR.VITHALRAO VIKHE- PATIL SAHAKARI SAKHAR - KARKHANA LTD.</v>
          </cell>
          <cell r="H1816" t="str">
            <v>-</v>
          </cell>
          <cell r="J1816" t="str">
            <v>Domestic</v>
          </cell>
          <cell r="K1816" t="str">
            <v>Sugar</v>
          </cell>
          <cell r="M1816" t="str">
            <v>End User</v>
          </cell>
          <cell r="O1816" t="str">
            <v>-</v>
          </cell>
          <cell r="P1816" t="str">
            <v>-</v>
          </cell>
          <cell r="Q1816" t="str">
            <v>-</v>
          </cell>
          <cell r="R1816" t="str">
            <v>-</v>
          </cell>
          <cell r="T1816" t="str">
            <v>-</v>
          </cell>
          <cell r="W1816" t="str">
            <v>-</v>
          </cell>
        </row>
        <row r="1817">
          <cell r="F1817" t="str">
            <v>KANE01P027</v>
          </cell>
          <cell r="G1817" t="str">
            <v>PADMAADEVI SUGARS LIMITED</v>
          </cell>
          <cell r="H1817">
            <v>2014</v>
          </cell>
          <cell r="J1817" t="str">
            <v>Domestic</v>
          </cell>
          <cell r="K1817" t="str">
            <v>Sugar</v>
          </cell>
          <cell r="P1817" t="str">
            <v>SI-GS</v>
          </cell>
          <cell r="Q1817" t="str">
            <v>SI-GS</v>
          </cell>
          <cell r="W1817" t="str">
            <v>-</v>
          </cell>
        </row>
        <row r="1818">
          <cell r="F1818" t="str">
            <v>AHMD01P046</v>
          </cell>
          <cell r="G1818" t="str">
            <v>PADMASHRI DR.VITTHALRAO VIKHE PATIL S.S.K.LTD</v>
          </cell>
          <cell r="H1818">
            <v>2016</v>
          </cell>
          <cell r="J1818" t="str">
            <v>Domestic</v>
          </cell>
          <cell r="K1818" t="str">
            <v>Sugar</v>
          </cell>
          <cell r="M1818" t="str">
            <v>End User</v>
          </cell>
          <cell r="O1818" t="str">
            <v>-</v>
          </cell>
          <cell r="P1818" t="str">
            <v>-</v>
          </cell>
          <cell r="Q1818" t="str">
            <v>-</v>
          </cell>
          <cell r="R1818" t="str">
            <v>-</v>
          </cell>
          <cell r="T1818" t="str">
            <v>-</v>
          </cell>
          <cell r="W1818" t="str">
            <v>-</v>
          </cell>
        </row>
        <row r="1819">
          <cell r="F1819" t="str">
            <v>GUJA01P091</v>
          </cell>
          <cell r="G1819" t="str">
            <v>PALAK PAPER MILL</v>
          </cell>
          <cell r="H1819" t="str">
            <v>-</v>
          </cell>
          <cell r="J1819" t="str">
            <v>Domestic</v>
          </cell>
          <cell r="K1819" t="str">
            <v>Paper</v>
          </cell>
          <cell r="L1819" t="str">
            <v>Non-Sugar</v>
          </cell>
          <cell r="M1819" t="str">
            <v>End User</v>
          </cell>
          <cell r="O1819" t="str">
            <v>-</v>
          </cell>
          <cell r="P1819" t="str">
            <v>-</v>
          </cell>
          <cell r="Q1819" t="str">
            <v>-</v>
          </cell>
          <cell r="R1819" t="str">
            <v>-</v>
          </cell>
          <cell r="T1819" t="str">
            <v>-</v>
          </cell>
          <cell r="U1819" t="str">
            <v>-</v>
          </cell>
          <cell r="W1819" t="str">
            <v>-</v>
          </cell>
        </row>
        <row r="1820">
          <cell r="F1820" t="str">
            <v>SAIN01P085</v>
          </cell>
          <cell r="G1820" t="str">
            <v>PAN CARE PVT LTD</v>
          </cell>
          <cell r="H1820" t="str">
            <v>-</v>
          </cell>
          <cell r="J1820" t="str">
            <v>Export</v>
          </cell>
          <cell r="K1820" t="str">
            <v>-</v>
          </cell>
          <cell r="L1820" t="str">
            <v>Non-Sugar</v>
          </cell>
          <cell r="O1820" t="str">
            <v>-</v>
          </cell>
          <cell r="P1820" t="str">
            <v>-</v>
          </cell>
          <cell r="Q1820" t="str">
            <v>-</v>
          </cell>
          <cell r="R1820" t="str">
            <v>-</v>
          </cell>
          <cell r="T1820" t="str">
            <v>-</v>
          </cell>
          <cell r="U1820" t="str">
            <v>-</v>
          </cell>
          <cell r="W1820" t="str">
            <v>-</v>
          </cell>
        </row>
        <row r="1821">
          <cell r="F1821" t="str">
            <v>INDR01P025</v>
          </cell>
          <cell r="G1821" t="str">
            <v>PANAMA PHARMACEUTICALS</v>
          </cell>
          <cell r="H1821" t="str">
            <v>-</v>
          </cell>
          <cell r="J1821" t="str">
            <v>Domestic</v>
          </cell>
          <cell r="P1821" t="str">
            <v>LGP</v>
          </cell>
          <cell r="Q1821" t="str">
            <v>-</v>
          </cell>
        </row>
        <row r="1822">
          <cell r="F1822" t="str">
            <v>NODA01P050</v>
          </cell>
          <cell r="G1822" t="str">
            <v>PANAY ENERGY DELELOPMENT CORP.</v>
          </cell>
          <cell r="H1822" t="str">
            <v>-</v>
          </cell>
          <cell r="J1822" t="str">
            <v>Domestic</v>
          </cell>
          <cell r="K1822" t="str">
            <v>-</v>
          </cell>
          <cell r="L1822" t="str">
            <v>Non-Sugar</v>
          </cell>
          <cell r="O1822" t="str">
            <v>-</v>
          </cell>
          <cell r="P1822" t="str">
            <v>-</v>
          </cell>
          <cell r="Q1822" t="str">
            <v>-</v>
          </cell>
          <cell r="R1822" t="str">
            <v>-</v>
          </cell>
          <cell r="T1822" t="str">
            <v>-</v>
          </cell>
          <cell r="U1822" t="str">
            <v>-</v>
          </cell>
          <cell r="W1822" t="str">
            <v>-</v>
          </cell>
        </row>
        <row r="1823">
          <cell r="F1823" t="str">
            <v>THNA01P088</v>
          </cell>
          <cell r="G1823" t="str">
            <v>PANCHAL MECHANICALS PVT LTD</v>
          </cell>
          <cell r="H1823" t="str">
            <v>-</v>
          </cell>
          <cell r="J1823" t="str">
            <v>Domestic</v>
          </cell>
          <cell r="K1823" t="str">
            <v>-</v>
          </cell>
          <cell r="L1823" t="str">
            <v>Non-Sugar</v>
          </cell>
          <cell r="O1823" t="str">
            <v>-</v>
          </cell>
          <cell r="P1823" t="str">
            <v>-</v>
          </cell>
          <cell r="Q1823" t="str">
            <v>-</v>
          </cell>
          <cell r="R1823" t="str">
            <v>-</v>
          </cell>
          <cell r="T1823" t="str">
            <v>-</v>
          </cell>
          <cell r="U1823" t="str">
            <v>-</v>
          </cell>
          <cell r="W1823" t="str">
            <v>-</v>
          </cell>
        </row>
        <row r="1824">
          <cell r="F1824" t="str">
            <v>GHZB01P074</v>
          </cell>
          <cell r="G1824" t="str">
            <v>PARAMOUNT BUILD PVT LTD</v>
          </cell>
          <cell r="H1824" t="str">
            <v>-</v>
          </cell>
          <cell r="J1824" t="str">
            <v>Domestic</v>
          </cell>
          <cell r="K1824" t="str">
            <v>-</v>
          </cell>
          <cell r="L1824" t="str">
            <v>Non-Sugar</v>
          </cell>
          <cell r="O1824" t="str">
            <v>-</v>
          </cell>
          <cell r="P1824" t="str">
            <v>-</v>
          </cell>
          <cell r="Q1824" t="str">
            <v>-</v>
          </cell>
          <cell r="R1824" t="str">
            <v>-</v>
          </cell>
          <cell r="T1824" t="str">
            <v>-</v>
          </cell>
          <cell r="U1824" t="str">
            <v>-</v>
          </cell>
          <cell r="W1824" t="str">
            <v>-</v>
          </cell>
        </row>
        <row r="1825">
          <cell r="F1825" t="str">
            <v>KALO01P005</v>
          </cell>
          <cell r="G1825" t="str">
            <v>PARAS PHARMACEUTICALS LIMITED</v>
          </cell>
          <cell r="H1825" t="str">
            <v>-</v>
          </cell>
          <cell r="J1825" t="str">
            <v>Domestic</v>
          </cell>
          <cell r="K1825" t="str">
            <v>-</v>
          </cell>
          <cell r="L1825" t="str">
            <v>Non-Sugar</v>
          </cell>
          <cell r="O1825" t="str">
            <v>-</v>
          </cell>
          <cell r="P1825" t="str">
            <v>-</v>
          </cell>
          <cell r="Q1825" t="str">
            <v>-</v>
          </cell>
          <cell r="R1825" t="str">
            <v>-</v>
          </cell>
          <cell r="T1825" t="str">
            <v>-</v>
          </cell>
          <cell r="U1825" t="str">
            <v>-</v>
          </cell>
          <cell r="W1825" t="str">
            <v>-</v>
          </cell>
        </row>
        <row r="1826">
          <cell r="F1826" t="str">
            <v>DLHI01P070</v>
          </cell>
          <cell r="G1826" t="str">
            <v>PARAS TECH PVT.LTD.</v>
          </cell>
          <cell r="H1826" t="str">
            <v>-</v>
          </cell>
          <cell r="J1826" t="str">
            <v>Domestic</v>
          </cell>
          <cell r="K1826" t="str">
            <v>-</v>
          </cell>
          <cell r="L1826" t="str">
            <v>Non-Sugar</v>
          </cell>
          <cell r="O1826" t="str">
            <v>-</v>
          </cell>
          <cell r="P1826" t="str">
            <v>-</v>
          </cell>
          <cell r="Q1826" t="str">
            <v>-</v>
          </cell>
          <cell r="R1826" t="str">
            <v>-</v>
          </cell>
          <cell r="T1826" t="str">
            <v>-</v>
          </cell>
          <cell r="U1826" t="str">
            <v>-</v>
          </cell>
          <cell r="W1826" t="str">
            <v>-</v>
          </cell>
        </row>
        <row r="1827">
          <cell r="F1827" t="str">
            <v>KANP01P045</v>
          </cell>
          <cell r="G1827" t="str">
            <v>PARNAAMI CREATION</v>
          </cell>
          <cell r="H1827" t="str">
            <v>-</v>
          </cell>
          <cell r="J1827" t="str">
            <v>Domestic</v>
          </cell>
          <cell r="K1827" t="str">
            <v>-</v>
          </cell>
          <cell r="L1827" t="str">
            <v>Non-Sugar</v>
          </cell>
          <cell r="O1827" t="str">
            <v>-</v>
          </cell>
          <cell r="P1827" t="str">
            <v>-</v>
          </cell>
          <cell r="Q1827" t="str">
            <v>-</v>
          </cell>
          <cell r="R1827" t="str">
            <v>-</v>
          </cell>
          <cell r="T1827" t="str">
            <v>-</v>
          </cell>
          <cell r="U1827" t="str">
            <v>-</v>
          </cell>
          <cell r="W1827" t="str">
            <v>-</v>
          </cell>
        </row>
        <row r="1828">
          <cell r="F1828" t="str">
            <v>BELG01P009</v>
          </cell>
          <cell r="G1828" t="str">
            <v>PARRYS SUGAR INDUSTRIES LTD.-(RAMDURG)</v>
          </cell>
          <cell r="H1828">
            <v>2014</v>
          </cell>
          <cell r="J1828" t="str">
            <v>Domestic</v>
          </cell>
          <cell r="K1828" t="str">
            <v>Sugar</v>
          </cell>
          <cell r="M1828" t="str">
            <v>End User</v>
          </cell>
          <cell r="O1828" t="str">
            <v>-</v>
          </cell>
          <cell r="P1828" t="str">
            <v>-</v>
          </cell>
          <cell r="Q1828" t="str">
            <v>-</v>
          </cell>
          <cell r="R1828" t="str">
            <v>-</v>
          </cell>
          <cell r="T1828" t="str">
            <v>-</v>
          </cell>
          <cell r="W1828" t="str">
            <v>-</v>
          </cell>
        </row>
        <row r="1829">
          <cell r="F1829" t="str">
            <v>DHAK01P010</v>
          </cell>
          <cell r="G1829" t="str">
            <v>PARTEX SUGAR MILLS LIMITED</v>
          </cell>
          <cell r="H1829" t="str">
            <v>-</v>
          </cell>
          <cell r="J1829" t="str">
            <v>Export</v>
          </cell>
          <cell r="K1829" t="str">
            <v>Sugar</v>
          </cell>
          <cell r="L1829" t="str">
            <v>Sugar</v>
          </cell>
          <cell r="M1829" t="str">
            <v>End User</v>
          </cell>
          <cell r="O1829" t="str">
            <v>-</v>
          </cell>
          <cell r="P1829" t="str">
            <v>-</v>
          </cell>
          <cell r="Q1829" t="str">
            <v>-</v>
          </cell>
          <cell r="R1829" t="str">
            <v>-</v>
          </cell>
          <cell r="T1829" t="str">
            <v>-</v>
          </cell>
          <cell r="U1829" t="str">
            <v>-</v>
          </cell>
          <cell r="W1829" t="str">
            <v>-</v>
          </cell>
        </row>
        <row r="1830">
          <cell r="F1830" t="str">
            <v>RAIG01P069</v>
          </cell>
          <cell r="G1830" t="str">
            <v>PATEL WAREHOUSING CORPORATION</v>
          </cell>
          <cell r="H1830" t="str">
            <v>-</v>
          </cell>
          <cell r="J1830" t="str">
            <v>Domestic</v>
          </cell>
          <cell r="K1830" t="str">
            <v>-</v>
          </cell>
          <cell r="L1830" t="str">
            <v>Non-Sugar</v>
          </cell>
          <cell r="O1830" t="str">
            <v>-</v>
          </cell>
          <cell r="P1830" t="str">
            <v>-</v>
          </cell>
          <cell r="Q1830" t="str">
            <v>-</v>
          </cell>
          <cell r="R1830" t="str">
            <v>-</v>
          </cell>
          <cell r="T1830" t="str">
            <v>-</v>
          </cell>
          <cell r="U1830" t="str">
            <v>-</v>
          </cell>
          <cell r="W1830" t="str">
            <v>-</v>
          </cell>
        </row>
        <row r="1831">
          <cell r="F1831" t="str">
            <v>GUJA01P092</v>
          </cell>
          <cell r="G1831" t="str">
            <v>PAVANPUTRA DAIRY PRODUCTS</v>
          </cell>
          <cell r="H1831" t="str">
            <v>-</v>
          </cell>
          <cell r="J1831" t="str">
            <v>Domestic</v>
          </cell>
          <cell r="K1831" t="str">
            <v>Dairy</v>
          </cell>
          <cell r="L1831" t="str">
            <v>Non-Sugar</v>
          </cell>
          <cell r="M1831" t="str">
            <v>End User</v>
          </cell>
          <cell r="O1831" t="str">
            <v>-</v>
          </cell>
          <cell r="P1831" t="str">
            <v>-</v>
          </cell>
          <cell r="Q1831" t="str">
            <v>-</v>
          </cell>
          <cell r="R1831" t="str">
            <v>-</v>
          </cell>
          <cell r="T1831" t="str">
            <v>-</v>
          </cell>
          <cell r="U1831" t="str">
            <v>-</v>
          </cell>
          <cell r="W1831" t="str">
            <v>-</v>
          </cell>
        </row>
        <row r="1832">
          <cell r="F1832" t="str">
            <v>HYDE01P068</v>
          </cell>
          <cell r="G1832" t="str">
            <v>PENNAR INDUSTRIES LIMITED</v>
          </cell>
          <cell r="H1832" t="str">
            <v>-</v>
          </cell>
          <cell r="J1832" t="str">
            <v>Domestic</v>
          </cell>
          <cell r="K1832" t="str">
            <v>Others</v>
          </cell>
          <cell r="L1832" t="str">
            <v>Non-Sugar</v>
          </cell>
          <cell r="P1832" t="str">
            <v>SI-GS</v>
          </cell>
          <cell r="Q1832" t="str">
            <v>SI-GS</v>
          </cell>
          <cell r="W1832" t="str">
            <v>-</v>
          </cell>
        </row>
        <row r="1833">
          <cell r="F1833" t="str">
            <v>HYDE01P064</v>
          </cell>
          <cell r="G1833" t="str">
            <v>PENNAR INDUSTRIES LIMITED</v>
          </cell>
          <cell r="H1833">
            <v>2021</v>
          </cell>
          <cell r="J1833" t="str">
            <v>Domestic</v>
          </cell>
          <cell r="K1833" t="str">
            <v>Others</v>
          </cell>
          <cell r="L1833" t="str">
            <v>Non-Sugar</v>
          </cell>
          <cell r="M1833" t="str">
            <v>OEM</v>
          </cell>
          <cell r="P1833" t="str">
            <v>SI-GS</v>
          </cell>
          <cell r="Q1833" t="str">
            <v>SI-GS</v>
          </cell>
          <cell r="W1833" t="str">
            <v>-</v>
          </cell>
        </row>
        <row r="1834">
          <cell r="F1834" t="str">
            <v>CHEN01P072</v>
          </cell>
          <cell r="G1834" t="str">
            <v>PERFECT ENGINEERING</v>
          </cell>
          <cell r="H1834" t="str">
            <v>-</v>
          </cell>
          <cell r="J1834" t="str">
            <v>Domestic</v>
          </cell>
          <cell r="K1834" t="str">
            <v>-</v>
          </cell>
          <cell r="L1834" t="str">
            <v>Non-Sugar</v>
          </cell>
          <cell r="O1834" t="str">
            <v>-</v>
          </cell>
          <cell r="P1834" t="str">
            <v>-</v>
          </cell>
          <cell r="Q1834" t="str">
            <v>-</v>
          </cell>
          <cell r="R1834" t="str">
            <v>-</v>
          </cell>
          <cell r="T1834" t="str">
            <v>-</v>
          </cell>
          <cell r="U1834" t="str">
            <v>-</v>
          </cell>
          <cell r="W1834" t="str">
            <v>-</v>
          </cell>
        </row>
        <row r="1835">
          <cell r="F1835" t="str">
            <v>NAGP01P084</v>
          </cell>
          <cell r="G1835" t="str">
            <v>PERFECT TRADING CORPORATION</v>
          </cell>
          <cell r="H1835" t="str">
            <v>-</v>
          </cell>
          <cell r="J1835" t="str">
            <v>Domestic</v>
          </cell>
          <cell r="K1835" t="str">
            <v>-</v>
          </cell>
          <cell r="L1835" t="str">
            <v>Non-Sugar</v>
          </cell>
          <cell r="O1835" t="str">
            <v>-</v>
          </cell>
          <cell r="P1835" t="str">
            <v>-</v>
          </cell>
          <cell r="Q1835" t="str">
            <v>-</v>
          </cell>
          <cell r="R1835" t="str">
            <v>-</v>
          </cell>
          <cell r="T1835" t="str">
            <v>-</v>
          </cell>
          <cell r="U1835" t="str">
            <v>-</v>
          </cell>
          <cell r="W1835" t="str">
            <v>-</v>
          </cell>
        </row>
        <row r="1836">
          <cell r="F1836" t="str">
            <v>DOKK01P023</v>
          </cell>
          <cell r="G1836" t="str">
            <v>PETROCONSULT ENGINEERING</v>
          </cell>
          <cell r="H1836" t="str">
            <v>-</v>
          </cell>
          <cell r="J1836" t="str">
            <v>Export</v>
          </cell>
          <cell r="K1836" t="str">
            <v>-</v>
          </cell>
          <cell r="L1836" t="str">
            <v>Non-Sugar</v>
          </cell>
          <cell r="O1836" t="str">
            <v>-</v>
          </cell>
          <cell r="P1836" t="str">
            <v>-</v>
          </cell>
          <cell r="Q1836" t="str">
            <v>-</v>
          </cell>
          <cell r="R1836" t="str">
            <v>-</v>
          </cell>
          <cell r="T1836" t="str">
            <v>-</v>
          </cell>
          <cell r="U1836" t="str">
            <v>-</v>
          </cell>
          <cell r="W1836" t="str">
            <v>-</v>
          </cell>
        </row>
        <row r="1837">
          <cell r="F1837" t="str">
            <v>PUNE01P053</v>
          </cell>
          <cell r="G1837" t="str">
            <v>PHADTARE ENGINEERING WORK</v>
          </cell>
          <cell r="H1837" t="str">
            <v>-</v>
          </cell>
          <cell r="J1837" t="str">
            <v>Domestic</v>
          </cell>
          <cell r="P1837" t="str">
            <v>LGP</v>
          </cell>
          <cell r="Q1837" t="str">
            <v>-</v>
          </cell>
        </row>
        <row r="1838">
          <cell r="F1838" t="str">
            <v>DLHI01P077</v>
          </cell>
          <cell r="G1838" t="str">
            <v>PHARMATECH FILTERATION</v>
          </cell>
          <cell r="H1838" t="str">
            <v>-</v>
          </cell>
          <cell r="J1838" t="str">
            <v>Domestic</v>
          </cell>
          <cell r="K1838" t="str">
            <v>-</v>
          </cell>
          <cell r="L1838" t="str">
            <v>Non-Sugar</v>
          </cell>
          <cell r="O1838" t="str">
            <v>-</v>
          </cell>
          <cell r="P1838" t="str">
            <v>-</v>
          </cell>
          <cell r="Q1838" t="str">
            <v>-</v>
          </cell>
          <cell r="R1838" t="str">
            <v>-</v>
          </cell>
          <cell r="T1838" t="str">
            <v>-</v>
          </cell>
          <cell r="U1838" t="str">
            <v>-</v>
          </cell>
          <cell r="W1838" t="str">
            <v>-</v>
          </cell>
        </row>
        <row r="1839">
          <cell r="F1839" t="str">
            <v>KOLA01P034</v>
          </cell>
          <cell r="G1839" t="str">
            <v>PHYNICS ENGINEERING PRODUCTS</v>
          </cell>
          <cell r="H1839" t="str">
            <v>-</v>
          </cell>
          <cell r="J1839" t="str">
            <v>Domestic</v>
          </cell>
          <cell r="K1839" t="str">
            <v>others</v>
          </cell>
          <cell r="L1839" t="str">
            <v>Non-Sugar</v>
          </cell>
          <cell r="M1839" t="str">
            <v>Trader</v>
          </cell>
          <cell r="O1839" t="str">
            <v>-</v>
          </cell>
          <cell r="P1839" t="str">
            <v>-</v>
          </cell>
          <cell r="Q1839" t="str">
            <v>-</v>
          </cell>
          <cell r="R1839" t="str">
            <v>-</v>
          </cell>
          <cell r="T1839" t="str">
            <v>-</v>
          </cell>
          <cell r="W1839" t="str">
            <v>-</v>
          </cell>
        </row>
        <row r="1840">
          <cell r="F1840" t="str">
            <v>PHIL01P031</v>
          </cell>
          <cell r="G1840" t="str">
            <v>PIGGERY</v>
          </cell>
          <cell r="H1840" t="str">
            <v>-</v>
          </cell>
          <cell r="J1840" t="str">
            <v>Export</v>
          </cell>
          <cell r="K1840" t="str">
            <v>-</v>
          </cell>
          <cell r="L1840" t="str">
            <v>Non-Sugar</v>
          </cell>
          <cell r="O1840" t="str">
            <v>-</v>
          </cell>
          <cell r="P1840" t="str">
            <v>-</v>
          </cell>
          <cell r="Q1840" t="str">
            <v>-</v>
          </cell>
          <cell r="R1840" t="str">
            <v>-</v>
          </cell>
          <cell r="T1840" t="str">
            <v>-</v>
          </cell>
          <cell r="U1840" t="str">
            <v>-</v>
          </cell>
          <cell r="W1840" t="str">
            <v>-</v>
          </cell>
        </row>
        <row r="1841">
          <cell r="F1841" t="str">
            <v>SAHA01P013</v>
          </cell>
          <cell r="G1841" t="str">
            <v>PILKHANI DISTILLERY &amp; CHEMICAL WORKS</v>
          </cell>
          <cell r="H1841">
            <v>2015</v>
          </cell>
          <cell r="J1841" t="str">
            <v>Domestic</v>
          </cell>
          <cell r="K1841" t="str">
            <v>Distillery</v>
          </cell>
          <cell r="L1841" t="str">
            <v>Non-Sugar</v>
          </cell>
          <cell r="M1841" t="str">
            <v>End User</v>
          </cell>
          <cell r="O1841" t="str">
            <v>-</v>
          </cell>
          <cell r="P1841" t="str">
            <v>HO</v>
          </cell>
          <cell r="Q1841" t="str">
            <v>-</v>
          </cell>
          <cell r="T1841" t="str">
            <v>-</v>
          </cell>
          <cell r="U1841" t="str">
            <v>-</v>
          </cell>
          <cell r="W1841" t="str">
            <v>-</v>
          </cell>
        </row>
        <row r="1842">
          <cell r="F1842" t="str">
            <v>PUNE01P075</v>
          </cell>
          <cell r="G1842" t="str">
            <v>PIONEER ENGINEERING &amp; TRADES</v>
          </cell>
          <cell r="H1842" t="str">
            <v>-</v>
          </cell>
          <cell r="J1842" t="str">
            <v>Domestic</v>
          </cell>
          <cell r="K1842" t="str">
            <v>-</v>
          </cell>
          <cell r="L1842" t="str">
            <v>Non-Sugar</v>
          </cell>
          <cell r="O1842" t="str">
            <v>-</v>
          </cell>
          <cell r="P1842" t="str">
            <v>-</v>
          </cell>
          <cell r="Q1842" t="str">
            <v>-</v>
          </cell>
          <cell r="R1842" t="str">
            <v>-</v>
          </cell>
          <cell r="T1842" t="str">
            <v>-</v>
          </cell>
          <cell r="U1842" t="str">
            <v>-</v>
          </cell>
          <cell r="W1842" t="str">
            <v>-</v>
          </cell>
        </row>
        <row r="1843">
          <cell r="F1843" t="str">
            <v>NANA01P037</v>
          </cell>
          <cell r="G1843" t="str">
            <v>PIYUSH POTA</v>
          </cell>
          <cell r="H1843" t="str">
            <v>-</v>
          </cell>
          <cell r="J1843" t="str">
            <v>Domestic</v>
          </cell>
          <cell r="L1843" t="str">
            <v>Non-Sugar</v>
          </cell>
          <cell r="O1843" t="str">
            <v>-</v>
          </cell>
          <cell r="P1843" t="str">
            <v>-</v>
          </cell>
          <cell r="Q1843" t="str">
            <v>-</v>
          </cell>
        </row>
        <row r="1844">
          <cell r="F1844" t="str">
            <v>GUJA01P093</v>
          </cell>
          <cell r="G1844" t="str">
            <v>PLIM BIOTECH PVT LTD</v>
          </cell>
          <cell r="H1844" t="str">
            <v>-</v>
          </cell>
          <cell r="J1844" t="str">
            <v>Domestic</v>
          </cell>
          <cell r="K1844" t="str">
            <v>-</v>
          </cell>
          <cell r="L1844" t="str">
            <v>Non-Sugar</v>
          </cell>
          <cell r="O1844" t="str">
            <v>-</v>
          </cell>
          <cell r="P1844" t="str">
            <v>-</v>
          </cell>
          <cell r="Q1844" t="str">
            <v>-</v>
          </cell>
          <cell r="R1844" t="str">
            <v>-</v>
          </cell>
          <cell r="T1844" t="str">
            <v>-</v>
          </cell>
          <cell r="U1844" t="str">
            <v>-</v>
          </cell>
          <cell r="W1844" t="str">
            <v>-</v>
          </cell>
        </row>
        <row r="1845">
          <cell r="F1845" t="str">
            <v>GWAL01P090</v>
          </cell>
          <cell r="G1845" t="str">
            <v>POLY MEDICURE LIMITED</v>
          </cell>
          <cell r="H1845" t="str">
            <v>-</v>
          </cell>
          <cell r="J1845" t="str">
            <v>Domestic</v>
          </cell>
          <cell r="K1845" t="str">
            <v>-</v>
          </cell>
          <cell r="L1845" t="str">
            <v>Non-Sugar</v>
          </cell>
          <cell r="O1845" t="str">
            <v>-</v>
          </cell>
          <cell r="P1845" t="str">
            <v>-</v>
          </cell>
          <cell r="Q1845" t="str">
            <v>-</v>
          </cell>
          <cell r="R1845" t="str">
            <v>-</v>
          </cell>
          <cell r="T1845" t="str">
            <v>-</v>
          </cell>
          <cell r="U1845" t="str">
            <v>-</v>
          </cell>
          <cell r="W1845" t="str">
            <v>-</v>
          </cell>
        </row>
        <row r="1846">
          <cell r="F1846" t="str">
            <v>JAIP01P087</v>
          </cell>
          <cell r="G1846" t="str">
            <v>POWER ELECTRICAL AND HARDWARE STORE</v>
          </cell>
          <cell r="H1846" t="str">
            <v>-</v>
          </cell>
          <cell r="J1846" t="str">
            <v>Domestic</v>
          </cell>
          <cell r="K1846" t="str">
            <v>-</v>
          </cell>
          <cell r="L1846" t="str">
            <v>Non-Sugar</v>
          </cell>
          <cell r="O1846" t="str">
            <v>-</v>
          </cell>
          <cell r="P1846" t="str">
            <v>-</v>
          </cell>
          <cell r="Q1846" t="str">
            <v>-</v>
          </cell>
          <cell r="R1846" t="str">
            <v>-</v>
          </cell>
          <cell r="T1846" t="str">
            <v>-</v>
          </cell>
          <cell r="U1846" t="str">
            <v>-</v>
          </cell>
          <cell r="W1846" t="str">
            <v>-</v>
          </cell>
        </row>
        <row r="1847">
          <cell r="F1847" t="str">
            <v>VADO01P058</v>
          </cell>
          <cell r="G1847" t="str">
            <v>POWER MECH</v>
          </cell>
          <cell r="H1847" t="str">
            <v>19-20</v>
          </cell>
          <cell r="J1847" t="str">
            <v>Domestic</v>
          </cell>
          <cell r="K1847" t="str">
            <v>-</v>
          </cell>
          <cell r="L1847" t="str">
            <v>Non-Sugar</v>
          </cell>
          <cell r="M1847" t="str">
            <v>End User</v>
          </cell>
          <cell r="O1847" t="str">
            <v>-</v>
          </cell>
          <cell r="P1847" t="str">
            <v>-</v>
          </cell>
          <cell r="Q1847" t="str">
            <v>-</v>
          </cell>
          <cell r="R1847" t="str">
            <v>-</v>
          </cell>
          <cell r="T1847" t="str">
            <v>-</v>
          </cell>
          <cell r="U1847" t="str">
            <v>-</v>
          </cell>
          <cell r="W1847" t="str">
            <v>-</v>
          </cell>
        </row>
        <row r="1848">
          <cell r="F1848" t="str">
            <v>MUMB01P101</v>
          </cell>
          <cell r="G1848" t="str">
            <v>PRABHASU</v>
          </cell>
          <cell r="H1848" t="str">
            <v>-</v>
          </cell>
          <cell r="J1848" t="str">
            <v>Domestic</v>
          </cell>
          <cell r="K1848" t="str">
            <v>-</v>
          </cell>
          <cell r="L1848" t="str">
            <v>Non-Sugar</v>
          </cell>
          <cell r="O1848" t="str">
            <v>-</v>
          </cell>
          <cell r="P1848" t="str">
            <v>-</v>
          </cell>
          <cell r="Q1848" t="str">
            <v>-</v>
          </cell>
          <cell r="R1848" t="str">
            <v>-</v>
          </cell>
          <cell r="T1848" t="str">
            <v>-</v>
          </cell>
          <cell r="U1848" t="str">
            <v>-</v>
          </cell>
          <cell r="W1848" t="str">
            <v>-</v>
          </cell>
        </row>
        <row r="1849">
          <cell r="F1849" t="str">
            <v>JAIP01P066</v>
          </cell>
          <cell r="G1849" t="str">
            <v>PRAKASH CHANDRA BISWAL</v>
          </cell>
          <cell r="H1849" t="str">
            <v>-</v>
          </cell>
          <cell r="J1849" t="str">
            <v>Domestic</v>
          </cell>
          <cell r="K1849" t="str">
            <v>-</v>
          </cell>
          <cell r="L1849" t="str">
            <v>Non-Sugar</v>
          </cell>
          <cell r="O1849" t="str">
            <v>-</v>
          </cell>
          <cell r="P1849" t="str">
            <v>-</v>
          </cell>
          <cell r="Q1849" t="str">
            <v>-</v>
          </cell>
          <cell r="R1849" t="str">
            <v>-</v>
          </cell>
          <cell r="T1849" t="str">
            <v>-</v>
          </cell>
          <cell r="U1849" t="str">
            <v>-</v>
          </cell>
          <cell r="W1849" t="str">
            <v>-</v>
          </cell>
        </row>
        <row r="1850">
          <cell r="F1850" t="str">
            <v>MUMB01P102</v>
          </cell>
          <cell r="G1850" t="str">
            <v>PRAKTAN INDUSTRIES</v>
          </cell>
          <cell r="H1850" t="str">
            <v>-</v>
          </cell>
          <cell r="J1850" t="str">
            <v>Domestic</v>
          </cell>
          <cell r="K1850" t="str">
            <v>-</v>
          </cell>
          <cell r="L1850" t="str">
            <v>Non-Sugar</v>
          </cell>
          <cell r="O1850" t="str">
            <v>-</v>
          </cell>
          <cell r="P1850" t="str">
            <v>-</v>
          </cell>
          <cell r="Q1850" t="str">
            <v>-</v>
          </cell>
          <cell r="R1850" t="str">
            <v>-</v>
          </cell>
          <cell r="T1850" t="str">
            <v>-</v>
          </cell>
          <cell r="U1850" t="str">
            <v>-</v>
          </cell>
          <cell r="W1850" t="str">
            <v>-</v>
          </cell>
        </row>
        <row r="1851">
          <cell r="F1851" t="str">
            <v>CHEN01P049</v>
          </cell>
          <cell r="G1851" t="str">
            <v>PRASHANT BHATIA</v>
          </cell>
          <cell r="H1851" t="str">
            <v>-</v>
          </cell>
          <cell r="J1851" t="str">
            <v>Domestic</v>
          </cell>
          <cell r="K1851" t="str">
            <v>-</v>
          </cell>
          <cell r="L1851" t="str">
            <v>Non-Sugar</v>
          </cell>
          <cell r="O1851" t="str">
            <v>-</v>
          </cell>
          <cell r="P1851" t="str">
            <v>-</v>
          </cell>
          <cell r="Q1851" t="str">
            <v>-</v>
          </cell>
          <cell r="R1851" t="str">
            <v>-</v>
          </cell>
          <cell r="T1851" t="str">
            <v>-</v>
          </cell>
          <cell r="U1851" t="str">
            <v>-</v>
          </cell>
          <cell r="W1851" t="str">
            <v>-</v>
          </cell>
        </row>
        <row r="1852">
          <cell r="F1852" t="str">
            <v>DEWA01P017</v>
          </cell>
          <cell r="G1852" t="str">
            <v>PREMIER INDUSTRIES (I) LTD</v>
          </cell>
          <cell r="H1852" t="str">
            <v>-</v>
          </cell>
          <cell r="J1852" t="str">
            <v>Domestic</v>
          </cell>
          <cell r="K1852" t="str">
            <v>-</v>
          </cell>
          <cell r="L1852" t="str">
            <v>Non-Sugar</v>
          </cell>
          <cell r="O1852" t="str">
            <v>-</v>
          </cell>
          <cell r="P1852" t="str">
            <v>-</v>
          </cell>
          <cell r="Q1852" t="str">
            <v>-</v>
          </cell>
          <cell r="R1852" t="str">
            <v>-</v>
          </cell>
          <cell r="T1852" t="str">
            <v>-</v>
          </cell>
          <cell r="U1852" t="str">
            <v>-</v>
          </cell>
          <cell r="W1852" t="str">
            <v>-</v>
          </cell>
        </row>
        <row r="1853">
          <cell r="F1853" t="str">
            <v>PUNE01P082</v>
          </cell>
          <cell r="G1853" t="str">
            <v>PREMIER TECH WATER AND ENVIRONMENT</v>
          </cell>
          <cell r="H1853" t="str">
            <v>-</v>
          </cell>
          <cell r="J1853" t="str">
            <v>Domestic</v>
          </cell>
          <cell r="K1853" t="str">
            <v>-</v>
          </cell>
          <cell r="L1853" t="str">
            <v>Non-Sugar</v>
          </cell>
          <cell r="O1853" t="str">
            <v>-</v>
          </cell>
          <cell r="P1853" t="str">
            <v>-</v>
          </cell>
          <cell r="Q1853" t="str">
            <v>-</v>
          </cell>
          <cell r="R1853" t="str">
            <v>-</v>
          </cell>
          <cell r="T1853" t="str">
            <v>-</v>
          </cell>
          <cell r="U1853" t="str">
            <v>-</v>
          </cell>
          <cell r="W1853" t="str">
            <v>-</v>
          </cell>
        </row>
        <row r="1854">
          <cell r="F1854" t="str">
            <v>NODA01P089</v>
          </cell>
          <cell r="G1854" t="str">
            <v>PRESCIENT FLOW CONTROL INDIA PRIVATE LIMITED</v>
          </cell>
          <cell r="H1854" t="str">
            <v>-</v>
          </cell>
          <cell r="J1854" t="str">
            <v>Domestic</v>
          </cell>
          <cell r="K1854" t="str">
            <v>-</v>
          </cell>
          <cell r="L1854" t="str">
            <v>Non-Sugar</v>
          </cell>
          <cell r="O1854" t="str">
            <v>-</v>
          </cell>
          <cell r="P1854" t="str">
            <v>-</v>
          </cell>
          <cell r="Q1854" t="str">
            <v>-</v>
          </cell>
          <cell r="R1854" t="str">
            <v>-</v>
          </cell>
          <cell r="T1854" t="str">
            <v>-</v>
          </cell>
          <cell r="U1854" t="str">
            <v>-</v>
          </cell>
          <cell r="W1854" t="str">
            <v>-</v>
          </cell>
        </row>
        <row r="1855">
          <cell r="F1855" t="str">
            <v>THAN01P111</v>
          </cell>
          <cell r="G1855" t="str">
            <v>PRISM FLUIDS LLP</v>
          </cell>
          <cell r="H1855" t="str">
            <v>-</v>
          </cell>
          <cell r="J1855" t="str">
            <v>Domestic</v>
          </cell>
          <cell r="K1855" t="str">
            <v>-</v>
          </cell>
          <cell r="L1855" t="str">
            <v>Non-Sugar</v>
          </cell>
          <cell r="O1855" t="str">
            <v>-</v>
          </cell>
          <cell r="P1855" t="str">
            <v>-</v>
          </cell>
          <cell r="Q1855" t="str">
            <v>-</v>
          </cell>
          <cell r="R1855" t="str">
            <v>-</v>
          </cell>
          <cell r="T1855" t="str">
            <v>-</v>
          </cell>
          <cell r="U1855" t="str">
            <v>-</v>
          </cell>
          <cell r="W1855" t="str">
            <v>-</v>
          </cell>
        </row>
        <row r="1856">
          <cell r="F1856" t="str">
            <v>PUNE01P107</v>
          </cell>
          <cell r="G1856" t="str">
            <v>PROCESS ER FERTIS INDIA PVT. LTD.</v>
          </cell>
          <cell r="H1856" t="str">
            <v>-</v>
          </cell>
          <cell r="J1856" t="str">
            <v>Domestic</v>
          </cell>
          <cell r="K1856" t="str">
            <v>-</v>
          </cell>
          <cell r="L1856" t="str">
            <v>Non-Sugar</v>
          </cell>
          <cell r="O1856" t="str">
            <v>-</v>
          </cell>
          <cell r="P1856" t="str">
            <v>-</v>
          </cell>
          <cell r="Q1856" t="str">
            <v>-</v>
          </cell>
          <cell r="R1856" t="str">
            <v>-</v>
          </cell>
          <cell r="T1856" t="str">
            <v>-</v>
          </cell>
          <cell r="U1856" t="str">
            <v>-</v>
          </cell>
          <cell r="W1856" t="str">
            <v>-</v>
          </cell>
        </row>
        <row r="1857">
          <cell r="F1857" t="str">
            <v>BANG01P079</v>
          </cell>
          <cell r="G1857" t="str">
            <v>PRODUCT PROMOTORS</v>
          </cell>
          <cell r="H1857" t="str">
            <v>-</v>
          </cell>
          <cell r="J1857" t="str">
            <v>Domestic</v>
          </cell>
          <cell r="K1857" t="str">
            <v>-</v>
          </cell>
          <cell r="L1857" t="str">
            <v>Non-Sugar</v>
          </cell>
          <cell r="O1857" t="str">
            <v>-</v>
          </cell>
          <cell r="P1857" t="str">
            <v>-</v>
          </cell>
          <cell r="Q1857" t="str">
            <v>-</v>
          </cell>
          <cell r="R1857" t="str">
            <v>-</v>
          </cell>
          <cell r="T1857" t="str">
            <v>-</v>
          </cell>
          <cell r="U1857" t="str">
            <v>-</v>
          </cell>
          <cell r="W1857" t="str">
            <v>-</v>
          </cell>
        </row>
        <row r="1858">
          <cell r="F1858" t="str">
            <v>JAMM01P109</v>
          </cell>
          <cell r="G1858" t="str">
            <v>PSB PAPER MILL</v>
          </cell>
          <cell r="H1858" t="str">
            <v>-</v>
          </cell>
          <cell r="J1858" t="str">
            <v>Domestic</v>
          </cell>
          <cell r="K1858" t="str">
            <v>Paper</v>
          </cell>
          <cell r="L1858" t="str">
            <v>Non-Sugar</v>
          </cell>
          <cell r="M1858" t="str">
            <v>End User</v>
          </cell>
          <cell r="O1858" t="str">
            <v>-</v>
          </cell>
          <cell r="P1858" t="str">
            <v>-</v>
          </cell>
          <cell r="Q1858" t="str">
            <v>-</v>
          </cell>
          <cell r="R1858" t="str">
            <v>-</v>
          </cell>
          <cell r="T1858" t="str">
            <v>-</v>
          </cell>
          <cell r="U1858" t="str">
            <v>-</v>
          </cell>
          <cell r="W1858" t="str">
            <v>-</v>
          </cell>
        </row>
        <row r="1859">
          <cell r="F1859" t="str">
            <v>NANA01P029</v>
          </cell>
          <cell r="G1859" t="str">
            <v>PT. PURA BARUTAMA</v>
          </cell>
          <cell r="H1859" t="str">
            <v>-</v>
          </cell>
          <cell r="J1859" t="str">
            <v>Export</v>
          </cell>
          <cell r="O1859" t="str">
            <v>-</v>
          </cell>
          <cell r="P1859" t="str">
            <v>VA</v>
          </cell>
          <cell r="Q1859" t="str">
            <v>ANKUR</v>
          </cell>
        </row>
        <row r="1860">
          <cell r="F1860" t="str">
            <v>LUDH01P086</v>
          </cell>
          <cell r="G1860" t="str">
            <v>PUNJAB WATER SUPPLY AND SEWERAGE BOARD</v>
          </cell>
          <cell r="H1860" t="str">
            <v>-</v>
          </cell>
          <cell r="J1860" t="str">
            <v>Domestic</v>
          </cell>
          <cell r="K1860" t="str">
            <v>-</v>
          </cell>
          <cell r="L1860" t="str">
            <v>Non-Sugar</v>
          </cell>
          <cell r="O1860" t="str">
            <v>-</v>
          </cell>
          <cell r="P1860" t="str">
            <v>-</v>
          </cell>
          <cell r="Q1860" t="str">
            <v>-</v>
          </cell>
          <cell r="R1860" t="str">
            <v>-</v>
          </cell>
          <cell r="T1860" t="str">
            <v>-</v>
          </cell>
          <cell r="U1860" t="str">
            <v>-</v>
          </cell>
          <cell r="W1860" t="str">
            <v>-</v>
          </cell>
        </row>
        <row r="1861">
          <cell r="F1861" t="str">
            <v>CHEN01Q001</v>
          </cell>
          <cell r="G1861" t="str">
            <v>QUALITY WATER MANAGEMENT SYSTEMS PVT LTD.</v>
          </cell>
          <cell r="H1861" t="str">
            <v>-</v>
          </cell>
          <cell r="J1861" t="str">
            <v>Domestic</v>
          </cell>
          <cell r="K1861" t="str">
            <v>ETP/STP/WTP</v>
          </cell>
          <cell r="L1861" t="str">
            <v>Non-Sugar</v>
          </cell>
          <cell r="P1861" t="str">
            <v>SI-GS</v>
          </cell>
          <cell r="Q1861" t="str">
            <v>SI-GS</v>
          </cell>
          <cell r="W1861" t="str">
            <v>-</v>
          </cell>
        </row>
        <row r="1862">
          <cell r="F1862" t="str">
            <v>OSMA01Q003</v>
          </cell>
          <cell r="G1862" t="str">
            <v>QUINERGY INDUSTRIES LTD. UNIT - 2</v>
          </cell>
          <cell r="H1862" t="str">
            <v>-</v>
          </cell>
          <cell r="J1862" t="str">
            <v>Domestic</v>
          </cell>
          <cell r="K1862" t="str">
            <v>Sugar</v>
          </cell>
          <cell r="M1862" t="str">
            <v>End User</v>
          </cell>
          <cell r="O1862" t="str">
            <v>-</v>
          </cell>
          <cell r="P1862" t="str">
            <v>-</v>
          </cell>
          <cell r="Q1862" t="str">
            <v>-</v>
          </cell>
          <cell r="R1862" t="str">
            <v>-</v>
          </cell>
          <cell r="T1862" t="str">
            <v>-</v>
          </cell>
          <cell r="W1862" t="str">
            <v>-</v>
          </cell>
        </row>
        <row r="1863">
          <cell r="F1863" t="str">
            <v>SIKA01R069</v>
          </cell>
          <cell r="G1863" t="str">
            <v>R &amp; J WASTE WATER TREATMENT</v>
          </cell>
          <cell r="H1863" t="str">
            <v>-</v>
          </cell>
          <cell r="J1863" t="str">
            <v>Domestic</v>
          </cell>
          <cell r="K1863" t="str">
            <v>-</v>
          </cell>
          <cell r="L1863" t="str">
            <v>Non-Sugar</v>
          </cell>
          <cell r="O1863" t="str">
            <v>-</v>
          </cell>
          <cell r="P1863" t="str">
            <v>-</v>
          </cell>
          <cell r="Q1863" t="str">
            <v>-</v>
          </cell>
          <cell r="R1863" t="str">
            <v>-</v>
          </cell>
          <cell r="T1863" t="str">
            <v>-</v>
          </cell>
          <cell r="U1863" t="str">
            <v>-</v>
          </cell>
          <cell r="W1863" t="str">
            <v>-</v>
          </cell>
        </row>
        <row r="1864">
          <cell r="F1864" t="str">
            <v>KOLH01R050</v>
          </cell>
          <cell r="G1864" t="str">
            <v>R B TECHNOCRAFTS &amp; RECLAIMERS PVT LTD</v>
          </cell>
          <cell r="H1864">
            <v>2020</v>
          </cell>
          <cell r="J1864" t="str">
            <v>Domestic</v>
          </cell>
          <cell r="K1864" t="str">
            <v>Others</v>
          </cell>
          <cell r="L1864" t="str">
            <v>Non-Sugar</v>
          </cell>
          <cell r="M1864" t="str">
            <v>End User</v>
          </cell>
          <cell r="O1864" t="str">
            <v>-</v>
          </cell>
          <cell r="P1864" t="str">
            <v>-</v>
          </cell>
          <cell r="Q1864" t="str">
            <v>-</v>
          </cell>
          <cell r="R1864" t="str">
            <v>-</v>
          </cell>
          <cell r="T1864" t="str">
            <v>-</v>
          </cell>
          <cell r="W1864" t="str">
            <v>-</v>
          </cell>
        </row>
        <row r="1865">
          <cell r="F1865" t="str">
            <v>KANP01R056</v>
          </cell>
          <cell r="G1865" t="str">
            <v>R D &amp; ASSOCIATES</v>
          </cell>
          <cell r="H1865" t="str">
            <v>21-22</v>
          </cell>
          <cell r="J1865" t="str">
            <v>Domestic</v>
          </cell>
          <cell r="K1865" t="str">
            <v>OTHERS</v>
          </cell>
          <cell r="L1865" t="str">
            <v>Non-Sugar</v>
          </cell>
          <cell r="M1865" t="str">
            <v>OEM</v>
          </cell>
          <cell r="O1865" t="str">
            <v>-</v>
          </cell>
          <cell r="P1865" t="str">
            <v>VA</v>
          </cell>
          <cell r="Q1865" t="str">
            <v>-</v>
          </cell>
          <cell r="T1865" t="str">
            <v>-</v>
          </cell>
          <cell r="U1865" t="str">
            <v>-</v>
          </cell>
          <cell r="W1865" t="str">
            <v>-</v>
          </cell>
        </row>
        <row r="1866">
          <cell r="F1866" t="str">
            <v>KANP01R058</v>
          </cell>
          <cell r="G1866" t="str">
            <v>R D &amp; ASSOCIATES</v>
          </cell>
          <cell r="H1866" t="str">
            <v>-</v>
          </cell>
          <cell r="J1866" t="str">
            <v>Domestic</v>
          </cell>
          <cell r="K1866" t="str">
            <v>-</v>
          </cell>
          <cell r="L1866" t="str">
            <v>Non-Sugar</v>
          </cell>
          <cell r="O1866" t="str">
            <v>-</v>
          </cell>
          <cell r="P1866" t="str">
            <v>-</v>
          </cell>
          <cell r="Q1866" t="str">
            <v>-</v>
          </cell>
          <cell r="R1866" t="str">
            <v>-</v>
          </cell>
          <cell r="T1866" t="str">
            <v>-</v>
          </cell>
          <cell r="U1866" t="str">
            <v>-</v>
          </cell>
          <cell r="W1866" t="str">
            <v>-</v>
          </cell>
        </row>
        <row r="1867">
          <cell r="F1867" t="str">
            <v>LUCK01R070</v>
          </cell>
          <cell r="G1867" t="str">
            <v>R. K ENG. PROJECT- JAL NIGAM</v>
          </cell>
          <cell r="H1867" t="str">
            <v>-</v>
          </cell>
          <cell r="J1867" t="str">
            <v>Domestic</v>
          </cell>
          <cell r="K1867" t="str">
            <v>-</v>
          </cell>
          <cell r="L1867" t="str">
            <v>Non-Sugar</v>
          </cell>
          <cell r="O1867" t="str">
            <v>-</v>
          </cell>
          <cell r="P1867" t="str">
            <v>-</v>
          </cell>
          <cell r="Q1867" t="str">
            <v>-</v>
          </cell>
          <cell r="R1867" t="str">
            <v>-</v>
          </cell>
          <cell r="T1867" t="str">
            <v>-</v>
          </cell>
          <cell r="U1867" t="str">
            <v>-</v>
          </cell>
          <cell r="W1867" t="str">
            <v>-</v>
          </cell>
        </row>
        <row r="1868">
          <cell r="F1868" t="str">
            <v>BARO01R035</v>
          </cell>
          <cell r="G1868" t="str">
            <v>RADHEY SHYAM TRADING</v>
          </cell>
          <cell r="H1868" t="str">
            <v>-</v>
          </cell>
          <cell r="J1868" t="str">
            <v>Domestic</v>
          </cell>
          <cell r="K1868" t="str">
            <v>-</v>
          </cell>
          <cell r="L1868" t="str">
            <v>Non-Sugar</v>
          </cell>
          <cell r="O1868" t="str">
            <v>-</v>
          </cell>
          <cell r="P1868" t="str">
            <v>-</v>
          </cell>
          <cell r="Q1868" t="str">
            <v>-</v>
          </cell>
          <cell r="R1868" t="str">
            <v>-</v>
          </cell>
          <cell r="T1868" t="str">
            <v>-</v>
          </cell>
          <cell r="U1868" t="str">
            <v>-</v>
          </cell>
          <cell r="W1868" t="str">
            <v>-</v>
          </cell>
        </row>
        <row r="1869">
          <cell r="F1869" t="str">
            <v>GURG01R081</v>
          </cell>
          <cell r="G1869" t="str">
            <v>RADIANT TECH PRIVATE LIMITED</v>
          </cell>
          <cell r="H1869" t="str">
            <v>-</v>
          </cell>
          <cell r="J1869" t="str">
            <v>Domestic</v>
          </cell>
          <cell r="K1869" t="str">
            <v>-</v>
          </cell>
          <cell r="L1869" t="str">
            <v>Non-Sugar</v>
          </cell>
          <cell r="O1869" t="str">
            <v>-</v>
          </cell>
          <cell r="P1869" t="str">
            <v>-</v>
          </cell>
          <cell r="Q1869" t="str">
            <v>-</v>
          </cell>
          <cell r="R1869" t="str">
            <v>-</v>
          </cell>
          <cell r="T1869" t="str">
            <v>-</v>
          </cell>
          <cell r="U1869" t="str">
            <v>-</v>
          </cell>
          <cell r="W1869" t="str">
            <v>-</v>
          </cell>
        </row>
        <row r="1870">
          <cell r="F1870" t="str">
            <v>GURG01R038</v>
          </cell>
          <cell r="G1870" t="str">
            <v>RADIANT TECHNOCHEM FAB PVT LTD</v>
          </cell>
          <cell r="H1870" t="str">
            <v>-</v>
          </cell>
          <cell r="J1870" t="str">
            <v>Domestic</v>
          </cell>
          <cell r="K1870" t="str">
            <v>-</v>
          </cell>
          <cell r="L1870" t="str">
            <v>Non-Sugar</v>
          </cell>
          <cell r="O1870" t="str">
            <v>-</v>
          </cell>
          <cell r="P1870" t="str">
            <v>-</v>
          </cell>
          <cell r="Q1870" t="str">
            <v>-</v>
          </cell>
          <cell r="R1870" t="str">
            <v>-</v>
          </cell>
          <cell r="T1870" t="str">
            <v>-</v>
          </cell>
          <cell r="U1870" t="str">
            <v>-</v>
          </cell>
          <cell r="W1870" t="str">
            <v>-</v>
          </cell>
        </row>
        <row r="1871">
          <cell r="F1871" t="str">
            <v>BARL01R064</v>
          </cell>
          <cell r="G1871" t="str">
            <v>RADICO KHAITAN LTD</v>
          </cell>
          <cell r="H1871" t="str">
            <v>-</v>
          </cell>
          <cell r="J1871" t="str">
            <v>Domestic</v>
          </cell>
          <cell r="K1871" t="str">
            <v>-</v>
          </cell>
          <cell r="L1871" t="str">
            <v>Non-Sugar</v>
          </cell>
          <cell r="O1871" t="str">
            <v>-</v>
          </cell>
          <cell r="P1871" t="str">
            <v>-</v>
          </cell>
          <cell r="Q1871" t="str">
            <v>AVIRAL SHUKLA</v>
          </cell>
          <cell r="R1871" t="str">
            <v>-</v>
          </cell>
          <cell r="T1871" t="str">
            <v>-</v>
          </cell>
          <cell r="U1871" t="str">
            <v>20-21</v>
          </cell>
          <cell r="W1871" t="str">
            <v>18-03-2021</v>
          </cell>
        </row>
        <row r="1872">
          <cell r="F1872" t="str">
            <v>JAIP01R065</v>
          </cell>
          <cell r="G1872" t="str">
            <v>RADOX OVERSEAS PVT LTD</v>
          </cell>
          <cell r="H1872" t="str">
            <v>-</v>
          </cell>
          <cell r="J1872" t="str">
            <v>Domestic</v>
          </cell>
          <cell r="K1872" t="str">
            <v>-</v>
          </cell>
          <cell r="L1872" t="str">
            <v>Non-Sugar</v>
          </cell>
          <cell r="O1872" t="str">
            <v>-</v>
          </cell>
          <cell r="P1872" t="str">
            <v>-</v>
          </cell>
          <cell r="Q1872" t="str">
            <v>-</v>
          </cell>
          <cell r="R1872" t="str">
            <v>-</v>
          </cell>
          <cell r="T1872" t="str">
            <v>-</v>
          </cell>
          <cell r="U1872" t="str">
            <v>-</v>
          </cell>
          <cell r="W1872" t="str">
            <v>-</v>
          </cell>
        </row>
        <row r="1873">
          <cell r="F1873" t="str">
            <v>INDR01R049</v>
          </cell>
          <cell r="G1873" t="str">
            <v>RAGINI ENGINEERING WORKS</v>
          </cell>
          <cell r="H1873" t="str">
            <v>-</v>
          </cell>
          <cell r="J1873" t="str">
            <v>Domestic</v>
          </cell>
          <cell r="K1873" t="str">
            <v>-</v>
          </cell>
          <cell r="L1873" t="str">
            <v>Non-Sugar</v>
          </cell>
          <cell r="O1873" t="str">
            <v>-</v>
          </cell>
          <cell r="P1873" t="str">
            <v>-</v>
          </cell>
          <cell r="Q1873" t="str">
            <v>-</v>
          </cell>
          <cell r="R1873" t="str">
            <v>-</v>
          </cell>
          <cell r="T1873" t="str">
            <v>-</v>
          </cell>
          <cell r="U1873" t="str">
            <v>-</v>
          </cell>
          <cell r="W1873" t="str">
            <v>-</v>
          </cell>
        </row>
        <row r="1874">
          <cell r="F1874" t="str">
            <v>VALS01R001</v>
          </cell>
          <cell r="G1874" t="str">
            <v>RAJ CHATON INDUSTRIES PVT.LTD. (UNIT - 9)</v>
          </cell>
          <cell r="H1874" t="str">
            <v>-</v>
          </cell>
          <cell r="J1874" t="str">
            <v>Domestic</v>
          </cell>
          <cell r="K1874" t="str">
            <v>-</v>
          </cell>
          <cell r="L1874" t="str">
            <v>Non-Sugar</v>
          </cell>
          <cell r="O1874" t="str">
            <v>-</v>
          </cell>
          <cell r="P1874" t="str">
            <v>-</v>
          </cell>
          <cell r="Q1874" t="str">
            <v>-</v>
          </cell>
          <cell r="R1874" t="str">
            <v>-</v>
          </cell>
          <cell r="T1874" t="str">
            <v>-</v>
          </cell>
          <cell r="U1874" t="str">
            <v>-</v>
          </cell>
          <cell r="W1874" t="str">
            <v>-</v>
          </cell>
        </row>
        <row r="1875">
          <cell r="F1875" t="str">
            <v>PANI01R029</v>
          </cell>
          <cell r="G1875" t="str">
            <v>RAJ OVERSEAS (UNIT - 1)</v>
          </cell>
          <cell r="H1875">
            <v>2014</v>
          </cell>
          <cell r="J1875" t="str">
            <v>Domestic</v>
          </cell>
          <cell r="K1875" t="str">
            <v>-</v>
          </cell>
          <cell r="L1875" t="str">
            <v>Non-Sugar</v>
          </cell>
          <cell r="M1875" t="str">
            <v>End User</v>
          </cell>
          <cell r="O1875" t="str">
            <v>-</v>
          </cell>
          <cell r="P1875" t="str">
            <v>-</v>
          </cell>
          <cell r="Q1875" t="str">
            <v>-</v>
          </cell>
          <cell r="R1875" t="str">
            <v>-</v>
          </cell>
          <cell r="T1875" t="str">
            <v>-</v>
          </cell>
          <cell r="U1875" t="str">
            <v>-</v>
          </cell>
          <cell r="W1875" t="str">
            <v>-</v>
          </cell>
        </row>
        <row r="1876">
          <cell r="F1876" t="str">
            <v>KOLK01R079</v>
          </cell>
          <cell r="G1876" t="str">
            <v>RAJAN ENTERPRISES</v>
          </cell>
          <cell r="H1876" t="str">
            <v>-</v>
          </cell>
          <cell r="J1876" t="str">
            <v>Domestic</v>
          </cell>
          <cell r="K1876" t="str">
            <v>-</v>
          </cell>
          <cell r="L1876" t="str">
            <v>Non-Sugar</v>
          </cell>
          <cell r="O1876" t="str">
            <v>-</v>
          </cell>
          <cell r="P1876" t="str">
            <v>-</v>
          </cell>
          <cell r="Q1876" t="str">
            <v>-</v>
          </cell>
          <cell r="R1876" t="str">
            <v>-</v>
          </cell>
          <cell r="T1876" t="str">
            <v>-</v>
          </cell>
          <cell r="U1876" t="str">
            <v>-</v>
          </cell>
          <cell r="W1876" t="str">
            <v>-</v>
          </cell>
        </row>
        <row r="1877">
          <cell r="F1877" t="str">
            <v>SANG01R053</v>
          </cell>
          <cell r="G1877" t="str">
            <v>RAJARAMBAPU PATIL SAHAKARI SAKHAR KARKHANA LTD. UNIT NO.-IV</v>
          </cell>
          <cell r="H1877" t="str">
            <v>-</v>
          </cell>
          <cell r="I1877" t="str">
            <v>Ramarambapu patil Group</v>
          </cell>
          <cell r="J1877" t="str">
            <v>Domestic</v>
          </cell>
          <cell r="K1877" t="str">
            <v>Sugar</v>
          </cell>
          <cell r="L1877" t="str">
            <v>Sugar</v>
          </cell>
          <cell r="M1877" t="str">
            <v>Group (Mills)</v>
          </cell>
          <cell r="N1877" t="str">
            <v>(0-5000)</v>
          </cell>
          <cell r="O1877">
            <v>2500</v>
          </cell>
          <cell r="P1877" t="str">
            <v>AV</v>
          </cell>
          <cell r="Q1877" t="str">
            <v>AV</v>
          </cell>
          <cell r="R1877" t="str">
            <v>VG</v>
          </cell>
          <cell r="T1877" t="str">
            <v>Sangli - 1</v>
          </cell>
          <cell r="U1877" t="str">
            <v>-</v>
          </cell>
          <cell r="W1877" t="str">
            <v>-</v>
          </cell>
        </row>
        <row r="1878">
          <cell r="F1878" t="str">
            <v>CHEN01R087</v>
          </cell>
          <cell r="G1878" t="str">
            <v>RAJASUKUMARAN</v>
          </cell>
          <cell r="H1878" t="str">
            <v>-</v>
          </cell>
          <cell r="J1878" t="str">
            <v>Domestic</v>
          </cell>
          <cell r="K1878" t="str">
            <v>-</v>
          </cell>
          <cell r="L1878" t="str">
            <v>Non-Sugar</v>
          </cell>
          <cell r="O1878" t="str">
            <v>-</v>
          </cell>
          <cell r="P1878" t="str">
            <v>-</v>
          </cell>
          <cell r="Q1878" t="str">
            <v>-</v>
          </cell>
          <cell r="R1878" t="str">
            <v>-</v>
          </cell>
          <cell r="T1878" t="str">
            <v>-</v>
          </cell>
          <cell r="U1878" t="str">
            <v>-</v>
          </cell>
          <cell r="W1878" t="str">
            <v>-</v>
          </cell>
        </row>
        <row r="1879">
          <cell r="F1879" t="str">
            <v>KOLK01R080</v>
          </cell>
          <cell r="G1879" t="str">
            <v>RAJEN ENTERPRISES</v>
          </cell>
          <cell r="H1879" t="str">
            <v>-</v>
          </cell>
          <cell r="J1879" t="str">
            <v>Domestic</v>
          </cell>
          <cell r="K1879" t="str">
            <v>-</v>
          </cell>
          <cell r="L1879" t="str">
            <v>Non-Sugar</v>
          </cell>
          <cell r="O1879" t="str">
            <v>-</v>
          </cell>
          <cell r="P1879" t="str">
            <v>-</v>
          </cell>
          <cell r="Q1879" t="str">
            <v>-</v>
          </cell>
          <cell r="R1879" t="str">
            <v>-</v>
          </cell>
          <cell r="T1879" t="str">
            <v>-</v>
          </cell>
          <cell r="U1879" t="str">
            <v>-</v>
          </cell>
          <cell r="W1879" t="str">
            <v>-</v>
          </cell>
        </row>
        <row r="1880">
          <cell r="F1880" t="str">
            <v>JAIP01R078</v>
          </cell>
          <cell r="G1880" t="str">
            <v>RAJENDRA RATHORE-RAJESTHAN</v>
          </cell>
          <cell r="H1880" t="str">
            <v>-</v>
          </cell>
          <cell r="J1880" t="str">
            <v>Domestic</v>
          </cell>
          <cell r="K1880" t="str">
            <v>-</v>
          </cell>
          <cell r="L1880" t="str">
            <v>Non-Sugar</v>
          </cell>
          <cell r="O1880" t="str">
            <v>-</v>
          </cell>
          <cell r="P1880" t="str">
            <v>-</v>
          </cell>
          <cell r="Q1880" t="str">
            <v>-</v>
          </cell>
          <cell r="R1880" t="str">
            <v>-</v>
          </cell>
          <cell r="T1880" t="str">
            <v>-</v>
          </cell>
          <cell r="U1880" t="str">
            <v>-</v>
          </cell>
          <cell r="W1880" t="str">
            <v>-</v>
          </cell>
        </row>
        <row r="1881">
          <cell r="F1881" t="str">
            <v>AHME01R026</v>
          </cell>
          <cell r="G1881" t="str">
            <v>RAJESH PATEL</v>
          </cell>
          <cell r="H1881">
            <v>2015</v>
          </cell>
          <cell r="J1881" t="str">
            <v>Domestic</v>
          </cell>
          <cell r="K1881" t="str">
            <v>-</v>
          </cell>
          <cell r="L1881" t="str">
            <v>Non-Sugar</v>
          </cell>
          <cell r="O1881" t="str">
            <v>-</v>
          </cell>
          <cell r="P1881" t="str">
            <v>-</v>
          </cell>
          <cell r="Q1881" t="str">
            <v>-</v>
          </cell>
          <cell r="R1881" t="str">
            <v>-</v>
          </cell>
          <cell r="T1881" t="str">
            <v>-</v>
          </cell>
          <cell r="U1881" t="str">
            <v>-</v>
          </cell>
          <cell r="W1881" t="str">
            <v>-</v>
          </cell>
        </row>
        <row r="1882">
          <cell r="F1882" t="str">
            <v>JAMM01R084</v>
          </cell>
          <cell r="G1882" t="str">
            <v>RAJPUT FABRICATION</v>
          </cell>
          <cell r="H1882" t="str">
            <v>-</v>
          </cell>
          <cell r="J1882" t="str">
            <v>Domestic</v>
          </cell>
          <cell r="K1882" t="str">
            <v>-</v>
          </cell>
          <cell r="L1882" t="str">
            <v>Non-Sugar</v>
          </cell>
          <cell r="O1882" t="str">
            <v>-</v>
          </cell>
          <cell r="P1882" t="str">
            <v>-</v>
          </cell>
          <cell r="Q1882" t="str">
            <v>-</v>
          </cell>
          <cell r="R1882" t="str">
            <v>-</v>
          </cell>
          <cell r="T1882" t="str">
            <v>-</v>
          </cell>
          <cell r="U1882" t="str">
            <v>-</v>
          </cell>
          <cell r="W1882" t="str">
            <v>-</v>
          </cell>
        </row>
        <row r="1883">
          <cell r="F1883" t="str">
            <v>KOLH01R022</v>
          </cell>
          <cell r="G1883" t="str">
            <v>RAJSHREE SALES</v>
          </cell>
          <cell r="H1883" t="str">
            <v>-</v>
          </cell>
          <cell r="J1883" t="str">
            <v>Domestic</v>
          </cell>
          <cell r="K1883" t="str">
            <v>-</v>
          </cell>
          <cell r="L1883" t="str">
            <v>Non-Sugar</v>
          </cell>
          <cell r="O1883" t="str">
            <v>-</v>
          </cell>
          <cell r="P1883" t="str">
            <v>-</v>
          </cell>
          <cell r="Q1883" t="str">
            <v>-</v>
          </cell>
          <cell r="R1883" t="str">
            <v>-</v>
          </cell>
          <cell r="T1883" t="str">
            <v>-</v>
          </cell>
          <cell r="U1883" t="str">
            <v>-</v>
          </cell>
          <cell r="W1883" t="str">
            <v>-</v>
          </cell>
        </row>
        <row r="1884">
          <cell r="F1884" t="str">
            <v>KOLH01R021</v>
          </cell>
          <cell r="G1884" t="str">
            <v>RAJSHREE SALES(CONSIGNEE)</v>
          </cell>
          <cell r="H1884" t="str">
            <v>-</v>
          </cell>
          <cell r="J1884" t="str">
            <v>Domestic</v>
          </cell>
          <cell r="K1884" t="str">
            <v>-</v>
          </cell>
          <cell r="L1884" t="str">
            <v>Non-Sugar</v>
          </cell>
          <cell r="O1884" t="str">
            <v>-</v>
          </cell>
          <cell r="P1884" t="str">
            <v>-</v>
          </cell>
          <cell r="Q1884" t="str">
            <v>-</v>
          </cell>
          <cell r="R1884" t="str">
            <v>-</v>
          </cell>
          <cell r="T1884" t="str">
            <v>-</v>
          </cell>
          <cell r="U1884" t="str">
            <v>-</v>
          </cell>
          <cell r="W1884" t="str">
            <v>-</v>
          </cell>
        </row>
        <row r="1885">
          <cell r="F1885" t="str">
            <v>KARN01R063</v>
          </cell>
          <cell r="G1885" t="str">
            <v>RAMA GREENENERGY KARNAL</v>
          </cell>
          <cell r="H1885" t="str">
            <v>-</v>
          </cell>
          <cell r="J1885" t="str">
            <v>Domestic</v>
          </cell>
          <cell r="K1885" t="str">
            <v>-</v>
          </cell>
          <cell r="L1885" t="str">
            <v>Non-Sugar</v>
          </cell>
          <cell r="O1885" t="str">
            <v>-</v>
          </cell>
          <cell r="P1885" t="str">
            <v>-</v>
          </cell>
          <cell r="Q1885" t="str">
            <v>-</v>
          </cell>
          <cell r="R1885" t="str">
            <v>-</v>
          </cell>
          <cell r="T1885" t="str">
            <v>-</v>
          </cell>
          <cell r="U1885" t="str">
            <v>-</v>
          </cell>
          <cell r="W1885" t="str">
            <v>-</v>
          </cell>
        </row>
        <row r="1886">
          <cell r="F1886" t="str">
            <v>BIJN01R046</v>
          </cell>
          <cell r="G1886" t="str">
            <v>RAMA PAPER MILLS LIMITED</v>
          </cell>
          <cell r="H1886" t="str">
            <v>-</v>
          </cell>
          <cell r="J1886" t="str">
            <v>Domestic</v>
          </cell>
          <cell r="K1886" t="str">
            <v>Paper</v>
          </cell>
          <cell r="L1886" t="str">
            <v>Non-Sugar</v>
          </cell>
          <cell r="M1886" t="str">
            <v>End User</v>
          </cell>
          <cell r="O1886" t="str">
            <v>-</v>
          </cell>
          <cell r="P1886" t="str">
            <v>-</v>
          </cell>
          <cell r="Q1886" t="str">
            <v>-</v>
          </cell>
          <cell r="R1886" t="str">
            <v>HIMANSHU</v>
          </cell>
          <cell r="T1886" t="str">
            <v>WESTERN - 2</v>
          </cell>
          <cell r="U1886" t="str">
            <v>21-22</v>
          </cell>
          <cell r="W1886">
            <v>44295</v>
          </cell>
        </row>
        <row r="1887">
          <cell r="F1887" t="str">
            <v>RAMP01R007</v>
          </cell>
          <cell r="G1887" t="str">
            <v>RAMPUR DISTILLERY</v>
          </cell>
          <cell r="H1887" t="str">
            <v>-</v>
          </cell>
          <cell r="J1887" t="str">
            <v>Domestic</v>
          </cell>
          <cell r="K1887" t="str">
            <v>-</v>
          </cell>
          <cell r="L1887" t="str">
            <v>Non-Sugar</v>
          </cell>
          <cell r="O1887" t="str">
            <v>-</v>
          </cell>
          <cell r="P1887" t="str">
            <v>-</v>
          </cell>
          <cell r="Q1887" t="str">
            <v>-</v>
          </cell>
          <cell r="R1887" t="str">
            <v>-</v>
          </cell>
          <cell r="T1887" t="str">
            <v>-</v>
          </cell>
          <cell r="U1887" t="str">
            <v>-</v>
          </cell>
          <cell r="W1887" t="str">
            <v>-</v>
          </cell>
        </row>
        <row r="1888">
          <cell r="F1888" t="str">
            <v>GHZB01R076</v>
          </cell>
          <cell r="G1888" t="str">
            <v>RANA ENGINEERING AND TRADING WORKS</v>
          </cell>
          <cell r="H1888" t="str">
            <v>-</v>
          </cell>
          <cell r="J1888" t="str">
            <v>Domestic</v>
          </cell>
          <cell r="K1888" t="str">
            <v>-</v>
          </cell>
          <cell r="L1888" t="str">
            <v>Non-Sugar</v>
          </cell>
          <cell r="O1888" t="str">
            <v>-</v>
          </cell>
          <cell r="P1888" t="str">
            <v>-</v>
          </cell>
          <cell r="Q1888" t="str">
            <v>-</v>
          </cell>
          <cell r="R1888" t="str">
            <v>-</v>
          </cell>
          <cell r="T1888" t="str">
            <v>-</v>
          </cell>
          <cell r="U1888" t="str">
            <v>-</v>
          </cell>
          <cell r="W1888" t="str">
            <v>-</v>
          </cell>
        </row>
        <row r="1889">
          <cell r="F1889" t="str">
            <v>MUMB01R067</v>
          </cell>
          <cell r="G1889" t="str">
            <v>RANDEN ENGINEERING PVT. LTD</v>
          </cell>
          <cell r="H1889" t="str">
            <v>-</v>
          </cell>
          <cell r="J1889" t="str">
            <v>Domestic</v>
          </cell>
          <cell r="K1889" t="str">
            <v>-</v>
          </cell>
          <cell r="L1889" t="str">
            <v>Non-Sugar</v>
          </cell>
          <cell r="O1889" t="str">
            <v>-</v>
          </cell>
          <cell r="P1889" t="str">
            <v>-</v>
          </cell>
          <cell r="Q1889" t="str">
            <v>-</v>
          </cell>
          <cell r="R1889" t="str">
            <v>-</v>
          </cell>
          <cell r="T1889" t="str">
            <v>-</v>
          </cell>
          <cell r="U1889" t="str">
            <v>-</v>
          </cell>
          <cell r="W1889" t="str">
            <v>-</v>
          </cell>
        </row>
        <row r="1890">
          <cell r="F1890" t="str">
            <v>MUMB01R012</v>
          </cell>
          <cell r="G1890" t="str">
            <v>RASHTRIYA CHEMICALS &amp; FERTILIZERS LIMITED</v>
          </cell>
          <cell r="H1890" t="str">
            <v>-</v>
          </cell>
          <cell r="J1890" t="str">
            <v>Domestic</v>
          </cell>
          <cell r="P1890" t="str">
            <v>LGP</v>
          </cell>
          <cell r="Q1890" t="str">
            <v>-</v>
          </cell>
        </row>
        <row r="1891">
          <cell r="F1891" t="str">
            <v>RAIP01R077</v>
          </cell>
          <cell r="G1891" t="str">
            <v>RASIK LAL COMPANY</v>
          </cell>
          <cell r="H1891" t="str">
            <v>-</v>
          </cell>
          <cell r="J1891" t="str">
            <v>Domestic</v>
          </cell>
          <cell r="K1891" t="str">
            <v>-</v>
          </cell>
          <cell r="L1891" t="str">
            <v>Non-Sugar</v>
          </cell>
          <cell r="O1891" t="str">
            <v>-</v>
          </cell>
          <cell r="P1891" t="str">
            <v>-</v>
          </cell>
          <cell r="Q1891" t="str">
            <v>-</v>
          </cell>
          <cell r="R1891" t="str">
            <v>-</v>
          </cell>
          <cell r="T1891" t="str">
            <v>-</v>
          </cell>
          <cell r="U1891" t="str">
            <v>-</v>
          </cell>
          <cell r="W1891" t="str">
            <v>-</v>
          </cell>
        </row>
        <row r="1892">
          <cell r="F1892" t="str">
            <v>DLHI01R083</v>
          </cell>
          <cell r="G1892" t="str">
            <v>RATAN INDUSTRIAL</v>
          </cell>
          <cell r="H1892" t="str">
            <v>-</v>
          </cell>
          <cell r="J1892" t="str">
            <v>Domestic</v>
          </cell>
          <cell r="K1892" t="str">
            <v>-</v>
          </cell>
          <cell r="L1892" t="str">
            <v>Non-Sugar</v>
          </cell>
          <cell r="O1892" t="str">
            <v>-</v>
          </cell>
          <cell r="P1892" t="str">
            <v>-</v>
          </cell>
          <cell r="Q1892" t="str">
            <v>-</v>
          </cell>
          <cell r="R1892" t="str">
            <v>-</v>
          </cell>
          <cell r="T1892" t="str">
            <v>-</v>
          </cell>
          <cell r="U1892" t="str">
            <v>-</v>
          </cell>
          <cell r="W1892" t="str">
            <v>-</v>
          </cell>
        </row>
        <row r="1893">
          <cell r="F1893" t="str">
            <v>PARB01R013</v>
          </cell>
          <cell r="G1893" t="str">
            <v>RATANAPRABHA SUGARS LIMITED</v>
          </cell>
          <cell r="H1893" t="str">
            <v>-</v>
          </cell>
          <cell r="J1893" t="str">
            <v>Domestic</v>
          </cell>
          <cell r="P1893" t="str">
            <v>-</v>
          </cell>
          <cell r="Q1893" t="str">
            <v>-</v>
          </cell>
        </row>
        <row r="1894">
          <cell r="F1894" t="str">
            <v>FAIZ01R033</v>
          </cell>
          <cell r="G1894" t="str">
            <v>RAUZAGAON CHINI MILLS</v>
          </cell>
          <cell r="H1894" t="str">
            <v>-</v>
          </cell>
          <cell r="J1894" t="str">
            <v>Domestic</v>
          </cell>
          <cell r="K1894" t="str">
            <v>Sugar</v>
          </cell>
          <cell r="L1894" t="str">
            <v>Sugar</v>
          </cell>
          <cell r="M1894" t="str">
            <v>End User</v>
          </cell>
          <cell r="O1894" t="str">
            <v>-</v>
          </cell>
          <cell r="P1894" t="str">
            <v>-</v>
          </cell>
          <cell r="Q1894" t="str">
            <v>-</v>
          </cell>
          <cell r="R1894" t="str">
            <v>-</v>
          </cell>
          <cell r="T1894" t="str">
            <v>-</v>
          </cell>
          <cell r="U1894" t="str">
            <v>-</v>
          </cell>
          <cell r="W1894" t="str">
            <v>-</v>
          </cell>
        </row>
        <row r="1895">
          <cell r="F1895" t="str">
            <v>PUNE01R073</v>
          </cell>
          <cell r="G1895" t="str">
            <v>RAVI SALES</v>
          </cell>
          <cell r="H1895" t="str">
            <v>-</v>
          </cell>
          <cell r="J1895" t="str">
            <v>Domestic</v>
          </cell>
          <cell r="K1895" t="str">
            <v>-</v>
          </cell>
          <cell r="L1895" t="str">
            <v>Non-Sugar</v>
          </cell>
          <cell r="O1895" t="str">
            <v>-</v>
          </cell>
          <cell r="P1895" t="str">
            <v>-</v>
          </cell>
          <cell r="Q1895" t="str">
            <v>-</v>
          </cell>
          <cell r="R1895" t="str">
            <v>-</v>
          </cell>
          <cell r="T1895" t="str">
            <v>-</v>
          </cell>
          <cell r="U1895" t="str">
            <v>-</v>
          </cell>
          <cell r="W1895" t="str">
            <v>-</v>
          </cell>
        </row>
        <row r="1896">
          <cell r="F1896" t="str">
            <v>HARD01R032</v>
          </cell>
          <cell r="G1896" t="str">
            <v>RBNS SUGAR MILLS LTD</v>
          </cell>
          <cell r="H1896" t="str">
            <v>-</v>
          </cell>
          <cell r="J1896" t="str">
            <v>Domestic</v>
          </cell>
          <cell r="K1896" t="str">
            <v>Sugar</v>
          </cell>
          <cell r="L1896" t="str">
            <v>Sugar</v>
          </cell>
          <cell r="M1896" t="str">
            <v>End User</v>
          </cell>
          <cell r="O1896" t="str">
            <v>-</v>
          </cell>
          <cell r="P1896" t="str">
            <v>-</v>
          </cell>
          <cell r="Q1896" t="str">
            <v>-</v>
          </cell>
          <cell r="R1896" t="str">
            <v>-</v>
          </cell>
          <cell r="T1896" t="str">
            <v>-</v>
          </cell>
          <cell r="U1896" t="str">
            <v>-</v>
          </cell>
          <cell r="W1896" t="str">
            <v>-</v>
          </cell>
        </row>
        <row r="1897">
          <cell r="F1897" t="str">
            <v>INDR01R020</v>
          </cell>
          <cell r="G1897" t="str">
            <v>REAL SOYA PRODUCTS P LTD</v>
          </cell>
          <cell r="H1897" t="str">
            <v>NA</v>
          </cell>
          <cell r="J1897" t="str">
            <v>Domestic</v>
          </cell>
          <cell r="K1897" t="str">
            <v>-</v>
          </cell>
          <cell r="L1897" t="str">
            <v>Non-Sugar</v>
          </cell>
          <cell r="O1897" t="str">
            <v>-</v>
          </cell>
          <cell r="P1897" t="str">
            <v>-</v>
          </cell>
          <cell r="Q1897" t="str">
            <v>-</v>
          </cell>
          <cell r="R1897" t="str">
            <v>-</v>
          </cell>
          <cell r="T1897" t="str">
            <v>-</v>
          </cell>
          <cell r="U1897" t="str">
            <v>-</v>
          </cell>
          <cell r="W1897" t="str">
            <v>-</v>
          </cell>
        </row>
        <row r="1898">
          <cell r="F1898" t="str">
            <v>JALG01R085</v>
          </cell>
          <cell r="G1898" t="str">
            <v>REGREEN TECHNOCHEM</v>
          </cell>
          <cell r="H1898" t="str">
            <v>-</v>
          </cell>
          <cell r="J1898" t="str">
            <v>Domestic</v>
          </cell>
          <cell r="K1898" t="str">
            <v>-</v>
          </cell>
          <cell r="L1898" t="str">
            <v>Non-Sugar</v>
          </cell>
          <cell r="O1898" t="str">
            <v>-</v>
          </cell>
          <cell r="P1898" t="str">
            <v>-</v>
          </cell>
          <cell r="Q1898" t="str">
            <v>-</v>
          </cell>
          <cell r="R1898" t="str">
            <v>-</v>
          </cell>
          <cell r="T1898" t="str">
            <v>-</v>
          </cell>
          <cell r="U1898" t="str">
            <v>-</v>
          </cell>
          <cell r="W1898" t="str">
            <v>-</v>
          </cell>
        </row>
        <row r="1899">
          <cell r="F1899" t="str">
            <v>MUMB01R075</v>
          </cell>
          <cell r="G1899" t="str">
            <v>RELIABLE PIPES &amp; TUBES LTD.</v>
          </cell>
          <cell r="H1899" t="str">
            <v>-</v>
          </cell>
          <cell r="J1899" t="str">
            <v>Domestic</v>
          </cell>
          <cell r="K1899" t="str">
            <v>-</v>
          </cell>
          <cell r="L1899" t="str">
            <v>Non-Sugar</v>
          </cell>
          <cell r="O1899" t="str">
            <v>-</v>
          </cell>
          <cell r="P1899" t="str">
            <v>-</v>
          </cell>
          <cell r="Q1899" t="str">
            <v>-</v>
          </cell>
          <cell r="R1899" t="str">
            <v>-</v>
          </cell>
          <cell r="T1899" t="str">
            <v>-</v>
          </cell>
          <cell r="U1899" t="str">
            <v>-</v>
          </cell>
          <cell r="W1899" t="str">
            <v>-</v>
          </cell>
        </row>
        <row r="1900">
          <cell r="F1900" t="str">
            <v>PUNE01R044</v>
          </cell>
          <cell r="G1900" t="str">
            <v>RELIABLE SUGAR &amp; DISTILLERY POWER LTD</v>
          </cell>
          <cell r="H1900">
            <v>2017</v>
          </cell>
          <cell r="J1900" t="str">
            <v>Domestic</v>
          </cell>
          <cell r="P1900" t="str">
            <v>AV</v>
          </cell>
          <cell r="Q1900" t="str">
            <v>-</v>
          </cell>
        </row>
        <row r="1901">
          <cell r="F1901" t="str">
            <v>NASK01R072</v>
          </cell>
          <cell r="G1901" t="str">
            <v>REPUBLIC ENGINEERING WORKS</v>
          </cell>
          <cell r="H1901" t="str">
            <v>-</v>
          </cell>
          <cell r="J1901" t="str">
            <v>Domestic</v>
          </cell>
          <cell r="K1901" t="str">
            <v>-</v>
          </cell>
          <cell r="L1901" t="str">
            <v>Non-Sugar</v>
          </cell>
          <cell r="O1901" t="str">
            <v>-</v>
          </cell>
          <cell r="P1901" t="str">
            <v>-</v>
          </cell>
          <cell r="Q1901" t="str">
            <v>-</v>
          </cell>
          <cell r="R1901" t="str">
            <v>-</v>
          </cell>
          <cell r="T1901" t="str">
            <v>-</v>
          </cell>
          <cell r="U1901" t="str">
            <v>-</v>
          </cell>
          <cell r="W1901" t="str">
            <v>-</v>
          </cell>
        </row>
        <row r="1902">
          <cell r="F1902" t="str">
            <v>GUJA01R034</v>
          </cell>
          <cell r="G1902" t="str">
            <v>RESONANCE PAPER MILL PVT LTD</v>
          </cell>
          <cell r="H1902" t="str">
            <v>-</v>
          </cell>
          <cell r="J1902" t="str">
            <v>Domestic</v>
          </cell>
          <cell r="K1902" t="str">
            <v>Paper</v>
          </cell>
          <cell r="L1902" t="str">
            <v>Non-Sugar</v>
          </cell>
          <cell r="M1902" t="str">
            <v>End User</v>
          </cell>
          <cell r="O1902" t="str">
            <v>-</v>
          </cell>
          <cell r="P1902" t="str">
            <v>-</v>
          </cell>
          <cell r="Q1902" t="str">
            <v>-</v>
          </cell>
          <cell r="R1902" t="str">
            <v>-</v>
          </cell>
          <cell r="T1902" t="str">
            <v>-</v>
          </cell>
          <cell r="U1902" t="str">
            <v>-</v>
          </cell>
          <cell r="W1902" t="str">
            <v>-</v>
          </cell>
        </row>
        <row r="1903">
          <cell r="F1903" t="str">
            <v>PANI01R082</v>
          </cell>
          <cell r="G1903" t="str">
            <v>RIVIERA HOME FURNISHING PVT.</v>
          </cell>
          <cell r="H1903" t="str">
            <v>-</v>
          </cell>
          <cell r="J1903" t="str">
            <v>Domestic</v>
          </cell>
          <cell r="K1903" t="str">
            <v>-</v>
          </cell>
          <cell r="L1903" t="str">
            <v>Non-Sugar</v>
          </cell>
          <cell r="O1903" t="str">
            <v>-</v>
          </cell>
          <cell r="P1903" t="str">
            <v>-</v>
          </cell>
          <cell r="Q1903" t="str">
            <v>-</v>
          </cell>
          <cell r="R1903" t="str">
            <v>-</v>
          </cell>
          <cell r="T1903" t="str">
            <v>-</v>
          </cell>
          <cell r="U1903" t="str">
            <v>-</v>
          </cell>
          <cell r="W1903" t="str">
            <v>-</v>
          </cell>
        </row>
        <row r="1904">
          <cell r="F1904" t="str">
            <v>KISM01R023</v>
          </cell>
          <cell r="G1904" t="str">
            <v>RIYA INDUSTRIAL SUPPLIES LTD.</v>
          </cell>
          <cell r="H1904" t="str">
            <v>-</v>
          </cell>
          <cell r="J1904" t="str">
            <v>Export</v>
          </cell>
          <cell r="K1904" t="str">
            <v>-</v>
          </cell>
          <cell r="L1904" t="str">
            <v>Non-Sugar</v>
          </cell>
          <cell r="O1904" t="str">
            <v>-</v>
          </cell>
          <cell r="P1904" t="str">
            <v>-</v>
          </cell>
          <cell r="Q1904" t="str">
            <v>-</v>
          </cell>
          <cell r="R1904" t="str">
            <v>-</v>
          </cell>
          <cell r="T1904" t="str">
            <v>-</v>
          </cell>
          <cell r="U1904" t="str">
            <v>-</v>
          </cell>
          <cell r="W1904" t="str">
            <v>-</v>
          </cell>
        </row>
        <row r="1905">
          <cell r="F1905" t="str">
            <v>VELL01R027</v>
          </cell>
          <cell r="G1905" t="str">
            <v>ROCE BATHROOM PRODUCTS PVT LTD</v>
          </cell>
          <cell r="H1905" t="str">
            <v>-</v>
          </cell>
          <cell r="J1905" t="str">
            <v>Domestic</v>
          </cell>
          <cell r="K1905" t="str">
            <v>Others</v>
          </cell>
          <cell r="L1905" t="str">
            <v>Non-Sugar</v>
          </cell>
          <cell r="P1905" t="str">
            <v>SI-GS</v>
          </cell>
          <cell r="Q1905" t="str">
            <v>SI-GS</v>
          </cell>
          <cell r="W1905" t="str">
            <v>-</v>
          </cell>
        </row>
        <row r="1906">
          <cell r="F1906" t="str">
            <v>MUMB01R036</v>
          </cell>
          <cell r="G1906" t="str">
            <v>ROHAN EXPORTS</v>
          </cell>
          <cell r="H1906">
            <v>2015</v>
          </cell>
          <cell r="J1906" t="str">
            <v>Domestic</v>
          </cell>
          <cell r="K1906" t="str">
            <v>OTHERS</v>
          </cell>
          <cell r="L1906" t="str">
            <v>Non-Sugar</v>
          </cell>
          <cell r="M1906" t="str">
            <v>OEM</v>
          </cell>
          <cell r="O1906" t="str">
            <v>-</v>
          </cell>
          <cell r="P1906" t="str">
            <v>VA</v>
          </cell>
          <cell r="Q1906" t="str">
            <v>-</v>
          </cell>
          <cell r="T1906" t="str">
            <v>-</v>
          </cell>
          <cell r="U1906" t="str">
            <v>-</v>
          </cell>
          <cell r="W1906" t="str">
            <v>-</v>
          </cell>
        </row>
        <row r="1907">
          <cell r="F1907" t="str">
            <v>PUNE01M110</v>
          </cell>
          <cell r="G1907" t="str">
            <v>RONSA ENGINEERING SOLUTIONS PVT LTD</v>
          </cell>
          <cell r="H1907" t="str">
            <v>-</v>
          </cell>
          <cell r="J1907" t="str">
            <v>Domestic</v>
          </cell>
          <cell r="K1907" t="str">
            <v>-</v>
          </cell>
          <cell r="L1907" t="str">
            <v>Non-Sugar</v>
          </cell>
          <cell r="O1907" t="str">
            <v>-</v>
          </cell>
          <cell r="P1907" t="str">
            <v>-</v>
          </cell>
          <cell r="Q1907" t="str">
            <v>-</v>
          </cell>
          <cell r="R1907" t="str">
            <v>-</v>
          </cell>
          <cell r="T1907" t="str">
            <v>-</v>
          </cell>
          <cell r="U1907" t="str">
            <v>-</v>
          </cell>
          <cell r="W1907" t="str">
            <v>-</v>
          </cell>
        </row>
        <row r="1908">
          <cell r="F1908" t="str">
            <v>JAIP01R016</v>
          </cell>
          <cell r="G1908" t="str">
            <v>ROSEBAY AGRO FARMS PVT. LTD.</v>
          </cell>
          <cell r="H1908" t="str">
            <v>NA</v>
          </cell>
          <cell r="J1908" t="str">
            <v>Domestic</v>
          </cell>
          <cell r="K1908" t="str">
            <v>-</v>
          </cell>
          <cell r="L1908" t="str">
            <v>Non-Sugar</v>
          </cell>
          <cell r="O1908" t="str">
            <v>-</v>
          </cell>
          <cell r="P1908" t="str">
            <v>-</v>
          </cell>
          <cell r="Q1908" t="str">
            <v>-</v>
          </cell>
          <cell r="R1908" t="str">
            <v>-</v>
          </cell>
          <cell r="T1908" t="str">
            <v>-</v>
          </cell>
          <cell r="U1908" t="str">
            <v>-</v>
          </cell>
          <cell r="W1908" t="str">
            <v>-</v>
          </cell>
        </row>
        <row r="1909">
          <cell r="F1909" t="str">
            <v>HYDE01R074</v>
          </cell>
          <cell r="G1909" t="str">
            <v>ROTODYNE ENGINEERING SERVICES PT LTD</v>
          </cell>
          <cell r="H1909" t="str">
            <v>-</v>
          </cell>
          <cell r="J1909" t="str">
            <v>Domestic</v>
          </cell>
          <cell r="K1909" t="str">
            <v>-</v>
          </cell>
          <cell r="L1909" t="str">
            <v>Non-Sugar</v>
          </cell>
          <cell r="O1909" t="str">
            <v>-</v>
          </cell>
          <cell r="P1909" t="str">
            <v>-</v>
          </cell>
          <cell r="Q1909" t="str">
            <v>-</v>
          </cell>
          <cell r="R1909" t="str">
            <v>-</v>
          </cell>
          <cell r="T1909" t="str">
            <v>-</v>
          </cell>
          <cell r="U1909" t="str">
            <v>-</v>
          </cell>
          <cell r="W1909" t="str">
            <v>-</v>
          </cell>
        </row>
        <row r="1910">
          <cell r="F1910" t="str">
            <v>KOLK01R086</v>
          </cell>
          <cell r="G1910" t="str">
            <v>ROY ENTERPRISES</v>
          </cell>
          <cell r="H1910" t="str">
            <v>-</v>
          </cell>
          <cell r="J1910" t="str">
            <v>Domestic</v>
          </cell>
          <cell r="K1910" t="str">
            <v>-</v>
          </cell>
          <cell r="L1910" t="str">
            <v>Non-Sugar</v>
          </cell>
          <cell r="O1910" t="str">
            <v>-</v>
          </cell>
          <cell r="P1910" t="str">
            <v>-</v>
          </cell>
          <cell r="Q1910" t="str">
            <v>-</v>
          </cell>
          <cell r="R1910" t="str">
            <v>-</v>
          </cell>
          <cell r="T1910" t="str">
            <v>-</v>
          </cell>
          <cell r="U1910" t="str">
            <v>-</v>
          </cell>
          <cell r="W1910" t="str">
            <v>-</v>
          </cell>
        </row>
        <row r="1911">
          <cell r="F1911" t="str">
            <v>HALO01R017</v>
          </cell>
          <cell r="G1911" t="str">
            <v>RUBAMIN LIMITED</v>
          </cell>
          <cell r="H1911" t="str">
            <v>-</v>
          </cell>
          <cell r="J1911" t="str">
            <v>Domestic</v>
          </cell>
          <cell r="K1911" t="str">
            <v>-</v>
          </cell>
          <cell r="L1911" t="str">
            <v>Non-Sugar</v>
          </cell>
          <cell r="O1911" t="str">
            <v>-</v>
          </cell>
          <cell r="P1911" t="str">
            <v>-</v>
          </cell>
          <cell r="Q1911" t="str">
            <v>-</v>
          </cell>
          <cell r="R1911" t="str">
            <v>-</v>
          </cell>
          <cell r="T1911" t="str">
            <v>-</v>
          </cell>
          <cell r="U1911" t="str">
            <v>-</v>
          </cell>
          <cell r="W1911" t="str">
            <v>-</v>
          </cell>
        </row>
        <row r="1912">
          <cell r="F1912" t="str">
            <v>PUNE01R046</v>
          </cell>
          <cell r="G1912" t="str">
            <v>RUSHIHARSH INDUSTRIES PVT LTD</v>
          </cell>
          <cell r="H1912" t="str">
            <v>-</v>
          </cell>
          <cell r="J1912" t="str">
            <v>Domestic</v>
          </cell>
          <cell r="K1912" t="str">
            <v>-</v>
          </cell>
          <cell r="L1912" t="str">
            <v>Non-Sugar</v>
          </cell>
          <cell r="O1912" t="str">
            <v>-</v>
          </cell>
          <cell r="P1912" t="str">
            <v>-</v>
          </cell>
          <cell r="Q1912" t="str">
            <v>-</v>
          </cell>
          <cell r="R1912" t="str">
            <v>-</v>
          </cell>
          <cell r="T1912" t="str">
            <v>-</v>
          </cell>
          <cell r="U1912" t="str">
            <v>-</v>
          </cell>
          <cell r="W1912" t="str">
            <v>-</v>
          </cell>
        </row>
        <row r="1913">
          <cell r="F1913" t="str">
            <v>KOLK01S332</v>
          </cell>
          <cell r="G1913" t="str">
            <v>S ENTERPRISES PVT LTD</v>
          </cell>
          <cell r="H1913" t="str">
            <v>-</v>
          </cell>
          <cell r="J1913" t="str">
            <v>Domestic</v>
          </cell>
          <cell r="K1913" t="str">
            <v>-</v>
          </cell>
          <cell r="L1913" t="str">
            <v>Non-Sugar</v>
          </cell>
          <cell r="O1913" t="str">
            <v>-</v>
          </cell>
          <cell r="P1913" t="str">
            <v>-</v>
          </cell>
          <cell r="Q1913" t="str">
            <v>-</v>
          </cell>
          <cell r="R1913" t="str">
            <v>-</v>
          </cell>
          <cell r="T1913" t="str">
            <v>-</v>
          </cell>
          <cell r="U1913" t="str">
            <v>-</v>
          </cell>
          <cell r="W1913" t="str">
            <v>-</v>
          </cell>
        </row>
        <row r="1914">
          <cell r="F1914" t="str">
            <v>NAGP01S322</v>
          </cell>
          <cell r="G1914" t="str">
            <v>S G PUMPS AND MOTORS</v>
          </cell>
          <cell r="H1914" t="str">
            <v>-</v>
          </cell>
          <cell r="J1914" t="str">
            <v>Domestic</v>
          </cell>
          <cell r="K1914" t="str">
            <v>-</v>
          </cell>
          <cell r="L1914" t="str">
            <v>Non-Sugar</v>
          </cell>
          <cell r="O1914" t="str">
            <v>-</v>
          </cell>
          <cell r="P1914" t="str">
            <v>-</v>
          </cell>
          <cell r="Q1914" t="str">
            <v>-</v>
          </cell>
          <cell r="R1914" t="str">
            <v>-</v>
          </cell>
          <cell r="T1914" t="str">
            <v>-</v>
          </cell>
          <cell r="U1914" t="str">
            <v>-</v>
          </cell>
          <cell r="W1914" t="str">
            <v>-</v>
          </cell>
        </row>
        <row r="1915">
          <cell r="F1915" t="str">
            <v>LUCK01S195</v>
          </cell>
          <cell r="G1915" t="str">
            <v>S K JAIN</v>
          </cell>
          <cell r="H1915" t="str">
            <v>-</v>
          </cell>
          <cell r="J1915" t="str">
            <v>Domestic</v>
          </cell>
          <cell r="K1915" t="str">
            <v>-</v>
          </cell>
          <cell r="L1915" t="str">
            <v>Non-Sugar</v>
          </cell>
          <cell r="O1915" t="str">
            <v>-</v>
          </cell>
          <cell r="P1915" t="str">
            <v>-</v>
          </cell>
          <cell r="Q1915" t="str">
            <v>-</v>
          </cell>
          <cell r="R1915" t="str">
            <v>-</v>
          </cell>
          <cell r="T1915" t="str">
            <v>-</v>
          </cell>
          <cell r="U1915" t="str">
            <v>-</v>
          </cell>
          <cell r="W1915" t="str">
            <v>-</v>
          </cell>
        </row>
        <row r="1916">
          <cell r="F1916" t="str">
            <v>GHZB01S214</v>
          </cell>
          <cell r="G1916" t="str">
            <v>S P GARG</v>
          </cell>
          <cell r="H1916" t="str">
            <v>-</v>
          </cell>
          <cell r="J1916" t="str">
            <v>Domestic</v>
          </cell>
          <cell r="K1916" t="str">
            <v>-</v>
          </cell>
          <cell r="L1916" t="str">
            <v>Non-Sugar</v>
          </cell>
          <cell r="O1916" t="str">
            <v>-</v>
          </cell>
          <cell r="P1916" t="str">
            <v>-</v>
          </cell>
          <cell r="Q1916" t="str">
            <v>-</v>
          </cell>
          <cell r="R1916" t="str">
            <v>-</v>
          </cell>
          <cell r="T1916" t="str">
            <v>-</v>
          </cell>
          <cell r="U1916" t="str">
            <v>-</v>
          </cell>
          <cell r="W1916" t="str">
            <v>-</v>
          </cell>
        </row>
        <row r="1917">
          <cell r="F1917" t="str">
            <v>CHEN01S370</v>
          </cell>
          <cell r="G1917" t="str">
            <v>S R ENGINEERING SOLUTIONS</v>
          </cell>
          <cell r="H1917" t="str">
            <v>-</v>
          </cell>
          <cell r="J1917" t="str">
            <v>Domestic</v>
          </cell>
          <cell r="K1917" t="str">
            <v>OEM</v>
          </cell>
          <cell r="L1917" t="str">
            <v>Non-Sugar</v>
          </cell>
          <cell r="P1917" t="str">
            <v>SI-GS</v>
          </cell>
          <cell r="Q1917" t="str">
            <v>SI-GS</v>
          </cell>
          <cell r="W1917">
            <v>45245</v>
          </cell>
        </row>
        <row r="1918">
          <cell r="F1918" t="str">
            <v>ARGB01S391</v>
          </cell>
          <cell r="G1918" t="str">
            <v>S V ENG &amp; CONSULTANCY CHATRAPATI SAMBHAJINAGAR</v>
          </cell>
          <cell r="H1918" t="str">
            <v>-</v>
          </cell>
          <cell r="J1918" t="str">
            <v>Domestic</v>
          </cell>
          <cell r="K1918" t="str">
            <v>-</v>
          </cell>
          <cell r="L1918" t="str">
            <v>Non-Sugar</v>
          </cell>
          <cell r="O1918" t="str">
            <v>-</v>
          </cell>
          <cell r="P1918" t="str">
            <v>-</v>
          </cell>
          <cell r="Q1918" t="str">
            <v>-</v>
          </cell>
          <cell r="R1918" t="str">
            <v>-</v>
          </cell>
          <cell r="T1918" t="str">
            <v>-</v>
          </cell>
          <cell r="U1918" t="str">
            <v>-</v>
          </cell>
          <cell r="W1918" t="str">
            <v>-</v>
          </cell>
        </row>
        <row r="1919">
          <cell r="F1919" t="str">
            <v>MUMB01S314</v>
          </cell>
          <cell r="G1919" t="str">
            <v>S&amp;P FEEDS PRIVATE LIMITED</v>
          </cell>
          <cell r="H1919" t="str">
            <v>-</v>
          </cell>
          <cell r="J1919" t="str">
            <v>Domestic</v>
          </cell>
          <cell r="K1919" t="str">
            <v>Cattlefeed</v>
          </cell>
          <cell r="L1919" t="str">
            <v>Non-Sugar</v>
          </cell>
          <cell r="M1919" t="str">
            <v>End User</v>
          </cell>
          <cell r="O1919" t="str">
            <v>-</v>
          </cell>
          <cell r="P1919" t="str">
            <v>-</v>
          </cell>
          <cell r="Q1919" t="str">
            <v>-</v>
          </cell>
          <cell r="R1919" t="str">
            <v>-</v>
          </cell>
          <cell r="T1919" t="str">
            <v>-</v>
          </cell>
          <cell r="U1919" t="str">
            <v>-</v>
          </cell>
          <cell r="W1919" t="str">
            <v>-</v>
          </cell>
        </row>
        <row r="1920">
          <cell r="F1920" t="str">
            <v>KANE01S002</v>
          </cell>
          <cell r="G1920" t="str">
            <v>S.V. SUGAR MILLS LIMITED(New name Padmadevi sugars )</v>
          </cell>
          <cell r="H1920">
            <v>2013</v>
          </cell>
          <cell r="J1920" t="str">
            <v>Domestic</v>
          </cell>
          <cell r="K1920" t="str">
            <v>Sugar</v>
          </cell>
          <cell r="P1920" t="str">
            <v>SI-GS</v>
          </cell>
          <cell r="Q1920" t="str">
            <v>SI-GS</v>
          </cell>
          <cell r="W1920" t="str">
            <v>-</v>
          </cell>
        </row>
        <row r="1921">
          <cell r="F1921" t="str">
            <v>BHOP01S393</v>
          </cell>
          <cell r="G1921" t="str">
            <v>SAGE CARE</v>
          </cell>
          <cell r="H1921" t="str">
            <v>-</v>
          </cell>
          <cell r="J1921" t="str">
            <v>Domestic</v>
          </cell>
          <cell r="K1921" t="str">
            <v>-</v>
          </cell>
          <cell r="L1921" t="str">
            <v>Non-Sugar</v>
          </cell>
          <cell r="O1921" t="str">
            <v>-</v>
          </cell>
          <cell r="P1921" t="str">
            <v>-</v>
          </cell>
          <cell r="Q1921" t="str">
            <v>-</v>
          </cell>
          <cell r="R1921" t="str">
            <v>-</v>
          </cell>
          <cell r="T1921" t="str">
            <v>-</v>
          </cell>
          <cell r="U1921" t="str">
            <v>-</v>
          </cell>
          <cell r="W1921" t="str">
            <v>-</v>
          </cell>
        </row>
        <row r="1922">
          <cell r="F1922" t="str">
            <v>AHMD01S175</v>
          </cell>
          <cell r="G1922" t="str">
            <v>SAHAKARMAHARSHI BHAUSAHEB THORAT SSK LTD</v>
          </cell>
          <cell r="H1922" t="str">
            <v>-</v>
          </cell>
          <cell r="J1922" t="str">
            <v>Domestic</v>
          </cell>
          <cell r="P1922" t="str">
            <v>AV</v>
          </cell>
          <cell r="Q1922" t="str">
            <v>-</v>
          </cell>
        </row>
        <row r="1923">
          <cell r="F1923" t="str">
            <v>MUMB01S388</v>
          </cell>
          <cell r="G1923" t="str">
            <v>SAHASTRA CHEMICALS</v>
          </cell>
          <cell r="H1923" t="str">
            <v>-</v>
          </cell>
          <cell r="J1923" t="str">
            <v>Domestic</v>
          </cell>
          <cell r="K1923" t="str">
            <v>CHEMICAL</v>
          </cell>
          <cell r="L1923" t="str">
            <v>Non-Sugar</v>
          </cell>
          <cell r="M1923" t="str">
            <v>End User</v>
          </cell>
          <cell r="O1923" t="str">
            <v>-</v>
          </cell>
          <cell r="P1923" t="str">
            <v>-</v>
          </cell>
          <cell r="Q1923" t="str">
            <v>-</v>
          </cell>
          <cell r="R1923" t="str">
            <v>-</v>
          </cell>
          <cell r="T1923" t="str">
            <v>-</v>
          </cell>
          <cell r="U1923" t="str">
            <v>-</v>
          </cell>
          <cell r="W1923" t="str">
            <v>-</v>
          </cell>
        </row>
        <row r="1924">
          <cell r="F1924" t="str">
            <v>DHAK01S367</v>
          </cell>
          <cell r="G1924" t="str">
            <v>SAHIDUL ISLAM</v>
          </cell>
          <cell r="H1924" t="str">
            <v>-</v>
          </cell>
          <cell r="J1924" t="str">
            <v>Export</v>
          </cell>
          <cell r="K1924" t="str">
            <v>-</v>
          </cell>
          <cell r="L1924" t="str">
            <v>Non-Sugar</v>
          </cell>
          <cell r="O1924" t="str">
            <v>-</v>
          </cell>
          <cell r="P1924" t="str">
            <v>-</v>
          </cell>
          <cell r="Q1924" t="str">
            <v>-</v>
          </cell>
          <cell r="R1924" t="str">
            <v>-</v>
          </cell>
          <cell r="T1924" t="str">
            <v>-</v>
          </cell>
          <cell r="U1924" t="str">
            <v>-</v>
          </cell>
          <cell r="W1924" t="str">
            <v>-</v>
          </cell>
        </row>
        <row r="1925">
          <cell r="F1925" t="str">
            <v>KABI01S239</v>
          </cell>
          <cell r="G1925" t="str">
            <v>SAI TRADERS</v>
          </cell>
          <cell r="H1925">
            <v>2017</v>
          </cell>
          <cell r="J1925" t="str">
            <v>Domestic</v>
          </cell>
          <cell r="K1925" t="str">
            <v>-</v>
          </cell>
          <cell r="L1925" t="str">
            <v>Non-Sugar</v>
          </cell>
          <cell r="M1925" t="str">
            <v>End User</v>
          </cell>
          <cell r="O1925" t="str">
            <v>-</v>
          </cell>
          <cell r="P1925" t="str">
            <v>-</v>
          </cell>
          <cell r="Q1925" t="str">
            <v>-</v>
          </cell>
          <cell r="R1925" t="str">
            <v>-</v>
          </cell>
          <cell r="T1925" t="str">
            <v>-</v>
          </cell>
          <cell r="U1925" t="str">
            <v>-</v>
          </cell>
          <cell r="W1925" t="str">
            <v>-</v>
          </cell>
        </row>
        <row r="1926">
          <cell r="F1926" t="str">
            <v>AHMD01S200</v>
          </cell>
          <cell r="G1926" t="str">
            <v>SAIFSTEEL ENGINEERING WORKS</v>
          </cell>
          <cell r="H1926" t="str">
            <v>-</v>
          </cell>
          <cell r="J1926" t="str">
            <v>Domestic</v>
          </cell>
          <cell r="K1926" t="str">
            <v>-</v>
          </cell>
          <cell r="L1926" t="str">
            <v>Non-Sugar</v>
          </cell>
          <cell r="O1926" t="str">
            <v>-</v>
          </cell>
          <cell r="P1926" t="str">
            <v>-</v>
          </cell>
          <cell r="Q1926" t="str">
            <v>-</v>
          </cell>
          <cell r="R1926" t="str">
            <v>-</v>
          </cell>
          <cell r="T1926" t="str">
            <v>-</v>
          </cell>
          <cell r="U1926" t="str">
            <v>-</v>
          </cell>
          <cell r="W1926" t="str">
            <v>-</v>
          </cell>
        </row>
        <row r="1927">
          <cell r="F1927" t="str">
            <v>NASK01S185</v>
          </cell>
          <cell r="G1927" t="str">
            <v>SAISH AGRO FOOD INDIA</v>
          </cell>
          <cell r="H1927" t="str">
            <v>-</v>
          </cell>
          <cell r="J1927" t="str">
            <v>Domestic</v>
          </cell>
          <cell r="K1927" t="str">
            <v>-</v>
          </cell>
          <cell r="L1927" t="str">
            <v>Non-Sugar</v>
          </cell>
          <cell r="O1927" t="str">
            <v>-</v>
          </cell>
          <cell r="P1927" t="str">
            <v>-</v>
          </cell>
          <cell r="Q1927" t="str">
            <v>-</v>
          </cell>
          <cell r="R1927" t="str">
            <v>-</v>
          </cell>
          <cell r="T1927" t="str">
            <v>-</v>
          </cell>
          <cell r="U1927" t="str">
            <v>-</v>
          </cell>
          <cell r="W1927" t="str">
            <v>-</v>
          </cell>
        </row>
        <row r="1928">
          <cell r="F1928" t="str">
            <v>GWAL01S315</v>
          </cell>
          <cell r="G1928" t="str">
            <v>SAKSHI FOOD PRODUCTS</v>
          </cell>
          <cell r="H1928" t="str">
            <v>-</v>
          </cell>
          <cell r="J1928" t="str">
            <v>Domestic</v>
          </cell>
          <cell r="K1928" t="str">
            <v>-</v>
          </cell>
          <cell r="L1928" t="str">
            <v>Non-Sugar</v>
          </cell>
          <cell r="O1928" t="str">
            <v>-</v>
          </cell>
          <cell r="P1928" t="str">
            <v>-</v>
          </cell>
          <cell r="Q1928" t="str">
            <v>-</v>
          </cell>
          <cell r="R1928" t="str">
            <v>-</v>
          </cell>
          <cell r="T1928" t="str">
            <v>-</v>
          </cell>
          <cell r="U1928" t="str">
            <v>-</v>
          </cell>
          <cell r="W1928" t="str">
            <v>-</v>
          </cell>
        </row>
        <row r="1929">
          <cell r="F1929" t="str">
            <v>JALN01S186</v>
          </cell>
          <cell r="G1929" t="str">
            <v>SAMARTH S.S.K. LTD UNIT-2 (SUAGR)</v>
          </cell>
          <cell r="H1929">
            <v>2015</v>
          </cell>
          <cell r="J1929" t="str">
            <v>Domestic</v>
          </cell>
          <cell r="K1929" t="str">
            <v>Sugar</v>
          </cell>
          <cell r="M1929" t="str">
            <v>End User</v>
          </cell>
          <cell r="O1929" t="str">
            <v>-</v>
          </cell>
          <cell r="P1929" t="str">
            <v>-</v>
          </cell>
          <cell r="Q1929" t="str">
            <v>-</v>
          </cell>
          <cell r="R1929" t="str">
            <v>-</v>
          </cell>
          <cell r="T1929" t="str">
            <v>-</v>
          </cell>
          <cell r="W1929" t="str">
            <v>-</v>
          </cell>
        </row>
        <row r="1930">
          <cell r="F1930" t="str">
            <v>JALN01S012</v>
          </cell>
          <cell r="G1930" t="str">
            <v>SAMARTH SAHAKARI SAKHAR KARKHANA LTD (Renamed with Karmyogi ankushrao tope)</v>
          </cell>
          <cell r="H1930">
            <v>2013</v>
          </cell>
          <cell r="J1930" t="str">
            <v>Domestic</v>
          </cell>
          <cell r="K1930" t="str">
            <v>Sugar</v>
          </cell>
          <cell r="M1930" t="str">
            <v>End User</v>
          </cell>
          <cell r="O1930" t="str">
            <v>-</v>
          </cell>
          <cell r="P1930" t="str">
            <v>AV</v>
          </cell>
          <cell r="Q1930" t="str">
            <v>-</v>
          </cell>
          <cell r="R1930" t="str">
            <v>-</v>
          </cell>
          <cell r="T1930" t="str">
            <v>-</v>
          </cell>
          <cell r="W1930" t="str">
            <v>-</v>
          </cell>
        </row>
        <row r="1931">
          <cell r="F1931" t="str">
            <v>AMBA01S308</v>
          </cell>
          <cell r="G1931" t="str">
            <v>SAMPURAN PACKAGING PVT.LTD</v>
          </cell>
          <cell r="H1931" t="str">
            <v>-</v>
          </cell>
          <cell r="J1931" t="str">
            <v>Domestic</v>
          </cell>
          <cell r="K1931" t="str">
            <v>-</v>
          </cell>
          <cell r="L1931" t="str">
            <v>Non-Sugar</v>
          </cell>
          <cell r="O1931" t="str">
            <v>-</v>
          </cell>
          <cell r="P1931" t="str">
            <v>-</v>
          </cell>
          <cell r="Q1931" t="str">
            <v>-</v>
          </cell>
          <cell r="R1931" t="str">
            <v>-</v>
          </cell>
          <cell r="T1931" t="str">
            <v>-</v>
          </cell>
          <cell r="U1931" t="str">
            <v>-</v>
          </cell>
          <cell r="W1931" t="str">
            <v>-</v>
          </cell>
        </row>
        <row r="1932">
          <cell r="F1932" t="str">
            <v>INDR01S376</v>
          </cell>
          <cell r="G1932" t="str">
            <v>SANCHI DAIRY</v>
          </cell>
          <cell r="H1932" t="str">
            <v>-</v>
          </cell>
          <cell r="J1932" t="str">
            <v>Domestic</v>
          </cell>
          <cell r="K1932" t="str">
            <v>Dairy</v>
          </cell>
          <cell r="L1932" t="str">
            <v>Non-Sugar</v>
          </cell>
          <cell r="M1932" t="str">
            <v>End User</v>
          </cell>
          <cell r="O1932" t="str">
            <v>-</v>
          </cell>
          <cell r="P1932" t="str">
            <v>-</v>
          </cell>
          <cell r="Q1932" t="str">
            <v>-</v>
          </cell>
          <cell r="R1932" t="str">
            <v>-</v>
          </cell>
          <cell r="T1932" t="str">
            <v>-</v>
          </cell>
          <cell r="U1932" t="str">
            <v>21-22</v>
          </cell>
          <cell r="W1932" t="str">
            <v>29-09-2021</v>
          </cell>
        </row>
        <row r="1933">
          <cell r="F1933" t="str">
            <v>KANP01S381</v>
          </cell>
          <cell r="G1933" t="str">
            <v>SANDIP ENGINEERING WORKS</v>
          </cell>
          <cell r="H1933" t="str">
            <v>-</v>
          </cell>
          <cell r="J1933" t="str">
            <v>Domestic</v>
          </cell>
          <cell r="K1933" t="str">
            <v>-</v>
          </cell>
          <cell r="L1933" t="str">
            <v>Non-Sugar</v>
          </cell>
          <cell r="O1933" t="str">
            <v>-</v>
          </cell>
          <cell r="P1933" t="str">
            <v>-</v>
          </cell>
          <cell r="Q1933" t="str">
            <v>-</v>
          </cell>
          <cell r="R1933" t="str">
            <v>-</v>
          </cell>
          <cell r="T1933" t="str">
            <v>-</v>
          </cell>
          <cell r="U1933" t="str">
            <v>-</v>
          </cell>
          <cell r="W1933" t="str">
            <v>-</v>
          </cell>
        </row>
        <row r="1934">
          <cell r="F1934" t="str">
            <v>SOLP01S014</v>
          </cell>
          <cell r="G1934" t="str">
            <v>SANGOLA TALUKA SAHAKARI - SAKHAR KARKHANA LTD.(RE NAMED DHARASHIV SSK)</v>
          </cell>
          <cell r="H1934" t="str">
            <v>-</v>
          </cell>
          <cell r="J1934" t="str">
            <v>Domestic</v>
          </cell>
          <cell r="K1934" t="str">
            <v>Sugar</v>
          </cell>
          <cell r="M1934" t="str">
            <v>End User</v>
          </cell>
          <cell r="O1934" t="str">
            <v>-</v>
          </cell>
          <cell r="P1934" t="str">
            <v>-</v>
          </cell>
          <cell r="Q1934" t="str">
            <v>-</v>
          </cell>
          <cell r="R1934" t="str">
            <v>-</v>
          </cell>
          <cell r="S1934" t="str">
            <v>https://maps.app.goo.gl/KUu5JMF5ncntsa598</v>
          </cell>
          <cell r="T1934" t="str">
            <v>-</v>
          </cell>
          <cell r="U1934" t="str">
            <v>26-27</v>
          </cell>
          <cell r="V1934" t="str">
            <v>May</v>
          </cell>
          <cell r="W1934" t="str">
            <v>23.05.2026</v>
          </cell>
        </row>
        <row r="1935">
          <cell r="F1935" t="str">
            <v>KANP01S288</v>
          </cell>
          <cell r="G1935" t="str">
            <v>SANSKAR DAIRY</v>
          </cell>
          <cell r="H1935" t="str">
            <v>-</v>
          </cell>
          <cell r="J1935" t="str">
            <v>Domestic</v>
          </cell>
          <cell r="K1935" t="str">
            <v>Cattlefeed</v>
          </cell>
          <cell r="L1935" t="str">
            <v>Non-Sugar</v>
          </cell>
          <cell r="M1935" t="str">
            <v>End User</v>
          </cell>
          <cell r="O1935" t="str">
            <v>-</v>
          </cell>
          <cell r="P1935" t="str">
            <v>-</v>
          </cell>
          <cell r="Q1935" t="str">
            <v>-</v>
          </cell>
          <cell r="R1935" t="str">
            <v>-</v>
          </cell>
          <cell r="T1935" t="str">
            <v>-</v>
          </cell>
          <cell r="U1935" t="str">
            <v>-</v>
          </cell>
          <cell r="W1935" t="str">
            <v>-</v>
          </cell>
        </row>
        <row r="1936">
          <cell r="F1936" t="str">
            <v>JALG01S154</v>
          </cell>
          <cell r="G1936" t="str">
            <v>SANT MUKTAI SUGAR &amp; ENERGY LTD.</v>
          </cell>
          <cell r="H1936">
            <v>2014</v>
          </cell>
          <cell r="J1936" t="str">
            <v>Domestic</v>
          </cell>
          <cell r="K1936" t="str">
            <v>Sugar</v>
          </cell>
          <cell r="M1936" t="str">
            <v>End User</v>
          </cell>
          <cell r="O1936">
            <v>2500</v>
          </cell>
          <cell r="P1936" t="str">
            <v>-</v>
          </cell>
          <cell r="Q1936" t="str">
            <v>-</v>
          </cell>
          <cell r="R1936" t="str">
            <v>-</v>
          </cell>
          <cell r="T1936" t="str">
            <v>-</v>
          </cell>
          <cell r="W1936" t="str">
            <v>-</v>
          </cell>
        </row>
        <row r="1937">
          <cell r="F1937" t="str">
            <v>CHEN01S377</v>
          </cell>
          <cell r="G1937" t="str">
            <v>SANTOSH SB IOCL PLANT</v>
          </cell>
          <cell r="H1937" t="str">
            <v>-</v>
          </cell>
          <cell r="J1937" t="str">
            <v>Domestic</v>
          </cell>
          <cell r="K1937" t="str">
            <v>-</v>
          </cell>
          <cell r="L1937" t="str">
            <v>Non-Sugar</v>
          </cell>
          <cell r="O1937" t="str">
            <v>-</v>
          </cell>
          <cell r="P1937" t="str">
            <v>-</v>
          </cell>
          <cell r="Q1937" t="str">
            <v>-</v>
          </cell>
          <cell r="R1937" t="str">
            <v>-</v>
          </cell>
          <cell r="T1937" t="str">
            <v>-</v>
          </cell>
          <cell r="U1937" t="str">
            <v>-</v>
          </cell>
          <cell r="W1937" t="str">
            <v>-</v>
          </cell>
        </row>
        <row r="1938">
          <cell r="F1938" t="str">
            <v>PUNE01S342</v>
          </cell>
          <cell r="G1938" t="str">
            <v>SAP FILTER PVT LTD</v>
          </cell>
          <cell r="H1938" t="str">
            <v>-</v>
          </cell>
          <cell r="J1938" t="str">
            <v>Domestic</v>
          </cell>
          <cell r="K1938" t="str">
            <v>-</v>
          </cell>
          <cell r="L1938" t="str">
            <v>Non-Sugar</v>
          </cell>
          <cell r="O1938" t="str">
            <v>-</v>
          </cell>
          <cell r="P1938" t="str">
            <v>-</v>
          </cell>
          <cell r="Q1938" t="str">
            <v>-</v>
          </cell>
          <cell r="R1938" t="str">
            <v>-</v>
          </cell>
          <cell r="T1938" t="str">
            <v>-</v>
          </cell>
          <cell r="U1938" t="str">
            <v>-</v>
          </cell>
          <cell r="W1938" t="str">
            <v>-</v>
          </cell>
        </row>
        <row r="1939">
          <cell r="F1939" t="str">
            <v>VADO01S222</v>
          </cell>
          <cell r="G1939" t="str">
            <v>SARAL FILTERATION PVT LTD</v>
          </cell>
          <cell r="H1939" t="str">
            <v>-</v>
          </cell>
          <cell r="J1939" t="str">
            <v>Domestic</v>
          </cell>
          <cell r="K1939" t="str">
            <v>-</v>
          </cell>
          <cell r="L1939" t="str">
            <v>Non-Sugar</v>
          </cell>
          <cell r="O1939" t="str">
            <v>-</v>
          </cell>
          <cell r="P1939" t="str">
            <v>-</v>
          </cell>
          <cell r="Q1939" t="str">
            <v>-</v>
          </cell>
          <cell r="R1939" t="str">
            <v>-</v>
          </cell>
          <cell r="T1939" t="str">
            <v>-</v>
          </cell>
          <cell r="U1939" t="str">
            <v>-</v>
          </cell>
          <cell r="W1939" t="str">
            <v>-</v>
          </cell>
        </row>
        <row r="1940">
          <cell r="F1940" t="str">
            <v>JAMM01S399</v>
          </cell>
          <cell r="G1940" t="str">
            <v>SARASWATI AGRO CHEMICAL</v>
          </cell>
          <cell r="H1940" t="str">
            <v>-</v>
          </cell>
          <cell r="J1940" t="str">
            <v>Domestic</v>
          </cell>
          <cell r="K1940" t="str">
            <v>CHEMICAL</v>
          </cell>
          <cell r="L1940" t="str">
            <v>Non-Sugar</v>
          </cell>
          <cell r="M1940" t="str">
            <v>End User</v>
          </cell>
          <cell r="O1940" t="str">
            <v>-</v>
          </cell>
          <cell r="P1940" t="str">
            <v>-</v>
          </cell>
          <cell r="Q1940" t="str">
            <v>-</v>
          </cell>
          <cell r="R1940" t="str">
            <v>-</v>
          </cell>
          <cell r="T1940" t="str">
            <v>-</v>
          </cell>
          <cell r="U1940" t="str">
            <v>-</v>
          </cell>
          <cell r="W1940" t="str">
            <v>-</v>
          </cell>
        </row>
        <row r="1941">
          <cell r="F1941" t="str">
            <v>GORA01S016</v>
          </cell>
          <cell r="G1941" t="str">
            <v>SARAYA SUGAR MILLS LTD</v>
          </cell>
          <cell r="H1941" t="str">
            <v>-</v>
          </cell>
          <cell r="J1941" t="str">
            <v>Domestic</v>
          </cell>
          <cell r="K1941" t="str">
            <v>Sugar</v>
          </cell>
          <cell r="L1941" t="str">
            <v>Sugar</v>
          </cell>
          <cell r="M1941" t="str">
            <v>End User</v>
          </cell>
          <cell r="O1941" t="str">
            <v>-</v>
          </cell>
          <cell r="P1941" t="str">
            <v>-</v>
          </cell>
          <cell r="Q1941" t="str">
            <v>-</v>
          </cell>
          <cell r="R1941" t="str">
            <v>-</v>
          </cell>
          <cell r="T1941" t="str">
            <v>-</v>
          </cell>
          <cell r="U1941" t="str">
            <v>-</v>
          </cell>
          <cell r="W1941" t="str">
            <v>-</v>
          </cell>
        </row>
        <row r="1942">
          <cell r="F1942" t="str">
            <v>BHUB01S123</v>
          </cell>
          <cell r="G1942" t="str">
            <v>SAROJ METE TECH</v>
          </cell>
          <cell r="H1942" t="str">
            <v>-</v>
          </cell>
          <cell r="J1942" t="str">
            <v>Domestic</v>
          </cell>
          <cell r="K1942" t="str">
            <v>-</v>
          </cell>
          <cell r="L1942" t="str">
            <v>Non-Sugar</v>
          </cell>
          <cell r="O1942" t="str">
            <v>-</v>
          </cell>
          <cell r="P1942" t="str">
            <v>-</v>
          </cell>
          <cell r="Q1942" t="str">
            <v>-</v>
          </cell>
          <cell r="R1942" t="str">
            <v>-</v>
          </cell>
          <cell r="T1942" t="str">
            <v>-</v>
          </cell>
          <cell r="U1942" t="str">
            <v>-</v>
          </cell>
          <cell r="W1942" t="str">
            <v>-</v>
          </cell>
        </row>
        <row r="1943">
          <cell r="F1943" t="str">
            <v>KANP01S279</v>
          </cell>
          <cell r="G1943" t="str">
            <v>SARTHAK ENTERPRISES</v>
          </cell>
          <cell r="H1943" t="str">
            <v>20-21</v>
          </cell>
          <cell r="J1943" t="str">
            <v>Domestic</v>
          </cell>
          <cell r="K1943" t="str">
            <v>OTHERS</v>
          </cell>
          <cell r="L1943" t="str">
            <v>Non-Sugar</v>
          </cell>
          <cell r="M1943" t="str">
            <v>OEM</v>
          </cell>
          <cell r="O1943" t="str">
            <v>-</v>
          </cell>
          <cell r="P1943" t="str">
            <v>HO</v>
          </cell>
          <cell r="Q1943" t="str">
            <v>-</v>
          </cell>
          <cell r="T1943" t="str">
            <v>-</v>
          </cell>
          <cell r="U1943" t="str">
            <v>-</v>
          </cell>
          <cell r="W1943" t="str">
            <v>-</v>
          </cell>
        </row>
        <row r="1944">
          <cell r="F1944" t="str">
            <v>GOPA01S145</v>
          </cell>
          <cell r="G1944" t="str">
            <v>SASA MUSA SUGAR WORKS LTD.</v>
          </cell>
          <cell r="H1944">
            <v>2014</v>
          </cell>
          <cell r="J1944" t="str">
            <v>Domestic</v>
          </cell>
          <cell r="K1944" t="str">
            <v>Sugar</v>
          </cell>
          <cell r="L1944" t="str">
            <v>Sugar</v>
          </cell>
          <cell r="M1944" t="str">
            <v>End User</v>
          </cell>
          <cell r="O1944">
            <v>3000</v>
          </cell>
          <cell r="P1944" t="str">
            <v>NI</v>
          </cell>
          <cell r="Q1944" t="str">
            <v>HIMANSHU KUSHWAHA</v>
          </cell>
          <cell r="T1944" t="str">
            <v>-</v>
          </cell>
          <cell r="U1944" t="str">
            <v>26-27</v>
          </cell>
          <cell r="V1944" t="str">
            <v>May</v>
          </cell>
          <cell r="W1944" t="str">
            <v>1-5-2026
07-01-2020</v>
          </cell>
        </row>
        <row r="1945">
          <cell r="F1945" t="str">
            <v>THAN01S379</v>
          </cell>
          <cell r="G1945" t="str">
            <v>SATKAR SOAP FACTORY</v>
          </cell>
          <cell r="H1945" t="str">
            <v>-</v>
          </cell>
          <cell r="J1945" t="str">
            <v>Domestic</v>
          </cell>
          <cell r="K1945" t="str">
            <v>-</v>
          </cell>
          <cell r="L1945" t="str">
            <v>Non-Sugar</v>
          </cell>
          <cell r="O1945" t="str">
            <v>-</v>
          </cell>
          <cell r="P1945" t="str">
            <v>-</v>
          </cell>
          <cell r="Q1945" t="str">
            <v>-</v>
          </cell>
          <cell r="R1945" t="str">
            <v>-</v>
          </cell>
          <cell r="T1945" t="str">
            <v>-</v>
          </cell>
          <cell r="U1945" t="str">
            <v>-</v>
          </cell>
          <cell r="W1945" t="str">
            <v>-</v>
          </cell>
        </row>
        <row r="1946">
          <cell r="F1946" t="str">
            <v>NIGE01S274</v>
          </cell>
          <cell r="G1946" t="str">
            <v>SAVANNAH SUGAR COMPANY LIMITED</v>
          </cell>
          <cell r="H1946" t="str">
            <v>-</v>
          </cell>
          <cell r="J1946" t="str">
            <v>Export</v>
          </cell>
          <cell r="K1946" t="str">
            <v>Sugar</v>
          </cell>
          <cell r="L1946" t="str">
            <v>Sugar</v>
          </cell>
          <cell r="M1946" t="str">
            <v>End User</v>
          </cell>
          <cell r="O1946" t="str">
            <v>-</v>
          </cell>
          <cell r="P1946" t="str">
            <v>-</v>
          </cell>
          <cell r="Q1946" t="str">
            <v>-</v>
          </cell>
          <cell r="R1946" t="str">
            <v>-</v>
          </cell>
          <cell r="T1946" t="str">
            <v>-</v>
          </cell>
          <cell r="U1946" t="str">
            <v>-</v>
          </cell>
          <cell r="W1946" t="str">
            <v>-</v>
          </cell>
        </row>
        <row r="1947">
          <cell r="F1947" t="str">
            <v>JAIP01S354</v>
          </cell>
          <cell r="G1947" t="str">
            <v>SBF ISPAT PVT LTD</v>
          </cell>
          <cell r="H1947" t="str">
            <v>-</v>
          </cell>
          <cell r="J1947" t="str">
            <v>Domestic</v>
          </cell>
          <cell r="K1947" t="str">
            <v>-</v>
          </cell>
          <cell r="L1947" t="str">
            <v>Non-Sugar</v>
          </cell>
          <cell r="O1947" t="str">
            <v>-</v>
          </cell>
          <cell r="P1947" t="str">
            <v>-</v>
          </cell>
          <cell r="Q1947" t="str">
            <v>-</v>
          </cell>
          <cell r="R1947" t="str">
            <v>-</v>
          </cell>
          <cell r="T1947" t="str">
            <v>-</v>
          </cell>
          <cell r="U1947" t="str">
            <v>-</v>
          </cell>
          <cell r="W1947" t="str">
            <v>-</v>
          </cell>
        </row>
        <row r="1948">
          <cell r="F1948" t="str">
            <v>MUMB01S148</v>
          </cell>
          <cell r="G1948" t="str">
            <v>SERVOTECH INDIA LTD.</v>
          </cell>
          <cell r="H1948" t="str">
            <v>-</v>
          </cell>
          <cell r="J1948" t="str">
            <v>Domestic</v>
          </cell>
          <cell r="K1948" t="str">
            <v>-</v>
          </cell>
          <cell r="L1948" t="str">
            <v>Non-Sugar</v>
          </cell>
          <cell r="O1948" t="str">
            <v>-</v>
          </cell>
          <cell r="P1948" t="str">
            <v>-</v>
          </cell>
          <cell r="Q1948" t="str">
            <v>-</v>
          </cell>
          <cell r="R1948" t="str">
            <v>-</v>
          </cell>
          <cell r="T1948" t="str">
            <v>-</v>
          </cell>
          <cell r="U1948" t="str">
            <v>-</v>
          </cell>
          <cell r="W1948" t="str">
            <v>-</v>
          </cell>
        </row>
        <row r="1949">
          <cell r="F1949" t="str">
            <v>JAKR01S150</v>
          </cell>
          <cell r="G1949" t="str">
            <v>SETYA WIBAGSANA ENGINEER SALES</v>
          </cell>
          <cell r="H1949" t="str">
            <v>-</v>
          </cell>
          <cell r="J1949" t="str">
            <v>Export</v>
          </cell>
          <cell r="K1949" t="str">
            <v>-</v>
          </cell>
          <cell r="L1949" t="str">
            <v>Non-Sugar</v>
          </cell>
          <cell r="O1949" t="str">
            <v>-</v>
          </cell>
          <cell r="P1949" t="str">
            <v>-</v>
          </cell>
          <cell r="Q1949" t="str">
            <v>VG</v>
          </cell>
          <cell r="R1949" t="str">
            <v>-</v>
          </cell>
          <cell r="T1949" t="str">
            <v>-</v>
          </cell>
          <cell r="U1949" t="str">
            <v>-</v>
          </cell>
          <cell r="W1949" t="str">
            <v>-</v>
          </cell>
        </row>
        <row r="1950">
          <cell r="F1950" t="str">
            <v>GAND01S019</v>
          </cell>
          <cell r="G1950" t="str">
            <v>SHAH ALLOYS LTD</v>
          </cell>
          <cell r="H1950" t="str">
            <v>-</v>
          </cell>
          <cell r="J1950" t="str">
            <v>Domestic</v>
          </cell>
          <cell r="K1950" t="str">
            <v>-</v>
          </cell>
          <cell r="L1950" t="str">
            <v>Non-Sugar</v>
          </cell>
          <cell r="O1950" t="str">
            <v>-</v>
          </cell>
          <cell r="P1950" t="str">
            <v>-</v>
          </cell>
          <cell r="Q1950" t="str">
            <v>-</v>
          </cell>
          <cell r="R1950" t="str">
            <v>-</v>
          </cell>
          <cell r="T1950" t="str">
            <v>-</v>
          </cell>
          <cell r="U1950" t="str">
            <v>-</v>
          </cell>
          <cell r="W1950" t="str">
            <v>-</v>
          </cell>
        </row>
        <row r="1951">
          <cell r="F1951" t="str">
            <v>SAHJ01S171</v>
          </cell>
          <cell r="G1951" t="str">
            <v>SHAHJAHANPUR EDIBLES PVT LTD</v>
          </cell>
          <cell r="H1951">
            <v>2016</v>
          </cell>
          <cell r="J1951" t="str">
            <v>Domestic</v>
          </cell>
          <cell r="K1951" t="str">
            <v>-</v>
          </cell>
          <cell r="L1951" t="str">
            <v>Non-Sugar</v>
          </cell>
          <cell r="M1951" t="str">
            <v>End User</v>
          </cell>
          <cell r="O1951" t="str">
            <v>-</v>
          </cell>
          <cell r="P1951" t="str">
            <v>-</v>
          </cell>
          <cell r="Q1951" t="str">
            <v>-</v>
          </cell>
          <cell r="R1951" t="str">
            <v>-</v>
          </cell>
          <cell r="T1951" t="str">
            <v>-</v>
          </cell>
          <cell r="U1951" t="str">
            <v>-</v>
          </cell>
          <cell r="W1951" t="str">
            <v>-</v>
          </cell>
        </row>
        <row r="1952">
          <cell r="F1952" t="str">
            <v>NANA01S157</v>
          </cell>
          <cell r="G1952" t="str">
            <v>SHAKTI PUMPS</v>
          </cell>
          <cell r="H1952" t="str">
            <v>-</v>
          </cell>
          <cell r="J1952" t="str">
            <v>Domestic</v>
          </cell>
          <cell r="L1952" t="str">
            <v>Non-Sugar</v>
          </cell>
          <cell r="O1952" t="str">
            <v>-</v>
          </cell>
          <cell r="P1952" t="str">
            <v>-</v>
          </cell>
          <cell r="Q1952" t="str">
            <v>-</v>
          </cell>
        </row>
        <row r="1953">
          <cell r="F1953" t="str">
            <v>VADO01S163</v>
          </cell>
          <cell r="G1953" t="str">
            <v>SHALINI IMPEX</v>
          </cell>
          <cell r="H1953" t="str">
            <v>-</v>
          </cell>
          <cell r="J1953" t="str">
            <v>Domestic</v>
          </cell>
          <cell r="K1953" t="str">
            <v>-</v>
          </cell>
          <cell r="L1953" t="str">
            <v>Non-Sugar</v>
          </cell>
          <cell r="O1953" t="str">
            <v>-</v>
          </cell>
          <cell r="P1953" t="str">
            <v>-</v>
          </cell>
          <cell r="Q1953" t="str">
            <v>-</v>
          </cell>
          <cell r="R1953" t="str">
            <v>-</v>
          </cell>
          <cell r="T1953" t="str">
            <v>-</v>
          </cell>
          <cell r="U1953" t="str">
            <v>-</v>
          </cell>
          <cell r="W1953" t="str">
            <v>-</v>
          </cell>
        </row>
        <row r="1954">
          <cell r="F1954" t="str">
            <v>SHAM01S213</v>
          </cell>
          <cell r="G1954" t="str">
            <v>SHAMLI DISTILLERY &amp; CHEMICAL WORKS</v>
          </cell>
          <cell r="H1954" t="str">
            <v>-</v>
          </cell>
          <cell r="J1954" t="str">
            <v>Domestic</v>
          </cell>
          <cell r="K1954" t="str">
            <v>Distillery</v>
          </cell>
          <cell r="L1954" t="str">
            <v>Non-Sugar</v>
          </cell>
          <cell r="M1954" t="str">
            <v>End User</v>
          </cell>
          <cell r="O1954" t="str">
            <v>-</v>
          </cell>
          <cell r="P1954" t="str">
            <v>-</v>
          </cell>
          <cell r="Q1954" t="str">
            <v>-</v>
          </cell>
          <cell r="R1954" t="str">
            <v>-</v>
          </cell>
          <cell r="T1954" t="str">
            <v>-</v>
          </cell>
          <cell r="U1954" t="str">
            <v>-</v>
          </cell>
          <cell r="W1954" t="str">
            <v>-</v>
          </cell>
        </row>
        <row r="1955">
          <cell r="F1955" t="str">
            <v>KUSH01S225</v>
          </cell>
          <cell r="G1955" t="str">
            <v>SHANKARA SHARKARA SANKUL</v>
          </cell>
          <cell r="H1955">
            <v>2017</v>
          </cell>
          <cell r="J1955" t="str">
            <v>Domestic</v>
          </cell>
          <cell r="K1955" t="str">
            <v>OTHERS</v>
          </cell>
          <cell r="L1955" t="str">
            <v>Non-Sugar</v>
          </cell>
          <cell r="M1955" t="str">
            <v>End User</v>
          </cell>
          <cell r="O1955" t="str">
            <v>-</v>
          </cell>
          <cell r="P1955" t="str">
            <v>HO</v>
          </cell>
          <cell r="Q1955" t="str">
            <v>-</v>
          </cell>
          <cell r="T1955" t="str">
            <v>-</v>
          </cell>
          <cell r="U1955" t="str">
            <v>-</v>
          </cell>
          <cell r="W1955" t="str">
            <v>-</v>
          </cell>
        </row>
        <row r="1956">
          <cell r="F1956" t="str">
            <v>ALAH01S022</v>
          </cell>
          <cell r="G1956" t="str">
            <v>SHANKER SUCROTECH ENGINEERING- (INDIA) PVT. LTD.</v>
          </cell>
          <cell r="H1956">
            <v>2012</v>
          </cell>
          <cell r="J1956" t="str">
            <v>Domestic</v>
          </cell>
          <cell r="K1956" t="str">
            <v>-</v>
          </cell>
          <cell r="L1956" t="str">
            <v>Non-Sugar</v>
          </cell>
          <cell r="M1956" t="str">
            <v>End User</v>
          </cell>
          <cell r="O1956" t="str">
            <v>-</v>
          </cell>
          <cell r="P1956" t="str">
            <v>-</v>
          </cell>
          <cell r="Q1956" t="str">
            <v>-</v>
          </cell>
          <cell r="R1956" t="str">
            <v>-</v>
          </cell>
          <cell r="T1956" t="str">
            <v>-</v>
          </cell>
          <cell r="U1956" t="str">
            <v>-</v>
          </cell>
          <cell r="W1956" t="str">
            <v>-</v>
          </cell>
        </row>
        <row r="1957">
          <cell r="F1957" t="str">
            <v>CHEN01S390</v>
          </cell>
          <cell r="G1957" t="str">
            <v>SHANMUKH TELANGANA</v>
          </cell>
          <cell r="H1957" t="str">
            <v>-</v>
          </cell>
          <cell r="J1957" t="str">
            <v>Domestic</v>
          </cell>
          <cell r="K1957" t="str">
            <v>-</v>
          </cell>
          <cell r="L1957" t="str">
            <v>Non-Sugar</v>
          </cell>
          <cell r="O1957" t="str">
            <v>-</v>
          </cell>
          <cell r="P1957" t="str">
            <v>-</v>
          </cell>
          <cell r="Q1957" t="str">
            <v>-</v>
          </cell>
          <cell r="R1957" t="str">
            <v>-</v>
          </cell>
          <cell r="T1957" t="str">
            <v>-</v>
          </cell>
          <cell r="U1957" t="str">
            <v>-</v>
          </cell>
          <cell r="W1957" t="str">
            <v>-</v>
          </cell>
        </row>
        <row r="1958">
          <cell r="F1958" t="str">
            <v>COIM01S364</v>
          </cell>
          <cell r="G1958" t="str">
            <v>SHARP PUMPS PVT LTD</v>
          </cell>
          <cell r="H1958" t="str">
            <v>-</v>
          </cell>
          <cell r="J1958" t="str">
            <v>Domestic</v>
          </cell>
          <cell r="K1958" t="str">
            <v>pump</v>
          </cell>
          <cell r="L1958" t="str">
            <v>Non-Sugar</v>
          </cell>
          <cell r="M1958" t="str">
            <v>Trader</v>
          </cell>
          <cell r="P1958" t="str">
            <v>SI-GS</v>
          </cell>
          <cell r="Q1958" t="str">
            <v>SI-GS</v>
          </cell>
          <cell r="W1958">
            <v>45107</v>
          </cell>
        </row>
        <row r="1959">
          <cell r="F1959" t="str">
            <v>PUNE01S395</v>
          </cell>
          <cell r="G1959" t="str">
            <v>SHASHWAT INDUSTRIAL DEVELOPERS</v>
          </cell>
          <cell r="H1959" t="str">
            <v>-</v>
          </cell>
          <cell r="J1959" t="str">
            <v>Domestic</v>
          </cell>
          <cell r="K1959" t="str">
            <v>-</v>
          </cell>
          <cell r="L1959" t="str">
            <v>Non-Sugar</v>
          </cell>
          <cell r="O1959" t="str">
            <v>-</v>
          </cell>
          <cell r="P1959" t="str">
            <v>-</v>
          </cell>
          <cell r="Q1959" t="str">
            <v>-</v>
          </cell>
          <cell r="R1959" t="str">
            <v>-</v>
          </cell>
          <cell r="T1959" t="str">
            <v>-</v>
          </cell>
          <cell r="U1959" t="str">
            <v>-</v>
          </cell>
          <cell r="W1959" t="str">
            <v>-</v>
          </cell>
        </row>
        <row r="1960">
          <cell r="F1960" t="str">
            <v>OSMA01S266</v>
          </cell>
          <cell r="G1960" t="str">
            <v>SHEELAATUL SUGAR TECH PVT LTD NASHK</v>
          </cell>
          <cell r="H1960" t="str">
            <v>-</v>
          </cell>
          <cell r="J1960" t="str">
            <v>Domestic</v>
          </cell>
          <cell r="K1960" t="str">
            <v>Sugar</v>
          </cell>
          <cell r="L1960" t="str">
            <v>Sugar</v>
          </cell>
          <cell r="M1960" t="str">
            <v>End User</v>
          </cell>
          <cell r="O1960" t="str">
            <v>-</v>
          </cell>
          <cell r="P1960" t="str">
            <v>-</v>
          </cell>
          <cell r="Q1960" t="str">
            <v>-</v>
          </cell>
          <cell r="R1960" t="str">
            <v>-</v>
          </cell>
          <cell r="T1960" t="str">
            <v>-</v>
          </cell>
          <cell r="U1960" t="str">
            <v>-</v>
          </cell>
          <cell r="W1960" t="str">
            <v>-</v>
          </cell>
        </row>
        <row r="1961">
          <cell r="F1961" t="str">
            <v>ANKL01S134</v>
          </cell>
          <cell r="G1961" t="str">
            <v>SHERLOCK INDUSTRIES</v>
          </cell>
          <cell r="H1961">
            <v>2013</v>
          </cell>
          <cell r="J1961" t="str">
            <v>Domestic</v>
          </cell>
          <cell r="K1961" t="str">
            <v>-</v>
          </cell>
          <cell r="L1961" t="str">
            <v>Non-Sugar</v>
          </cell>
          <cell r="M1961" t="str">
            <v>End User</v>
          </cell>
          <cell r="O1961" t="str">
            <v>-</v>
          </cell>
          <cell r="P1961" t="str">
            <v>-</v>
          </cell>
          <cell r="Q1961" t="str">
            <v>-</v>
          </cell>
          <cell r="R1961" t="str">
            <v>-</v>
          </cell>
          <cell r="T1961" t="str">
            <v>-</v>
          </cell>
          <cell r="U1961" t="str">
            <v>-</v>
          </cell>
          <cell r="W1961" t="str">
            <v>-</v>
          </cell>
        </row>
        <row r="1962">
          <cell r="F1962" t="str">
            <v>SOLP01S142</v>
          </cell>
          <cell r="G1962" t="str">
            <v>SHETAKARI SAKHAR KARKHANA (CHANDAPURI) LTD. (RE NAMED ONKAR SSK)</v>
          </cell>
          <cell r="H1962">
            <v>2014</v>
          </cell>
          <cell r="I1962" t="str">
            <v>Onkar Group</v>
          </cell>
          <cell r="J1962" t="str">
            <v>Domestic</v>
          </cell>
          <cell r="K1962" t="str">
            <v>Sugar</v>
          </cell>
          <cell r="M1962" t="str">
            <v>Group (Mills)</v>
          </cell>
          <cell r="O1962" t="str">
            <v>-</v>
          </cell>
          <cell r="P1962" t="str">
            <v>-</v>
          </cell>
          <cell r="Q1962" t="str">
            <v>-</v>
          </cell>
          <cell r="R1962" t="str">
            <v>-</v>
          </cell>
          <cell r="T1962" t="str">
            <v>-</v>
          </cell>
          <cell r="W1962" t="str">
            <v>-</v>
          </cell>
        </row>
        <row r="1963">
          <cell r="F1963" t="str">
            <v>SOLP01S136</v>
          </cell>
          <cell r="G1963" t="str">
            <v>SHETKARI SUGAR LTD. (renamed to onkar sugars unit 1)</v>
          </cell>
          <cell r="H1963" t="str">
            <v>-</v>
          </cell>
          <cell r="I1963" t="str">
            <v>Onkar Group</v>
          </cell>
          <cell r="J1963" t="str">
            <v>Domestic</v>
          </cell>
          <cell r="K1963" t="str">
            <v>Sugar</v>
          </cell>
          <cell r="M1963" t="str">
            <v>Group (Mills)</v>
          </cell>
          <cell r="O1963" t="str">
            <v>-</v>
          </cell>
          <cell r="P1963" t="str">
            <v>-</v>
          </cell>
          <cell r="Q1963" t="str">
            <v>-</v>
          </cell>
          <cell r="R1963" t="str">
            <v>-</v>
          </cell>
          <cell r="T1963" t="str">
            <v>-</v>
          </cell>
          <cell r="W1963" t="str">
            <v>-</v>
          </cell>
        </row>
        <row r="1964">
          <cell r="F1964" t="str">
            <v>CHAN01S385</v>
          </cell>
          <cell r="G1964" t="str">
            <v>SHIMMER ENGINEERING &amp; WATER SOLUTIONS</v>
          </cell>
          <cell r="H1964" t="str">
            <v>-</v>
          </cell>
          <cell r="J1964" t="str">
            <v>Domestic</v>
          </cell>
          <cell r="K1964" t="str">
            <v>-</v>
          </cell>
          <cell r="L1964" t="str">
            <v>Non-Sugar</v>
          </cell>
          <cell r="O1964" t="str">
            <v>-</v>
          </cell>
          <cell r="P1964" t="str">
            <v>-</v>
          </cell>
          <cell r="Q1964" t="str">
            <v>-</v>
          </cell>
          <cell r="R1964" t="str">
            <v>-</v>
          </cell>
          <cell r="T1964" t="str">
            <v>-</v>
          </cell>
          <cell r="U1964" t="str">
            <v>-</v>
          </cell>
          <cell r="W1964" t="str">
            <v>-</v>
          </cell>
        </row>
        <row r="1965">
          <cell r="F1965" t="str">
            <v>CHEN01S398</v>
          </cell>
          <cell r="G1965" t="str">
            <v>SHIV SHAKTI ENVIRO TECH</v>
          </cell>
          <cell r="H1965" t="str">
            <v>-</v>
          </cell>
          <cell r="J1965" t="str">
            <v>Domestic</v>
          </cell>
          <cell r="K1965" t="str">
            <v>-</v>
          </cell>
          <cell r="L1965" t="str">
            <v>Non-Sugar</v>
          </cell>
          <cell r="O1965" t="str">
            <v>-</v>
          </cell>
          <cell r="P1965" t="str">
            <v>-</v>
          </cell>
          <cell r="Q1965" t="str">
            <v>-</v>
          </cell>
          <cell r="R1965" t="str">
            <v>-</v>
          </cell>
          <cell r="T1965" t="str">
            <v>-</v>
          </cell>
          <cell r="U1965" t="str">
            <v>-</v>
          </cell>
          <cell r="W1965" t="str">
            <v>-</v>
          </cell>
        </row>
        <row r="1966">
          <cell r="F1966" t="str">
            <v>PUNE01S396</v>
          </cell>
          <cell r="G1966" t="str">
            <v>SHIV SOLAR ENERGY SOLUTIONS</v>
          </cell>
          <cell r="H1966" t="str">
            <v>-</v>
          </cell>
          <cell r="J1966" t="str">
            <v>Domestic</v>
          </cell>
          <cell r="K1966" t="str">
            <v>-</v>
          </cell>
          <cell r="L1966" t="str">
            <v>Non-Sugar</v>
          </cell>
          <cell r="O1966" t="str">
            <v>-</v>
          </cell>
          <cell r="P1966" t="str">
            <v>-</v>
          </cell>
          <cell r="Q1966" t="str">
            <v>-</v>
          </cell>
          <cell r="R1966" t="str">
            <v>-</v>
          </cell>
          <cell r="T1966" t="str">
            <v>-</v>
          </cell>
          <cell r="U1966" t="str">
            <v>-</v>
          </cell>
          <cell r="W1966" t="str">
            <v>-</v>
          </cell>
        </row>
        <row r="1967">
          <cell r="F1967" t="str">
            <v>HALD01S222</v>
          </cell>
          <cell r="G1967" t="str">
            <v>SHIVA TRANSPORT</v>
          </cell>
          <cell r="H1967">
            <v>2016</v>
          </cell>
          <cell r="J1967" t="str">
            <v>Domestic</v>
          </cell>
          <cell r="K1967" t="str">
            <v>-</v>
          </cell>
          <cell r="L1967" t="str">
            <v>Non-Sugar</v>
          </cell>
          <cell r="M1967" t="str">
            <v>OEM</v>
          </cell>
          <cell r="O1967" t="str">
            <v>-</v>
          </cell>
          <cell r="P1967" t="str">
            <v>-</v>
          </cell>
          <cell r="Q1967" t="str">
            <v>-</v>
          </cell>
          <cell r="R1967" t="str">
            <v>-</v>
          </cell>
          <cell r="T1967" t="str">
            <v>-</v>
          </cell>
          <cell r="U1967" t="str">
            <v>-</v>
          </cell>
          <cell r="W1967" t="str">
            <v>-</v>
          </cell>
        </row>
        <row r="1968">
          <cell r="F1968" t="str">
            <v>SANG01S196</v>
          </cell>
          <cell r="G1968" t="str">
            <v>SHIVAJI CANE PROCESSORS LTD. PLOT NO. D-4</v>
          </cell>
          <cell r="H1968" t="str">
            <v>-</v>
          </cell>
          <cell r="J1968" t="str">
            <v>Domestic</v>
          </cell>
          <cell r="K1968" t="str">
            <v>Sugar</v>
          </cell>
          <cell r="M1968" t="str">
            <v>End User</v>
          </cell>
          <cell r="O1968" t="str">
            <v>-</v>
          </cell>
          <cell r="P1968" t="str">
            <v>-</v>
          </cell>
          <cell r="Q1968" t="str">
            <v>-</v>
          </cell>
          <cell r="R1968" t="str">
            <v>-</v>
          </cell>
          <cell r="T1968" t="str">
            <v>TOUR-6 (SANGLI)</v>
          </cell>
          <cell r="W1968" t="str">
            <v>-</v>
          </cell>
        </row>
        <row r="1969">
          <cell r="F1969" t="str">
            <v>INDR01S341</v>
          </cell>
          <cell r="G1969" t="str">
            <v>SHIVALAY MACHINERY</v>
          </cell>
          <cell r="H1969" t="str">
            <v>-</v>
          </cell>
          <cell r="J1969" t="str">
            <v>Domestic</v>
          </cell>
          <cell r="K1969" t="str">
            <v>-</v>
          </cell>
          <cell r="L1969" t="str">
            <v>Non-Sugar</v>
          </cell>
          <cell r="O1969" t="str">
            <v>-</v>
          </cell>
          <cell r="P1969" t="str">
            <v>-</v>
          </cell>
          <cell r="Q1969" t="str">
            <v>-</v>
          </cell>
          <cell r="R1969" t="str">
            <v>-</v>
          </cell>
          <cell r="T1969" t="str">
            <v>-</v>
          </cell>
          <cell r="U1969" t="str">
            <v>-</v>
          </cell>
          <cell r="W1969" t="str">
            <v>-</v>
          </cell>
        </row>
        <row r="1970">
          <cell r="F1970" t="str">
            <v>MOHL01S184</v>
          </cell>
          <cell r="G1970" t="str">
            <v>SHIVALIK PROJECTS</v>
          </cell>
          <cell r="H1970">
            <v>2015</v>
          </cell>
          <cell r="J1970" t="str">
            <v>Domestic</v>
          </cell>
          <cell r="K1970" t="str">
            <v>-</v>
          </cell>
          <cell r="L1970" t="str">
            <v>Non-Sugar</v>
          </cell>
          <cell r="M1970" t="str">
            <v>End User</v>
          </cell>
          <cell r="O1970" t="str">
            <v>-</v>
          </cell>
          <cell r="P1970" t="str">
            <v>-</v>
          </cell>
          <cell r="Q1970" t="str">
            <v>-</v>
          </cell>
          <cell r="R1970" t="str">
            <v>-</v>
          </cell>
          <cell r="T1970" t="str">
            <v>-</v>
          </cell>
          <cell r="U1970" t="str">
            <v>-</v>
          </cell>
          <cell r="W1970" t="str">
            <v>-</v>
          </cell>
        </row>
        <row r="1971">
          <cell r="F1971" t="str">
            <v>CHAU01S210</v>
          </cell>
          <cell r="G1971" t="str">
            <v>SHIVAM GRAMOUDYOG SANSTHAN</v>
          </cell>
          <cell r="H1971" t="str">
            <v>-</v>
          </cell>
          <cell r="J1971" t="str">
            <v>Domestic</v>
          </cell>
          <cell r="K1971" t="str">
            <v>-</v>
          </cell>
          <cell r="L1971" t="str">
            <v>Non-Sugar</v>
          </cell>
          <cell r="O1971" t="str">
            <v>-</v>
          </cell>
          <cell r="P1971" t="str">
            <v>-</v>
          </cell>
          <cell r="Q1971" t="str">
            <v>-</v>
          </cell>
          <cell r="R1971" t="str">
            <v>-</v>
          </cell>
          <cell r="T1971" t="str">
            <v>-</v>
          </cell>
          <cell r="U1971" t="str">
            <v>-</v>
          </cell>
          <cell r="W1971" t="str">
            <v>-</v>
          </cell>
        </row>
        <row r="1972">
          <cell r="F1972" t="str">
            <v>MERT01S345</v>
          </cell>
          <cell r="G1972" t="str">
            <v>SHIVAM PUMPS &amp; ENGINEERING</v>
          </cell>
          <cell r="H1972" t="str">
            <v>-</v>
          </cell>
          <cell r="J1972" t="str">
            <v>Domestic</v>
          </cell>
          <cell r="K1972" t="str">
            <v>-</v>
          </cell>
          <cell r="L1972" t="str">
            <v>Non-Sugar</v>
          </cell>
          <cell r="O1972" t="str">
            <v>-</v>
          </cell>
          <cell r="P1972" t="str">
            <v>-</v>
          </cell>
          <cell r="Q1972" t="str">
            <v>-</v>
          </cell>
          <cell r="R1972" t="str">
            <v>-</v>
          </cell>
          <cell r="T1972" t="str">
            <v>-</v>
          </cell>
          <cell r="U1972" t="str">
            <v>-</v>
          </cell>
          <cell r="W1972" t="str">
            <v>-</v>
          </cell>
        </row>
        <row r="1973">
          <cell r="F1973" t="str">
            <v>KOLH01S024</v>
          </cell>
          <cell r="G1973" t="str">
            <v>SHIVAM SUGARS</v>
          </cell>
          <cell r="H1973">
            <v>2020</v>
          </cell>
          <cell r="J1973" t="str">
            <v>Domestic</v>
          </cell>
          <cell r="K1973" t="str">
            <v>Sugar</v>
          </cell>
          <cell r="M1973" t="str">
            <v>End User</v>
          </cell>
          <cell r="O1973" t="str">
            <v>-</v>
          </cell>
          <cell r="P1973" t="str">
            <v>-</v>
          </cell>
          <cell r="Q1973" t="str">
            <v>-</v>
          </cell>
          <cell r="R1973" t="str">
            <v>-</v>
          </cell>
          <cell r="T1973" t="str">
            <v>-</v>
          </cell>
          <cell r="W1973" t="str">
            <v>-</v>
          </cell>
        </row>
        <row r="1974">
          <cell r="F1974" t="str">
            <v>GHZB01S107</v>
          </cell>
          <cell r="G1974" t="str">
            <v>SHIVANI MULTI-UTILITY ENGINEERING CO.</v>
          </cell>
          <cell r="H1974" t="str">
            <v>-</v>
          </cell>
          <cell r="J1974" t="str">
            <v>Domestic</v>
          </cell>
          <cell r="K1974" t="str">
            <v>-</v>
          </cell>
          <cell r="L1974" t="str">
            <v>Non-Sugar</v>
          </cell>
          <cell r="O1974" t="str">
            <v>-</v>
          </cell>
          <cell r="P1974" t="str">
            <v>-</v>
          </cell>
          <cell r="Q1974" t="str">
            <v>-</v>
          </cell>
          <cell r="R1974" t="str">
            <v>-</v>
          </cell>
          <cell r="T1974" t="str">
            <v>-</v>
          </cell>
          <cell r="U1974" t="str">
            <v>-</v>
          </cell>
          <cell r="W1974" t="str">
            <v>-</v>
          </cell>
        </row>
        <row r="1975">
          <cell r="F1975" t="str">
            <v>PATN01S351</v>
          </cell>
          <cell r="G1975" t="str">
            <v>SHIVAUR INFRASTRUCTURE &amp; PROJECTS ENGINEERS PVT. LTD</v>
          </cell>
          <cell r="H1975" t="str">
            <v>-</v>
          </cell>
          <cell r="J1975" t="str">
            <v>Domestic</v>
          </cell>
          <cell r="K1975" t="str">
            <v>-</v>
          </cell>
          <cell r="L1975" t="str">
            <v>Non-Sugar</v>
          </cell>
          <cell r="O1975" t="str">
            <v>-</v>
          </cell>
          <cell r="P1975" t="str">
            <v>-</v>
          </cell>
          <cell r="Q1975" t="str">
            <v>-</v>
          </cell>
          <cell r="R1975" t="str">
            <v>-</v>
          </cell>
          <cell r="T1975" t="str">
            <v>-</v>
          </cell>
          <cell r="U1975" t="str">
            <v>-</v>
          </cell>
          <cell r="W1975" t="str">
            <v>-</v>
          </cell>
        </row>
        <row r="1976">
          <cell r="F1976" t="str">
            <v>SOLP01S189</v>
          </cell>
          <cell r="G1976" t="str">
            <v>SHIVRATNA UDYOG LTD (SHANKARRATNA SUGAR)</v>
          </cell>
          <cell r="H1976">
            <v>2015</v>
          </cell>
          <cell r="J1976" t="str">
            <v>Domestic</v>
          </cell>
          <cell r="K1976" t="str">
            <v>Sugar</v>
          </cell>
          <cell r="M1976" t="str">
            <v>End User</v>
          </cell>
          <cell r="O1976" t="str">
            <v>-</v>
          </cell>
          <cell r="P1976" t="str">
            <v>-</v>
          </cell>
          <cell r="Q1976" t="str">
            <v>-</v>
          </cell>
          <cell r="R1976" t="str">
            <v>-</v>
          </cell>
          <cell r="T1976" t="str">
            <v>-</v>
          </cell>
          <cell r="W1976" t="str">
            <v>-</v>
          </cell>
        </row>
        <row r="1977">
          <cell r="F1977" t="str">
            <v>THNJ01S026</v>
          </cell>
          <cell r="G1977" t="str">
            <v>SHREE AMBIKA SUGARS LIMITED</v>
          </cell>
          <cell r="H1977">
            <v>2013</v>
          </cell>
          <cell r="J1977" t="str">
            <v>Domestic</v>
          </cell>
          <cell r="K1977" t="str">
            <v>Sugar</v>
          </cell>
          <cell r="P1977" t="str">
            <v>SI-GS</v>
          </cell>
          <cell r="Q1977" t="str">
            <v>SI-GS</v>
          </cell>
          <cell r="W1977" t="str">
            <v>13-3-2025</v>
          </cell>
        </row>
        <row r="1978">
          <cell r="F1978" t="str">
            <v>VIRU01S099</v>
          </cell>
          <cell r="G1978" t="str">
            <v>SHREE AMBIKA SUGARS LTD</v>
          </cell>
          <cell r="H1978">
            <v>2015</v>
          </cell>
          <cell r="J1978" t="str">
            <v>Domestic</v>
          </cell>
          <cell r="K1978" t="str">
            <v>Sugar</v>
          </cell>
          <cell r="P1978" t="str">
            <v>SI-GS</v>
          </cell>
          <cell r="Q1978" t="str">
            <v>SI-GS</v>
          </cell>
          <cell r="W1978">
            <v>45506</v>
          </cell>
        </row>
        <row r="1979">
          <cell r="F1979" t="str">
            <v>VIRU01S027</v>
          </cell>
          <cell r="G1979" t="str">
            <v>SHREE AMBIKA SUGARS LTD (Purchased by SNJ &amp; will use only for distillery)</v>
          </cell>
          <cell r="H1979">
            <v>2013</v>
          </cell>
          <cell r="J1979" t="str">
            <v>Domestic</v>
          </cell>
          <cell r="K1979" t="str">
            <v>Sugar</v>
          </cell>
          <cell r="M1979" t="str">
            <v>End User</v>
          </cell>
          <cell r="P1979" t="str">
            <v>SI-GS</v>
          </cell>
          <cell r="Q1979" t="str">
            <v>SI-GS</v>
          </cell>
          <cell r="W1979">
            <v>45537</v>
          </cell>
        </row>
        <row r="1980">
          <cell r="F1980" t="str">
            <v>MYSR01S028</v>
          </cell>
          <cell r="G1980" t="str">
            <v>SHREE AMBIKA SUGARS LTD.</v>
          </cell>
          <cell r="H1980" t="str">
            <v>-</v>
          </cell>
          <cell r="J1980" t="str">
            <v>Domestic</v>
          </cell>
          <cell r="K1980" t="str">
            <v>Sugar</v>
          </cell>
          <cell r="P1980" t="str">
            <v>SI-GS</v>
          </cell>
          <cell r="Q1980" t="str">
            <v>SI-GS</v>
          </cell>
          <cell r="W1980">
            <v>45279</v>
          </cell>
        </row>
        <row r="1981">
          <cell r="F1981" t="str">
            <v>BISN01S268</v>
          </cell>
          <cell r="G1981" t="str">
            <v>SHREE BANKEY BEHARI LAL FLAVORS</v>
          </cell>
          <cell r="H1981" t="str">
            <v>19-20</v>
          </cell>
          <cell r="J1981" t="str">
            <v>Domestic</v>
          </cell>
          <cell r="K1981" t="str">
            <v>OTHERS</v>
          </cell>
          <cell r="L1981" t="str">
            <v>Non-Sugar</v>
          </cell>
          <cell r="M1981" t="str">
            <v>End User</v>
          </cell>
          <cell r="O1981" t="str">
            <v>-</v>
          </cell>
          <cell r="P1981" t="str">
            <v>VA</v>
          </cell>
          <cell r="Q1981" t="str">
            <v>-</v>
          </cell>
          <cell r="T1981" t="str">
            <v>-</v>
          </cell>
          <cell r="U1981" t="str">
            <v>-</v>
          </cell>
          <cell r="W1981" t="str">
            <v>-</v>
          </cell>
        </row>
        <row r="1982">
          <cell r="F1982" t="str">
            <v>MEHS01S029</v>
          </cell>
          <cell r="G1982" t="str">
            <v>SHREE BHAGYODAY COTTON COMPANY</v>
          </cell>
          <cell r="H1982" t="str">
            <v>NA</v>
          </cell>
          <cell r="J1982" t="str">
            <v>Domestic</v>
          </cell>
          <cell r="K1982" t="str">
            <v>-</v>
          </cell>
          <cell r="L1982" t="str">
            <v>Non-Sugar</v>
          </cell>
          <cell r="M1982" t="str">
            <v>End User</v>
          </cell>
          <cell r="O1982" t="str">
            <v>-</v>
          </cell>
          <cell r="P1982" t="str">
            <v>-</v>
          </cell>
          <cell r="Q1982" t="str">
            <v>-</v>
          </cell>
          <cell r="R1982" t="str">
            <v>-</v>
          </cell>
          <cell r="T1982" t="str">
            <v>-</v>
          </cell>
          <cell r="U1982" t="str">
            <v>-</v>
          </cell>
          <cell r="W1982" t="str">
            <v>-</v>
          </cell>
        </row>
        <row r="1983">
          <cell r="F1983" t="str">
            <v>MUMB01S140</v>
          </cell>
          <cell r="G1983" t="str">
            <v>SHREE ENGINEERS</v>
          </cell>
          <cell r="H1983" t="str">
            <v>-</v>
          </cell>
          <cell r="J1983" t="str">
            <v>Domestic</v>
          </cell>
          <cell r="K1983" t="str">
            <v>-</v>
          </cell>
          <cell r="L1983" t="str">
            <v>Non-Sugar</v>
          </cell>
          <cell r="O1983" t="str">
            <v>-</v>
          </cell>
          <cell r="P1983" t="str">
            <v>-</v>
          </cell>
          <cell r="Q1983" t="str">
            <v>-</v>
          </cell>
          <cell r="R1983" t="str">
            <v>-</v>
          </cell>
          <cell r="T1983" t="str">
            <v>-</v>
          </cell>
          <cell r="U1983" t="str">
            <v>-</v>
          </cell>
          <cell r="W1983" t="str">
            <v>-</v>
          </cell>
        </row>
        <row r="1984">
          <cell r="F1984" t="str">
            <v>NUND01S113</v>
          </cell>
          <cell r="G1984" t="str">
            <v>SHREE GOVARDHAN SUGAR INDUSTRIES (KHAND)</v>
          </cell>
          <cell r="H1984" t="str">
            <v>-</v>
          </cell>
          <cell r="J1984" t="str">
            <v>Domestic</v>
          </cell>
          <cell r="K1984" t="str">
            <v>Sugar</v>
          </cell>
          <cell r="L1984" t="str">
            <v>Sugar</v>
          </cell>
          <cell r="M1984" t="str">
            <v>End User</v>
          </cell>
          <cell r="O1984" t="str">
            <v>-</v>
          </cell>
          <cell r="P1984" t="str">
            <v>-</v>
          </cell>
          <cell r="Q1984" t="str">
            <v>-</v>
          </cell>
          <cell r="R1984" t="str">
            <v>-</v>
          </cell>
          <cell r="T1984" t="str">
            <v>-</v>
          </cell>
          <cell r="U1984" t="str">
            <v>-</v>
          </cell>
          <cell r="W1984" t="str">
            <v>-</v>
          </cell>
        </row>
        <row r="1985">
          <cell r="F1985" t="str">
            <v>PANI01S327</v>
          </cell>
          <cell r="G1985" t="str">
            <v>SHREE JAGDAMBE PAPER LTD</v>
          </cell>
          <cell r="H1985" t="str">
            <v>-</v>
          </cell>
          <cell r="J1985" t="str">
            <v>Domestic</v>
          </cell>
          <cell r="K1985" t="str">
            <v>Paper</v>
          </cell>
          <cell r="L1985" t="str">
            <v>Non-Sugar</v>
          </cell>
          <cell r="M1985" t="str">
            <v>End User</v>
          </cell>
          <cell r="O1985" t="str">
            <v>-</v>
          </cell>
          <cell r="P1985" t="str">
            <v>-</v>
          </cell>
          <cell r="Q1985" t="str">
            <v>-</v>
          </cell>
          <cell r="R1985" t="str">
            <v>-</v>
          </cell>
          <cell r="T1985" t="str">
            <v>-</v>
          </cell>
          <cell r="U1985" t="str">
            <v>-</v>
          </cell>
          <cell r="W1985" t="str">
            <v>-</v>
          </cell>
        </row>
        <row r="1986">
          <cell r="F1986" t="str">
            <v>PANI01S172</v>
          </cell>
          <cell r="G1986" t="str">
            <v>SHREE LAXMI INTERNATIONAL</v>
          </cell>
          <cell r="H1986">
            <v>2016</v>
          </cell>
          <cell r="J1986" t="str">
            <v>Domestic</v>
          </cell>
          <cell r="K1986" t="str">
            <v>-</v>
          </cell>
          <cell r="L1986" t="str">
            <v>Non-Sugar</v>
          </cell>
          <cell r="M1986" t="str">
            <v>End User</v>
          </cell>
          <cell r="O1986" t="str">
            <v>-</v>
          </cell>
          <cell r="P1986" t="str">
            <v>-</v>
          </cell>
          <cell r="Q1986" t="str">
            <v>-</v>
          </cell>
          <cell r="R1986" t="str">
            <v>-</v>
          </cell>
          <cell r="T1986" t="str">
            <v>-</v>
          </cell>
          <cell r="U1986" t="str">
            <v>-</v>
          </cell>
          <cell r="W1986" t="str">
            <v>-</v>
          </cell>
        </row>
        <row r="1987">
          <cell r="F1987" t="str">
            <v>JALN01S250</v>
          </cell>
          <cell r="G1987" t="str">
            <v>SHREE RAMESHWAR SAHAKARI SAKHAR KARKHANA LIMITED(taken over by Onkar sugars unit no 10)</v>
          </cell>
          <cell r="H1987">
            <v>2018</v>
          </cell>
          <cell r="I1987" t="str">
            <v>Onkar Group</v>
          </cell>
          <cell r="J1987" t="str">
            <v>Domestic</v>
          </cell>
          <cell r="K1987" t="str">
            <v>Sugar</v>
          </cell>
          <cell r="M1987" t="str">
            <v>Group (Mills)</v>
          </cell>
          <cell r="O1987">
            <v>2500</v>
          </cell>
          <cell r="P1987" t="str">
            <v>AV</v>
          </cell>
          <cell r="Q1987" t="str">
            <v>AV</v>
          </cell>
          <cell r="R1987" t="str">
            <v>AT</v>
          </cell>
          <cell r="T1987" t="str">
            <v>VISIT NOT REQUIRED</v>
          </cell>
          <cell r="U1987" t="str">
            <v>23-24</v>
          </cell>
          <cell r="W1987">
            <v>45329</v>
          </cell>
        </row>
        <row r="1988">
          <cell r="F1988" t="str">
            <v>KUTC01S231</v>
          </cell>
          <cell r="G1988" t="str">
            <v>SHREE RENUKA SUGAR MILLS</v>
          </cell>
          <cell r="H1988" t="str">
            <v>-</v>
          </cell>
          <cell r="J1988" t="str">
            <v>Domestic</v>
          </cell>
          <cell r="K1988" t="str">
            <v>Sugar</v>
          </cell>
          <cell r="L1988" t="str">
            <v>Sugar</v>
          </cell>
          <cell r="M1988" t="str">
            <v>End User</v>
          </cell>
          <cell r="O1988" t="str">
            <v>-</v>
          </cell>
          <cell r="P1988" t="str">
            <v>-</v>
          </cell>
          <cell r="Q1988" t="str">
            <v>-</v>
          </cell>
          <cell r="R1988" t="str">
            <v>-</v>
          </cell>
          <cell r="T1988" t="str">
            <v>-</v>
          </cell>
          <cell r="U1988" t="str">
            <v>-</v>
          </cell>
          <cell r="W1988" t="str">
            <v>-</v>
          </cell>
        </row>
        <row r="1989">
          <cell r="F1989" t="str">
            <v>GULB01S041</v>
          </cell>
          <cell r="G1989" t="str">
            <v>SHREE RENUKA SUGARS LIMITED</v>
          </cell>
          <cell r="H1989" t="str">
            <v>-</v>
          </cell>
          <cell r="J1989" t="str">
            <v>Domestic</v>
          </cell>
          <cell r="K1989" t="str">
            <v>Sugar</v>
          </cell>
          <cell r="L1989" t="str">
            <v>Sugar</v>
          </cell>
          <cell r="M1989" t="str">
            <v>End User</v>
          </cell>
          <cell r="O1989" t="str">
            <v>-</v>
          </cell>
          <cell r="P1989" t="str">
            <v>-</v>
          </cell>
          <cell r="Q1989" t="str">
            <v>-</v>
          </cell>
          <cell r="R1989" t="str">
            <v>-</v>
          </cell>
          <cell r="T1989" t="str">
            <v>-</v>
          </cell>
          <cell r="U1989" t="str">
            <v>-</v>
          </cell>
          <cell r="W1989" t="str">
            <v>-</v>
          </cell>
        </row>
        <row r="1990">
          <cell r="F1990" t="str">
            <v>LATU01S289</v>
          </cell>
          <cell r="G1990" t="str">
            <v>SHREE SAIBABA SUGARS LTD. - SHIVANI(RENAMED TO SREERAJ SUGARS)</v>
          </cell>
          <cell r="H1990">
            <v>2021</v>
          </cell>
          <cell r="I1990" t="str">
            <v>-</v>
          </cell>
          <cell r="J1990" t="str">
            <v>Domestic</v>
          </cell>
          <cell r="K1990" t="str">
            <v>Sugar</v>
          </cell>
          <cell r="L1990" t="str">
            <v>Sugar</v>
          </cell>
          <cell r="M1990" t="str">
            <v>End User</v>
          </cell>
          <cell r="N1990" t="str">
            <v>(0-5000)</v>
          </cell>
          <cell r="O1990">
            <v>1250</v>
          </cell>
          <cell r="P1990" t="str">
            <v>AV</v>
          </cell>
          <cell r="Q1990" t="str">
            <v>AV</v>
          </cell>
          <cell r="R1990" t="str">
            <v>PD</v>
          </cell>
          <cell r="T1990" t="str">
            <v>Latur - 1</v>
          </cell>
          <cell r="U1990" t="str">
            <v>23-24</v>
          </cell>
          <cell r="W1990">
            <v>45205</v>
          </cell>
        </row>
        <row r="1991">
          <cell r="F1991" t="str">
            <v>NUND01S048</v>
          </cell>
          <cell r="G1991" t="str">
            <v>SHREE SATPUDA TAPI PARISAR - SAHAKARI SAKHAR KARKHANA LTD</v>
          </cell>
          <cell r="H1991">
            <v>2018</v>
          </cell>
          <cell r="J1991" t="str">
            <v>Domestic</v>
          </cell>
          <cell r="K1991" t="str">
            <v>Sugar</v>
          </cell>
          <cell r="M1991" t="str">
            <v>End User</v>
          </cell>
          <cell r="O1991" t="str">
            <v>-</v>
          </cell>
          <cell r="P1991" t="str">
            <v>-</v>
          </cell>
          <cell r="Q1991" t="str">
            <v>-</v>
          </cell>
          <cell r="R1991" t="str">
            <v>-</v>
          </cell>
          <cell r="T1991" t="str">
            <v>-</v>
          </cell>
          <cell r="W1991" t="str">
            <v>-</v>
          </cell>
        </row>
        <row r="1992">
          <cell r="F1992" t="str">
            <v>DLHI01S375</v>
          </cell>
          <cell r="G1992" t="str">
            <v>SHREE SHYAM JI INDUSTRIES</v>
          </cell>
          <cell r="H1992" t="str">
            <v>-</v>
          </cell>
          <cell r="J1992" t="str">
            <v>Domestic</v>
          </cell>
          <cell r="K1992" t="str">
            <v>-</v>
          </cell>
          <cell r="L1992" t="str">
            <v>Non-Sugar</v>
          </cell>
          <cell r="O1992" t="str">
            <v>-</v>
          </cell>
          <cell r="P1992" t="str">
            <v>-</v>
          </cell>
          <cell r="Q1992" t="str">
            <v>-</v>
          </cell>
          <cell r="R1992" t="str">
            <v>-</v>
          </cell>
          <cell r="T1992" t="str">
            <v>-</v>
          </cell>
          <cell r="U1992" t="str">
            <v>-</v>
          </cell>
          <cell r="W1992" t="str">
            <v>-</v>
          </cell>
        </row>
        <row r="1993">
          <cell r="F1993" t="str">
            <v>WARA01S192</v>
          </cell>
          <cell r="G1993" t="str">
            <v>SHREE TATYASAHAB KORE WARANA SSK LTD.(Ledger changed)</v>
          </cell>
          <cell r="H1993">
            <v>2015</v>
          </cell>
          <cell r="J1993" t="str">
            <v>Domestic</v>
          </cell>
          <cell r="K1993" t="str">
            <v>Sugar</v>
          </cell>
          <cell r="M1993" t="str">
            <v>End User</v>
          </cell>
          <cell r="O1993">
            <v>12000</v>
          </cell>
          <cell r="P1993" t="str">
            <v>-</v>
          </cell>
          <cell r="Q1993" t="str">
            <v>-</v>
          </cell>
          <cell r="R1993" t="str">
            <v>-</v>
          </cell>
          <cell r="T1993" t="str">
            <v>TOUR-5/KOLHAPUR DISTRICT</v>
          </cell>
          <cell r="W1993" t="str">
            <v>-</v>
          </cell>
        </row>
        <row r="1994">
          <cell r="F1994" t="str">
            <v>TAPI01S118</v>
          </cell>
          <cell r="G1994" t="str">
            <v>SHREE VRUNDAVAN KHANDSARI UDYOG</v>
          </cell>
          <cell r="H1994">
            <v>2014</v>
          </cell>
          <cell r="J1994" t="str">
            <v>Domestic</v>
          </cell>
          <cell r="K1994" t="str">
            <v>-</v>
          </cell>
          <cell r="L1994" t="str">
            <v>Non-Sugar</v>
          </cell>
          <cell r="M1994" t="str">
            <v>End User</v>
          </cell>
          <cell r="O1994" t="str">
            <v>-</v>
          </cell>
          <cell r="P1994" t="str">
            <v>-</v>
          </cell>
          <cell r="Q1994" t="str">
            <v>-</v>
          </cell>
          <cell r="R1994" t="str">
            <v>-</v>
          </cell>
          <cell r="T1994" t="str">
            <v>-</v>
          </cell>
          <cell r="U1994" t="str">
            <v>-</v>
          </cell>
          <cell r="W1994" t="str">
            <v>-</v>
          </cell>
        </row>
        <row r="1995">
          <cell r="F1995" t="str">
            <v>SOLP01S055</v>
          </cell>
          <cell r="G1995" t="str">
            <v>SHRI ADINATH SAHAKARI SAKHAR- KARKHANA LIMIMITED</v>
          </cell>
          <cell r="H1995" t="str">
            <v>-</v>
          </cell>
          <cell r="J1995" t="str">
            <v>Domestic</v>
          </cell>
          <cell r="K1995" t="str">
            <v>Sugar</v>
          </cell>
          <cell r="M1995" t="str">
            <v>End User</v>
          </cell>
          <cell r="O1995">
            <v>2500</v>
          </cell>
          <cell r="P1995" t="str">
            <v>-</v>
          </cell>
          <cell r="Q1995" t="str">
            <v>-</v>
          </cell>
          <cell r="R1995" t="str">
            <v>-</v>
          </cell>
          <cell r="T1995" t="str">
            <v>-</v>
          </cell>
          <cell r="W1995" t="str">
            <v>-</v>
          </cell>
        </row>
        <row r="1996">
          <cell r="F1996" t="str">
            <v>KOLH01S031</v>
          </cell>
          <cell r="G1996" t="str">
            <v>SHRI CHHATRAPATI SHAHU SAHKARI SAKHAR KARKHANA LTD(Renamed)</v>
          </cell>
          <cell r="H1996">
            <v>2013</v>
          </cell>
          <cell r="J1996" t="str">
            <v>Domestic</v>
          </cell>
          <cell r="K1996" t="str">
            <v>Sugar</v>
          </cell>
          <cell r="M1996" t="str">
            <v>End User</v>
          </cell>
          <cell r="O1996" t="str">
            <v>-</v>
          </cell>
          <cell r="P1996" t="str">
            <v>-</v>
          </cell>
          <cell r="Q1996" t="str">
            <v>-</v>
          </cell>
          <cell r="R1996" t="str">
            <v>-</v>
          </cell>
          <cell r="T1996" t="str">
            <v>-</v>
          </cell>
          <cell r="W1996" t="str">
            <v>-</v>
          </cell>
        </row>
        <row r="1997">
          <cell r="F1997" t="str">
            <v>DLHI01D045</v>
          </cell>
          <cell r="G1997" t="str">
            <v>SHRI DATTA SAKHAR KARKHANA (NOT IN USE)</v>
          </cell>
          <cell r="H1997" t="str">
            <v>-</v>
          </cell>
          <cell r="J1997" t="str">
            <v>Domestic</v>
          </cell>
          <cell r="K1997" t="str">
            <v>Sugar</v>
          </cell>
          <cell r="L1997" t="str">
            <v>Sugar</v>
          </cell>
          <cell r="M1997" t="str">
            <v>End User</v>
          </cell>
          <cell r="O1997" t="str">
            <v>-</v>
          </cell>
          <cell r="P1997" t="str">
            <v>-</v>
          </cell>
          <cell r="Q1997" t="str">
            <v>-</v>
          </cell>
          <cell r="R1997" t="str">
            <v>-</v>
          </cell>
          <cell r="T1997" t="str">
            <v>-</v>
          </cell>
          <cell r="U1997" t="str">
            <v>-</v>
          </cell>
          <cell r="W1997" t="str">
            <v>-</v>
          </cell>
        </row>
        <row r="1998">
          <cell r="F1998" t="str">
            <v>THAN01B104</v>
          </cell>
          <cell r="G1998" t="str">
            <v>SHRI DATTA SAKHAR KARKHANA (NOT IN USE)</v>
          </cell>
          <cell r="H1998" t="str">
            <v>-</v>
          </cell>
          <cell r="J1998" t="str">
            <v>Domestic</v>
          </cell>
          <cell r="K1998" t="str">
            <v>Sugar</v>
          </cell>
          <cell r="L1998" t="str">
            <v>Sugar</v>
          </cell>
          <cell r="M1998" t="str">
            <v>End User</v>
          </cell>
          <cell r="O1998" t="str">
            <v>-</v>
          </cell>
          <cell r="P1998" t="str">
            <v>-</v>
          </cell>
          <cell r="Q1998" t="str">
            <v>-</v>
          </cell>
          <cell r="R1998" t="str">
            <v>-</v>
          </cell>
          <cell r="T1998" t="str">
            <v>-</v>
          </cell>
          <cell r="U1998" t="str">
            <v>-</v>
          </cell>
          <cell r="W1998" t="str">
            <v>-</v>
          </cell>
        </row>
        <row r="1999">
          <cell r="F1999" t="str">
            <v>BELG01S237</v>
          </cell>
          <cell r="G1999" t="str">
            <v>SHRI DHANALAXMI SAHAKARI SAKKARE KARKHANE NIYAMIT( EID PARRY RAMDURG)</v>
          </cell>
          <cell r="H1999">
            <v>2017</v>
          </cell>
          <cell r="J1999" t="str">
            <v>Domestic</v>
          </cell>
          <cell r="K1999" t="str">
            <v>Sugar</v>
          </cell>
          <cell r="M1999" t="str">
            <v>End User</v>
          </cell>
          <cell r="O1999" t="str">
            <v>-</v>
          </cell>
          <cell r="P1999" t="str">
            <v>-</v>
          </cell>
          <cell r="Q1999" t="str">
            <v>-</v>
          </cell>
          <cell r="R1999" t="str">
            <v>-</v>
          </cell>
          <cell r="T1999" t="str">
            <v>-</v>
          </cell>
          <cell r="W1999" t="str">
            <v>-</v>
          </cell>
        </row>
        <row r="2000">
          <cell r="F2000" t="str">
            <v>AHMD01S061</v>
          </cell>
          <cell r="G2000" t="str">
            <v>SHRI DNYANESHWAR SAHAKARI - SAKHAR KARKHANA LTD</v>
          </cell>
          <cell r="H2000" t="str">
            <v>-</v>
          </cell>
          <cell r="J2000" t="str">
            <v>Domestic</v>
          </cell>
          <cell r="K2000" t="str">
            <v>Sugar</v>
          </cell>
          <cell r="L2000" t="str">
            <v>Sugar</v>
          </cell>
          <cell r="M2000" t="str">
            <v>End User</v>
          </cell>
          <cell r="O2000" t="str">
            <v>Sugar 7000 TCD
Distillery 55 KLPD (Expn plan up to 100 KLPD through Universal process)</v>
          </cell>
          <cell r="P2000" t="str">
            <v>AV</v>
          </cell>
          <cell r="Q2000" t="str">
            <v>AV</v>
          </cell>
        </row>
        <row r="2001">
          <cell r="F2001" t="str">
            <v>UJJA01S383</v>
          </cell>
          <cell r="G2001" t="str">
            <v>SHRI HARI DAIRY</v>
          </cell>
          <cell r="H2001" t="str">
            <v>-</v>
          </cell>
          <cell r="J2001" t="str">
            <v>Domestic</v>
          </cell>
          <cell r="K2001" t="str">
            <v>Dairy</v>
          </cell>
          <cell r="L2001" t="str">
            <v>Non-Sugar</v>
          </cell>
          <cell r="M2001" t="str">
            <v>End User</v>
          </cell>
          <cell r="O2001" t="str">
            <v>-</v>
          </cell>
          <cell r="P2001" t="str">
            <v>-</v>
          </cell>
          <cell r="Q2001" t="str">
            <v>-</v>
          </cell>
          <cell r="R2001" t="str">
            <v>-</v>
          </cell>
          <cell r="T2001" t="str">
            <v>-</v>
          </cell>
          <cell r="U2001" t="str">
            <v>-</v>
          </cell>
          <cell r="W2001" t="str">
            <v>-</v>
          </cell>
        </row>
        <row r="2002">
          <cell r="F2002" t="str">
            <v>BAGL01S067</v>
          </cell>
          <cell r="G2002" t="str">
            <v>SHRI KEDARNATH SUGAR &amp; AGRO PRODUCTS LTD</v>
          </cell>
          <cell r="H2002">
            <v>2020</v>
          </cell>
          <cell r="J2002" t="str">
            <v>Domestic</v>
          </cell>
          <cell r="K2002" t="str">
            <v>Sugar</v>
          </cell>
          <cell r="M2002" t="str">
            <v>End User</v>
          </cell>
          <cell r="O2002">
            <v>6000</v>
          </cell>
          <cell r="P2002" t="str">
            <v>AV</v>
          </cell>
          <cell r="Q2002" t="str">
            <v>AV</v>
          </cell>
          <cell r="R2002" t="str">
            <v>VG</v>
          </cell>
          <cell r="U2002" t="str">
            <v>23-24</v>
          </cell>
          <cell r="W2002" t="str">
            <v>28-02-2024
01-04-2023
14-10-2022</v>
          </cell>
        </row>
        <row r="2003">
          <cell r="F2003" t="str">
            <v>SANG01S129</v>
          </cell>
          <cell r="G2003" t="str">
            <v>SHRI MAHANKALI SSK LTD.</v>
          </cell>
          <cell r="H2003">
            <v>2013</v>
          </cell>
          <cell r="J2003" t="str">
            <v>Domestic</v>
          </cell>
          <cell r="K2003" t="str">
            <v>Sugar</v>
          </cell>
          <cell r="M2003" t="str">
            <v>End User</v>
          </cell>
          <cell r="O2003" t="str">
            <v>-</v>
          </cell>
          <cell r="P2003" t="str">
            <v>-</v>
          </cell>
          <cell r="Q2003" t="str">
            <v>-</v>
          </cell>
          <cell r="R2003" t="str">
            <v>-</v>
          </cell>
          <cell r="T2003" t="str">
            <v>-</v>
          </cell>
          <cell r="W2003" t="str">
            <v>-</v>
          </cell>
        </row>
        <row r="2004">
          <cell r="F2004" t="str">
            <v>SURA01S362</v>
          </cell>
          <cell r="G2004" t="str">
            <v>SHRI RAM PROCESS</v>
          </cell>
          <cell r="H2004" t="str">
            <v>-</v>
          </cell>
          <cell r="J2004" t="str">
            <v>Domestic</v>
          </cell>
          <cell r="K2004" t="str">
            <v>-</v>
          </cell>
          <cell r="L2004" t="str">
            <v>Non-Sugar</v>
          </cell>
          <cell r="O2004" t="str">
            <v>-</v>
          </cell>
          <cell r="P2004" t="str">
            <v>-</v>
          </cell>
          <cell r="Q2004" t="str">
            <v>-</v>
          </cell>
          <cell r="R2004" t="str">
            <v>-</v>
          </cell>
          <cell r="T2004" t="str">
            <v>-</v>
          </cell>
          <cell r="U2004" t="str">
            <v>-</v>
          </cell>
          <cell r="W2004" t="str">
            <v>-</v>
          </cell>
        </row>
        <row r="2005">
          <cell r="F2005" t="str">
            <v>BAGL01S153</v>
          </cell>
          <cell r="G2005" t="str">
            <v>SHRI SAI PRIYA SUGARS LTD. Nirani</v>
          </cell>
          <cell r="H2005">
            <v>2014</v>
          </cell>
          <cell r="J2005" t="str">
            <v>Domestic</v>
          </cell>
          <cell r="K2005" t="str">
            <v>Sugar</v>
          </cell>
          <cell r="M2005" t="str">
            <v>End User</v>
          </cell>
          <cell r="O2005" t="str">
            <v>Sugar 15000
Distillery 600 KLPD</v>
          </cell>
          <cell r="P2005" t="str">
            <v>-</v>
          </cell>
          <cell r="Q2005" t="str">
            <v>-</v>
          </cell>
          <cell r="R2005" t="str">
            <v>-</v>
          </cell>
          <cell r="S2005" t="str">
            <v>https://maps.app.goo.gl/6bDWppixtUVaPHPKA</v>
          </cell>
          <cell r="T2005" t="str">
            <v>TOUR-2 (MUDHOL)</v>
          </cell>
          <cell r="U2005" t="str">
            <v>26-27</v>
          </cell>
          <cell r="V2005" t="str">
            <v>May</v>
          </cell>
          <cell r="W2005" t="str">
            <v>19-05-2026</v>
          </cell>
        </row>
        <row r="2006">
          <cell r="F2006" t="str">
            <v>AHMD01S006</v>
          </cell>
          <cell r="G2006" t="str">
            <v>SHRI SAIKRUPA SUGAR &amp; ALLIED INDUSTRIES LTD.(Renamed to Gauri sugars_G105)</v>
          </cell>
          <cell r="H2006">
            <v>2013</v>
          </cell>
          <cell r="J2006" t="str">
            <v>Domestic</v>
          </cell>
          <cell r="K2006" t="str">
            <v>Sugar</v>
          </cell>
          <cell r="L2006" t="str">
            <v>Sugar</v>
          </cell>
          <cell r="M2006" t="str">
            <v>End User</v>
          </cell>
          <cell r="O2006">
            <v>7500</v>
          </cell>
          <cell r="P2006" t="str">
            <v>AV</v>
          </cell>
          <cell r="Q2006" t="str">
            <v>-</v>
          </cell>
          <cell r="R2006" t="str">
            <v>-</v>
          </cell>
          <cell r="T2006" t="str">
            <v>TOUR-9</v>
          </cell>
          <cell r="W2006" t="str">
            <v>-</v>
          </cell>
        </row>
        <row r="2007">
          <cell r="F2007" t="str">
            <v>BELG01S072</v>
          </cell>
          <cell r="G2007" t="str">
            <v>SHRI SHIVSAGAR SUGAR &amp; AGRO PRODUCTS LTD (ARIHANT SUGAR)(again renamed to Gudagunti )</v>
          </cell>
          <cell r="H2007">
            <v>2020</v>
          </cell>
          <cell r="J2007" t="str">
            <v>Domestic</v>
          </cell>
          <cell r="K2007" t="str">
            <v>Sugar</v>
          </cell>
          <cell r="M2007" t="str">
            <v>End User</v>
          </cell>
          <cell r="O2007" t="str">
            <v>-</v>
          </cell>
          <cell r="P2007" t="str">
            <v>-</v>
          </cell>
          <cell r="Q2007" t="str">
            <v>-</v>
          </cell>
          <cell r="R2007" t="str">
            <v>-</v>
          </cell>
          <cell r="T2007" t="str">
            <v>-</v>
          </cell>
          <cell r="W2007" t="str">
            <v>-</v>
          </cell>
        </row>
        <row r="2008">
          <cell r="F2008" t="str">
            <v>POND01S329</v>
          </cell>
          <cell r="G2008" t="str">
            <v>SHRI SWAMI ENGINEERING WORKS</v>
          </cell>
          <cell r="H2008" t="str">
            <v>-</v>
          </cell>
          <cell r="J2008" t="str">
            <v>Domestic</v>
          </cell>
          <cell r="K2008" t="str">
            <v>-</v>
          </cell>
          <cell r="L2008" t="str">
            <v>Non-Sugar</v>
          </cell>
          <cell r="O2008" t="str">
            <v>-</v>
          </cell>
          <cell r="P2008" t="str">
            <v>-</v>
          </cell>
          <cell r="Q2008" t="str">
            <v>-</v>
          </cell>
          <cell r="R2008" t="str">
            <v>-</v>
          </cell>
          <cell r="T2008" t="str">
            <v>-</v>
          </cell>
          <cell r="U2008" t="str">
            <v>-</v>
          </cell>
          <cell r="W2008" t="str">
            <v>-</v>
          </cell>
        </row>
        <row r="2009">
          <cell r="F2009" t="str">
            <v>CHEN01S197</v>
          </cell>
          <cell r="G2009" t="str">
            <v>SHRIJEE HEAVY PROJECTS WORKS LTD</v>
          </cell>
          <cell r="H2009">
            <v>2015</v>
          </cell>
          <cell r="J2009" t="str">
            <v>Domestic</v>
          </cell>
          <cell r="P2009" t="str">
            <v>AV</v>
          </cell>
          <cell r="Q2009" t="str">
            <v>-</v>
          </cell>
        </row>
        <row r="2010">
          <cell r="F2010" t="str">
            <v>GUJA01S217</v>
          </cell>
          <cell r="G2010" t="str">
            <v>SHUBHLAXMI INDUSTRIES</v>
          </cell>
          <cell r="H2010" t="str">
            <v>-</v>
          </cell>
          <cell r="J2010" t="str">
            <v>Domestic</v>
          </cell>
          <cell r="K2010" t="str">
            <v>-</v>
          </cell>
          <cell r="L2010" t="str">
            <v>Non-Sugar</v>
          </cell>
          <cell r="O2010" t="str">
            <v>-</v>
          </cell>
          <cell r="P2010" t="str">
            <v>-</v>
          </cell>
          <cell r="Q2010" t="str">
            <v>-</v>
          </cell>
          <cell r="R2010" t="str">
            <v>-</v>
          </cell>
          <cell r="T2010" t="str">
            <v>-</v>
          </cell>
          <cell r="U2010" t="str">
            <v>-</v>
          </cell>
          <cell r="W2010" t="str">
            <v>-</v>
          </cell>
        </row>
        <row r="2011">
          <cell r="F2011" t="str">
            <v>MUZF01S174</v>
          </cell>
          <cell r="G2011" t="str">
            <v>SIDDHESHWARI INDUSTRIES PVT LTD</v>
          </cell>
          <cell r="H2011" t="str">
            <v>-</v>
          </cell>
          <cell r="J2011" t="str">
            <v>Domestic</v>
          </cell>
          <cell r="K2011" t="str">
            <v>-</v>
          </cell>
          <cell r="L2011" t="str">
            <v>Non-Sugar</v>
          </cell>
          <cell r="O2011" t="str">
            <v>-</v>
          </cell>
          <cell r="P2011" t="str">
            <v>-</v>
          </cell>
          <cell r="Q2011" t="str">
            <v>-</v>
          </cell>
          <cell r="R2011" t="str">
            <v>-</v>
          </cell>
          <cell r="T2011" t="str">
            <v>-</v>
          </cell>
          <cell r="U2011" t="str">
            <v>-</v>
          </cell>
          <cell r="W2011" t="str">
            <v>-</v>
          </cell>
        </row>
        <row r="2012">
          <cell r="F2012" t="str">
            <v>KOLH01S235</v>
          </cell>
          <cell r="G2012" t="str">
            <v>SIDDHI ENGINEERING</v>
          </cell>
          <cell r="H2012">
            <v>2018</v>
          </cell>
          <cell r="J2012" t="str">
            <v>Domestic</v>
          </cell>
          <cell r="K2012" t="str">
            <v>Others</v>
          </cell>
          <cell r="L2012" t="str">
            <v>Non-Sugar</v>
          </cell>
          <cell r="M2012" t="str">
            <v>Trader</v>
          </cell>
          <cell r="O2012" t="str">
            <v>-</v>
          </cell>
          <cell r="P2012" t="str">
            <v>-</v>
          </cell>
          <cell r="Q2012" t="str">
            <v>-</v>
          </cell>
          <cell r="R2012" t="str">
            <v>-</v>
          </cell>
          <cell r="T2012" t="str">
            <v>-</v>
          </cell>
          <cell r="W2012" t="str">
            <v>-</v>
          </cell>
        </row>
        <row r="2013">
          <cell r="F2013" t="str">
            <v>HAPU01S144</v>
          </cell>
          <cell r="G2013" t="str">
            <v>SIMBHAOLI SUGAR MILL LTD. U-SPIRITS</v>
          </cell>
          <cell r="H2013">
            <v>2014</v>
          </cell>
          <cell r="J2013" t="str">
            <v>Domestic</v>
          </cell>
          <cell r="K2013" t="str">
            <v>Sugar</v>
          </cell>
          <cell r="L2013" t="str">
            <v>Sugar</v>
          </cell>
          <cell r="M2013" t="str">
            <v>End User</v>
          </cell>
          <cell r="O2013" t="str">
            <v>-</v>
          </cell>
          <cell r="P2013" t="str">
            <v>-</v>
          </cell>
          <cell r="Q2013" t="str">
            <v>-</v>
          </cell>
          <cell r="R2013" t="str">
            <v>-</v>
          </cell>
          <cell r="T2013" t="str">
            <v>-</v>
          </cell>
          <cell r="U2013" t="str">
            <v>-</v>
          </cell>
          <cell r="W2013" t="str">
            <v>-</v>
          </cell>
        </row>
        <row r="2014">
          <cell r="F2014" t="str">
            <v>GHZB01T058</v>
          </cell>
          <cell r="G2014" t="str">
            <v>SIMBHAOLI SUGAR MILLS LTD</v>
          </cell>
          <cell r="H2014">
            <v>2014</v>
          </cell>
          <cell r="J2014" t="str">
            <v>Domestic</v>
          </cell>
          <cell r="K2014" t="str">
            <v>Sugar</v>
          </cell>
          <cell r="L2014" t="str">
            <v>Sugar</v>
          </cell>
          <cell r="M2014" t="str">
            <v>End User</v>
          </cell>
          <cell r="O2014" t="str">
            <v>-</v>
          </cell>
          <cell r="P2014" t="str">
            <v>-</v>
          </cell>
          <cell r="Q2014" t="str">
            <v>-</v>
          </cell>
          <cell r="R2014" t="str">
            <v>-</v>
          </cell>
          <cell r="T2014" t="str">
            <v>-</v>
          </cell>
          <cell r="U2014" t="str">
            <v>-</v>
          </cell>
          <cell r="W2014" t="str">
            <v>-</v>
          </cell>
        </row>
        <row r="2015">
          <cell r="F2015" t="str">
            <v>GHZB01T057</v>
          </cell>
          <cell r="G2015" t="str">
            <v>SIMBHAOLI SUGARS LIMITED (SUGAR DIV.)HAPUR</v>
          </cell>
          <cell r="H2015">
            <v>2013</v>
          </cell>
          <cell r="J2015" t="str">
            <v>Domestic</v>
          </cell>
          <cell r="K2015" t="str">
            <v>Sugar</v>
          </cell>
          <cell r="L2015" t="str">
            <v>Sugar</v>
          </cell>
          <cell r="M2015" t="str">
            <v>End User</v>
          </cell>
          <cell r="O2015">
            <v>9500</v>
          </cell>
          <cell r="P2015" t="str">
            <v>HO</v>
          </cell>
          <cell r="Q2015" t="str">
            <v>-</v>
          </cell>
          <cell r="T2015" t="str">
            <v>WESTERN- 3</v>
          </cell>
          <cell r="U2015" t="str">
            <v>24-25</v>
          </cell>
          <cell r="W2015" t="str">
            <v xml:space="preserve">
20-07-2024
06-02-2024
25-07-2023
15-09-2022
28-02-2022
03-08-2021</v>
          </cell>
        </row>
        <row r="2016">
          <cell r="F2016" t="str">
            <v>VADO01S167</v>
          </cell>
          <cell r="G2016" t="str">
            <v>SITARAM SUGAR - NOT IN USED</v>
          </cell>
          <cell r="H2016" t="str">
            <v>-</v>
          </cell>
          <cell r="J2016" t="str">
            <v>Domestic</v>
          </cell>
          <cell r="K2016" t="str">
            <v>Sugar</v>
          </cell>
          <cell r="L2016" t="str">
            <v>Sugar</v>
          </cell>
          <cell r="M2016" t="str">
            <v>End User</v>
          </cell>
          <cell r="O2016" t="str">
            <v>-</v>
          </cell>
          <cell r="P2016" t="str">
            <v>-</v>
          </cell>
          <cell r="Q2016" t="str">
            <v>-</v>
          </cell>
          <cell r="R2016" t="str">
            <v>-</v>
          </cell>
          <cell r="T2016" t="str">
            <v>-</v>
          </cell>
          <cell r="U2016" t="str">
            <v>-</v>
          </cell>
          <cell r="W2016" t="str">
            <v>-</v>
          </cell>
        </row>
        <row r="2017">
          <cell r="F2017" t="str">
            <v>CHHO01S165</v>
          </cell>
          <cell r="G2017" t="str">
            <v>SITARAM SUGARS &amp; ALLIED INDUSTRIES LTD.</v>
          </cell>
          <cell r="H2017">
            <v>2015</v>
          </cell>
          <cell r="J2017" t="str">
            <v>Domestic</v>
          </cell>
          <cell r="K2017" t="str">
            <v>Sugar</v>
          </cell>
          <cell r="L2017" t="str">
            <v>Sugar</v>
          </cell>
          <cell r="M2017" t="str">
            <v>End User</v>
          </cell>
          <cell r="O2017" t="str">
            <v>-</v>
          </cell>
          <cell r="P2017" t="str">
            <v>-</v>
          </cell>
          <cell r="Q2017" t="str">
            <v>-</v>
          </cell>
          <cell r="R2017" t="str">
            <v>-</v>
          </cell>
          <cell r="T2017" t="str">
            <v>-</v>
          </cell>
          <cell r="U2017" t="str">
            <v>-</v>
          </cell>
          <cell r="W2017" t="str">
            <v>-</v>
          </cell>
        </row>
        <row r="2018">
          <cell r="F2018" t="str">
            <v>INDR01S326</v>
          </cell>
          <cell r="G2018" t="str">
            <v>SM FOOD ENGINEERING (NOT APLLICABLE)</v>
          </cell>
          <cell r="H2018" t="str">
            <v>-</v>
          </cell>
          <cell r="J2018" t="str">
            <v>Domestic</v>
          </cell>
          <cell r="K2018" t="str">
            <v>-</v>
          </cell>
          <cell r="L2018" t="str">
            <v>Non-Sugar</v>
          </cell>
          <cell r="O2018" t="str">
            <v>-</v>
          </cell>
          <cell r="P2018" t="str">
            <v>-</v>
          </cell>
          <cell r="Q2018" t="str">
            <v>-</v>
          </cell>
          <cell r="R2018" t="str">
            <v>-</v>
          </cell>
          <cell r="T2018" t="str">
            <v>-</v>
          </cell>
          <cell r="U2018" t="str">
            <v>-</v>
          </cell>
          <cell r="W2018" t="str">
            <v>-</v>
          </cell>
        </row>
        <row r="2019">
          <cell r="F2019" t="str">
            <v>CHEN01S347</v>
          </cell>
          <cell r="G2019" t="str">
            <v>SMART VHT CONSULTANTS</v>
          </cell>
          <cell r="H2019" t="str">
            <v>-</v>
          </cell>
          <cell r="J2019" t="str">
            <v>Domestic</v>
          </cell>
          <cell r="K2019" t="str">
            <v>-</v>
          </cell>
          <cell r="L2019" t="str">
            <v>Non-Sugar</v>
          </cell>
          <cell r="O2019" t="str">
            <v>-</v>
          </cell>
          <cell r="P2019" t="str">
            <v>-</v>
          </cell>
          <cell r="Q2019" t="str">
            <v>-</v>
          </cell>
          <cell r="R2019" t="str">
            <v>-</v>
          </cell>
          <cell r="T2019" t="str">
            <v>-</v>
          </cell>
          <cell r="U2019" t="str">
            <v>-</v>
          </cell>
          <cell r="W2019" t="str">
            <v>-</v>
          </cell>
        </row>
        <row r="2020">
          <cell r="F2020" t="str">
            <v>PUNE01S384</v>
          </cell>
          <cell r="G2020" t="str">
            <v>SMS ENVOCARE LIMITED</v>
          </cell>
          <cell r="H2020" t="str">
            <v>-</v>
          </cell>
          <cell r="J2020" t="str">
            <v>Domestic</v>
          </cell>
          <cell r="K2020" t="str">
            <v>-</v>
          </cell>
          <cell r="L2020" t="str">
            <v>Non-Sugar</v>
          </cell>
          <cell r="O2020" t="str">
            <v>-</v>
          </cell>
          <cell r="P2020" t="str">
            <v>-</v>
          </cell>
          <cell r="Q2020" t="str">
            <v>-</v>
          </cell>
          <cell r="R2020" t="str">
            <v>-</v>
          </cell>
          <cell r="S2020" t="str">
            <v>https://maps.app.goo.gl/W2fJbrXKn3nEDi3y5</v>
          </cell>
          <cell r="T2020" t="str">
            <v>-</v>
          </cell>
          <cell r="U2020" t="str">
            <v>26-27</v>
          </cell>
          <cell r="V2020" t="str">
            <v>May</v>
          </cell>
          <cell r="W2020" t="str">
            <v>15-05-26</v>
          </cell>
        </row>
        <row r="2021">
          <cell r="F2021" t="str">
            <v>TANZ01S356</v>
          </cell>
          <cell r="G2021" t="str">
            <v>SN AGRO</v>
          </cell>
          <cell r="H2021" t="str">
            <v>-</v>
          </cell>
          <cell r="J2021" t="str">
            <v>Export</v>
          </cell>
          <cell r="K2021" t="str">
            <v>-</v>
          </cell>
          <cell r="L2021" t="str">
            <v>Non-Sugar</v>
          </cell>
          <cell r="O2021" t="str">
            <v>-</v>
          </cell>
          <cell r="P2021" t="str">
            <v>-</v>
          </cell>
          <cell r="Q2021" t="str">
            <v>-</v>
          </cell>
          <cell r="R2021" t="str">
            <v>-</v>
          </cell>
          <cell r="T2021" t="str">
            <v>-</v>
          </cell>
          <cell r="U2021" t="str">
            <v>-</v>
          </cell>
          <cell r="W2021" t="str">
            <v>-</v>
          </cell>
        </row>
        <row r="2022">
          <cell r="F2022" t="str">
            <v>GUJA01S350</v>
          </cell>
          <cell r="G2022" t="str">
            <v>SNJ LABS PVT LTD</v>
          </cell>
          <cell r="H2022" t="str">
            <v>-</v>
          </cell>
          <cell r="J2022" t="str">
            <v>Domestic</v>
          </cell>
          <cell r="K2022" t="str">
            <v>-</v>
          </cell>
          <cell r="L2022" t="str">
            <v>Non-Sugar</v>
          </cell>
          <cell r="O2022" t="str">
            <v>-</v>
          </cell>
          <cell r="P2022" t="str">
            <v>-</v>
          </cell>
          <cell r="Q2022" t="str">
            <v>-</v>
          </cell>
          <cell r="R2022" t="str">
            <v>-</v>
          </cell>
          <cell r="T2022" t="str">
            <v>-</v>
          </cell>
          <cell r="U2022" t="str">
            <v>-</v>
          </cell>
          <cell r="W2022" t="str">
            <v>-</v>
          </cell>
        </row>
        <row r="2023">
          <cell r="F2023" t="str">
            <v>JAIP01S343</v>
          </cell>
          <cell r="G2023" t="str">
            <v>SNL INNOVATION PVT LTD</v>
          </cell>
          <cell r="H2023" t="str">
            <v>-</v>
          </cell>
          <cell r="J2023" t="str">
            <v>Domestic</v>
          </cell>
          <cell r="K2023" t="str">
            <v>-</v>
          </cell>
          <cell r="L2023" t="str">
            <v>Non-Sugar</v>
          </cell>
          <cell r="O2023" t="str">
            <v>-</v>
          </cell>
          <cell r="P2023" t="str">
            <v>-</v>
          </cell>
          <cell r="Q2023" t="str">
            <v>-</v>
          </cell>
          <cell r="R2023" t="str">
            <v>-</v>
          </cell>
          <cell r="T2023" t="str">
            <v>-</v>
          </cell>
          <cell r="U2023" t="str">
            <v>-</v>
          </cell>
          <cell r="W2023" t="str">
            <v>-</v>
          </cell>
        </row>
        <row r="2024">
          <cell r="F2024" t="str">
            <v>MUMB01S194</v>
          </cell>
          <cell r="G2024" t="str">
            <v>SNT SYSTEM</v>
          </cell>
          <cell r="H2024" t="str">
            <v>-</v>
          </cell>
          <cell r="J2024" t="str">
            <v>Domestic</v>
          </cell>
          <cell r="K2024" t="str">
            <v>-</v>
          </cell>
          <cell r="L2024" t="str">
            <v>Non-Sugar</v>
          </cell>
          <cell r="O2024" t="str">
            <v>-</v>
          </cell>
          <cell r="P2024" t="str">
            <v>-</v>
          </cell>
          <cell r="Q2024" t="str">
            <v>-</v>
          </cell>
          <cell r="R2024" t="str">
            <v>-</v>
          </cell>
          <cell r="T2024" t="str">
            <v>-</v>
          </cell>
          <cell r="U2024" t="str">
            <v>-</v>
          </cell>
          <cell r="W2024" t="str">
            <v>-</v>
          </cell>
        </row>
        <row r="2025">
          <cell r="F2025" t="str">
            <v>TANZ01S357</v>
          </cell>
          <cell r="G2025" t="str">
            <v>SOCIETE NAAOURA SURAL</v>
          </cell>
          <cell r="H2025" t="str">
            <v>-</v>
          </cell>
          <cell r="J2025" t="str">
            <v>Export</v>
          </cell>
          <cell r="K2025" t="str">
            <v>-</v>
          </cell>
          <cell r="L2025" t="str">
            <v>Non-Sugar</v>
          </cell>
          <cell r="O2025" t="str">
            <v>-</v>
          </cell>
          <cell r="P2025" t="str">
            <v>-</v>
          </cell>
          <cell r="Q2025" t="str">
            <v>-</v>
          </cell>
          <cell r="R2025" t="str">
            <v>-</v>
          </cell>
          <cell r="T2025" t="str">
            <v>-</v>
          </cell>
          <cell r="U2025" t="str">
            <v>-</v>
          </cell>
          <cell r="W2025" t="str">
            <v>-</v>
          </cell>
        </row>
        <row r="2026">
          <cell r="F2026" t="str">
            <v>BURD01S106</v>
          </cell>
          <cell r="G2026" t="str">
            <v>SODEPUR CENTRAL STORES</v>
          </cell>
          <cell r="H2026" t="str">
            <v>-</v>
          </cell>
          <cell r="J2026" t="str">
            <v>Domestic</v>
          </cell>
          <cell r="K2026" t="str">
            <v>-</v>
          </cell>
          <cell r="L2026" t="str">
            <v>Non-Sugar</v>
          </cell>
          <cell r="O2026" t="str">
            <v>-</v>
          </cell>
          <cell r="P2026" t="str">
            <v>-</v>
          </cell>
          <cell r="Q2026" t="str">
            <v>-</v>
          </cell>
          <cell r="R2026" t="str">
            <v>-</v>
          </cell>
          <cell r="T2026" t="str">
            <v>-</v>
          </cell>
          <cell r="U2026" t="str">
            <v>-</v>
          </cell>
          <cell r="W2026" t="str">
            <v>-</v>
          </cell>
        </row>
        <row r="2027">
          <cell r="F2027" t="str">
            <v>KISM01S208</v>
          </cell>
          <cell r="G2027" t="str">
            <v>SONI TECHNICAL SERVICES LIMITED</v>
          </cell>
          <cell r="H2027" t="str">
            <v>-</v>
          </cell>
          <cell r="J2027" t="str">
            <v>Export</v>
          </cell>
          <cell r="K2027" t="str">
            <v>-</v>
          </cell>
          <cell r="L2027" t="str">
            <v>Non-Sugar</v>
          </cell>
          <cell r="O2027" t="str">
            <v>-</v>
          </cell>
          <cell r="P2027" t="str">
            <v>-</v>
          </cell>
          <cell r="Q2027" t="str">
            <v>-</v>
          </cell>
          <cell r="R2027" t="str">
            <v>-</v>
          </cell>
          <cell r="T2027" t="str">
            <v>-</v>
          </cell>
          <cell r="U2027" t="str">
            <v>-</v>
          </cell>
          <cell r="W2027" t="str">
            <v>-</v>
          </cell>
        </row>
        <row r="2028">
          <cell r="F2028" t="str">
            <v>GUJA01S389</v>
          </cell>
          <cell r="G2028" t="str">
            <v>SONU INFRATECH LTD.</v>
          </cell>
          <cell r="H2028" t="str">
            <v>-</v>
          </cell>
          <cell r="J2028" t="str">
            <v>Domestic</v>
          </cell>
          <cell r="K2028" t="str">
            <v>-</v>
          </cell>
          <cell r="L2028" t="str">
            <v>Non-Sugar</v>
          </cell>
          <cell r="O2028" t="str">
            <v>-</v>
          </cell>
          <cell r="P2028" t="str">
            <v>-</v>
          </cell>
          <cell r="Q2028" t="str">
            <v>-</v>
          </cell>
          <cell r="R2028" t="str">
            <v>-</v>
          </cell>
          <cell r="T2028" t="str">
            <v>-</v>
          </cell>
          <cell r="U2028" t="str">
            <v>-</v>
          </cell>
          <cell r="W2028" t="str">
            <v>-</v>
          </cell>
        </row>
        <row r="2029">
          <cell r="F2029" t="str">
            <v>AHMD01S334</v>
          </cell>
          <cell r="G2029" t="str">
            <v>SOPANRAO BALKRISHNA DHASAL AGRO PRODUCT LTD</v>
          </cell>
          <cell r="H2029" t="str">
            <v>-</v>
          </cell>
          <cell r="J2029" t="str">
            <v>Domestic</v>
          </cell>
          <cell r="K2029" t="str">
            <v>-</v>
          </cell>
          <cell r="L2029" t="str">
            <v>Non-Sugar</v>
          </cell>
          <cell r="O2029" t="str">
            <v>-</v>
          </cell>
          <cell r="P2029" t="str">
            <v>-</v>
          </cell>
          <cell r="Q2029" t="str">
            <v>-</v>
          </cell>
          <cell r="R2029" t="str">
            <v>-</v>
          </cell>
          <cell r="T2029" t="str">
            <v>-</v>
          </cell>
          <cell r="U2029" t="str">
            <v>-</v>
          </cell>
          <cell r="W2029" t="str">
            <v>-</v>
          </cell>
        </row>
        <row r="2030">
          <cell r="F2030" t="str">
            <v>VIET01S147</v>
          </cell>
          <cell r="G2030" t="str">
            <v>SOUTH EAST CONSTRUCTION EQUIPMENT COMPANY</v>
          </cell>
          <cell r="H2030" t="str">
            <v>-</v>
          </cell>
          <cell r="J2030" t="str">
            <v>Export</v>
          </cell>
          <cell r="K2030" t="str">
            <v>-</v>
          </cell>
          <cell r="L2030" t="str">
            <v>Non-Sugar</v>
          </cell>
          <cell r="O2030" t="str">
            <v>-</v>
          </cell>
          <cell r="P2030" t="str">
            <v>-</v>
          </cell>
          <cell r="Q2030" t="str">
            <v>VG</v>
          </cell>
          <cell r="R2030" t="str">
            <v>-</v>
          </cell>
          <cell r="T2030" t="str">
            <v>-</v>
          </cell>
          <cell r="U2030" t="str">
            <v>-</v>
          </cell>
          <cell r="W2030" t="str">
            <v>-</v>
          </cell>
        </row>
        <row r="2031">
          <cell r="F2031" t="str">
            <v>BILA01S392</v>
          </cell>
          <cell r="G2031" t="str">
            <v>SOUTH EASTERN COAL FIELDS LTD.</v>
          </cell>
          <cell r="H2031" t="str">
            <v>-</v>
          </cell>
          <cell r="J2031" t="str">
            <v>Domestic</v>
          </cell>
          <cell r="K2031" t="str">
            <v>-</v>
          </cell>
          <cell r="L2031" t="str">
            <v>Non-Sugar</v>
          </cell>
          <cell r="O2031" t="str">
            <v>-</v>
          </cell>
          <cell r="P2031" t="str">
            <v>-</v>
          </cell>
          <cell r="Q2031" t="str">
            <v>-</v>
          </cell>
          <cell r="R2031" t="str">
            <v>-</v>
          </cell>
          <cell r="T2031" t="str">
            <v>-</v>
          </cell>
          <cell r="U2031" t="str">
            <v>-</v>
          </cell>
          <cell r="W2031" t="str">
            <v>-</v>
          </cell>
        </row>
        <row r="2032">
          <cell r="F2032" t="str">
            <v>AWEN01S180</v>
          </cell>
          <cell r="G2032" t="str">
            <v>SOUTH NYANZA SUGAR COMPANY LTD(SONI SUGAR)</v>
          </cell>
          <cell r="H2032">
            <v>2015</v>
          </cell>
          <cell r="J2032" t="str">
            <v>Export</v>
          </cell>
          <cell r="K2032" t="str">
            <v>Sugar</v>
          </cell>
          <cell r="L2032" t="str">
            <v>Sugar</v>
          </cell>
          <cell r="M2032" t="str">
            <v>End User</v>
          </cell>
          <cell r="N2032" t="str">
            <v>(0-5000)</v>
          </cell>
          <cell r="O2032">
            <v>3000</v>
          </cell>
          <cell r="P2032" t="str">
            <v>NI</v>
          </cell>
          <cell r="Q2032" t="str">
            <v>AKSHAY AWASTHI</v>
          </cell>
          <cell r="S2032" t="str">
            <v>https://share.google/CXSjVVd9sgjejI3Pa</v>
          </cell>
          <cell r="T2032" t="str">
            <v>Kenya tour</v>
          </cell>
          <cell r="U2032" t="str">
            <v>24-25</v>
          </cell>
          <cell r="W2032">
            <v>45467</v>
          </cell>
        </row>
        <row r="2033">
          <cell r="F2033" t="str">
            <v>VILL01S083</v>
          </cell>
          <cell r="G2033" t="str">
            <v>SOUTHERN AGRIFURANE INDUSTRIES PVT. LTD.</v>
          </cell>
          <cell r="H2033">
            <v>2013</v>
          </cell>
          <cell r="J2033" t="str">
            <v>Domestic</v>
          </cell>
          <cell r="K2033" t="str">
            <v>Others</v>
          </cell>
          <cell r="L2033" t="str">
            <v>Non-Sugar</v>
          </cell>
          <cell r="P2033" t="str">
            <v>SI-GS</v>
          </cell>
          <cell r="Q2033" t="str">
            <v>SI-GS</v>
          </cell>
          <cell r="W2033" t="str">
            <v>-</v>
          </cell>
        </row>
        <row r="2034">
          <cell r="F2034" t="str">
            <v>HYDE01S374</v>
          </cell>
          <cell r="G2034" t="str">
            <v>SOUTHERN PUMPS CARE</v>
          </cell>
          <cell r="H2034" t="str">
            <v>-</v>
          </cell>
          <cell r="J2034" t="str">
            <v>Domestic</v>
          </cell>
          <cell r="K2034" t="str">
            <v>-</v>
          </cell>
          <cell r="L2034" t="str">
            <v>Non-Sugar</v>
          </cell>
          <cell r="O2034" t="str">
            <v>-</v>
          </cell>
          <cell r="P2034" t="str">
            <v>-</v>
          </cell>
          <cell r="Q2034" t="str">
            <v>-</v>
          </cell>
          <cell r="R2034" t="str">
            <v>-</v>
          </cell>
          <cell r="S2034" t="str">
            <v>https://maps.app.goo.gl/8ntT4vjmrgugVVgw6</v>
          </cell>
          <cell r="T2034" t="str">
            <v>-</v>
          </cell>
          <cell r="U2034" t="str">
            <v>26-27</v>
          </cell>
          <cell r="V2034" t="str">
            <v>May</v>
          </cell>
          <cell r="W2034">
            <v>46270</v>
          </cell>
        </row>
        <row r="2035">
          <cell r="F2035" t="str">
            <v>CHEN01S344</v>
          </cell>
          <cell r="G2035" t="str">
            <v>SPAK PAPER</v>
          </cell>
          <cell r="H2035" t="str">
            <v>-</v>
          </cell>
          <cell r="J2035" t="str">
            <v>Domestic</v>
          </cell>
          <cell r="K2035" t="str">
            <v>Paper</v>
          </cell>
          <cell r="L2035" t="str">
            <v>Non-Sugar</v>
          </cell>
          <cell r="M2035" t="str">
            <v>End User</v>
          </cell>
          <cell r="O2035" t="str">
            <v>-</v>
          </cell>
          <cell r="P2035" t="str">
            <v>-</v>
          </cell>
          <cell r="Q2035" t="str">
            <v>-</v>
          </cell>
          <cell r="R2035" t="str">
            <v>-</v>
          </cell>
          <cell r="T2035" t="str">
            <v>-</v>
          </cell>
          <cell r="U2035" t="str">
            <v>-</v>
          </cell>
          <cell r="W2035" t="str">
            <v>-</v>
          </cell>
        </row>
        <row r="2036">
          <cell r="F2036" t="str">
            <v>KASH01S111</v>
          </cell>
          <cell r="G2036" t="str">
            <v>SPECTRA AGRO FOODS</v>
          </cell>
          <cell r="H2036" t="str">
            <v>NA</v>
          </cell>
          <cell r="J2036" t="str">
            <v>Domestic</v>
          </cell>
          <cell r="K2036" t="str">
            <v>-</v>
          </cell>
          <cell r="L2036" t="str">
            <v>Non-Sugar</v>
          </cell>
          <cell r="O2036" t="str">
            <v>-</v>
          </cell>
          <cell r="P2036" t="str">
            <v>-</v>
          </cell>
          <cell r="Q2036" t="str">
            <v>-</v>
          </cell>
          <cell r="R2036" t="str">
            <v>-</v>
          </cell>
          <cell r="T2036" t="str">
            <v>-</v>
          </cell>
          <cell r="U2036" t="str">
            <v>-</v>
          </cell>
          <cell r="W2036" t="str">
            <v>-</v>
          </cell>
        </row>
        <row r="2037">
          <cell r="F2037" t="str">
            <v>VVIE01S219</v>
          </cell>
          <cell r="G2037" t="str">
            <v>SPM TECH CO LTD</v>
          </cell>
          <cell r="H2037" t="str">
            <v>-</v>
          </cell>
          <cell r="J2037" t="str">
            <v>Export</v>
          </cell>
          <cell r="K2037" t="str">
            <v>-</v>
          </cell>
          <cell r="L2037" t="str">
            <v>Non-Sugar</v>
          </cell>
          <cell r="O2037" t="str">
            <v>-</v>
          </cell>
          <cell r="P2037" t="str">
            <v>-</v>
          </cell>
          <cell r="Q2037" t="str">
            <v>VG</v>
          </cell>
          <cell r="R2037" t="str">
            <v>-</v>
          </cell>
          <cell r="T2037" t="str">
            <v>-</v>
          </cell>
          <cell r="U2037" t="str">
            <v>-</v>
          </cell>
          <cell r="W2037" t="str">
            <v>-</v>
          </cell>
        </row>
        <row r="2038">
          <cell r="F2038" t="str">
            <v>BANG01S084</v>
          </cell>
          <cell r="G2038" t="str">
            <v>SPR SUGARS PRIVATE LIMITED</v>
          </cell>
          <cell r="H2038">
            <v>2021</v>
          </cell>
          <cell r="J2038" t="str">
            <v>Domestic</v>
          </cell>
          <cell r="K2038" t="str">
            <v>Sugar</v>
          </cell>
          <cell r="P2038" t="str">
            <v>SI-GS</v>
          </cell>
          <cell r="Q2038" t="str">
            <v>SI-GS</v>
          </cell>
          <cell r="W2038" t="str">
            <v>-</v>
          </cell>
        </row>
        <row r="2039">
          <cell r="F2039" t="str">
            <v>BELG01S102</v>
          </cell>
          <cell r="G2039" t="str">
            <v>SPRAY ENG (A/C SIRIGUPPI SUGAR</v>
          </cell>
          <cell r="H2039">
            <v>2018</v>
          </cell>
          <cell r="J2039" t="str">
            <v>Domestic</v>
          </cell>
          <cell r="K2039" t="str">
            <v>Sugar</v>
          </cell>
          <cell r="L2039" t="str">
            <v>Sugar</v>
          </cell>
          <cell r="M2039" t="str">
            <v>OEM</v>
          </cell>
          <cell r="O2039" t="str">
            <v>-</v>
          </cell>
          <cell r="P2039" t="str">
            <v>-</v>
          </cell>
          <cell r="Q2039" t="str">
            <v>-</v>
          </cell>
          <cell r="R2039" t="str">
            <v>-</v>
          </cell>
          <cell r="T2039" t="str">
            <v>-</v>
          </cell>
          <cell r="W2039" t="str">
            <v>-</v>
          </cell>
        </row>
        <row r="2040">
          <cell r="F2040" t="str">
            <v>BAGL01S101</v>
          </cell>
          <cell r="G2040" t="str">
            <v>SPRAY ENG DEVICES ( GODAVARI BIO )TO BE CLOSED</v>
          </cell>
          <cell r="H2040">
            <v>2021</v>
          </cell>
          <cell r="J2040" t="str">
            <v>Domestic</v>
          </cell>
          <cell r="K2040" t="str">
            <v>others</v>
          </cell>
          <cell r="L2040" t="str">
            <v>Sugar</v>
          </cell>
          <cell r="M2040" t="str">
            <v>OEM</v>
          </cell>
          <cell r="O2040" t="str">
            <v>-</v>
          </cell>
          <cell r="P2040" t="str">
            <v>-</v>
          </cell>
          <cell r="Q2040" t="str">
            <v>-</v>
          </cell>
          <cell r="R2040" t="str">
            <v>-</v>
          </cell>
          <cell r="T2040" t="str">
            <v>-</v>
          </cell>
          <cell r="W2040" t="str">
            <v>-</v>
          </cell>
        </row>
        <row r="2041">
          <cell r="F2041" t="str">
            <v>BIDA01S191</v>
          </cell>
          <cell r="G2041" t="str">
            <v>SPRAY ENGINEERING DEVICES LTD</v>
          </cell>
          <cell r="H2041">
            <v>2015</v>
          </cell>
          <cell r="J2041" t="str">
            <v>Domestic</v>
          </cell>
          <cell r="K2041" t="str">
            <v>OTHERS</v>
          </cell>
          <cell r="L2041" t="str">
            <v>Sugar</v>
          </cell>
          <cell r="M2041" t="str">
            <v>OEM</v>
          </cell>
          <cell r="O2041" t="str">
            <v>-</v>
          </cell>
          <cell r="P2041" t="str">
            <v>HO</v>
          </cell>
          <cell r="Q2041" t="str">
            <v>-</v>
          </cell>
          <cell r="T2041" t="str">
            <v>-</v>
          </cell>
          <cell r="U2041" t="str">
            <v>-</v>
          </cell>
        </row>
        <row r="2042">
          <cell r="F2042" t="str">
            <v>NANY01S120</v>
          </cell>
          <cell r="G2042" t="str">
            <v>SREE RAYALSEEMA SUGAR &amp; ENERGY PVT. LIMITED</v>
          </cell>
          <cell r="H2042" t="str">
            <v>-</v>
          </cell>
          <cell r="J2042" t="str">
            <v>Domestic</v>
          </cell>
          <cell r="K2042" t="str">
            <v>Others</v>
          </cell>
          <cell r="L2042" t="str">
            <v>Non-Sugar</v>
          </cell>
          <cell r="P2042" t="str">
            <v>SI-GS</v>
          </cell>
          <cell r="Q2042" t="str">
            <v>SI-GS</v>
          </cell>
          <cell r="W2042" t="str">
            <v>-</v>
          </cell>
        </row>
        <row r="2043">
          <cell r="F2043" t="str">
            <v>KOLH01S086</v>
          </cell>
          <cell r="G2043" t="str">
            <v>SRI ARUMUGA SUGARS PVT. LTD.</v>
          </cell>
          <cell r="H2043">
            <v>2021</v>
          </cell>
          <cell r="J2043" t="str">
            <v>Domestic</v>
          </cell>
          <cell r="K2043" t="str">
            <v>Sugar</v>
          </cell>
          <cell r="P2043" t="str">
            <v>SI-GS</v>
          </cell>
          <cell r="Q2043" t="str">
            <v>SI-GS</v>
          </cell>
          <cell r="W2043" t="str">
            <v>-</v>
          </cell>
        </row>
        <row r="2044">
          <cell r="F2044" t="str">
            <v>BHAB01S207</v>
          </cell>
          <cell r="G2044" t="str">
            <v>SRI BEHARIJI CATTTLE FEED PVT LTD UNIT-2</v>
          </cell>
          <cell r="H2044">
            <v>2016</v>
          </cell>
          <cell r="J2044" t="str">
            <v>Domestic</v>
          </cell>
          <cell r="K2044" t="str">
            <v>Cattlefeed</v>
          </cell>
          <cell r="L2044" t="str">
            <v>Non-Sugar</v>
          </cell>
          <cell r="M2044" t="str">
            <v>End User</v>
          </cell>
          <cell r="O2044" t="str">
            <v>-</v>
          </cell>
          <cell r="P2044" t="str">
            <v>-</v>
          </cell>
          <cell r="Q2044" t="str">
            <v>-</v>
          </cell>
          <cell r="R2044" t="str">
            <v>-</v>
          </cell>
          <cell r="T2044" t="str">
            <v>-</v>
          </cell>
          <cell r="U2044" t="str">
            <v>-</v>
          </cell>
          <cell r="W2044" t="str">
            <v>-</v>
          </cell>
        </row>
        <row r="2045">
          <cell r="F2045" t="str">
            <v>KRSH01S132</v>
          </cell>
          <cell r="G2045" t="str">
            <v>SRI HANUMATH KALI VARA PRASAD BABU CHEMICALS PVT. LTD.</v>
          </cell>
          <cell r="H2045">
            <v>2013</v>
          </cell>
          <cell r="J2045" t="str">
            <v>Domestic</v>
          </cell>
          <cell r="K2045" t="str">
            <v>Chemical</v>
          </cell>
          <cell r="L2045" t="str">
            <v>Non-Sugar</v>
          </cell>
          <cell r="P2045" t="str">
            <v>SI-GS</v>
          </cell>
          <cell r="Q2045" t="str">
            <v>SI-GS</v>
          </cell>
          <cell r="W2045" t="str">
            <v>-</v>
          </cell>
        </row>
        <row r="2046">
          <cell r="F2046" t="str">
            <v>ESGO01S089</v>
          </cell>
          <cell r="G2046" t="str">
            <v>SRI LAKSHMI POULTRY COMPLEX</v>
          </cell>
          <cell r="H2046" t="str">
            <v>-</v>
          </cell>
          <cell r="J2046" t="str">
            <v>Domestic</v>
          </cell>
          <cell r="K2046" t="str">
            <v>Others</v>
          </cell>
          <cell r="L2046" t="str">
            <v>Non-Sugar</v>
          </cell>
          <cell r="P2046" t="str">
            <v>SI-GS</v>
          </cell>
          <cell r="Q2046" t="str">
            <v>SI-GS</v>
          </cell>
          <cell r="W2046" t="str">
            <v>-</v>
          </cell>
        </row>
        <row r="2047">
          <cell r="F2047" t="str">
            <v>SOLN01S325</v>
          </cell>
          <cell r="G2047" t="str">
            <v>SRI RAM HEALTHCARE (P) LTD UNIT - II</v>
          </cell>
          <cell r="H2047" t="str">
            <v>-</v>
          </cell>
          <cell r="J2047" t="str">
            <v>Domestic</v>
          </cell>
          <cell r="K2047" t="str">
            <v>-</v>
          </cell>
          <cell r="L2047" t="str">
            <v>Non-Sugar</v>
          </cell>
          <cell r="O2047" t="str">
            <v>-</v>
          </cell>
          <cell r="P2047" t="str">
            <v>-</v>
          </cell>
          <cell r="Q2047" t="str">
            <v>-</v>
          </cell>
          <cell r="R2047" t="str">
            <v>-</v>
          </cell>
          <cell r="T2047" t="str">
            <v>-</v>
          </cell>
          <cell r="U2047" t="str">
            <v>-</v>
          </cell>
          <cell r="W2047" t="str">
            <v>-</v>
          </cell>
        </row>
        <row r="2048">
          <cell r="F2048" t="str">
            <v>ROTH01S090</v>
          </cell>
          <cell r="G2048" t="str">
            <v>SRI RAM SUGAR MILLS LTD.</v>
          </cell>
          <cell r="H2048">
            <v>2014</v>
          </cell>
          <cell r="J2048" t="str">
            <v>Export</v>
          </cell>
          <cell r="K2048" t="str">
            <v>Sugar</v>
          </cell>
          <cell r="L2048" t="str">
            <v>Sugar</v>
          </cell>
          <cell r="M2048" t="str">
            <v>End User</v>
          </cell>
          <cell r="O2048" t="str">
            <v>-</v>
          </cell>
          <cell r="P2048" t="str">
            <v>-</v>
          </cell>
          <cell r="Q2048" t="str">
            <v>-</v>
          </cell>
          <cell r="R2048" t="str">
            <v>-</v>
          </cell>
          <cell r="T2048" t="str">
            <v>-</v>
          </cell>
          <cell r="U2048" t="str">
            <v>-</v>
          </cell>
          <cell r="W2048" t="str">
            <v>-</v>
          </cell>
        </row>
        <row r="2049">
          <cell r="F2049" t="str">
            <v>CHEL01S091</v>
          </cell>
          <cell r="G2049" t="str">
            <v>SRI SARVARAYA SUGARS LTD</v>
          </cell>
          <cell r="H2049">
            <v>2013</v>
          </cell>
          <cell r="J2049" t="str">
            <v>Domestic</v>
          </cell>
          <cell r="K2049" t="str">
            <v>Sugar</v>
          </cell>
          <cell r="P2049" t="str">
            <v>SI-GS</v>
          </cell>
          <cell r="Q2049" t="str">
            <v>SI-GS</v>
          </cell>
          <cell r="W2049" t="str">
            <v>-</v>
          </cell>
        </row>
        <row r="2050">
          <cell r="F2050" t="str">
            <v>CHIT01S092</v>
          </cell>
          <cell r="G2050" t="str">
            <v>SRI VENKATESWARA CO-OP. SUGAR FACTORY LTD</v>
          </cell>
          <cell r="H2050">
            <v>2014</v>
          </cell>
          <cell r="J2050" t="str">
            <v>Domestic</v>
          </cell>
          <cell r="K2050" t="str">
            <v>Sugar</v>
          </cell>
          <cell r="P2050" t="str">
            <v>SI-GS</v>
          </cell>
          <cell r="Q2050" t="str">
            <v>SI-GS</v>
          </cell>
          <cell r="W2050" t="str">
            <v>-</v>
          </cell>
        </row>
        <row r="2051">
          <cell r="F2051" t="str">
            <v>HYDE01S313</v>
          </cell>
          <cell r="G2051" t="str">
            <v>SRI VENKATESWARA GRKV BIOFUELS PVT LTD</v>
          </cell>
          <cell r="H2051" t="str">
            <v>-</v>
          </cell>
          <cell r="J2051" t="str">
            <v>Domestic</v>
          </cell>
          <cell r="K2051" t="str">
            <v>-</v>
          </cell>
          <cell r="L2051" t="str">
            <v>Non-Sugar</v>
          </cell>
          <cell r="O2051" t="str">
            <v>-</v>
          </cell>
          <cell r="P2051" t="str">
            <v>-</v>
          </cell>
          <cell r="Q2051" t="str">
            <v>-</v>
          </cell>
          <cell r="R2051" t="str">
            <v>-</v>
          </cell>
          <cell r="T2051" t="str">
            <v>-</v>
          </cell>
          <cell r="U2051" t="str">
            <v>-</v>
          </cell>
          <cell r="W2051" t="str">
            <v>-</v>
          </cell>
        </row>
        <row r="2052">
          <cell r="F2052" t="str">
            <v>SRIK01F031</v>
          </cell>
          <cell r="G2052" t="str">
            <v>SRI VIJAYA VISAKHA MILK PRODUCERS COMPANY LTD.</v>
          </cell>
          <cell r="H2052" t="str">
            <v>-</v>
          </cell>
          <cell r="J2052" t="str">
            <v>Domestic</v>
          </cell>
          <cell r="K2052" t="str">
            <v>Dairy</v>
          </cell>
          <cell r="L2052" t="str">
            <v>Non-Sugar</v>
          </cell>
          <cell r="M2052" t="str">
            <v>End User</v>
          </cell>
          <cell r="O2052" t="str">
            <v>-</v>
          </cell>
          <cell r="P2052" t="str">
            <v>-</v>
          </cell>
          <cell r="Q2052" t="str">
            <v>-</v>
          </cell>
          <cell r="R2052" t="str">
            <v>-</v>
          </cell>
          <cell r="T2052" t="str">
            <v>-</v>
          </cell>
          <cell r="U2052" t="str">
            <v>-</v>
          </cell>
          <cell r="W2052" t="str">
            <v>-</v>
          </cell>
        </row>
        <row r="2053">
          <cell r="F2053" t="str">
            <v>VIZI01S093</v>
          </cell>
          <cell r="G2053" t="str">
            <v>SRI VIJAYARAMA GAJAPATHI CO-OP. SUGARS LTD.</v>
          </cell>
          <cell r="H2053">
            <v>2013</v>
          </cell>
          <cell r="J2053" t="str">
            <v>Domestic</v>
          </cell>
          <cell r="K2053" t="str">
            <v>Sugar</v>
          </cell>
          <cell r="P2053" t="str">
            <v>SI-GS</v>
          </cell>
          <cell r="Q2053" t="str">
            <v>SI-GS</v>
          </cell>
          <cell r="W2053">
            <v>45148</v>
          </cell>
        </row>
        <row r="2054">
          <cell r="F2054" t="str">
            <v>END CLIENT</v>
          </cell>
          <cell r="G2054" t="str">
            <v>SRK AGRO FOOD AND FUEL PVT. LTD</v>
          </cell>
          <cell r="H2054" t="str">
            <v>-</v>
          </cell>
          <cell r="J2054" t="str">
            <v>Domestic</v>
          </cell>
          <cell r="K2054" t="str">
            <v>Sugar</v>
          </cell>
          <cell r="M2054" t="str">
            <v>End User</v>
          </cell>
          <cell r="O2054" t="str">
            <v>-</v>
          </cell>
          <cell r="P2054" t="str">
            <v>-</v>
          </cell>
          <cell r="Q2054" t="str">
            <v>-</v>
          </cell>
          <cell r="R2054" t="str">
            <v>-</v>
          </cell>
          <cell r="T2054" t="str">
            <v>TOUR-9 (Bidar)</v>
          </cell>
          <cell r="W2054" t="str">
            <v>-</v>
          </cell>
        </row>
        <row r="2055">
          <cell r="F2055" t="str">
            <v>NAND01S284</v>
          </cell>
          <cell r="G2055" t="str">
            <v>SRK AGRO FOOD AND FUEL PVT. LTD.</v>
          </cell>
          <cell r="H2055" t="str">
            <v>-</v>
          </cell>
          <cell r="J2055" t="str">
            <v>Domestic</v>
          </cell>
          <cell r="K2055" t="str">
            <v>-</v>
          </cell>
          <cell r="L2055" t="str">
            <v>Non-Sugar</v>
          </cell>
          <cell r="O2055" t="str">
            <v>-</v>
          </cell>
          <cell r="P2055" t="str">
            <v>-</v>
          </cell>
          <cell r="Q2055" t="str">
            <v>-</v>
          </cell>
          <cell r="R2055" t="str">
            <v>-</v>
          </cell>
          <cell r="T2055" t="str">
            <v>-</v>
          </cell>
          <cell r="U2055" t="str">
            <v>-</v>
          </cell>
          <cell r="W2055" t="str">
            <v>-</v>
          </cell>
        </row>
        <row r="2056">
          <cell r="F2056" t="str">
            <v>NANA01S187</v>
          </cell>
          <cell r="G2056" t="str">
            <v>STAR ENGINEERS</v>
          </cell>
          <cell r="H2056" t="str">
            <v>-</v>
          </cell>
          <cell r="J2056" t="str">
            <v>Domestic</v>
          </cell>
          <cell r="L2056" t="str">
            <v>Non-Sugar</v>
          </cell>
          <cell r="O2056" t="str">
            <v>-</v>
          </cell>
          <cell r="P2056" t="str">
            <v>-</v>
          </cell>
          <cell r="Q2056" t="str">
            <v>-</v>
          </cell>
        </row>
        <row r="2057">
          <cell r="F2057" t="str">
            <v>VAPI01S328</v>
          </cell>
          <cell r="G2057" t="str">
            <v>STEEL WELD ENTERPRISES</v>
          </cell>
          <cell r="H2057" t="str">
            <v>-</v>
          </cell>
          <cell r="J2057" t="str">
            <v>Domestic</v>
          </cell>
          <cell r="K2057" t="str">
            <v>-</v>
          </cell>
          <cell r="L2057" t="str">
            <v>Non-Sugar</v>
          </cell>
          <cell r="O2057" t="str">
            <v>-</v>
          </cell>
          <cell r="P2057" t="str">
            <v>-</v>
          </cell>
          <cell r="Q2057" t="str">
            <v>-</v>
          </cell>
          <cell r="R2057" t="str">
            <v>-</v>
          </cell>
          <cell r="T2057" t="str">
            <v>-</v>
          </cell>
          <cell r="U2057" t="str">
            <v>-</v>
          </cell>
          <cell r="W2057" t="str">
            <v>-</v>
          </cell>
        </row>
        <row r="2058">
          <cell r="F2058" t="str">
            <v>MANU01S193</v>
          </cell>
          <cell r="G2058" t="str">
            <v>STORES OFFICER STORES UNIT</v>
          </cell>
          <cell r="H2058" t="str">
            <v>-</v>
          </cell>
          <cell r="J2058" t="str">
            <v>Domestic</v>
          </cell>
          <cell r="K2058" t="str">
            <v>Others</v>
          </cell>
          <cell r="L2058" t="str">
            <v>Non-Sugar</v>
          </cell>
          <cell r="P2058" t="str">
            <v>SI-GS</v>
          </cell>
          <cell r="Q2058" t="str">
            <v>SI-GS</v>
          </cell>
          <cell r="W2058" t="str">
            <v>-</v>
          </cell>
        </row>
        <row r="2059">
          <cell r="F2059" t="str">
            <v>CHIT01S096</v>
          </cell>
          <cell r="G2059" t="str">
            <v>SUDALAGUNTA SUGARS LIMITED</v>
          </cell>
          <cell r="H2059">
            <v>2013</v>
          </cell>
          <cell r="J2059" t="str">
            <v>Domestic</v>
          </cell>
          <cell r="K2059" t="str">
            <v>Sugar</v>
          </cell>
          <cell r="P2059" t="str">
            <v>SI-GS</v>
          </cell>
          <cell r="Q2059" t="str">
            <v>SI-GS</v>
          </cell>
          <cell r="W2059">
            <v>44543</v>
          </cell>
        </row>
        <row r="2060">
          <cell r="F2060" t="str">
            <v>NELL01S188</v>
          </cell>
          <cell r="G2060" t="str">
            <v>SUDALAGUNTA SUGARS LTD.</v>
          </cell>
          <cell r="H2060">
            <v>2016</v>
          </cell>
          <cell r="J2060" t="str">
            <v>Domestic</v>
          </cell>
          <cell r="K2060" t="str">
            <v>Sugar</v>
          </cell>
          <cell r="P2060" t="str">
            <v>SI-GS</v>
          </cell>
          <cell r="Q2060" t="str">
            <v>SI-GS</v>
          </cell>
          <cell r="W2060" t="str">
            <v>-</v>
          </cell>
        </row>
        <row r="2061">
          <cell r="F2061" t="str">
            <v>HYDE01S372</v>
          </cell>
          <cell r="G2061" t="str">
            <v>SUGARS OF FIJI</v>
          </cell>
          <cell r="H2061" t="str">
            <v>-</v>
          </cell>
          <cell r="J2061" t="str">
            <v>Domestic</v>
          </cell>
          <cell r="K2061" t="str">
            <v>Sugar</v>
          </cell>
          <cell r="L2061" t="str">
            <v>Sugar</v>
          </cell>
          <cell r="M2061" t="str">
            <v>End User</v>
          </cell>
          <cell r="O2061" t="str">
            <v>-</v>
          </cell>
          <cell r="P2061" t="str">
            <v>-</v>
          </cell>
          <cell r="Q2061" t="str">
            <v>-</v>
          </cell>
          <cell r="R2061" t="str">
            <v>-</v>
          </cell>
          <cell r="T2061" t="str">
            <v>-</v>
          </cell>
          <cell r="U2061" t="str">
            <v>-</v>
          </cell>
          <cell r="W2061" t="str">
            <v>-</v>
          </cell>
        </row>
        <row r="2062">
          <cell r="F2062" t="str">
            <v>MALD01S119</v>
          </cell>
          <cell r="G2062" t="str">
            <v>SUKHJIT STARCH INDUSTRIES</v>
          </cell>
          <cell r="H2062" t="str">
            <v>-</v>
          </cell>
          <cell r="J2062" t="str">
            <v>Domestic</v>
          </cell>
          <cell r="K2062" t="str">
            <v>-</v>
          </cell>
          <cell r="L2062" t="str">
            <v>Non-Sugar</v>
          </cell>
          <cell r="O2062" t="str">
            <v>-</v>
          </cell>
          <cell r="P2062" t="str">
            <v>-</v>
          </cell>
          <cell r="Q2062" t="str">
            <v>-</v>
          </cell>
          <cell r="R2062" t="str">
            <v>-</v>
          </cell>
          <cell r="T2062" t="str">
            <v>-</v>
          </cell>
          <cell r="U2062" t="str">
            <v>-</v>
          </cell>
          <cell r="W2062" t="str">
            <v>-</v>
          </cell>
        </row>
        <row r="2063">
          <cell r="F2063" t="str">
            <v>CHAN01S382</v>
          </cell>
          <cell r="G2063" t="str">
            <v>SUMIT KUMAR RUPANAGAR</v>
          </cell>
          <cell r="H2063" t="str">
            <v>-</v>
          </cell>
          <cell r="J2063" t="str">
            <v>Domestic</v>
          </cell>
          <cell r="K2063" t="str">
            <v>-</v>
          </cell>
          <cell r="L2063" t="str">
            <v>Non-Sugar</v>
          </cell>
          <cell r="O2063" t="str">
            <v>-</v>
          </cell>
          <cell r="P2063" t="str">
            <v>-</v>
          </cell>
          <cell r="Q2063" t="str">
            <v>-</v>
          </cell>
          <cell r="R2063" t="str">
            <v>-</v>
          </cell>
          <cell r="T2063" t="str">
            <v>-</v>
          </cell>
          <cell r="U2063" t="str">
            <v>-</v>
          </cell>
          <cell r="W2063" t="str">
            <v>-</v>
          </cell>
        </row>
        <row r="2064">
          <cell r="F2064" t="str">
            <v>PHIL01S166</v>
          </cell>
          <cell r="G2064" t="str">
            <v>SUNSYSTEM TRADING AND DEVELOPMENT</v>
          </cell>
          <cell r="H2064" t="str">
            <v>-</v>
          </cell>
          <cell r="J2064" t="str">
            <v>Export</v>
          </cell>
          <cell r="K2064" t="str">
            <v>-</v>
          </cell>
          <cell r="L2064" t="str">
            <v>Non-Sugar</v>
          </cell>
          <cell r="O2064" t="str">
            <v>-</v>
          </cell>
          <cell r="P2064" t="str">
            <v>-</v>
          </cell>
          <cell r="Q2064" t="str">
            <v>-</v>
          </cell>
          <cell r="R2064" t="str">
            <v>-</v>
          </cell>
          <cell r="T2064" t="str">
            <v>-</v>
          </cell>
          <cell r="U2064" t="str">
            <v>-</v>
          </cell>
          <cell r="W2064" t="str">
            <v>-</v>
          </cell>
        </row>
        <row r="2065">
          <cell r="F2065" t="str">
            <v>KANP01S368</v>
          </cell>
          <cell r="G2065" t="str">
            <v>SUPER TANNERY</v>
          </cell>
          <cell r="H2065" t="str">
            <v>-</v>
          </cell>
          <cell r="J2065" t="str">
            <v>Domestic</v>
          </cell>
          <cell r="K2065" t="str">
            <v>-</v>
          </cell>
          <cell r="L2065" t="str">
            <v>Non-Sugar</v>
          </cell>
          <cell r="O2065" t="str">
            <v>-</v>
          </cell>
          <cell r="P2065" t="str">
            <v>-</v>
          </cell>
          <cell r="Q2065" t="str">
            <v>-</v>
          </cell>
          <cell r="R2065" t="str">
            <v>-</v>
          </cell>
          <cell r="T2065" t="str">
            <v>-</v>
          </cell>
          <cell r="U2065" t="str">
            <v>-</v>
          </cell>
          <cell r="W2065" t="str">
            <v>-</v>
          </cell>
        </row>
        <row r="2066">
          <cell r="F2066" t="str">
            <v>MUMB01S178</v>
          </cell>
          <cell r="G2066" t="str">
            <v>SUPERIOR ENERGY</v>
          </cell>
          <cell r="H2066" t="str">
            <v>-</v>
          </cell>
          <cell r="J2066" t="str">
            <v>Domestic</v>
          </cell>
          <cell r="K2066" t="str">
            <v>-</v>
          </cell>
          <cell r="L2066" t="str">
            <v>Non-Sugar</v>
          </cell>
          <cell r="O2066" t="str">
            <v>-</v>
          </cell>
          <cell r="P2066" t="str">
            <v>-</v>
          </cell>
          <cell r="Q2066" t="str">
            <v>-</v>
          </cell>
          <cell r="R2066" t="str">
            <v>-</v>
          </cell>
          <cell r="T2066" t="str">
            <v>-</v>
          </cell>
          <cell r="U2066" t="str">
            <v>-</v>
          </cell>
          <cell r="W2066" t="str">
            <v>-</v>
          </cell>
        </row>
        <row r="2067">
          <cell r="F2067" t="str">
            <v>GURG01S311</v>
          </cell>
          <cell r="G2067" t="str">
            <v>SUPREME GROUP</v>
          </cell>
          <cell r="H2067" t="str">
            <v>-</v>
          </cell>
          <cell r="J2067" t="str">
            <v>Domestic</v>
          </cell>
          <cell r="K2067" t="str">
            <v>-</v>
          </cell>
          <cell r="L2067" t="str">
            <v>Non-Sugar</v>
          </cell>
          <cell r="O2067" t="str">
            <v>-</v>
          </cell>
          <cell r="P2067" t="str">
            <v>-</v>
          </cell>
          <cell r="Q2067" t="str">
            <v>-</v>
          </cell>
          <cell r="R2067" t="str">
            <v>-</v>
          </cell>
          <cell r="T2067" t="str">
            <v>-</v>
          </cell>
          <cell r="U2067" t="str">
            <v>-</v>
          </cell>
          <cell r="W2067" t="str">
            <v>-</v>
          </cell>
        </row>
        <row r="2068">
          <cell r="F2068" t="str">
            <v>KOLK01S243</v>
          </cell>
          <cell r="G2068" t="str">
            <v>SUPREME PAPER MILLS LTD</v>
          </cell>
          <cell r="H2068" t="str">
            <v>-</v>
          </cell>
          <cell r="J2068" t="str">
            <v>Domestic</v>
          </cell>
          <cell r="K2068" t="str">
            <v>Paper</v>
          </cell>
          <cell r="L2068" t="str">
            <v>Non-Sugar</v>
          </cell>
          <cell r="M2068" t="str">
            <v>End User</v>
          </cell>
          <cell r="O2068" t="str">
            <v>-</v>
          </cell>
          <cell r="P2068" t="str">
            <v>-</v>
          </cell>
          <cell r="Q2068" t="str">
            <v>-</v>
          </cell>
          <cell r="R2068" t="str">
            <v>-</v>
          </cell>
          <cell r="T2068" t="str">
            <v>-</v>
          </cell>
          <cell r="U2068" t="str">
            <v>-</v>
          </cell>
          <cell r="W2068" t="str">
            <v>-</v>
          </cell>
        </row>
        <row r="2069">
          <cell r="F2069" t="str">
            <v>CHEN01S125</v>
          </cell>
          <cell r="G2069" t="str">
            <v>SUPREME PETROCHEM LTD.</v>
          </cell>
          <cell r="H2069" t="str">
            <v>-</v>
          </cell>
          <cell r="J2069" t="str">
            <v>Domestic</v>
          </cell>
          <cell r="K2069" t="str">
            <v>Oil</v>
          </cell>
          <cell r="L2069" t="str">
            <v>Non-Sugar</v>
          </cell>
          <cell r="P2069" t="str">
            <v>SI-GS</v>
          </cell>
          <cell r="Q2069" t="str">
            <v>SI-GS</v>
          </cell>
          <cell r="W2069" t="str">
            <v>-</v>
          </cell>
        </row>
        <row r="2070">
          <cell r="F2070" t="str">
            <v>GUJA01S380</v>
          </cell>
          <cell r="G2070" t="str">
            <v>SURANA BROTHERS</v>
          </cell>
          <cell r="H2070" t="str">
            <v>-</v>
          </cell>
          <cell r="J2070" t="str">
            <v>Domestic</v>
          </cell>
          <cell r="K2070" t="str">
            <v>-</v>
          </cell>
          <cell r="L2070" t="str">
            <v>Non-Sugar</v>
          </cell>
          <cell r="O2070" t="str">
            <v>-</v>
          </cell>
          <cell r="P2070" t="str">
            <v>-</v>
          </cell>
          <cell r="Q2070" t="str">
            <v>-</v>
          </cell>
          <cell r="R2070" t="str">
            <v>-</v>
          </cell>
          <cell r="T2070" t="str">
            <v>-</v>
          </cell>
          <cell r="U2070" t="str">
            <v>-</v>
          </cell>
          <cell r="W2070" t="str">
            <v>-</v>
          </cell>
        </row>
        <row r="2071">
          <cell r="F2071" t="str">
            <v>SURA01S151</v>
          </cell>
          <cell r="G2071" t="str">
            <v>SURAT MUNICIPAL CORPORATION</v>
          </cell>
          <cell r="H2071" t="str">
            <v>-</v>
          </cell>
          <cell r="J2071" t="str">
            <v>Domestic</v>
          </cell>
          <cell r="K2071" t="str">
            <v>-</v>
          </cell>
          <cell r="L2071" t="str">
            <v>Non-Sugar</v>
          </cell>
          <cell r="O2071" t="str">
            <v>-</v>
          </cell>
          <cell r="P2071" t="str">
            <v>-</v>
          </cell>
          <cell r="Q2071" t="str">
            <v>-</v>
          </cell>
          <cell r="R2071" t="str">
            <v>-</v>
          </cell>
          <cell r="T2071" t="str">
            <v>-</v>
          </cell>
          <cell r="U2071" t="str">
            <v>-</v>
          </cell>
          <cell r="W2071" t="str">
            <v>-</v>
          </cell>
        </row>
        <row r="2072">
          <cell r="F2072" t="str">
            <v>LUCK01S369</v>
          </cell>
          <cell r="G2072" t="str">
            <v>SURFACE PAINT</v>
          </cell>
          <cell r="H2072" t="str">
            <v>-</v>
          </cell>
          <cell r="J2072" t="str">
            <v>Domestic</v>
          </cell>
          <cell r="K2072" t="str">
            <v>-</v>
          </cell>
          <cell r="L2072" t="str">
            <v>Non-Sugar</v>
          </cell>
          <cell r="O2072" t="str">
            <v>-</v>
          </cell>
          <cell r="P2072" t="str">
            <v>-</v>
          </cell>
          <cell r="Q2072" t="str">
            <v>-</v>
          </cell>
          <cell r="R2072" t="str">
            <v>-</v>
          </cell>
          <cell r="T2072" t="str">
            <v>-</v>
          </cell>
          <cell r="U2072" t="str">
            <v>-</v>
          </cell>
          <cell r="W2072" t="str">
            <v>-</v>
          </cell>
        </row>
        <row r="2073">
          <cell r="F2073" t="str">
            <v>SAHA01S320</v>
          </cell>
          <cell r="G2073" t="str">
            <v>SURYA CHAINS PVT LTD</v>
          </cell>
          <cell r="H2073" t="str">
            <v>-</v>
          </cell>
          <cell r="J2073" t="str">
            <v>Domestic</v>
          </cell>
          <cell r="K2073" t="str">
            <v>-</v>
          </cell>
          <cell r="L2073" t="str">
            <v>Non-Sugar</v>
          </cell>
          <cell r="O2073" t="str">
            <v>-</v>
          </cell>
          <cell r="P2073" t="str">
            <v>-</v>
          </cell>
          <cell r="Q2073" t="str">
            <v>-</v>
          </cell>
          <cell r="R2073" t="str">
            <v>-</v>
          </cell>
          <cell r="T2073" t="str">
            <v>-</v>
          </cell>
          <cell r="U2073" t="str">
            <v>-</v>
          </cell>
          <cell r="W2073" t="str">
            <v>-</v>
          </cell>
        </row>
        <row r="2074">
          <cell r="F2074" t="str">
            <v>BHUB01S361</v>
          </cell>
          <cell r="G2074" t="str">
            <v>SURYA INTERNATIONAL</v>
          </cell>
          <cell r="H2074" t="str">
            <v>-</v>
          </cell>
          <cell r="J2074" t="str">
            <v>Domestic</v>
          </cell>
          <cell r="K2074" t="str">
            <v>-</v>
          </cell>
          <cell r="L2074" t="str">
            <v>Non-Sugar</v>
          </cell>
          <cell r="O2074" t="str">
            <v>-</v>
          </cell>
          <cell r="P2074" t="str">
            <v>-</v>
          </cell>
          <cell r="Q2074" t="str">
            <v>-</v>
          </cell>
          <cell r="R2074" t="str">
            <v>-</v>
          </cell>
          <cell r="T2074" t="str">
            <v>-</v>
          </cell>
          <cell r="U2074" t="str">
            <v>-</v>
          </cell>
          <cell r="W2074" t="str">
            <v>-</v>
          </cell>
        </row>
        <row r="2075">
          <cell r="F2075" t="str">
            <v>SONI01S255</v>
          </cell>
          <cell r="G2075" t="str">
            <v>SURYA MUSHROOMS PVT LTD</v>
          </cell>
          <cell r="H2075" t="str">
            <v>19-20</v>
          </cell>
          <cell r="J2075" t="str">
            <v>Domestic</v>
          </cell>
          <cell r="K2075" t="str">
            <v>OTHERS</v>
          </cell>
          <cell r="L2075" t="str">
            <v>Non-Sugar</v>
          </cell>
          <cell r="M2075" t="str">
            <v>End User</v>
          </cell>
          <cell r="O2075" t="str">
            <v>-</v>
          </cell>
          <cell r="P2075" t="str">
            <v>VA</v>
          </cell>
          <cell r="Q2075" t="str">
            <v>-</v>
          </cell>
          <cell r="T2075" t="str">
            <v>-</v>
          </cell>
          <cell r="U2075" t="str">
            <v>-</v>
          </cell>
          <cell r="W2075" t="str">
            <v>-</v>
          </cell>
        </row>
        <row r="2076">
          <cell r="F2076" t="str">
            <v>LUCK01S227</v>
          </cell>
          <cell r="G2076" t="str">
            <v>SURYA WATER TECHNOLOGY</v>
          </cell>
          <cell r="H2076" t="str">
            <v>-</v>
          </cell>
          <cell r="J2076" t="str">
            <v>Domestic</v>
          </cell>
          <cell r="K2076" t="str">
            <v>-</v>
          </cell>
          <cell r="L2076" t="str">
            <v>Non-Sugar</v>
          </cell>
          <cell r="O2076" t="str">
            <v>-</v>
          </cell>
          <cell r="P2076" t="str">
            <v>-</v>
          </cell>
          <cell r="Q2076" t="str">
            <v>-</v>
          </cell>
          <cell r="R2076" t="str">
            <v>-</v>
          </cell>
          <cell r="T2076" t="str">
            <v>-</v>
          </cell>
          <cell r="U2076" t="str">
            <v>-</v>
          </cell>
          <cell r="W2076" t="str">
            <v>-</v>
          </cell>
        </row>
        <row r="2077">
          <cell r="F2077" t="str">
            <v>HARD01S337</v>
          </cell>
          <cell r="G2077" t="str">
            <v>SWADESHI ORGANICS</v>
          </cell>
          <cell r="H2077" t="str">
            <v>-</v>
          </cell>
          <cell r="J2077" t="str">
            <v>Domestic</v>
          </cell>
          <cell r="K2077" t="str">
            <v>-</v>
          </cell>
          <cell r="L2077" t="str">
            <v>Non-Sugar</v>
          </cell>
          <cell r="O2077" t="str">
            <v>-</v>
          </cell>
          <cell r="P2077" t="str">
            <v>-</v>
          </cell>
          <cell r="Q2077" t="str">
            <v>-</v>
          </cell>
          <cell r="R2077" t="str">
            <v>-</v>
          </cell>
          <cell r="T2077" t="str">
            <v>-</v>
          </cell>
          <cell r="U2077" t="str">
            <v>-</v>
          </cell>
          <cell r="W2077" t="str">
            <v>-</v>
          </cell>
        </row>
        <row r="2078">
          <cell r="F2078" t="str">
            <v>FARD01S346</v>
          </cell>
          <cell r="G2078" t="str">
            <v>SWARAN AQUATECH PVT LTD FARIDABAD</v>
          </cell>
          <cell r="H2078" t="str">
            <v>-</v>
          </cell>
          <cell r="J2078" t="str">
            <v>Domestic</v>
          </cell>
          <cell r="K2078" t="str">
            <v>-</v>
          </cell>
          <cell r="L2078" t="str">
            <v>Non-Sugar</v>
          </cell>
          <cell r="O2078" t="str">
            <v>-</v>
          </cell>
          <cell r="P2078" t="str">
            <v>-</v>
          </cell>
          <cell r="Q2078" t="str">
            <v>-</v>
          </cell>
          <cell r="R2078" t="str">
            <v>-</v>
          </cell>
          <cell r="T2078" t="str">
            <v>-</v>
          </cell>
          <cell r="U2078" t="str">
            <v>-</v>
          </cell>
          <cell r="W2078" t="str">
            <v>-</v>
          </cell>
        </row>
        <row r="2079">
          <cell r="F2079" t="str">
            <v>ARGB01S387</v>
          </cell>
          <cell r="G2079" t="str">
            <v>SWARUPA MAKEUP AND MEHNDI ARTS</v>
          </cell>
          <cell r="H2079" t="str">
            <v>-</v>
          </cell>
          <cell r="J2079" t="str">
            <v>Domestic</v>
          </cell>
          <cell r="K2079" t="str">
            <v>-</v>
          </cell>
          <cell r="L2079" t="str">
            <v>Non-Sugar</v>
          </cell>
          <cell r="O2079" t="str">
            <v>-</v>
          </cell>
          <cell r="P2079" t="str">
            <v>-</v>
          </cell>
          <cell r="Q2079" t="str">
            <v>-</v>
          </cell>
          <cell r="R2079" t="str">
            <v>-</v>
          </cell>
          <cell r="T2079" t="str">
            <v>-</v>
          </cell>
          <cell r="U2079" t="str">
            <v>-</v>
          </cell>
          <cell r="W2079" t="str">
            <v>-</v>
          </cell>
        </row>
        <row r="2080">
          <cell r="F2080" t="str">
            <v>MUMB01S348</v>
          </cell>
          <cell r="G2080" t="str">
            <v>SYMBIO GENERRICS</v>
          </cell>
          <cell r="H2080" t="str">
            <v>-</v>
          </cell>
          <cell r="J2080" t="str">
            <v>Domestic</v>
          </cell>
          <cell r="K2080" t="str">
            <v>-</v>
          </cell>
          <cell r="L2080" t="str">
            <v>Non-Sugar</v>
          </cell>
          <cell r="O2080" t="str">
            <v>-</v>
          </cell>
          <cell r="P2080" t="str">
            <v>-</v>
          </cell>
          <cell r="Q2080" t="str">
            <v>-</v>
          </cell>
          <cell r="R2080" t="str">
            <v>-</v>
          </cell>
          <cell r="T2080" t="str">
            <v>-</v>
          </cell>
          <cell r="U2080" t="str">
            <v>-</v>
          </cell>
          <cell r="W2080" t="str">
            <v>-</v>
          </cell>
        </row>
        <row r="2081">
          <cell r="F2081" t="str">
            <v>GAND01S126</v>
          </cell>
          <cell r="G2081" t="str">
            <v>SYNERGY AGRO-TECH PVT. LTD.</v>
          </cell>
          <cell r="H2081" t="str">
            <v>-</v>
          </cell>
          <cell r="J2081" t="str">
            <v>Domestic</v>
          </cell>
          <cell r="K2081" t="str">
            <v>-</v>
          </cell>
          <cell r="L2081" t="str">
            <v>Non-Sugar</v>
          </cell>
          <cell r="O2081" t="str">
            <v>-</v>
          </cell>
          <cell r="P2081" t="str">
            <v>-</v>
          </cell>
          <cell r="Q2081" t="str">
            <v>-</v>
          </cell>
          <cell r="R2081" t="str">
            <v>-</v>
          </cell>
          <cell r="T2081" t="str">
            <v>-</v>
          </cell>
          <cell r="U2081" t="str">
            <v>-</v>
          </cell>
          <cell r="W2081" t="str">
            <v>-</v>
          </cell>
        </row>
        <row r="2082">
          <cell r="F2082" t="str">
            <v>VIET01T096</v>
          </cell>
          <cell r="G2082" t="str">
            <v>TAN DAT INDUSTRIAL COMPANY LIMITED</v>
          </cell>
          <cell r="H2082" t="str">
            <v>-</v>
          </cell>
          <cell r="J2082" t="str">
            <v>Export</v>
          </cell>
          <cell r="K2082" t="str">
            <v>-</v>
          </cell>
          <cell r="L2082" t="str">
            <v>Non-Sugar</v>
          </cell>
          <cell r="O2082" t="str">
            <v>-</v>
          </cell>
          <cell r="P2082" t="str">
            <v>-</v>
          </cell>
          <cell r="Q2082" t="str">
            <v>VG</v>
          </cell>
          <cell r="R2082" t="str">
            <v>-</v>
          </cell>
          <cell r="T2082" t="str">
            <v>-</v>
          </cell>
          <cell r="U2082" t="str">
            <v>-</v>
          </cell>
          <cell r="W2082" t="str">
            <v>-</v>
          </cell>
        </row>
        <row r="2083">
          <cell r="F2083" t="str">
            <v>HCWC01T109</v>
          </cell>
          <cell r="G2083" t="str">
            <v>TANTHANH TECHNICAL SERVICES ONE MEMBER CO LTD</v>
          </cell>
          <cell r="H2083" t="str">
            <v>-</v>
          </cell>
          <cell r="J2083" t="str">
            <v>Export</v>
          </cell>
          <cell r="K2083" t="str">
            <v>-</v>
          </cell>
          <cell r="L2083" t="str">
            <v>Non-Sugar</v>
          </cell>
          <cell r="O2083" t="str">
            <v>-</v>
          </cell>
          <cell r="P2083" t="str">
            <v>-</v>
          </cell>
          <cell r="Q2083" t="str">
            <v>-</v>
          </cell>
          <cell r="R2083" t="str">
            <v>-</v>
          </cell>
          <cell r="T2083" t="str">
            <v>-</v>
          </cell>
          <cell r="U2083" t="str">
            <v>-</v>
          </cell>
          <cell r="W2083" t="str">
            <v>-</v>
          </cell>
        </row>
        <row r="2084">
          <cell r="F2084" t="str">
            <v>KANP01T124</v>
          </cell>
          <cell r="G2084" t="str">
            <v>TASLEEM AHMED</v>
          </cell>
          <cell r="H2084" t="str">
            <v>16-17</v>
          </cell>
          <cell r="J2084" t="str">
            <v>Domestic</v>
          </cell>
          <cell r="K2084" t="str">
            <v>-</v>
          </cell>
          <cell r="L2084" t="str">
            <v>Non-Sugar</v>
          </cell>
          <cell r="O2084" t="str">
            <v>-</v>
          </cell>
          <cell r="P2084" t="str">
            <v>-</v>
          </cell>
          <cell r="Q2084" t="str">
            <v>-</v>
          </cell>
          <cell r="R2084" t="str">
            <v>-</v>
          </cell>
          <cell r="T2084" t="str">
            <v>-</v>
          </cell>
          <cell r="U2084" t="str">
            <v>-</v>
          </cell>
          <cell r="W2084" t="str">
            <v>-</v>
          </cell>
        </row>
        <row r="2085">
          <cell r="F2085" t="str">
            <v>DEWA01T001</v>
          </cell>
          <cell r="G2085" t="str">
            <v>TATA INTERNATIONAL LTD</v>
          </cell>
          <cell r="H2085" t="str">
            <v>-</v>
          </cell>
          <cell r="J2085" t="str">
            <v>Domestic</v>
          </cell>
          <cell r="K2085" t="str">
            <v>-</v>
          </cell>
          <cell r="L2085" t="str">
            <v>Non-Sugar</v>
          </cell>
          <cell r="O2085" t="str">
            <v>-</v>
          </cell>
          <cell r="P2085" t="str">
            <v>-</v>
          </cell>
          <cell r="Q2085" t="str">
            <v>-</v>
          </cell>
          <cell r="R2085" t="str">
            <v>-</v>
          </cell>
          <cell r="T2085" t="str">
            <v>-</v>
          </cell>
          <cell r="U2085" t="str">
            <v>-</v>
          </cell>
          <cell r="W2085" t="str">
            <v>-</v>
          </cell>
        </row>
        <row r="2086">
          <cell r="F2086" t="str">
            <v>VIET01T118</v>
          </cell>
          <cell r="G2086" t="str">
            <v>TAYNIHH</v>
          </cell>
          <cell r="H2086" t="str">
            <v>-</v>
          </cell>
          <cell r="J2086" t="str">
            <v>Export</v>
          </cell>
          <cell r="K2086" t="str">
            <v>-</v>
          </cell>
          <cell r="L2086" t="str">
            <v>Non-Sugar</v>
          </cell>
          <cell r="O2086" t="str">
            <v>-</v>
          </cell>
          <cell r="P2086" t="str">
            <v>-</v>
          </cell>
          <cell r="Q2086" t="str">
            <v>VG</v>
          </cell>
          <cell r="R2086" t="str">
            <v>-</v>
          </cell>
          <cell r="T2086" t="str">
            <v>-</v>
          </cell>
          <cell r="U2086" t="str">
            <v>-</v>
          </cell>
          <cell r="W2086" t="str">
            <v>-</v>
          </cell>
        </row>
        <row r="2087">
          <cell r="F2087" t="str">
            <v>BANG01T168</v>
          </cell>
          <cell r="G2087" t="str">
            <v>TECHNO TRANSMISSION</v>
          </cell>
          <cell r="H2087" t="str">
            <v>-</v>
          </cell>
          <cell r="J2087" t="str">
            <v>Domestic</v>
          </cell>
          <cell r="K2087" t="str">
            <v>-</v>
          </cell>
          <cell r="L2087" t="str">
            <v>Non-Sugar</v>
          </cell>
          <cell r="O2087" t="str">
            <v>-</v>
          </cell>
          <cell r="P2087" t="str">
            <v>-</v>
          </cell>
          <cell r="Q2087" t="str">
            <v>-</v>
          </cell>
          <cell r="R2087" t="str">
            <v>-</v>
          </cell>
          <cell r="T2087" t="str">
            <v>-</v>
          </cell>
          <cell r="U2087" t="str">
            <v>-</v>
          </cell>
          <cell r="W2087" t="str">
            <v>-</v>
          </cell>
        </row>
        <row r="2088">
          <cell r="F2088" t="str">
            <v>PUNE01T167</v>
          </cell>
          <cell r="G2088" t="str">
            <v>TECHNO-INDUSTRIES</v>
          </cell>
          <cell r="H2088" t="str">
            <v>-</v>
          </cell>
          <cell r="J2088" t="str">
            <v>Domestic</v>
          </cell>
          <cell r="K2088" t="str">
            <v>-</v>
          </cell>
          <cell r="L2088" t="str">
            <v>Non-Sugar</v>
          </cell>
          <cell r="O2088" t="str">
            <v>-</v>
          </cell>
          <cell r="P2088" t="str">
            <v>-</v>
          </cell>
          <cell r="Q2088" t="str">
            <v>-</v>
          </cell>
          <cell r="R2088" t="str">
            <v>-</v>
          </cell>
          <cell r="T2088" t="str">
            <v>-</v>
          </cell>
          <cell r="U2088" t="str">
            <v>-</v>
          </cell>
          <cell r="W2088" t="str">
            <v>-</v>
          </cell>
        </row>
        <row r="2089">
          <cell r="F2089" t="str">
            <v>INDR01T162</v>
          </cell>
          <cell r="G2089" t="str">
            <v>TECHNOMECH ENGINEERING</v>
          </cell>
          <cell r="H2089" t="str">
            <v>-</v>
          </cell>
          <cell r="J2089" t="str">
            <v>Domestic</v>
          </cell>
          <cell r="K2089" t="str">
            <v>-</v>
          </cell>
          <cell r="L2089" t="str">
            <v>Non-Sugar</v>
          </cell>
          <cell r="O2089" t="str">
            <v>-</v>
          </cell>
          <cell r="P2089" t="str">
            <v>-</v>
          </cell>
          <cell r="Q2089" t="str">
            <v>-</v>
          </cell>
          <cell r="R2089" t="str">
            <v>-</v>
          </cell>
          <cell r="T2089" t="str">
            <v>-</v>
          </cell>
          <cell r="U2089" t="str">
            <v>-</v>
          </cell>
          <cell r="W2089" t="str">
            <v>-</v>
          </cell>
        </row>
        <row r="2090">
          <cell r="F2090" t="str">
            <v>GHZB01T005</v>
          </cell>
          <cell r="G2090" t="str">
            <v>TECHREVO ENGINEERS</v>
          </cell>
          <cell r="H2090" t="str">
            <v>-</v>
          </cell>
          <cell r="J2090" t="str">
            <v>Domestic</v>
          </cell>
          <cell r="K2090" t="str">
            <v>-</v>
          </cell>
          <cell r="L2090" t="str">
            <v>Non-Sugar</v>
          </cell>
          <cell r="O2090" t="str">
            <v>-</v>
          </cell>
          <cell r="P2090" t="str">
            <v>-</v>
          </cell>
          <cell r="Q2090" t="str">
            <v>-</v>
          </cell>
          <cell r="R2090" t="str">
            <v>-</v>
          </cell>
          <cell r="T2090" t="str">
            <v>-</v>
          </cell>
          <cell r="U2090" t="str">
            <v>-</v>
          </cell>
          <cell r="W2090" t="str">
            <v>-</v>
          </cell>
        </row>
        <row r="2091">
          <cell r="F2091" t="str">
            <v>AHME01T122</v>
          </cell>
          <cell r="G2091" t="str">
            <v>TECIMEQUIP ENGINEERING</v>
          </cell>
          <cell r="H2091" t="str">
            <v>-</v>
          </cell>
          <cell r="J2091" t="str">
            <v>Domestic</v>
          </cell>
          <cell r="K2091" t="str">
            <v>-</v>
          </cell>
          <cell r="L2091" t="str">
            <v>Non-Sugar</v>
          </cell>
          <cell r="O2091" t="str">
            <v>-</v>
          </cell>
          <cell r="P2091" t="str">
            <v>-</v>
          </cell>
          <cell r="Q2091" t="str">
            <v>-</v>
          </cell>
          <cell r="R2091" t="str">
            <v>-</v>
          </cell>
          <cell r="T2091" t="str">
            <v>-</v>
          </cell>
          <cell r="U2091" t="str">
            <v>-</v>
          </cell>
          <cell r="W2091" t="str">
            <v>-</v>
          </cell>
        </row>
        <row r="2092">
          <cell r="F2092" t="str">
            <v>MUZF01T130</v>
          </cell>
          <cell r="G2092" t="str">
            <v>TEHRI PUMP &amp; PAPER MILLS</v>
          </cell>
          <cell r="H2092" t="str">
            <v>-</v>
          </cell>
          <cell r="J2092" t="str">
            <v>Domestic</v>
          </cell>
          <cell r="K2092" t="str">
            <v>Paper</v>
          </cell>
          <cell r="L2092" t="str">
            <v>Non-Sugar</v>
          </cell>
          <cell r="M2092" t="str">
            <v>End User</v>
          </cell>
          <cell r="O2092" t="str">
            <v>120 TPD</v>
          </cell>
          <cell r="P2092" t="str">
            <v>HO</v>
          </cell>
          <cell r="Q2092" t="str">
            <v>HIMANSHU KUSHWAHA</v>
          </cell>
          <cell r="R2092" t="str">
            <v>-</v>
          </cell>
          <cell r="T2092" t="str">
            <v>-</v>
          </cell>
          <cell r="U2092" t="str">
            <v>19-20</v>
          </cell>
          <cell r="W2092">
            <v>43862</v>
          </cell>
        </row>
        <row r="2093">
          <cell r="F2093" t="str">
            <v>VIET01T155</v>
          </cell>
          <cell r="G2093" t="str">
            <v>TEKZONE INDUSTRIAL CONTARCTOR</v>
          </cell>
          <cell r="H2093" t="str">
            <v>-</v>
          </cell>
          <cell r="J2093" t="str">
            <v>Export</v>
          </cell>
          <cell r="K2093" t="str">
            <v>-</v>
          </cell>
          <cell r="L2093" t="str">
            <v>Non-Sugar</v>
          </cell>
          <cell r="O2093" t="str">
            <v>-</v>
          </cell>
          <cell r="P2093" t="str">
            <v>-</v>
          </cell>
          <cell r="Q2093" t="str">
            <v>VG</v>
          </cell>
          <cell r="R2093" t="str">
            <v>-</v>
          </cell>
          <cell r="T2093" t="str">
            <v>-</v>
          </cell>
          <cell r="U2093" t="str">
            <v>-</v>
          </cell>
          <cell r="W2093" t="str">
            <v>-</v>
          </cell>
        </row>
        <row r="2094">
          <cell r="F2094" t="str">
            <v>ADDI01T090</v>
          </cell>
          <cell r="G2094" t="str">
            <v>TENDAHO SUGAR FACTORY PROJECT</v>
          </cell>
          <cell r="H2094" t="str">
            <v>-</v>
          </cell>
          <cell r="J2094" t="str">
            <v>Export</v>
          </cell>
          <cell r="K2094" t="str">
            <v>Sugar</v>
          </cell>
          <cell r="L2094" t="str">
            <v>Sugar</v>
          </cell>
          <cell r="M2094" t="str">
            <v>End User</v>
          </cell>
          <cell r="P2094" t="str">
            <v>LGP</v>
          </cell>
          <cell r="Q2094" t="str">
            <v>-</v>
          </cell>
        </row>
        <row r="2095">
          <cell r="F2095" t="str">
            <v>PUNE01T177</v>
          </cell>
          <cell r="G2095" t="str">
            <v>TERNA SHETKARI SAHAKARI SAKHAR KARKHANA LTD (BHAIRAVNATH SUGAR WORKS UNIT 6 )</v>
          </cell>
          <cell r="H2095" t="str">
            <v>-</v>
          </cell>
          <cell r="J2095" t="str">
            <v>Domestic</v>
          </cell>
          <cell r="K2095" t="str">
            <v>Sugar</v>
          </cell>
          <cell r="M2095" t="str">
            <v>End User</v>
          </cell>
          <cell r="O2095">
            <v>5000</v>
          </cell>
          <cell r="P2095" t="str">
            <v>-</v>
          </cell>
          <cell r="Q2095" t="str">
            <v>-</v>
          </cell>
          <cell r="R2095" t="str">
            <v>-</v>
          </cell>
          <cell r="T2095" t="str">
            <v>TOUR-4 (OSMANABAD)</v>
          </cell>
          <cell r="U2095" t="str">
            <v>24-25</v>
          </cell>
          <cell r="W2095">
            <v>45400</v>
          </cell>
        </row>
        <row r="2096">
          <cell r="F2096" t="str">
            <v>GUJA01T158</v>
          </cell>
          <cell r="G2096" t="str">
            <v>TEVOREN TECHNOLOGIES LLP</v>
          </cell>
          <cell r="H2096" t="str">
            <v>-</v>
          </cell>
          <cell r="J2096" t="str">
            <v>Domestic</v>
          </cell>
          <cell r="K2096" t="str">
            <v>-</v>
          </cell>
          <cell r="L2096" t="str">
            <v>Non-Sugar</v>
          </cell>
          <cell r="O2096" t="str">
            <v>-</v>
          </cell>
          <cell r="P2096" t="str">
            <v>-</v>
          </cell>
          <cell r="Q2096" t="str">
            <v>-</v>
          </cell>
          <cell r="R2096" t="str">
            <v>-</v>
          </cell>
          <cell r="T2096" t="str">
            <v>-</v>
          </cell>
          <cell r="U2096" t="str">
            <v>-</v>
          </cell>
          <cell r="W2096" t="str">
            <v>-</v>
          </cell>
        </row>
        <row r="2097">
          <cell r="F2097" t="str">
            <v>DUBA01T157</v>
          </cell>
          <cell r="G2097" t="str">
            <v>THABAT SAUDI ARABIA</v>
          </cell>
          <cell r="H2097" t="str">
            <v>-</v>
          </cell>
          <cell r="J2097" t="str">
            <v>Export</v>
          </cell>
          <cell r="K2097" t="str">
            <v>-</v>
          </cell>
          <cell r="L2097" t="str">
            <v>Non-Sugar</v>
          </cell>
          <cell r="O2097" t="str">
            <v>-</v>
          </cell>
          <cell r="P2097" t="str">
            <v>-</v>
          </cell>
          <cell r="Q2097" t="str">
            <v>-</v>
          </cell>
          <cell r="R2097" t="str">
            <v>-</v>
          </cell>
          <cell r="T2097" t="str">
            <v>-</v>
          </cell>
          <cell r="U2097" t="str">
            <v>-</v>
          </cell>
          <cell r="W2097" t="str">
            <v>-</v>
          </cell>
        </row>
        <row r="2098">
          <cell r="F2098" t="str">
            <v>NANA01T100</v>
          </cell>
          <cell r="G2098" t="str">
            <v>THANARAK ACTION</v>
          </cell>
          <cell r="H2098" t="str">
            <v>-</v>
          </cell>
          <cell r="J2098" t="str">
            <v>Export</v>
          </cell>
          <cell r="K2098" t="str">
            <v>OTHERS</v>
          </cell>
          <cell r="L2098" t="str">
            <v>Non-Sugar</v>
          </cell>
          <cell r="M2098" t="str">
            <v>OEM</v>
          </cell>
          <cell r="O2098" t="str">
            <v>-</v>
          </cell>
          <cell r="P2098" t="str">
            <v>VA</v>
          </cell>
          <cell r="Q2098" t="str">
            <v>HIMANSHU KUSHWAHA</v>
          </cell>
        </row>
        <row r="2099">
          <cell r="F2099" t="str">
            <v>VELL01T008</v>
          </cell>
          <cell r="G2099" t="str">
            <v>THE AMBUR CO-OPERATIVE SUGAR- MILLS LTD</v>
          </cell>
          <cell r="H2099">
            <v>2013</v>
          </cell>
          <cell r="J2099" t="str">
            <v>Domestic</v>
          </cell>
          <cell r="K2099" t="str">
            <v>Sugar</v>
          </cell>
          <cell r="P2099" t="str">
            <v>SI-GS</v>
          </cell>
          <cell r="Q2099" t="str">
            <v>SI-GS</v>
          </cell>
          <cell r="W2099" t="str">
            <v>-</v>
          </cell>
        </row>
        <row r="2100">
          <cell r="F2100" t="str">
            <v>VISH01T009</v>
          </cell>
          <cell r="G2100" t="str">
            <v>THE ANAKAPALLE V.V.RAMANA - CO-OPERATIVE SUGARS LTD.</v>
          </cell>
          <cell r="H2100">
            <v>2019</v>
          </cell>
          <cell r="J2100" t="str">
            <v>Domestic</v>
          </cell>
          <cell r="K2100" t="str">
            <v>Sugar</v>
          </cell>
          <cell r="P2100" t="str">
            <v>SI-GS</v>
          </cell>
          <cell r="Q2100" t="str">
            <v>SI-GS</v>
          </cell>
          <cell r="W2100">
            <v>45147</v>
          </cell>
        </row>
        <row r="2101">
          <cell r="F2101" t="str">
            <v>WSGO01T010</v>
          </cell>
          <cell r="G2101" t="str">
            <v>THE ANDHRA SUGARS LIMITED</v>
          </cell>
          <cell r="H2101">
            <v>2013</v>
          </cell>
          <cell r="J2101" t="str">
            <v>Domestic</v>
          </cell>
          <cell r="K2101" t="str">
            <v>Sugar</v>
          </cell>
          <cell r="P2101" t="str">
            <v>SI-GS</v>
          </cell>
          <cell r="Q2101" t="str">
            <v>SI-GS</v>
          </cell>
          <cell r="W2101">
            <v>45146</v>
          </cell>
        </row>
        <row r="2102">
          <cell r="F2102" t="str">
            <v>WSGO01T011</v>
          </cell>
          <cell r="G2102" t="str">
            <v>THE ANDHRA SUGARS LTD</v>
          </cell>
          <cell r="H2102" t="str">
            <v>-</v>
          </cell>
          <cell r="J2102" t="str">
            <v>Domestic</v>
          </cell>
          <cell r="K2102" t="str">
            <v>Sugar</v>
          </cell>
          <cell r="P2102" t="str">
            <v>SI-GS</v>
          </cell>
          <cell r="Q2102" t="str">
            <v>SI-GS</v>
          </cell>
          <cell r="W2102" t="str">
            <v>-</v>
          </cell>
        </row>
        <row r="2103">
          <cell r="F2103" t="str">
            <v>BURD01T114</v>
          </cell>
          <cell r="G2103" t="str">
            <v>THE AREA FINANCE MANAGER - PANDAVESWAR AREA</v>
          </cell>
          <cell r="H2103" t="str">
            <v>-</v>
          </cell>
          <cell r="J2103" t="str">
            <v>Domestic</v>
          </cell>
          <cell r="K2103" t="str">
            <v>-</v>
          </cell>
          <cell r="L2103" t="str">
            <v>Non-Sugar</v>
          </cell>
          <cell r="O2103" t="str">
            <v>-</v>
          </cell>
          <cell r="P2103" t="str">
            <v>-</v>
          </cell>
          <cell r="Q2103" t="str">
            <v>-</v>
          </cell>
          <cell r="R2103" t="str">
            <v>-</v>
          </cell>
          <cell r="T2103" t="str">
            <v>-</v>
          </cell>
          <cell r="U2103" t="str">
            <v>-</v>
          </cell>
          <cell r="W2103" t="str">
            <v>-</v>
          </cell>
        </row>
        <row r="2104">
          <cell r="F2104" t="str">
            <v>CUDA01T020</v>
          </cell>
          <cell r="G2104" t="str">
            <v>THE CUDDAPAH CO-OP.SUGARS LTD.</v>
          </cell>
          <cell r="H2104" t="str">
            <v>-</v>
          </cell>
          <cell r="J2104" t="str">
            <v>Domestic</v>
          </cell>
          <cell r="K2104" t="str">
            <v>Others</v>
          </cell>
          <cell r="L2104" t="str">
            <v>Non-Sugar</v>
          </cell>
          <cell r="P2104" t="str">
            <v>SI-GS</v>
          </cell>
          <cell r="Q2104" t="str">
            <v>SI-GS</v>
          </cell>
          <cell r="W2104" t="str">
            <v>-</v>
          </cell>
        </row>
        <row r="2105">
          <cell r="F2105" t="str">
            <v>DHAN01T085</v>
          </cell>
          <cell r="G2105" t="str">
            <v>THE DEPOT OFFICER CENTER STORES EKRA</v>
          </cell>
          <cell r="H2105" t="str">
            <v>-</v>
          </cell>
          <cell r="J2105" t="str">
            <v>Domestic</v>
          </cell>
          <cell r="K2105" t="str">
            <v>-</v>
          </cell>
          <cell r="L2105" t="str">
            <v>Non-Sugar</v>
          </cell>
          <cell r="O2105" t="str">
            <v>-</v>
          </cell>
          <cell r="P2105" t="str">
            <v>-</v>
          </cell>
          <cell r="Q2105" t="str">
            <v>-</v>
          </cell>
          <cell r="R2105" t="str">
            <v>-</v>
          </cell>
          <cell r="T2105" t="str">
            <v>-</v>
          </cell>
          <cell r="U2105" t="str">
            <v>-</v>
          </cell>
          <cell r="W2105" t="str">
            <v>-</v>
          </cell>
        </row>
        <row r="2106">
          <cell r="F2106" t="str">
            <v>VISH01T022</v>
          </cell>
          <cell r="G2106" t="str">
            <v>THE ETIKOPPAKA CO-OP.AGRICULTURAL &amp; INDL.SOCIETY LTD.</v>
          </cell>
          <cell r="H2106">
            <v>2013</v>
          </cell>
          <cell r="J2106" t="str">
            <v>Domestic</v>
          </cell>
          <cell r="K2106" t="str">
            <v>Sugar</v>
          </cell>
          <cell r="P2106" t="str">
            <v>SI-GS</v>
          </cell>
          <cell r="Q2106" t="str">
            <v>SI-GS</v>
          </cell>
          <cell r="W2106">
            <v>44964</v>
          </cell>
        </row>
        <row r="2107">
          <cell r="F2107" t="str">
            <v>DHAN01T084</v>
          </cell>
          <cell r="G2107" t="str">
            <v>THE GENERAL MANAGR (F) (MM)</v>
          </cell>
          <cell r="H2107" t="str">
            <v>-</v>
          </cell>
          <cell r="J2107" t="str">
            <v>Domestic</v>
          </cell>
          <cell r="K2107" t="str">
            <v>-</v>
          </cell>
          <cell r="L2107" t="str">
            <v>Non-Sugar</v>
          </cell>
          <cell r="O2107" t="str">
            <v>-</v>
          </cell>
          <cell r="P2107" t="str">
            <v>-</v>
          </cell>
          <cell r="Q2107" t="str">
            <v>-</v>
          </cell>
          <cell r="R2107" t="str">
            <v>-</v>
          </cell>
          <cell r="T2107" t="str">
            <v>-</v>
          </cell>
          <cell r="U2107" t="str">
            <v>-</v>
          </cell>
          <cell r="W2107" t="str">
            <v>-</v>
          </cell>
        </row>
        <row r="2108">
          <cell r="F2108" t="str">
            <v>BAGL01T024</v>
          </cell>
          <cell r="G2108" t="str">
            <v>THE GODAVARI SUGAR - (NG123) MILLS LTD</v>
          </cell>
          <cell r="H2108" t="str">
            <v>-</v>
          </cell>
          <cell r="J2108" t="str">
            <v>Domestic</v>
          </cell>
          <cell r="K2108" t="str">
            <v>Sugar</v>
          </cell>
          <cell r="L2108" t="str">
            <v>Sugar</v>
          </cell>
          <cell r="M2108" t="str">
            <v>End User</v>
          </cell>
          <cell r="O2108" t="str">
            <v>-</v>
          </cell>
          <cell r="P2108" t="str">
            <v>-</v>
          </cell>
          <cell r="Q2108" t="str">
            <v>-</v>
          </cell>
          <cell r="R2108" t="str">
            <v>-</v>
          </cell>
          <cell r="T2108" t="str">
            <v>-</v>
          </cell>
          <cell r="U2108" t="str">
            <v>-</v>
          </cell>
          <cell r="W2108" t="str">
            <v>-</v>
          </cell>
        </row>
        <row r="2109">
          <cell r="F2109" t="str">
            <v>BELL01T027</v>
          </cell>
          <cell r="G2109" t="str">
            <v>THE INDIA SUGARS &amp; REFINERIES LTD</v>
          </cell>
          <cell r="H2109">
            <v>2013</v>
          </cell>
          <cell r="J2109" t="str">
            <v>Domestic</v>
          </cell>
          <cell r="K2109" t="str">
            <v>Sugar</v>
          </cell>
          <cell r="M2109" t="str">
            <v>End User</v>
          </cell>
          <cell r="O2109" t="str">
            <v>-</v>
          </cell>
          <cell r="P2109" t="str">
            <v>-</v>
          </cell>
          <cell r="Q2109" t="str">
            <v>-</v>
          </cell>
          <cell r="R2109" t="str">
            <v>-</v>
          </cell>
          <cell r="T2109" t="str">
            <v>-</v>
          </cell>
          <cell r="W2109" t="str">
            <v>-</v>
          </cell>
        </row>
        <row r="2110">
          <cell r="F2110" t="str">
            <v>WSGO01T029</v>
          </cell>
          <cell r="G2110" t="str">
            <v>THE JEYPORE SUGAR CO. LIMITED</v>
          </cell>
          <cell r="H2110">
            <v>2013</v>
          </cell>
          <cell r="J2110" t="str">
            <v>Domestic</v>
          </cell>
          <cell r="K2110" t="str">
            <v>Sugar</v>
          </cell>
          <cell r="P2110" t="str">
            <v>SI-GS</v>
          </cell>
          <cell r="Q2110" t="str">
            <v>SI-GS</v>
          </cell>
          <cell r="W2110" t="str">
            <v>-</v>
          </cell>
        </row>
        <row r="2111">
          <cell r="F2111" t="str">
            <v>WSGO01T030</v>
          </cell>
          <cell r="G2111" t="str">
            <v>THE JEYPORE SUGAR CO. LTD.</v>
          </cell>
          <cell r="H2111">
            <v>2013</v>
          </cell>
          <cell r="J2111" t="str">
            <v>Domestic</v>
          </cell>
          <cell r="K2111" t="str">
            <v>Sugar</v>
          </cell>
          <cell r="P2111" t="str">
            <v>SI-GS</v>
          </cell>
          <cell r="Q2111" t="str">
            <v>SI-GS</v>
          </cell>
          <cell r="W2111" t="str">
            <v>-</v>
          </cell>
        </row>
        <row r="2112">
          <cell r="F2112" t="str">
            <v>CHEN01T031</v>
          </cell>
          <cell r="G2112" t="str">
            <v>THE K.C.P. LIMITED</v>
          </cell>
          <cell r="H2112">
            <v>2013</v>
          </cell>
          <cell r="J2112" t="str">
            <v>Domestic</v>
          </cell>
          <cell r="K2112" t="str">
            <v>Others</v>
          </cell>
          <cell r="L2112" t="str">
            <v>Non-Sugar</v>
          </cell>
          <cell r="M2112" t="str">
            <v>OEM</v>
          </cell>
          <cell r="P2112" t="str">
            <v>SI-GS</v>
          </cell>
          <cell r="Q2112" t="str">
            <v>SI-GS</v>
          </cell>
          <cell r="W2112" t="str">
            <v>-</v>
          </cell>
        </row>
        <row r="2113">
          <cell r="F2113" t="str">
            <v>KUSH01T034</v>
          </cell>
          <cell r="G2113" t="str">
            <v>THE KANORIA SUGAR &amp; GENERAL MFG. CO. LTD.</v>
          </cell>
          <cell r="H2113">
            <v>2013</v>
          </cell>
          <cell r="J2113" t="str">
            <v>Domestic</v>
          </cell>
          <cell r="K2113" t="str">
            <v>Sugar</v>
          </cell>
          <cell r="L2113" t="str">
            <v>Sugar</v>
          </cell>
          <cell r="M2113" t="str">
            <v>End User</v>
          </cell>
          <cell r="O2113" t="str">
            <v>-</v>
          </cell>
          <cell r="P2113" t="str">
            <v>-</v>
          </cell>
          <cell r="Q2113" t="str">
            <v>-</v>
          </cell>
          <cell r="R2113" t="str">
            <v>-</v>
          </cell>
          <cell r="T2113" t="str">
            <v>-</v>
          </cell>
          <cell r="U2113" t="str">
            <v>-</v>
          </cell>
          <cell r="W2113" t="str">
            <v>-</v>
          </cell>
        </row>
        <row r="2114">
          <cell r="F2114" t="str">
            <v>UDAM01T123</v>
          </cell>
          <cell r="G2114" t="str">
            <v>THE KISAN SAHKARI CHINI MILLS LTD - (SITARGANJ)</v>
          </cell>
          <cell r="H2114" t="str">
            <v>16-17</v>
          </cell>
          <cell r="J2114" t="str">
            <v>Domestic</v>
          </cell>
          <cell r="K2114" t="str">
            <v>Sugar</v>
          </cell>
          <cell r="L2114" t="str">
            <v>Sugar</v>
          </cell>
          <cell r="M2114" t="str">
            <v>End User</v>
          </cell>
          <cell r="O2114">
            <v>2500</v>
          </cell>
          <cell r="P2114" t="str">
            <v>-</v>
          </cell>
          <cell r="Q2114" t="str">
            <v>-</v>
          </cell>
          <cell r="R2114" t="str">
            <v>HIMANSHU</v>
          </cell>
          <cell r="T2114" t="str">
            <v>-</v>
          </cell>
          <cell r="U2114" t="str">
            <v>24-25</v>
          </cell>
          <cell r="W2114" t="str">
            <v>28-09-2022
11-09-2017</v>
          </cell>
        </row>
        <row r="2115">
          <cell r="F2115" t="str">
            <v>NELL01T037</v>
          </cell>
          <cell r="G2115" t="str">
            <v>THE KOVUR CO-OPERATIVE - SUGAR FACTORY LTD</v>
          </cell>
          <cell r="H2115" t="str">
            <v>-</v>
          </cell>
          <cell r="J2115" t="str">
            <v>Domestic</v>
          </cell>
          <cell r="K2115" t="str">
            <v>Others</v>
          </cell>
          <cell r="L2115" t="str">
            <v>Non-Sugar</v>
          </cell>
          <cell r="P2115" t="str">
            <v>SI-GS</v>
          </cell>
          <cell r="Q2115" t="str">
            <v>SI-GS</v>
          </cell>
          <cell r="W2115" t="str">
            <v>-</v>
          </cell>
        </row>
        <row r="2116">
          <cell r="F2116" t="str">
            <v>PANI01T083</v>
          </cell>
          <cell r="G2116" t="str">
            <v>THE M.R. RUGS</v>
          </cell>
          <cell r="H2116">
            <v>2015</v>
          </cell>
          <cell r="J2116" t="str">
            <v>Domestic</v>
          </cell>
          <cell r="K2116" t="str">
            <v>-</v>
          </cell>
          <cell r="L2116" t="str">
            <v>Non-Sugar</v>
          </cell>
          <cell r="M2116" t="str">
            <v>End User</v>
          </cell>
          <cell r="O2116" t="str">
            <v>-</v>
          </cell>
          <cell r="P2116" t="str">
            <v>-</v>
          </cell>
          <cell r="Q2116" t="str">
            <v>-</v>
          </cell>
          <cell r="R2116" t="str">
            <v>-</v>
          </cell>
          <cell r="T2116" t="str">
            <v>-</v>
          </cell>
          <cell r="U2116" t="str">
            <v>-</v>
          </cell>
          <cell r="W2116" t="str">
            <v>-</v>
          </cell>
        </row>
        <row r="2117">
          <cell r="F2117" t="str">
            <v>BHAD01T041</v>
          </cell>
          <cell r="G2117" t="str">
            <v>THE MYSORE PAPER MILLS LIMITED</v>
          </cell>
          <cell r="H2117">
            <v>2013</v>
          </cell>
          <cell r="J2117" t="str">
            <v>Domestic</v>
          </cell>
          <cell r="K2117" t="str">
            <v>Paper</v>
          </cell>
          <cell r="L2117" t="str">
            <v>Non-Sugar</v>
          </cell>
          <cell r="M2117" t="str">
            <v>End User</v>
          </cell>
          <cell r="O2117" t="str">
            <v>-</v>
          </cell>
          <cell r="P2117" t="str">
            <v>-</v>
          </cell>
          <cell r="Q2117" t="str">
            <v>-</v>
          </cell>
          <cell r="R2117" t="str">
            <v>-</v>
          </cell>
          <cell r="T2117" t="str">
            <v>-</v>
          </cell>
          <cell r="W2117" t="str">
            <v>-</v>
          </cell>
        </row>
        <row r="2118">
          <cell r="F2118" t="str">
            <v>GUNT01T044</v>
          </cell>
          <cell r="G2118" t="str">
            <v>THE NANNAPANENI VENKATRAO - CO-OPERATIVE SUGARS LIMITED</v>
          </cell>
          <cell r="H2118" t="str">
            <v>-</v>
          </cell>
          <cell r="J2118" t="str">
            <v>Domestic</v>
          </cell>
          <cell r="K2118" t="str">
            <v>Others</v>
          </cell>
          <cell r="L2118" t="str">
            <v>Non-Sugar</v>
          </cell>
          <cell r="P2118" t="str">
            <v>SI-GS</v>
          </cell>
          <cell r="Q2118" t="str">
            <v>SI-GS</v>
          </cell>
          <cell r="W2118" t="str">
            <v>-</v>
          </cell>
        </row>
        <row r="2119">
          <cell r="F2119" t="str">
            <v>MADU01T046</v>
          </cell>
          <cell r="G2119" t="str">
            <v>THE NATIONAL CO-OPERATIVE SUGAR MILLS LIMITED</v>
          </cell>
          <cell r="H2119">
            <v>2013</v>
          </cell>
          <cell r="J2119" t="str">
            <v>Domestic</v>
          </cell>
          <cell r="K2119" t="str">
            <v>Sugar</v>
          </cell>
          <cell r="P2119" t="str">
            <v>SI-GS</v>
          </cell>
          <cell r="Q2119" t="str">
            <v>SI-GS</v>
          </cell>
          <cell r="W2119" t="str">
            <v>-</v>
          </cell>
        </row>
        <row r="2120">
          <cell r="F2120" t="str">
            <v>PUND01T086</v>
          </cell>
          <cell r="G2120" t="str">
            <v>THE PUDUCHERRY CO-OP. SUGAR MILLS LTD.</v>
          </cell>
          <cell r="H2120">
            <v>2013</v>
          </cell>
          <cell r="J2120" t="str">
            <v>Domestic</v>
          </cell>
          <cell r="K2120" t="str">
            <v>Sugar</v>
          </cell>
          <cell r="P2120" t="str">
            <v>SI-GS</v>
          </cell>
          <cell r="Q2120" t="str">
            <v>SI-GS</v>
          </cell>
          <cell r="W2120" t="str">
            <v>-</v>
          </cell>
        </row>
        <row r="2121">
          <cell r="F2121" t="str">
            <v>AHMD01T053</v>
          </cell>
          <cell r="G2121" t="str">
            <v>THE SANGAMNER BHAG SAHAKARI - SAKHAR KARKHANA LIMITED</v>
          </cell>
          <cell r="H2121" t="str">
            <v>-</v>
          </cell>
          <cell r="J2121" t="str">
            <v>Domestic</v>
          </cell>
          <cell r="K2121" t="str">
            <v>Sugar</v>
          </cell>
          <cell r="M2121" t="str">
            <v>End User</v>
          </cell>
          <cell r="O2121" t="str">
            <v>-</v>
          </cell>
          <cell r="P2121" t="str">
            <v>-</v>
          </cell>
          <cell r="Q2121" t="str">
            <v>-</v>
          </cell>
          <cell r="R2121" t="str">
            <v>-</v>
          </cell>
          <cell r="T2121" t="str">
            <v>-</v>
          </cell>
        </row>
        <row r="2122">
          <cell r="F2122" t="str">
            <v>HYDE01T055</v>
          </cell>
          <cell r="G2122" t="str">
            <v>THE SENIOR ACCOUNTS OFFICER</v>
          </cell>
          <cell r="H2122">
            <v>2015</v>
          </cell>
          <cell r="J2122" t="str">
            <v>Domestic</v>
          </cell>
          <cell r="K2122" t="str">
            <v>OTHERS</v>
          </cell>
          <cell r="L2122" t="str">
            <v>Non-Sugar</v>
          </cell>
          <cell r="M2122" t="str">
            <v>OEM</v>
          </cell>
          <cell r="O2122" t="str">
            <v>-</v>
          </cell>
          <cell r="P2122" t="str">
            <v>VA</v>
          </cell>
          <cell r="Q2122" t="str">
            <v>-</v>
          </cell>
          <cell r="T2122" t="str">
            <v>-</v>
          </cell>
          <cell r="U2122" t="str">
            <v>-</v>
          </cell>
          <cell r="W2122" t="str">
            <v>-</v>
          </cell>
        </row>
        <row r="2123">
          <cell r="F2123" t="str">
            <v>VIET01T103</v>
          </cell>
          <cell r="G2123" t="str">
            <v>THE SON LA SUGAR CANE JOINT STOCK COMPANY</v>
          </cell>
          <cell r="H2123" t="str">
            <v>-</v>
          </cell>
          <cell r="J2123" t="str">
            <v>Export</v>
          </cell>
          <cell r="K2123" t="str">
            <v>Sugar</v>
          </cell>
          <cell r="L2123" t="str">
            <v>Sugar</v>
          </cell>
          <cell r="M2123" t="str">
            <v>End User</v>
          </cell>
          <cell r="O2123" t="str">
            <v>-</v>
          </cell>
          <cell r="P2123" t="str">
            <v>VA</v>
          </cell>
          <cell r="Q2123" t="str">
            <v>VG</v>
          </cell>
          <cell r="T2123" t="str">
            <v>-</v>
          </cell>
          <cell r="U2123" t="str">
            <v>-</v>
          </cell>
          <cell r="W2123" t="str">
            <v>-</v>
          </cell>
        </row>
        <row r="2124">
          <cell r="F2124" t="str">
            <v>AMRI01T087</v>
          </cell>
          <cell r="G2124" t="str">
            <v>THE TARN TARAN CO-OPERATIVE SUGAR MILLS LTD.</v>
          </cell>
          <cell r="H2124">
            <v>2015</v>
          </cell>
          <cell r="J2124" t="str">
            <v>Domestic</v>
          </cell>
          <cell r="K2124" t="str">
            <v>Sugar</v>
          </cell>
          <cell r="L2124" t="str">
            <v>Sugar</v>
          </cell>
          <cell r="M2124" t="str">
            <v>End User</v>
          </cell>
          <cell r="O2124" t="str">
            <v>-</v>
          </cell>
          <cell r="P2124" t="str">
            <v>-</v>
          </cell>
          <cell r="Q2124" t="str">
            <v>-</v>
          </cell>
          <cell r="R2124" t="str">
            <v>-</v>
          </cell>
          <cell r="T2124" t="str">
            <v>-</v>
          </cell>
          <cell r="U2124" t="str">
            <v>-</v>
          </cell>
          <cell r="W2124" t="str">
            <v>-</v>
          </cell>
        </row>
        <row r="2125">
          <cell r="F2125" t="str">
            <v>VISH01T059</v>
          </cell>
          <cell r="G2125" t="str">
            <v>THE THANDAVA CO-OP.SUGARS LTD.</v>
          </cell>
          <cell r="H2125">
            <v>2013</v>
          </cell>
          <cell r="J2125" t="str">
            <v>Domestic</v>
          </cell>
          <cell r="K2125" t="str">
            <v>Sugar</v>
          </cell>
          <cell r="P2125" t="str">
            <v>SI-GS</v>
          </cell>
          <cell r="Q2125" t="str">
            <v>SI-GS</v>
          </cell>
          <cell r="W2125">
            <v>44964</v>
          </cell>
        </row>
        <row r="2126">
          <cell r="F2126" t="str">
            <v>VELL01T093</v>
          </cell>
          <cell r="G2126" t="str">
            <v>THE VELLORE SUGAR MILLS LTD.</v>
          </cell>
          <cell r="H2126" t="str">
            <v>-</v>
          </cell>
          <cell r="J2126" t="str">
            <v>Domestic</v>
          </cell>
          <cell r="K2126" t="str">
            <v>Sugar</v>
          </cell>
          <cell r="L2126" t="str">
            <v>Sugar</v>
          </cell>
          <cell r="M2126" t="str">
            <v>End User</v>
          </cell>
          <cell r="O2126" t="str">
            <v>-</v>
          </cell>
          <cell r="P2126" t="str">
            <v>-</v>
          </cell>
          <cell r="Q2126" t="str">
            <v>-</v>
          </cell>
          <cell r="R2126" t="str">
            <v>-</v>
          </cell>
          <cell r="T2126" t="str">
            <v>-</v>
          </cell>
          <cell r="U2126" t="str">
            <v>-</v>
          </cell>
          <cell r="W2126" t="str">
            <v>-</v>
          </cell>
        </row>
        <row r="2127">
          <cell r="F2127" t="str">
            <v>EROD01T140</v>
          </cell>
          <cell r="G2127" t="str">
            <v>THEERHA AGRO FOOD PRODUCTS</v>
          </cell>
          <cell r="H2127" t="str">
            <v>-</v>
          </cell>
          <cell r="J2127" t="str">
            <v>Domestic</v>
          </cell>
          <cell r="K2127" t="str">
            <v>-</v>
          </cell>
          <cell r="L2127" t="str">
            <v>Non-Sugar</v>
          </cell>
          <cell r="O2127" t="str">
            <v>-</v>
          </cell>
          <cell r="P2127" t="str">
            <v>-</v>
          </cell>
          <cell r="Q2127" t="str">
            <v>-</v>
          </cell>
          <cell r="R2127" t="str">
            <v>-</v>
          </cell>
          <cell r="T2127" t="str">
            <v>-</v>
          </cell>
          <cell r="U2127" t="str">
            <v>-</v>
          </cell>
          <cell r="W2127" t="str">
            <v>-</v>
          </cell>
        </row>
        <row r="2128">
          <cell r="F2128" t="str">
            <v>THNJ01T064</v>
          </cell>
          <cell r="G2128" t="str">
            <v>THIRU AROORAN SUGARS LIMITED</v>
          </cell>
          <cell r="H2128">
            <v>2013</v>
          </cell>
          <cell r="J2128" t="str">
            <v>Domestic</v>
          </cell>
          <cell r="K2128" t="str">
            <v>Sugar</v>
          </cell>
          <cell r="M2128" t="str">
            <v>End User</v>
          </cell>
          <cell r="P2128" t="str">
            <v>SI-GS</v>
          </cell>
          <cell r="Q2128" t="str">
            <v>SI-GS</v>
          </cell>
          <cell r="W2128">
            <v>45554</v>
          </cell>
        </row>
        <row r="2129">
          <cell r="F2129" t="str">
            <v>CUDD01T065</v>
          </cell>
          <cell r="G2129" t="str">
            <v>THIRU AROORAN SUGARS LTD. (A.CHITTUR)</v>
          </cell>
          <cell r="H2129">
            <v>2014</v>
          </cell>
          <cell r="J2129" t="str">
            <v>Domestic</v>
          </cell>
          <cell r="K2129" t="str">
            <v>Sugar</v>
          </cell>
          <cell r="P2129" t="str">
            <v>SI-GS</v>
          </cell>
          <cell r="Q2129" t="str">
            <v>SI-GS</v>
          </cell>
          <cell r="W2129">
            <v>45385</v>
          </cell>
        </row>
        <row r="2130">
          <cell r="F2130" t="str">
            <v>THAN01T153</v>
          </cell>
          <cell r="G2130" t="str">
            <v>THORAT FILTRATION</v>
          </cell>
          <cell r="H2130" t="str">
            <v>-</v>
          </cell>
          <cell r="J2130" t="str">
            <v>Domestic</v>
          </cell>
          <cell r="K2130" t="str">
            <v>-</v>
          </cell>
          <cell r="L2130" t="str">
            <v>Non-Sugar</v>
          </cell>
          <cell r="O2130" t="str">
            <v>-</v>
          </cell>
          <cell r="P2130" t="str">
            <v>-</v>
          </cell>
          <cell r="Q2130" t="str">
            <v>-</v>
          </cell>
          <cell r="R2130" t="str">
            <v>-</v>
          </cell>
          <cell r="T2130" t="str">
            <v>-</v>
          </cell>
          <cell r="U2130" t="str">
            <v>-</v>
          </cell>
          <cell r="W2130" t="str">
            <v>-</v>
          </cell>
        </row>
        <row r="2131">
          <cell r="F2131" t="str">
            <v>MUMB01T116</v>
          </cell>
          <cell r="G2131" t="str">
            <v>THORAT FILTRATION PVT LTD</v>
          </cell>
          <cell r="H2131" t="str">
            <v>-</v>
          </cell>
          <cell r="J2131" t="str">
            <v>Domestic</v>
          </cell>
          <cell r="K2131" t="str">
            <v>-</v>
          </cell>
          <cell r="L2131" t="str">
            <v>Non-Sugar</v>
          </cell>
          <cell r="O2131" t="str">
            <v>-</v>
          </cell>
          <cell r="P2131" t="str">
            <v>-</v>
          </cell>
          <cell r="Q2131" t="str">
            <v>-</v>
          </cell>
          <cell r="R2131" t="str">
            <v>-</v>
          </cell>
          <cell r="T2131" t="str">
            <v>-</v>
          </cell>
          <cell r="U2131" t="str">
            <v>-</v>
          </cell>
          <cell r="W2131" t="str">
            <v>-</v>
          </cell>
        </row>
        <row r="2132">
          <cell r="F2132" t="str">
            <v>PUNE01T066</v>
          </cell>
          <cell r="G2132" t="str">
            <v>THYSSENKRUPP INDUSTRIES INDIA PVT. LTD</v>
          </cell>
          <cell r="H2132">
            <v>2013</v>
          </cell>
          <cell r="J2132" t="str">
            <v>Domestic</v>
          </cell>
          <cell r="L2132" t="str">
            <v>Non-Sugar</v>
          </cell>
          <cell r="M2132" t="str">
            <v>OEM</v>
          </cell>
          <cell r="O2132" t="str">
            <v>-</v>
          </cell>
          <cell r="P2132" t="str">
            <v>MP</v>
          </cell>
          <cell r="Q2132" t="str">
            <v>-</v>
          </cell>
          <cell r="R2132" t="str">
            <v>-</v>
          </cell>
        </row>
        <row r="2133">
          <cell r="F2133" t="str">
            <v>MUZF01T143</v>
          </cell>
          <cell r="G2133" t="str">
            <v>TIKAULA SUGAR MILLS LTD.</v>
          </cell>
          <cell r="H2133" t="str">
            <v>-</v>
          </cell>
          <cell r="J2133" t="str">
            <v>Domestic</v>
          </cell>
          <cell r="K2133" t="str">
            <v>Sugar</v>
          </cell>
          <cell r="L2133" t="str">
            <v>Sugar</v>
          </cell>
          <cell r="M2133" t="str">
            <v>End User</v>
          </cell>
          <cell r="O2133" t="str">
            <v>-</v>
          </cell>
          <cell r="P2133" t="str">
            <v>-</v>
          </cell>
          <cell r="Q2133" t="str">
            <v>-</v>
          </cell>
          <cell r="R2133" t="str">
            <v>-</v>
          </cell>
          <cell r="T2133" t="str">
            <v>-</v>
          </cell>
          <cell r="U2133" t="str">
            <v>-</v>
          </cell>
          <cell r="W2133" t="str">
            <v>-</v>
          </cell>
        </row>
        <row r="2134">
          <cell r="F2134" t="str">
            <v>NODA01T161</v>
          </cell>
          <cell r="G2134" t="str">
            <v>TIRUMURTI FEEDS</v>
          </cell>
          <cell r="H2134" t="str">
            <v>-</v>
          </cell>
          <cell r="J2134" t="str">
            <v>Domestic</v>
          </cell>
          <cell r="K2134" t="str">
            <v>Cattlefeed</v>
          </cell>
          <cell r="L2134" t="str">
            <v>Non-Sugar</v>
          </cell>
          <cell r="M2134" t="str">
            <v>End User</v>
          </cell>
          <cell r="O2134" t="str">
            <v>-</v>
          </cell>
          <cell r="P2134" t="str">
            <v>-</v>
          </cell>
          <cell r="Q2134" t="str">
            <v>-</v>
          </cell>
          <cell r="R2134" t="str">
            <v>-</v>
          </cell>
          <cell r="T2134" t="str">
            <v>-</v>
          </cell>
          <cell r="U2134" t="str">
            <v>-</v>
          </cell>
          <cell r="W2134" t="str">
            <v>-</v>
          </cell>
        </row>
        <row r="2135">
          <cell r="F2135" t="str">
            <v>MUZF01T134</v>
          </cell>
          <cell r="G2135" t="str">
            <v>TIRUPATI BALAJI FIBRES LIMITED</v>
          </cell>
          <cell r="H2135" t="str">
            <v>19-20</v>
          </cell>
          <cell r="J2135" t="str">
            <v>Domestic</v>
          </cell>
          <cell r="K2135" t="str">
            <v>OTHERS</v>
          </cell>
          <cell r="L2135" t="str">
            <v>Non-Sugar</v>
          </cell>
          <cell r="M2135" t="str">
            <v>End User</v>
          </cell>
          <cell r="O2135" t="str">
            <v>-</v>
          </cell>
          <cell r="P2135" t="str">
            <v>HO</v>
          </cell>
          <cell r="Q2135" t="str">
            <v>HIMANSHU KUSHWAHA</v>
          </cell>
          <cell r="T2135" t="str">
            <v>-</v>
          </cell>
          <cell r="U2135" t="str">
            <v>20-21</v>
          </cell>
          <cell r="W2135">
            <v>44414</v>
          </cell>
        </row>
        <row r="2136">
          <cell r="F2136" t="str">
            <v>AGRA01T169</v>
          </cell>
          <cell r="G2136" t="str">
            <v>TIRUPATI ENTERPRISES</v>
          </cell>
          <cell r="H2136" t="str">
            <v>23-24</v>
          </cell>
          <cell r="J2136" t="str">
            <v>Domestic</v>
          </cell>
          <cell r="K2136" t="str">
            <v>OTHERS</v>
          </cell>
          <cell r="L2136" t="str">
            <v>Non-Sugar</v>
          </cell>
          <cell r="M2136" t="str">
            <v>End User</v>
          </cell>
          <cell r="O2136" t="str">
            <v>-</v>
          </cell>
          <cell r="P2136" t="str">
            <v>HO</v>
          </cell>
          <cell r="Q2136" t="str">
            <v>-</v>
          </cell>
          <cell r="T2136" t="str">
            <v>-</v>
          </cell>
          <cell r="U2136" t="str">
            <v>-</v>
          </cell>
          <cell r="W2136" t="str">
            <v>-</v>
          </cell>
        </row>
        <row r="2137">
          <cell r="F2137" t="str">
            <v>PUNE01T105</v>
          </cell>
          <cell r="G2137" t="str">
            <v>TOMSA DESTIL INDIA PVT. LTD.</v>
          </cell>
          <cell r="H2137">
            <v>2015</v>
          </cell>
          <cell r="J2137" t="str">
            <v>Domestic</v>
          </cell>
          <cell r="K2137" t="str">
            <v>Sugar</v>
          </cell>
          <cell r="M2137" t="str">
            <v>End User</v>
          </cell>
          <cell r="O2137" t="str">
            <v>-</v>
          </cell>
          <cell r="P2137" t="str">
            <v>-</v>
          </cell>
          <cell r="Q2137" t="str">
            <v>-</v>
          </cell>
          <cell r="R2137" t="str">
            <v>-</v>
          </cell>
          <cell r="T2137" t="str">
            <v>-</v>
          </cell>
          <cell r="W2137" t="str">
            <v>-</v>
          </cell>
        </row>
        <row r="2138">
          <cell r="F2138" t="str">
            <v>NANA01T106</v>
          </cell>
          <cell r="G2138" t="str">
            <v>TOP N TOWN</v>
          </cell>
          <cell r="H2138" t="str">
            <v>-</v>
          </cell>
          <cell r="J2138" t="str">
            <v>Domestic</v>
          </cell>
          <cell r="L2138" t="str">
            <v>Non-Sugar</v>
          </cell>
          <cell r="O2138" t="str">
            <v>-</v>
          </cell>
          <cell r="P2138" t="str">
            <v>-</v>
          </cell>
          <cell r="Q2138" t="str">
            <v>-</v>
          </cell>
        </row>
        <row r="2139">
          <cell r="F2139" t="str">
            <v>NANA01T091</v>
          </cell>
          <cell r="G2139" t="str">
            <v>TOSHNIWAL</v>
          </cell>
          <cell r="H2139" t="str">
            <v>-</v>
          </cell>
          <cell r="J2139" t="str">
            <v>Domestic</v>
          </cell>
          <cell r="L2139" t="str">
            <v>Non-Sugar</v>
          </cell>
          <cell r="O2139" t="str">
            <v>-</v>
          </cell>
          <cell r="P2139" t="str">
            <v>-</v>
          </cell>
          <cell r="Q2139" t="str">
            <v>-</v>
          </cell>
        </row>
        <row r="2140">
          <cell r="F2140" t="str">
            <v>CHEN01T089</v>
          </cell>
          <cell r="G2140" t="str">
            <v>TOSHNIWAL CONSULANTS</v>
          </cell>
          <cell r="H2140" t="str">
            <v>-</v>
          </cell>
          <cell r="J2140" t="str">
            <v>Domestic</v>
          </cell>
          <cell r="K2140" t="str">
            <v>-</v>
          </cell>
          <cell r="L2140" t="str">
            <v>Non-Sugar</v>
          </cell>
          <cell r="O2140" t="str">
            <v>-</v>
          </cell>
          <cell r="P2140" t="str">
            <v>-</v>
          </cell>
          <cell r="Q2140" t="str">
            <v>-</v>
          </cell>
          <cell r="R2140" t="str">
            <v>-</v>
          </cell>
          <cell r="T2140" t="str">
            <v>-</v>
          </cell>
          <cell r="U2140" t="str">
            <v>-</v>
          </cell>
          <cell r="W2140" t="str">
            <v>-</v>
          </cell>
        </row>
        <row r="2141">
          <cell r="F2141" t="str">
            <v>HOCH01T127</v>
          </cell>
          <cell r="G2141" t="str">
            <v>TRA VINH SUGAR JOINT STOCK COMPANY</v>
          </cell>
          <cell r="H2141">
            <v>2017</v>
          </cell>
          <cell r="J2141" t="str">
            <v>Export</v>
          </cell>
          <cell r="K2141" t="str">
            <v>Sugar</v>
          </cell>
          <cell r="L2141" t="str">
            <v>Sugar</v>
          </cell>
          <cell r="M2141" t="str">
            <v>End User</v>
          </cell>
          <cell r="O2141" t="str">
            <v>-</v>
          </cell>
          <cell r="P2141" t="str">
            <v>-</v>
          </cell>
          <cell r="Q2141" t="str">
            <v>-</v>
          </cell>
          <cell r="R2141" t="str">
            <v>-</v>
          </cell>
          <cell r="T2141" t="str">
            <v>-</v>
          </cell>
          <cell r="U2141" t="str">
            <v>-</v>
          </cell>
          <cell r="W2141" t="str">
            <v>-</v>
          </cell>
        </row>
        <row r="2142">
          <cell r="F2142" t="str">
            <v>CHEN01T165</v>
          </cell>
          <cell r="G2142" t="str">
            <v>TRACK DESIGN INDIA</v>
          </cell>
          <cell r="H2142" t="str">
            <v>-</v>
          </cell>
          <cell r="J2142" t="str">
            <v>Domestic</v>
          </cell>
          <cell r="K2142" t="str">
            <v>-</v>
          </cell>
          <cell r="L2142" t="str">
            <v>Non-Sugar</v>
          </cell>
          <cell r="O2142" t="str">
            <v>-</v>
          </cell>
          <cell r="P2142" t="str">
            <v>-</v>
          </cell>
          <cell r="Q2142" t="str">
            <v>-</v>
          </cell>
          <cell r="R2142" t="str">
            <v>-</v>
          </cell>
          <cell r="T2142" t="str">
            <v>-</v>
          </cell>
          <cell r="U2142" t="str">
            <v>-</v>
          </cell>
          <cell r="W2142" t="str">
            <v>-</v>
          </cell>
        </row>
        <row r="2143">
          <cell r="F2143" t="str">
            <v>T069</v>
          </cell>
          <cell r="G2143" t="str">
            <v>TRICHY DISTILLERIES AND CHEMICALS LIMITED</v>
          </cell>
          <cell r="H2143" t="str">
            <v>-</v>
          </cell>
          <cell r="J2143" t="str">
            <v>Domestic</v>
          </cell>
          <cell r="K2143" t="str">
            <v>Others</v>
          </cell>
          <cell r="L2143" t="str">
            <v>Non-Sugar</v>
          </cell>
          <cell r="P2143" t="str">
            <v>SI-GS</v>
          </cell>
          <cell r="Q2143" t="str">
            <v>SI-GS</v>
          </cell>
          <cell r="W2143" t="str">
            <v>-</v>
          </cell>
        </row>
        <row r="2144">
          <cell r="F2144" t="str">
            <v>MEDA01T070</v>
          </cell>
          <cell r="G2144" t="str">
            <v>TRIDENT SUGARS LIMITED</v>
          </cell>
          <cell r="H2144">
            <v>2013</v>
          </cell>
          <cell r="J2144" t="str">
            <v>Domestic</v>
          </cell>
          <cell r="K2144" t="str">
            <v>Sugar</v>
          </cell>
          <cell r="P2144" t="str">
            <v>SI-GS</v>
          </cell>
          <cell r="Q2144" t="str">
            <v>SI-GS</v>
          </cell>
          <cell r="W2144">
            <v>45009</v>
          </cell>
        </row>
        <row r="2145">
          <cell r="F2145" t="str">
            <v>SOLP01T143</v>
          </cell>
          <cell r="G2145" t="str">
            <v>TRIMUKHI LOGISTICS</v>
          </cell>
          <cell r="H2145" t="str">
            <v>-</v>
          </cell>
          <cell r="J2145" t="str">
            <v>Domestic</v>
          </cell>
          <cell r="K2145" t="str">
            <v>-</v>
          </cell>
          <cell r="L2145" t="str">
            <v>Non-Sugar</v>
          </cell>
          <cell r="O2145" t="str">
            <v>-</v>
          </cell>
          <cell r="P2145" t="str">
            <v>-</v>
          </cell>
          <cell r="Q2145" t="str">
            <v>-</v>
          </cell>
          <cell r="R2145" t="str">
            <v>-</v>
          </cell>
          <cell r="T2145" t="str">
            <v>-</v>
          </cell>
          <cell r="U2145" t="str">
            <v>-</v>
          </cell>
          <cell r="W2145" t="str">
            <v>-</v>
          </cell>
        </row>
        <row r="2146">
          <cell r="F2146" t="str">
            <v>PUNE01T071</v>
          </cell>
          <cell r="G2146" t="str">
            <v>TRIO-CHEM SUCROTECH - ENGINEERING &amp; PROJECTS PVT.LTD</v>
          </cell>
          <cell r="H2146">
            <v>2024</v>
          </cell>
          <cell r="J2146" t="str">
            <v>Domestic</v>
          </cell>
          <cell r="K2146" t="str">
            <v>others</v>
          </cell>
          <cell r="L2146" t="str">
            <v>Non-Sugar</v>
          </cell>
          <cell r="M2146" t="str">
            <v>OEM</v>
          </cell>
          <cell r="O2146" t="str">
            <v>-</v>
          </cell>
          <cell r="P2146" t="str">
            <v>-</v>
          </cell>
          <cell r="Q2146" t="str">
            <v>-</v>
          </cell>
          <cell r="R2146" t="str">
            <v>-</v>
          </cell>
          <cell r="T2146" t="str">
            <v>-</v>
          </cell>
          <cell r="W2146" t="str">
            <v>-</v>
          </cell>
        </row>
        <row r="2147">
          <cell r="F2147" t="str">
            <v>GHZB01T160</v>
          </cell>
          <cell r="G2147" t="str">
            <v>TRITY ENVIRO SOLUTION</v>
          </cell>
          <cell r="H2147" t="str">
            <v>-</v>
          </cell>
          <cell r="J2147" t="str">
            <v>Domestic</v>
          </cell>
          <cell r="K2147" t="str">
            <v>-</v>
          </cell>
          <cell r="L2147" t="str">
            <v>Non-Sugar</v>
          </cell>
          <cell r="O2147" t="str">
            <v>-</v>
          </cell>
          <cell r="P2147" t="str">
            <v>-</v>
          </cell>
          <cell r="Q2147" t="str">
            <v>-</v>
          </cell>
          <cell r="R2147" t="str">
            <v>-</v>
          </cell>
          <cell r="T2147" t="str">
            <v>-</v>
          </cell>
          <cell r="U2147" t="str">
            <v>-</v>
          </cell>
          <cell r="W2147" t="str">
            <v>-</v>
          </cell>
        </row>
        <row r="2148">
          <cell r="F2148" t="str">
            <v>NODA01T112</v>
          </cell>
          <cell r="G2148" t="str">
            <v>TRIVEN ENGG &amp; INDS LTD</v>
          </cell>
          <cell r="H2148" t="str">
            <v>-</v>
          </cell>
          <cell r="J2148" t="str">
            <v>Domestic</v>
          </cell>
          <cell r="K2148" t="str">
            <v>-</v>
          </cell>
          <cell r="L2148" t="str">
            <v>Non-Sugar</v>
          </cell>
          <cell r="O2148" t="str">
            <v>-</v>
          </cell>
          <cell r="P2148" t="str">
            <v>-</v>
          </cell>
          <cell r="Q2148" t="str">
            <v>-</v>
          </cell>
          <cell r="R2148" t="str">
            <v>-</v>
          </cell>
          <cell r="T2148" t="str">
            <v>-</v>
          </cell>
          <cell r="U2148" t="str">
            <v>-</v>
          </cell>
          <cell r="W2148" t="str">
            <v>-</v>
          </cell>
        </row>
        <row r="2149">
          <cell r="F2149" t="str">
            <v>MUZF01T115</v>
          </cell>
          <cell r="G2149" t="str">
            <v>TRIVEN ENGINEERING &amp; INDUSTRIES LTD</v>
          </cell>
          <cell r="H2149" t="str">
            <v>-</v>
          </cell>
          <cell r="J2149" t="str">
            <v>Domestic</v>
          </cell>
          <cell r="K2149" t="str">
            <v>-</v>
          </cell>
          <cell r="L2149" t="str">
            <v>Non-Sugar</v>
          </cell>
          <cell r="O2149" t="str">
            <v>-</v>
          </cell>
          <cell r="P2149" t="str">
            <v>-</v>
          </cell>
          <cell r="Q2149" t="str">
            <v>-</v>
          </cell>
          <cell r="R2149" t="str">
            <v>-</v>
          </cell>
          <cell r="T2149" t="str">
            <v>-</v>
          </cell>
          <cell r="U2149" t="str">
            <v>-</v>
          </cell>
          <cell r="W2149" t="str">
            <v>-</v>
          </cell>
        </row>
        <row r="2150">
          <cell r="F2150" t="str">
            <v>NODA01T092</v>
          </cell>
          <cell r="G2150" t="str">
            <v>TRIVENI ENGG &amp; INDS LTD</v>
          </cell>
          <cell r="H2150" t="str">
            <v>-</v>
          </cell>
          <cell r="J2150" t="str">
            <v>Domestic</v>
          </cell>
          <cell r="K2150" t="str">
            <v>-</v>
          </cell>
          <cell r="L2150" t="str">
            <v>Non-Sugar</v>
          </cell>
          <cell r="O2150" t="str">
            <v>-</v>
          </cell>
          <cell r="P2150" t="str">
            <v>-</v>
          </cell>
          <cell r="Q2150" t="str">
            <v>-</v>
          </cell>
          <cell r="R2150" t="str">
            <v>-</v>
          </cell>
          <cell r="T2150" t="str">
            <v>-</v>
          </cell>
          <cell r="U2150" t="str">
            <v>-</v>
          </cell>
          <cell r="W2150" t="str">
            <v>-</v>
          </cell>
        </row>
        <row r="2151">
          <cell r="F2151" t="str">
            <v>NODA01T164</v>
          </cell>
          <cell r="G2151" t="str">
            <v>TRUSTABLE FOODS INDIA PVT LTD</v>
          </cell>
          <cell r="H2151" t="str">
            <v>-</v>
          </cell>
          <cell r="J2151" t="str">
            <v>Domestic</v>
          </cell>
          <cell r="K2151" t="str">
            <v>-</v>
          </cell>
          <cell r="L2151" t="str">
            <v>Non-Sugar</v>
          </cell>
          <cell r="O2151" t="str">
            <v>-</v>
          </cell>
          <cell r="P2151" t="str">
            <v>-</v>
          </cell>
          <cell r="Q2151" t="str">
            <v>-</v>
          </cell>
          <cell r="R2151" t="str">
            <v>-</v>
          </cell>
          <cell r="T2151" t="str">
            <v>-</v>
          </cell>
          <cell r="U2151" t="str">
            <v>-</v>
          </cell>
          <cell r="W2151" t="str">
            <v>-</v>
          </cell>
        </row>
        <row r="2152">
          <cell r="F2152" t="str">
            <v>HARD01T154</v>
          </cell>
          <cell r="G2152" t="str">
            <v>TRUSTABLE FOOD INDIA PVT LTD</v>
          </cell>
          <cell r="H2152" t="str">
            <v>-</v>
          </cell>
          <cell r="J2152" t="str">
            <v>Domestic</v>
          </cell>
          <cell r="K2152" t="str">
            <v>-</v>
          </cell>
          <cell r="L2152" t="str">
            <v>Non-Sugar</v>
          </cell>
          <cell r="O2152" t="str">
            <v>-</v>
          </cell>
          <cell r="P2152" t="str">
            <v>-</v>
          </cell>
          <cell r="Q2152" t="str">
            <v>-</v>
          </cell>
          <cell r="R2152" t="str">
            <v>-</v>
          </cell>
          <cell r="T2152" t="str">
            <v>-</v>
          </cell>
          <cell r="U2152" t="str">
            <v>-</v>
          </cell>
          <cell r="W2152" t="str">
            <v>-</v>
          </cell>
        </row>
        <row r="2153">
          <cell r="F2153" t="str">
            <v>NANA01T107</v>
          </cell>
          <cell r="G2153" t="str">
            <v>TUMACO SUGAR MILLS</v>
          </cell>
          <cell r="H2153" t="str">
            <v>-</v>
          </cell>
          <cell r="J2153" t="str">
            <v>Export</v>
          </cell>
          <cell r="K2153" t="str">
            <v>OTHERS</v>
          </cell>
          <cell r="L2153" t="str">
            <v>Non-Sugar</v>
          </cell>
          <cell r="M2153" t="str">
            <v>End User</v>
          </cell>
          <cell r="O2153" t="str">
            <v>-</v>
          </cell>
          <cell r="P2153" t="str">
            <v>VA</v>
          </cell>
          <cell r="Q2153" t="str">
            <v>ANKUR</v>
          </cell>
        </row>
        <row r="2154">
          <cell r="F2154" t="str">
            <v>DUBA01T152</v>
          </cell>
          <cell r="G2154" t="str">
            <v>TUNISIAN SAUDI CO.LTD EPPM GROUP</v>
          </cell>
          <cell r="H2154" t="str">
            <v>-</v>
          </cell>
          <cell r="J2154" t="str">
            <v>Export</v>
          </cell>
          <cell r="K2154" t="str">
            <v>-</v>
          </cell>
          <cell r="L2154" t="str">
            <v>Non-Sugar</v>
          </cell>
          <cell r="O2154" t="str">
            <v>-</v>
          </cell>
          <cell r="P2154" t="str">
            <v>-</v>
          </cell>
          <cell r="Q2154" t="str">
            <v>-</v>
          </cell>
          <cell r="R2154" t="str">
            <v>-</v>
          </cell>
          <cell r="T2154" t="str">
            <v>-</v>
          </cell>
          <cell r="U2154" t="str">
            <v>-</v>
          </cell>
          <cell r="W2154" t="str">
            <v>-</v>
          </cell>
        </row>
        <row r="2155">
          <cell r="F2155" t="str">
            <v>JAIP01U047</v>
          </cell>
          <cell r="G2155" t="str">
            <v>ULTRATECH CEMENT</v>
          </cell>
          <cell r="H2155" t="str">
            <v>-</v>
          </cell>
          <cell r="J2155" t="str">
            <v>Domestic</v>
          </cell>
          <cell r="K2155" t="str">
            <v>-</v>
          </cell>
          <cell r="L2155" t="str">
            <v>Non-Sugar</v>
          </cell>
          <cell r="O2155" t="str">
            <v>-</v>
          </cell>
          <cell r="P2155" t="str">
            <v>-</v>
          </cell>
          <cell r="Q2155" t="str">
            <v>-</v>
          </cell>
          <cell r="R2155" t="str">
            <v>-</v>
          </cell>
          <cell r="T2155" t="str">
            <v>-</v>
          </cell>
          <cell r="U2155" t="str">
            <v>-</v>
          </cell>
          <cell r="W2155" t="str">
            <v>-</v>
          </cell>
        </row>
        <row r="2156">
          <cell r="F2156" t="str">
            <v>DLHI01U045</v>
          </cell>
          <cell r="G2156" t="str">
            <v>UNEXO LABORATORIES PVT LTD</v>
          </cell>
          <cell r="H2156" t="str">
            <v>-</v>
          </cell>
          <cell r="J2156" t="str">
            <v>Domestic</v>
          </cell>
          <cell r="K2156" t="str">
            <v>-</v>
          </cell>
          <cell r="L2156" t="str">
            <v>Non-Sugar</v>
          </cell>
          <cell r="O2156" t="str">
            <v>-</v>
          </cell>
          <cell r="P2156" t="str">
            <v>-</v>
          </cell>
          <cell r="Q2156" t="str">
            <v>-</v>
          </cell>
          <cell r="R2156" t="str">
            <v>-</v>
          </cell>
          <cell r="T2156" t="str">
            <v>-</v>
          </cell>
          <cell r="U2156" t="str">
            <v>-</v>
          </cell>
          <cell r="W2156" t="str">
            <v>-</v>
          </cell>
        </row>
        <row r="2157">
          <cell r="F2157" t="str">
            <v>GHZB01U013</v>
          </cell>
          <cell r="G2157" t="str">
            <v>UNIFAB ENTERPRISES</v>
          </cell>
          <cell r="H2157">
            <v>2015</v>
          </cell>
          <cell r="J2157" t="str">
            <v>Domestic</v>
          </cell>
          <cell r="K2157" t="str">
            <v>-</v>
          </cell>
          <cell r="L2157" t="str">
            <v>Non-Sugar</v>
          </cell>
          <cell r="O2157" t="str">
            <v>-</v>
          </cell>
          <cell r="P2157" t="str">
            <v>-</v>
          </cell>
          <cell r="Q2157" t="str">
            <v>-</v>
          </cell>
          <cell r="R2157" t="str">
            <v>-</v>
          </cell>
          <cell r="T2157" t="str">
            <v>-</v>
          </cell>
          <cell r="U2157" t="str">
            <v>-</v>
          </cell>
          <cell r="W2157" t="str">
            <v>-</v>
          </cell>
        </row>
        <row r="2158">
          <cell r="F2158" t="str">
            <v>DLHI01U010</v>
          </cell>
          <cell r="G2158" t="str">
            <v>UNIFLOW MARKETING</v>
          </cell>
          <cell r="H2158">
            <v>2014</v>
          </cell>
          <cell r="J2158" t="str">
            <v>Domestic</v>
          </cell>
          <cell r="K2158" t="str">
            <v>-</v>
          </cell>
          <cell r="L2158" t="str">
            <v>Non-Sugar</v>
          </cell>
          <cell r="O2158" t="str">
            <v>-</v>
          </cell>
          <cell r="P2158" t="str">
            <v>-</v>
          </cell>
          <cell r="Q2158" t="str">
            <v>-</v>
          </cell>
          <cell r="R2158" t="str">
            <v>-</v>
          </cell>
          <cell r="T2158" t="str">
            <v>-</v>
          </cell>
          <cell r="U2158" t="str">
            <v>-</v>
          </cell>
          <cell r="W2158" t="str">
            <v>-</v>
          </cell>
        </row>
        <row r="2159">
          <cell r="F2159" t="str">
            <v>MUMB01U002</v>
          </cell>
          <cell r="G2159" t="str">
            <v>UNION ENTERPRISE PVT. LTD.</v>
          </cell>
          <cell r="H2159" t="str">
            <v>-</v>
          </cell>
          <cell r="J2159" t="str">
            <v>Domestic</v>
          </cell>
          <cell r="P2159" t="str">
            <v>LGP</v>
          </cell>
          <cell r="Q2159" t="str">
            <v>-</v>
          </cell>
        </row>
        <row r="2160">
          <cell r="F2160" t="str">
            <v>MUMB01U041</v>
          </cell>
          <cell r="G2160" t="str">
            <v>UNIPHOS INTERNATIONAL LIMITED</v>
          </cell>
          <cell r="H2160" t="str">
            <v>-</v>
          </cell>
          <cell r="J2160" t="str">
            <v>Domestic</v>
          </cell>
          <cell r="K2160" t="str">
            <v>-</v>
          </cell>
          <cell r="L2160" t="str">
            <v>Non-Sugar</v>
          </cell>
          <cell r="O2160" t="str">
            <v>-</v>
          </cell>
          <cell r="P2160" t="str">
            <v>-</v>
          </cell>
          <cell r="Q2160" t="str">
            <v>-</v>
          </cell>
          <cell r="R2160" t="str">
            <v>-</v>
          </cell>
          <cell r="T2160" t="str">
            <v>-</v>
          </cell>
          <cell r="U2160" t="str">
            <v>-</v>
          </cell>
          <cell r="W2160" t="str">
            <v>-</v>
          </cell>
        </row>
        <row r="2161">
          <cell r="F2161" t="str">
            <v>BAGL01U057</v>
          </cell>
          <cell r="G2161" t="str">
            <v>UNIT 2 SSPSL (formerly SHRI SAI PRIYA SUGAR LTD.) nirani</v>
          </cell>
          <cell r="H2161">
            <v>2014</v>
          </cell>
          <cell r="J2161" t="str">
            <v>Domestic</v>
          </cell>
          <cell r="K2161" t="str">
            <v>Sugar</v>
          </cell>
          <cell r="M2161" t="str">
            <v>End User</v>
          </cell>
          <cell r="O2161" t="str">
            <v>Sugar 15000
Distillery 600 KLPD</v>
          </cell>
          <cell r="P2161" t="str">
            <v>AV</v>
          </cell>
          <cell r="Q2161" t="str">
            <v>AV</v>
          </cell>
          <cell r="R2161" t="str">
            <v>VG</v>
          </cell>
          <cell r="T2161" t="str">
            <v>TOUR-2 (MUDHOL)</v>
          </cell>
          <cell r="U2161" t="str">
            <v>24-25</v>
          </cell>
          <cell r="W2161" t="str">
            <v>26/02/2025
29-03-2023
09-10-2022</v>
          </cell>
        </row>
        <row r="2162">
          <cell r="F2162" t="str">
            <v>NANA01U012</v>
          </cell>
          <cell r="G2162" t="str">
            <v>UNITED ARAB EMIRATES</v>
          </cell>
          <cell r="H2162" t="str">
            <v>-</v>
          </cell>
          <cell r="J2162" t="str">
            <v>Export</v>
          </cell>
          <cell r="L2162" t="str">
            <v>Non-Sugar</v>
          </cell>
          <cell r="O2162" t="str">
            <v>-</v>
          </cell>
          <cell r="P2162" t="str">
            <v>-</v>
          </cell>
          <cell r="Q2162" t="str">
            <v>-</v>
          </cell>
        </row>
        <row r="2163">
          <cell r="F2163" t="str">
            <v>BHOP01U020</v>
          </cell>
          <cell r="G2163" t="str">
            <v>UNITED INDIA ENTERPRISES</v>
          </cell>
          <cell r="H2163" t="str">
            <v>-</v>
          </cell>
          <cell r="J2163" t="str">
            <v>Domestic</v>
          </cell>
          <cell r="K2163" t="str">
            <v>-</v>
          </cell>
          <cell r="L2163" t="str">
            <v>Non-Sugar</v>
          </cell>
          <cell r="O2163" t="str">
            <v>-</v>
          </cell>
          <cell r="P2163" t="str">
            <v>-</v>
          </cell>
          <cell r="Q2163" t="str">
            <v>-</v>
          </cell>
          <cell r="R2163" t="str">
            <v>-</v>
          </cell>
          <cell r="T2163" t="str">
            <v>-</v>
          </cell>
          <cell r="U2163" t="str">
            <v>-</v>
          </cell>
          <cell r="W2163" t="str">
            <v>-</v>
          </cell>
        </row>
        <row r="2164">
          <cell r="F2164" t="str">
            <v>PUNE01U046</v>
          </cell>
          <cell r="G2164" t="str">
            <v>UNITOP AQUACARE</v>
          </cell>
          <cell r="H2164" t="str">
            <v>-</v>
          </cell>
          <cell r="J2164" t="str">
            <v>Domestic</v>
          </cell>
          <cell r="K2164" t="str">
            <v>-</v>
          </cell>
          <cell r="L2164" t="str">
            <v>Non-Sugar</v>
          </cell>
          <cell r="O2164" t="str">
            <v>-</v>
          </cell>
          <cell r="P2164" t="str">
            <v>-</v>
          </cell>
          <cell r="Q2164" t="str">
            <v>-</v>
          </cell>
          <cell r="R2164" t="str">
            <v>-</v>
          </cell>
          <cell r="T2164" t="str">
            <v>-</v>
          </cell>
          <cell r="U2164" t="str">
            <v>-</v>
          </cell>
          <cell r="W2164" t="str">
            <v>-</v>
          </cell>
        </row>
        <row r="2165">
          <cell r="F2165" t="str">
            <v>ANKL01U031</v>
          </cell>
          <cell r="G2165" t="str">
            <v>UNITY GYPTECH PRODUCTS</v>
          </cell>
          <cell r="H2165" t="str">
            <v>20-21</v>
          </cell>
          <cell r="J2165" t="str">
            <v>Domestic</v>
          </cell>
          <cell r="K2165" t="str">
            <v>-</v>
          </cell>
          <cell r="L2165" t="str">
            <v>Non-Sugar</v>
          </cell>
          <cell r="M2165" t="str">
            <v>End User</v>
          </cell>
          <cell r="O2165" t="str">
            <v>-</v>
          </cell>
          <cell r="P2165" t="str">
            <v>-</v>
          </cell>
          <cell r="Q2165" t="str">
            <v>-</v>
          </cell>
          <cell r="R2165" t="str">
            <v>-</v>
          </cell>
          <cell r="T2165" t="str">
            <v>-</v>
          </cell>
          <cell r="U2165" t="str">
            <v>-</v>
          </cell>
          <cell r="W2165" t="str">
            <v>-</v>
          </cell>
        </row>
        <row r="2166">
          <cell r="F2166" t="str">
            <v>KUTC01U014</v>
          </cell>
          <cell r="G2166" t="str">
            <v>UNIWORLD SUGARS LTD</v>
          </cell>
          <cell r="H2166" t="str">
            <v>-</v>
          </cell>
          <cell r="J2166" t="str">
            <v>Domestic</v>
          </cell>
          <cell r="K2166" t="str">
            <v>Sugar</v>
          </cell>
          <cell r="L2166" t="str">
            <v>Sugar</v>
          </cell>
          <cell r="M2166" t="str">
            <v>End User</v>
          </cell>
          <cell r="O2166" t="str">
            <v>-</v>
          </cell>
          <cell r="P2166" t="str">
            <v>-</v>
          </cell>
          <cell r="Q2166" t="str">
            <v>-</v>
          </cell>
          <cell r="R2166" t="str">
            <v>-</v>
          </cell>
          <cell r="T2166" t="str">
            <v>-</v>
          </cell>
          <cell r="U2166" t="str">
            <v>-</v>
          </cell>
          <cell r="W2166" t="str">
            <v>-</v>
          </cell>
        </row>
        <row r="2167">
          <cell r="F2167" t="str">
            <v>SEOH01U019</v>
          </cell>
          <cell r="G2167" t="str">
            <v>UPPER GANGES SUGAR &amp; IND. LTD (Renamed to Avadh sugars Seohara)</v>
          </cell>
          <cell r="H2167" t="str">
            <v>-</v>
          </cell>
          <cell r="J2167" t="str">
            <v>Domestic</v>
          </cell>
          <cell r="K2167" t="str">
            <v>Sugar</v>
          </cell>
          <cell r="L2167" t="str">
            <v>Sugar</v>
          </cell>
          <cell r="M2167" t="str">
            <v>End User</v>
          </cell>
          <cell r="O2167" t="str">
            <v>-</v>
          </cell>
          <cell r="P2167" t="str">
            <v>-</v>
          </cell>
          <cell r="Q2167" t="str">
            <v>-</v>
          </cell>
          <cell r="R2167" t="str">
            <v>-</v>
          </cell>
          <cell r="T2167" t="str">
            <v>-</v>
          </cell>
          <cell r="U2167" t="str">
            <v>-</v>
          </cell>
          <cell r="W2167" t="str">
            <v>-</v>
          </cell>
        </row>
        <row r="2168">
          <cell r="F2168" t="str">
            <v>NARS01U048</v>
          </cell>
          <cell r="G2168" t="str">
            <v>URANIUM CORPORATION OF INDIA LTD</v>
          </cell>
          <cell r="H2168" t="str">
            <v>-</v>
          </cell>
          <cell r="J2168" t="str">
            <v>Domestic</v>
          </cell>
          <cell r="K2168" t="str">
            <v>-</v>
          </cell>
          <cell r="L2168" t="str">
            <v>Non-Sugar</v>
          </cell>
          <cell r="O2168" t="str">
            <v>-</v>
          </cell>
          <cell r="P2168" t="str">
            <v>-</v>
          </cell>
          <cell r="Q2168" t="str">
            <v>-</v>
          </cell>
          <cell r="R2168" t="str">
            <v>-</v>
          </cell>
          <cell r="T2168" t="str">
            <v>-</v>
          </cell>
          <cell r="U2168" t="str">
            <v>-</v>
          </cell>
          <cell r="W2168" t="str">
            <v>-</v>
          </cell>
        </row>
        <row r="2169">
          <cell r="F2169" t="str">
            <v>JAIP01U033</v>
          </cell>
          <cell r="G2169" t="str">
            <v>URANIUM CORPORATION OF INDIA LTD</v>
          </cell>
          <cell r="H2169" t="str">
            <v>-</v>
          </cell>
          <cell r="J2169" t="str">
            <v>Domestic</v>
          </cell>
          <cell r="K2169" t="str">
            <v>-</v>
          </cell>
          <cell r="L2169" t="str">
            <v>Non-Sugar</v>
          </cell>
          <cell r="O2169" t="str">
            <v>-</v>
          </cell>
          <cell r="P2169" t="str">
            <v>-</v>
          </cell>
          <cell r="Q2169" t="str">
            <v>-</v>
          </cell>
          <cell r="R2169" t="str">
            <v>-</v>
          </cell>
          <cell r="T2169" t="str">
            <v>-</v>
          </cell>
          <cell r="U2169" t="str">
            <v>-</v>
          </cell>
          <cell r="W2169" t="str">
            <v>-</v>
          </cell>
        </row>
        <row r="2170">
          <cell r="F2170" t="str">
            <v>ALWR01L002</v>
          </cell>
          <cell r="G2170" t="str">
            <v>USG BORAL BUILDING PRODUCTS (INDIA) PVT. LTD.</v>
          </cell>
          <cell r="H2170">
            <v>2016</v>
          </cell>
          <cell r="J2170" t="str">
            <v>Domestic</v>
          </cell>
          <cell r="K2170" t="str">
            <v>-</v>
          </cell>
          <cell r="L2170" t="str">
            <v>Non-Sugar</v>
          </cell>
          <cell r="O2170" t="str">
            <v>-</v>
          </cell>
          <cell r="P2170" t="str">
            <v>-</v>
          </cell>
          <cell r="Q2170" t="str">
            <v>-</v>
          </cell>
          <cell r="R2170" t="str">
            <v>-</v>
          </cell>
          <cell r="T2170" t="str">
            <v>-</v>
          </cell>
          <cell r="U2170" t="str">
            <v>-</v>
          </cell>
          <cell r="W2170" t="str">
            <v>-</v>
          </cell>
        </row>
        <row r="2171">
          <cell r="F2171" t="str">
            <v>KANP01U043</v>
          </cell>
          <cell r="G2171" t="str">
            <v>UT ENVIRO TECH SYESTEM</v>
          </cell>
          <cell r="H2171" t="str">
            <v>-</v>
          </cell>
          <cell r="J2171" t="str">
            <v>Domestic</v>
          </cell>
          <cell r="K2171" t="str">
            <v>-</v>
          </cell>
          <cell r="L2171" t="str">
            <v>Non-Sugar</v>
          </cell>
          <cell r="O2171" t="str">
            <v>-</v>
          </cell>
          <cell r="P2171" t="str">
            <v>-</v>
          </cell>
          <cell r="Q2171" t="str">
            <v>-</v>
          </cell>
          <cell r="R2171" t="str">
            <v>-</v>
          </cell>
          <cell r="T2171" t="str">
            <v>-</v>
          </cell>
          <cell r="U2171" t="str">
            <v>-</v>
          </cell>
          <cell r="W2171" t="str">
            <v>-</v>
          </cell>
        </row>
        <row r="2172">
          <cell r="F2172" t="str">
            <v>PUNE01U004</v>
          </cell>
          <cell r="G2172" t="str">
            <v>UTECH ENGINEERING WORKS - (INDIA) PVT. LTD</v>
          </cell>
          <cell r="H2172" t="str">
            <v>-</v>
          </cell>
          <cell r="J2172" t="str">
            <v>Domestic</v>
          </cell>
          <cell r="P2172" t="str">
            <v>LGP</v>
          </cell>
          <cell r="Q2172" t="str">
            <v>-</v>
          </cell>
        </row>
        <row r="2173">
          <cell r="F2173" t="str">
            <v>SUIT01U016</v>
          </cell>
          <cell r="G2173" t="str">
            <v>UTILECOá MIDDLE EAST</v>
          </cell>
          <cell r="H2173" t="str">
            <v>-</v>
          </cell>
          <cell r="J2173" t="str">
            <v>Export</v>
          </cell>
          <cell r="K2173" t="str">
            <v>-</v>
          </cell>
          <cell r="L2173" t="str">
            <v>Non-Sugar</v>
          </cell>
          <cell r="O2173" t="str">
            <v>-</v>
          </cell>
          <cell r="P2173" t="str">
            <v>-</v>
          </cell>
          <cell r="Q2173" t="str">
            <v>-</v>
          </cell>
          <cell r="R2173" t="str">
            <v>-</v>
          </cell>
          <cell r="T2173" t="str">
            <v>-</v>
          </cell>
          <cell r="U2173" t="str">
            <v>-</v>
          </cell>
          <cell r="W2173" t="str">
            <v>-</v>
          </cell>
        </row>
        <row r="2174">
          <cell r="F2174" t="str">
            <v>SURA01U039</v>
          </cell>
          <cell r="G2174" t="str">
            <v>UTILITY CENTRE</v>
          </cell>
          <cell r="H2174" t="str">
            <v>-</v>
          </cell>
          <cell r="J2174" t="str">
            <v>Domestic</v>
          </cell>
          <cell r="K2174" t="str">
            <v>-</v>
          </cell>
          <cell r="L2174" t="str">
            <v>Non-Sugar</v>
          </cell>
          <cell r="O2174" t="str">
            <v>-</v>
          </cell>
          <cell r="P2174" t="str">
            <v>-</v>
          </cell>
          <cell r="Q2174" t="str">
            <v>-</v>
          </cell>
          <cell r="R2174" t="str">
            <v>-</v>
          </cell>
          <cell r="T2174" t="str">
            <v>-</v>
          </cell>
          <cell r="U2174" t="str">
            <v>-</v>
          </cell>
          <cell r="W2174" t="str">
            <v>-</v>
          </cell>
        </row>
        <row r="2175">
          <cell r="F2175" t="str">
            <v>AHMD01U038</v>
          </cell>
          <cell r="G2175" t="str">
            <v>UTKARSH AUTOMATION SYESTEMS &amp; SERVICES</v>
          </cell>
          <cell r="H2175" t="str">
            <v>-</v>
          </cell>
          <cell r="J2175" t="str">
            <v>Domestic</v>
          </cell>
          <cell r="K2175" t="str">
            <v>-</v>
          </cell>
          <cell r="L2175" t="str">
            <v>Non-Sugar</v>
          </cell>
          <cell r="O2175" t="str">
            <v>-</v>
          </cell>
          <cell r="P2175" t="str">
            <v>-</v>
          </cell>
          <cell r="Q2175" t="str">
            <v>-</v>
          </cell>
          <cell r="R2175" t="str">
            <v>-</v>
          </cell>
          <cell r="T2175" t="str">
            <v>-</v>
          </cell>
          <cell r="U2175" t="str">
            <v>-</v>
          </cell>
          <cell r="W2175" t="str">
            <v>-</v>
          </cell>
        </row>
        <row r="2176">
          <cell r="F2176" t="str">
            <v>JAIP01U042</v>
          </cell>
          <cell r="G2176" t="str">
            <v>UTKARSH INDIA</v>
          </cell>
          <cell r="H2176" t="str">
            <v>-</v>
          </cell>
          <cell r="J2176" t="str">
            <v>Domestic</v>
          </cell>
          <cell r="K2176" t="str">
            <v>-</v>
          </cell>
          <cell r="L2176" t="str">
            <v>Non-Sugar</v>
          </cell>
          <cell r="O2176" t="str">
            <v>-</v>
          </cell>
          <cell r="P2176" t="str">
            <v>-</v>
          </cell>
          <cell r="Q2176" t="str">
            <v>-</v>
          </cell>
          <cell r="R2176" t="str">
            <v>-</v>
          </cell>
          <cell r="T2176" t="str">
            <v>-</v>
          </cell>
          <cell r="U2176" t="str">
            <v>-</v>
          </cell>
          <cell r="W2176" t="str">
            <v>-</v>
          </cell>
        </row>
        <row r="2177">
          <cell r="F2177" t="str">
            <v>BANG01V025</v>
          </cell>
          <cell r="G2177" t="str">
            <v>V MIX MINERAL TECHNOLOGIES PVT LTD.</v>
          </cell>
          <cell r="H2177" t="str">
            <v>-</v>
          </cell>
          <cell r="J2177" t="str">
            <v>Domestic</v>
          </cell>
          <cell r="K2177" t="str">
            <v>-</v>
          </cell>
          <cell r="L2177" t="str">
            <v>Non-Sugar</v>
          </cell>
          <cell r="O2177" t="str">
            <v>-</v>
          </cell>
          <cell r="P2177" t="str">
            <v>SI-SIVA</v>
          </cell>
          <cell r="Q2177" t="str">
            <v>M SIVA</v>
          </cell>
          <cell r="R2177" t="str">
            <v>-</v>
          </cell>
          <cell r="T2177" t="str">
            <v>-</v>
          </cell>
          <cell r="U2177" t="str">
            <v>-</v>
          </cell>
          <cell r="W2177" t="str">
            <v>-</v>
          </cell>
        </row>
        <row r="2178">
          <cell r="F2178" t="str">
            <v>VALS01V001</v>
          </cell>
          <cell r="G2178" t="str">
            <v>VADILAL INDUSTRIES LTD</v>
          </cell>
          <cell r="H2178" t="str">
            <v>-</v>
          </cell>
          <cell r="J2178" t="str">
            <v>Domestic</v>
          </cell>
          <cell r="K2178" t="str">
            <v>-</v>
          </cell>
          <cell r="L2178" t="str">
            <v>Non-Sugar</v>
          </cell>
          <cell r="O2178" t="str">
            <v>-</v>
          </cell>
          <cell r="P2178" t="str">
            <v>-</v>
          </cell>
          <cell r="Q2178" t="str">
            <v>-</v>
          </cell>
          <cell r="R2178" t="str">
            <v>-</v>
          </cell>
          <cell r="T2178" t="str">
            <v>-</v>
          </cell>
          <cell r="U2178" t="str">
            <v>-</v>
          </cell>
          <cell r="W2178" t="str">
            <v>-</v>
          </cell>
        </row>
        <row r="2179">
          <cell r="F2179" t="str">
            <v>DHAN01V066</v>
          </cell>
          <cell r="G2179" t="str">
            <v>VAISHNAVI ENTERPRISES</v>
          </cell>
          <cell r="H2179" t="str">
            <v>-</v>
          </cell>
          <cell r="J2179" t="str">
            <v>Domestic</v>
          </cell>
          <cell r="K2179" t="str">
            <v>-</v>
          </cell>
          <cell r="L2179" t="str">
            <v>Non-Sugar</v>
          </cell>
          <cell r="O2179" t="str">
            <v>-</v>
          </cell>
          <cell r="P2179" t="str">
            <v>-</v>
          </cell>
          <cell r="Q2179" t="str">
            <v>-</v>
          </cell>
          <cell r="R2179" t="str">
            <v>-</v>
          </cell>
          <cell r="T2179" t="str">
            <v>-</v>
          </cell>
          <cell r="U2179" t="str">
            <v>-</v>
          </cell>
          <cell r="W2179" t="str">
            <v>-</v>
          </cell>
        </row>
        <row r="2180">
          <cell r="F2180" t="str">
            <v>PALA01V074</v>
          </cell>
          <cell r="G2180" t="str">
            <v>VAJAB HEALTHCARE PVT.LTD.</v>
          </cell>
          <cell r="H2180" t="str">
            <v>-</v>
          </cell>
          <cell r="J2180" t="str">
            <v>Domestic</v>
          </cell>
          <cell r="K2180" t="str">
            <v>-</v>
          </cell>
          <cell r="L2180" t="str">
            <v>Non-Sugar</v>
          </cell>
          <cell r="O2180" t="str">
            <v>-</v>
          </cell>
          <cell r="P2180" t="str">
            <v>-</v>
          </cell>
          <cell r="Q2180" t="str">
            <v>-</v>
          </cell>
          <cell r="R2180" t="str">
            <v>-</v>
          </cell>
          <cell r="T2180" t="str">
            <v>-</v>
          </cell>
          <cell r="U2180" t="str">
            <v>-</v>
          </cell>
          <cell r="W2180" t="str">
            <v>-</v>
          </cell>
        </row>
        <row r="2181">
          <cell r="F2181" t="str">
            <v>PUNE01V032</v>
          </cell>
          <cell r="G2181" t="str">
            <v>VANKATESHKRUPA SUGAR MILLS PVT LTD</v>
          </cell>
          <cell r="H2181" t="str">
            <v>-</v>
          </cell>
          <cell r="J2181" t="str">
            <v>Domestic</v>
          </cell>
          <cell r="K2181" t="str">
            <v>Sugar</v>
          </cell>
          <cell r="M2181" t="str">
            <v>End User</v>
          </cell>
          <cell r="O2181" t="str">
            <v>-</v>
          </cell>
          <cell r="P2181" t="str">
            <v>-</v>
          </cell>
          <cell r="Q2181" t="str">
            <v>-</v>
          </cell>
          <cell r="R2181" t="str">
            <v>-</v>
          </cell>
          <cell r="T2181" t="str">
            <v>-</v>
          </cell>
          <cell r="W2181" t="str">
            <v>-</v>
          </cell>
        </row>
        <row r="2182">
          <cell r="F2182" t="str">
            <v>MUMB01V075</v>
          </cell>
          <cell r="G2182" t="str">
            <v>VAPCO ENGINEERS PVT.LTD.</v>
          </cell>
          <cell r="H2182" t="str">
            <v>-</v>
          </cell>
          <cell r="J2182" t="str">
            <v>Domestic</v>
          </cell>
          <cell r="K2182" t="str">
            <v>-</v>
          </cell>
          <cell r="L2182" t="str">
            <v>Non-Sugar</v>
          </cell>
          <cell r="O2182" t="str">
            <v>-</v>
          </cell>
          <cell r="P2182" t="str">
            <v>-</v>
          </cell>
          <cell r="Q2182" t="str">
            <v>-</v>
          </cell>
          <cell r="R2182" t="str">
            <v>-</v>
          </cell>
          <cell r="T2182" t="str">
            <v>-</v>
          </cell>
          <cell r="U2182" t="str">
            <v>-</v>
          </cell>
          <cell r="W2182" t="str">
            <v>-</v>
          </cell>
        </row>
        <row r="2183">
          <cell r="F2183" t="str">
            <v>PUNE01V067</v>
          </cell>
          <cell r="G2183" t="str">
            <v>VARDHAMAN SALES</v>
          </cell>
          <cell r="H2183" t="str">
            <v>-</v>
          </cell>
          <cell r="J2183" t="str">
            <v>Domestic</v>
          </cell>
          <cell r="K2183" t="str">
            <v>-</v>
          </cell>
          <cell r="L2183" t="str">
            <v>Non-Sugar</v>
          </cell>
          <cell r="O2183" t="str">
            <v>-</v>
          </cell>
          <cell r="P2183" t="str">
            <v>-</v>
          </cell>
          <cell r="Q2183" t="str">
            <v>-</v>
          </cell>
          <cell r="R2183" t="str">
            <v>-</v>
          </cell>
          <cell r="T2183" t="str">
            <v>-</v>
          </cell>
          <cell r="U2183" t="str">
            <v>-</v>
          </cell>
          <cell r="W2183" t="str">
            <v>-</v>
          </cell>
        </row>
        <row r="2184">
          <cell r="F2184" t="str">
            <v>RAIP01V071</v>
          </cell>
          <cell r="G2184" t="str">
            <v>VARDHMAN TRADING</v>
          </cell>
          <cell r="H2184" t="str">
            <v>-</v>
          </cell>
          <cell r="J2184" t="str">
            <v>Domestic</v>
          </cell>
          <cell r="K2184" t="str">
            <v>-</v>
          </cell>
          <cell r="L2184" t="str">
            <v>Non-Sugar</v>
          </cell>
          <cell r="O2184" t="str">
            <v>-</v>
          </cell>
          <cell r="P2184" t="str">
            <v>-</v>
          </cell>
          <cell r="Q2184" t="str">
            <v>-</v>
          </cell>
          <cell r="R2184" t="str">
            <v>-</v>
          </cell>
          <cell r="T2184" t="str">
            <v>-</v>
          </cell>
          <cell r="U2184" t="str">
            <v>-</v>
          </cell>
          <cell r="W2184" t="str">
            <v>-</v>
          </cell>
        </row>
        <row r="2185">
          <cell r="F2185" t="str">
            <v>SANG01V002</v>
          </cell>
          <cell r="G2185" t="str">
            <v>VASANTDADA SHETKARI SAHAKARI-SAKHAR KARKHANA LTD.</v>
          </cell>
          <cell r="H2185">
            <v>2013</v>
          </cell>
          <cell r="J2185" t="str">
            <v>Domestic</v>
          </cell>
          <cell r="K2185" t="str">
            <v>Sugar</v>
          </cell>
          <cell r="M2185" t="str">
            <v>End User</v>
          </cell>
          <cell r="O2185" t="str">
            <v>-</v>
          </cell>
          <cell r="P2185" t="str">
            <v>-</v>
          </cell>
          <cell r="Q2185" t="str">
            <v>-</v>
          </cell>
          <cell r="R2185" t="str">
            <v>-</v>
          </cell>
          <cell r="T2185" t="str">
            <v>-</v>
          </cell>
          <cell r="W2185" t="str">
            <v>-</v>
          </cell>
        </row>
        <row r="2186">
          <cell r="F2186" t="str">
            <v>NASK01V003</v>
          </cell>
          <cell r="G2186" t="str">
            <v>VASANTRAO DADA PATIL SAHAKARI- SAKHAR KARKHANA LTD</v>
          </cell>
          <cell r="H2186" t="str">
            <v>-</v>
          </cell>
          <cell r="J2186" t="str">
            <v>Domestic</v>
          </cell>
          <cell r="K2186" t="str">
            <v>Sugar</v>
          </cell>
          <cell r="M2186" t="str">
            <v>End User</v>
          </cell>
          <cell r="O2186" t="str">
            <v>-</v>
          </cell>
          <cell r="P2186" t="str">
            <v>-</v>
          </cell>
          <cell r="Q2186" t="str">
            <v>-</v>
          </cell>
          <cell r="R2186" t="str">
            <v>-</v>
          </cell>
          <cell r="T2186" t="str">
            <v>-</v>
          </cell>
          <cell r="W2186" t="str">
            <v>-</v>
          </cell>
        </row>
        <row r="2187">
          <cell r="F2187" t="str">
            <v>NODA01V061</v>
          </cell>
          <cell r="G2187" t="str">
            <v>VASU PHARMATECH</v>
          </cell>
          <cell r="H2187" t="str">
            <v>-</v>
          </cell>
          <cell r="J2187" t="str">
            <v>Domestic</v>
          </cell>
          <cell r="K2187" t="str">
            <v>-</v>
          </cell>
          <cell r="L2187" t="str">
            <v>Non-Sugar</v>
          </cell>
          <cell r="O2187" t="str">
            <v>-</v>
          </cell>
          <cell r="P2187" t="str">
            <v>-</v>
          </cell>
          <cell r="Q2187" t="str">
            <v>-</v>
          </cell>
          <cell r="R2187" t="str">
            <v>-</v>
          </cell>
          <cell r="T2187" t="str">
            <v>-</v>
          </cell>
          <cell r="U2187" t="str">
            <v>-</v>
          </cell>
          <cell r="W2187" t="str">
            <v>-</v>
          </cell>
        </row>
        <row r="2188">
          <cell r="F2188" t="str">
            <v>BANG01V069</v>
          </cell>
          <cell r="G2188" t="str">
            <v>VASUGI ELECTRICAL</v>
          </cell>
          <cell r="H2188" t="str">
            <v>-</v>
          </cell>
          <cell r="J2188" t="str">
            <v>Domestic</v>
          </cell>
          <cell r="K2188" t="str">
            <v>-</v>
          </cell>
          <cell r="L2188" t="str">
            <v>Non-Sugar</v>
          </cell>
          <cell r="O2188" t="str">
            <v>-</v>
          </cell>
          <cell r="P2188" t="str">
            <v>-</v>
          </cell>
          <cell r="Q2188" t="str">
            <v>-</v>
          </cell>
          <cell r="R2188" t="str">
            <v>-</v>
          </cell>
          <cell r="T2188" t="str">
            <v>-</v>
          </cell>
          <cell r="U2188" t="str">
            <v>-</v>
          </cell>
          <cell r="W2188" t="str">
            <v>-</v>
          </cell>
        </row>
        <row r="2189">
          <cell r="F2189" t="str">
            <v>UJJA01V055</v>
          </cell>
          <cell r="G2189" t="str">
            <v>VASUKI ENGINEERING &amp; MARKETING CO.</v>
          </cell>
          <cell r="H2189" t="str">
            <v>-</v>
          </cell>
          <cell r="J2189" t="str">
            <v>Domestic</v>
          </cell>
          <cell r="K2189" t="str">
            <v>-</v>
          </cell>
          <cell r="L2189" t="str">
            <v>Non-Sugar</v>
          </cell>
          <cell r="O2189" t="str">
            <v>-</v>
          </cell>
          <cell r="P2189" t="str">
            <v>-</v>
          </cell>
          <cell r="Q2189" t="str">
            <v>-</v>
          </cell>
          <cell r="R2189" t="str">
            <v>-</v>
          </cell>
          <cell r="T2189" t="str">
            <v>-</v>
          </cell>
          <cell r="U2189" t="str">
            <v>-</v>
          </cell>
          <cell r="W2189" t="str">
            <v>-</v>
          </cell>
        </row>
        <row r="2190">
          <cell r="F2190" t="str">
            <v>SURA01V040</v>
          </cell>
          <cell r="G2190" t="str">
            <v>VASUNDHRA COMPOST</v>
          </cell>
          <cell r="H2190">
            <v>2018</v>
          </cell>
          <cell r="J2190" t="str">
            <v>Domestic</v>
          </cell>
          <cell r="K2190" t="str">
            <v>OTHERS</v>
          </cell>
          <cell r="L2190" t="str">
            <v>Non-Sugar</v>
          </cell>
          <cell r="M2190" t="str">
            <v>OEM</v>
          </cell>
          <cell r="O2190" t="str">
            <v>-</v>
          </cell>
          <cell r="P2190" t="str">
            <v>VA</v>
          </cell>
          <cell r="Q2190" t="str">
            <v>-</v>
          </cell>
          <cell r="T2190" t="str">
            <v>-</v>
          </cell>
          <cell r="U2190" t="str">
            <v>-</v>
          </cell>
          <cell r="W2190" t="str">
            <v>-</v>
          </cell>
        </row>
        <row r="2191">
          <cell r="F2191" t="str">
            <v>NELL01V004</v>
          </cell>
          <cell r="G2191" t="str">
            <v>VDB SUGARS LIMITED</v>
          </cell>
          <cell r="H2191">
            <v>2013</v>
          </cell>
          <cell r="J2191" t="str">
            <v>Domestic</v>
          </cell>
          <cell r="K2191" t="str">
            <v>Sugar</v>
          </cell>
          <cell r="P2191" t="str">
            <v>SI-GS</v>
          </cell>
          <cell r="Q2191" t="str">
            <v>SI-GS</v>
          </cell>
          <cell r="W2191" t="str">
            <v>-</v>
          </cell>
        </row>
        <row r="2192">
          <cell r="F2192" t="str">
            <v>MUMB01V058</v>
          </cell>
          <cell r="G2192" t="str">
            <v>VEL INNOVATIVE TECHNOLOGIES PVT.LTD.</v>
          </cell>
          <cell r="H2192" t="str">
            <v>-</v>
          </cell>
          <cell r="J2192" t="str">
            <v>Domestic</v>
          </cell>
          <cell r="K2192" t="str">
            <v>-</v>
          </cell>
          <cell r="L2192" t="str">
            <v>Non-Sugar</v>
          </cell>
          <cell r="O2192" t="str">
            <v>-</v>
          </cell>
          <cell r="P2192" t="str">
            <v>-</v>
          </cell>
          <cell r="Q2192" t="str">
            <v>-</v>
          </cell>
          <cell r="R2192" t="str">
            <v>-</v>
          </cell>
          <cell r="T2192" t="str">
            <v>-</v>
          </cell>
          <cell r="U2192" t="str">
            <v>-</v>
          </cell>
          <cell r="W2192" t="str">
            <v>-</v>
          </cell>
        </row>
        <row r="2193">
          <cell r="F2193" t="str">
            <v>SATA01V028</v>
          </cell>
          <cell r="G2193" t="str">
            <v>VENU GOPAL FOODS</v>
          </cell>
          <cell r="H2193" t="str">
            <v>-</v>
          </cell>
          <cell r="J2193" t="str">
            <v>Domestic</v>
          </cell>
          <cell r="K2193" t="str">
            <v>Food</v>
          </cell>
          <cell r="L2193" t="str">
            <v>Non-Sugar</v>
          </cell>
          <cell r="M2193" t="str">
            <v>End User</v>
          </cell>
          <cell r="O2193" t="str">
            <v>-</v>
          </cell>
          <cell r="P2193" t="str">
            <v>-</v>
          </cell>
          <cell r="Q2193" t="str">
            <v>-</v>
          </cell>
          <cell r="R2193" t="str">
            <v>-</v>
          </cell>
          <cell r="T2193" t="str">
            <v>-</v>
          </cell>
          <cell r="W2193" t="str">
            <v>-</v>
          </cell>
        </row>
        <row r="2194">
          <cell r="F2194" t="str">
            <v>VIET01V034</v>
          </cell>
          <cell r="G2194" t="str">
            <v>VI THANH SUGAR</v>
          </cell>
          <cell r="H2194" t="str">
            <v>-</v>
          </cell>
          <cell r="J2194" t="str">
            <v>Export</v>
          </cell>
          <cell r="K2194" t="str">
            <v>Sugar</v>
          </cell>
          <cell r="L2194" t="str">
            <v>Sugar</v>
          </cell>
          <cell r="M2194" t="str">
            <v>End User</v>
          </cell>
          <cell r="O2194" t="str">
            <v>-</v>
          </cell>
          <cell r="P2194" t="str">
            <v>-</v>
          </cell>
          <cell r="Q2194" t="str">
            <v>VG</v>
          </cell>
          <cell r="R2194" t="str">
            <v>-</v>
          </cell>
          <cell r="T2194" t="str">
            <v>-</v>
          </cell>
          <cell r="U2194" t="str">
            <v>-</v>
          </cell>
          <cell r="W2194" t="str">
            <v>-</v>
          </cell>
        </row>
        <row r="2195">
          <cell r="F2195" t="str">
            <v>KOLH01V056</v>
          </cell>
          <cell r="G2195" t="str">
            <v>VIABHAV INDUSTRIES</v>
          </cell>
          <cell r="H2195" t="str">
            <v>-</v>
          </cell>
          <cell r="J2195" t="str">
            <v>Domestic</v>
          </cell>
          <cell r="K2195" t="str">
            <v>others</v>
          </cell>
          <cell r="L2195" t="str">
            <v>Non-Sugar</v>
          </cell>
          <cell r="M2195" t="str">
            <v>OEM</v>
          </cell>
          <cell r="O2195" t="str">
            <v>-</v>
          </cell>
          <cell r="P2195" t="str">
            <v>-</v>
          </cell>
          <cell r="Q2195" t="str">
            <v>-</v>
          </cell>
          <cell r="R2195" t="str">
            <v>-</v>
          </cell>
          <cell r="T2195" t="str">
            <v>-</v>
          </cell>
          <cell r="W2195" t="str">
            <v>-</v>
          </cell>
        </row>
        <row r="2196">
          <cell r="F2196" t="str">
            <v>AHME01V030</v>
          </cell>
          <cell r="G2196" t="str">
            <v>VIDEUR TECHNOLOGIES PVT LTD</v>
          </cell>
          <cell r="H2196" t="str">
            <v>-</v>
          </cell>
          <cell r="J2196" t="str">
            <v>Domestic</v>
          </cell>
          <cell r="K2196" t="str">
            <v>-</v>
          </cell>
          <cell r="L2196" t="str">
            <v>Non-Sugar</v>
          </cell>
          <cell r="O2196" t="str">
            <v>-</v>
          </cell>
          <cell r="P2196" t="str">
            <v>-</v>
          </cell>
          <cell r="Q2196" t="str">
            <v>-</v>
          </cell>
          <cell r="R2196" t="str">
            <v>-</v>
          </cell>
          <cell r="T2196" t="str">
            <v>-</v>
          </cell>
          <cell r="U2196" t="str">
            <v>-</v>
          </cell>
          <cell r="W2196" t="str">
            <v>-</v>
          </cell>
        </row>
        <row r="2197">
          <cell r="F2197" t="str">
            <v>JAIP01V053</v>
          </cell>
          <cell r="G2197" t="str">
            <v>VIJAY SOLVEX LIMITED</v>
          </cell>
          <cell r="H2197" t="str">
            <v>-</v>
          </cell>
          <cell r="J2197" t="str">
            <v>Domestic</v>
          </cell>
          <cell r="K2197" t="str">
            <v>-</v>
          </cell>
          <cell r="L2197" t="str">
            <v>Non-Sugar</v>
          </cell>
          <cell r="O2197" t="str">
            <v>-</v>
          </cell>
          <cell r="P2197" t="str">
            <v>-</v>
          </cell>
          <cell r="Q2197" t="str">
            <v>-</v>
          </cell>
          <cell r="R2197" t="str">
            <v>-</v>
          </cell>
          <cell r="T2197" t="str">
            <v>-</v>
          </cell>
          <cell r="U2197" t="str">
            <v>-</v>
          </cell>
          <cell r="W2197" t="str">
            <v>-</v>
          </cell>
        </row>
        <row r="2198">
          <cell r="F2198" t="str">
            <v>SOLP01V023</v>
          </cell>
          <cell r="G2198" t="str">
            <v>VIJAY SUGAR (RE NAMED VITTHALRAO SHINDE SSK LTD UNIT-2</v>
          </cell>
          <cell r="H2198">
            <v>2014</v>
          </cell>
          <cell r="J2198" t="str">
            <v>Domestic</v>
          </cell>
          <cell r="K2198" t="str">
            <v>Sugar</v>
          </cell>
          <cell r="M2198" t="str">
            <v>End User</v>
          </cell>
          <cell r="O2198" t="str">
            <v>-</v>
          </cell>
          <cell r="P2198" t="str">
            <v>-</v>
          </cell>
          <cell r="Q2198" t="str">
            <v>-</v>
          </cell>
          <cell r="R2198" t="str">
            <v>-</v>
          </cell>
          <cell r="T2198" t="str">
            <v>-</v>
          </cell>
          <cell r="W2198" t="str">
            <v>-</v>
          </cell>
        </row>
        <row r="2199">
          <cell r="F2199" t="str">
            <v>LATU01V035</v>
          </cell>
          <cell r="G2199" t="str">
            <v>VIKAS SAHAKARI SAKHAR KARKHANA LTD (UNIT -2)</v>
          </cell>
          <cell r="H2199">
            <v>2018</v>
          </cell>
          <cell r="J2199" t="str">
            <v>Domestic</v>
          </cell>
          <cell r="K2199" t="str">
            <v>Sugar</v>
          </cell>
          <cell r="M2199" t="str">
            <v>End User</v>
          </cell>
          <cell r="O2199" t="str">
            <v>-</v>
          </cell>
          <cell r="P2199" t="str">
            <v>-</v>
          </cell>
          <cell r="Q2199" t="str">
            <v>-</v>
          </cell>
          <cell r="R2199" t="str">
            <v>-</v>
          </cell>
          <cell r="T2199" t="str">
            <v>-</v>
          </cell>
          <cell r="W2199" t="str">
            <v>-</v>
          </cell>
        </row>
        <row r="2200">
          <cell r="F2200" t="str">
            <v>LATU01M028</v>
          </cell>
          <cell r="G2200" t="str">
            <v>VILAS SSK UNIT 2 (ALL PAPERS SHIFTED TO MANJARA SSK)</v>
          </cell>
          <cell r="H2200" t="str">
            <v>-</v>
          </cell>
          <cell r="J2200" t="str">
            <v>Domestic</v>
          </cell>
          <cell r="K2200" t="str">
            <v>Sugar</v>
          </cell>
          <cell r="M2200" t="str">
            <v>End User</v>
          </cell>
          <cell r="O2200" t="str">
            <v>-</v>
          </cell>
          <cell r="P2200" t="str">
            <v>-</v>
          </cell>
          <cell r="Q2200" t="str">
            <v>-</v>
          </cell>
          <cell r="R2200" t="str">
            <v>-</v>
          </cell>
          <cell r="T2200" t="str">
            <v>-</v>
          </cell>
          <cell r="W2200" t="str">
            <v>-</v>
          </cell>
        </row>
        <row r="2201">
          <cell r="F2201" t="str">
            <v>KANP01V036</v>
          </cell>
          <cell r="G2201" t="str">
            <v>VINAY WIRES AND POLY PRODUCTS</v>
          </cell>
          <cell r="H2201" t="str">
            <v>-</v>
          </cell>
          <cell r="J2201" t="str">
            <v>Domestic</v>
          </cell>
          <cell r="K2201" t="str">
            <v>-</v>
          </cell>
          <cell r="L2201" t="str">
            <v>Non-Sugar</v>
          </cell>
          <cell r="O2201" t="str">
            <v>-</v>
          </cell>
          <cell r="P2201" t="str">
            <v>-</v>
          </cell>
          <cell r="Q2201" t="str">
            <v>-</v>
          </cell>
          <cell r="R2201" t="str">
            <v>-</v>
          </cell>
          <cell r="T2201" t="str">
            <v>-</v>
          </cell>
          <cell r="U2201" t="str">
            <v>-</v>
          </cell>
          <cell r="W2201" t="str">
            <v>-</v>
          </cell>
        </row>
        <row r="2202">
          <cell r="F2202" t="str">
            <v>V008</v>
          </cell>
          <cell r="G2202" t="str">
            <v>VINAYAK CHEMICALS</v>
          </cell>
          <cell r="H2202" t="str">
            <v>-</v>
          </cell>
          <cell r="J2202" t="str">
            <v>Domestic</v>
          </cell>
          <cell r="K2202" t="str">
            <v>Chemical</v>
          </cell>
          <cell r="L2202" t="str">
            <v>Non-Sugar</v>
          </cell>
          <cell r="P2202" t="str">
            <v>SI-GS</v>
          </cell>
          <cell r="Q2202" t="str">
            <v>SI-GS</v>
          </cell>
          <cell r="W2202" t="str">
            <v>-</v>
          </cell>
        </row>
        <row r="2203">
          <cell r="F2203" t="str">
            <v>CHEN01V008</v>
          </cell>
          <cell r="G2203" t="str">
            <v>VINAYAK CHEMICALS</v>
          </cell>
          <cell r="H2203" t="str">
            <v>-</v>
          </cell>
          <cell r="J2203" t="str">
            <v>Domestic</v>
          </cell>
          <cell r="P2203" t="str">
            <v>SI-GS</v>
          </cell>
          <cell r="Q2203" t="str">
            <v>SI-GS</v>
          </cell>
        </row>
        <row r="2204">
          <cell r="F2204" t="str">
            <v>TRIC01V052</v>
          </cell>
          <cell r="G2204" t="str">
            <v>VINBLU CHEMICALS</v>
          </cell>
          <cell r="H2204" t="str">
            <v>-</v>
          </cell>
          <cell r="J2204" t="str">
            <v>Domestic</v>
          </cell>
          <cell r="K2204" t="str">
            <v>CHEMICAL</v>
          </cell>
          <cell r="L2204" t="str">
            <v>Non-Sugar</v>
          </cell>
          <cell r="M2204" t="str">
            <v>End User</v>
          </cell>
          <cell r="O2204" t="str">
            <v>-</v>
          </cell>
          <cell r="P2204" t="str">
            <v>-</v>
          </cell>
          <cell r="Q2204" t="str">
            <v>-</v>
          </cell>
          <cell r="R2204" t="str">
            <v>-</v>
          </cell>
          <cell r="T2204" t="str">
            <v>-</v>
          </cell>
          <cell r="U2204" t="str">
            <v>-</v>
          </cell>
          <cell r="W2204" t="str">
            <v>-</v>
          </cell>
        </row>
        <row r="2205">
          <cell r="F2205" t="str">
            <v>INDR01V070</v>
          </cell>
          <cell r="G2205" t="str">
            <v>VINDHYA PAPERS</v>
          </cell>
          <cell r="H2205" t="str">
            <v>-</v>
          </cell>
          <cell r="J2205" t="str">
            <v>Domestic</v>
          </cell>
          <cell r="K2205" t="str">
            <v>Paper</v>
          </cell>
          <cell r="L2205" t="str">
            <v>Non-Sugar</v>
          </cell>
          <cell r="M2205" t="str">
            <v>End User</v>
          </cell>
          <cell r="O2205" t="str">
            <v>-</v>
          </cell>
          <cell r="P2205" t="str">
            <v>-</v>
          </cell>
          <cell r="Q2205" t="str">
            <v>-</v>
          </cell>
          <cell r="R2205" t="str">
            <v>-</v>
          </cell>
          <cell r="T2205" t="str">
            <v>-</v>
          </cell>
          <cell r="U2205" t="str">
            <v>-</v>
          </cell>
          <cell r="W2205" t="str">
            <v>-</v>
          </cell>
        </row>
        <row r="2206">
          <cell r="F2206" t="str">
            <v>KANP01V022</v>
          </cell>
          <cell r="G2206" t="str">
            <v>VINOD KHETRAPAL</v>
          </cell>
          <cell r="H2206" t="str">
            <v>-</v>
          </cell>
          <cell r="J2206" t="str">
            <v>Domestic</v>
          </cell>
          <cell r="K2206" t="str">
            <v>-</v>
          </cell>
          <cell r="L2206" t="str">
            <v>Non-Sugar</v>
          </cell>
          <cell r="O2206" t="str">
            <v>-</v>
          </cell>
          <cell r="P2206" t="str">
            <v>-</v>
          </cell>
          <cell r="Q2206" t="str">
            <v>-</v>
          </cell>
          <cell r="R2206" t="str">
            <v>-</v>
          </cell>
          <cell r="T2206" t="str">
            <v>-</v>
          </cell>
          <cell r="U2206" t="str">
            <v>-</v>
          </cell>
          <cell r="W2206" t="str">
            <v>-</v>
          </cell>
        </row>
        <row r="2207">
          <cell r="F2207" t="str">
            <v>PUNE01V076</v>
          </cell>
          <cell r="G2207" t="str">
            <v>VIRAJ ALCOHOLS &amp; ALLIED INDUSTRIES LTD.</v>
          </cell>
          <cell r="H2207" t="str">
            <v>-</v>
          </cell>
          <cell r="J2207" t="str">
            <v>Domestic</v>
          </cell>
          <cell r="K2207" t="str">
            <v>-</v>
          </cell>
          <cell r="L2207" t="str">
            <v>Non-Sugar</v>
          </cell>
          <cell r="O2207" t="str">
            <v>-</v>
          </cell>
          <cell r="P2207" t="str">
            <v>-</v>
          </cell>
          <cell r="Q2207" t="str">
            <v>-</v>
          </cell>
          <cell r="R2207" t="str">
            <v>-</v>
          </cell>
          <cell r="T2207" t="str">
            <v>-</v>
          </cell>
          <cell r="U2207" t="str">
            <v>-</v>
          </cell>
          <cell r="W2207" t="str">
            <v>-</v>
          </cell>
        </row>
        <row r="2208">
          <cell r="F2208" t="str">
            <v>CHEN01V077</v>
          </cell>
          <cell r="G2208" t="str">
            <v>VIRUDUNAGAR PLANT</v>
          </cell>
          <cell r="H2208" t="str">
            <v>-</v>
          </cell>
          <cell r="J2208" t="str">
            <v>Domestic</v>
          </cell>
          <cell r="K2208" t="str">
            <v>-</v>
          </cell>
          <cell r="L2208" t="str">
            <v>Non-Sugar</v>
          </cell>
          <cell r="O2208" t="str">
            <v>-</v>
          </cell>
          <cell r="P2208" t="str">
            <v>-</v>
          </cell>
          <cell r="Q2208" t="str">
            <v>-</v>
          </cell>
          <cell r="R2208" t="str">
            <v>-</v>
          </cell>
          <cell r="T2208" t="str">
            <v>-</v>
          </cell>
          <cell r="U2208" t="str">
            <v>-</v>
          </cell>
          <cell r="W2208" t="str">
            <v>-</v>
          </cell>
        </row>
        <row r="2209">
          <cell r="F2209" t="str">
            <v>AHME01V018</v>
          </cell>
          <cell r="G2209" t="str">
            <v>VISHAL ENGINEERS &amp; GALVANIZERS PVT. LTD.</v>
          </cell>
          <cell r="H2209">
            <v>2013</v>
          </cell>
          <cell r="J2209" t="str">
            <v>Domestic</v>
          </cell>
          <cell r="K2209" t="str">
            <v>-</v>
          </cell>
          <cell r="L2209" t="str">
            <v>Non-Sugar</v>
          </cell>
          <cell r="M2209" t="str">
            <v>End User</v>
          </cell>
          <cell r="O2209" t="str">
            <v>-</v>
          </cell>
          <cell r="P2209" t="str">
            <v>-</v>
          </cell>
          <cell r="Q2209" t="str">
            <v>-</v>
          </cell>
          <cell r="R2209" t="str">
            <v>-</v>
          </cell>
          <cell r="T2209" t="str">
            <v>-</v>
          </cell>
          <cell r="U2209" t="str">
            <v>-</v>
          </cell>
          <cell r="W2209" t="str">
            <v>-</v>
          </cell>
        </row>
        <row r="2210">
          <cell r="F2210" t="str">
            <v>NAGP01V050</v>
          </cell>
          <cell r="G2210" t="str">
            <v>VISHAL INDUSTRIES NAGPUR</v>
          </cell>
          <cell r="H2210" t="str">
            <v>-</v>
          </cell>
          <cell r="J2210" t="str">
            <v>Domestic</v>
          </cell>
          <cell r="K2210" t="str">
            <v>-</v>
          </cell>
          <cell r="L2210" t="str">
            <v>Non-Sugar</v>
          </cell>
          <cell r="O2210" t="str">
            <v>-</v>
          </cell>
          <cell r="P2210" t="str">
            <v>-</v>
          </cell>
          <cell r="Q2210" t="str">
            <v>-</v>
          </cell>
          <cell r="R2210" t="str">
            <v>-</v>
          </cell>
          <cell r="T2210" t="str">
            <v>-</v>
          </cell>
          <cell r="U2210" t="str">
            <v>-</v>
          </cell>
          <cell r="W2210" t="str">
            <v>-</v>
          </cell>
        </row>
        <row r="2211">
          <cell r="F2211" t="str">
            <v>BELG01V012</v>
          </cell>
          <cell r="G2211" t="str">
            <v>VISHWANATH SUGAR AND STEEL INDUSTRIES LTD</v>
          </cell>
          <cell r="H2211">
            <v>2015</v>
          </cell>
          <cell r="J2211" t="str">
            <v>Domestic</v>
          </cell>
          <cell r="K2211" t="str">
            <v>Sugar</v>
          </cell>
          <cell r="M2211" t="str">
            <v>End User</v>
          </cell>
          <cell r="O2211" t="str">
            <v>-</v>
          </cell>
          <cell r="P2211" t="str">
            <v>-</v>
          </cell>
          <cell r="Q2211" t="str">
            <v>-</v>
          </cell>
          <cell r="R2211" t="str">
            <v>-</v>
          </cell>
          <cell r="T2211" t="str">
            <v>-</v>
          </cell>
          <cell r="W2211" t="str">
            <v>-</v>
          </cell>
        </row>
        <row r="2212">
          <cell r="F2212" t="str">
            <v>V026</v>
          </cell>
          <cell r="G2212" t="str">
            <v>VISIONTEK CONSULTANCY SERVICES PVT. LTD</v>
          </cell>
          <cell r="H2212" t="str">
            <v>-</v>
          </cell>
          <cell r="J2212" t="str">
            <v>Domestic</v>
          </cell>
          <cell r="K2212" t="str">
            <v>Others</v>
          </cell>
          <cell r="L2212" t="str">
            <v>Non-Sugar</v>
          </cell>
          <cell r="P2212" t="str">
            <v>SI-GS</v>
          </cell>
          <cell r="Q2212" t="str">
            <v>SI-GS</v>
          </cell>
          <cell r="W2212" t="str">
            <v>-</v>
          </cell>
        </row>
        <row r="2213">
          <cell r="F2213" t="str">
            <v>BHUB01V026</v>
          </cell>
          <cell r="G2213" t="str">
            <v>VISIONTEK CONSULTANCY SERVICES PVT. LTD</v>
          </cell>
          <cell r="H2213" t="str">
            <v>-</v>
          </cell>
          <cell r="J2213" t="str">
            <v>Domestic</v>
          </cell>
          <cell r="P2213" t="str">
            <v>SI-GS</v>
          </cell>
          <cell r="Q2213" t="str">
            <v>SI-GS</v>
          </cell>
        </row>
        <row r="2214">
          <cell r="F2214" t="str">
            <v>BARO01V039</v>
          </cell>
          <cell r="G2214" t="str">
            <v>VISUAL CHEM CLEAN SERVICES PVT LTD</v>
          </cell>
          <cell r="H2214" t="str">
            <v>-</v>
          </cell>
          <cell r="J2214" t="str">
            <v>Domestic</v>
          </cell>
          <cell r="K2214" t="str">
            <v>-</v>
          </cell>
          <cell r="L2214" t="str">
            <v>Non-Sugar</v>
          </cell>
          <cell r="O2214" t="str">
            <v>-</v>
          </cell>
          <cell r="P2214" t="str">
            <v>-</v>
          </cell>
          <cell r="Q2214" t="str">
            <v>-</v>
          </cell>
          <cell r="R2214" t="str">
            <v>-</v>
          </cell>
          <cell r="T2214" t="str">
            <v>-</v>
          </cell>
          <cell r="U2214" t="str">
            <v>-</v>
          </cell>
          <cell r="W2214" t="str">
            <v>-</v>
          </cell>
        </row>
        <row r="2215">
          <cell r="F2215" t="str">
            <v>SOLP01V013</v>
          </cell>
          <cell r="G2215" t="str">
            <v>VITTHAL CORPORATION LIMITED (onkar sugars and corporation ltd)</v>
          </cell>
          <cell r="H2215">
            <v>2013</v>
          </cell>
          <cell r="J2215" t="str">
            <v>Domestic</v>
          </cell>
          <cell r="K2215" t="str">
            <v>Sugar</v>
          </cell>
          <cell r="M2215" t="str">
            <v>End User</v>
          </cell>
          <cell r="O2215">
            <v>5000</v>
          </cell>
          <cell r="P2215" t="str">
            <v>AV</v>
          </cell>
          <cell r="Q2215" t="str">
            <v>AV</v>
          </cell>
          <cell r="R2215" t="str">
            <v>PD</v>
          </cell>
          <cell r="S2215" t="str">
            <v>https://maps.app.goo.gl/TyEza1nAwiKiiUvR6</v>
          </cell>
          <cell r="T2215" t="str">
            <v>TOUR-4 (OSMANABAD)</v>
          </cell>
          <cell r="U2215" t="str">
            <v>26-27</v>
          </cell>
          <cell r="W2215" t="str">
            <v>22.05.2026
5/10/2023</v>
          </cell>
        </row>
        <row r="2216">
          <cell r="F2216" t="str">
            <v>SOLP01V044</v>
          </cell>
          <cell r="G2216" t="str">
            <v>VITTHAL ENTERPRISES PVT LTD (BABANRAO SHINDE)</v>
          </cell>
          <cell r="H2216">
            <v>2020</v>
          </cell>
          <cell r="J2216" t="str">
            <v>Domestic</v>
          </cell>
          <cell r="K2216" t="str">
            <v>Sugar</v>
          </cell>
          <cell r="M2216" t="str">
            <v>End User</v>
          </cell>
          <cell r="O2216" t="str">
            <v>-</v>
          </cell>
          <cell r="P2216" t="str">
            <v>-</v>
          </cell>
          <cell r="Q2216" t="str">
            <v>-</v>
          </cell>
          <cell r="R2216" t="str">
            <v>-</v>
          </cell>
          <cell r="T2216" t="str">
            <v>-</v>
          </cell>
          <cell r="W2216" t="str">
            <v>-</v>
          </cell>
        </row>
        <row r="2217">
          <cell r="F2217" t="str">
            <v>SOLP01V029</v>
          </cell>
          <cell r="G2217" t="str">
            <v>VITTHAL REFINED SUGARS LTD (new name Kamalabhavani global corp)</v>
          </cell>
          <cell r="H2217">
            <v>2017</v>
          </cell>
          <cell r="J2217" t="str">
            <v>Domestic</v>
          </cell>
          <cell r="K2217" t="str">
            <v>Sugar</v>
          </cell>
          <cell r="M2217" t="str">
            <v>End User</v>
          </cell>
          <cell r="O2217">
            <v>5000</v>
          </cell>
          <cell r="P2217" t="str">
            <v>-</v>
          </cell>
          <cell r="Q2217" t="str">
            <v>-</v>
          </cell>
          <cell r="R2217" t="str">
            <v>-</v>
          </cell>
          <cell r="T2217" t="str">
            <v>TOUR-4 (OSMANABAD)</v>
          </cell>
          <cell r="U2217" t="str">
            <v>24-25</v>
          </cell>
          <cell r="W2217" t="str">
            <v>06-05-2024
12-05-2023</v>
          </cell>
        </row>
        <row r="2218">
          <cell r="F2218" t="str">
            <v>BANG01V049</v>
          </cell>
          <cell r="G2218" t="str">
            <v>VIVASVAN INTERNATIONAL</v>
          </cell>
          <cell r="H2218" t="str">
            <v>-</v>
          </cell>
          <cell r="J2218" t="str">
            <v>Domestic</v>
          </cell>
          <cell r="K2218" t="str">
            <v>-</v>
          </cell>
          <cell r="L2218" t="str">
            <v>Non-Sugar</v>
          </cell>
          <cell r="O2218" t="str">
            <v>-</v>
          </cell>
          <cell r="P2218" t="str">
            <v>-</v>
          </cell>
          <cell r="Q2218" t="str">
            <v>-</v>
          </cell>
          <cell r="R2218" t="str">
            <v>-</v>
          </cell>
          <cell r="T2218" t="str">
            <v>-</v>
          </cell>
          <cell r="U2218" t="str">
            <v>-</v>
          </cell>
          <cell r="W2218" t="str">
            <v>-</v>
          </cell>
        </row>
        <row r="2219">
          <cell r="F2219" t="str">
            <v>DEHR01V073</v>
          </cell>
          <cell r="G2219" t="str">
            <v>VIVEK PANT BAGESHWAR</v>
          </cell>
          <cell r="H2219" t="str">
            <v>-</v>
          </cell>
          <cell r="J2219" t="str">
            <v>Domestic</v>
          </cell>
          <cell r="K2219" t="str">
            <v>-</v>
          </cell>
          <cell r="L2219" t="str">
            <v>Non-Sugar</v>
          </cell>
          <cell r="O2219" t="str">
            <v>-</v>
          </cell>
          <cell r="P2219" t="str">
            <v>-</v>
          </cell>
          <cell r="Q2219" t="str">
            <v>-</v>
          </cell>
          <cell r="R2219" t="str">
            <v>-</v>
          </cell>
          <cell r="T2219" t="str">
            <v>-</v>
          </cell>
          <cell r="U2219" t="str">
            <v>-</v>
          </cell>
          <cell r="W2219" t="str">
            <v>-</v>
          </cell>
        </row>
        <row r="2220">
          <cell r="F2220" t="str">
            <v>CHEN01V068</v>
          </cell>
          <cell r="G2220" t="str">
            <v>VODA ENVIRO</v>
          </cell>
          <cell r="H2220" t="str">
            <v>-</v>
          </cell>
          <cell r="J2220" t="str">
            <v>Domestic</v>
          </cell>
          <cell r="K2220" t="str">
            <v>-</v>
          </cell>
          <cell r="L2220" t="str">
            <v>Non-Sugar</v>
          </cell>
          <cell r="O2220" t="str">
            <v>-</v>
          </cell>
          <cell r="P2220" t="str">
            <v>-</v>
          </cell>
          <cell r="Q2220" t="str">
            <v>-</v>
          </cell>
          <cell r="R2220" t="str">
            <v>-</v>
          </cell>
          <cell r="T2220" t="str">
            <v>-</v>
          </cell>
          <cell r="U2220" t="str">
            <v>-</v>
          </cell>
          <cell r="W2220" t="str">
            <v>-</v>
          </cell>
        </row>
        <row r="2221">
          <cell r="F2221" t="str">
            <v>BANG01V042</v>
          </cell>
          <cell r="G2221" t="str">
            <v>VRL AUTOMATION ENG. &amp; PROJECTS PVT LTD (G)</v>
          </cell>
          <cell r="H2221" t="str">
            <v>-</v>
          </cell>
          <cell r="J2221" t="str">
            <v>Domestic</v>
          </cell>
          <cell r="K2221" t="str">
            <v>Others</v>
          </cell>
          <cell r="L2221" t="str">
            <v>Non-Sugar</v>
          </cell>
          <cell r="M2221" t="str">
            <v>OEM</v>
          </cell>
          <cell r="P2221" t="str">
            <v>SI-GS</v>
          </cell>
          <cell r="Q2221" t="str">
            <v>SI-GS</v>
          </cell>
          <cell r="W2221" t="str">
            <v>-</v>
          </cell>
        </row>
        <row r="2222">
          <cell r="F2222" t="str">
            <v>BANG01V041</v>
          </cell>
          <cell r="G2222" t="str">
            <v>VRL AUTOMATION ENGINEERING&amp;PROJECTS (P) LTD</v>
          </cell>
          <cell r="H2222" t="str">
            <v>-</v>
          </cell>
          <cell r="J2222" t="str">
            <v>Domestic</v>
          </cell>
          <cell r="K2222" t="str">
            <v>OEM</v>
          </cell>
          <cell r="L2222" t="str">
            <v>Non-Sugar</v>
          </cell>
          <cell r="M2222" t="str">
            <v>OEM</v>
          </cell>
          <cell r="P2222" t="str">
            <v>SI-GS</v>
          </cell>
          <cell r="Q2222" t="str">
            <v>SI-GS</v>
          </cell>
          <cell r="W2222" t="str">
            <v>-</v>
          </cell>
        </row>
        <row r="2223">
          <cell r="F2223" t="str">
            <v>VIET01V027</v>
          </cell>
          <cell r="G2223" t="str">
            <v>VU LE TECHNOLOGY CO LTD CLOSED</v>
          </cell>
          <cell r="H2223" t="str">
            <v>-</v>
          </cell>
          <cell r="J2223" t="str">
            <v>Export</v>
          </cell>
          <cell r="P2223" t="str">
            <v>VA</v>
          </cell>
          <cell r="Q2223" t="str">
            <v>-</v>
          </cell>
        </row>
        <row r="2224">
          <cell r="F2224" t="str">
            <v>CHEN01V064</v>
          </cell>
          <cell r="G2224" t="str">
            <v>VULCAN ELASTOLAN</v>
          </cell>
          <cell r="H2224" t="str">
            <v>-</v>
          </cell>
          <cell r="J2224" t="str">
            <v>Domestic</v>
          </cell>
          <cell r="K2224" t="str">
            <v>-</v>
          </cell>
          <cell r="L2224" t="str">
            <v>Non-Sugar</v>
          </cell>
          <cell r="O2224" t="str">
            <v>-</v>
          </cell>
          <cell r="P2224" t="str">
            <v>-</v>
          </cell>
          <cell r="Q2224" t="str">
            <v>-</v>
          </cell>
          <cell r="R2224" t="str">
            <v>-</v>
          </cell>
          <cell r="T2224" t="str">
            <v>-</v>
          </cell>
          <cell r="U2224" t="str">
            <v>-</v>
          </cell>
          <cell r="W2224" t="str">
            <v>-</v>
          </cell>
        </row>
        <row r="2225">
          <cell r="F2225" t="str">
            <v>CHEN01V062</v>
          </cell>
          <cell r="G2225" t="str">
            <v>VULCAN ELASTON</v>
          </cell>
          <cell r="H2225" t="str">
            <v>-</v>
          </cell>
          <cell r="J2225" t="str">
            <v>Domestic</v>
          </cell>
          <cell r="K2225" t="str">
            <v>-</v>
          </cell>
          <cell r="L2225" t="str">
            <v>Non-Sugar</v>
          </cell>
          <cell r="O2225" t="str">
            <v>-</v>
          </cell>
          <cell r="P2225" t="str">
            <v>-</v>
          </cell>
          <cell r="Q2225" t="str">
            <v>-</v>
          </cell>
          <cell r="R2225" t="str">
            <v>-</v>
          </cell>
          <cell r="T2225" t="str">
            <v>-</v>
          </cell>
          <cell r="U2225" t="str">
            <v>-</v>
          </cell>
          <cell r="W2225" t="str">
            <v>-</v>
          </cell>
        </row>
        <row r="2226">
          <cell r="F2226" t="str">
            <v>SOLP01W007</v>
          </cell>
          <cell r="G2226" t="str">
            <v>WALCHANDNAGAR INDS (A/C BHAIRAVNATH )</v>
          </cell>
          <cell r="H2226" t="str">
            <v>-</v>
          </cell>
          <cell r="J2226" t="str">
            <v>Domestic</v>
          </cell>
          <cell r="P2226" t="str">
            <v>LGP</v>
          </cell>
          <cell r="Q2226" t="str">
            <v>-</v>
          </cell>
        </row>
        <row r="2227">
          <cell r="F2227" t="str">
            <v>SOLP01W008</v>
          </cell>
          <cell r="G2227" t="str">
            <v>WALCHANDNAGAR INDS (A/C INDRESWAR SUGAR )</v>
          </cell>
          <cell r="H2227" t="str">
            <v>-</v>
          </cell>
          <cell r="J2227" t="str">
            <v>Domestic</v>
          </cell>
          <cell r="P2227" t="str">
            <v>LGP</v>
          </cell>
          <cell r="Q2227" t="str">
            <v>-</v>
          </cell>
        </row>
        <row r="2228">
          <cell r="F2228" t="str">
            <v>PUNE01W009</v>
          </cell>
          <cell r="G2228" t="str">
            <v>WALCHANDNAGAR INDS (KARMYOGI )</v>
          </cell>
          <cell r="H2228" t="str">
            <v>-</v>
          </cell>
          <cell r="J2228" t="str">
            <v>Domestic</v>
          </cell>
          <cell r="P2228" t="str">
            <v>LGP</v>
          </cell>
          <cell r="Q2228" t="str">
            <v>-</v>
          </cell>
        </row>
        <row r="2229">
          <cell r="F2229" t="str">
            <v>BAGL01W010</v>
          </cell>
          <cell r="G2229" t="str">
            <v>WALCHANDNAGAR INDS LTD (SADASIVA SUGAR</v>
          </cell>
          <cell r="H2229" t="str">
            <v>-</v>
          </cell>
          <cell r="J2229" t="str">
            <v>Domestic</v>
          </cell>
          <cell r="P2229" t="str">
            <v>AV</v>
          </cell>
          <cell r="Q2229" t="str">
            <v>-</v>
          </cell>
        </row>
        <row r="2230">
          <cell r="F2230" t="str">
            <v>PUNE01W011</v>
          </cell>
          <cell r="G2230" t="str">
            <v>WALCHANDNAGAR INDUSTRIES LTD (KAMBODIA0</v>
          </cell>
          <cell r="H2230" t="str">
            <v>-</v>
          </cell>
          <cell r="J2230" t="str">
            <v>Domestic</v>
          </cell>
          <cell r="P2230" t="str">
            <v>LGP</v>
          </cell>
          <cell r="Q2230" t="str">
            <v>-</v>
          </cell>
        </row>
        <row r="2231">
          <cell r="F2231" t="str">
            <v>PUNE01W002</v>
          </cell>
          <cell r="G2231" t="str">
            <v>WALCHANDNAGAR INDUSTRIES LTD.</v>
          </cell>
          <cell r="H2231" t="str">
            <v>-</v>
          </cell>
          <cell r="J2231" t="str">
            <v>Domestic</v>
          </cell>
          <cell r="P2231" t="str">
            <v>LGP</v>
          </cell>
          <cell r="Q2231" t="str">
            <v>-</v>
          </cell>
        </row>
        <row r="2232">
          <cell r="F2232" t="str">
            <v>PUNE01W014</v>
          </cell>
          <cell r="G2232" t="str">
            <v>WALCHANDNAGAR INDUSTRIES LTD. (EXPORT)</v>
          </cell>
          <cell r="H2232" t="str">
            <v>-</v>
          </cell>
          <cell r="J2232" t="str">
            <v>Domestic</v>
          </cell>
          <cell r="P2232" t="str">
            <v>LGP</v>
          </cell>
          <cell r="Q2232" t="str">
            <v>-</v>
          </cell>
        </row>
        <row r="2233">
          <cell r="F2233" t="str">
            <v>MUMB01W003</v>
          </cell>
          <cell r="G2233" t="str">
            <v>WALCHANDNAGAR INDUSTRIES LTD. (EXPORT)</v>
          </cell>
          <cell r="H2233" t="str">
            <v>-</v>
          </cell>
          <cell r="J2233" t="str">
            <v>Domestic</v>
          </cell>
          <cell r="P2233" t="str">
            <v>LGP</v>
          </cell>
          <cell r="Q2233" t="str">
            <v>-</v>
          </cell>
        </row>
        <row r="2234">
          <cell r="F2234" t="str">
            <v>AJME01W034</v>
          </cell>
          <cell r="G2234" t="str">
            <v>WASEER TECHNO CHEM AJMER</v>
          </cell>
          <cell r="H2234" t="str">
            <v>-</v>
          </cell>
          <cell r="J2234" t="str">
            <v>Domestic</v>
          </cell>
          <cell r="K2234" t="str">
            <v>-</v>
          </cell>
          <cell r="L2234" t="str">
            <v>Non-Sugar</v>
          </cell>
          <cell r="O2234" t="str">
            <v>-</v>
          </cell>
          <cell r="P2234" t="str">
            <v>-</v>
          </cell>
          <cell r="Q2234" t="str">
            <v>-</v>
          </cell>
          <cell r="R2234" t="str">
            <v>-</v>
          </cell>
          <cell r="T2234" t="str">
            <v>-</v>
          </cell>
          <cell r="U2234" t="str">
            <v>-</v>
          </cell>
          <cell r="W2234" t="str">
            <v>-</v>
          </cell>
        </row>
        <row r="2235">
          <cell r="F2235" t="str">
            <v>BANK01W016</v>
          </cell>
          <cell r="G2235" t="str">
            <v>WATER FIELD ASIA CO LTD</v>
          </cell>
          <cell r="H2235" t="str">
            <v>-</v>
          </cell>
          <cell r="J2235" t="str">
            <v>Export</v>
          </cell>
          <cell r="K2235" t="str">
            <v>-</v>
          </cell>
          <cell r="L2235" t="str">
            <v>Non-Sugar</v>
          </cell>
          <cell r="O2235" t="str">
            <v>-</v>
          </cell>
          <cell r="P2235" t="str">
            <v>-</v>
          </cell>
          <cell r="Q2235" t="str">
            <v>VG</v>
          </cell>
          <cell r="R2235" t="str">
            <v>-</v>
          </cell>
          <cell r="T2235" t="str">
            <v>-</v>
          </cell>
          <cell r="U2235" t="str">
            <v>-</v>
          </cell>
          <cell r="W2235" t="str">
            <v>-</v>
          </cell>
        </row>
        <row r="2236">
          <cell r="F2236" t="str">
            <v>BANG01W030</v>
          </cell>
          <cell r="G2236" t="str">
            <v>WATER INNOVATION SYESTEM</v>
          </cell>
          <cell r="H2236" t="str">
            <v>-</v>
          </cell>
          <cell r="J2236" t="str">
            <v>Domestic</v>
          </cell>
          <cell r="K2236" t="str">
            <v>-</v>
          </cell>
          <cell r="L2236" t="str">
            <v>Non-Sugar</v>
          </cell>
          <cell r="O2236" t="str">
            <v>-</v>
          </cell>
          <cell r="P2236" t="str">
            <v>-</v>
          </cell>
          <cell r="Q2236" t="str">
            <v>-</v>
          </cell>
          <cell r="R2236" t="str">
            <v>-</v>
          </cell>
          <cell r="T2236" t="str">
            <v>-</v>
          </cell>
          <cell r="U2236" t="str">
            <v>-</v>
          </cell>
          <cell r="W2236" t="str">
            <v>-</v>
          </cell>
        </row>
        <row r="2237">
          <cell r="F2237" t="str">
            <v>KANP01W022</v>
          </cell>
          <cell r="G2237" t="str">
            <v>WATER SOLUTIONS</v>
          </cell>
          <cell r="H2237" t="str">
            <v>19-20</v>
          </cell>
          <cell r="J2237" t="str">
            <v>Domestic</v>
          </cell>
          <cell r="K2237" t="str">
            <v>OTHERS</v>
          </cell>
          <cell r="L2237" t="str">
            <v>Non-Sugar</v>
          </cell>
          <cell r="M2237" t="str">
            <v>OEM</v>
          </cell>
          <cell r="O2237" t="str">
            <v>-</v>
          </cell>
          <cell r="P2237" t="str">
            <v>VA</v>
          </cell>
          <cell r="Q2237" t="str">
            <v>-</v>
          </cell>
          <cell r="T2237" t="str">
            <v>-</v>
          </cell>
          <cell r="U2237" t="str">
            <v>-</v>
          </cell>
          <cell r="W2237" t="str">
            <v>-</v>
          </cell>
        </row>
        <row r="2238">
          <cell r="F2238" t="str">
            <v>AMRO01W018</v>
          </cell>
          <cell r="G2238" t="str">
            <v>WAVE INDUSTRIES PVT LTD</v>
          </cell>
          <cell r="H2238" t="str">
            <v>-</v>
          </cell>
          <cell r="J2238" t="str">
            <v>Domestic</v>
          </cell>
          <cell r="K2238" t="str">
            <v>-</v>
          </cell>
          <cell r="L2238" t="str">
            <v>Non-Sugar</v>
          </cell>
          <cell r="O2238" t="str">
            <v>-</v>
          </cell>
          <cell r="P2238" t="str">
            <v>-</v>
          </cell>
          <cell r="Q2238" t="str">
            <v>-</v>
          </cell>
          <cell r="R2238" t="str">
            <v>-</v>
          </cell>
          <cell r="T2238" t="str">
            <v>-</v>
          </cell>
          <cell r="U2238" t="str">
            <v>-</v>
          </cell>
          <cell r="W2238" t="str">
            <v>-</v>
          </cell>
        </row>
        <row r="2239">
          <cell r="F2239" t="str">
            <v>PUNE01W033</v>
          </cell>
          <cell r="G2239" t="str">
            <v>WAX FILTRATION</v>
          </cell>
          <cell r="H2239" t="str">
            <v>-</v>
          </cell>
          <cell r="J2239" t="str">
            <v>Domestic</v>
          </cell>
          <cell r="K2239" t="str">
            <v>-</v>
          </cell>
          <cell r="L2239" t="str">
            <v>Non-Sugar</v>
          </cell>
          <cell r="O2239" t="str">
            <v>-</v>
          </cell>
          <cell r="P2239" t="str">
            <v>-</v>
          </cell>
          <cell r="Q2239" t="str">
            <v>-</v>
          </cell>
          <cell r="R2239" t="str">
            <v>-</v>
          </cell>
          <cell r="T2239" t="str">
            <v>-</v>
          </cell>
          <cell r="U2239" t="str">
            <v>-</v>
          </cell>
          <cell r="W2239" t="str">
            <v>-</v>
          </cell>
        </row>
        <row r="2240">
          <cell r="F2240" t="str">
            <v>KISM01W019</v>
          </cell>
          <cell r="G2240" t="str">
            <v>WESTERN EMPORIUM (1975) LTD</v>
          </cell>
          <cell r="H2240">
            <v>2017</v>
          </cell>
          <cell r="J2240" t="str">
            <v>Export</v>
          </cell>
          <cell r="K2240" t="str">
            <v>-</v>
          </cell>
          <cell r="L2240" t="str">
            <v>Non-Sugar</v>
          </cell>
          <cell r="O2240" t="str">
            <v>-</v>
          </cell>
          <cell r="P2240" t="str">
            <v>-</v>
          </cell>
          <cell r="Q2240" t="str">
            <v>-</v>
          </cell>
          <cell r="R2240" t="str">
            <v>-</v>
          </cell>
          <cell r="T2240" t="str">
            <v>-</v>
          </cell>
          <cell r="U2240" t="str">
            <v>-</v>
          </cell>
          <cell r="W2240" t="str">
            <v>-</v>
          </cell>
        </row>
        <row r="2241">
          <cell r="F2241" t="str">
            <v>MUMB01J037</v>
          </cell>
          <cell r="G2241" t="str">
            <v>WILSON SANDHU LOGISTICS (INDIA) LTD.</v>
          </cell>
          <cell r="H2241" t="str">
            <v>-</v>
          </cell>
          <cell r="J2241" t="str">
            <v>Domestic</v>
          </cell>
          <cell r="K2241" t="str">
            <v>-</v>
          </cell>
          <cell r="L2241" t="str">
            <v>Non-Sugar</v>
          </cell>
          <cell r="O2241" t="str">
            <v>-</v>
          </cell>
          <cell r="P2241" t="str">
            <v>-</v>
          </cell>
          <cell r="Q2241" t="str">
            <v>-</v>
          </cell>
          <cell r="R2241" t="str">
            <v>-</v>
          </cell>
          <cell r="T2241" t="str">
            <v>-</v>
          </cell>
          <cell r="U2241" t="str">
            <v>-</v>
          </cell>
          <cell r="W2241" t="str">
            <v>-</v>
          </cell>
        </row>
        <row r="2242">
          <cell r="F2242" t="str">
            <v>SURD01W027</v>
          </cell>
          <cell r="G2242" t="str">
            <v>WIRA MANDIRI UTAMA</v>
          </cell>
          <cell r="H2242" t="str">
            <v>-</v>
          </cell>
          <cell r="J2242" t="str">
            <v>Export</v>
          </cell>
          <cell r="K2242" t="str">
            <v>-</v>
          </cell>
          <cell r="L2242" t="str">
            <v>Non-Sugar</v>
          </cell>
          <cell r="O2242" t="str">
            <v>-</v>
          </cell>
          <cell r="P2242" t="str">
            <v>-</v>
          </cell>
          <cell r="Q2242" t="str">
            <v>-</v>
          </cell>
          <cell r="R2242" t="str">
            <v>-</v>
          </cell>
          <cell r="T2242" t="str">
            <v>-</v>
          </cell>
          <cell r="U2242" t="str">
            <v>-</v>
          </cell>
          <cell r="W2242" t="str">
            <v>-</v>
          </cell>
        </row>
        <row r="2243">
          <cell r="F2243" t="str">
            <v>MUMB01W029</v>
          </cell>
          <cell r="G2243" t="str">
            <v>WORLEY CONSULTANT</v>
          </cell>
          <cell r="H2243" t="str">
            <v>-</v>
          </cell>
          <cell r="J2243" t="str">
            <v>Domestic</v>
          </cell>
          <cell r="K2243" t="str">
            <v>-</v>
          </cell>
          <cell r="L2243" t="str">
            <v>Non-Sugar</v>
          </cell>
          <cell r="O2243" t="str">
            <v>-</v>
          </cell>
          <cell r="P2243" t="str">
            <v>-</v>
          </cell>
          <cell r="Q2243" t="str">
            <v>-</v>
          </cell>
          <cell r="R2243" t="str">
            <v>-</v>
          </cell>
          <cell r="T2243" t="str">
            <v>-</v>
          </cell>
          <cell r="U2243" t="str">
            <v>-</v>
          </cell>
          <cell r="W2243" t="str">
            <v>-</v>
          </cell>
        </row>
        <row r="2244">
          <cell r="F2244" t="str">
            <v>MUMB01W031</v>
          </cell>
          <cell r="G2244" t="str">
            <v>WR PALWANKAR BROTHERS PVT.LTD.</v>
          </cell>
          <cell r="H2244" t="str">
            <v>-</v>
          </cell>
          <cell r="J2244" t="str">
            <v>Domestic</v>
          </cell>
          <cell r="K2244" t="str">
            <v>-</v>
          </cell>
          <cell r="L2244" t="str">
            <v>Non-Sugar</v>
          </cell>
          <cell r="O2244" t="str">
            <v>-</v>
          </cell>
          <cell r="P2244" t="str">
            <v>-</v>
          </cell>
          <cell r="Q2244" t="str">
            <v>-</v>
          </cell>
          <cell r="R2244" t="str">
            <v>-</v>
          </cell>
          <cell r="T2244" t="str">
            <v>-</v>
          </cell>
          <cell r="U2244" t="str">
            <v>-</v>
          </cell>
          <cell r="W2244" t="str">
            <v>-</v>
          </cell>
        </row>
        <row r="2245">
          <cell r="F2245" t="str">
            <v>SANG01S233</v>
          </cell>
          <cell r="G2245" t="str">
            <v>X</v>
          </cell>
          <cell r="H2245" t="str">
            <v>-</v>
          </cell>
          <cell r="J2245" t="str">
            <v>Domestic</v>
          </cell>
          <cell r="K2245" t="str">
            <v>others</v>
          </cell>
          <cell r="L2245" t="str">
            <v>Non-Sugar</v>
          </cell>
          <cell r="M2245" t="str">
            <v>Trader</v>
          </cell>
          <cell r="O2245" t="str">
            <v>-</v>
          </cell>
          <cell r="P2245" t="str">
            <v>-</v>
          </cell>
          <cell r="Q2245" t="str">
            <v>-</v>
          </cell>
          <cell r="R2245" t="str">
            <v>-</v>
          </cell>
          <cell r="T2245" t="str">
            <v>-</v>
          </cell>
          <cell r="W2245" t="str">
            <v>-</v>
          </cell>
        </row>
        <row r="2246">
          <cell r="F2246" t="str">
            <v>PUNE01X003</v>
          </cell>
          <cell r="G2246" t="str">
            <v>XEON WASTE MANAGERS PVT. LTD.</v>
          </cell>
          <cell r="H2246" t="str">
            <v>-</v>
          </cell>
          <cell r="J2246" t="str">
            <v>Domestic</v>
          </cell>
          <cell r="K2246" t="str">
            <v>-</v>
          </cell>
          <cell r="L2246" t="str">
            <v>Non-Sugar</v>
          </cell>
          <cell r="O2246" t="str">
            <v>-</v>
          </cell>
          <cell r="P2246" t="str">
            <v>-</v>
          </cell>
          <cell r="Q2246" t="str">
            <v>-</v>
          </cell>
          <cell r="R2246" t="str">
            <v>-</v>
          </cell>
          <cell r="T2246" t="str">
            <v>-</v>
          </cell>
          <cell r="U2246" t="str">
            <v>-</v>
          </cell>
          <cell r="W2246" t="str">
            <v>-</v>
          </cell>
        </row>
        <row r="2247">
          <cell r="F2247" t="str">
            <v>MUMB01X005</v>
          </cell>
          <cell r="G2247" t="str">
            <v>XSEL ENGINEERING</v>
          </cell>
          <cell r="H2247" t="str">
            <v>-</v>
          </cell>
          <cell r="J2247" t="str">
            <v>Domestic</v>
          </cell>
          <cell r="K2247" t="str">
            <v>-</v>
          </cell>
          <cell r="L2247" t="str">
            <v>Non-Sugar</v>
          </cell>
          <cell r="O2247" t="str">
            <v>-</v>
          </cell>
          <cell r="P2247" t="str">
            <v>-</v>
          </cell>
          <cell r="Q2247" t="str">
            <v>-</v>
          </cell>
          <cell r="R2247" t="str">
            <v>-</v>
          </cell>
          <cell r="T2247" t="str">
            <v>-</v>
          </cell>
          <cell r="U2247" t="str">
            <v>-</v>
          </cell>
          <cell r="W2247" t="str">
            <v>-</v>
          </cell>
        </row>
        <row r="2248">
          <cell r="F2248" t="str">
            <v>SANR01Y008</v>
          </cell>
          <cell r="G2248" t="str">
            <v>YADU CORPORATION</v>
          </cell>
          <cell r="H2248" t="str">
            <v>-</v>
          </cell>
          <cell r="J2248" t="str">
            <v>Domestic</v>
          </cell>
          <cell r="K2248" t="str">
            <v>-</v>
          </cell>
          <cell r="L2248" t="str">
            <v>Non-Sugar</v>
          </cell>
          <cell r="O2248" t="str">
            <v>-</v>
          </cell>
          <cell r="P2248" t="str">
            <v>-</v>
          </cell>
          <cell r="Q2248" t="str">
            <v>-</v>
          </cell>
          <cell r="R2248" t="str">
            <v>-</v>
          </cell>
          <cell r="T2248" t="str">
            <v>-</v>
          </cell>
          <cell r="U2248" t="str">
            <v>-</v>
          </cell>
          <cell r="W2248" t="str">
            <v>-</v>
          </cell>
        </row>
        <row r="2249">
          <cell r="F2249" t="str">
            <v>DLHI01Y012</v>
          </cell>
          <cell r="G2249" t="str">
            <v>YASASU EMS PVT LTD - VALMIKI</v>
          </cell>
          <cell r="H2249" t="str">
            <v>-</v>
          </cell>
          <cell r="J2249" t="str">
            <v>Domestic</v>
          </cell>
          <cell r="K2249" t="str">
            <v>-</v>
          </cell>
          <cell r="L2249" t="str">
            <v>Non-Sugar</v>
          </cell>
          <cell r="O2249" t="str">
            <v>-</v>
          </cell>
          <cell r="P2249" t="str">
            <v>-</v>
          </cell>
          <cell r="Q2249" t="str">
            <v>-</v>
          </cell>
          <cell r="R2249" t="str">
            <v>-</v>
          </cell>
          <cell r="T2249" t="str">
            <v>-</v>
          </cell>
          <cell r="U2249" t="str">
            <v>-</v>
          </cell>
          <cell r="W2249" t="str">
            <v>-</v>
          </cell>
        </row>
        <row r="2250">
          <cell r="F2250" t="str">
            <v>DLHI01Y010</v>
          </cell>
          <cell r="G2250" t="str">
            <v>YASASU EMS PVT LTD - VASANT KUNJ</v>
          </cell>
          <cell r="H2250" t="str">
            <v>-</v>
          </cell>
          <cell r="J2250" t="str">
            <v>Domestic</v>
          </cell>
          <cell r="K2250" t="str">
            <v>-</v>
          </cell>
          <cell r="L2250" t="str">
            <v>Non-Sugar</v>
          </cell>
          <cell r="O2250" t="str">
            <v>-</v>
          </cell>
          <cell r="P2250" t="str">
            <v>-</v>
          </cell>
          <cell r="Q2250" t="str">
            <v>-</v>
          </cell>
          <cell r="R2250" t="str">
            <v>-</v>
          </cell>
          <cell r="T2250" t="str">
            <v>-</v>
          </cell>
          <cell r="U2250" t="str">
            <v>-</v>
          </cell>
          <cell r="W2250" t="str">
            <v>-</v>
          </cell>
        </row>
        <row r="2251">
          <cell r="F2251" t="str">
            <v>AHMD01Y002</v>
          </cell>
          <cell r="G2251" t="str">
            <v>YASH ENGINEERING WORKS</v>
          </cell>
          <cell r="H2251" t="str">
            <v>-</v>
          </cell>
          <cell r="J2251" t="str">
            <v>Domestic</v>
          </cell>
          <cell r="K2251" t="str">
            <v>others</v>
          </cell>
          <cell r="L2251" t="str">
            <v>Non-Sugar</v>
          </cell>
          <cell r="M2251" t="str">
            <v>OEM</v>
          </cell>
          <cell r="O2251" t="str">
            <v>-</v>
          </cell>
          <cell r="P2251" t="str">
            <v>-</v>
          </cell>
          <cell r="Q2251" t="str">
            <v>-</v>
          </cell>
          <cell r="R2251" t="str">
            <v>-</v>
          </cell>
          <cell r="T2251" t="str">
            <v>-</v>
          </cell>
          <cell r="W2251" t="str">
            <v>-</v>
          </cell>
        </row>
        <row r="2252">
          <cell r="F2252" t="str">
            <v>BHAR01Y006</v>
          </cell>
          <cell r="G2252" t="str">
            <v>YASHDEEP CHEMICALS (INDIA) PVT. LTD.</v>
          </cell>
          <cell r="H2252">
            <v>2014</v>
          </cell>
          <cell r="J2252" t="str">
            <v>Domestic</v>
          </cell>
          <cell r="K2252" t="str">
            <v>CHEMICAL</v>
          </cell>
          <cell r="L2252" t="str">
            <v>Non-Sugar</v>
          </cell>
          <cell r="M2252" t="str">
            <v>End User</v>
          </cell>
          <cell r="O2252" t="str">
            <v>-</v>
          </cell>
          <cell r="P2252" t="str">
            <v>-</v>
          </cell>
          <cell r="Q2252" t="str">
            <v>-</v>
          </cell>
          <cell r="R2252" t="str">
            <v>-</v>
          </cell>
          <cell r="T2252" t="str">
            <v>-</v>
          </cell>
          <cell r="U2252" t="str">
            <v>-</v>
          </cell>
          <cell r="W2252" t="str">
            <v>-</v>
          </cell>
        </row>
        <row r="2253">
          <cell r="F2253" t="str">
            <v>SANG01Y016</v>
          </cell>
          <cell r="G2253" t="str">
            <v>YASWANAT SUGAR &amp; POWER LTD (Renamed to Bharti Sugar and fuels pvt ltd)</v>
          </cell>
          <cell r="H2253" t="str">
            <v>-</v>
          </cell>
          <cell r="J2253" t="str">
            <v>Domestic</v>
          </cell>
          <cell r="K2253" t="str">
            <v>Sugar</v>
          </cell>
          <cell r="M2253" t="str">
            <v>End User</v>
          </cell>
          <cell r="O2253" t="str">
            <v>-</v>
          </cell>
          <cell r="P2253" t="str">
            <v>-</v>
          </cell>
          <cell r="Q2253" t="str">
            <v>-</v>
          </cell>
          <cell r="R2253" t="str">
            <v>-</v>
          </cell>
          <cell r="T2253" t="str">
            <v>-</v>
          </cell>
          <cell r="W2253" t="str">
            <v>-</v>
          </cell>
        </row>
        <row r="2254">
          <cell r="F2254" t="str">
            <v>SOLP01A042</v>
          </cell>
          <cell r="G2254" t="str">
            <v>YEDESHWARI AGRO PRODUCT LTD UNIT 2 (formerly ARYAN SUGARS LTD_A044/A042)</v>
          </cell>
          <cell r="H2254">
            <v>2012</v>
          </cell>
          <cell r="J2254" t="str">
            <v>Domestic</v>
          </cell>
          <cell r="K2254" t="str">
            <v>Sugar</v>
          </cell>
          <cell r="L2254" t="str">
            <v>Sugar</v>
          </cell>
          <cell r="M2254" t="str">
            <v>End User</v>
          </cell>
          <cell r="N2254" t="str">
            <v>(0-5000)</v>
          </cell>
          <cell r="O2254" t="str">
            <v>4900</v>
          </cell>
          <cell r="P2254" t="str">
            <v>AV</v>
          </cell>
          <cell r="Q2254" t="str">
            <v>AV</v>
          </cell>
          <cell r="T2254" t="str">
            <v>Solapur - 2</v>
          </cell>
          <cell r="U2254" t="str">
            <v>23-24</v>
          </cell>
          <cell r="W2254" t="str">
            <v>2/16/2024</v>
          </cell>
        </row>
        <row r="2255">
          <cell r="F2255" t="str">
            <v>HODE01Y007</v>
          </cell>
          <cell r="G2255" t="str">
            <v>YEMEN COMPANY FOR SUGAR REFINING</v>
          </cell>
          <cell r="H2255">
            <v>2015</v>
          </cell>
          <cell r="J2255" t="str">
            <v>Export</v>
          </cell>
          <cell r="K2255" t="str">
            <v>Sugar</v>
          </cell>
          <cell r="L2255" t="str">
            <v>Sugar</v>
          </cell>
          <cell r="M2255" t="str">
            <v>End User</v>
          </cell>
          <cell r="O2255" t="str">
            <v>-</v>
          </cell>
          <cell r="P2255" t="str">
            <v>-</v>
          </cell>
          <cell r="Q2255" t="str">
            <v>-</v>
          </cell>
          <cell r="R2255" t="str">
            <v>-</v>
          </cell>
          <cell r="T2255" t="str">
            <v>-</v>
          </cell>
          <cell r="U2255" t="str">
            <v>-</v>
          </cell>
          <cell r="W2255" t="str">
            <v>-</v>
          </cell>
        </row>
        <row r="2256">
          <cell r="F2256" t="str">
            <v>ZANZ01Z002</v>
          </cell>
          <cell r="G2256" t="str">
            <v>ZANZIBAR SUGAR FACTORY</v>
          </cell>
          <cell r="H2256" t="str">
            <v>-</v>
          </cell>
          <cell r="J2256" t="str">
            <v>Export</v>
          </cell>
          <cell r="K2256" t="str">
            <v>Sugar</v>
          </cell>
          <cell r="L2256" t="str">
            <v>Sugar</v>
          </cell>
          <cell r="M2256" t="str">
            <v>End User</v>
          </cell>
          <cell r="O2256" t="str">
            <v>-</v>
          </cell>
          <cell r="P2256" t="str">
            <v>-</v>
          </cell>
          <cell r="Q2256" t="str">
            <v>-</v>
          </cell>
          <cell r="R2256" t="str">
            <v>-</v>
          </cell>
          <cell r="T2256" t="str">
            <v>-</v>
          </cell>
          <cell r="U2256" t="str">
            <v>-</v>
          </cell>
          <cell r="W2256" t="str">
            <v>-</v>
          </cell>
        </row>
        <row r="2257">
          <cell r="F2257" t="str">
            <v>GHZB01Z001</v>
          </cell>
          <cell r="G2257" t="str">
            <v>ZOY IMPEX</v>
          </cell>
          <cell r="H2257" t="str">
            <v>-</v>
          </cell>
          <cell r="J2257" t="str">
            <v>Domestic</v>
          </cell>
          <cell r="K2257" t="str">
            <v>-</v>
          </cell>
          <cell r="L2257" t="str">
            <v>Non-Sugar</v>
          </cell>
          <cell r="O2257" t="str">
            <v>-</v>
          </cell>
          <cell r="P2257" t="str">
            <v>-</v>
          </cell>
          <cell r="Q2257" t="str">
            <v>-</v>
          </cell>
          <cell r="R2257" t="str">
            <v>-</v>
          </cell>
          <cell r="T2257" t="str">
            <v>-</v>
          </cell>
          <cell r="U2257" t="str">
            <v>-</v>
          </cell>
          <cell r="W2257" t="str">
            <v>-</v>
          </cell>
        </row>
        <row r="2258">
          <cell r="F2258" t="str">
            <v>NARS01A117</v>
          </cell>
          <cell r="G2258" t="str">
            <v>AAKRITI SUGAR MILLS PVT LTD</v>
          </cell>
          <cell r="H2258" t="str">
            <v>-</v>
          </cell>
          <cell r="J2258" t="str">
            <v>Domestic</v>
          </cell>
          <cell r="K2258" t="str">
            <v>Sugar</v>
          </cell>
          <cell r="L2258" t="str">
            <v>Sugar</v>
          </cell>
          <cell r="M2258" t="str">
            <v>End User</v>
          </cell>
          <cell r="O2258" t="str">
            <v>-</v>
          </cell>
          <cell r="P2258" t="str">
            <v>-</v>
          </cell>
          <cell r="Q2258" t="str">
            <v>-</v>
          </cell>
          <cell r="R2258" t="str">
            <v>-</v>
          </cell>
          <cell r="T2258" t="str">
            <v>-</v>
          </cell>
          <cell r="U2258" t="str">
            <v>-</v>
          </cell>
          <cell r="W2258" t="str">
            <v>-</v>
          </cell>
        </row>
        <row r="2259">
          <cell r="F2259" t="str">
            <v>NANA01A058</v>
          </cell>
          <cell r="G2259" t="str">
            <v>ACTION ENGINEERING CO. LTD.</v>
          </cell>
          <cell r="H2259" t="str">
            <v>-</v>
          </cell>
          <cell r="J2259" t="str">
            <v>Export</v>
          </cell>
          <cell r="K2259" t="str">
            <v>Non-Sugar</v>
          </cell>
          <cell r="L2259" t="str">
            <v>Non-Sugar</v>
          </cell>
          <cell r="O2259" t="str">
            <v>-</v>
          </cell>
          <cell r="P2259" t="str">
            <v>-</v>
          </cell>
          <cell r="Q2259" t="str">
            <v>-</v>
          </cell>
        </row>
        <row r="2260">
          <cell r="F2260" t="str">
            <v>PUNE01A204</v>
          </cell>
          <cell r="G2260" t="str">
            <v>ALCO - TECH ENGINEERING</v>
          </cell>
          <cell r="H2260">
            <v>2023</v>
          </cell>
          <cell r="J2260" t="str">
            <v>Domestic</v>
          </cell>
          <cell r="K2260" t="str">
            <v>-</v>
          </cell>
          <cell r="M2260" t="str">
            <v>OEM</v>
          </cell>
          <cell r="O2260" t="str">
            <v>-</v>
          </cell>
          <cell r="P2260" t="str">
            <v>-</v>
          </cell>
          <cell r="Q2260" t="str">
            <v>-</v>
          </cell>
          <cell r="R2260" t="str">
            <v>-</v>
          </cell>
          <cell r="T2260" t="str">
            <v>-</v>
          </cell>
          <cell r="U2260" t="str">
            <v>-</v>
          </cell>
          <cell r="W2260" t="str">
            <v>-</v>
          </cell>
        </row>
        <row r="2261">
          <cell r="F2261" t="str">
            <v>NANA01A068</v>
          </cell>
          <cell r="G2261" t="str">
            <v>ANNAPURNA SUGARS</v>
          </cell>
          <cell r="H2261" t="str">
            <v>-</v>
          </cell>
          <cell r="J2261" t="str">
            <v>Domestic</v>
          </cell>
          <cell r="L2261" t="str">
            <v>Non-Sugar</v>
          </cell>
          <cell r="O2261" t="str">
            <v>-</v>
          </cell>
          <cell r="P2261" t="str">
            <v>-</v>
          </cell>
          <cell r="Q2261" t="str">
            <v>-</v>
          </cell>
        </row>
        <row r="2262">
          <cell r="F2262" t="str">
            <v>PUNE01A186</v>
          </cell>
          <cell r="G2262" t="str">
            <v>ARYAN BOILERS</v>
          </cell>
          <cell r="H2262" t="str">
            <v>-</v>
          </cell>
          <cell r="J2262" t="str">
            <v>Domestic</v>
          </cell>
          <cell r="P2262" t="str">
            <v>-</v>
          </cell>
          <cell r="Q2262" t="str">
            <v>-</v>
          </cell>
        </row>
        <row r="2263">
          <cell r="F2263" t="str">
            <v>PUNE1A191</v>
          </cell>
          <cell r="G2263" t="str">
            <v>ARYAN BOILERS PVT LTD</v>
          </cell>
          <cell r="H2263" t="str">
            <v>-</v>
          </cell>
          <cell r="J2263" t="str">
            <v>Domestic</v>
          </cell>
          <cell r="O2263" t="str">
            <v>-</v>
          </cell>
          <cell r="P2263" t="str">
            <v>-</v>
          </cell>
          <cell r="Q2263" t="str">
            <v>-</v>
          </cell>
        </row>
        <row r="2264">
          <cell r="F2264" t="str">
            <v>RANI01B157</v>
          </cell>
          <cell r="G2264" t="str">
            <v>BHAVANI DISTILLERIES &amp; CHEMICALS LTD</v>
          </cell>
          <cell r="H2264" t="str">
            <v>-</v>
          </cell>
          <cell r="J2264" t="str">
            <v>Domestic</v>
          </cell>
          <cell r="P2264" t="str">
            <v>SI-GS</v>
          </cell>
          <cell r="Q2264" t="str">
            <v>SI-GS</v>
          </cell>
        </row>
        <row r="2265">
          <cell r="F2265" t="str">
            <v>NANA01B067</v>
          </cell>
          <cell r="G2265" t="str">
            <v>BUTALI SUGAR</v>
          </cell>
          <cell r="H2265" t="str">
            <v>-</v>
          </cell>
          <cell r="J2265" t="str">
            <v>Export</v>
          </cell>
          <cell r="L2265" t="str">
            <v>Non-Sugar</v>
          </cell>
          <cell r="O2265" t="str">
            <v>-</v>
          </cell>
          <cell r="P2265" t="str">
            <v>-</v>
          </cell>
          <cell r="Q2265" t="str">
            <v>-</v>
          </cell>
        </row>
        <row r="2266">
          <cell r="F2266" t="str">
            <v>BAGL01E050</v>
          </cell>
          <cell r="G2266" t="str">
            <v>E.I.D. PARRY (INDIA) LIMITED</v>
          </cell>
          <cell r="H2266" t="str">
            <v>-</v>
          </cell>
          <cell r="J2266" t="str">
            <v>Domestic</v>
          </cell>
          <cell r="P2266" t="str">
            <v>-</v>
          </cell>
          <cell r="Q2266" t="str">
            <v>-</v>
          </cell>
        </row>
        <row r="2267">
          <cell r="F2267" t="str">
            <v>VISA01M041</v>
          </cell>
          <cell r="G2267" t="str">
            <v>EID PARRY INDIA LIMITED-(MURUGAPPA)</v>
          </cell>
          <cell r="H2267" t="str">
            <v>-</v>
          </cell>
          <cell r="J2267" t="str">
            <v>Domestic</v>
          </cell>
          <cell r="P2267" t="str">
            <v>-</v>
          </cell>
          <cell r="Q2267" t="str">
            <v>-</v>
          </cell>
        </row>
        <row r="2268">
          <cell r="F2268" t="str">
            <v>MUMB01H090</v>
          </cell>
          <cell r="G2268" t="str">
            <v>HYDROSKILL</v>
          </cell>
          <cell r="H2268" t="str">
            <v>-</v>
          </cell>
          <cell r="J2268" t="str">
            <v>Domestic</v>
          </cell>
          <cell r="L2268" t="str">
            <v>Non-Sugar</v>
          </cell>
          <cell r="O2268" t="str">
            <v>-</v>
          </cell>
          <cell r="P2268" t="str">
            <v>-</v>
          </cell>
          <cell r="Q2268" t="str">
            <v>-</v>
          </cell>
        </row>
        <row r="2269">
          <cell r="F2269" t="str">
            <v>SANG1J067</v>
          </cell>
          <cell r="G2269" t="str">
            <v>JOLLYBOARD LTD</v>
          </cell>
          <cell r="H2269" t="str">
            <v>-</v>
          </cell>
          <cell r="J2269" t="str">
            <v>Domestic</v>
          </cell>
          <cell r="P2269" t="str">
            <v>-</v>
          </cell>
          <cell r="Q2269" t="str">
            <v>-</v>
          </cell>
        </row>
        <row r="2270">
          <cell r="F2270" t="str">
            <v>UGAN01K016</v>
          </cell>
          <cell r="G2270" t="str">
            <v>KINYARA SUGAR LIMITED</v>
          </cell>
          <cell r="H2270" t="str">
            <v>-</v>
          </cell>
          <cell r="J2270" t="str">
            <v>Export</v>
          </cell>
          <cell r="O2270">
            <v>9000</v>
          </cell>
          <cell r="P2270" t="str">
            <v>-</v>
          </cell>
          <cell r="Q2270" t="str">
            <v>-</v>
          </cell>
        </row>
        <row r="2271">
          <cell r="F2271" t="str">
            <v>MAND01N098</v>
          </cell>
          <cell r="G2271" t="str">
            <v>NSL SUGARS LTD. KOPPA</v>
          </cell>
          <cell r="H2271">
            <v>2021</v>
          </cell>
          <cell r="J2271" t="str">
            <v>Domestic</v>
          </cell>
          <cell r="P2271" t="str">
            <v>-</v>
          </cell>
          <cell r="Q2271" t="str">
            <v>-</v>
          </cell>
        </row>
        <row r="2272">
          <cell r="F2272" t="str">
            <v>NANA01O010</v>
          </cell>
          <cell r="G2272" t="str">
            <v>OLAM AGRO (INDIA) LTD - FOR OFFER</v>
          </cell>
          <cell r="H2272" t="str">
            <v>-</v>
          </cell>
          <cell r="J2272" t="str">
            <v>Domestic</v>
          </cell>
          <cell r="L2272" t="str">
            <v>Non-Sugar</v>
          </cell>
          <cell r="O2272" t="str">
            <v>-</v>
          </cell>
          <cell r="P2272" t="str">
            <v>-</v>
          </cell>
          <cell r="Q2272" t="str">
            <v>-</v>
          </cell>
        </row>
        <row r="2273">
          <cell r="F2273" t="str">
            <v>KOLA01O037</v>
          </cell>
          <cell r="G2273" t="str">
            <v>OLAM GLOBAL AGRI COMMODITIED PVT LTD</v>
          </cell>
          <cell r="H2273" t="str">
            <v>-</v>
          </cell>
          <cell r="J2273" t="str">
            <v>Domestic</v>
          </cell>
          <cell r="L2273" t="str">
            <v>Sugar</v>
          </cell>
          <cell r="P2273" t="str">
            <v>WI-SV</v>
          </cell>
          <cell r="Q2273" t="str">
            <v>SUDHIR</v>
          </cell>
        </row>
        <row r="2274">
          <cell r="F2274" t="str">
            <v>NANA01P126</v>
          </cell>
          <cell r="G2274" t="str">
            <v>PANCABUANA BERKATAMA</v>
          </cell>
          <cell r="H2274" t="str">
            <v>-</v>
          </cell>
          <cell r="J2274" t="str">
            <v>Export</v>
          </cell>
          <cell r="L2274" t="str">
            <v>Non-Sugar</v>
          </cell>
          <cell r="O2274" t="str">
            <v>-</v>
          </cell>
          <cell r="P2274" t="str">
            <v>-</v>
          </cell>
          <cell r="Q2274" t="str">
            <v>-</v>
          </cell>
        </row>
        <row r="2275">
          <cell r="F2275" t="str">
            <v>JAKA01P127</v>
          </cell>
          <cell r="G2275" t="str">
            <v>PT ASROLEN</v>
          </cell>
          <cell r="H2275" t="str">
            <v>-</v>
          </cell>
          <cell r="J2275" t="str">
            <v>Export</v>
          </cell>
          <cell r="L2275" t="str">
            <v>Non-Sugar</v>
          </cell>
          <cell r="O2275" t="str">
            <v>-</v>
          </cell>
          <cell r="P2275" t="str">
            <v>-</v>
          </cell>
          <cell r="Q2275" t="str">
            <v>-</v>
          </cell>
        </row>
        <row r="2276">
          <cell r="F2276" t="str">
            <v>SURD01P031</v>
          </cell>
          <cell r="G2276" t="str">
            <v>PT GOLDEN PRATAMA GEMILANG (NOT APPLICABLE)</v>
          </cell>
          <cell r="H2276" t="str">
            <v>-</v>
          </cell>
          <cell r="J2276" t="str">
            <v>Export</v>
          </cell>
          <cell r="K2276" t="str">
            <v>-</v>
          </cell>
          <cell r="L2276" t="str">
            <v>Non-Sugar</v>
          </cell>
          <cell r="O2276" t="str">
            <v>-</v>
          </cell>
          <cell r="P2276" t="str">
            <v>-</v>
          </cell>
          <cell r="Q2276" t="str">
            <v>-</v>
          </cell>
          <cell r="R2276" t="str">
            <v>-</v>
          </cell>
          <cell r="T2276" t="str">
            <v>-</v>
          </cell>
          <cell r="U2276" t="str">
            <v>-</v>
          </cell>
          <cell r="W2276" t="str">
            <v>-</v>
          </cell>
        </row>
        <row r="2277">
          <cell r="F2277" t="str">
            <v>JAKA01P145</v>
          </cell>
          <cell r="G2277" t="str">
            <v>PT PUTRA ANDALAN PERKASA</v>
          </cell>
          <cell r="H2277" t="str">
            <v>-</v>
          </cell>
          <cell r="J2277" t="str">
            <v>Export</v>
          </cell>
          <cell r="L2277" t="str">
            <v>Non-Sugar</v>
          </cell>
          <cell r="O2277" t="str">
            <v>-</v>
          </cell>
          <cell r="P2277" t="str">
            <v>-</v>
          </cell>
          <cell r="Q2277" t="str">
            <v>-</v>
          </cell>
        </row>
        <row r="2278">
          <cell r="F2278" t="str">
            <v>PUNE01R118</v>
          </cell>
          <cell r="G2278" t="str">
            <v>REVA PROCESS TECHNOLOGIE</v>
          </cell>
          <cell r="H2278" t="str">
            <v>-</v>
          </cell>
          <cell r="J2278" t="str">
            <v>Domestic</v>
          </cell>
          <cell r="L2278" t="str">
            <v>Non-Sugar</v>
          </cell>
          <cell r="O2278" t="str">
            <v>-</v>
          </cell>
          <cell r="P2278" t="str">
            <v>-</v>
          </cell>
          <cell r="Q2278" t="str">
            <v>-</v>
          </cell>
        </row>
        <row r="2279">
          <cell r="F2279" t="str">
            <v>YAND01R126</v>
          </cell>
          <cell r="G2279" t="str">
            <v>REVIVA</v>
          </cell>
          <cell r="H2279" t="str">
            <v>-</v>
          </cell>
          <cell r="J2279" t="str">
            <v>Export</v>
          </cell>
          <cell r="L2279" t="str">
            <v>Non-Sugar</v>
          </cell>
          <cell r="O2279" t="str">
            <v>-</v>
          </cell>
          <cell r="P2279" t="str">
            <v>-</v>
          </cell>
          <cell r="Q2279" t="str">
            <v>-</v>
          </cell>
        </row>
        <row r="2280">
          <cell r="F2280" t="str">
            <v>THAN01S513</v>
          </cell>
          <cell r="G2280" t="str">
            <v>SILWESTER TEXTILES PVT. LTD</v>
          </cell>
          <cell r="H2280" t="str">
            <v>-</v>
          </cell>
          <cell r="J2280" t="str">
            <v>Domestic</v>
          </cell>
          <cell r="P2280" t="str">
            <v>-</v>
          </cell>
          <cell r="Q2280" t="str">
            <v>-</v>
          </cell>
        </row>
        <row r="2281">
          <cell r="F2281" t="str">
            <v>PUNE01S404</v>
          </cell>
          <cell r="G2281" t="str">
            <v>SRI BASVESHWARA SUGARS LTD</v>
          </cell>
          <cell r="H2281" t="str">
            <v>-</v>
          </cell>
          <cell r="J2281" t="str">
            <v>Domestic</v>
          </cell>
          <cell r="P2281" t="str">
            <v>MRK</v>
          </cell>
          <cell r="Q2281" t="str">
            <v>-</v>
          </cell>
        </row>
        <row r="2282">
          <cell r="F2282" t="str">
            <v>AHME01S551</v>
          </cell>
          <cell r="G2282" t="str">
            <v>STAR IMPEX.</v>
          </cell>
          <cell r="H2282" t="str">
            <v>-</v>
          </cell>
          <cell r="J2282" t="str">
            <v>Domestic</v>
          </cell>
          <cell r="P2282" t="str">
            <v>-</v>
          </cell>
          <cell r="Q2282" t="str">
            <v>-</v>
          </cell>
        </row>
        <row r="2283">
          <cell r="F2283" t="str">
            <v>TRIC01T069</v>
          </cell>
          <cell r="G2283" t="str">
            <v>TRICHY DISTILLERIES AND CHEMICALS LIMITED</v>
          </cell>
          <cell r="H2283" t="str">
            <v>-</v>
          </cell>
          <cell r="J2283" t="str">
            <v>Domestic</v>
          </cell>
          <cell r="P2283" t="str">
            <v>SI-GS</v>
          </cell>
          <cell r="Q2283" t="str">
            <v>SI-GS</v>
          </cell>
        </row>
        <row r="2284">
          <cell r="F2284" t="str">
            <v>KAKA01W012</v>
          </cell>
          <cell r="G2284" t="str">
            <v>WEST KENYA SUGAR COMPANY LTD</v>
          </cell>
          <cell r="H2284" t="str">
            <v>-</v>
          </cell>
          <cell r="J2284" t="str">
            <v>Export</v>
          </cell>
          <cell r="P2284" t="str">
            <v>-</v>
          </cell>
          <cell r="Q2284" t="str">
            <v>-</v>
          </cell>
        </row>
        <row r="2285">
          <cell r="F2285" t="str">
            <v>OSMA01A099</v>
          </cell>
          <cell r="G2285" t="str">
            <v>ATUL SUGAR TECH PVT LTD (RENAMED TO RUPAMATA)</v>
          </cell>
          <cell r="H2285">
            <v>2019</v>
          </cell>
          <cell r="J2285" t="str">
            <v>Domestic</v>
          </cell>
          <cell r="K2285" t="str">
            <v>Sugar</v>
          </cell>
          <cell r="M2285" t="str">
            <v>End User</v>
          </cell>
          <cell r="O2285" t="str">
            <v>-</v>
          </cell>
          <cell r="P2285" t="str">
            <v>-</v>
          </cell>
          <cell r="Q2285" t="str">
            <v>-</v>
          </cell>
          <cell r="R2285" t="str">
            <v>-</v>
          </cell>
          <cell r="T2285" t="str">
            <v>TOUR-4 (OSMANABAD)</v>
          </cell>
          <cell r="W2285" t="str">
            <v>-</v>
          </cell>
        </row>
        <row r="2286">
          <cell r="F2286" t="str">
            <v>HRDO01D027</v>
          </cell>
          <cell r="G2286" t="str">
            <v>DCM SHRIRAM LIMITED (DSCL SUGAR) - HARIAWAN</v>
          </cell>
          <cell r="H2286" t="str">
            <v>15-16</v>
          </cell>
          <cell r="J2286" t="str">
            <v>Domestic</v>
          </cell>
          <cell r="K2286" t="str">
            <v>Sugar</v>
          </cell>
          <cell r="L2286" t="str">
            <v>Sugar</v>
          </cell>
          <cell r="M2286" t="str">
            <v>End User</v>
          </cell>
          <cell r="O2286" t="str">
            <v>-</v>
          </cell>
          <cell r="P2286" t="str">
            <v>NI</v>
          </cell>
          <cell r="Q2286" t="str">
            <v>AVIRAL SHUKLA</v>
          </cell>
          <cell r="T2286" t="str">
            <v>-</v>
          </cell>
          <cell r="U2286" t="str">
            <v>25-26</v>
          </cell>
          <cell r="W2286" t="str">
            <v>29-10-2025
07-12-2021
29-03-2020
24-12-2018
29-08-2018
17-07-2018
06-04-2018
26-12-2017
18-03-2017
21-08-2016
22-04-2016
18-12-2014
17-02-2014</v>
          </cell>
        </row>
        <row r="2287">
          <cell r="F2287" t="str">
            <v>MORA01D030</v>
          </cell>
          <cell r="G2287" t="str">
            <v>DHAMPUR SUGAR MILLS LTD.(UNIT-ASMOLI) (DBO) UNIT)</v>
          </cell>
          <cell r="H2287">
            <v>2013</v>
          </cell>
          <cell r="J2287" t="str">
            <v>Domestic</v>
          </cell>
          <cell r="K2287" t="str">
            <v>Sugar</v>
          </cell>
          <cell r="L2287" t="str">
            <v>Sugar</v>
          </cell>
          <cell r="M2287" t="str">
            <v>End User</v>
          </cell>
          <cell r="O2287" t="str">
            <v>-</v>
          </cell>
          <cell r="P2287" t="str">
            <v>HO</v>
          </cell>
          <cell r="Q2287" t="str">
            <v>-</v>
          </cell>
          <cell r="T2287" t="str">
            <v>-</v>
          </cell>
          <cell r="U2287" t="str">
            <v>-</v>
          </cell>
          <cell r="W2287" t="str">
            <v>-</v>
          </cell>
        </row>
        <row r="2288">
          <cell r="F2288" t="str">
            <v>BHEE01D048</v>
          </cell>
          <cell r="G2288" t="str">
            <v>DSM SUGAR ASMOLI (DBO)</v>
          </cell>
          <cell r="H2288">
            <v>2015</v>
          </cell>
          <cell r="J2288" t="str">
            <v>Domestic</v>
          </cell>
          <cell r="K2288" t="str">
            <v>Sugar</v>
          </cell>
          <cell r="L2288" t="str">
            <v>Sugar</v>
          </cell>
          <cell r="M2288" t="str">
            <v>End User</v>
          </cell>
          <cell r="O2288" t="str">
            <v>-</v>
          </cell>
          <cell r="P2288" t="str">
            <v>HO</v>
          </cell>
          <cell r="Q2288" t="str">
            <v>-</v>
          </cell>
          <cell r="T2288" t="str">
            <v>-</v>
          </cell>
          <cell r="U2288" t="str">
            <v>-</v>
          </cell>
          <cell r="W2288" t="str">
            <v>-</v>
          </cell>
        </row>
        <row r="2289">
          <cell r="F2289" t="str">
            <v>MUZF01D032</v>
          </cell>
          <cell r="G2289" t="str">
            <v>DSM SUGAR MANSURPUR (DBO)</v>
          </cell>
          <cell r="H2289">
            <v>2016</v>
          </cell>
          <cell r="J2289" t="str">
            <v>Domestic</v>
          </cell>
          <cell r="K2289" t="str">
            <v>Sugar</v>
          </cell>
          <cell r="L2289" t="str">
            <v>Sugar</v>
          </cell>
          <cell r="M2289" t="str">
            <v>End User</v>
          </cell>
          <cell r="O2289" t="str">
            <v>-</v>
          </cell>
          <cell r="P2289" t="str">
            <v>HO</v>
          </cell>
          <cell r="Q2289" t="str">
            <v>-</v>
          </cell>
          <cell r="T2289" t="str">
            <v>-</v>
          </cell>
          <cell r="U2289" t="str">
            <v>-</v>
          </cell>
          <cell r="W2289" t="str">
            <v>-</v>
          </cell>
        </row>
        <row r="2290">
          <cell r="F2290" t="str">
            <v>BARL01D068</v>
          </cell>
          <cell r="G2290" t="str">
            <v>DSM SUGAR MEERGANJ (DBO)</v>
          </cell>
          <cell r="H2290">
            <v>2015</v>
          </cell>
          <cell r="J2290" t="str">
            <v>Domestic</v>
          </cell>
          <cell r="K2290" t="str">
            <v>Sugar</v>
          </cell>
          <cell r="L2290" t="str">
            <v>Sugar</v>
          </cell>
          <cell r="M2290" t="str">
            <v>End User</v>
          </cell>
          <cell r="O2290" t="str">
            <v>-</v>
          </cell>
          <cell r="P2290" t="str">
            <v>HO</v>
          </cell>
          <cell r="Q2290" t="str">
            <v>-</v>
          </cell>
          <cell r="T2290" t="str">
            <v>-</v>
          </cell>
          <cell r="U2290" t="str">
            <v>-</v>
          </cell>
          <cell r="W2290" t="str">
            <v>-</v>
          </cell>
        </row>
        <row r="2291">
          <cell r="F2291" t="str">
            <v>KHER01G009</v>
          </cell>
          <cell r="G2291" t="str">
            <v>GOBIND SUGAR MILLS LTD. (ZAURI INDUSTIRS)</v>
          </cell>
          <cell r="H2291">
            <v>2013</v>
          </cell>
          <cell r="J2291" t="str">
            <v>Domestic</v>
          </cell>
          <cell r="K2291" t="str">
            <v>Sugar</v>
          </cell>
          <cell r="L2291" t="str">
            <v>Sugar</v>
          </cell>
          <cell r="M2291" t="str">
            <v>End User</v>
          </cell>
          <cell r="O2291" t="str">
            <v>-</v>
          </cell>
          <cell r="P2291" t="str">
            <v>HO</v>
          </cell>
          <cell r="Q2291" t="str">
            <v>-</v>
          </cell>
          <cell r="T2291" t="str">
            <v>-</v>
          </cell>
          <cell r="U2291" t="str">
            <v>24-25</v>
          </cell>
          <cell r="W2291">
            <v>45399</v>
          </cell>
        </row>
        <row r="2292">
          <cell r="F2292" t="str">
            <v>MAJH01J015</v>
          </cell>
          <cell r="G2292" t="str">
            <v>JAY SHREE SUGAR MILL (MAJHAULIA)</v>
          </cell>
          <cell r="H2292">
            <v>2014</v>
          </cell>
          <cell r="J2292" t="str">
            <v>Domestic</v>
          </cell>
          <cell r="K2292" t="str">
            <v>Sugar</v>
          </cell>
          <cell r="L2292" t="str">
            <v>Sugar</v>
          </cell>
          <cell r="M2292" t="str">
            <v>End User</v>
          </cell>
          <cell r="O2292" t="str">
            <v>-</v>
          </cell>
          <cell r="P2292" t="str">
            <v>-</v>
          </cell>
          <cell r="Q2292" t="str">
            <v>-</v>
          </cell>
          <cell r="R2292" t="str">
            <v>-</v>
          </cell>
          <cell r="T2292" t="str">
            <v>-</v>
          </cell>
          <cell r="U2292" t="str">
            <v>-</v>
          </cell>
          <cell r="W2292" t="str">
            <v>-</v>
          </cell>
        </row>
        <row r="2293">
          <cell r="F2293" t="str">
            <v>DLHI01N127</v>
          </cell>
          <cell r="G2293" t="str">
            <v>NAMOKAR ENTERPRISES</v>
          </cell>
          <cell r="H2293" t="str">
            <v>-</v>
          </cell>
          <cell r="J2293" t="str">
            <v>Domestic</v>
          </cell>
          <cell r="K2293" t="str">
            <v>-</v>
          </cell>
          <cell r="L2293" t="str">
            <v>Non-Sugar</v>
          </cell>
          <cell r="O2293" t="str">
            <v>-</v>
          </cell>
          <cell r="P2293" t="str">
            <v>-</v>
          </cell>
          <cell r="Q2293" t="str">
            <v>-</v>
          </cell>
          <cell r="R2293" t="str">
            <v>-</v>
          </cell>
          <cell r="T2293" t="str">
            <v>-</v>
          </cell>
          <cell r="U2293" t="str">
            <v>-</v>
          </cell>
          <cell r="W2293" t="str">
            <v>-</v>
          </cell>
        </row>
        <row r="2294">
          <cell r="F2294" t="str">
            <v>WSCH01N033</v>
          </cell>
          <cell r="G2294" t="str">
            <v>NEW SWADESHI DISTILLERY (MAGADH SUGAR)</v>
          </cell>
          <cell r="H2294">
            <v>2013</v>
          </cell>
          <cell r="J2294" t="str">
            <v>Domestic</v>
          </cell>
          <cell r="K2294" t="str">
            <v>Sugar</v>
          </cell>
          <cell r="L2294" t="str">
            <v>Sugar</v>
          </cell>
          <cell r="M2294" t="str">
            <v>End User</v>
          </cell>
          <cell r="O2294">
            <v>8200</v>
          </cell>
          <cell r="P2294" t="str">
            <v>-</v>
          </cell>
          <cell r="Q2294" t="str">
            <v>-</v>
          </cell>
          <cell r="R2294" t="str">
            <v>-</v>
          </cell>
          <cell r="T2294" t="str">
            <v>-</v>
          </cell>
          <cell r="U2294" t="str">
            <v>-</v>
          </cell>
          <cell r="W2294" t="str">
            <v>-</v>
          </cell>
        </row>
        <row r="2295">
          <cell r="F2295" t="str">
            <v>WSCH01N018</v>
          </cell>
          <cell r="G2295" t="str">
            <v>NEW SWADESHI SUGAR MILLS (MAGADH SUGAR)</v>
          </cell>
          <cell r="H2295">
            <v>2013</v>
          </cell>
          <cell r="J2295" t="str">
            <v>Domestic</v>
          </cell>
          <cell r="K2295" t="str">
            <v>Sugar</v>
          </cell>
          <cell r="L2295" t="str">
            <v>Sugar</v>
          </cell>
          <cell r="M2295" t="str">
            <v>End User</v>
          </cell>
          <cell r="O2295">
            <v>8200</v>
          </cell>
          <cell r="P2295" t="str">
            <v>-</v>
          </cell>
          <cell r="Q2295" t="str">
            <v>-</v>
          </cell>
          <cell r="R2295" t="str">
            <v>-</v>
          </cell>
          <cell r="T2295" t="str">
            <v>-</v>
          </cell>
          <cell r="U2295" t="str">
            <v>-</v>
          </cell>
          <cell r="W2295" t="str">
            <v>-</v>
          </cell>
        </row>
        <row r="2296">
          <cell r="F2296" t="str">
            <v>KOLH01O011</v>
          </cell>
          <cell r="G2296" t="str">
            <v>OLAM AGRO INDIA PVT LTD (kolhapur) (MEKALSUTA)</v>
          </cell>
          <cell r="H2296">
            <v>2015</v>
          </cell>
          <cell r="J2296" t="str">
            <v>Domestic</v>
          </cell>
          <cell r="K2296" t="str">
            <v>-</v>
          </cell>
          <cell r="L2296" t="str">
            <v>Non-Sugar</v>
          </cell>
          <cell r="M2296" t="str">
            <v>End User</v>
          </cell>
          <cell r="O2296" t="str">
            <v>-</v>
          </cell>
          <cell r="P2296" t="str">
            <v>-</v>
          </cell>
          <cell r="Q2296" t="str">
            <v>-</v>
          </cell>
          <cell r="R2296" t="str">
            <v>-</v>
          </cell>
          <cell r="T2296" t="str">
            <v>-</v>
          </cell>
          <cell r="U2296" t="str">
            <v>-</v>
          </cell>
          <cell r="W2296" t="str">
            <v>-</v>
          </cell>
        </row>
        <row r="2297">
          <cell r="F2297" t="str">
            <v>BARW01O003</v>
          </cell>
          <cell r="G2297" t="str">
            <v>OLAM AGRO INDIA PVT. LTD. (Ghatwa) (Renamed to Mekalsutra)</v>
          </cell>
          <cell r="H2297">
            <v>2015</v>
          </cell>
          <cell r="J2297" t="str">
            <v>Domestic</v>
          </cell>
          <cell r="K2297" t="str">
            <v>OTHERS</v>
          </cell>
          <cell r="L2297" t="str">
            <v>Non-Sugar</v>
          </cell>
          <cell r="M2297" t="str">
            <v>End User</v>
          </cell>
          <cell r="O2297" t="str">
            <v>-</v>
          </cell>
          <cell r="P2297" t="str">
            <v>HO</v>
          </cell>
          <cell r="Q2297" t="str">
            <v>HIMANSHU KUSHWAHA</v>
          </cell>
          <cell r="T2297" t="str">
            <v>-</v>
          </cell>
          <cell r="U2297" t="str">
            <v>-</v>
          </cell>
          <cell r="W2297" t="str">
            <v>-</v>
          </cell>
        </row>
        <row r="2298">
          <cell r="F2298" t="str">
            <v>KANP01R041</v>
          </cell>
          <cell r="G2298" t="str">
            <v>RIMJHIM ISPAT LTD (ISPAT)</v>
          </cell>
          <cell r="H2298">
            <v>2018</v>
          </cell>
          <cell r="J2298" t="str">
            <v>Domestic</v>
          </cell>
          <cell r="K2298" t="str">
            <v>-</v>
          </cell>
          <cell r="L2298" t="str">
            <v>Non-Sugar</v>
          </cell>
          <cell r="M2298" t="str">
            <v>End User</v>
          </cell>
          <cell r="O2298" t="str">
            <v>-</v>
          </cell>
          <cell r="P2298" t="str">
            <v>-</v>
          </cell>
          <cell r="Q2298" t="str">
            <v>-</v>
          </cell>
          <cell r="R2298" t="str">
            <v>-</v>
          </cell>
          <cell r="T2298" t="str">
            <v>-</v>
          </cell>
          <cell r="U2298" t="str">
            <v>-</v>
          </cell>
          <cell r="W2298" t="str">
            <v>-</v>
          </cell>
        </row>
        <row r="2299">
          <cell r="F2299" t="str">
            <v>MORA01S152</v>
          </cell>
          <cell r="G2299" t="str">
            <v>SHREE AJUDHIA SUGAR MILLS (LKASHMI JI)</v>
          </cell>
          <cell r="H2299">
            <v>2014</v>
          </cell>
          <cell r="J2299" t="str">
            <v>Domestic</v>
          </cell>
          <cell r="K2299" t="str">
            <v>Sugar</v>
          </cell>
          <cell r="L2299" t="str">
            <v>Sugar</v>
          </cell>
          <cell r="M2299" t="str">
            <v>End User</v>
          </cell>
          <cell r="O2299" t="str">
            <v>-</v>
          </cell>
          <cell r="P2299" t="str">
            <v>-</v>
          </cell>
          <cell r="Q2299" t="str">
            <v>-</v>
          </cell>
          <cell r="R2299" t="str">
            <v>-</v>
          </cell>
          <cell r="T2299" t="str">
            <v>-</v>
          </cell>
          <cell r="U2299" t="str">
            <v>-</v>
          </cell>
          <cell r="W2299" t="str">
            <v>-</v>
          </cell>
        </row>
        <row r="2300">
          <cell r="F2300" t="str">
            <v>TAPI01S226</v>
          </cell>
          <cell r="G2300" t="str">
            <v>SHREE KEDARESHWAR KHANDSARI UDYOG (New Name-KEDARESHWAR KHANDSARI UDYOG PVT LTD.)</v>
          </cell>
          <cell r="H2300">
            <v>2017</v>
          </cell>
          <cell r="J2300" t="str">
            <v>Domestic</v>
          </cell>
          <cell r="K2300" t="str">
            <v>Sugar</v>
          </cell>
          <cell r="L2300" t="str">
            <v>Sugar</v>
          </cell>
          <cell r="M2300" t="str">
            <v>End User</v>
          </cell>
          <cell r="O2300" t="str">
            <v>-</v>
          </cell>
          <cell r="P2300" t="str">
            <v>HO</v>
          </cell>
          <cell r="Q2300" t="str">
            <v>HIMANSHU KUSHWAHA</v>
          </cell>
          <cell r="T2300" t="str">
            <v>-</v>
          </cell>
        </row>
        <row r="2301">
          <cell r="F2301" t="str">
            <v>BAHR01S079</v>
          </cell>
          <cell r="G2301" t="str">
            <v>SIMBHAOLI SUGARS LTD- (UNIT-CHILWARIA)</v>
          </cell>
          <cell r="H2301">
            <v>2013</v>
          </cell>
          <cell r="J2301" t="str">
            <v>Domestic</v>
          </cell>
          <cell r="K2301" t="str">
            <v>Sugar</v>
          </cell>
          <cell r="L2301" t="str">
            <v>Sugar</v>
          </cell>
          <cell r="M2301" t="str">
            <v>End User</v>
          </cell>
          <cell r="O2301">
            <v>6000</v>
          </cell>
          <cell r="P2301" t="str">
            <v>HO</v>
          </cell>
          <cell r="Q2301" t="str">
            <v>-</v>
          </cell>
          <cell r="T2301" t="str">
            <v>-</v>
          </cell>
          <cell r="U2301" t="str">
            <v>23-24</v>
          </cell>
          <cell r="W2301" t="str">
            <v>28-11-2023
31-05-2023
25-02-2022
03-07-2021</v>
          </cell>
        </row>
        <row r="2302">
          <cell r="F2302" t="str">
            <v>SITP01T048</v>
          </cell>
          <cell r="G2302" t="str">
            <v>THE OUDH SUGAR MILLS LIMITED (Distillery) (AVADH SUGAR UNIT)</v>
          </cell>
          <cell r="H2302">
            <v>2013</v>
          </cell>
          <cell r="J2302" t="str">
            <v>Domestic</v>
          </cell>
          <cell r="K2302" t="str">
            <v>Sugar</v>
          </cell>
          <cell r="L2302" t="str">
            <v>Sugar</v>
          </cell>
          <cell r="M2302" t="str">
            <v>End User</v>
          </cell>
          <cell r="O2302" t="str">
            <v>-</v>
          </cell>
          <cell r="P2302" t="str">
            <v>-</v>
          </cell>
          <cell r="Q2302" t="str">
            <v>-</v>
          </cell>
          <cell r="R2302" t="str">
            <v>-</v>
          </cell>
          <cell r="T2302" t="str">
            <v>-</v>
          </cell>
          <cell r="U2302" t="str">
            <v>-</v>
          </cell>
          <cell r="W2302" t="str">
            <v>-</v>
          </cell>
        </row>
        <row r="2303">
          <cell r="F2303" t="str">
            <v>SITP01T049</v>
          </cell>
          <cell r="G2303" t="str">
            <v>THE OUDH SUGAR MILLS LTD. (AVADH SUGAR UNIT)</v>
          </cell>
          <cell r="H2303">
            <v>2013</v>
          </cell>
          <cell r="J2303" t="str">
            <v>Domestic</v>
          </cell>
          <cell r="K2303" t="str">
            <v>Sugar</v>
          </cell>
          <cell r="L2303" t="str">
            <v>Sugar</v>
          </cell>
          <cell r="M2303" t="str">
            <v>End User</v>
          </cell>
          <cell r="O2303" t="str">
            <v>-</v>
          </cell>
          <cell r="P2303" t="str">
            <v>-</v>
          </cell>
          <cell r="Q2303" t="str">
            <v>-</v>
          </cell>
          <cell r="R2303" t="str">
            <v>-</v>
          </cell>
          <cell r="T2303" t="str">
            <v>-</v>
          </cell>
          <cell r="U2303" t="str">
            <v>-</v>
          </cell>
          <cell r="W2303" t="str">
            <v>-</v>
          </cell>
        </row>
        <row r="2304">
          <cell r="F2304" t="str">
            <v>JPNG01T077</v>
          </cell>
          <cell r="G2304" t="str">
            <v>TRIVENI ENGINEERING &amp; INDUSTRIES LTD. (chandanpur) NEW UNIT SABITGARH</v>
          </cell>
          <cell r="H2304">
            <v>2015</v>
          </cell>
          <cell r="J2304" t="str">
            <v>Domestic</v>
          </cell>
          <cell r="K2304" t="str">
            <v>-</v>
          </cell>
          <cell r="L2304" t="str">
            <v>Non-Sugar</v>
          </cell>
          <cell r="M2304" t="str">
            <v>End User</v>
          </cell>
          <cell r="O2304" t="str">
            <v>-</v>
          </cell>
          <cell r="P2304" t="str">
            <v>-</v>
          </cell>
          <cell r="Q2304" t="str">
            <v>-</v>
          </cell>
          <cell r="R2304" t="str">
            <v>-</v>
          </cell>
          <cell r="T2304" t="str">
            <v>-</v>
          </cell>
          <cell r="U2304" t="str">
            <v>-</v>
          </cell>
          <cell r="W2304" t="str">
            <v>-</v>
          </cell>
        </row>
        <row r="2305">
          <cell r="F2305" t="str">
            <v>MUZF01U003</v>
          </cell>
          <cell r="G2305" t="str">
            <v>UNN SUGAR COMPLEX (SUPERIER FOOD GRAIN)</v>
          </cell>
          <cell r="H2305">
            <v>2014</v>
          </cell>
          <cell r="J2305" t="str">
            <v>Domestic</v>
          </cell>
          <cell r="K2305" t="str">
            <v>Sugar</v>
          </cell>
          <cell r="L2305" t="str">
            <v>Sugar</v>
          </cell>
          <cell r="M2305" t="str">
            <v>End User</v>
          </cell>
          <cell r="O2305" t="str">
            <v>-</v>
          </cell>
          <cell r="P2305" t="str">
            <v>-</v>
          </cell>
          <cell r="Q2305" t="str">
            <v>-</v>
          </cell>
          <cell r="R2305" t="str">
            <v>-</v>
          </cell>
          <cell r="T2305" t="str">
            <v>-</v>
          </cell>
          <cell r="U2305" t="str">
            <v>-</v>
          </cell>
          <cell r="W2305" t="str">
            <v>-</v>
          </cell>
        </row>
        <row r="2306">
          <cell r="F2306" t="str">
            <v>SHAM01U015</v>
          </cell>
          <cell r="G2306" t="str">
            <v>UPPER DOAB SUGAR MILLS(new name SIR SHADI LAL ENTERPRISES LIMITED)</v>
          </cell>
          <cell r="H2306">
            <v>2016</v>
          </cell>
          <cell r="J2306" t="str">
            <v>Domestic</v>
          </cell>
          <cell r="K2306" t="str">
            <v>Sugar</v>
          </cell>
          <cell r="L2306" t="str">
            <v>Sugar</v>
          </cell>
          <cell r="M2306" t="str">
            <v>End User</v>
          </cell>
          <cell r="O2306" t="str">
            <v>-</v>
          </cell>
          <cell r="P2306" t="str">
            <v>-</v>
          </cell>
          <cell r="Q2306" t="str">
            <v>-</v>
          </cell>
          <cell r="R2306" t="str">
            <v>-</v>
          </cell>
          <cell r="T2306" t="str">
            <v>-</v>
          </cell>
          <cell r="U2306" t="str">
            <v>-</v>
          </cell>
          <cell r="W2306" t="str">
            <v>-</v>
          </cell>
        </row>
        <row r="2307">
          <cell r="F2307" t="str">
            <v>PHAG01W001</v>
          </cell>
          <cell r="G2307" t="str">
            <v>WAHID SANDHAR SUGARS LTD.(renamed to Golden Sandhar Mills ltd)</v>
          </cell>
          <cell r="H2307">
            <v>2012</v>
          </cell>
          <cell r="J2307" t="str">
            <v>Domestic</v>
          </cell>
          <cell r="K2307" t="str">
            <v>Sugar</v>
          </cell>
          <cell r="L2307" t="str">
            <v>Sugar</v>
          </cell>
          <cell r="M2307" t="str">
            <v>End User</v>
          </cell>
          <cell r="O2307" t="str">
            <v>-</v>
          </cell>
          <cell r="P2307" t="str">
            <v>-</v>
          </cell>
          <cell r="Q2307" t="str">
            <v>-</v>
          </cell>
          <cell r="R2307" t="str">
            <v>AKSHAY AWASTHI</v>
          </cell>
          <cell r="T2307" t="str">
            <v>-</v>
          </cell>
          <cell r="U2307" t="str">
            <v>24-25</v>
          </cell>
          <cell r="W2307" t="str">
            <v>27-09-2024
06-04-2024</v>
          </cell>
        </row>
        <row r="2308">
          <cell r="F2308" t="str">
            <v>GOPA01W026</v>
          </cell>
          <cell r="G2308" t="str">
            <v>WESTWELL BIOREFINERIES PRIVATE LIMITED (Sona sati Unit)</v>
          </cell>
          <cell r="H2308" t="str">
            <v>22-23</v>
          </cell>
          <cell r="J2308" t="str">
            <v>Domestic</v>
          </cell>
          <cell r="K2308" t="str">
            <v>-</v>
          </cell>
          <cell r="L2308" t="str">
            <v>Non-Sugar</v>
          </cell>
          <cell r="M2308" t="str">
            <v>End User</v>
          </cell>
          <cell r="O2308" t="str">
            <v>-</v>
          </cell>
          <cell r="P2308" t="str">
            <v>HO</v>
          </cell>
          <cell r="Q2308" t="str">
            <v>-</v>
          </cell>
          <cell r="T2308" t="str">
            <v>-</v>
          </cell>
          <cell r="U2308" t="str">
            <v>-</v>
          </cell>
          <cell r="W2308" t="str">
            <v>-</v>
          </cell>
        </row>
        <row r="2309">
          <cell r="F2309" t="str">
            <v>GURD01A016</v>
          </cell>
          <cell r="G2309" t="str">
            <v>AB GRAIN SPIRITS PVT. LTD.(CHADHA SUGAR DISL)</v>
          </cell>
          <cell r="H2309">
            <v>2012</v>
          </cell>
          <cell r="J2309" t="str">
            <v>Domestic</v>
          </cell>
          <cell r="K2309" t="str">
            <v>Sugar</v>
          </cell>
          <cell r="L2309" t="str">
            <v>Sugar</v>
          </cell>
          <cell r="M2309" t="str">
            <v>End User</v>
          </cell>
          <cell r="O2309" t="str">
            <v>-</v>
          </cell>
          <cell r="P2309" t="str">
            <v>HO</v>
          </cell>
          <cell r="Q2309" t="str">
            <v>AKSHAY AWASTHI</v>
          </cell>
          <cell r="T2309" t="str">
            <v>-</v>
          </cell>
          <cell r="U2309" t="str">
            <v>-</v>
          </cell>
          <cell r="W2309" t="str">
            <v>-</v>
          </cell>
        </row>
        <row r="2310">
          <cell r="F2310" t="str">
            <v>KOLH01A092</v>
          </cell>
          <cell r="G2310" t="str">
            <v>VASANTRAO DESAI AJARA SHETKARI SSK LTD</v>
          </cell>
          <cell r="H2310">
            <v>2018</v>
          </cell>
          <cell r="J2310" t="str">
            <v>Domestic</v>
          </cell>
          <cell r="K2310" t="str">
            <v>Sugar</v>
          </cell>
          <cell r="L2310" t="str">
            <v>Sugar</v>
          </cell>
          <cell r="M2310" t="str">
            <v>End User</v>
          </cell>
          <cell r="N2310" t="str">
            <v>(0-5000)</v>
          </cell>
          <cell r="O2310">
            <v>3000</v>
          </cell>
          <cell r="P2310" t="str">
            <v>MRK</v>
          </cell>
          <cell r="Q2310" t="str">
            <v>MRK</v>
          </cell>
          <cell r="R2310" t="str">
            <v>VG</v>
          </cell>
          <cell r="S2310" t="str">
            <v>Ajara Sugar Factory</v>
          </cell>
          <cell r="T2310" t="str">
            <v>TOUR-5 (KOLHAPUR)</v>
          </cell>
          <cell r="U2310" t="str">
            <v>26-27</v>
          </cell>
          <cell r="V2310" t="str">
            <v>May</v>
          </cell>
          <cell r="W2310" t="str">
            <v>25.05.26
29-4-26
15-7-2025
12/14/2022</v>
          </cell>
        </row>
        <row r="2311">
          <cell r="F2311" t="str">
            <v>SURA01A189</v>
          </cell>
          <cell r="G2311" t="str">
            <v>AKSHAT PAPERS LTD</v>
          </cell>
          <cell r="H2311" t="str">
            <v>-</v>
          </cell>
          <cell r="J2311" t="str">
            <v>Domestic</v>
          </cell>
          <cell r="K2311" t="str">
            <v>Paper</v>
          </cell>
          <cell r="L2311" t="str">
            <v>Non-Sugar</v>
          </cell>
          <cell r="M2311" t="str">
            <v>End User</v>
          </cell>
          <cell r="O2311" t="str">
            <v>-</v>
          </cell>
          <cell r="P2311" t="str">
            <v>HO</v>
          </cell>
          <cell r="Q2311" t="str">
            <v>AVIRAL SHUKLA</v>
          </cell>
          <cell r="T2311" t="str">
            <v>-</v>
          </cell>
          <cell r="U2311" t="str">
            <v>25-26</v>
          </cell>
          <cell r="W2311" t="str">
            <v>20-11-2025
10-04-2024</v>
          </cell>
        </row>
        <row r="2312">
          <cell r="F2312" t="str">
            <v>BELG01A121</v>
          </cell>
          <cell r="G2312" t="str">
            <v>ALAGAWADI BIRESHWAR SUGARS PVT LTD</v>
          </cell>
          <cell r="H2312" t="str">
            <v>-</v>
          </cell>
          <cell r="J2312" t="str">
            <v>Domestic</v>
          </cell>
          <cell r="K2312" t="str">
            <v>Sugar</v>
          </cell>
          <cell r="M2312" t="str">
            <v>End User</v>
          </cell>
          <cell r="O2312" t="str">
            <v>-</v>
          </cell>
          <cell r="P2312" t="str">
            <v>-</v>
          </cell>
          <cell r="Q2312" t="str">
            <v>-</v>
          </cell>
          <cell r="R2312" t="str">
            <v>-</v>
          </cell>
        </row>
        <row r="2313">
          <cell r="F2313" t="str">
            <v>DUBA01A185</v>
          </cell>
          <cell r="G2313" t="str">
            <v>AL-INDEMAJ AL-HANDASY CO.</v>
          </cell>
          <cell r="H2313" t="str">
            <v>-</v>
          </cell>
          <cell r="J2313" t="str">
            <v>Export</v>
          </cell>
          <cell r="K2313" t="str">
            <v>-</v>
          </cell>
          <cell r="L2313" t="str">
            <v>Non-Sugar</v>
          </cell>
          <cell r="O2313" t="str">
            <v>-</v>
          </cell>
          <cell r="P2313" t="str">
            <v>-</v>
          </cell>
          <cell r="Q2313" t="str">
            <v>-</v>
          </cell>
          <cell r="R2313" t="str">
            <v>-</v>
          </cell>
          <cell r="T2313" t="str">
            <v>-</v>
          </cell>
          <cell r="U2313" t="str">
            <v>-</v>
          </cell>
          <cell r="W2313" t="str">
            <v>-</v>
          </cell>
        </row>
        <row r="2314">
          <cell r="F2314" t="str">
            <v>UDUP01A043</v>
          </cell>
          <cell r="G2314" t="str">
            <v>AMUL ANIMAL FEEDS</v>
          </cell>
          <cell r="H2314">
            <v>2013</v>
          </cell>
          <cell r="J2314" t="str">
            <v>Domestic</v>
          </cell>
          <cell r="K2314" t="str">
            <v>Sugar</v>
          </cell>
          <cell r="M2314" t="str">
            <v>End User</v>
          </cell>
          <cell r="O2314" t="str">
            <v>-</v>
          </cell>
          <cell r="P2314" t="str">
            <v>-</v>
          </cell>
          <cell r="Q2314" t="str">
            <v>-</v>
          </cell>
          <cell r="R2314" t="str">
            <v>-</v>
          </cell>
          <cell r="T2314" t="str">
            <v>TOUR-4 (DAVANGERE)</v>
          </cell>
          <cell r="W2314" t="str">
            <v>-</v>
          </cell>
        </row>
        <row r="2315">
          <cell r="F2315" t="str">
            <v>SOLN01A116</v>
          </cell>
          <cell r="G2315" t="str">
            <v>ANN FMCG PVT LTD</v>
          </cell>
          <cell r="H2315" t="str">
            <v>21-22</v>
          </cell>
          <cell r="J2315" t="str">
            <v>Domestic</v>
          </cell>
          <cell r="K2315" t="str">
            <v>Other</v>
          </cell>
          <cell r="L2315" t="str">
            <v>Non-Sugar</v>
          </cell>
          <cell r="M2315" t="str">
            <v>End User</v>
          </cell>
          <cell r="O2315" t="str">
            <v>-</v>
          </cell>
          <cell r="P2315" t="str">
            <v>HO</v>
          </cell>
          <cell r="Q2315" t="str">
            <v>-</v>
          </cell>
          <cell r="T2315" t="str">
            <v>-</v>
          </cell>
          <cell r="U2315" t="str">
            <v>-</v>
          </cell>
          <cell r="W2315" t="str">
            <v>-</v>
          </cell>
        </row>
        <row r="2316">
          <cell r="F2316" t="str">
            <v>HALD01A040</v>
          </cell>
          <cell r="G2316" t="str">
            <v>ASHISH ENTERPRISES</v>
          </cell>
          <cell r="H2316" t="str">
            <v>NA</v>
          </cell>
          <cell r="J2316" t="str">
            <v>Domestic</v>
          </cell>
          <cell r="K2316" t="str">
            <v>-</v>
          </cell>
          <cell r="L2316" t="str">
            <v>Non-Sugar</v>
          </cell>
          <cell r="O2316" t="str">
            <v>-</v>
          </cell>
          <cell r="P2316" t="str">
            <v>-</v>
          </cell>
          <cell r="Q2316" t="str">
            <v>-</v>
          </cell>
          <cell r="R2316" t="str">
            <v>-</v>
          </cell>
          <cell r="T2316" t="str">
            <v>-</v>
          </cell>
          <cell r="U2316" t="str">
            <v>-</v>
          </cell>
          <cell r="W2316" t="str">
            <v>-</v>
          </cell>
        </row>
        <row r="2317">
          <cell r="F2317" t="str">
            <v>NAIR01A055</v>
          </cell>
          <cell r="G2317" t="str">
            <v>AVOIL INDUSTRIES LTD</v>
          </cell>
          <cell r="H2317">
            <v>2014</v>
          </cell>
          <cell r="J2317" t="str">
            <v>Export</v>
          </cell>
          <cell r="K2317" t="str">
            <v>Oil</v>
          </cell>
          <cell r="L2317" t="str">
            <v>Non-Sugar</v>
          </cell>
          <cell r="M2317" t="str">
            <v>End User</v>
          </cell>
          <cell r="O2317" t="str">
            <v>-</v>
          </cell>
          <cell r="P2317" t="str">
            <v>VA</v>
          </cell>
          <cell r="Q2317" t="str">
            <v>-</v>
          </cell>
          <cell r="T2317" t="str">
            <v>-</v>
          </cell>
          <cell r="U2317" t="str">
            <v>-</v>
          </cell>
          <cell r="W2317" t="str">
            <v>-</v>
          </cell>
        </row>
        <row r="2318">
          <cell r="F2318" t="str">
            <v>PUNE01B075</v>
          </cell>
          <cell r="G2318" t="str">
            <v>B S INDUSTRIES</v>
          </cell>
          <cell r="H2318" t="str">
            <v>-</v>
          </cell>
          <cell r="J2318" t="str">
            <v>Domestic</v>
          </cell>
          <cell r="K2318" t="str">
            <v>others</v>
          </cell>
          <cell r="L2318" t="str">
            <v>Non-Sugar</v>
          </cell>
          <cell r="M2318" t="str">
            <v>End User</v>
          </cell>
          <cell r="O2318" t="str">
            <v>-</v>
          </cell>
          <cell r="P2318" t="str">
            <v>-</v>
          </cell>
          <cell r="Q2318" t="str">
            <v>-</v>
          </cell>
          <cell r="R2318" t="str">
            <v>-</v>
          </cell>
          <cell r="T2318" t="str">
            <v>-</v>
          </cell>
          <cell r="W2318" t="str">
            <v>-</v>
          </cell>
        </row>
        <row r="2319">
          <cell r="F2319" t="str">
            <v>NODA01B131</v>
          </cell>
          <cell r="G2319" t="str">
            <v>BAJAJ CARPET</v>
          </cell>
          <cell r="H2319" t="str">
            <v>-</v>
          </cell>
          <cell r="J2319" t="str">
            <v>Domestic</v>
          </cell>
          <cell r="K2319" t="str">
            <v>-</v>
          </cell>
          <cell r="L2319" t="str">
            <v>Non-Sugar</v>
          </cell>
          <cell r="M2319" t="str">
            <v>End User</v>
          </cell>
          <cell r="O2319" t="str">
            <v>-</v>
          </cell>
          <cell r="P2319" t="str">
            <v>-</v>
          </cell>
          <cell r="Q2319" t="str">
            <v>-</v>
          </cell>
          <cell r="R2319" t="str">
            <v>-</v>
          </cell>
          <cell r="T2319" t="str">
            <v>-</v>
          </cell>
          <cell r="U2319" t="str">
            <v>-</v>
          </cell>
          <cell r="W2319" t="str">
            <v>-</v>
          </cell>
        </row>
        <row r="2320">
          <cell r="F2320" t="str">
            <v>LUCK01B074</v>
          </cell>
          <cell r="G2320" t="str">
            <v>BAJAJ HINDUSTHAN SUGAR LTD</v>
          </cell>
          <cell r="H2320" t="str">
            <v>-</v>
          </cell>
          <cell r="J2320" t="str">
            <v>Domestic</v>
          </cell>
          <cell r="K2320" t="str">
            <v>Sugar</v>
          </cell>
          <cell r="L2320" t="str">
            <v>Sugar</v>
          </cell>
          <cell r="M2320" t="str">
            <v>End User</v>
          </cell>
          <cell r="O2320" t="str">
            <v>-</v>
          </cell>
          <cell r="P2320" t="str">
            <v>-</v>
          </cell>
          <cell r="Q2320" t="str">
            <v>-</v>
          </cell>
          <cell r="R2320" t="str">
            <v>-</v>
          </cell>
          <cell r="T2320" t="str">
            <v>-</v>
          </cell>
          <cell r="U2320" t="str">
            <v>-</v>
          </cell>
          <cell r="W2320" t="str">
            <v>-</v>
          </cell>
        </row>
        <row r="2321">
          <cell r="F2321" t="str">
            <v>KOLK01B114</v>
          </cell>
          <cell r="G2321" t="str">
            <v>BALMER LAWRIE</v>
          </cell>
          <cell r="H2321" t="str">
            <v>-</v>
          </cell>
          <cell r="J2321" t="str">
            <v>Domestic</v>
          </cell>
          <cell r="K2321" t="str">
            <v>-</v>
          </cell>
          <cell r="L2321" t="str">
            <v>Non-Sugar</v>
          </cell>
          <cell r="O2321" t="str">
            <v>-</v>
          </cell>
          <cell r="P2321" t="str">
            <v>-</v>
          </cell>
          <cell r="Q2321" t="str">
            <v>-</v>
          </cell>
          <cell r="R2321" t="str">
            <v>-</v>
          </cell>
          <cell r="T2321" t="str">
            <v>-</v>
          </cell>
          <cell r="U2321" t="str">
            <v>-</v>
          </cell>
          <cell r="W2321" t="str">
            <v>-</v>
          </cell>
        </row>
        <row r="2322">
          <cell r="F2322" t="str">
            <v>KOLK01B115</v>
          </cell>
          <cell r="G2322" t="str">
            <v>BALMER LAWRIE CO LTD</v>
          </cell>
          <cell r="H2322" t="str">
            <v>-</v>
          </cell>
          <cell r="J2322" t="str">
            <v>Domestic</v>
          </cell>
          <cell r="K2322" t="str">
            <v>-</v>
          </cell>
          <cell r="L2322" t="str">
            <v>Non-Sugar</v>
          </cell>
          <cell r="O2322" t="str">
            <v>-</v>
          </cell>
          <cell r="P2322" t="str">
            <v>-</v>
          </cell>
          <cell r="Q2322" t="str">
            <v>-</v>
          </cell>
          <cell r="R2322" t="str">
            <v>-</v>
          </cell>
          <cell r="T2322" t="str">
            <v>-</v>
          </cell>
          <cell r="U2322" t="str">
            <v>-</v>
          </cell>
          <cell r="W2322" t="str">
            <v>-</v>
          </cell>
        </row>
        <row r="2323">
          <cell r="F2323" t="str">
            <v>KANP01B121</v>
          </cell>
          <cell r="G2323" t="str">
            <v>BALRAMPUR CHINI MILLS LIMITED</v>
          </cell>
          <cell r="H2323" t="str">
            <v>-</v>
          </cell>
          <cell r="J2323" t="str">
            <v>Domestic</v>
          </cell>
          <cell r="K2323" t="str">
            <v>Sugar</v>
          </cell>
          <cell r="L2323" t="str">
            <v>Sugar</v>
          </cell>
          <cell r="M2323" t="str">
            <v>End User</v>
          </cell>
          <cell r="O2323" t="str">
            <v>-</v>
          </cell>
          <cell r="P2323" t="str">
            <v>-</v>
          </cell>
          <cell r="Q2323" t="str">
            <v>-</v>
          </cell>
          <cell r="R2323" t="str">
            <v>-</v>
          </cell>
          <cell r="T2323" t="str">
            <v>-</v>
          </cell>
          <cell r="U2323" t="str">
            <v>-</v>
          </cell>
          <cell r="W2323" t="str">
            <v>-</v>
          </cell>
        </row>
        <row r="2324">
          <cell r="F2324" t="str">
            <v>KOLK01B045</v>
          </cell>
          <cell r="G2324" t="str">
            <v>BALRAMPUR CHINI MILLS LTD. HO</v>
          </cell>
          <cell r="H2324" t="str">
            <v>-</v>
          </cell>
          <cell r="J2324" t="str">
            <v>Domestic</v>
          </cell>
          <cell r="K2324" t="str">
            <v>Sugar</v>
          </cell>
          <cell r="L2324" t="str">
            <v>Sugar</v>
          </cell>
          <cell r="M2324" t="str">
            <v>End User</v>
          </cell>
          <cell r="O2324" t="str">
            <v>-</v>
          </cell>
          <cell r="P2324" t="str">
            <v>-</v>
          </cell>
          <cell r="Q2324" t="str">
            <v>-</v>
          </cell>
          <cell r="R2324" t="str">
            <v>-</v>
          </cell>
          <cell r="T2324" t="str">
            <v>-</v>
          </cell>
          <cell r="U2324" t="str">
            <v>-</v>
          </cell>
          <cell r="W2324" t="str">
            <v>-</v>
          </cell>
        </row>
        <row r="2325">
          <cell r="F2325" t="str">
            <v>CHEN01B107</v>
          </cell>
          <cell r="G2325" t="str">
            <v>BGR ENERGY SYESTEM</v>
          </cell>
          <cell r="H2325" t="str">
            <v>-</v>
          </cell>
          <cell r="J2325" t="str">
            <v>Domestic</v>
          </cell>
          <cell r="K2325" t="str">
            <v>Others</v>
          </cell>
          <cell r="L2325" t="str">
            <v>Non-Sugar</v>
          </cell>
          <cell r="M2325" t="str">
            <v>OEM</v>
          </cell>
          <cell r="P2325" t="str">
            <v>SI-GS</v>
          </cell>
          <cell r="Q2325" t="str">
            <v>SI-GS</v>
          </cell>
          <cell r="W2325">
            <v>45993</v>
          </cell>
        </row>
        <row r="2326">
          <cell r="F2326" t="str">
            <v>BALA01B035</v>
          </cell>
          <cell r="G2326" t="str">
            <v>BIJAYANANDA CO-OPERATIVE SUGAR MILLS LIMITED</v>
          </cell>
          <cell r="H2326" t="str">
            <v>-</v>
          </cell>
          <cell r="J2326" t="str">
            <v>Domestic</v>
          </cell>
          <cell r="K2326" t="str">
            <v>Sugar</v>
          </cell>
          <cell r="M2326" t="str">
            <v>End User</v>
          </cell>
          <cell r="O2326" t="str">
            <v>-</v>
          </cell>
          <cell r="P2326" t="str">
            <v>-</v>
          </cell>
          <cell r="Q2326" t="str">
            <v>-</v>
          </cell>
          <cell r="R2326" t="str">
            <v>-</v>
          </cell>
          <cell r="T2326" t="str">
            <v>-</v>
          </cell>
          <cell r="W2326" t="str">
            <v>-</v>
          </cell>
        </row>
        <row r="2327">
          <cell r="F2327" t="str">
            <v>NODA01B127</v>
          </cell>
          <cell r="G2327" t="str">
            <v>BK ENGINEERING</v>
          </cell>
          <cell r="H2327" t="str">
            <v>-</v>
          </cell>
          <cell r="J2327" t="str">
            <v>Domestic</v>
          </cell>
          <cell r="K2327" t="str">
            <v>-</v>
          </cell>
          <cell r="L2327" t="str">
            <v>Non-Sugar</v>
          </cell>
          <cell r="O2327" t="str">
            <v>-</v>
          </cell>
          <cell r="P2327" t="str">
            <v>-</v>
          </cell>
          <cell r="Q2327" t="str">
            <v>-</v>
          </cell>
          <cell r="R2327" t="str">
            <v>-</v>
          </cell>
          <cell r="T2327" t="str">
            <v>-</v>
          </cell>
          <cell r="U2327" t="str">
            <v>-</v>
          </cell>
          <cell r="W2327" t="str">
            <v>-</v>
          </cell>
        </row>
        <row r="2328">
          <cell r="F2328" t="str">
            <v>NANA01C041</v>
          </cell>
          <cell r="G2328" t="str">
            <v>C A V P A</v>
          </cell>
          <cell r="H2328">
            <v>2017</v>
          </cell>
          <cell r="J2328" t="str">
            <v>Export</v>
          </cell>
          <cell r="K2328" t="str">
            <v>Other</v>
          </cell>
          <cell r="L2328" t="str">
            <v>Non-Sugar</v>
          </cell>
          <cell r="M2328" t="str">
            <v>OEM</v>
          </cell>
          <cell r="O2328" t="str">
            <v>-</v>
          </cell>
          <cell r="P2328" t="str">
            <v>VA</v>
          </cell>
          <cell r="Q2328" t="str">
            <v>-</v>
          </cell>
          <cell r="T2328" t="str">
            <v>-</v>
          </cell>
          <cell r="U2328" t="str">
            <v>-</v>
          </cell>
          <cell r="W2328" t="str">
            <v>-</v>
          </cell>
        </row>
        <row r="2329">
          <cell r="F2329" t="str">
            <v>RAIG01C048</v>
          </cell>
          <cell r="G2329" t="str">
            <v>CFS CUSTOM WAREHOUSE</v>
          </cell>
          <cell r="H2329" t="str">
            <v>-</v>
          </cell>
          <cell r="J2329" t="str">
            <v>Domestic</v>
          </cell>
          <cell r="K2329" t="str">
            <v>others</v>
          </cell>
          <cell r="L2329" t="str">
            <v>Non-Sugar</v>
          </cell>
          <cell r="M2329" t="str">
            <v>End User</v>
          </cell>
          <cell r="O2329" t="str">
            <v>-</v>
          </cell>
          <cell r="P2329" t="str">
            <v>-</v>
          </cell>
          <cell r="Q2329" t="str">
            <v>-</v>
          </cell>
          <cell r="R2329" t="str">
            <v>-</v>
          </cell>
          <cell r="T2329" t="str">
            <v>-</v>
          </cell>
          <cell r="W2329" t="str">
            <v>-</v>
          </cell>
        </row>
        <row r="2330">
          <cell r="F2330" t="str">
            <v>MUMB01C043</v>
          </cell>
          <cell r="G2330" t="str">
            <v>CFS SPEEDY SHED NO. 24</v>
          </cell>
          <cell r="H2330" t="str">
            <v>-</v>
          </cell>
          <cell r="J2330" t="str">
            <v>Domestic</v>
          </cell>
          <cell r="K2330" t="str">
            <v>others</v>
          </cell>
          <cell r="L2330" t="str">
            <v>Non-Sugar</v>
          </cell>
          <cell r="M2330" t="str">
            <v>End User</v>
          </cell>
          <cell r="O2330" t="str">
            <v>-</v>
          </cell>
          <cell r="P2330" t="str">
            <v>-</v>
          </cell>
          <cell r="Q2330" t="str">
            <v>-</v>
          </cell>
          <cell r="R2330" t="str">
            <v>-</v>
          </cell>
          <cell r="T2330" t="str">
            <v>-</v>
          </cell>
          <cell r="W2330" t="str">
            <v>-</v>
          </cell>
        </row>
        <row r="2331">
          <cell r="F2331" t="str">
            <v>KANP01C017</v>
          </cell>
          <cell r="G2331" t="str">
            <v>CHADHA SUGAR &amp; INDUSTRIES LTD</v>
          </cell>
          <cell r="H2331" t="str">
            <v>-</v>
          </cell>
          <cell r="J2331" t="str">
            <v>Domestic</v>
          </cell>
          <cell r="K2331" t="str">
            <v>Sugar</v>
          </cell>
          <cell r="L2331" t="str">
            <v>Sugar</v>
          </cell>
          <cell r="M2331" t="str">
            <v>End User</v>
          </cell>
          <cell r="O2331" t="str">
            <v>-</v>
          </cell>
          <cell r="P2331" t="str">
            <v>-</v>
          </cell>
          <cell r="Q2331" t="str">
            <v>-</v>
          </cell>
          <cell r="R2331" t="str">
            <v>-</v>
          </cell>
          <cell r="T2331" t="str">
            <v>-</v>
          </cell>
          <cell r="U2331" t="str">
            <v>-</v>
          </cell>
          <cell r="W2331" t="str">
            <v>-</v>
          </cell>
        </row>
        <row r="2332">
          <cell r="F2332" t="str">
            <v>NODA01C023</v>
          </cell>
          <cell r="G2332" t="str">
            <v>CHADHA SUGARS &amp; INDUSTRIES PVT. LTD.</v>
          </cell>
          <cell r="H2332" t="str">
            <v>-</v>
          </cell>
          <cell r="J2332" t="str">
            <v>Domestic</v>
          </cell>
          <cell r="K2332" t="str">
            <v>Sugar</v>
          </cell>
          <cell r="L2332" t="str">
            <v>Sugar</v>
          </cell>
          <cell r="M2332" t="str">
            <v>End User</v>
          </cell>
          <cell r="O2332" t="str">
            <v>-</v>
          </cell>
          <cell r="P2332" t="str">
            <v>-</v>
          </cell>
          <cell r="Q2332" t="str">
            <v>-</v>
          </cell>
          <cell r="R2332" t="str">
            <v>-</v>
          </cell>
          <cell r="T2332" t="str">
            <v>-</v>
          </cell>
          <cell r="U2332" t="str">
            <v>-</v>
          </cell>
          <cell r="W2332" t="str">
            <v>-</v>
          </cell>
        </row>
        <row r="2333">
          <cell r="F2333" t="str">
            <v>DLHI01C042</v>
          </cell>
          <cell r="G2333" t="str">
            <v>CHEMICAL SYSTEMS</v>
          </cell>
          <cell r="H2333" t="str">
            <v>-</v>
          </cell>
          <cell r="J2333" t="str">
            <v>Domestic</v>
          </cell>
          <cell r="K2333" t="str">
            <v>Other</v>
          </cell>
          <cell r="L2333" t="str">
            <v>Non-Sugar</v>
          </cell>
          <cell r="O2333" t="str">
            <v>-</v>
          </cell>
          <cell r="P2333" t="str">
            <v>-</v>
          </cell>
          <cell r="Q2333" t="str">
            <v>-</v>
          </cell>
          <cell r="R2333" t="str">
            <v>-</v>
          </cell>
          <cell r="T2333" t="str">
            <v>-</v>
          </cell>
          <cell r="U2333" t="str">
            <v>-</v>
          </cell>
          <cell r="W2333" t="str">
            <v>-</v>
          </cell>
        </row>
        <row r="2334">
          <cell r="F2334" t="str">
            <v>DLHI01C005</v>
          </cell>
          <cell r="G2334" t="str">
            <v>CHEMICAL SYSTEMS TECHNOLOGIES (I) PVT. LTD.</v>
          </cell>
          <cell r="H2334">
            <v>2013</v>
          </cell>
          <cell r="J2334" t="str">
            <v>Domestic</v>
          </cell>
          <cell r="K2334" t="str">
            <v>Other</v>
          </cell>
          <cell r="L2334" t="str">
            <v>Non-Sugar</v>
          </cell>
          <cell r="M2334" t="str">
            <v>OEM</v>
          </cell>
          <cell r="O2334" t="str">
            <v>-</v>
          </cell>
          <cell r="P2334" t="str">
            <v>HO</v>
          </cell>
          <cell r="Q2334" t="str">
            <v>-</v>
          </cell>
          <cell r="T2334" t="str">
            <v>-</v>
          </cell>
          <cell r="U2334" t="str">
            <v>-</v>
          </cell>
          <cell r="W2334" t="str">
            <v>-</v>
          </cell>
        </row>
        <row r="2335">
          <cell r="F2335" t="str">
            <v>DLHI01C038</v>
          </cell>
          <cell r="G2335" t="str">
            <v>CIDER MILL INDIA PVT LTD</v>
          </cell>
          <cell r="H2335">
            <v>2018</v>
          </cell>
          <cell r="J2335" t="str">
            <v>Domestic</v>
          </cell>
          <cell r="K2335" t="str">
            <v>Sugar</v>
          </cell>
          <cell r="L2335" t="str">
            <v>Sugar</v>
          </cell>
          <cell r="M2335" t="str">
            <v>End User</v>
          </cell>
          <cell r="O2335" t="str">
            <v>-</v>
          </cell>
          <cell r="P2335" t="str">
            <v>VA</v>
          </cell>
          <cell r="Q2335" t="str">
            <v>-</v>
          </cell>
          <cell r="T2335" t="str">
            <v>-</v>
          </cell>
          <cell r="U2335" t="str">
            <v>-</v>
          </cell>
          <cell r="W2335" t="str">
            <v>-</v>
          </cell>
        </row>
        <row r="2336">
          <cell r="F2336" t="str">
            <v>PATH01R056</v>
          </cell>
          <cell r="G2336" t="str">
            <v>COL. RAVI PATHANIA</v>
          </cell>
          <cell r="H2336" t="str">
            <v>21-22</v>
          </cell>
          <cell r="J2336" t="str">
            <v>Domestic</v>
          </cell>
          <cell r="K2336" t="str">
            <v>Other</v>
          </cell>
          <cell r="L2336" t="str">
            <v>Non-Sugar</v>
          </cell>
          <cell r="M2336" t="str">
            <v>End User</v>
          </cell>
          <cell r="O2336" t="str">
            <v>-</v>
          </cell>
          <cell r="P2336" t="str">
            <v>VA</v>
          </cell>
          <cell r="Q2336" t="str">
            <v>-</v>
          </cell>
          <cell r="T2336" t="str">
            <v>-</v>
          </cell>
          <cell r="U2336" t="str">
            <v>-</v>
          </cell>
          <cell r="W2336" t="str">
            <v>-</v>
          </cell>
        </row>
        <row r="2337">
          <cell r="F2337" t="str">
            <v>PUNE01C047</v>
          </cell>
          <cell r="G2337" t="str">
            <v>CRYSTAL CLEAR WATER TECHNOLOGY</v>
          </cell>
          <cell r="H2337" t="str">
            <v>-</v>
          </cell>
          <cell r="J2337" t="str">
            <v>Domestic</v>
          </cell>
          <cell r="K2337" t="str">
            <v>-</v>
          </cell>
          <cell r="L2337" t="str">
            <v>Non-Sugar</v>
          </cell>
          <cell r="O2337" t="str">
            <v>-</v>
          </cell>
          <cell r="P2337" t="str">
            <v>-</v>
          </cell>
          <cell r="Q2337" t="str">
            <v>-</v>
          </cell>
          <cell r="R2337" t="str">
            <v>-</v>
          </cell>
          <cell r="T2337" t="str">
            <v>-</v>
          </cell>
          <cell r="U2337" t="str">
            <v>26-27</v>
          </cell>
          <cell r="V2337" t="str">
            <v>Apr</v>
          </cell>
          <cell r="W2337" t="str">
            <v>23-04-2026</v>
          </cell>
        </row>
        <row r="2338">
          <cell r="F2338" t="str">
            <v>DLHI01D051</v>
          </cell>
          <cell r="G2338" t="str">
            <v>DALMIA BHARAT SUGAR AND INDUSTRIES LTD</v>
          </cell>
          <cell r="H2338" t="str">
            <v>-</v>
          </cell>
          <cell r="J2338" t="str">
            <v>Domestic</v>
          </cell>
          <cell r="K2338" t="str">
            <v>Sugar</v>
          </cell>
          <cell r="L2338" t="str">
            <v>Sugar</v>
          </cell>
          <cell r="M2338" t="str">
            <v>End User</v>
          </cell>
          <cell r="O2338" t="str">
            <v>-</v>
          </cell>
          <cell r="P2338" t="str">
            <v>-</v>
          </cell>
          <cell r="Q2338" t="str">
            <v>-</v>
          </cell>
          <cell r="R2338" t="str">
            <v>-</v>
          </cell>
          <cell r="T2338" t="str">
            <v>-</v>
          </cell>
          <cell r="U2338" t="str">
            <v>-</v>
          </cell>
          <cell r="W2338" t="str">
            <v>-</v>
          </cell>
        </row>
        <row r="2339">
          <cell r="F2339" t="str">
            <v>SAHJ01D050</v>
          </cell>
          <cell r="G2339" t="str">
            <v>DALMIA CHINI MILL</v>
          </cell>
          <cell r="H2339" t="str">
            <v>-</v>
          </cell>
          <cell r="J2339" t="str">
            <v>Domestic</v>
          </cell>
          <cell r="K2339" t="str">
            <v>Sugar</v>
          </cell>
          <cell r="L2339" t="str">
            <v>Sugar</v>
          </cell>
          <cell r="M2339" t="str">
            <v>End User</v>
          </cell>
          <cell r="O2339" t="str">
            <v>-</v>
          </cell>
          <cell r="P2339" t="str">
            <v>-</v>
          </cell>
          <cell r="Q2339" t="str">
            <v>-</v>
          </cell>
          <cell r="R2339" t="str">
            <v>-</v>
          </cell>
          <cell r="T2339" t="str">
            <v>-</v>
          </cell>
          <cell r="U2339" t="str">
            <v>-</v>
          </cell>
          <cell r="W2339" t="str">
            <v>-</v>
          </cell>
        </row>
        <row r="2340">
          <cell r="F2340" t="str">
            <v>HRDO01D073</v>
          </cell>
          <cell r="G2340" t="str">
            <v>DCM SHRIRAM LTD. U-S LONI</v>
          </cell>
          <cell r="H2340" t="str">
            <v>-</v>
          </cell>
          <cell r="J2340" t="str">
            <v>Domestic</v>
          </cell>
          <cell r="K2340" t="str">
            <v>OTHERS</v>
          </cell>
          <cell r="L2340" t="str">
            <v>Non-Sugar</v>
          </cell>
          <cell r="M2340" t="str">
            <v>End User</v>
          </cell>
          <cell r="O2340" t="str">
            <v>-</v>
          </cell>
          <cell r="P2340" t="str">
            <v>NI</v>
          </cell>
          <cell r="Q2340" t="str">
            <v>AVIRAL SHUKLA</v>
          </cell>
          <cell r="T2340" t="str">
            <v>-</v>
          </cell>
          <cell r="U2340" t="str">
            <v>-</v>
          </cell>
          <cell r="W2340" t="str">
            <v>-</v>
          </cell>
        </row>
        <row r="2341">
          <cell r="F2341" t="str">
            <v>HRDO01D070</v>
          </cell>
          <cell r="G2341" t="str">
            <v>DCM SHRIRAM LTD. U-S RUPAPUR</v>
          </cell>
          <cell r="H2341" t="str">
            <v>-</v>
          </cell>
          <cell r="J2341" t="str">
            <v>Domestic</v>
          </cell>
          <cell r="K2341" t="str">
            <v>OTHERS</v>
          </cell>
          <cell r="L2341" t="str">
            <v>Non-Sugar</v>
          </cell>
          <cell r="M2341" t="str">
            <v>End User</v>
          </cell>
          <cell r="O2341" t="str">
            <v>-</v>
          </cell>
          <cell r="P2341" t="str">
            <v>NI</v>
          </cell>
          <cell r="Q2341" t="str">
            <v>AVIRAL SHUKLA</v>
          </cell>
          <cell r="T2341" t="str">
            <v>-</v>
          </cell>
          <cell r="U2341" t="str">
            <v>-</v>
          </cell>
          <cell r="W2341" t="str">
            <v>-</v>
          </cell>
        </row>
        <row r="2342">
          <cell r="F2342" t="str">
            <v>DLHI01D056</v>
          </cell>
          <cell r="G2342" t="str">
            <v>DCM SHRIRAM SUGAR LTD</v>
          </cell>
          <cell r="H2342" t="str">
            <v>-</v>
          </cell>
          <cell r="J2342" t="str">
            <v>Domestic</v>
          </cell>
          <cell r="K2342" t="str">
            <v>Sugar</v>
          </cell>
          <cell r="L2342" t="str">
            <v>Sugar</v>
          </cell>
          <cell r="M2342" t="str">
            <v>End User</v>
          </cell>
          <cell r="O2342" t="str">
            <v>-</v>
          </cell>
          <cell r="P2342" t="str">
            <v>NI</v>
          </cell>
          <cell r="Q2342" t="str">
            <v>AVIRAL SHUKLA</v>
          </cell>
          <cell r="T2342" t="str">
            <v>-</v>
          </cell>
          <cell r="U2342" t="str">
            <v>-</v>
          </cell>
          <cell r="W2342" t="str">
            <v>-</v>
          </cell>
        </row>
        <row r="2343">
          <cell r="F2343" t="str">
            <v>BIJN01D080</v>
          </cell>
          <cell r="G2343" t="str">
            <v>DHAMPUR SUGAR MILLS LTD (CHEM DIVISION)</v>
          </cell>
          <cell r="H2343" t="str">
            <v>-</v>
          </cell>
          <cell r="J2343" t="str">
            <v>Domestic</v>
          </cell>
          <cell r="K2343" t="str">
            <v>Sugar</v>
          </cell>
          <cell r="L2343" t="str">
            <v>Sugar</v>
          </cell>
          <cell r="M2343" t="str">
            <v>End User</v>
          </cell>
          <cell r="O2343" t="str">
            <v>-</v>
          </cell>
          <cell r="P2343" t="str">
            <v>HO</v>
          </cell>
          <cell r="Q2343" t="str">
            <v>-</v>
          </cell>
          <cell r="T2343" t="str">
            <v>-</v>
          </cell>
          <cell r="U2343" t="str">
            <v>-</v>
          </cell>
          <cell r="W2343" t="str">
            <v>-</v>
          </cell>
        </row>
        <row r="2344">
          <cell r="F2344" t="str">
            <v>TIRN01D014</v>
          </cell>
          <cell r="G2344" t="str">
            <v>DHARANI SUGARS &amp; CHEMICALS LTD</v>
          </cell>
          <cell r="H2344">
            <v>2013</v>
          </cell>
          <cell r="J2344" t="str">
            <v>Domestic</v>
          </cell>
          <cell r="K2344" t="str">
            <v>Sugar</v>
          </cell>
          <cell r="P2344" t="str">
            <v>SI-GS</v>
          </cell>
          <cell r="Q2344" t="str">
            <v>SI-GS</v>
          </cell>
          <cell r="U2344" t="str">
            <v>25-26</v>
          </cell>
          <cell r="W2344" t="str">
            <v>15-02-2025</v>
          </cell>
        </row>
        <row r="2345">
          <cell r="F2345" t="str">
            <v>VILL01D015</v>
          </cell>
          <cell r="G2345" t="str">
            <v>DHARANI SUGARS &amp; CHEMICALS LTD.</v>
          </cell>
          <cell r="H2345">
            <v>2013</v>
          </cell>
          <cell r="J2345" t="str">
            <v>Domestic</v>
          </cell>
          <cell r="K2345" t="str">
            <v>Sugar</v>
          </cell>
          <cell r="P2345" t="str">
            <v>SI-GS</v>
          </cell>
          <cell r="Q2345" t="str">
            <v>SI-GS</v>
          </cell>
          <cell r="U2345" t="str">
            <v>25-26</v>
          </cell>
          <cell r="W2345" t="str">
            <v>15-02-2025</v>
          </cell>
        </row>
        <row r="2346">
          <cell r="F2346" t="str">
            <v>BELG01D042</v>
          </cell>
          <cell r="G2346" t="str">
            <v>DIFTECH (A/C MALPRABHA )</v>
          </cell>
          <cell r="H2346">
            <v>2013</v>
          </cell>
          <cell r="J2346" t="str">
            <v>Domestic</v>
          </cell>
          <cell r="K2346" t="str">
            <v>-</v>
          </cell>
          <cell r="L2346" t="str">
            <v>Non-Sugar</v>
          </cell>
          <cell r="M2346" t="str">
            <v>OEM</v>
          </cell>
          <cell r="O2346" t="str">
            <v>-</v>
          </cell>
          <cell r="P2346" t="str">
            <v>-</v>
          </cell>
          <cell r="Q2346" t="str">
            <v>-</v>
          </cell>
          <cell r="R2346" t="str">
            <v>-</v>
          </cell>
          <cell r="T2346" t="str">
            <v>-</v>
          </cell>
          <cell r="U2346" t="str">
            <v>-</v>
          </cell>
          <cell r="W2346" t="str">
            <v>-</v>
          </cell>
        </row>
        <row r="2347">
          <cell r="F2347" t="str">
            <v>BAGL01D043</v>
          </cell>
          <cell r="G2347" t="str">
            <v>DIFTECH A/C KEDARNATH SUGAR</v>
          </cell>
          <cell r="H2347">
            <v>2013</v>
          </cell>
          <cell r="J2347" t="str">
            <v>Domestic</v>
          </cell>
          <cell r="K2347" t="str">
            <v>Sugar</v>
          </cell>
          <cell r="L2347" t="str">
            <v>Sugar</v>
          </cell>
          <cell r="M2347" t="str">
            <v>OEM</v>
          </cell>
          <cell r="O2347" t="str">
            <v>-</v>
          </cell>
          <cell r="P2347" t="str">
            <v>-</v>
          </cell>
          <cell r="Q2347" t="str">
            <v>-</v>
          </cell>
          <cell r="R2347" t="str">
            <v>-</v>
          </cell>
          <cell r="T2347" t="str">
            <v>-</v>
          </cell>
          <cell r="U2347" t="str">
            <v>-</v>
          </cell>
          <cell r="W2347" t="str">
            <v>-</v>
          </cell>
        </row>
        <row r="2348">
          <cell r="F2348" t="str">
            <v>BALA01D041</v>
          </cell>
          <cell r="G2348" t="str">
            <v>DIFTECH TECHNOLOGY (A/C BIJAYANAND COOP )</v>
          </cell>
          <cell r="H2348">
            <v>2013</v>
          </cell>
          <cell r="J2348" t="str">
            <v>Domestic</v>
          </cell>
          <cell r="K2348" t="str">
            <v>-</v>
          </cell>
          <cell r="L2348" t="str">
            <v>Non-Sugar</v>
          </cell>
          <cell r="M2348" t="str">
            <v>OEM</v>
          </cell>
          <cell r="O2348" t="str">
            <v>-</v>
          </cell>
          <cell r="P2348" t="str">
            <v>-</v>
          </cell>
          <cell r="Q2348" t="str">
            <v>-</v>
          </cell>
          <cell r="R2348" t="str">
            <v>-</v>
          </cell>
          <cell r="T2348" t="str">
            <v>-</v>
          </cell>
          <cell r="U2348" t="str">
            <v>-</v>
          </cell>
          <cell r="W2348" t="str">
            <v>-</v>
          </cell>
        </row>
        <row r="2349">
          <cell r="F2349" t="str">
            <v>WSGO01D040</v>
          </cell>
          <cell r="G2349" t="str">
            <v>DIFTECH TECHNOLOGY (A/C JEYPORE SUGAR )</v>
          </cell>
          <cell r="H2349">
            <v>2013</v>
          </cell>
          <cell r="J2349" t="str">
            <v>Domestic</v>
          </cell>
          <cell r="K2349" t="str">
            <v>Sugar</v>
          </cell>
          <cell r="L2349" t="str">
            <v>Sugar</v>
          </cell>
          <cell r="M2349" t="str">
            <v>OEM</v>
          </cell>
          <cell r="O2349" t="str">
            <v>-</v>
          </cell>
          <cell r="P2349" t="str">
            <v>-</v>
          </cell>
          <cell r="Q2349" t="str">
            <v>-</v>
          </cell>
          <cell r="R2349" t="str">
            <v>-</v>
          </cell>
          <cell r="T2349" t="str">
            <v>-</v>
          </cell>
          <cell r="U2349" t="str">
            <v>-</v>
          </cell>
          <cell r="W2349" t="str">
            <v>-</v>
          </cell>
        </row>
        <row r="2350">
          <cell r="F2350" t="str">
            <v>GULB01D039</v>
          </cell>
          <cell r="G2350" t="str">
            <v>DIFTECH TECHNOLOGY (A/C RENUKA SUGAR )</v>
          </cell>
          <cell r="H2350">
            <v>2013</v>
          </cell>
          <cell r="J2350" t="str">
            <v>Domestic</v>
          </cell>
          <cell r="K2350" t="str">
            <v>Sugar</v>
          </cell>
          <cell r="L2350" t="str">
            <v>Sugar</v>
          </cell>
          <cell r="M2350" t="str">
            <v>OEM</v>
          </cell>
          <cell r="O2350" t="str">
            <v>-</v>
          </cell>
          <cell r="P2350" t="str">
            <v>-</v>
          </cell>
          <cell r="Q2350" t="str">
            <v>-</v>
          </cell>
          <cell r="R2350" t="str">
            <v>-</v>
          </cell>
          <cell r="T2350" t="str">
            <v>-</v>
          </cell>
          <cell r="U2350" t="str">
            <v>-</v>
          </cell>
          <cell r="W2350" t="str">
            <v>-</v>
          </cell>
        </row>
        <row r="2351">
          <cell r="F2351" t="str">
            <v>NASK01D074</v>
          </cell>
          <cell r="G2351" t="str">
            <v>DVP DHARASHIV SAKHAR KARKHANA LTD SANCHALIT (Unit 2)</v>
          </cell>
          <cell r="H2351">
            <v>2021</v>
          </cell>
          <cell r="J2351" t="str">
            <v>Domestic</v>
          </cell>
          <cell r="K2351" t="str">
            <v>Sugar</v>
          </cell>
          <cell r="M2351" t="str">
            <v>End User</v>
          </cell>
          <cell r="O2351">
            <v>2500</v>
          </cell>
          <cell r="P2351" t="str">
            <v>-</v>
          </cell>
          <cell r="Q2351" t="str">
            <v>-</v>
          </cell>
          <cell r="R2351" t="str">
            <v>-</v>
          </cell>
          <cell r="T2351" t="str">
            <v>-</v>
          </cell>
          <cell r="W2351" t="str">
            <v>-</v>
          </cell>
        </row>
        <row r="2352">
          <cell r="F2352" t="str">
            <v>UNNA01D066</v>
          </cell>
          <cell r="G2352" t="str">
            <v>DWARIKA RICE MILL LTD.</v>
          </cell>
          <cell r="H2352" t="str">
            <v>18-19</v>
          </cell>
          <cell r="J2352" t="str">
            <v>Domestic</v>
          </cell>
          <cell r="K2352" t="str">
            <v>Sugar</v>
          </cell>
          <cell r="L2352" t="str">
            <v>Sugar</v>
          </cell>
          <cell r="M2352" t="str">
            <v>End User</v>
          </cell>
          <cell r="O2352" t="str">
            <v>-</v>
          </cell>
          <cell r="P2352" t="str">
            <v>VA</v>
          </cell>
          <cell r="Q2352" t="str">
            <v>AMRESH</v>
          </cell>
          <cell r="T2352" t="str">
            <v>-</v>
          </cell>
          <cell r="U2352" t="str">
            <v>-</v>
          </cell>
          <cell r="W2352" t="str">
            <v>-</v>
          </cell>
        </row>
        <row r="2353">
          <cell r="F2353" t="str">
            <v>TAND01E030</v>
          </cell>
          <cell r="G2353" t="str">
            <v>EDAC ENGINEERING LIMITED</v>
          </cell>
          <cell r="H2353">
            <v>2018</v>
          </cell>
          <cell r="J2353" t="str">
            <v>Domestic</v>
          </cell>
          <cell r="K2353" t="str">
            <v>OTHERS</v>
          </cell>
          <cell r="L2353" t="str">
            <v>Non-Sugar</v>
          </cell>
          <cell r="M2353" t="str">
            <v>OEM</v>
          </cell>
          <cell r="O2353" t="str">
            <v>-</v>
          </cell>
          <cell r="P2353" t="str">
            <v>VA</v>
          </cell>
          <cell r="Q2353" t="str">
            <v>-</v>
          </cell>
          <cell r="T2353" t="str">
            <v>-</v>
          </cell>
          <cell r="U2353" t="str">
            <v>-</v>
          </cell>
          <cell r="W2353" t="str">
            <v>-</v>
          </cell>
        </row>
        <row r="2354">
          <cell r="F2354" t="str">
            <v>VADO01E020</v>
          </cell>
          <cell r="G2354" t="str">
            <v>EXCELL TRADING</v>
          </cell>
          <cell r="H2354">
            <v>2017</v>
          </cell>
          <cell r="J2354" t="str">
            <v>Domestic</v>
          </cell>
          <cell r="K2354" t="str">
            <v>OTHERS</v>
          </cell>
          <cell r="L2354" t="str">
            <v>Non-Sugar</v>
          </cell>
          <cell r="M2354" t="str">
            <v>OEM</v>
          </cell>
          <cell r="O2354" t="str">
            <v>-</v>
          </cell>
          <cell r="P2354" t="str">
            <v>VA</v>
          </cell>
          <cell r="Q2354" t="str">
            <v>-</v>
          </cell>
          <cell r="T2354" t="str">
            <v>-</v>
          </cell>
          <cell r="U2354" t="str">
            <v>-</v>
          </cell>
          <cell r="W2354" t="str">
            <v>-</v>
          </cell>
        </row>
        <row r="2355">
          <cell r="F2355" t="str">
            <v>MUMB01F004</v>
          </cell>
          <cell r="G2355" t="str">
            <v>FOURCEE INFRASTRUCTURE EQUIPMENTS PVT. LTD</v>
          </cell>
          <cell r="H2355">
            <v>2012</v>
          </cell>
          <cell r="J2355" t="str">
            <v>Domestic</v>
          </cell>
          <cell r="K2355" t="str">
            <v>-</v>
          </cell>
          <cell r="L2355" t="str">
            <v>Non-Sugar</v>
          </cell>
          <cell r="O2355" t="str">
            <v>-</v>
          </cell>
          <cell r="P2355" t="str">
            <v>-</v>
          </cell>
          <cell r="Q2355" t="str">
            <v>-</v>
          </cell>
          <cell r="R2355" t="str">
            <v>-</v>
          </cell>
          <cell r="T2355" t="str">
            <v>-</v>
          </cell>
          <cell r="U2355" t="str">
            <v>-</v>
          </cell>
          <cell r="W2355" t="str">
            <v>-</v>
          </cell>
        </row>
        <row r="2356">
          <cell r="F2356" t="str">
            <v>NODA01G088</v>
          </cell>
          <cell r="G2356" t="str">
            <v>G.S ENGINEERING</v>
          </cell>
          <cell r="H2356" t="str">
            <v>-</v>
          </cell>
          <cell r="J2356" t="str">
            <v>Domestic</v>
          </cell>
          <cell r="K2356" t="str">
            <v>-</v>
          </cell>
          <cell r="L2356" t="str">
            <v>Non-Sugar</v>
          </cell>
          <cell r="O2356" t="str">
            <v>-</v>
          </cell>
          <cell r="P2356" t="str">
            <v>-</v>
          </cell>
          <cell r="Q2356" t="str">
            <v>-</v>
          </cell>
          <cell r="R2356" t="str">
            <v>-</v>
          </cell>
          <cell r="T2356" t="str">
            <v>-</v>
          </cell>
          <cell r="U2356" t="str">
            <v>-</v>
          </cell>
          <cell r="W2356" t="str">
            <v>-</v>
          </cell>
        </row>
        <row r="2357">
          <cell r="F2357" t="str">
            <v>YAMN01G103</v>
          </cell>
          <cell r="G2357" t="str">
            <v>GANPATI ENTERPRISES</v>
          </cell>
          <cell r="H2357" t="str">
            <v>23-24</v>
          </cell>
          <cell r="J2357" t="str">
            <v>Domestic</v>
          </cell>
          <cell r="K2357" t="str">
            <v>OTHERS</v>
          </cell>
          <cell r="L2357" t="str">
            <v>Non-Sugar</v>
          </cell>
          <cell r="M2357" t="str">
            <v>End User</v>
          </cell>
          <cell r="O2357" t="str">
            <v>-</v>
          </cell>
          <cell r="P2357" t="str">
            <v>HO</v>
          </cell>
          <cell r="Q2357" t="str">
            <v>-</v>
          </cell>
          <cell r="T2357" t="str">
            <v>-</v>
          </cell>
          <cell r="U2357" t="str">
            <v>-</v>
          </cell>
          <cell r="W2357" t="str">
            <v>-</v>
          </cell>
        </row>
        <row r="2358">
          <cell r="F2358" t="str">
            <v>KANP01G027</v>
          </cell>
          <cell r="G2358" t="str">
            <v>GIRDHAR COLD STORAGE PVT. LTD.</v>
          </cell>
          <cell r="H2358" t="str">
            <v>22-23</v>
          </cell>
          <cell r="J2358" t="str">
            <v>Domestic</v>
          </cell>
          <cell r="K2358" t="str">
            <v>-</v>
          </cell>
          <cell r="L2358" t="str">
            <v>Non-Sugar</v>
          </cell>
          <cell r="O2358" t="str">
            <v>-</v>
          </cell>
          <cell r="P2358" t="str">
            <v>-</v>
          </cell>
          <cell r="Q2358" t="str">
            <v>-</v>
          </cell>
          <cell r="R2358" t="str">
            <v>-</v>
          </cell>
          <cell r="T2358" t="str">
            <v>-</v>
          </cell>
          <cell r="U2358" t="str">
            <v>-</v>
          </cell>
          <cell r="W2358" t="str">
            <v>-</v>
          </cell>
        </row>
        <row r="2359">
          <cell r="F2359" t="str">
            <v>DLHI01G029</v>
          </cell>
          <cell r="G2359" t="str">
            <v>GLOBUS SPIRITS LTD</v>
          </cell>
          <cell r="H2359" t="str">
            <v>NA</v>
          </cell>
          <cell r="J2359" t="str">
            <v>Domestic</v>
          </cell>
          <cell r="K2359" t="str">
            <v>-</v>
          </cell>
          <cell r="L2359" t="str">
            <v>Non-Sugar</v>
          </cell>
          <cell r="O2359" t="str">
            <v>-</v>
          </cell>
          <cell r="P2359" t="str">
            <v>-</v>
          </cell>
          <cell r="Q2359" t="str">
            <v>-</v>
          </cell>
          <cell r="R2359" t="str">
            <v>-</v>
          </cell>
          <cell r="T2359" t="str">
            <v>-</v>
          </cell>
          <cell r="U2359" t="str">
            <v>-</v>
          </cell>
          <cell r="W2359" t="str">
            <v>-</v>
          </cell>
        </row>
        <row r="2360">
          <cell r="F2360" t="str">
            <v>MUMB01G080</v>
          </cell>
          <cell r="G2360" t="str">
            <v>GODAVARI BIOREFINERIES LIMITED</v>
          </cell>
          <cell r="H2360" t="str">
            <v>-</v>
          </cell>
          <cell r="J2360" t="str">
            <v>Domestic</v>
          </cell>
          <cell r="K2360" t="str">
            <v>Sugar</v>
          </cell>
          <cell r="M2360" t="str">
            <v>End User</v>
          </cell>
          <cell r="O2360" t="str">
            <v>-</v>
          </cell>
          <cell r="P2360" t="str">
            <v>-</v>
          </cell>
          <cell r="Q2360" t="str">
            <v>-</v>
          </cell>
          <cell r="R2360" t="str">
            <v>-</v>
          </cell>
          <cell r="S2360" t="str">
            <v>https://maps.app.goo.gl/PeC2pUj2J6adtsZi8</v>
          </cell>
          <cell r="T2360" t="str">
            <v>-</v>
          </cell>
          <cell r="U2360" t="str">
            <v>26-27</v>
          </cell>
          <cell r="V2360" t="str">
            <v>May</v>
          </cell>
          <cell r="W2360" t="str">
            <v>22.05.2026</v>
          </cell>
        </row>
        <row r="2361">
          <cell r="F2361" t="str">
            <v>KARN01G026</v>
          </cell>
          <cell r="G2361" t="str">
            <v>GOODRICH MALT</v>
          </cell>
          <cell r="H2361">
            <v>2014</v>
          </cell>
          <cell r="J2361" t="str">
            <v>Domestic</v>
          </cell>
          <cell r="K2361" t="str">
            <v>-</v>
          </cell>
          <cell r="L2361" t="str">
            <v>Non-Sugar</v>
          </cell>
          <cell r="M2361" t="str">
            <v>End User</v>
          </cell>
          <cell r="O2361" t="str">
            <v>-</v>
          </cell>
          <cell r="P2361" t="str">
            <v>-</v>
          </cell>
          <cell r="Q2361" t="str">
            <v>-</v>
          </cell>
          <cell r="R2361" t="str">
            <v>-</v>
          </cell>
          <cell r="T2361" t="str">
            <v>-</v>
          </cell>
          <cell r="U2361" t="str">
            <v>-</v>
          </cell>
          <cell r="W2361" t="str">
            <v>-</v>
          </cell>
        </row>
        <row r="2362">
          <cell r="F2362" t="str">
            <v>KARN01G050</v>
          </cell>
          <cell r="G2362" t="str">
            <v>GOODRICH WORLD</v>
          </cell>
          <cell r="H2362" t="str">
            <v>-</v>
          </cell>
          <cell r="J2362" t="str">
            <v>Domestic</v>
          </cell>
          <cell r="K2362" t="str">
            <v>-</v>
          </cell>
          <cell r="L2362" t="str">
            <v>Non-Sugar</v>
          </cell>
          <cell r="O2362" t="str">
            <v>-</v>
          </cell>
          <cell r="P2362" t="str">
            <v>-</v>
          </cell>
          <cell r="Q2362" t="str">
            <v>-</v>
          </cell>
          <cell r="R2362" t="str">
            <v>-</v>
          </cell>
          <cell r="T2362" t="str">
            <v>-</v>
          </cell>
          <cell r="U2362" t="str">
            <v>-</v>
          </cell>
          <cell r="W2362" t="str">
            <v>-</v>
          </cell>
        </row>
        <row r="2363">
          <cell r="F2363" t="str">
            <v>PANI01H027</v>
          </cell>
          <cell r="G2363" t="str">
            <v>HARYANA ORGANICS (ONLY QUOTATION)</v>
          </cell>
          <cell r="H2363" t="str">
            <v>-</v>
          </cell>
          <cell r="J2363" t="str">
            <v>Domestic</v>
          </cell>
          <cell r="K2363" t="str">
            <v>-</v>
          </cell>
          <cell r="L2363" t="str">
            <v>Non-Sugar</v>
          </cell>
          <cell r="O2363" t="str">
            <v>-</v>
          </cell>
          <cell r="P2363" t="str">
            <v>-</v>
          </cell>
          <cell r="Q2363" t="str">
            <v>-</v>
          </cell>
          <cell r="R2363" t="str">
            <v>-</v>
          </cell>
          <cell r="T2363" t="str">
            <v>-</v>
          </cell>
          <cell r="U2363" t="str">
            <v>-</v>
          </cell>
          <cell r="W2363" t="str">
            <v>-</v>
          </cell>
        </row>
        <row r="2364">
          <cell r="F2364" t="str">
            <v>BATH01H062</v>
          </cell>
          <cell r="G2364" t="str">
            <v>HI TECH SWEET WATER TECHNOLOGIES PVT LTD</v>
          </cell>
          <cell r="H2364" t="str">
            <v>-</v>
          </cell>
          <cell r="J2364" t="str">
            <v>Domestic</v>
          </cell>
          <cell r="K2364" t="str">
            <v>OTHERS</v>
          </cell>
          <cell r="L2364" t="str">
            <v>Non-Sugar</v>
          </cell>
          <cell r="M2364" t="str">
            <v>OEM</v>
          </cell>
          <cell r="O2364" t="str">
            <v>-</v>
          </cell>
          <cell r="P2364" t="str">
            <v>HO</v>
          </cell>
          <cell r="Q2364" t="str">
            <v>AVIRAL SHUKLA</v>
          </cell>
          <cell r="T2364" t="str">
            <v>DELHI TOUR</v>
          </cell>
          <cell r="U2364" t="str">
            <v>25-26</v>
          </cell>
          <cell r="W2364" t="str">
            <v>14-10-2025</v>
          </cell>
        </row>
        <row r="2365">
          <cell r="F2365" t="str">
            <v>SAHA01H057</v>
          </cell>
          <cell r="G2365" t="str">
            <v>HINDON FILTERS PVT LTD</v>
          </cell>
          <cell r="H2365" t="str">
            <v>-</v>
          </cell>
          <cell r="J2365" t="str">
            <v>Domestic</v>
          </cell>
          <cell r="K2365" t="str">
            <v>-</v>
          </cell>
          <cell r="L2365" t="str">
            <v>Non-Sugar</v>
          </cell>
          <cell r="O2365" t="str">
            <v>-</v>
          </cell>
          <cell r="P2365" t="str">
            <v>-</v>
          </cell>
          <cell r="Q2365" t="str">
            <v>-</v>
          </cell>
          <cell r="R2365" t="str">
            <v>-</v>
          </cell>
          <cell r="T2365" t="str">
            <v>-</v>
          </cell>
          <cell r="U2365" t="str">
            <v>-</v>
          </cell>
          <cell r="W2365" t="str">
            <v>-</v>
          </cell>
        </row>
        <row r="2366">
          <cell r="F2366" t="str">
            <v>VADO01H055</v>
          </cell>
          <cell r="G2366" t="str">
            <v>HYDROMET TECHNOLOGY SOLUTIONS PVT. LTD</v>
          </cell>
          <cell r="H2366" t="str">
            <v>-</v>
          </cell>
          <cell r="J2366" t="str">
            <v>Domestic</v>
          </cell>
          <cell r="K2366" t="str">
            <v>-</v>
          </cell>
          <cell r="L2366" t="str">
            <v>Non-Sugar</v>
          </cell>
          <cell r="O2366" t="str">
            <v>-</v>
          </cell>
          <cell r="P2366" t="str">
            <v>-</v>
          </cell>
          <cell r="Q2366" t="str">
            <v>-</v>
          </cell>
          <cell r="R2366" t="str">
            <v>-</v>
          </cell>
          <cell r="T2366" t="str">
            <v>-</v>
          </cell>
          <cell r="U2366" t="str">
            <v>-</v>
          </cell>
          <cell r="W2366" t="str">
            <v>-</v>
          </cell>
        </row>
        <row r="2367">
          <cell r="F2367" t="str">
            <v>NANA01I020</v>
          </cell>
          <cell r="G2367" t="str">
            <v>ICE CREAM MIX</v>
          </cell>
          <cell r="H2367" t="str">
            <v>NA</v>
          </cell>
          <cell r="J2367" t="str">
            <v>Domestic</v>
          </cell>
          <cell r="K2367" t="str">
            <v>-</v>
          </cell>
          <cell r="L2367" t="str">
            <v>Non-Sugar</v>
          </cell>
          <cell r="O2367" t="str">
            <v>-</v>
          </cell>
          <cell r="P2367" t="str">
            <v>-</v>
          </cell>
          <cell r="Q2367" t="str">
            <v>-</v>
          </cell>
          <cell r="R2367" t="str">
            <v>-</v>
          </cell>
          <cell r="T2367" t="str">
            <v>-</v>
          </cell>
          <cell r="U2367" t="str">
            <v>-</v>
          </cell>
          <cell r="W2367" t="str">
            <v>-</v>
          </cell>
        </row>
        <row r="2368">
          <cell r="F2368" t="str">
            <v>MERT01I022</v>
          </cell>
          <cell r="G2368" t="str">
            <v>INDIAN POTASH LTD.</v>
          </cell>
          <cell r="H2368" t="str">
            <v>-</v>
          </cell>
          <cell r="J2368" t="str">
            <v>Domestic</v>
          </cell>
          <cell r="K2368" t="str">
            <v>-</v>
          </cell>
          <cell r="L2368" t="str">
            <v>Non-Sugar</v>
          </cell>
          <cell r="O2368">
            <v>4500</v>
          </cell>
          <cell r="P2368" t="str">
            <v>-</v>
          </cell>
          <cell r="Q2368" t="str">
            <v>-</v>
          </cell>
          <cell r="R2368" t="str">
            <v>HIMANSHU</v>
          </cell>
          <cell r="T2368" t="str">
            <v>-</v>
          </cell>
          <cell r="U2368" t="str">
            <v>23-24</v>
          </cell>
          <cell r="W2368" t="str">
            <v>26-05-2023
30-11-2022
26-02-2022</v>
          </cell>
        </row>
        <row r="2369">
          <cell r="F2369" t="str">
            <v>KANP01I035</v>
          </cell>
          <cell r="G2369" t="str">
            <v>INNOVATIVE CREATIONS</v>
          </cell>
          <cell r="H2369" t="str">
            <v>18-19</v>
          </cell>
          <cell r="J2369" t="str">
            <v>Domestic</v>
          </cell>
          <cell r="K2369" t="str">
            <v>OTHERS</v>
          </cell>
          <cell r="L2369" t="str">
            <v>Non-Sugar</v>
          </cell>
          <cell r="M2369" t="str">
            <v>End User</v>
          </cell>
          <cell r="O2369" t="str">
            <v>-</v>
          </cell>
          <cell r="P2369" t="str">
            <v>HO</v>
          </cell>
          <cell r="Q2369" t="str">
            <v>-</v>
          </cell>
          <cell r="T2369" t="str">
            <v>-</v>
          </cell>
          <cell r="U2369" t="str">
            <v>-</v>
          </cell>
          <cell r="W2369" t="str">
            <v>-</v>
          </cell>
        </row>
        <row r="2370">
          <cell r="F2370" t="str">
            <v>YAMN01I041</v>
          </cell>
          <cell r="G2370" t="str">
            <v>ISGEC HEAVY ENGINEERING LIMITED</v>
          </cell>
          <cell r="H2370" t="str">
            <v>19-20</v>
          </cell>
          <cell r="J2370" t="str">
            <v>Domestic</v>
          </cell>
          <cell r="K2370" t="str">
            <v>OTHERS</v>
          </cell>
          <cell r="L2370" t="str">
            <v>Non-Sugar</v>
          </cell>
          <cell r="M2370" t="str">
            <v>OEM</v>
          </cell>
          <cell r="O2370" t="str">
            <v>-</v>
          </cell>
          <cell r="P2370" t="str">
            <v>HO</v>
          </cell>
          <cell r="Q2370" t="str">
            <v>-</v>
          </cell>
          <cell r="T2370" t="str">
            <v>-</v>
          </cell>
          <cell r="U2370" t="str">
            <v>-</v>
          </cell>
          <cell r="W2370" t="str">
            <v>-</v>
          </cell>
        </row>
        <row r="2371">
          <cell r="F2371" t="str">
            <v>MAHA01J002</v>
          </cell>
          <cell r="G2371" t="str">
            <v>J.H.V. SUGAR LIMITED</v>
          </cell>
          <cell r="H2371">
            <v>2016</v>
          </cell>
          <cell r="J2371" t="str">
            <v>Domestic</v>
          </cell>
          <cell r="K2371" t="str">
            <v>Sugar</v>
          </cell>
          <cell r="L2371" t="str">
            <v>Sugar</v>
          </cell>
          <cell r="M2371" t="str">
            <v>End User</v>
          </cell>
          <cell r="O2371">
            <v>5000</v>
          </cell>
          <cell r="P2371" t="str">
            <v>HO</v>
          </cell>
          <cell r="Q2371" t="str">
            <v>HIMANSHU KUSHWAHA</v>
          </cell>
          <cell r="T2371" t="str">
            <v>-</v>
          </cell>
          <cell r="U2371" t="str">
            <v>-</v>
          </cell>
          <cell r="W2371" t="str">
            <v>-</v>
          </cell>
        </row>
        <row r="2372">
          <cell r="F2372" t="str">
            <v>KOLK01C049</v>
          </cell>
          <cell r="G2372" t="str">
            <v>JADAVPUR UNIVERSITY</v>
          </cell>
          <cell r="H2372" t="str">
            <v>-</v>
          </cell>
          <cell r="J2372" t="str">
            <v>Domestic</v>
          </cell>
          <cell r="K2372" t="str">
            <v>OTHERS</v>
          </cell>
          <cell r="L2372" t="str">
            <v>Non-Sugar</v>
          </cell>
          <cell r="M2372" t="str">
            <v>OEM</v>
          </cell>
          <cell r="O2372" t="str">
            <v>-</v>
          </cell>
          <cell r="P2372" t="str">
            <v>HO</v>
          </cell>
          <cell r="Q2372" t="str">
            <v>-</v>
          </cell>
          <cell r="T2372" t="str">
            <v>-</v>
          </cell>
          <cell r="U2372" t="str">
            <v>-</v>
          </cell>
          <cell r="W2372" t="str">
            <v>-</v>
          </cell>
        </row>
        <row r="2373">
          <cell r="F2373" t="str">
            <v>UGAN01K032</v>
          </cell>
          <cell r="G2373" t="str">
            <v>KAKIRA SUGAR LTD</v>
          </cell>
          <cell r="H2373" t="str">
            <v>-</v>
          </cell>
          <cell r="J2373" t="str">
            <v>Export</v>
          </cell>
          <cell r="K2373" t="str">
            <v>Sugar</v>
          </cell>
          <cell r="L2373" t="str">
            <v>Sugar</v>
          </cell>
          <cell r="M2373" t="str">
            <v>End User</v>
          </cell>
          <cell r="O2373" t="str">
            <v>-</v>
          </cell>
          <cell r="P2373" t="str">
            <v>-</v>
          </cell>
          <cell r="Q2373" t="str">
            <v>-</v>
          </cell>
          <cell r="R2373" t="str">
            <v>-</v>
          </cell>
          <cell r="T2373" t="str">
            <v>-</v>
          </cell>
          <cell r="U2373" t="str">
            <v>-</v>
          </cell>
          <cell r="W2373" t="str">
            <v>-</v>
          </cell>
        </row>
        <row r="2374">
          <cell r="F2374" t="str">
            <v>MUZF01K042</v>
          </cell>
          <cell r="G2374" t="str">
            <v>KK DUPLEX &amp; PAPER MILLS PVT LTD.</v>
          </cell>
          <cell r="H2374" t="str">
            <v>-</v>
          </cell>
          <cell r="J2374" t="str">
            <v>Domestic</v>
          </cell>
          <cell r="K2374" t="str">
            <v>Paper</v>
          </cell>
          <cell r="L2374" t="str">
            <v>Non-Sugar</v>
          </cell>
          <cell r="M2374" t="str">
            <v>End User</v>
          </cell>
          <cell r="O2374" t="str">
            <v>-</v>
          </cell>
          <cell r="P2374" t="str">
            <v>-</v>
          </cell>
          <cell r="Q2374" t="str">
            <v>-</v>
          </cell>
          <cell r="R2374" t="str">
            <v>-</v>
          </cell>
          <cell r="T2374" t="str">
            <v>-</v>
          </cell>
          <cell r="U2374" t="str">
            <v>-</v>
          </cell>
          <cell r="W2374" t="str">
            <v>-</v>
          </cell>
        </row>
        <row r="2375">
          <cell r="F2375" t="str">
            <v>LUCK01K092</v>
          </cell>
          <cell r="G2375" t="str">
            <v>KK ENVIROMENTAL</v>
          </cell>
          <cell r="H2375" t="str">
            <v>-</v>
          </cell>
          <cell r="J2375" t="str">
            <v>Domestic</v>
          </cell>
          <cell r="K2375" t="str">
            <v>-</v>
          </cell>
          <cell r="L2375" t="str">
            <v>Non-Sugar</v>
          </cell>
          <cell r="O2375" t="str">
            <v>-</v>
          </cell>
          <cell r="P2375" t="str">
            <v>-</v>
          </cell>
          <cell r="Q2375" t="str">
            <v>-</v>
          </cell>
          <cell r="R2375" t="str">
            <v>-</v>
          </cell>
          <cell r="T2375" t="str">
            <v>-</v>
          </cell>
          <cell r="U2375" t="str">
            <v>-</v>
          </cell>
          <cell r="W2375" t="str">
            <v>-</v>
          </cell>
        </row>
        <row r="2376">
          <cell r="F2376" t="str">
            <v>GHZB01K108</v>
          </cell>
          <cell r="G2376" t="str">
            <v>KKENWORLD WATER TECH</v>
          </cell>
          <cell r="H2376" t="str">
            <v>-</v>
          </cell>
          <cell r="J2376" t="str">
            <v>Domestic</v>
          </cell>
          <cell r="K2376" t="str">
            <v>-</v>
          </cell>
          <cell r="L2376" t="str">
            <v>Non-Sugar</v>
          </cell>
          <cell r="O2376" t="str">
            <v>-</v>
          </cell>
          <cell r="P2376" t="str">
            <v>-</v>
          </cell>
          <cell r="Q2376" t="str">
            <v>-</v>
          </cell>
          <cell r="R2376" t="str">
            <v>-</v>
          </cell>
          <cell r="T2376" t="str">
            <v>-</v>
          </cell>
          <cell r="U2376" t="str">
            <v>-</v>
          </cell>
          <cell r="W2376" t="str">
            <v>-</v>
          </cell>
        </row>
        <row r="2377">
          <cell r="F2377" t="str">
            <v>KOLH01K071</v>
          </cell>
          <cell r="G2377" t="str">
            <v>KOLHAPUR AUTO WORKS PVT. LTD.</v>
          </cell>
          <cell r="H2377" t="str">
            <v>19-20</v>
          </cell>
          <cell r="J2377" t="str">
            <v>Domestic</v>
          </cell>
          <cell r="K2377" t="str">
            <v>Sugar</v>
          </cell>
          <cell r="M2377" t="str">
            <v>OEM</v>
          </cell>
          <cell r="O2377" t="str">
            <v>-</v>
          </cell>
          <cell r="P2377" t="str">
            <v>AV</v>
          </cell>
          <cell r="Q2377" t="str">
            <v>AV</v>
          </cell>
          <cell r="R2377" t="str">
            <v>VG</v>
          </cell>
          <cell r="T2377" t="str">
            <v>TOUR-5 (KOLHAPUR)</v>
          </cell>
          <cell r="U2377" t="str">
            <v>25-26</v>
          </cell>
          <cell r="W2377">
            <v>45661</v>
          </cell>
        </row>
        <row r="2378">
          <cell r="F2378" t="str">
            <v>DLHI01K096</v>
          </cell>
          <cell r="G2378" t="str">
            <v>KROFTA ENGINEERING LIMITED</v>
          </cell>
          <cell r="H2378" t="str">
            <v>-</v>
          </cell>
          <cell r="J2378" t="str">
            <v>Domestic</v>
          </cell>
          <cell r="K2378" t="str">
            <v>-</v>
          </cell>
          <cell r="L2378" t="str">
            <v>Non-Sugar</v>
          </cell>
          <cell r="O2378" t="str">
            <v>-</v>
          </cell>
          <cell r="P2378" t="str">
            <v>-</v>
          </cell>
          <cell r="Q2378" t="str">
            <v>-</v>
          </cell>
          <cell r="R2378" t="str">
            <v>HIMANSHU</v>
          </cell>
          <cell r="T2378" t="str">
            <v>-</v>
          </cell>
          <cell r="U2378" t="str">
            <v>24-25</v>
          </cell>
          <cell r="W2378">
            <v>45572</v>
          </cell>
        </row>
        <row r="2379">
          <cell r="F2379" t="str">
            <v>HARI01L004</v>
          </cell>
          <cell r="G2379" t="str">
            <v>LAKSHMI SUGAR MILLS CO. LTD</v>
          </cell>
          <cell r="H2379">
            <v>2013</v>
          </cell>
          <cell r="J2379" t="str">
            <v>Domestic</v>
          </cell>
          <cell r="K2379" t="str">
            <v>Sugar</v>
          </cell>
          <cell r="L2379" t="str">
            <v>Sugar</v>
          </cell>
          <cell r="M2379" t="str">
            <v>End User</v>
          </cell>
          <cell r="O2379" t="str">
            <v>-</v>
          </cell>
          <cell r="P2379" t="str">
            <v>-</v>
          </cell>
          <cell r="Q2379" t="str">
            <v>-</v>
          </cell>
          <cell r="R2379" t="str">
            <v>-</v>
          </cell>
          <cell r="T2379" t="str">
            <v>-</v>
          </cell>
          <cell r="U2379" t="str">
            <v>-</v>
          </cell>
          <cell r="W2379" t="str">
            <v>-</v>
          </cell>
        </row>
        <row r="2380">
          <cell r="F2380" t="str">
            <v>KOLH01L018</v>
          </cell>
          <cell r="G2380" t="str">
            <v>LAXMI ORGANIC</v>
          </cell>
          <cell r="H2380" t="str">
            <v>-</v>
          </cell>
          <cell r="J2380" t="str">
            <v>Domestic</v>
          </cell>
          <cell r="K2380" t="str">
            <v>Sugar</v>
          </cell>
          <cell r="M2380" t="str">
            <v>End User</v>
          </cell>
          <cell r="O2380" t="str">
            <v>-</v>
          </cell>
          <cell r="P2380" t="str">
            <v>-</v>
          </cell>
          <cell r="Q2380" t="str">
            <v>-</v>
          </cell>
          <cell r="R2380" t="str">
            <v>-</v>
          </cell>
          <cell r="T2380" t="str">
            <v>TOUR NOT MAPPED</v>
          </cell>
          <cell r="W2380" t="str">
            <v>-</v>
          </cell>
        </row>
        <row r="2381">
          <cell r="F2381" t="str">
            <v>PANI01L026</v>
          </cell>
          <cell r="G2381" t="str">
            <v>LIBERTY INDIA LTD</v>
          </cell>
          <cell r="H2381" t="str">
            <v>20-21</v>
          </cell>
          <cell r="J2381" t="str">
            <v>Domestic</v>
          </cell>
          <cell r="K2381" t="str">
            <v>OTHERS</v>
          </cell>
          <cell r="L2381" t="str">
            <v>Non-Sugar</v>
          </cell>
          <cell r="M2381" t="str">
            <v>End User</v>
          </cell>
          <cell r="O2381" t="str">
            <v>-</v>
          </cell>
          <cell r="P2381" t="str">
            <v>HO</v>
          </cell>
          <cell r="Q2381" t="str">
            <v>-</v>
          </cell>
          <cell r="T2381" t="str">
            <v>-</v>
          </cell>
          <cell r="U2381" t="str">
            <v>-</v>
          </cell>
          <cell r="W2381" t="str">
            <v>Will visit</v>
          </cell>
        </row>
        <row r="2382">
          <cell r="F2382" t="str">
            <v>SURA01L039</v>
          </cell>
          <cell r="G2382" t="str">
            <v>LUNA CHEMICALS INDUSTRIES PVT LTD OLPAD</v>
          </cell>
          <cell r="H2382" t="str">
            <v>-</v>
          </cell>
          <cell r="J2382" t="str">
            <v>Domestic</v>
          </cell>
          <cell r="K2382" t="str">
            <v>-</v>
          </cell>
          <cell r="L2382" t="str">
            <v>Non-Sugar</v>
          </cell>
          <cell r="O2382" t="str">
            <v>-</v>
          </cell>
          <cell r="P2382" t="str">
            <v>-</v>
          </cell>
          <cell r="Q2382" t="str">
            <v>-</v>
          </cell>
          <cell r="R2382" t="str">
            <v>AKSHAY AWASTHI</v>
          </cell>
          <cell r="T2382" t="str">
            <v>-</v>
          </cell>
          <cell r="U2382" t="str">
            <v>24-25</v>
          </cell>
          <cell r="W2382">
            <v>45393</v>
          </cell>
        </row>
        <row r="2383">
          <cell r="F2383" t="str">
            <v>HASA01M075</v>
          </cell>
          <cell r="G2383" t="str">
            <v>MAGADH SUGAR &amp; ENERGY LTD</v>
          </cell>
          <cell r="H2383" t="str">
            <v>-</v>
          </cell>
          <cell r="J2383" t="str">
            <v>Domestic</v>
          </cell>
          <cell r="K2383" t="str">
            <v>Sugar</v>
          </cell>
          <cell r="L2383" t="str">
            <v>Sugar</v>
          </cell>
          <cell r="M2383" t="str">
            <v>End User</v>
          </cell>
          <cell r="O2383" t="str">
            <v>-</v>
          </cell>
          <cell r="P2383" t="str">
            <v>-</v>
          </cell>
          <cell r="Q2383" t="str">
            <v>-</v>
          </cell>
          <cell r="R2383" t="str">
            <v>-</v>
          </cell>
          <cell r="T2383" t="str">
            <v>-</v>
          </cell>
          <cell r="U2383" t="str">
            <v>-</v>
          </cell>
          <cell r="W2383" t="str">
            <v>-</v>
          </cell>
        </row>
        <row r="2384">
          <cell r="F2384" t="str">
            <v>PUNE01M017</v>
          </cell>
          <cell r="G2384" t="str">
            <v>MAHARASTRA S S K</v>
          </cell>
          <cell r="H2384" t="str">
            <v>-</v>
          </cell>
          <cell r="J2384" t="str">
            <v>Domestic</v>
          </cell>
          <cell r="K2384" t="str">
            <v>Sugar</v>
          </cell>
          <cell r="M2384" t="str">
            <v>End User</v>
          </cell>
          <cell r="O2384" t="str">
            <v>-</v>
          </cell>
          <cell r="P2384" t="str">
            <v>-</v>
          </cell>
          <cell r="Q2384" t="str">
            <v>-</v>
          </cell>
          <cell r="R2384" t="str">
            <v>-</v>
          </cell>
          <cell r="T2384" t="str">
            <v>-</v>
          </cell>
          <cell r="W2384" t="str">
            <v>-</v>
          </cell>
        </row>
        <row r="2385">
          <cell r="F2385" t="str">
            <v>PUNE01M109</v>
          </cell>
          <cell r="G2385" t="str">
            <v>MAILHEM GROUP</v>
          </cell>
          <cell r="H2385" t="str">
            <v>-</v>
          </cell>
          <cell r="J2385" t="str">
            <v>Domestic</v>
          </cell>
          <cell r="K2385" t="str">
            <v>-</v>
          </cell>
          <cell r="L2385" t="str">
            <v>Non-Sugar</v>
          </cell>
          <cell r="O2385" t="str">
            <v>-</v>
          </cell>
          <cell r="P2385" t="str">
            <v>-</v>
          </cell>
          <cell r="Q2385" t="str">
            <v>-</v>
          </cell>
          <cell r="R2385" t="str">
            <v>-</v>
          </cell>
          <cell r="T2385" t="str">
            <v>-</v>
          </cell>
          <cell r="U2385" t="str">
            <v>-</v>
          </cell>
          <cell r="W2385" t="str">
            <v>-</v>
          </cell>
        </row>
        <row r="2386">
          <cell r="F2386" t="str">
            <v>KOLK01M042</v>
          </cell>
          <cell r="G2386" t="str">
            <v>MAIZAPUR CHINI MILLS</v>
          </cell>
          <cell r="H2386" t="str">
            <v>-</v>
          </cell>
          <cell r="J2386" t="str">
            <v>Domestic</v>
          </cell>
          <cell r="K2386" t="str">
            <v>Sugar</v>
          </cell>
          <cell r="L2386" t="str">
            <v>Sugar</v>
          </cell>
          <cell r="M2386" t="str">
            <v>End User</v>
          </cell>
          <cell r="O2386" t="str">
            <v>-</v>
          </cell>
          <cell r="P2386" t="str">
            <v>-</v>
          </cell>
          <cell r="Q2386" t="str">
            <v>-</v>
          </cell>
          <cell r="R2386" t="str">
            <v>-</v>
          </cell>
          <cell r="T2386" t="str">
            <v>-</v>
          </cell>
          <cell r="U2386" t="str">
            <v>-</v>
          </cell>
          <cell r="W2386" t="str">
            <v>-</v>
          </cell>
        </row>
        <row r="2387">
          <cell r="F2387" t="str">
            <v>MAJH01M073</v>
          </cell>
          <cell r="G2387" t="str">
            <v>MAJHAULIA SUGAR INDUSTRIES PVT LTD</v>
          </cell>
          <cell r="H2387" t="str">
            <v>17-18</v>
          </cell>
          <cell r="J2387" t="str">
            <v>Domestic</v>
          </cell>
          <cell r="K2387" t="str">
            <v>Sugar</v>
          </cell>
          <cell r="L2387" t="str">
            <v>Sugar</v>
          </cell>
          <cell r="M2387" t="str">
            <v>End User</v>
          </cell>
          <cell r="O2387">
            <v>5000</v>
          </cell>
          <cell r="P2387" t="str">
            <v>HO</v>
          </cell>
          <cell r="Q2387" t="str">
            <v>AVIRAL SHUKLA</v>
          </cell>
          <cell r="T2387" t="str">
            <v>-</v>
          </cell>
          <cell r="U2387" t="str">
            <v>23-24</v>
          </cell>
          <cell r="W2387" t="str">
            <v>25-11-2023
24-02-2021
13-10-2020
10-01-2020</v>
          </cell>
        </row>
        <row r="2388">
          <cell r="F2388" t="str">
            <v>BHAN01M088</v>
          </cell>
          <cell r="G2388" t="str">
            <v>MANAS AGRO INDUSTRIES &amp; INFRASTRUCTURE LTD</v>
          </cell>
          <cell r="H2388" t="str">
            <v>-</v>
          </cell>
          <cell r="J2388" t="str">
            <v>Domestic</v>
          </cell>
          <cell r="K2388" t="str">
            <v>-</v>
          </cell>
          <cell r="L2388" t="str">
            <v>Non-Sugar</v>
          </cell>
          <cell r="O2388" t="str">
            <v>-</v>
          </cell>
          <cell r="P2388" t="str">
            <v>-</v>
          </cell>
          <cell r="Q2388" t="str">
            <v>-</v>
          </cell>
          <cell r="R2388" t="str">
            <v>-</v>
          </cell>
          <cell r="T2388" t="str">
            <v>-</v>
          </cell>
          <cell r="U2388" t="str">
            <v>-</v>
          </cell>
          <cell r="W2388" t="str">
            <v>-</v>
          </cell>
        </row>
        <row r="2389">
          <cell r="F2389" t="str">
            <v>NAGP01M086</v>
          </cell>
          <cell r="G2389" t="str">
            <v>MANAS AGRO INDUSTRIES &amp; INFRASTRUCTURE LTD.</v>
          </cell>
          <cell r="H2389" t="str">
            <v>-</v>
          </cell>
          <cell r="J2389" t="str">
            <v>Domestic</v>
          </cell>
          <cell r="K2389" t="str">
            <v>-</v>
          </cell>
          <cell r="L2389" t="str">
            <v>Non-Sugar</v>
          </cell>
          <cell r="O2389" t="str">
            <v>-</v>
          </cell>
          <cell r="P2389" t="str">
            <v>-</v>
          </cell>
          <cell r="Q2389" t="str">
            <v>-</v>
          </cell>
          <cell r="R2389" t="str">
            <v>-</v>
          </cell>
          <cell r="T2389" t="str">
            <v>-</v>
          </cell>
          <cell r="U2389" t="str">
            <v>-</v>
          </cell>
          <cell r="W2389" t="str">
            <v>-</v>
          </cell>
        </row>
        <row r="2390">
          <cell r="F2390" t="str">
            <v>WARD01M087</v>
          </cell>
          <cell r="G2390" t="str">
            <v>MANAS AGRO INDUSTRIES &amp; INFRASTRUCTURE LTD.</v>
          </cell>
          <cell r="H2390" t="str">
            <v>-</v>
          </cell>
          <cell r="J2390" t="str">
            <v>Domestic</v>
          </cell>
          <cell r="K2390" t="str">
            <v>-</v>
          </cell>
          <cell r="L2390" t="str">
            <v>Non-Sugar</v>
          </cell>
          <cell r="O2390" t="str">
            <v>-</v>
          </cell>
          <cell r="P2390" t="str">
            <v>-</v>
          </cell>
          <cell r="Q2390" t="str">
            <v>-</v>
          </cell>
          <cell r="R2390" t="str">
            <v>-</v>
          </cell>
          <cell r="T2390" t="str">
            <v>-</v>
          </cell>
          <cell r="U2390" t="str">
            <v>-</v>
          </cell>
          <cell r="W2390" t="str">
            <v>-</v>
          </cell>
        </row>
        <row r="2391">
          <cell r="F2391" t="str">
            <v>KARI01M061</v>
          </cell>
          <cell r="G2391" t="str">
            <v>MARK FEED MIXING PLANT</v>
          </cell>
          <cell r="H2391" t="str">
            <v>-</v>
          </cell>
          <cell r="J2391" t="str">
            <v>Domestic</v>
          </cell>
          <cell r="K2391" t="str">
            <v>Others</v>
          </cell>
          <cell r="L2391" t="str">
            <v>Non-Sugar</v>
          </cell>
          <cell r="P2391" t="str">
            <v>SI-GS</v>
          </cell>
          <cell r="Q2391" t="str">
            <v>SI-GS</v>
          </cell>
          <cell r="W2391">
            <v>45267</v>
          </cell>
        </row>
        <row r="2392">
          <cell r="F2392" t="str">
            <v>PUNE01M120</v>
          </cell>
          <cell r="G2392" t="str">
            <v>MEGA ENGINEERING</v>
          </cell>
          <cell r="H2392" t="str">
            <v>-</v>
          </cell>
          <cell r="J2392" t="str">
            <v>Domestic</v>
          </cell>
          <cell r="K2392" t="str">
            <v>Sugar</v>
          </cell>
          <cell r="L2392" t="str">
            <v>Sugar</v>
          </cell>
          <cell r="M2392" t="str">
            <v>OEM</v>
          </cell>
          <cell r="O2392" t="str">
            <v>-</v>
          </cell>
          <cell r="P2392" t="str">
            <v>HO</v>
          </cell>
          <cell r="Q2392" t="str">
            <v>-</v>
          </cell>
          <cell r="T2392" t="str">
            <v>-</v>
          </cell>
          <cell r="U2392" t="str">
            <v>-</v>
          </cell>
          <cell r="W2392" t="str">
            <v>-</v>
          </cell>
        </row>
        <row r="2393">
          <cell r="F2393" t="str">
            <v>PUNE01M127</v>
          </cell>
          <cell r="G2393" t="str">
            <v>MEGA ENGINEERING - UNIT 3</v>
          </cell>
          <cell r="H2393" t="str">
            <v>-</v>
          </cell>
          <cell r="J2393" t="str">
            <v>Domestic</v>
          </cell>
          <cell r="K2393" t="str">
            <v>Sugar</v>
          </cell>
          <cell r="L2393" t="str">
            <v>Sugar</v>
          </cell>
          <cell r="M2393" t="str">
            <v>OEM</v>
          </cell>
          <cell r="O2393" t="str">
            <v>-</v>
          </cell>
          <cell r="P2393" t="str">
            <v>HO</v>
          </cell>
          <cell r="Q2393" t="str">
            <v>-</v>
          </cell>
          <cell r="T2393" t="str">
            <v>-</v>
          </cell>
          <cell r="U2393" t="str">
            <v>-</v>
          </cell>
          <cell r="W2393" t="str">
            <v>-</v>
          </cell>
        </row>
        <row r="2394">
          <cell r="F2394" t="str">
            <v>AHMD01M119</v>
          </cell>
          <cell r="G2394" t="str">
            <v>MEGA ENGINEERING.</v>
          </cell>
          <cell r="H2394" t="str">
            <v>22-23</v>
          </cell>
          <cell r="I2394" t="str">
            <v>-</v>
          </cell>
          <cell r="J2394" t="str">
            <v>Domestic</v>
          </cell>
          <cell r="K2394" t="str">
            <v>Sugar</v>
          </cell>
          <cell r="L2394" t="str">
            <v>Sugar</v>
          </cell>
          <cell r="M2394" t="str">
            <v>OEM</v>
          </cell>
          <cell r="O2394" t="str">
            <v>-</v>
          </cell>
          <cell r="P2394" t="str">
            <v>HO</v>
          </cell>
          <cell r="Q2394" t="str">
            <v>AVIRAL SHUKLA</v>
          </cell>
          <cell r="T2394" t="str">
            <v>-</v>
          </cell>
          <cell r="U2394" t="str">
            <v>-</v>
          </cell>
          <cell r="W2394" t="str">
            <v>-</v>
          </cell>
        </row>
        <row r="2395">
          <cell r="F2395" t="str">
            <v>BARL01M009</v>
          </cell>
          <cell r="G2395" t="str">
            <v>MEHSONS (INDIA) LIMITED</v>
          </cell>
          <cell r="H2395">
            <v>2018</v>
          </cell>
          <cell r="J2395" t="str">
            <v>Domestic</v>
          </cell>
          <cell r="K2395" t="str">
            <v>-</v>
          </cell>
          <cell r="L2395" t="str">
            <v>Non-Sugar</v>
          </cell>
          <cell r="M2395" t="str">
            <v>End User</v>
          </cell>
          <cell r="O2395" t="str">
            <v>-</v>
          </cell>
          <cell r="P2395" t="str">
            <v>-</v>
          </cell>
          <cell r="Q2395" t="str">
            <v>-</v>
          </cell>
          <cell r="R2395" t="str">
            <v>-</v>
          </cell>
          <cell r="T2395" t="str">
            <v>-</v>
          </cell>
          <cell r="U2395" t="str">
            <v>-</v>
          </cell>
          <cell r="W2395" t="str">
            <v>-</v>
          </cell>
        </row>
        <row r="2396">
          <cell r="F2396" t="str">
            <v>GURG01M136</v>
          </cell>
          <cell r="G2396" t="str">
            <v>MEMBRANE GROUP</v>
          </cell>
          <cell r="H2396" t="str">
            <v>-</v>
          </cell>
          <cell r="J2396" t="str">
            <v>Domestic</v>
          </cell>
          <cell r="K2396" t="str">
            <v>-</v>
          </cell>
          <cell r="L2396" t="str">
            <v>Non-Sugar</v>
          </cell>
          <cell r="O2396" t="str">
            <v>-</v>
          </cell>
          <cell r="P2396" t="str">
            <v>-</v>
          </cell>
          <cell r="Q2396" t="str">
            <v>-</v>
          </cell>
          <cell r="R2396" t="str">
            <v>-</v>
          </cell>
          <cell r="T2396" t="str">
            <v>-</v>
          </cell>
          <cell r="U2396" t="str">
            <v>-</v>
          </cell>
          <cell r="W2396" t="str">
            <v>-</v>
          </cell>
        </row>
        <row r="2397">
          <cell r="F2397" t="str">
            <v>MUMB01M019</v>
          </cell>
          <cell r="G2397" t="str">
            <v>MERIDIAN EXPORT</v>
          </cell>
          <cell r="H2397" t="str">
            <v>NA</v>
          </cell>
          <cell r="J2397" t="str">
            <v>Domestic</v>
          </cell>
          <cell r="K2397" t="str">
            <v>-</v>
          </cell>
          <cell r="L2397" t="str">
            <v>Non-Sugar</v>
          </cell>
          <cell r="O2397" t="str">
            <v>-</v>
          </cell>
          <cell r="P2397" t="str">
            <v>-</v>
          </cell>
          <cell r="Q2397" t="str">
            <v>-</v>
          </cell>
          <cell r="R2397" t="str">
            <v>-</v>
          </cell>
          <cell r="T2397" t="str">
            <v>-</v>
          </cell>
          <cell r="U2397" t="str">
            <v>-</v>
          </cell>
          <cell r="W2397" t="str">
            <v>-</v>
          </cell>
        </row>
        <row r="2398">
          <cell r="F2398" t="str">
            <v>ADDI01M029</v>
          </cell>
          <cell r="G2398" t="str">
            <v>MESFIN INDUSTRIAL ENGINEERING PLC</v>
          </cell>
          <cell r="H2398">
            <v>2013</v>
          </cell>
          <cell r="J2398" t="str">
            <v>Export</v>
          </cell>
          <cell r="K2398" t="str">
            <v>OTHERS</v>
          </cell>
          <cell r="L2398" t="str">
            <v>Non-Sugar</v>
          </cell>
          <cell r="M2398" t="str">
            <v>OEM</v>
          </cell>
          <cell r="O2398" t="str">
            <v>-</v>
          </cell>
          <cell r="P2398" t="str">
            <v>VA</v>
          </cell>
          <cell r="Q2398" t="str">
            <v>-</v>
          </cell>
          <cell r="T2398" t="str">
            <v>-</v>
          </cell>
          <cell r="U2398" t="str">
            <v>-</v>
          </cell>
          <cell r="W2398" t="str">
            <v>-</v>
          </cell>
        </row>
        <row r="2399">
          <cell r="F2399" t="str">
            <v>DLHI01M031</v>
          </cell>
          <cell r="G2399" t="str">
            <v>MONNET ISPAT &amp; ENERGY LIMITED</v>
          </cell>
          <cell r="H2399" t="str">
            <v>NA</v>
          </cell>
          <cell r="J2399" t="str">
            <v>Domestic</v>
          </cell>
          <cell r="K2399" t="str">
            <v>-</v>
          </cell>
          <cell r="L2399" t="str">
            <v>Non-Sugar</v>
          </cell>
          <cell r="O2399" t="str">
            <v>-</v>
          </cell>
          <cell r="P2399" t="str">
            <v>-</v>
          </cell>
          <cell r="Q2399" t="str">
            <v>-</v>
          </cell>
          <cell r="R2399" t="str">
            <v>-</v>
          </cell>
          <cell r="T2399" t="str">
            <v>-</v>
          </cell>
          <cell r="U2399" t="str">
            <v>-</v>
          </cell>
          <cell r="W2399" t="str">
            <v>-</v>
          </cell>
        </row>
        <row r="2400">
          <cell r="F2400" t="str">
            <v>DHAN01M056</v>
          </cell>
          <cell r="G2400" t="str">
            <v>MONNET ISPAT &amp; ENERGY LTD- B.C.C.L.</v>
          </cell>
          <cell r="H2400" t="str">
            <v>-</v>
          </cell>
          <cell r="J2400" t="str">
            <v>Domestic</v>
          </cell>
          <cell r="K2400" t="str">
            <v>-</v>
          </cell>
          <cell r="L2400" t="str">
            <v>Non-Sugar</v>
          </cell>
          <cell r="O2400" t="str">
            <v>-</v>
          </cell>
          <cell r="P2400" t="str">
            <v>-</v>
          </cell>
          <cell r="Q2400" t="str">
            <v>-</v>
          </cell>
          <cell r="R2400" t="str">
            <v>-</v>
          </cell>
          <cell r="T2400" t="str">
            <v>-</v>
          </cell>
          <cell r="U2400" t="str">
            <v>-</v>
          </cell>
          <cell r="W2400" t="str">
            <v>-</v>
          </cell>
        </row>
        <row r="2401">
          <cell r="F2401" t="str">
            <v>DHAN01M055</v>
          </cell>
          <cell r="G2401" t="str">
            <v>MONNET ISPAT &amp; ENERGY LTD- PATHERDIH COAL</v>
          </cell>
          <cell r="H2401">
            <v>2015</v>
          </cell>
          <cell r="J2401" t="str">
            <v>Domestic</v>
          </cell>
          <cell r="K2401" t="str">
            <v>OTHERS</v>
          </cell>
          <cell r="L2401" t="str">
            <v>Non-Sugar</v>
          </cell>
          <cell r="M2401" t="str">
            <v>End User</v>
          </cell>
          <cell r="O2401" t="str">
            <v>-</v>
          </cell>
          <cell r="P2401" t="str">
            <v>HO</v>
          </cell>
          <cell r="Q2401" t="str">
            <v>-</v>
          </cell>
          <cell r="T2401" t="str">
            <v>-</v>
          </cell>
          <cell r="U2401" t="str">
            <v>-</v>
          </cell>
          <cell r="W2401" t="str">
            <v>-</v>
          </cell>
        </row>
        <row r="2402">
          <cell r="F2402" t="str">
            <v>MAND01M125</v>
          </cell>
          <cell r="G2402" t="str">
            <v>MYSORE SUGAR COMPANY LIMITED</v>
          </cell>
          <cell r="H2402" t="str">
            <v>-</v>
          </cell>
          <cell r="J2402" t="str">
            <v>Domestic</v>
          </cell>
          <cell r="K2402" t="str">
            <v>Others</v>
          </cell>
          <cell r="L2402" t="str">
            <v>Non-Sugar</v>
          </cell>
          <cell r="M2402" t="str">
            <v>End User</v>
          </cell>
          <cell r="N2402" t="str">
            <v>(0-5000)</v>
          </cell>
          <cell r="O2402">
            <v>5000</v>
          </cell>
          <cell r="P2402" t="str">
            <v>SI-GS</v>
          </cell>
          <cell r="Q2402" t="str">
            <v>SI-GS</v>
          </cell>
          <cell r="W2402">
            <v>45518</v>
          </cell>
        </row>
        <row r="2403">
          <cell r="F2403" t="str">
            <v>NAGP01N095</v>
          </cell>
          <cell r="G2403" t="str">
            <v>N.B. LABORATORIES PVT. LTD.</v>
          </cell>
          <cell r="H2403" t="str">
            <v>-</v>
          </cell>
          <cell r="J2403" t="str">
            <v>Domestic</v>
          </cell>
          <cell r="K2403" t="str">
            <v>pharma</v>
          </cell>
          <cell r="L2403" t="str">
            <v>Non-Sugar</v>
          </cell>
          <cell r="M2403" t="str">
            <v>End User</v>
          </cell>
          <cell r="O2403" t="str">
            <v>-</v>
          </cell>
          <cell r="P2403" t="str">
            <v>HO</v>
          </cell>
          <cell r="Q2403" t="str">
            <v>-</v>
          </cell>
          <cell r="T2403" t="str">
            <v>-</v>
          </cell>
          <cell r="U2403" t="str">
            <v>-</v>
          </cell>
          <cell r="W2403" t="str">
            <v>-</v>
          </cell>
        </row>
        <row r="2404">
          <cell r="F2404" t="str">
            <v>LUDH01N128</v>
          </cell>
          <cell r="G2404" t="str">
            <v>NANAK LABORATORIES</v>
          </cell>
          <cell r="H2404" t="str">
            <v>23-24</v>
          </cell>
          <cell r="J2404" t="str">
            <v>Domestic</v>
          </cell>
          <cell r="K2404" t="str">
            <v>OTHERS</v>
          </cell>
          <cell r="L2404" t="str">
            <v>Non-Sugar</v>
          </cell>
          <cell r="M2404" t="str">
            <v>End User</v>
          </cell>
          <cell r="O2404" t="str">
            <v>-</v>
          </cell>
          <cell r="P2404" t="str">
            <v>HO</v>
          </cell>
          <cell r="Q2404" t="str">
            <v>-</v>
          </cell>
          <cell r="T2404" t="str">
            <v>-</v>
          </cell>
          <cell r="U2404" t="str">
            <v>-</v>
          </cell>
          <cell r="W2404" t="str">
            <v>-</v>
          </cell>
        </row>
        <row r="2405">
          <cell r="F2405" t="str">
            <v>KUSH01N125</v>
          </cell>
          <cell r="G2405" t="str">
            <v>NEW INDIA SUGAR MILLS (Renamed to Avadh sugars_N017)</v>
          </cell>
          <cell r="H2405" t="str">
            <v>-</v>
          </cell>
          <cell r="J2405" t="str">
            <v>Domestic</v>
          </cell>
          <cell r="K2405" t="str">
            <v>Sugar</v>
          </cell>
          <cell r="L2405" t="str">
            <v>Sugar</v>
          </cell>
          <cell r="M2405" t="str">
            <v>End User</v>
          </cell>
          <cell r="O2405" t="str">
            <v>-</v>
          </cell>
          <cell r="P2405" t="str">
            <v>-</v>
          </cell>
          <cell r="Q2405" t="str">
            <v>-</v>
          </cell>
          <cell r="R2405" t="str">
            <v>-</v>
          </cell>
          <cell r="T2405" t="str">
            <v>-</v>
          </cell>
          <cell r="U2405" t="str">
            <v>-</v>
          </cell>
          <cell r="W2405" t="str">
            <v/>
          </cell>
        </row>
        <row r="2406">
          <cell r="F2406" t="str">
            <v>VIET01N038</v>
          </cell>
          <cell r="G2406" t="str">
            <v>NIVL JOINT STOCK COMPANY</v>
          </cell>
          <cell r="H2406">
            <v>2013</v>
          </cell>
          <cell r="J2406" t="str">
            <v>Export</v>
          </cell>
          <cell r="K2406" t="str">
            <v>-</v>
          </cell>
          <cell r="L2406" t="str">
            <v>Non-Sugar</v>
          </cell>
          <cell r="O2406" t="str">
            <v>-</v>
          </cell>
          <cell r="P2406" t="str">
            <v>-</v>
          </cell>
          <cell r="Q2406" t="str">
            <v>VG</v>
          </cell>
          <cell r="R2406" t="str">
            <v>-</v>
          </cell>
          <cell r="T2406" t="str">
            <v>-</v>
          </cell>
          <cell r="U2406" t="str">
            <v>-</v>
          </cell>
          <cell r="W2406" t="str">
            <v>-</v>
          </cell>
        </row>
        <row r="2407">
          <cell r="F2407" t="str">
            <v>DUBA01O004</v>
          </cell>
          <cell r="G2407" t="str">
            <v>OPT CHEMICALS DUBAI ORGANICS PROCESSING &amp;TECHNOLOGIES FZE</v>
          </cell>
          <cell r="H2407" t="str">
            <v>-</v>
          </cell>
          <cell r="J2407" t="str">
            <v>Export</v>
          </cell>
          <cell r="K2407" t="str">
            <v>-</v>
          </cell>
          <cell r="L2407" t="str">
            <v>Non-Sugar</v>
          </cell>
          <cell r="O2407" t="str">
            <v>-</v>
          </cell>
          <cell r="P2407" t="str">
            <v>-</v>
          </cell>
          <cell r="Q2407" t="str">
            <v>-</v>
          </cell>
          <cell r="R2407" t="str">
            <v>-</v>
          </cell>
          <cell r="T2407" t="str">
            <v>-</v>
          </cell>
          <cell r="U2407" t="str">
            <v>-</v>
          </cell>
          <cell r="W2407" t="str">
            <v>-</v>
          </cell>
        </row>
        <row r="2408">
          <cell r="F2408" t="str">
            <v>DUBA01O007</v>
          </cell>
          <cell r="G2408" t="str">
            <v>ORGANICS PROCESSING &amp; TECHNOLOGIES FZE</v>
          </cell>
          <cell r="H2408">
            <v>2013</v>
          </cell>
          <cell r="J2408" t="str">
            <v>Export</v>
          </cell>
          <cell r="K2408" t="str">
            <v>-</v>
          </cell>
          <cell r="L2408" t="str">
            <v>Non-Sugar</v>
          </cell>
          <cell r="O2408" t="str">
            <v>-</v>
          </cell>
          <cell r="P2408" t="str">
            <v>-</v>
          </cell>
          <cell r="Q2408" t="str">
            <v>-</v>
          </cell>
          <cell r="R2408" t="str">
            <v>-</v>
          </cell>
          <cell r="T2408" t="str">
            <v>-</v>
          </cell>
          <cell r="U2408" t="str">
            <v>-</v>
          </cell>
          <cell r="W2408" t="str">
            <v>-</v>
          </cell>
        </row>
        <row r="2409">
          <cell r="F2409" t="str">
            <v>ZAMB01P044</v>
          </cell>
          <cell r="G2409" t="str">
            <v>PHILIPPINE COASTAL STORGE &amp; PIPELINE CORPORATION</v>
          </cell>
          <cell r="H2409" t="str">
            <v>-</v>
          </cell>
          <cell r="J2409" t="str">
            <v>Export</v>
          </cell>
          <cell r="K2409" t="str">
            <v>-</v>
          </cell>
          <cell r="L2409" t="str">
            <v>Non-Sugar</v>
          </cell>
          <cell r="O2409" t="str">
            <v>-</v>
          </cell>
          <cell r="P2409" t="str">
            <v>-</v>
          </cell>
          <cell r="Q2409" t="str">
            <v>-</v>
          </cell>
          <cell r="R2409" t="str">
            <v>-</v>
          </cell>
          <cell r="T2409" t="str">
            <v>-</v>
          </cell>
          <cell r="U2409" t="str">
            <v>-</v>
          </cell>
          <cell r="W2409" t="str">
            <v>-</v>
          </cell>
        </row>
        <row r="2410">
          <cell r="F2410" t="str">
            <v>HCWC01P048</v>
          </cell>
          <cell r="G2410" t="str">
            <v>PHUNG HIEP SUGAR</v>
          </cell>
          <cell r="H2410" t="str">
            <v>-</v>
          </cell>
          <cell r="J2410" t="str">
            <v>Export</v>
          </cell>
          <cell r="K2410" t="str">
            <v>Sugar</v>
          </cell>
          <cell r="L2410" t="str">
            <v>Sugar</v>
          </cell>
          <cell r="M2410" t="str">
            <v>End User</v>
          </cell>
          <cell r="O2410" t="str">
            <v>-</v>
          </cell>
          <cell r="P2410" t="str">
            <v>-</v>
          </cell>
          <cell r="Q2410" t="str">
            <v>-</v>
          </cell>
          <cell r="R2410" t="str">
            <v>-</v>
          </cell>
          <cell r="T2410" t="str">
            <v>-</v>
          </cell>
          <cell r="U2410" t="str">
            <v>-</v>
          </cell>
          <cell r="W2410" t="str">
            <v>-</v>
          </cell>
        </row>
        <row r="2411">
          <cell r="F2411" t="str">
            <v>DABI01P078</v>
          </cell>
          <cell r="G2411" t="str">
            <v>PIPELINE SUPPLY COMPANY LLC</v>
          </cell>
          <cell r="H2411" t="str">
            <v>-</v>
          </cell>
          <cell r="J2411" t="str">
            <v>Export</v>
          </cell>
          <cell r="K2411" t="str">
            <v>-</v>
          </cell>
          <cell r="L2411" t="str">
            <v>Non-Sugar</v>
          </cell>
          <cell r="O2411" t="str">
            <v>-</v>
          </cell>
          <cell r="P2411" t="str">
            <v>-</v>
          </cell>
          <cell r="Q2411" t="str">
            <v>-</v>
          </cell>
          <cell r="R2411" t="str">
            <v>-</v>
          </cell>
          <cell r="T2411" t="str">
            <v>-</v>
          </cell>
          <cell r="U2411" t="str">
            <v>-</v>
          </cell>
          <cell r="W2411" t="str">
            <v>-</v>
          </cell>
        </row>
        <row r="2412">
          <cell r="F2412" t="str">
            <v>DLHI01P056</v>
          </cell>
          <cell r="G2412" t="str">
            <v>PREM COLOR CHEM</v>
          </cell>
          <cell r="H2412" t="str">
            <v>18-19</v>
          </cell>
          <cell r="J2412" t="str">
            <v>Domestic</v>
          </cell>
          <cell r="K2412" t="str">
            <v>OTHERS</v>
          </cell>
          <cell r="L2412" t="str">
            <v>Non-Sugar</v>
          </cell>
          <cell r="M2412" t="str">
            <v>OEM</v>
          </cell>
          <cell r="O2412" t="str">
            <v>-</v>
          </cell>
          <cell r="P2412" t="str">
            <v>HO</v>
          </cell>
          <cell r="Q2412" t="str">
            <v>-</v>
          </cell>
          <cell r="T2412" t="str">
            <v>-</v>
          </cell>
          <cell r="U2412" t="str">
            <v>-</v>
          </cell>
          <cell r="W2412" t="str">
            <v>-</v>
          </cell>
        </row>
        <row r="2413">
          <cell r="F2413" t="str">
            <v>ALWR01P054</v>
          </cell>
          <cell r="G2413" t="str">
            <v>PRERNA ENTERPRISES</v>
          </cell>
          <cell r="H2413">
            <v>2018</v>
          </cell>
          <cell r="J2413" t="str">
            <v>Domestic</v>
          </cell>
          <cell r="K2413" t="str">
            <v>OTHERS</v>
          </cell>
          <cell r="L2413" t="str">
            <v>Non-Sugar</v>
          </cell>
          <cell r="M2413" t="str">
            <v>End User</v>
          </cell>
          <cell r="O2413" t="str">
            <v>-</v>
          </cell>
          <cell r="P2413" t="str">
            <v>VA</v>
          </cell>
          <cell r="Q2413" t="str">
            <v>-</v>
          </cell>
          <cell r="T2413" t="str">
            <v>-</v>
          </cell>
          <cell r="U2413" t="str">
            <v>-</v>
          </cell>
          <cell r="W2413" t="str">
            <v>-</v>
          </cell>
        </row>
        <row r="2414">
          <cell r="F2414" t="str">
            <v>PUNE01P060</v>
          </cell>
          <cell r="G2414" t="str">
            <v>PRITHVIRAJ PLASTICS PVT LTD</v>
          </cell>
          <cell r="H2414">
            <v>2020</v>
          </cell>
          <cell r="J2414" t="str">
            <v>Domestic</v>
          </cell>
          <cell r="K2414" t="str">
            <v>Others</v>
          </cell>
          <cell r="L2414" t="str">
            <v>Non-Sugar</v>
          </cell>
          <cell r="M2414" t="str">
            <v>End User</v>
          </cell>
          <cell r="O2414" t="str">
            <v>-</v>
          </cell>
          <cell r="P2414" t="str">
            <v>-</v>
          </cell>
          <cell r="Q2414" t="str">
            <v>-</v>
          </cell>
          <cell r="R2414" t="str">
            <v>-</v>
          </cell>
          <cell r="T2414" t="str">
            <v>-</v>
          </cell>
          <cell r="W2414" t="str">
            <v>-</v>
          </cell>
        </row>
        <row r="2415">
          <cell r="F2415" t="str">
            <v>PUNE01P062</v>
          </cell>
          <cell r="G2415" t="str">
            <v>PROCIENT ENGINEERING PVT LTD.</v>
          </cell>
          <cell r="H2415" t="str">
            <v>-</v>
          </cell>
          <cell r="J2415" t="str">
            <v>Domestic</v>
          </cell>
          <cell r="K2415" t="str">
            <v>-</v>
          </cell>
          <cell r="L2415" t="str">
            <v>Non-Sugar</v>
          </cell>
          <cell r="O2415" t="str">
            <v>-</v>
          </cell>
          <cell r="P2415" t="str">
            <v>-</v>
          </cell>
          <cell r="Q2415" t="str">
            <v>-</v>
          </cell>
          <cell r="R2415" t="str">
            <v>-</v>
          </cell>
          <cell r="T2415" t="str">
            <v>-</v>
          </cell>
          <cell r="U2415" t="str">
            <v>-</v>
          </cell>
          <cell r="W2415" t="str">
            <v>-</v>
          </cell>
        </row>
        <row r="2416">
          <cell r="F2416" t="str">
            <v>DLHI01P038</v>
          </cell>
          <cell r="G2416" t="str">
            <v>PRODUCTS &amp; SYSTEMS INC</v>
          </cell>
          <cell r="H2416" t="str">
            <v>-</v>
          </cell>
          <cell r="J2416" t="str">
            <v>Domestic</v>
          </cell>
          <cell r="K2416" t="str">
            <v>-</v>
          </cell>
          <cell r="L2416" t="str">
            <v>Non-Sugar</v>
          </cell>
          <cell r="O2416" t="str">
            <v>-</v>
          </cell>
          <cell r="P2416" t="str">
            <v>-</v>
          </cell>
          <cell r="Q2416" t="str">
            <v>-</v>
          </cell>
          <cell r="R2416" t="str">
            <v>-</v>
          </cell>
          <cell r="T2416" t="str">
            <v>-</v>
          </cell>
          <cell r="U2416" t="str">
            <v>-</v>
          </cell>
          <cell r="W2416" t="str">
            <v>-</v>
          </cell>
        </row>
        <row r="2417">
          <cell r="F2417" t="str">
            <v>TANZ01P095</v>
          </cell>
          <cell r="G2417" t="str">
            <v>PSMI</v>
          </cell>
          <cell r="H2417" t="str">
            <v>-</v>
          </cell>
          <cell r="J2417" t="str">
            <v>Export</v>
          </cell>
          <cell r="K2417" t="str">
            <v>-</v>
          </cell>
          <cell r="L2417" t="str">
            <v>Non-Sugar</v>
          </cell>
          <cell r="O2417" t="str">
            <v>-</v>
          </cell>
          <cell r="P2417" t="str">
            <v>-</v>
          </cell>
          <cell r="Q2417" t="str">
            <v>-</v>
          </cell>
          <cell r="R2417" t="str">
            <v>-</v>
          </cell>
          <cell r="T2417" t="str">
            <v>-</v>
          </cell>
          <cell r="U2417" t="str">
            <v>-</v>
          </cell>
          <cell r="W2417" t="str">
            <v>-</v>
          </cell>
        </row>
        <row r="2418">
          <cell r="F2418" t="str">
            <v>JAKA01P047</v>
          </cell>
          <cell r="G2418" t="str">
            <v>PT BERKAT SOLUSI PERSADA</v>
          </cell>
          <cell r="H2418" t="str">
            <v>-</v>
          </cell>
          <cell r="J2418" t="str">
            <v>Export</v>
          </cell>
          <cell r="K2418" t="str">
            <v>-</v>
          </cell>
          <cell r="L2418" t="str">
            <v>Non-Sugar</v>
          </cell>
          <cell r="O2418" t="str">
            <v>-</v>
          </cell>
          <cell r="P2418" t="str">
            <v>-</v>
          </cell>
          <cell r="Q2418" t="str">
            <v>VG</v>
          </cell>
          <cell r="R2418" t="str">
            <v>-</v>
          </cell>
          <cell r="T2418" t="str">
            <v>-</v>
          </cell>
          <cell r="U2418" t="str">
            <v>-</v>
          </cell>
          <cell r="W2418" t="str">
            <v>-</v>
          </cell>
        </row>
        <row r="2419">
          <cell r="F2419" t="str">
            <v>JAKA01P076</v>
          </cell>
          <cell r="G2419" t="str">
            <v>PT PUMPCO TRADINDO</v>
          </cell>
          <cell r="H2419" t="str">
            <v>-</v>
          </cell>
          <cell r="J2419" t="str">
            <v>Export</v>
          </cell>
          <cell r="K2419" t="str">
            <v>-</v>
          </cell>
          <cell r="L2419" t="str">
            <v>Non-Sugar</v>
          </cell>
          <cell r="O2419" t="str">
            <v>-</v>
          </cell>
          <cell r="P2419" t="str">
            <v>-</v>
          </cell>
          <cell r="Q2419" t="str">
            <v>VG</v>
          </cell>
          <cell r="R2419" t="str">
            <v>-</v>
          </cell>
          <cell r="T2419" t="str">
            <v>-</v>
          </cell>
          <cell r="U2419" t="str">
            <v>-</v>
          </cell>
          <cell r="W2419" t="str">
            <v>-</v>
          </cell>
        </row>
        <row r="2420">
          <cell r="F2420" t="str">
            <v>JAKR01P073</v>
          </cell>
          <cell r="G2420" t="str">
            <v>PT TRIWIJAYA GEMALESTARI</v>
          </cell>
          <cell r="H2420" t="str">
            <v>-</v>
          </cell>
          <cell r="J2420" t="str">
            <v>Export</v>
          </cell>
          <cell r="K2420" t="str">
            <v>-</v>
          </cell>
          <cell r="L2420" t="str">
            <v>Non-Sugar</v>
          </cell>
          <cell r="O2420" t="str">
            <v>-</v>
          </cell>
          <cell r="P2420" t="str">
            <v>-</v>
          </cell>
          <cell r="Q2420" t="str">
            <v>VG</v>
          </cell>
          <cell r="R2420" t="str">
            <v>-</v>
          </cell>
          <cell r="T2420" t="str">
            <v>-</v>
          </cell>
          <cell r="U2420" t="str">
            <v>-</v>
          </cell>
          <cell r="W2420" t="str">
            <v>-</v>
          </cell>
        </row>
        <row r="2421">
          <cell r="F2421" t="str">
            <v>JAKA01P019</v>
          </cell>
          <cell r="G2421" t="str">
            <v>PT.DHARMAPALA USAHA SUKSES</v>
          </cell>
          <cell r="H2421" t="str">
            <v>NA</v>
          </cell>
          <cell r="J2421" t="str">
            <v>Export</v>
          </cell>
          <cell r="K2421" t="str">
            <v>Sugar</v>
          </cell>
          <cell r="L2421" t="str">
            <v>Sugar</v>
          </cell>
          <cell r="O2421" t="str">
            <v>-</v>
          </cell>
          <cell r="P2421" t="str">
            <v>-</v>
          </cell>
          <cell r="Q2421" t="str">
            <v>-</v>
          </cell>
          <cell r="R2421" t="str">
            <v>-</v>
          </cell>
          <cell r="T2421" t="str">
            <v>-</v>
          </cell>
          <cell r="U2421" t="str">
            <v>-</v>
          </cell>
          <cell r="W2421" t="str">
            <v>-</v>
          </cell>
        </row>
        <row r="2422">
          <cell r="F2422" t="str">
            <v>MYSR01R028</v>
          </cell>
          <cell r="G2422" t="str">
            <v>R. B. EXPORTS</v>
          </cell>
          <cell r="H2422">
            <v>2014</v>
          </cell>
          <cell r="J2422" t="str">
            <v>Domestic</v>
          </cell>
          <cell r="K2422" t="str">
            <v>-</v>
          </cell>
          <cell r="L2422" t="str">
            <v>Non-Sugar</v>
          </cell>
          <cell r="O2422" t="str">
            <v>-</v>
          </cell>
          <cell r="P2422" t="str">
            <v>-</v>
          </cell>
          <cell r="Q2422" t="str">
            <v>-</v>
          </cell>
          <cell r="R2422" t="str">
            <v>-</v>
          </cell>
          <cell r="T2422" t="str">
            <v>-</v>
          </cell>
          <cell r="U2422" t="str">
            <v>-</v>
          </cell>
          <cell r="W2422" t="str">
            <v>-</v>
          </cell>
        </row>
        <row r="2423">
          <cell r="F2423" t="str">
            <v>RAMP01R010</v>
          </cell>
          <cell r="G2423" t="str">
            <v>RANA SUGARS LIMITED (UR344) Unit-IV</v>
          </cell>
          <cell r="H2423" t="str">
            <v>-</v>
          </cell>
          <cell r="J2423" t="str">
            <v>Domestic</v>
          </cell>
          <cell r="K2423" t="str">
            <v>Sugar</v>
          </cell>
          <cell r="L2423" t="str">
            <v>Sugar</v>
          </cell>
          <cell r="M2423" t="str">
            <v>End User</v>
          </cell>
          <cell r="O2423" t="str">
            <v>-</v>
          </cell>
          <cell r="P2423" t="str">
            <v>-</v>
          </cell>
          <cell r="Q2423" t="str">
            <v>-</v>
          </cell>
          <cell r="R2423" t="str">
            <v>-</v>
          </cell>
          <cell r="T2423" t="str">
            <v>-</v>
          </cell>
          <cell r="U2423" t="str">
            <v>-</v>
          </cell>
          <cell r="W2423" t="str">
            <v>-</v>
          </cell>
        </row>
        <row r="2424">
          <cell r="F2424" t="str">
            <v>MUMB01R040</v>
          </cell>
          <cell r="G2424" t="str">
            <v>ROTEM COSTA</v>
          </cell>
          <cell r="H2424" t="str">
            <v>-</v>
          </cell>
          <cell r="J2424" t="str">
            <v>Domestic</v>
          </cell>
          <cell r="K2424" t="str">
            <v>others</v>
          </cell>
          <cell r="L2424" t="str">
            <v>Non-Sugar</v>
          </cell>
          <cell r="M2424" t="str">
            <v>Trader</v>
          </cell>
          <cell r="O2424" t="str">
            <v>-</v>
          </cell>
          <cell r="P2424" t="str">
            <v>-</v>
          </cell>
          <cell r="Q2424" t="str">
            <v>-</v>
          </cell>
          <cell r="R2424" t="str">
            <v>-</v>
          </cell>
          <cell r="T2424" t="str">
            <v>-</v>
          </cell>
          <cell r="W2424" t="str">
            <v>-</v>
          </cell>
        </row>
        <row r="2425">
          <cell r="F2425" t="str">
            <v>SOLN01S265</v>
          </cell>
          <cell r="G2425" t="str">
            <v>S.R. PARYAVARAN ENGINEERS PVT LTD</v>
          </cell>
          <cell r="H2425" t="str">
            <v>19-20</v>
          </cell>
          <cell r="J2425" t="str">
            <v>Domestic</v>
          </cell>
          <cell r="K2425" t="str">
            <v>ETP/STP/WTP</v>
          </cell>
          <cell r="L2425" t="str">
            <v>Non-Sugar</v>
          </cell>
          <cell r="M2425" t="str">
            <v>End User</v>
          </cell>
          <cell r="O2425" t="str">
            <v>-</v>
          </cell>
          <cell r="P2425" t="str">
            <v>VA</v>
          </cell>
          <cell r="Q2425" t="str">
            <v>-</v>
          </cell>
          <cell r="T2425" t="str">
            <v>-</v>
          </cell>
          <cell r="U2425" t="str">
            <v>-</v>
          </cell>
          <cell r="W2425" t="str">
            <v>-</v>
          </cell>
        </row>
        <row r="2426">
          <cell r="F2426" t="str">
            <v>PUNE01S338</v>
          </cell>
          <cell r="G2426" t="str">
            <v>SAAJAN SUGAR PVT LTD UNIT 7 (Taken over by Onkar Sugar and Allied Industries Pvt.Ltd. unit no 7) (LEASSE Shri Saikrupa Sugar Allied Industries ltd)</v>
          </cell>
          <cell r="H2426" t="str">
            <v>-</v>
          </cell>
          <cell r="I2426" t="str">
            <v>Onkar Group</v>
          </cell>
          <cell r="J2426" t="str">
            <v>Domestic</v>
          </cell>
          <cell r="K2426" t="str">
            <v>Sugar</v>
          </cell>
          <cell r="L2426" t="str">
            <v>Sugar</v>
          </cell>
          <cell r="M2426" t="str">
            <v>Group (Mills)</v>
          </cell>
          <cell r="N2426" t="str">
            <v>(0-5000)</v>
          </cell>
          <cell r="O2426">
            <v>2000</v>
          </cell>
          <cell r="P2426" t="str">
            <v>AV</v>
          </cell>
          <cell r="Q2426" t="str">
            <v>AV</v>
          </cell>
          <cell r="R2426" t="str">
            <v>PD</v>
          </cell>
          <cell r="T2426" t="str">
            <v>Ahmednagar - 2</v>
          </cell>
          <cell r="W2426" t="str">
            <v>-</v>
          </cell>
        </row>
        <row r="2427">
          <cell r="F2427" t="str">
            <v>PUNE01S411</v>
          </cell>
          <cell r="G2427" t="str">
            <v>SAI SHRUTI INDUSTRIES PVT LTD</v>
          </cell>
          <cell r="H2427" t="str">
            <v>-</v>
          </cell>
          <cell r="J2427" t="str">
            <v>Domestic</v>
          </cell>
          <cell r="K2427" t="str">
            <v>Sugar</v>
          </cell>
          <cell r="L2427" t="str">
            <v>Sugar</v>
          </cell>
          <cell r="M2427" t="str">
            <v>OEM</v>
          </cell>
          <cell r="O2427" t="str">
            <v>-</v>
          </cell>
          <cell r="P2427" t="str">
            <v>NI</v>
          </cell>
          <cell r="Q2427" t="str">
            <v>AKSHAY AWASTHI</v>
          </cell>
          <cell r="R2427" t="str">
            <v>-</v>
          </cell>
          <cell r="T2427" t="str">
            <v>GUJARAT + PUNE</v>
          </cell>
          <cell r="U2427" t="str">
            <v>25-26</v>
          </cell>
          <cell r="W2427" t="str">
            <v>24-09-2025</v>
          </cell>
        </row>
        <row r="2428">
          <cell r="F2428" t="str">
            <v>AHMD01S139</v>
          </cell>
          <cell r="G2428" t="str">
            <v>SAMARTH ENGINEERING WORKS</v>
          </cell>
          <cell r="H2428">
            <v>2013</v>
          </cell>
          <cell r="J2428" t="str">
            <v>Domestic</v>
          </cell>
          <cell r="K2428" t="str">
            <v>Sugar</v>
          </cell>
          <cell r="M2428" t="str">
            <v>End User</v>
          </cell>
          <cell r="O2428" t="str">
            <v>-</v>
          </cell>
          <cell r="P2428" t="str">
            <v>-</v>
          </cell>
          <cell r="Q2428" t="str">
            <v>-</v>
          </cell>
          <cell r="R2428" t="str">
            <v>-</v>
          </cell>
          <cell r="T2428" t="str">
            <v>-</v>
          </cell>
          <cell r="W2428" t="str">
            <v>-</v>
          </cell>
        </row>
        <row r="2429">
          <cell r="F2429" t="str">
            <v>PUNE01S011</v>
          </cell>
          <cell r="G2429" t="str">
            <v>SAMARTH ENTERPRISES</v>
          </cell>
          <cell r="H2429">
            <v>2012</v>
          </cell>
          <cell r="J2429" t="str">
            <v>Domestic</v>
          </cell>
          <cell r="K2429" t="str">
            <v>Sugar</v>
          </cell>
          <cell r="M2429" t="str">
            <v>End User</v>
          </cell>
          <cell r="O2429" t="str">
            <v>-</v>
          </cell>
          <cell r="P2429" t="str">
            <v>-</v>
          </cell>
          <cell r="Q2429" t="str">
            <v>-</v>
          </cell>
          <cell r="R2429" t="str">
            <v>-</v>
          </cell>
          <cell r="T2429" t="str">
            <v>-</v>
          </cell>
          <cell r="W2429" t="str">
            <v>-</v>
          </cell>
        </row>
        <row r="2430">
          <cell r="F2430" t="str">
            <v>GURD01S285</v>
          </cell>
          <cell r="G2430" t="str">
            <v>SANTOSH PROPERTIES PVT. LTD.</v>
          </cell>
          <cell r="H2430" t="str">
            <v>21-22</v>
          </cell>
          <cell r="J2430" t="str">
            <v>Domestic</v>
          </cell>
          <cell r="K2430" t="str">
            <v>OTHERS</v>
          </cell>
          <cell r="L2430" t="str">
            <v>Non-Sugar</v>
          </cell>
          <cell r="M2430" t="str">
            <v>End User</v>
          </cell>
          <cell r="O2430" t="str">
            <v>-</v>
          </cell>
          <cell r="P2430" t="str">
            <v>VA</v>
          </cell>
          <cell r="Q2430" t="str">
            <v>-</v>
          </cell>
          <cell r="T2430" t="str">
            <v>-</v>
          </cell>
          <cell r="U2430" t="str">
            <v>-</v>
          </cell>
          <cell r="W2430" t="str">
            <v>no need</v>
          </cell>
        </row>
        <row r="2431">
          <cell r="F2431" t="str">
            <v>MUMB01S241</v>
          </cell>
          <cell r="G2431" t="str">
            <v>SARDAR PATEL COLLEGE OF ENGG</v>
          </cell>
          <cell r="H2431">
            <v>2018</v>
          </cell>
          <cell r="J2431" t="str">
            <v>Domestic</v>
          </cell>
          <cell r="K2431" t="str">
            <v>OTHERS</v>
          </cell>
          <cell r="L2431" t="str">
            <v>Non-Sugar</v>
          </cell>
          <cell r="M2431" t="str">
            <v>End User</v>
          </cell>
          <cell r="O2431" t="str">
            <v>-</v>
          </cell>
          <cell r="P2431" t="str">
            <v>VA</v>
          </cell>
          <cell r="Q2431" t="str">
            <v>-</v>
          </cell>
          <cell r="T2431" t="str">
            <v>-</v>
          </cell>
          <cell r="U2431" t="str">
            <v>-</v>
          </cell>
          <cell r="W2431" t="str">
            <v>-</v>
          </cell>
        </row>
        <row r="2432">
          <cell r="F2432" t="str">
            <v>SRIL01S244</v>
          </cell>
          <cell r="G2432" t="str">
            <v>SAVINDA ENTERPRISES PVT LTD</v>
          </cell>
          <cell r="H2432">
            <v>2018</v>
          </cell>
          <cell r="J2432" t="str">
            <v>Export</v>
          </cell>
          <cell r="K2432" t="str">
            <v>OTHERS</v>
          </cell>
          <cell r="L2432" t="str">
            <v>Non-Sugar</v>
          </cell>
          <cell r="M2432" t="str">
            <v>OEM</v>
          </cell>
          <cell r="O2432" t="str">
            <v>-</v>
          </cell>
          <cell r="P2432" t="str">
            <v>VA</v>
          </cell>
          <cell r="Q2432" t="str">
            <v>-</v>
          </cell>
          <cell r="T2432" t="str">
            <v>-</v>
          </cell>
          <cell r="U2432" t="str">
            <v>-</v>
          </cell>
          <cell r="W2432" t="str">
            <v>-</v>
          </cell>
        </row>
        <row r="2433">
          <cell r="F2433" t="str">
            <v>INDR01S263</v>
          </cell>
          <cell r="G2433" t="str">
            <v>SHAKTI SUGAR MILL PVT. LTD. INDORE</v>
          </cell>
          <cell r="H2433" t="str">
            <v>-</v>
          </cell>
          <cell r="J2433" t="str">
            <v>Domestic</v>
          </cell>
          <cell r="K2433" t="str">
            <v>Sugar</v>
          </cell>
          <cell r="L2433" t="str">
            <v>Sugar</v>
          </cell>
          <cell r="M2433" t="str">
            <v>End User</v>
          </cell>
          <cell r="O2433" t="str">
            <v>-</v>
          </cell>
          <cell r="P2433" t="str">
            <v>HO</v>
          </cell>
          <cell r="Q2433" t="str">
            <v>AVIRAL SHUKLA</v>
          </cell>
          <cell r="T2433" t="str">
            <v>-</v>
          </cell>
          <cell r="U2433" t="str">
            <v>23-24</v>
          </cell>
          <cell r="W2433">
            <v>45352</v>
          </cell>
        </row>
        <row r="2434">
          <cell r="F2434" t="str">
            <v>DLHI01S340</v>
          </cell>
          <cell r="G2434" t="str">
            <v>SHIVA GLOBAL ENVIROMENTAL PVT LTD</v>
          </cell>
          <cell r="H2434" t="str">
            <v>-</v>
          </cell>
          <cell r="J2434" t="str">
            <v>Domestic</v>
          </cell>
          <cell r="K2434" t="str">
            <v>-</v>
          </cell>
          <cell r="L2434" t="str">
            <v>Non-Sugar</v>
          </cell>
          <cell r="O2434" t="str">
            <v>-</v>
          </cell>
          <cell r="P2434" t="str">
            <v>-</v>
          </cell>
          <cell r="Q2434" t="str">
            <v>-</v>
          </cell>
          <cell r="R2434" t="str">
            <v>-</v>
          </cell>
          <cell r="T2434" t="str">
            <v>-</v>
          </cell>
          <cell r="U2434" t="str">
            <v>-</v>
          </cell>
          <cell r="W2434" t="str">
            <v>-</v>
          </cell>
        </row>
        <row r="2435">
          <cell r="F2435" t="str">
            <v>CUTT01S249</v>
          </cell>
          <cell r="G2435" t="str">
            <v>SHIVA TRANSPORT</v>
          </cell>
          <cell r="H2435" t="str">
            <v>-</v>
          </cell>
          <cell r="J2435" t="str">
            <v>Domestic</v>
          </cell>
          <cell r="K2435" t="str">
            <v>-</v>
          </cell>
          <cell r="L2435" t="str">
            <v>Non-Sugar</v>
          </cell>
          <cell r="O2435" t="str">
            <v>-</v>
          </cell>
          <cell r="P2435" t="str">
            <v>-</v>
          </cell>
          <cell r="Q2435" t="str">
            <v>-</v>
          </cell>
          <cell r="R2435" t="str">
            <v>-</v>
          </cell>
          <cell r="T2435" t="str">
            <v>-</v>
          </cell>
          <cell r="U2435" t="str">
            <v>-</v>
          </cell>
          <cell r="W2435" t="str">
            <v>-</v>
          </cell>
        </row>
        <row r="2436">
          <cell r="F2436" t="str">
            <v>KASH01S256</v>
          </cell>
          <cell r="G2436" t="str">
            <v>SHIVA TRANSPORT</v>
          </cell>
          <cell r="H2436" t="str">
            <v>-</v>
          </cell>
          <cell r="J2436" t="str">
            <v>Domestic</v>
          </cell>
          <cell r="K2436" t="str">
            <v>-</v>
          </cell>
          <cell r="L2436" t="str">
            <v>Non-Sugar</v>
          </cell>
          <cell r="O2436" t="str">
            <v>-</v>
          </cell>
          <cell r="P2436" t="str">
            <v>-</v>
          </cell>
          <cell r="Q2436" t="str">
            <v>-</v>
          </cell>
          <cell r="R2436" t="str">
            <v>-</v>
          </cell>
          <cell r="T2436" t="str">
            <v>-</v>
          </cell>
          <cell r="U2436" t="str">
            <v>-</v>
          </cell>
          <cell r="W2436" t="str">
            <v>-</v>
          </cell>
        </row>
        <row r="2437">
          <cell r="F2437" t="str">
            <v>MORA01S247</v>
          </cell>
          <cell r="G2437" t="str">
            <v>SHIVA TRANSPORT</v>
          </cell>
          <cell r="H2437" t="str">
            <v>-</v>
          </cell>
          <cell r="J2437" t="str">
            <v>Domestic</v>
          </cell>
          <cell r="K2437" t="str">
            <v>-</v>
          </cell>
          <cell r="L2437" t="str">
            <v>Non-Sugar</v>
          </cell>
          <cell r="O2437" t="str">
            <v>-</v>
          </cell>
          <cell r="P2437" t="str">
            <v>-</v>
          </cell>
          <cell r="Q2437" t="str">
            <v>-</v>
          </cell>
          <cell r="R2437" t="str">
            <v>-</v>
          </cell>
          <cell r="T2437" t="str">
            <v>-</v>
          </cell>
          <cell r="U2437" t="str">
            <v>-</v>
          </cell>
          <cell r="W2437" t="str">
            <v>-</v>
          </cell>
        </row>
        <row r="2438">
          <cell r="F2438" t="str">
            <v>RENI01S248</v>
          </cell>
          <cell r="G2438" t="str">
            <v>SHIVA TRANSPORT</v>
          </cell>
          <cell r="H2438" t="str">
            <v>-</v>
          </cell>
          <cell r="J2438" t="str">
            <v>Domestic</v>
          </cell>
          <cell r="K2438" t="str">
            <v>-</v>
          </cell>
          <cell r="L2438" t="str">
            <v>Non-Sugar</v>
          </cell>
          <cell r="O2438" t="str">
            <v>-</v>
          </cell>
          <cell r="P2438" t="str">
            <v>-</v>
          </cell>
          <cell r="Q2438" t="str">
            <v>-</v>
          </cell>
          <cell r="R2438" t="str">
            <v>-</v>
          </cell>
          <cell r="T2438" t="str">
            <v>-</v>
          </cell>
          <cell r="U2438" t="str">
            <v>-</v>
          </cell>
          <cell r="W2438" t="str">
            <v>-</v>
          </cell>
        </row>
        <row r="2439">
          <cell r="F2439" t="str">
            <v>BARO01S133</v>
          </cell>
          <cell r="G2439" t="str">
            <v>SHIVA TRANSPORT</v>
          </cell>
          <cell r="H2439">
            <v>2017</v>
          </cell>
          <cell r="J2439" t="str">
            <v>Domestic</v>
          </cell>
          <cell r="K2439" t="str">
            <v>OTHERS</v>
          </cell>
          <cell r="L2439" t="str">
            <v>Non-Sugar</v>
          </cell>
          <cell r="M2439" t="str">
            <v>OEM</v>
          </cell>
          <cell r="O2439" t="str">
            <v>-</v>
          </cell>
          <cell r="P2439" t="str">
            <v>VA</v>
          </cell>
          <cell r="Q2439" t="str">
            <v>-</v>
          </cell>
          <cell r="T2439" t="str">
            <v>-</v>
          </cell>
          <cell r="U2439" t="str">
            <v>-</v>
          </cell>
        </row>
        <row r="2440">
          <cell r="F2440" t="str">
            <v>RUDR01S410</v>
          </cell>
          <cell r="G2440" t="str">
            <v>SHIVA TRANSPORTS</v>
          </cell>
          <cell r="H2440" t="str">
            <v>-</v>
          </cell>
          <cell r="J2440" t="str">
            <v>Domestic</v>
          </cell>
          <cell r="L2440" t="str">
            <v>Non-Sugar</v>
          </cell>
          <cell r="O2440" t="str">
            <v>-</v>
          </cell>
          <cell r="P2440" t="str">
            <v>-</v>
          </cell>
          <cell r="Q2440" t="str">
            <v>-</v>
          </cell>
        </row>
        <row r="2441">
          <cell r="F2441" t="str">
            <v>SURA01S146</v>
          </cell>
          <cell r="G2441" t="str">
            <v>SHREE KANTHA VIBHAG SAHAKARI KHAND UDYOG MANDLI LTD.</v>
          </cell>
          <cell r="H2441">
            <v>2014</v>
          </cell>
          <cell r="J2441" t="str">
            <v>Domestic</v>
          </cell>
          <cell r="K2441" t="str">
            <v>OTHERS</v>
          </cell>
          <cell r="L2441" t="str">
            <v>Non-Sugar</v>
          </cell>
          <cell r="M2441" t="str">
            <v>End User</v>
          </cell>
          <cell r="O2441">
            <v>2500</v>
          </cell>
          <cell r="P2441" t="str">
            <v>HO</v>
          </cell>
          <cell r="Q2441" t="str">
            <v>-</v>
          </cell>
          <cell r="T2441" t="str">
            <v>-</v>
          </cell>
          <cell r="U2441" t="str">
            <v>24-25</v>
          </cell>
          <cell r="W2441">
            <v>45394</v>
          </cell>
        </row>
        <row r="2442">
          <cell r="F2442" t="str">
            <v>PANI01S110</v>
          </cell>
          <cell r="G2442" t="str">
            <v>SHREE LAXMI UDYOG</v>
          </cell>
          <cell r="H2442">
            <v>2013</v>
          </cell>
          <cell r="J2442" t="str">
            <v>Domestic</v>
          </cell>
          <cell r="K2442" t="str">
            <v>-</v>
          </cell>
          <cell r="L2442" t="str">
            <v>Non-Sugar</v>
          </cell>
          <cell r="M2442" t="str">
            <v>End User</v>
          </cell>
          <cell r="O2442" t="str">
            <v>-</v>
          </cell>
          <cell r="P2442" t="str">
            <v>-</v>
          </cell>
          <cell r="Q2442" t="str">
            <v>-</v>
          </cell>
          <cell r="R2442" t="str">
            <v>-</v>
          </cell>
          <cell r="T2442" t="str">
            <v>-</v>
          </cell>
          <cell r="U2442" t="str">
            <v>-</v>
          </cell>
          <cell r="W2442" t="str">
            <v>-</v>
          </cell>
        </row>
        <row r="2443">
          <cell r="F2443" t="str">
            <v>NAVS01S037</v>
          </cell>
          <cell r="G2443" t="str">
            <v>SHREE MAROLI VIBHAG KHAND UDYOG SAHAKARI MANDLI LTD.</v>
          </cell>
          <cell r="H2443">
            <v>2013</v>
          </cell>
          <cell r="J2443" t="str">
            <v>Domestic</v>
          </cell>
          <cell r="K2443" t="str">
            <v>-</v>
          </cell>
          <cell r="L2443" t="str">
            <v>Non-Sugar</v>
          </cell>
          <cell r="M2443" t="str">
            <v>End User</v>
          </cell>
          <cell r="O2443" t="str">
            <v>-</v>
          </cell>
          <cell r="P2443" t="str">
            <v>-</v>
          </cell>
          <cell r="Q2443" t="str">
            <v>-</v>
          </cell>
          <cell r="R2443" t="str">
            <v>-</v>
          </cell>
          <cell r="T2443" t="str">
            <v>-</v>
          </cell>
          <cell r="U2443" t="str">
            <v>-</v>
          </cell>
          <cell r="W2443" t="str">
            <v>-</v>
          </cell>
        </row>
        <row r="2444">
          <cell r="F2444" t="str">
            <v>NUND01S353</v>
          </cell>
          <cell r="G2444" t="str">
            <v>SHREE NAGAI DEVI SUGAR (formerly shree satpuda tapi parisai ssk)(Renamed to Onkar unit 9)</v>
          </cell>
          <cell r="H2444" t="str">
            <v>-</v>
          </cell>
          <cell r="I2444" t="str">
            <v>Onkar Group</v>
          </cell>
          <cell r="J2444" t="str">
            <v>Domestic</v>
          </cell>
          <cell r="K2444" t="str">
            <v>Sugar</v>
          </cell>
          <cell r="M2444" t="str">
            <v>Group (Mills)</v>
          </cell>
          <cell r="O2444" t="str">
            <v>-</v>
          </cell>
          <cell r="P2444" t="str">
            <v>-</v>
          </cell>
          <cell r="Q2444" t="str">
            <v>-</v>
          </cell>
          <cell r="R2444" t="str">
            <v>-</v>
          </cell>
          <cell r="T2444" t="str">
            <v>-</v>
          </cell>
          <cell r="W2444" t="str">
            <v>-</v>
          </cell>
        </row>
        <row r="2445">
          <cell r="F2445" t="str">
            <v>LATU01S040</v>
          </cell>
          <cell r="G2445" t="str">
            <v>SHREE RENUKA SUGARS (F)</v>
          </cell>
          <cell r="H2445" t="str">
            <v>-</v>
          </cell>
          <cell r="J2445" t="str">
            <v>Domestic</v>
          </cell>
          <cell r="K2445" t="str">
            <v>Sugar</v>
          </cell>
          <cell r="L2445" t="str">
            <v>Sugar</v>
          </cell>
          <cell r="M2445" t="str">
            <v>End User</v>
          </cell>
          <cell r="O2445" t="str">
            <v>-</v>
          </cell>
          <cell r="P2445" t="str">
            <v>-</v>
          </cell>
          <cell r="Q2445" t="str">
            <v>-</v>
          </cell>
          <cell r="R2445" t="str">
            <v>-</v>
          </cell>
          <cell r="T2445" t="str">
            <v>-</v>
          </cell>
          <cell r="U2445" t="str">
            <v>-</v>
          </cell>
          <cell r="W2445" t="str">
            <v>-</v>
          </cell>
        </row>
        <row r="2446">
          <cell r="F2446" t="str">
            <v>MUMB01S122</v>
          </cell>
          <cell r="G2446" t="str">
            <v>SHREE RENUKA SUGARS LIMITED (worli)</v>
          </cell>
          <cell r="H2446">
            <v>2013</v>
          </cell>
          <cell r="J2446" t="str">
            <v>Domestic</v>
          </cell>
          <cell r="K2446" t="str">
            <v>Sugar</v>
          </cell>
          <cell r="L2446" t="str">
            <v>Sugar</v>
          </cell>
          <cell r="M2446" t="str">
            <v>End User</v>
          </cell>
          <cell r="O2446" t="str">
            <v>-</v>
          </cell>
          <cell r="P2446" t="str">
            <v>HO</v>
          </cell>
          <cell r="Q2446" t="str">
            <v>AVIRAL SHUKLA</v>
          </cell>
          <cell r="T2446" t="str">
            <v>-</v>
          </cell>
          <cell r="U2446" t="str">
            <v>-</v>
          </cell>
          <cell r="W2446" t="str">
            <v>-</v>
          </cell>
        </row>
        <row r="2447">
          <cell r="F2447" t="str">
            <v>ARGB01S312</v>
          </cell>
          <cell r="G2447" t="str">
            <v>SHREE RENUKADEVI SHARD SSK LTD</v>
          </cell>
          <cell r="H2447" t="str">
            <v>22-23</v>
          </cell>
          <cell r="J2447" t="str">
            <v>Domestic</v>
          </cell>
          <cell r="K2447" t="str">
            <v>Sugar</v>
          </cell>
          <cell r="M2447" t="str">
            <v>End User</v>
          </cell>
          <cell r="O2447">
            <v>1200</v>
          </cell>
          <cell r="P2447" t="str">
            <v>AV</v>
          </cell>
          <cell r="Q2447" t="str">
            <v>AV</v>
          </cell>
          <cell r="R2447" t="str">
            <v>AT</v>
          </cell>
          <cell r="T2447" t="str">
            <v>TOUR-11 (Aurangabad)</v>
          </cell>
          <cell r="U2447" t="str">
            <v>22-23</v>
          </cell>
          <cell r="W2447">
            <v>45170</v>
          </cell>
        </row>
        <row r="2448">
          <cell r="F2448" t="str">
            <v>VALS01S053</v>
          </cell>
          <cell r="G2448" t="str">
            <v>SHREE VALSAD SAHAKARI KHAND - UDYOG MANDLI LTD.</v>
          </cell>
          <cell r="H2448" t="str">
            <v>-</v>
          </cell>
          <cell r="J2448" t="str">
            <v>Domestic</v>
          </cell>
          <cell r="K2448" t="str">
            <v>-</v>
          </cell>
          <cell r="L2448" t="str">
            <v>Non-Sugar</v>
          </cell>
          <cell r="O2448" t="str">
            <v>-</v>
          </cell>
          <cell r="P2448" t="str">
            <v>-</v>
          </cell>
          <cell r="Q2448" t="str">
            <v>-</v>
          </cell>
          <cell r="R2448" t="str">
            <v>-</v>
          </cell>
          <cell r="T2448" t="str">
            <v>-</v>
          </cell>
          <cell r="U2448" t="str">
            <v>-</v>
          </cell>
          <cell r="W2448" t="str">
            <v>-</v>
          </cell>
        </row>
        <row r="2449">
          <cell r="F2449" t="str">
            <v>BELG01S292</v>
          </cell>
          <cell r="G2449" t="str">
            <v>SHRI BRAHMANAD SUGAR JAGGERY LTD</v>
          </cell>
          <cell r="H2449">
            <v>2021</v>
          </cell>
          <cell r="J2449" t="str">
            <v>Domestic</v>
          </cell>
          <cell r="K2449" t="str">
            <v>Sugar</v>
          </cell>
          <cell r="M2449" t="str">
            <v>End User</v>
          </cell>
          <cell r="O2449" t="str">
            <v>Sugar 1500
Distillery 100 KLPD</v>
          </cell>
          <cell r="P2449" t="str">
            <v>AV</v>
          </cell>
          <cell r="Q2449" t="str">
            <v>AV</v>
          </cell>
          <cell r="R2449" t="str">
            <v>VG</v>
          </cell>
          <cell r="T2449" t="str">
            <v>TOUR-4 (DAVANGERE)</v>
          </cell>
          <cell r="U2449" t="str">
            <v>23-24</v>
          </cell>
          <cell r="W2449" t="str">
            <v>29-05-2023
21-11-2022</v>
          </cell>
        </row>
        <row r="2450">
          <cell r="F2450" t="str">
            <v>PUNE01S318</v>
          </cell>
          <cell r="G2450" t="str">
            <v>SHRI GAJANAN MAHARAJ SUGAR LTD. (OLD NAME UTECH SUGAR LTD.)</v>
          </cell>
          <cell r="H2450" t="str">
            <v>-</v>
          </cell>
          <cell r="J2450" t="str">
            <v>Domestic</v>
          </cell>
          <cell r="K2450" t="str">
            <v>Sugar</v>
          </cell>
          <cell r="M2450" t="str">
            <v>End User</v>
          </cell>
          <cell r="O2450" t="str">
            <v>-</v>
          </cell>
          <cell r="P2450" t="str">
            <v>AV</v>
          </cell>
          <cell r="Q2450" t="str">
            <v>AV</v>
          </cell>
          <cell r="R2450" t="str">
            <v>AT</v>
          </cell>
          <cell r="T2450" t="str">
            <v>VISIT NOT REQUIRED</v>
          </cell>
          <cell r="U2450" t="str">
            <v>23-24</v>
          </cell>
          <cell r="W2450">
            <v>45020</v>
          </cell>
        </row>
        <row r="2451">
          <cell r="F2451" t="str">
            <v>KOLH01J008</v>
          </cell>
          <cell r="G2451" t="str">
            <v>SHRI KALLAPPANNA AWADE JAWAHAR SHETKARI SAHAKARI SAKHAR KARKHANA LTD.</v>
          </cell>
          <cell r="H2451">
            <v>2015</v>
          </cell>
          <cell r="J2451" t="str">
            <v>Domestic</v>
          </cell>
          <cell r="K2451" t="str">
            <v>Sugar</v>
          </cell>
          <cell r="M2451" t="str">
            <v>End User</v>
          </cell>
          <cell r="O2451">
            <v>2500</v>
          </cell>
          <cell r="P2451" t="str">
            <v>-</v>
          </cell>
          <cell r="Q2451" t="str">
            <v>-</v>
          </cell>
          <cell r="R2451" t="str">
            <v>-</v>
          </cell>
          <cell r="T2451" t="str">
            <v>TOUR-5/KOLHAPUR DISTRICT</v>
          </cell>
          <cell r="U2451" t="str">
            <v>23-24</v>
          </cell>
          <cell r="W2451" t="str">
            <v>25-04-2023
08-01-2023</v>
          </cell>
        </row>
        <row r="2452">
          <cell r="F2452" t="str">
            <v>MUMB01S103</v>
          </cell>
          <cell r="G2452" t="str">
            <v>SHRIJEE ENGINEERING WORKS(EXPORTS)</v>
          </cell>
          <cell r="H2452">
            <v>2013</v>
          </cell>
          <cell r="J2452" t="str">
            <v>Domestic</v>
          </cell>
          <cell r="K2452" t="str">
            <v>others</v>
          </cell>
          <cell r="L2452" t="str">
            <v>Non-Sugar</v>
          </cell>
          <cell r="M2452" t="str">
            <v>OEM</v>
          </cell>
          <cell r="O2452" t="str">
            <v>-</v>
          </cell>
          <cell r="P2452" t="str">
            <v>-</v>
          </cell>
          <cell r="Q2452" t="str">
            <v>-</v>
          </cell>
          <cell r="R2452" t="str">
            <v>-</v>
          </cell>
          <cell r="T2452" t="str">
            <v>-</v>
          </cell>
          <cell r="W2452" t="str">
            <v>-</v>
          </cell>
        </row>
        <row r="2453">
          <cell r="F2453" t="str">
            <v>MUMB01S181</v>
          </cell>
          <cell r="G2453" t="str">
            <v>SHRIJEE GROUP</v>
          </cell>
          <cell r="H2453" t="str">
            <v>-</v>
          </cell>
          <cell r="J2453" t="str">
            <v>Domestic</v>
          </cell>
          <cell r="K2453" t="str">
            <v>others</v>
          </cell>
          <cell r="L2453" t="str">
            <v>Non-Sugar</v>
          </cell>
          <cell r="M2453" t="str">
            <v>OEM</v>
          </cell>
          <cell r="O2453" t="str">
            <v>-</v>
          </cell>
          <cell r="P2453" t="str">
            <v>-</v>
          </cell>
          <cell r="Q2453" t="str">
            <v>-</v>
          </cell>
          <cell r="R2453" t="str">
            <v>-</v>
          </cell>
          <cell r="T2453" t="str">
            <v>-</v>
          </cell>
          <cell r="W2453" t="str">
            <v>-</v>
          </cell>
        </row>
        <row r="2454">
          <cell r="F2454" t="str">
            <v>BAGL01S077</v>
          </cell>
          <cell r="G2454" t="str">
            <v>SIDDAPUR DISTILLERIES LIMITED (prabhulingeshwar distillery)</v>
          </cell>
          <cell r="H2454">
            <v>2021</v>
          </cell>
          <cell r="J2454" t="str">
            <v>Domestic</v>
          </cell>
          <cell r="K2454" t="str">
            <v>Sugar</v>
          </cell>
          <cell r="M2454" t="str">
            <v>End User</v>
          </cell>
          <cell r="O2454" t="str">
            <v>500 KLPD</v>
          </cell>
          <cell r="P2454" t="str">
            <v>AV</v>
          </cell>
          <cell r="Q2454" t="str">
            <v>AV</v>
          </cell>
          <cell r="R2454" t="str">
            <v>VG</v>
          </cell>
          <cell r="T2454" t="str">
            <v>TOUR-2 (MUDHOL)</v>
          </cell>
          <cell r="U2454" t="str">
            <v>25-26</v>
          </cell>
          <cell r="W2454" t="str">
            <v>06-03-2026
17-09-2025
26-02-2024 
29-03-2023
07-10-2022</v>
          </cell>
        </row>
        <row r="2455">
          <cell r="F2455" t="str">
            <v>MUZF01S323</v>
          </cell>
          <cell r="G2455" t="str">
            <v>SILVERTOAN PAPER MILL</v>
          </cell>
          <cell r="H2455" t="str">
            <v>-</v>
          </cell>
          <cell r="J2455" t="str">
            <v>Domestic</v>
          </cell>
          <cell r="K2455" t="str">
            <v>Paper</v>
          </cell>
          <cell r="L2455" t="str">
            <v>Non-Sugar</v>
          </cell>
          <cell r="M2455" t="str">
            <v>End User</v>
          </cell>
          <cell r="O2455" t="str">
            <v>-</v>
          </cell>
          <cell r="P2455" t="str">
            <v>-</v>
          </cell>
          <cell r="Q2455" t="str">
            <v>-</v>
          </cell>
          <cell r="R2455" t="str">
            <v>-</v>
          </cell>
          <cell r="T2455" t="str">
            <v>-</v>
          </cell>
        </row>
        <row r="2456">
          <cell r="F2456" t="str">
            <v>CHEN01S127</v>
          </cell>
          <cell r="G2456" t="str">
            <v>SOUTHERN AGRO IMPLEMENTS PVT. LTD.</v>
          </cell>
          <cell r="H2456" t="str">
            <v>-</v>
          </cell>
          <cell r="J2456" t="str">
            <v>Domestic</v>
          </cell>
          <cell r="K2456" t="str">
            <v>Others</v>
          </cell>
          <cell r="L2456" t="str">
            <v>Non-Sugar</v>
          </cell>
          <cell r="P2456" t="str">
            <v>SI-GS</v>
          </cell>
          <cell r="Q2456" t="str">
            <v>SI-GS</v>
          </cell>
          <cell r="W2456" t="str">
            <v>-</v>
          </cell>
        </row>
        <row r="2457">
          <cell r="F2457" t="str">
            <v>MUMB01S298</v>
          </cell>
          <cell r="G2457" t="str">
            <v>SPEEDY MULTIMODES LIMITED</v>
          </cell>
          <cell r="H2457" t="str">
            <v>-</v>
          </cell>
          <cell r="J2457" t="str">
            <v>Domestic</v>
          </cell>
          <cell r="K2457" t="str">
            <v>others</v>
          </cell>
          <cell r="L2457" t="str">
            <v>Non-Sugar</v>
          </cell>
          <cell r="M2457" t="str">
            <v>Trader</v>
          </cell>
          <cell r="O2457" t="str">
            <v>-</v>
          </cell>
          <cell r="P2457" t="str">
            <v>-</v>
          </cell>
          <cell r="Q2457" t="str">
            <v>-</v>
          </cell>
          <cell r="R2457" t="str">
            <v>-</v>
          </cell>
          <cell r="T2457" t="str">
            <v>-</v>
          </cell>
          <cell r="W2457" t="str">
            <v>-</v>
          </cell>
        </row>
        <row r="2458">
          <cell r="F2458" t="str">
            <v>KRSH01S257</v>
          </cell>
          <cell r="G2458" t="str">
            <v>SRI SRINIVASA OIL MILL</v>
          </cell>
          <cell r="H2458">
            <v>2019</v>
          </cell>
          <cell r="J2458" t="str">
            <v>Domestic</v>
          </cell>
          <cell r="K2458" t="str">
            <v>Oil</v>
          </cell>
          <cell r="L2458" t="str">
            <v>Non-Sugar</v>
          </cell>
          <cell r="P2458" t="str">
            <v>SI-GS</v>
          </cell>
          <cell r="Q2458" t="str">
            <v>SI-GS</v>
          </cell>
          <cell r="W2458">
            <v>45510</v>
          </cell>
        </row>
        <row r="2459">
          <cell r="F2459" t="str">
            <v>MUZF01S265</v>
          </cell>
          <cell r="G2459" t="str">
            <v>SUYASH KRAFT &amp; PAPERS LTD.</v>
          </cell>
          <cell r="H2459" t="str">
            <v>19-20</v>
          </cell>
          <cell r="J2459" t="str">
            <v>Domestic</v>
          </cell>
          <cell r="K2459" t="str">
            <v>Paper</v>
          </cell>
          <cell r="L2459" t="str">
            <v>Non-Sugar</v>
          </cell>
          <cell r="M2459" t="str">
            <v>End User</v>
          </cell>
          <cell r="O2459" t="str">
            <v>120 TPD</v>
          </cell>
          <cell r="P2459" t="str">
            <v>HO</v>
          </cell>
          <cell r="Q2459" t="str">
            <v>-</v>
          </cell>
          <cell r="T2459" t="str">
            <v>-</v>
          </cell>
          <cell r="U2459" t="str">
            <v>24-25</v>
          </cell>
          <cell r="W2459" t="str">
            <v>06-03-2025
1/31/2020</v>
          </cell>
        </row>
        <row r="2460">
          <cell r="F2460" t="str">
            <v>HYDE01S454</v>
          </cell>
          <cell r="G2460" t="str">
            <v>SUZAL CHEM</v>
          </cell>
          <cell r="H2460" t="str">
            <v>-</v>
          </cell>
          <cell r="J2460" t="str">
            <v>Domestic</v>
          </cell>
          <cell r="L2460" t="str">
            <v>Non-Sugar</v>
          </cell>
          <cell r="O2460" t="str">
            <v>-</v>
          </cell>
          <cell r="P2460" t="str">
            <v>-</v>
          </cell>
          <cell r="Q2460" t="str">
            <v>-</v>
          </cell>
        </row>
        <row r="2461">
          <cell r="F2461" t="str">
            <v>RAIG01T134</v>
          </cell>
          <cell r="G2461" t="str">
            <v>TAKE CARE LOGISTICS PARK (I) PVT LTD</v>
          </cell>
          <cell r="H2461" t="str">
            <v>-</v>
          </cell>
          <cell r="J2461" t="str">
            <v>Domestic</v>
          </cell>
          <cell r="K2461" t="str">
            <v>others</v>
          </cell>
          <cell r="L2461" t="str">
            <v>Non-Sugar</v>
          </cell>
          <cell r="M2461" t="str">
            <v>Trader</v>
          </cell>
          <cell r="O2461" t="str">
            <v>-</v>
          </cell>
          <cell r="P2461" t="str">
            <v>-</v>
          </cell>
          <cell r="Q2461" t="str">
            <v>-</v>
          </cell>
          <cell r="R2461" t="str">
            <v>-</v>
          </cell>
          <cell r="T2461" t="str">
            <v>-</v>
          </cell>
          <cell r="W2461" t="str">
            <v>-</v>
          </cell>
        </row>
        <row r="2462">
          <cell r="F2462" t="str">
            <v>MUMB01T143</v>
          </cell>
          <cell r="G2462" t="str">
            <v>TECHNOCRAFT INDUSTRIES (INDIA) LTD.</v>
          </cell>
          <cell r="H2462" t="str">
            <v>-</v>
          </cell>
          <cell r="J2462" t="str">
            <v>Domestic</v>
          </cell>
          <cell r="K2462" t="str">
            <v>-</v>
          </cell>
          <cell r="L2462" t="str">
            <v>Non-Sugar</v>
          </cell>
          <cell r="M2462" t="str">
            <v>OEM</v>
          </cell>
          <cell r="O2462" t="str">
            <v>-</v>
          </cell>
          <cell r="P2462" t="str">
            <v>-</v>
          </cell>
          <cell r="Q2462" t="str">
            <v>-</v>
          </cell>
          <cell r="R2462" t="str">
            <v>-</v>
          </cell>
          <cell r="T2462" t="str">
            <v>-</v>
          </cell>
          <cell r="U2462" t="str">
            <v>-</v>
          </cell>
          <cell r="W2462" t="str">
            <v>-</v>
          </cell>
        </row>
        <row r="2463">
          <cell r="F2463" t="str">
            <v>ALIG01T132</v>
          </cell>
          <cell r="G2463" t="str">
            <v>THE KISAN SAHKARI CHINI MILLS LTD-SATHA (aligarh)</v>
          </cell>
          <cell r="H2463">
            <v>2018</v>
          </cell>
          <cell r="J2463" t="str">
            <v>Domestic</v>
          </cell>
          <cell r="K2463" t="str">
            <v>Sugar</v>
          </cell>
          <cell r="L2463" t="str">
            <v>Sugar</v>
          </cell>
          <cell r="M2463" t="str">
            <v>End User</v>
          </cell>
          <cell r="O2463" t="str">
            <v>-</v>
          </cell>
          <cell r="P2463" t="str">
            <v>HO</v>
          </cell>
          <cell r="Q2463" t="str">
            <v>-</v>
          </cell>
          <cell r="T2463" t="str">
            <v>-</v>
          </cell>
          <cell r="U2463" t="str">
            <v>-</v>
          </cell>
          <cell r="W2463" t="str">
            <v>-</v>
          </cell>
        </row>
        <row r="2464">
          <cell r="F2464" t="str">
            <v>BIJA01T043</v>
          </cell>
          <cell r="G2464" t="str">
            <v>THE NANDI SAHAKARI SAKKARE KARKHANE NIYAMIT</v>
          </cell>
          <cell r="H2464">
            <v>2013</v>
          </cell>
          <cell r="J2464" t="str">
            <v>Domestic</v>
          </cell>
          <cell r="K2464" t="str">
            <v>Sugar</v>
          </cell>
          <cell r="L2464" t="str">
            <v>Sugar</v>
          </cell>
          <cell r="M2464" t="str">
            <v>End User</v>
          </cell>
          <cell r="N2464" t="str">
            <v>(0-5000)</v>
          </cell>
          <cell r="O2464">
            <v>6000</v>
          </cell>
          <cell r="P2464" t="str">
            <v>AV</v>
          </cell>
          <cell r="Q2464" t="str">
            <v>AV</v>
          </cell>
          <cell r="R2464" t="str">
            <v>VG</v>
          </cell>
          <cell r="S2464" t="str">
            <v>https://share.google/6C1CtBLo1ysOOubTM</v>
          </cell>
          <cell r="T2464" t="str">
            <v>Bagalkot - 2</v>
          </cell>
          <cell r="U2464" t="str">
            <v>25-26</v>
          </cell>
          <cell r="W2464" t="str">
            <v>19-8-2025
27-02-2024
30-03-2023
10-10-2022</v>
          </cell>
        </row>
        <row r="2465">
          <cell r="F2465" t="str">
            <v>BIDA01T045</v>
          </cell>
          <cell r="G2465" t="str">
            <v>THE NARANJA SAHAKARI SAKKARE- KARKHANE LTD.</v>
          </cell>
          <cell r="H2465" t="str">
            <v>-</v>
          </cell>
          <cell r="J2465" t="str">
            <v>Domestic</v>
          </cell>
          <cell r="K2465" t="str">
            <v>Sugar</v>
          </cell>
          <cell r="M2465" t="str">
            <v>End User</v>
          </cell>
          <cell r="O2465">
            <v>2500</v>
          </cell>
          <cell r="P2465" t="str">
            <v>MRK</v>
          </cell>
          <cell r="Q2465" t="str">
            <v>MRK</v>
          </cell>
          <cell r="R2465" t="str">
            <v>VG</v>
          </cell>
          <cell r="T2465" t="str">
            <v>TOUR-9 (Bidar)</v>
          </cell>
          <cell r="U2465" t="str">
            <v>24-25</v>
          </cell>
          <cell r="W2465" t="str">
            <v>27-11-2024
 17-10-2023</v>
          </cell>
        </row>
        <row r="2466">
          <cell r="F2466" t="str">
            <v>NASK01T081</v>
          </cell>
          <cell r="G2466" t="str">
            <v>THE NIPHAD SSK(TAKEN OVER BY ASTHALAXIMI SUGAR)</v>
          </cell>
          <cell r="H2466">
            <v>2012</v>
          </cell>
          <cell r="J2466" t="str">
            <v>Domestic</v>
          </cell>
          <cell r="K2466" t="str">
            <v>Sugar</v>
          </cell>
          <cell r="M2466" t="str">
            <v>End User</v>
          </cell>
          <cell r="O2466">
            <v>5000</v>
          </cell>
          <cell r="P2466" t="str">
            <v>AV</v>
          </cell>
          <cell r="Q2466" t="str">
            <v>AV</v>
          </cell>
          <cell r="R2466" t="str">
            <v>AT</v>
          </cell>
          <cell r="T2466" t="str">
            <v>Tour- 20 (Nasik)</v>
          </cell>
          <cell r="U2466" t="str">
            <v>24-25</v>
          </cell>
          <cell r="W2466">
            <v>45441</v>
          </cell>
        </row>
        <row r="2467">
          <cell r="F2467" t="str">
            <v>PALW01T050</v>
          </cell>
          <cell r="G2467" t="str">
            <v>THE PALWAL CO-OP. SUGAR MILLS LTD.</v>
          </cell>
          <cell r="H2467" t="str">
            <v>-</v>
          </cell>
          <cell r="J2467" t="str">
            <v>Domestic</v>
          </cell>
          <cell r="K2467" t="str">
            <v>Sugar</v>
          </cell>
          <cell r="L2467" t="str">
            <v>Sugar</v>
          </cell>
          <cell r="M2467" t="str">
            <v>End User</v>
          </cell>
          <cell r="O2467" t="str">
            <v>-</v>
          </cell>
          <cell r="P2467" t="str">
            <v>-</v>
          </cell>
          <cell r="Q2467" t="str">
            <v>AVIRAL SHUKLA</v>
          </cell>
          <cell r="R2467" t="str">
            <v>AKSHAY AWASTHI</v>
          </cell>
          <cell r="T2467" t="str">
            <v>DELHI TOUR</v>
          </cell>
          <cell r="U2467" t="str">
            <v>25-26</v>
          </cell>
          <cell r="W2467" t="str">
            <v>16-10-2025
18-04-2025</v>
          </cell>
        </row>
        <row r="2468">
          <cell r="F2468" t="str">
            <v>HING01T082</v>
          </cell>
          <cell r="G2468" t="str">
            <v>TOKAI SSK LTD (Shri Tuljabhavani Sugar Pvt. Ltd-Unit 2)</v>
          </cell>
          <cell r="H2468">
            <v>2018</v>
          </cell>
          <cell r="J2468" t="str">
            <v>Domestic</v>
          </cell>
          <cell r="K2468" t="str">
            <v>Sugar</v>
          </cell>
          <cell r="M2468" t="str">
            <v>End User</v>
          </cell>
          <cell r="N2468" t="str">
            <v>(0-5000)</v>
          </cell>
          <cell r="O2468">
            <v>1250</v>
          </cell>
          <cell r="P2468" t="str">
            <v>AV</v>
          </cell>
          <cell r="Q2468" t="str">
            <v>PD</v>
          </cell>
          <cell r="R2468" t="str">
            <v>-</v>
          </cell>
          <cell r="S2468" t="str">
            <v>https://maps.app.goo.gl/ZABbbPPxnSJfLHLG6</v>
          </cell>
          <cell r="T2468" t="str">
            <v>-</v>
          </cell>
          <cell r="U2468" t="str">
            <v>26-27</v>
          </cell>
          <cell r="V2468" t="str">
            <v>Apr</v>
          </cell>
          <cell r="W2468" t="str">
            <v>27-4-2026</v>
          </cell>
        </row>
        <row r="2469">
          <cell r="F2469" t="str">
            <v>MUZF01A053</v>
          </cell>
          <cell r="G2469" t="str">
            <v>TRIVENI ENGG &amp; INDUSTRIES LTD ( alco chemical)</v>
          </cell>
          <cell r="H2469">
            <v>2015</v>
          </cell>
          <cell r="J2469" t="str">
            <v>Domestic</v>
          </cell>
          <cell r="K2469" t="str">
            <v>-</v>
          </cell>
          <cell r="L2469" t="str">
            <v>Non-Sugar</v>
          </cell>
          <cell r="M2469" t="str">
            <v>End User</v>
          </cell>
          <cell r="O2469" t="str">
            <v>-</v>
          </cell>
          <cell r="P2469" t="str">
            <v>-</v>
          </cell>
          <cell r="Q2469" t="str">
            <v>-</v>
          </cell>
          <cell r="R2469" t="str">
            <v>-</v>
          </cell>
          <cell r="T2469" t="str">
            <v>-</v>
          </cell>
          <cell r="U2469" t="str">
            <v>-</v>
          </cell>
          <cell r="W2469" t="str">
            <v>-</v>
          </cell>
        </row>
        <row r="2470">
          <cell r="F2470" t="str">
            <v>NODA01T095</v>
          </cell>
          <cell r="G2470" t="str">
            <v>TRIVENI ENGG &amp; INDUSTRIES LTD.</v>
          </cell>
          <cell r="H2470" t="str">
            <v>-</v>
          </cell>
          <cell r="J2470" t="str">
            <v>Domestic</v>
          </cell>
          <cell r="K2470" t="str">
            <v>-</v>
          </cell>
          <cell r="L2470" t="str">
            <v>Non-Sugar</v>
          </cell>
          <cell r="O2470" t="str">
            <v>-</v>
          </cell>
          <cell r="P2470" t="str">
            <v>-</v>
          </cell>
          <cell r="Q2470" t="str">
            <v>-</v>
          </cell>
          <cell r="R2470" t="str">
            <v>-</v>
          </cell>
          <cell r="T2470" t="str">
            <v>-</v>
          </cell>
          <cell r="U2470" t="str">
            <v>-</v>
          </cell>
          <cell r="W2470" t="str">
            <v>-</v>
          </cell>
        </row>
        <row r="2471">
          <cell r="F2471" t="str">
            <v>NODA01T121</v>
          </cell>
          <cell r="G2471" t="str">
            <v>TUY HOA SUGAR CANE &amp; SUGAR JOINT STOCK COMPANY</v>
          </cell>
          <cell r="H2471">
            <v>2016</v>
          </cell>
          <cell r="J2471" t="str">
            <v>Export</v>
          </cell>
          <cell r="K2471" t="str">
            <v>Sugar</v>
          </cell>
          <cell r="L2471" t="str">
            <v>Sugar</v>
          </cell>
          <cell r="M2471" t="str">
            <v>End User</v>
          </cell>
          <cell r="O2471" t="str">
            <v>-</v>
          </cell>
          <cell r="P2471" t="str">
            <v>VA</v>
          </cell>
          <cell r="Q2471" t="str">
            <v>-</v>
          </cell>
          <cell r="T2471" t="str">
            <v>-</v>
          </cell>
          <cell r="U2471" t="str">
            <v>-</v>
          </cell>
          <cell r="W2471" t="str">
            <v>-</v>
          </cell>
        </row>
        <row r="2472">
          <cell r="F2472" t="str">
            <v>AMRO01U035</v>
          </cell>
          <cell r="G2472" t="str">
            <v>U.P. CO-OPERATIVE SUGAR FACTORIES FEDERATION LTD</v>
          </cell>
          <cell r="H2472" t="str">
            <v>22-23</v>
          </cell>
          <cell r="J2472" t="str">
            <v>Domestic</v>
          </cell>
          <cell r="K2472" t="str">
            <v>Sugar</v>
          </cell>
          <cell r="L2472" t="str">
            <v>Sugar</v>
          </cell>
          <cell r="M2472" t="str">
            <v>End User</v>
          </cell>
          <cell r="O2472">
            <v>3800</v>
          </cell>
          <cell r="P2472" t="str">
            <v>HO</v>
          </cell>
          <cell r="Q2472" t="str">
            <v>AVIRAL SHUKLA</v>
          </cell>
          <cell r="T2472" t="str">
            <v>WESTERN- 3</v>
          </cell>
          <cell r="U2472" t="str">
            <v>25-26</v>
          </cell>
          <cell r="W2472" t="str">
            <v>27-05-2025
16-07-2024
24-02-2022
11-10-2021
02-08-2021</v>
          </cell>
        </row>
        <row r="2473">
          <cell r="F2473" t="str">
            <v>GORA01U026</v>
          </cell>
          <cell r="G2473" t="str">
            <v>U.P. RAJYA CHINI AVAM GANNA VIKAS NIGAM LTD</v>
          </cell>
          <cell r="H2473" t="str">
            <v>-</v>
          </cell>
          <cell r="J2473" t="str">
            <v>Domestic</v>
          </cell>
          <cell r="K2473" t="str">
            <v>Sugar</v>
          </cell>
          <cell r="L2473" t="str">
            <v>Sugar</v>
          </cell>
          <cell r="M2473" t="str">
            <v>End User</v>
          </cell>
          <cell r="O2473" t="str">
            <v>-</v>
          </cell>
          <cell r="P2473" t="str">
            <v>-</v>
          </cell>
          <cell r="Q2473" t="str">
            <v>-</v>
          </cell>
          <cell r="R2473" t="str">
            <v>-</v>
          </cell>
          <cell r="T2473" t="str">
            <v>-</v>
          </cell>
          <cell r="U2473" t="str">
            <v>-</v>
          </cell>
          <cell r="W2473" t="str">
            <v>-</v>
          </cell>
        </row>
        <row r="2474">
          <cell r="F2474" t="str">
            <v>KORA01U001</v>
          </cell>
          <cell r="G2474" t="str">
            <v>UMERI DISTILLERY (P) LTD</v>
          </cell>
          <cell r="H2474">
            <v>2018</v>
          </cell>
          <cell r="J2474" t="str">
            <v>Domestic</v>
          </cell>
          <cell r="K2474" t="str">
            <v>Distillery</v>
          </cell>
          <cell r="L2474" t="str">
            <v>Non-Sugar</v>
          </cell>
          <cell r="M2474" t="str">
            <v>End User</v>
          </cell>
          <cell r="O2474" t="str">
            <v>-</v>
          </cell>
          <cell r="P2474" t="str">
            <v>VA</v>
          </cell>
          <cell r="Q2474" t="str">
            <v>-</v>
          </cell>
          <cell r="T2474" t="str">
            <v>-</v>
          </cell>
          <cell r="U2474" t="str">
            <v>-</v>
          </cell>
          <cell r="W2474" t="str">
            <v>-</v>
          </cell>
        </row>
        <row r="2475">
          <cell r="F2475" t="str">
            <v>MUMB01U009</v>
          </cell>
          <cell r="G2475" t="str">
            <v>UNION PUMPS COMPANY</v>
          </cell>
          <cell r="H2475">
            <v>2013</v>
          </cell>
          <cell r="J2475" t="str">
            <v>Domestic</v>
          </cell>
          <cell r="K2475" t="str">
            <v>-</v>
          </cell>
          <cell r="L2475" t="str">
            <v>Non-Sugar</v>
          </cell>
          <cell r="O2475" t="str">
            <v>-</v>
          </cell>
          <cell r="P2475" t="str">
            <v>-</v>
          </cell>
          <cell r="Q2475" t="str">
            <v>-</v>
          </cell>
          <cell r="R2475" t="str">
            <v>-</v>
          </cell>
          <cell r="T2475" t="str">
            <v>-</v>
          </cell>
          <cell r="U2475" t="str">
            <v>-</v>
          </cell>
          <cell r="W2475" t="str">
            <v>-</v>
          </cell>
        </row>
        <row r="2476">
          <cell r="F2476" t="str">
            <v>LUCK01U037</v>
          </cell>
          <cell r="G2476" t="str">
            <v>UTKARSH ELECTRICALS</v>
          </cell>
          <cell r="H2476" t="str">
            <v>22-23</v>
          </cell>
          <cell r="J2476" t="str">
            <v>Domestic</v>
          </cell>
          <cell r="K2476" t="str">
            <v>OTHERS</v>
          </cell>
          <cell r="L2476" t="str">
            <v>Non-Sugar</v>
          </cell>
          <cell r="M2476" t="str">
            <v>End User</v>
          </cell>
          <cell r="O2476" t="str">
            <v>-</v>
          </cell>
          <cell r="P2476" t="str">
            <v>HO</v>
          </cell>
          <cell r="Q2476" t="str">
            <v>-</v>
          </cell>
          <cell r="T2476" t="str">
            <v>-</v>
          </cell>
          <cell r="U2476" t="str">
            <v>-</v>
          </cell>
          <cell r="W2476" t="str">
            <v>no need</v>
          </cell>
        </row>
        <row r="2477">
          <cell r="F2477" t="str">
            <v>KHOR01U028</v>
          </cell>
          <cell r="G2477" t="str">
            <v>UTTARAYANI TRANSPORT AGENCY</v>
          </cell>
          <cell r="H2477" t="str">
            <v>18-19</v>
          </cell>
          <cell r="J2477" t="str">
            <v>Domestic</v>
          </cell>
          <cell r="K2477" t="str">
            <v>OTHERS</v>
          </cell>
          <cell r="L2477" t="str">
            <v>Non-Sugar</v>
          </cell>
          <cell r="M2477" t="str">
            <v>OEM</v>
          </cell>
          <cell r="O2477" t="str">
            <v>-</v>
          </cell>
          <cell r="P2477" t="str">
            <v>VA</v>
          </cell>
          <cell r="Q2477" t="str">
            <v>-</v>
          </cell>
          <cell r="T2477" t="str">
            <v>-</v>
          </cell>
          <cell r="U2477" t="str">
            <v>-</v>
          </cell>
          <cell r="W2477" t="str">
            <v>-</v>
          </cell>
        </row>
        <row r="2478">
          <cell r="F2478" t="str">
            <v>WASH01V054</v>
          </cell>
          <cell r="G2478" t="str">
            <v>VAIBHAV LIQUORS PVT LTD</v>
          </cell>
          <cell r="H2478" t="str">
            <v>-</v>
          </cell>
          <cell r="J2478" t="str">
            <v>Domestic</v>
          </cell>
          <cell r="K2478" t="str">
            <v>Distillery</v>
          </cell>
          <cell r="L2478" t="str">
            <v>Non-Sugar</v>
          </cell>
          <cell r="M2478" t="str">
            <v>End User</v>
          </cell>
          <cell r="O2478" t="str">
            <v>-</v>
          </cell>
          <cell r="P2478" t="str">
            <v>-</v>
          </cell>
          <cell r="Q2478" t="str">
            <v>-</v>
          </cell>
          <cell r="R2478" t="str">
            <v>-</v>
          </cell>
          <cell r="T2478" t="str">
            <v>-</v>
          </cell>
          <cell r="W2478" t="str">
            <v>-</v>
          </cell>
        </row>
        <row r="2479">
          <cell r="F2479" t="str">
            <v>BEED01V038</v>
          </cell>
          <cell r="G2479" t="str">
            <v>VAIDYANATH SAHAKARI SAHKHAR KARKHANA LTD UNIT 8 (TAKEN OVER BY Onkar Sakhar Karkhana Pvt. Ltd. UNIT 8)</v>
          </cell>
          <cell r="H2479">
            <v>2018</v>
          </cell>
          <cell r="I2479" t="str">
            <v>Onkar Group</v>
          </cell>
          <cell r="J2479" t="str">
            <v>Domestic</v>
          </cell>
          <cell r="K2479" t="str">
            <v>Sugar</v>
          </cell>
          <cell r="L2479" t="str">
            <v>Sugar</v>
          </cell>
          <cell r="M2479" t="str">
            <v>Group (Mills)</v>
          </cell>
          <cell r="N2479" t="str">
            <v>(0-5000)</v>
          </cell>
          <cell r="O2479">
            <v>4500</v>
          </cell>
          <cell r="P2479" t="str">
            <v>AV</v>
          </cell>
          <cell r="Q2479" t="str">
            <v>AV</v>
          </cell>
          <cell r="R2479" t="str">
            <v>PD</v>
          </cell>
          <cell r="S2479" t="str">
            <v>NA</v>
          </cell>
          <cell r="T2479" t="str">
            <v>Beed - 1</v>
          </cell>
          <cell r="W2479" t="str">
            <v>-</v>
          </cell>
        </row>
        <row r="2480">
          <cell r="F2480" t="str">
            <v>PUNA01V031</v>
          </cell>
          <cell r="G2480" t="str">
            <v>VIJSUN ENGINEERS PVT LTD</v>
          </cell>
          <cell r="H2480" t="str">
            <v>-</v>
          </cell>
          <cell r="J2480" t="str">
            <v>Domestic</v>
          </cell>
          <cell r="K2480" t="str">
            <v>others</v>
          </cell>
          <cell r="L2480" t="str">
            <v>Non-Sugar</v>
          </cell>
          <cell r="M2480" t="str">
            <v>OEM</v>
          </cell>
          <cell r="O2480" t="str">
            <v>-</v>
          </cell>
          <cell r="P2480" t="str">
            <v>-</v>
          </cell>
          <cell r="Q2480" t="str">
            <v>-</v>
          </cell>
          <cell r="R2480" t="str">
            <v>-</v>
          </cell>
          <cell r="T2480" t="str">
            <v>-</v>
          </cell>
          <cell r="W2480" t="str">
            <v>-</v>
          </cell>
        </row>
        <row r="2481">
          <cell r="F2481" t="str">
            <v>KANP01V016</v>
          </cell>
          <cell r="G2481" t="str">
            <v>VIPUL KUMAR AGARWAL</v>
          </cell>
          <cell r="H2481" t="str">
            <v>-</v>
          </cell>
          <cell r="J2481" t="str">
            <v>Domestic</v>
          </cell>
          <cell r="K2481" t="str">
            <v>-</v>
          </cell>
          <cell r="L2481" t="str">
            <v>Non-Sugar</v>
          </cell>
          <cell r="O2481" t="str">
            <v>-</v>
          </cell>
          <cell r="P2481" t="str">
            <v>-</v>
          </cell>
          <cell r="Q2481" t="str">
            <v>-</v>
          </cell>
          <cell r="R2481" t="str">
            <v>-</v>
          </cell>
          <cell r="T2481" t="str">
            <v>-</v>
          </cell>
          <cell r="U2481" t="str">
            <v>-</v>
          </cell>
          <cell r="W2481" t="str">
            <v>-</v>
          </cell>
        </row>
        <row r="2482">
          <cell r="F2482" t="str">
            <v>V077</v>
          </cell>
          <cell r="G2482" t="str">
            <v>VIRUDUNAGAR PLANT TN</v>
          </cell>
          <cell r="H2482" t="str">
            <v>-</v>
          </cell>
          <cell r="J2482" t="str">
            <v>Domestic</v>
          </cell>
          <cell r="K2482" t="str">
            <v>Others</v>
          </cell>
          <cell r="L2482" t="str">
            <v>Non-Sugar</v>
          </cell>
          <cell r="P2482" t="str">
            <v>SI-GS</v>
          </cell>
          <cell r="Q2482" t="str">
            <v>SI-GS</v>
          </cell>
          <cell r="W2482" t="str">
            <v>-</v>
          </cell>
        </row>
        <row r="2483">
          <cell r="F2483" t="str">
            <v>MALE01V009</v>
          </cell>
          <cell r="G2483" t="str">
            <v>VISHAL PAPER MILLS PVT. LTD.</v>
          </cell>
          <cell r="H2483">
            <v>2013</v>
          </cell>
          <cell r="J2483" t="str">
            <v>Domestic</v>
          </cell>
          <cell r="K2483" t="str">
            <v>Paper</v>
          </cell>
          <cell r="L2483" t="str">
            <v>Non-Sugar</v>
          </cell>
          <cell r="M2483" t="str">
            <v>End User</v>
          </cell>
          <cell r="O2483" t="str">
            <v>-</v>
          </cell>
          <cell r="P2483" t="str">
            <v>HO</v>
          </cell>
          <cell r="Q2483" t="str">
            <v>-</v>
          </cell>
          <cell r="T2483" t="str">
            <v>-</v>
          </cell>
          <cell r="U2483" t="str">
            <v>-</v>
          </cell>
          <cell r="W2483" t="str">
            <v>-</v>
          </cell>
        </row>
        <row r="2484">
          <cell r="F2484" t="str">
            <v>VADO01V047</v>
          </cell>
          <cell r="G2484" t="str">
            <v>VOLUBIT LUBRICANTS INDUSTRIES</v>
          </cell>
          <cell r="H2484" t="str">
            <v>21-22</v>
          </cell>
          <cell r="J2484" t="str">
            <v>Domestic</v>
          </cell>
          <cell r="K2484" t="str">
            <v>OTHERS</v>
          </cell>
          <cell r="L2484" t="str">
            <v>Non-Sugar</v>
          </cell>
          <cell r="M2484" t="str">
            <v>End User</v>
          </cell>
          <cell r="O2484" t="str">
            <v>-</v>
          </cell>
          <cell r="P2484" t="str">
            <v>HO</v>
          </cell>
          <cell r="Q2484" t="str">
            <v>AKSHAY AWASTHI</v>
          </cell>
          <cell r="T2484" t="str">
            <v>-</v>
          </cell>
          <cell r="U2484" t="str">
            <v>21-22</v>
          </cell>
          <cell r="W2484">
            <v>44204</v>
          </cell>
        </row>
        <row r="2485">
          <cell r="F2485" t="str">
            <v>BULA01W020</v>
          </cell>
          <cell r="G2485" t="str">
            <v>WAVE INDUSTIRES PVT LTD -BULANDSHAHR</v>
          </cell>
          <cell r="H2485" t="str">
            <v>-</v>
          </cell>
          <cell r="J2485" t="str">
            <v>Domestic</v>
          </cell>
          <cell r="K2485" t="str">
            <v>-</v>
          </cell>
          <cell r="L2485" t="str">
            <v>Non-Sugar</v>
          </cell>
          <cell r="O2485">
            <v>4000</v>
          </cell>
          <cell r="P2485" t="str">
            <v>-</v>
          </cell>
          <cell r="Q2485" t="str">
            <v>AVIRAL SHUKLA</v>
          </cell>
          <cell r="R2485" t="str">
            <v>HIMANSHU</v>
          </cell>
          <cell r="S2485" t="str">
            <v>https://maps.app.goo.gl/T5JX2QXKUomLZGac6</v>
          </cell>
          <cell r="T2485" t="str">
            <v>WESTERN</v>
          </cell>
          <cell r="U2485" t="str">
            <v>25-26</v>
          </cell>
          <cell r="V2485" t="str">
            <v>Feb</v>
          </cell>
          <cell r="W2485" t="str">
            <v>27-02-2026
29-08-2025
05-03-2025
9/23/2024</v>
          </cell>
        </row>
        <row r="2486">
          <cell r="F2486" t="str">
            <v>PUNE01A220</v>
          </cell>
          <cell r="G2486" t="str">
            <v>A K INDUSTRIES</v>
          </cell>
          <cell r="H2486" t="str">
            <v>-</v>
          </cell>
          <cell r="J2486" t="str">
            <v>Domestic</v>
          </cell>
          <cell r="K2486" t="str">
            <v>Non-Sugar</v>
          </cell>
          <cell r="L2486" t="str">
            <v>Non-Sugar</v>
          </cell>
          <cell r="O2486" t="str">
            <v>-</v>
          </cell>
          <cell r="P2486" t="str">
            <v>-</v>
          </cell>
          <cell r="Q2486" t="str">
            <v>-</v>
          </cell>
        </row>
        <row r="2487">
          <cell r="F2487" t="str">
            <v>PUNE01A217</v>
          </cell>
          <cell r="G2487" t="str">
            <v>A S IMPEX &amp; TECHNICAL SERVISES</v>
          </cell>
          <cell r="H2487" t="str">
            <v>-</v>
          </cell>
          <cell r="J2487" t="str">
            <v>Domestic</v>
          </cell>
          <cell r="K2487" t="str">
            <v>Non-Sugar</v>
          </cell>
          <cell r="L2487" t="str">
            <v>Non-Sugar</v>
          </cell>
          <cell r="O2487" t="str">
            <v>-</v>
          </cell>
          <cell r="P2487" t="str">
            <v>-</v>
          </cell>
          <cell r="Q2487" t="str">
            <v>-</v>
          </cell>
        </row>
        <row r="2488">
          <cell r="F2488" t="str">
            <v>HARD1A125</v>
          </cell>
          <cell r="G2488" t="str">
            <v>A&amp;Z</v>
          </cell>
          <cell r="H2488" t="str">
            <v>-</v>
          </cell>
          <cell r="J2488" t="str">
            <v>Domestic</v>
          </cell>
          <cell r="K2488" t="str">
            <v>Non-Sugar</v>
          </cell>
          <cell r="L2488" t="str">
            <v>Non-Sugar</v>
          </cell>
          <cell r="O2488" t="str">
            <v>-</v>
          </cell>
          <cell r="P2488" t="str">
            <v>-</v>
          </cell>
          <cell r="Q2488" t="str">
            <v>-</v>
          </cell>
        </row>
        <row r="2489">
          <cell r="F2489" t="str">
            <v>KOLK01A238</v>
          </cell>
          <cell r="G2489" t="str">
            <v>A. MUKHERJEE &amp; ASSOCIATES</v>
          </cell>
          <cell r="H2489" t="str">
            <v>-</v>
          </cell>
          <cell r="J2489" t="str">
            <v>Domestic</v>
          </cell>
          <cell r="P2489" t="str">
            <v>SNS</v>
          </cell>
          <cell r="Q2489" t="str">
            <v>-</v>
          </cell>
        </row>
        <row r="2490">
          <cell r="F2490" t="str">
            <v>BAST01A160</v>
          </cell>
          <cell r="G2490" t="str">
            <v>AADVIK TERRACOTTA ENTERPRISES</v>
          </cell>
          <cell r="H2490" t="str">
            <v>-</v>
          </cell>
          <cell r="J2490" t="str">
            <v>Domestic</v>
          </cell>
          <cell r="K2490" t="str">
            <v>-</v>
          </cell>
          <cell r="L2490" t="str">
            <v>Non-Sugar</v>
          </cell>
          <cell r="O2490" t="str">
            <v>-</v>
          </cell>
          <cell r="P2490" t="str">
            <v>-</v>
          </cell>
          <cell r="Q2490" t="str">
            <v>-</v>
          </cell>
          <cell r="R2490" t="str">
            <v>-</v>
          </cell>
          <cell r="T2490" t="str">
            <v>-</v>
          </cell>
          <cell r="U2490" t="str">
            <v>-</v>
          </cell>
          <cell r="W2490" t="str">
            <v>-</v>
          </cell>
        </row>
        <row r="2491">
          <cell r="F2491" t="str">
            <v>KANP01A149</v>
          </cell>
          <cell r="G2491" t="str">
            <v>AARTI DISTILLERY</v>
          </cell>
          <cell r="H2491" t="str">
            <v>-</v>
          </cell>
          <cell r="J2491" t="str">
            <v>Domestic</v>
          </cell>
          <cell r="K2491" t="str">
            <v>Distillery</v>
          </cell>
          <cell r="L2491" t="str">
            <v>Non-Sugar</v>
          </cell>
          <cell r="M2491" t="str">
            <v>End User</v>
          </cell>
          <cell r="O2491" t="str">
            <v>-</v>
          </cell>
          <cell r="P2491" t="str">
            <v>HO</v>
          </cell>
          <cell r="Q2491" t="str">
            <v>-</v>
          </cell>
          <cell r="T2491" t="str">
            <v>-</v>
          </cell>
          <cell r="U2491" t="str">
            <v>-</v>
          </cell>
          <cell r="W2491" t="str">
            <v>-</v>
          </cell>
        </row>
        <row r="2492">
          <cell r="F2492" t="str">
            <v>DLHI01A267</v>
          </cell>
          <cell r="G2492" t="str">
            <v>AARUSH COMPONENTS PVT LTD</v>
          </cell>
          <cell r="H2492" t="str">
            <v>-</v>
          </cell>
          <cell r="J2492" t="str">
            <v>Domestic</v>
          </cell>
          <cell r="P2492" t="str">
            <v>HO</v>
          </cell>
          <cell r="Q2492" t="str">
            <v>AVIRAL SHUKLA</v>
          </cell>
        </row>
        <row r="2493">
          <cell r="F2493" t="str">
            <v>GHZB01A207</v>
          </cell>
          <cell r="G2493" t="str">
            <v>AARYA ASSOCIATES(ENGINEERS &amp; CONTRACTORS )</v>
          </cell>
          <cell r="H2493" t="str">
            <v>-</v>
          </cell>
          <cell r="J2493" t="str">
            <v>Domestic</v>
          </cell>
          <cell r="L2493" t="str">
            <v>Non-Sugar</v>
          </cell>
          <cell r="O2493" t="str">
            <v>-</v>
          </cell>
          <cell r="P2493" t="str">
            <v>-</v>
          </cell>
          <cell r="Q2493" t="str">
            <v>-</v>
          </cell>
        </row>
        <row r="2494">
          <cell r="F2494" t="str">
            <v>BEED01A180</v>
          </cell>
          <cell r="G2494" t="str">
            <v>AASHAPURAK AGRO PVT.LTD.</v>
          </cell>
          <cell r="H2494" t="str">
            <v>-</v>
          </cell>
          <cell r="J2494" t="str">
            <v>Domestic</v>
          </cell>
          <cell r="K2494" t="str">
            <v>Cattlefeed</v>
          </cell>
          <cell r="L2494" t="str">
            <v>Non-Sugar</v>
          </cell>
          <cell r="M2494" t="str">
            <v>End User</v>
          </cell>
          <cell r="O2494" t="str">
            <v>-</v>
          </cell>
          <cell r="P2494" t="str">
            <v>VA</v>
          </cell>
          <cell r="Q2494" t="str">
            <v>-</v>
          </cell>
          <cell r="R2494" t="str">
            <v>PD</v>
          </cell>
          <cell r="T2494" t="str">
            <v>-</v>
          </cell>
          <cell r="U2494" t="str">
            <v>-</v>
          </cell>
          <cell r="W2494" t="str">
            <v>-</v>
          </cell>
        </row>
        <row r="2495">
          <cell r="F2495" t="str">
            <v>PHIL01A255</v>
          </cell>
          <cell r="G2495" t="str">
            <v>ABC COMMODITIES</v>
          </cell>
          <cell r="H2495" t="str">
            <v>-</v>
          </cell>
          <cell r="J2495" t="str">
            <v>Export</v>
          </cell>
          <cell r="L2495" t="str">
            <v>Non-Sugar</v>
          </cell>
          <cell r="P2495" t="str">
            <v>VA</v>
          </cell>
          <cell r="Q2495" t="str">
            <v>VG</v>
          </cell>
        </row>
        <row r="2496">
          <cell r="F2496" t="str">
            <v>HYDE01A221</v>
          </cell>
          <cell r="G2496" t="str">
            <v>ABHISHIKTH AGRO LTD</v>
          </cell>
          <cell r="H2496" t="str">
            <v>-</v>
          </cell>
          <cell r="J2496" t="str">
            <v>Domestic</v>
          </cell>
          <cell r="K2496" t="str">
            <v>Non-Sugar</v>
          </cell>
          <cell r="L2496" t="str">
            <v>Non-Sugar</v>
          </cell>
          <cell r="O2496" t="str">
            <v>-</v>
          </cell>
          <cell r="P2496" t="str">
            <v>-</v>
          </cell>
          <cell r="Q2496" t="str">
            <v>-</v>
          </cell>
        </row>
        <row r="2497">
          <cell r="F2497" t="str">
            <v>MUMB01A088</v>
          </cell>
          <cell r="G2497" t="str">
            <v>ABYSSINIA IMPEX</v>
          </cell>
          <cell r="H2497" t="str">
            <v>-</v>
          </cell>
          <cell r="J2497" t="str">
            <v>Domestic</v>
          </cell>
          <cell r="K2497" t="str">
            <v>Safety Products</v>
          </cell>
          <cell r="L2497" t="str">
            <v>Non-Sugar</v>
          </cell>
          <cell r="O2497" t="str">
            <v>-</v>
          </cell>
          <cell r="P2497" t="str">
            <v>WI-SV</v>
          </cell>
          <cell r="Q2497" t="str">
            <v>SUDHIR</v>
          </cell>
          <cell r="R2497" t="str">
            <v>-</v>
          </cell>
          <cell r="T2497" t="str">
            <v>-</v>
          </cell>
          <cell r="U2497" t="str">
            <v>-</v>
          </cell>
          <cell r="W2497" t="str">
            <v>-</v>
          </cell>
        </row>
        <row r="2498">
          <cell r="F2498" t="str">
            <v>CHEN01A140</v>
          </cell>
          <cell r="G2498" t="str">
            <v>ACCUROCHEM CHEMICALS AND SYSTEMS</v>
          </cell>
          <cell r="H2498" t="str">
            <v>-</v>
          </cell>
          <cell r="J2498" t="str">
            <v>Domestic</v>
          </cell>
          <cell r="K2498" t="str">
            <v>CHEMICAL</v>
          </cell>
          <cell r="L2498" t="str">
            <v>Non-Sugar</v>
          </cell>
          <cell r="M2498" t="str">
            <v>End User</v>
          </cell>
          <cell r="O2498" t="str">
            <v>-</v>
          </cell>
          <cell r="P2498" t="str">
            <v>-</v>
          </cell>
          <cell r="Q2498" t="str">
            <v>-</v>
          </cell>
          <cell r="R2498" t="str">
            <v>-</v>
          </cell>
          <cell r="T2498" t="str">
            <v>-</v>
          </cell>
          <cell r="U2498" t="str">
            <v>-</v>
          </cell>
          <cell r="W2498" t="str">
            <v>-</v>
          </cell>
        </row>
        <row r="2499">
          <cell r="F2499" t="str">
            <v>NIGE01A253</v>
          </cell>
          <cell r="G2499" t="str">
            <v>ACE EXTRA LTD</v>
          </cell>
          <cell r="H2499" t="str">
            <v>-</v>
          </cell>
          <cell r="J2499" t="str">
            <v>Export</v>
          </cell>
          <cell r="K2499" t="str">
            <v>Oil &amp; Gas</v>
          </cell>
          <cell r="L2499" t="str">
            <v>Non-Sugar</v>
          </cell>
          <cell r="O2499" t="str">
            <v>-</v>
          </cell>
          <cell r="P2499" t="str">
            <v>VA</v>
          </cell>
          <cell r="Q2499" t="str">
            <v>ANKUR</v>
          </cell>
        </row>
        <row r="2500">
          <cell r="F2500" t="str">
            <v>KUTC01A242</v>
          </cell>
          <cell r="G2500" t="str">
            <v>ADANI WILMAR LIMITED</v>
          </cell>
          <cell r="H2500" t="str">
            <v>-</v>
          </cell>
          <cell r="J2500" t="str">
            <v>Domestic</v>
          </cell>
          <cell r="K2500" t="str">
            <v>Non-Sugar</v>
          </cell>
          <cell r="L2500" t="str">
            <v>Non-Sugar</v>
          </cell>
          <cell r="O2500" t="str">
            <v>-</v>
          </cell>
          <cell r="P2500" t="str">
            <v>-</v>
          </cell>
          <cell r="Q2500" t="str">
            <v>-</v>
          </cell>
        </row>
        <row r="2501">
          <cell r="F2501" t="str">
            <v>PUNE01A219</v>
          </cell>
          <cell r="G2501" t="str">
            <v>ADITI INDUSTRIES</v>
          </cell>
          <cell r="H2501" t="str">
            <v>-</v>
          </cell>
          <cell r="J2501" t="str">
            <v>Domestic</v>
          </cell>
          <cell r="K2501" t="str">
            <v>Non-Sugar</v>
          </cell>
          <cell r="L2501" t="str">
            <v>Non-Sugar</v>
          </cell>
          <cell r="O2501" t="str">
            <v>-</v>
          </cell>
          <cell r="P2501" t="str">
            <v>-</v>
          </cell>
          <cell r="Q2501" t="str">
            <v>-</v>
          </cell>
        </row>
        <row r="2502">
          <cell r="F2502" t="str">
            <v>MUZF01A225</v>
          </cell>
          <cell r="G2502" t="str">
            <v>AGARWAL DUPLEX BOARD MILLS LIMITED</v>
          </cell>
          <cell r="H2502" t="str">
            <v>-</v>
          </cell>
          <cell r="J2502" t="str">
            <v>Domestic</v>
          </cell>
          <cell r="K2502" t="str">
            <v>Paper</v>
          </cell>
          <cell r="L2502" t="str">
            <v>Non-Sugar</v>
          </cell>
          <cell r="M2502" t="str">
            <v>End User</v>
          </cell>
          <cell r="O2502" t="str">
            <v>-</v>
          </cell>
          <cell r="P2502" t="str">
            <v>HO</v>
          </cell>
          <cell r="Q2502" t="str">
            <v>AVIRAL SHUKLA</v>
          </cell>
          <cell r="T2502" t="str">
            <v>WESTERN</v>
          </cell>
          <cell r="U2502" t="str">
            <v>25-26</v>
          </cell>
          <cell r="W2502" t="str">
            <v>15-10-2025
12-04-2025
07/03/2025</v>
          </cell>
        </row>
        <row r="2503">
          <cell r="F2503" t="str">
            <v>CHEN01A231</v>
          </cell>
          <cell r="G2503" t="str">
            <v>AGP ENTERPRISES</v>
          </cell>
          <cell r="H2503" t="str">
            <v>-</v>
          </cell>
          <cell r="J2503" t="str">
            <v>Domestic</v>
          </cell>
          <cell r="P2503" t="str">
            <v>SI-MANI</v>
          </cell>
          <cell r="Q2503" t="str">
            <v>M SIVA</v>
          </cell>
        </row>
        <row r="2504">
          <cell r="F2504" t="str">
            <v>MUZF01A215</v>
          </cell>
          <cell r="G2504" t="str">
            <v>AGROCARE SERVICES</v>
          </cell>
          <cell r="H2504" t="str">
            <v>-</v>
          </cell>
          <cell r="J2504" t="str">
            <v>Domestic</v>
          </cell>
          <cell r="K2504" t="str">
            <v>Non-Sugar</v>
          </cell>
          <cell r="L2504" t="str">
            <v>Non-Sugar</v>
          </cell>
          <cell r="O2504" t="str">
            <v>-</v>
          </cell>
          <cell r="P2504" t="str">
            <v>-</v>
          </cell>
          <cell r="Q2504" t="str">
            <v>-</v>
          </cell>
        </row>
        <row r="2505">
          <cell r="F2505" t="str">
            <v>PUNE01A259</v>
          </cell>
          <cell r="G2505" t="str">
            <v>AIROTHERM ENINEERING PVT LTD</v>
          </cell>
          <cell r="H2505" t="str">
            <v>-</v>
          </cell>
          <cell r="J2505" t="str">
            <v>Domestic</v>
          </cell>
          <cell r="L2505" t="str">
            <v>Non-Sugar</v>
          </cell>
          <cell r="P2505" t="str">
            <v>WI-SV</v>
          </cell>
          <cell r="Q2505" t="str">
            <v>SUDHIR</v>
          </cell>
        </row>
        <row r="2506">
          <cell r="F2506" t="str">
            <v>DLHI01A198</v>
          </cell>
          <cell r="G2506" t="str">
            <v>AKS HYDROMECH ENGINEERS</v>
          </cell>
          <cell r="H2506" t="str">
            <v>-</v>
          </cell>
          <cell r="J2506" t="str">
            <v>Domestic</v>
          </cell>
          <cell r="K2506" t="str">
            <v>Non-Sugar</v>
          </cell>
          <cell r="L2506" t="str">
            <v>Non-Sugar</v>
          </cell>
          <cell r="O2506" t="str">
            <v>-</v>
          </cell>
          <cell r="P2506" t="str">
            <v>-</v>
          </cell>
          <cell r="Q2506" t="str">
            <v>-</v>
          </cell>
        </row>
        <row r="2507">
          <cell r="F2507" t="str">
            <v>ROHT01A226</v>
          </cell>
          <cell r="G2507" t="str">
            <v>AKSHAY URJA MANTHAN BIOFUEL PVT LTD</v>
          </cell>
          <cell r="H2507" t="str">
            <v>-</v>
          </cell>
          <cell r="J2507" t="str">
            <v>Domestic</v>
          </cell>
          <cell r="L2507" t="str">
            <v>Non-Sugar</v>
          </cell>
          <cell r="O2507" t="str">
            <v>-</v>
          </cell>
          <cell r="P2507" t="str">
            <v>-</v>
          </cell>
          <cell r="Q2507" t="str">
            <v>-</v>
          </cell>
        </row>
        <row r="2508">
          <cell r="F2508" t="str">
            <v>RIFF01A236</v>
          </cell>
          <cell r="G2508" t="str">
            <v>AL HILLO TRADING CO</v>
          </cell>
          <cell r="H2508" t="str">
            <v>-</v>
          </cell>
          <cell r="J2508" t="str">
            <v>Export</v>
          </cell>
          <cell r="L2508" t="str">
            <v>Non-Sugar</v>
          </cell>
          <cell r="O2508" t="str">
            <v>-</v>
          </cell>
          <cell r="P2508" t="str">
            <v>VA</v>
          </cell>
          <cell r="Q2508" t="str">
            <v>VG</v>
          </cell>
        </row>
        <row r="2509">
          <cell r="F2509" t="str">
            <v>JAKA01A212</v>
          </cell>
          <cell r="G2509" t="str">
            <v>ALEX DFID</v>
          </cell>
          <cell r="H2509" t="str">
            <v>-</v>
          </cell>
          <cell r="J2509" t="str">
            <v>Export</v>
          </cell>
          <cell r="L2509" t="str">
            <v>Non-Sugar</v>
          </cell>
          <cell r="O2509" t="str">
            <v>-</v>
          </cell>
          <cell r="P2509" t="str">
            <v>VA</v>
          </cell>
          <cell r="Q2509" t="str">
            <v>VG</v>
          </cell>
        </row>
        <row r="2510">
          <cell r="F2510" t="str">
            <v>PUNE01A195</v>
          </cell>
          <cell r="G2510" t="str">
            <v>ALFA LAVAL INDIA PVT LTD</v>
          </cell>
          <cell r="H2510" t="str">
            <v>-</v>
          </cell>
          <cell r="J2510" t="str">
            <v>Domestic</v>
          </cell>
          <cell r="L2510" t="str">
            <v>Non-Sugar</v>
          </cell>
          <cell r="O2510" t="str">
            <v>-</v>
          </cell>
          <cell r="P2510" t="str">
            <v>-</v>
          </cell>
          <cell r="Q2510" t="str">
            <v>-</v>
          </cell>
        </row>
        <row r="2511">
          <cell r="F2511" t="str">
            <v>SATA01A202</v>
          </cell>
          <cell r="G2511" t="str">
            <v>ALL FUN FOODS INDIA PVT LTD</v>
          </cell>
          <cell r="H2511" t="str">
            <v>-</v>
          </cell>
          <cell r="J2511" t="str">
            <v>Domestic</v>
          </cell>
          <cell r="K2511" t="str">
            <v>FOOD</v>
          </cell>
          <cell r="L2511" t="str">
            <v>Non-Sugar</v>
          </cell>
          <cell r="M2511" t="str">
            <v>End User</v>
          </cell>
          <cell r="O2511" t="str">
            <v>1LAC LTR/DAY</v>
          </cell>
          <cell r="P2511" t="str">
            <v>MRK</v>
          </cell>
          <cell r="Q2511" t="str">
            <v>MRK</v>
          </cell>
          <cell r="R2511" t="str">
            <v>VG</v>
          </cell>
          <cell r="T2511" t="str">
            <v>TOUR-8 (CHIPLUN)</v>
          </cell>
          <cell r="U2511" t="str">
            <v>25-26</v>
          </cell>
          <cell r="W2511" t="str">
            <v>29-04-2025
1/30/2023</v>
          </cell>
        </row>
        <row r="2512">
          <cell r="F2512" t="str">
            <v>MUMB01A199</v>
          </cell>
          <cell r="G2512" t="str">
            <v>ALLANASONS PRIVATE LIMITED</v>
          </cell>
          <cell r="H2512" t="str">
            <v>-</v>
          </cell>
          <cell r="J2512" t="str">
            <v>Domestic</v>
          </cell>
          <cell r="L2512" t="str">
            <v>Non-Sugar</v>
          </cell>
          <cell r="O2512" t="str">
            <v>-</v>
          </cell>
          <cell r="P2512" t="str">
            <v>-</v>
          </cell>
          <cell r="Q2512" t="str">
            <v>-</v>
          </cell>
        </row>
        <row r="2513">
          <cell r="F2513" t="str">
            <v>MUZF01A248</v>
          </cell>
          <cell r="G2513" t="str">
            <v>ALPANA PAPERS PRIVATE LIMITED</v>
          </cell>
          <cell r="H2513" t="str">
            <v>-</v>
          </cell>
          <cell r="J2513" t="str">
            <v>Domestic</v>
          </cell>
          <cell r="L2513" t="str">
            <v>Non-Sugar</v>
          </cell>
          <cell r="O2513" t="str">
            <v>-</v>
          </cell>
          <cell r="P2513" t="str">
            <v>-</v>
          </cell>
          <cell r="Q2513" t="str">
            <v>AVIRAL SHUKLA</v>
          </cell>
          <cell r="R2513" t="str">
            <v>HIMANSHU</v>
          </cell>
          <cell r="U2513" t="str">
            <v>25-26</v>
          </cell>
          <cell r="W2513" t="str">
            <v>14-04-2025</v>
          </cell>
        </row>
        <row r="2514">
          <cell r="F2514" t="str">
            <v>MUMB01A190</v>
          </cell>
          <cell r="G2514" t="str">
            <v>ALPHA CHEMICAL PVT LTD</v>
          </cell>
          <cell r="H2514" t="str">
            <v>-</v>
          </cell>
          <cell r="J2514" t="str">
            <v>Domestic</v>
          </cell>
          <cell r="L2514" t="str">
            <v>Non-Sugar</v>
          </cell>
          <cell r="O2514" t="str">
            <v>-</v>
          </cell>
          <cell r="P2514" t="str">
            <v>-</v>
          </cell>
          <cell r="Q2514" t="str">
            <v>-</v>
          </cell>
        </row>
        <row r="2515">
          <cell r="F2515" t="str">
            <v>BANG01A244</v>
          </cell>
          <cell r="G2515" t="str">
            <v>ALT MATERIAL INNOVATIONS PVT LTD</v>
          </cell>
          <cell r="H2515" t="str">
            <v>-</v>
          </cell>
          <cell r="J2515" t="str">
            <v>Domestic</v>
          </cell>
          <cell r="P2515" t="str">
            <v>SI-MANI</v>
          </cell>
          <cell r="Q2515" t="str">
            <v>M SIVA</v>
          </cell>
        </row>
        <row r="2516">
          <cell r="F2516" t="str">
            <v>BANG01A239</v>
          </cell>
          <cell r="G2516" t="str">
            <v>AMAZON ENVIROTECH PVT LTD</v>
          </cell>
          <cell r="H2516" t="str">
            <v>-</v>
          </cell>
          <cell r="J2516" t="str">
            <v>Domestic</v>
          </cell>
          <cell r="P2516" t="str">
            <v>SI-MANI</v>
          </cell>
          <cell r="Q2516" t="str">
            <v>M SIVA</v>
          </cell>
        </row>
        <row r="2517">
          <cell r="F2517" t="str">
            <v>BEED01A262</v>
          </cell>
          <cell r="G2517" t="str">
            <v>AMBAJOGAI SAHKARI SAKHAR KARKHANA LTD. (LEASE VYANKATESHWARA INDUSTRIAL SERVICES PVT.LTD.)</v>
          </cell>
          <cell r="H2517" t="str">
            <v>-</v>
          </cell>
          <cell r="J2517" t="str">
            <v>Domestic</v>
          </cell>
          <cell r="K2517" t="str">
            <v>Sugar</v>
          </cell>
          <cell r="M2517" t="str">
            <v>End User</v>
          </cell>
          <cell r="O2517" t="str">
            <v>-</v>
          </cell>
          <cell r="P2517" t="str">
            <v>AV</v>
          </cell>
          <cell r="Q2517" t="str">
            <v>AV</v>
          </cell>
          <cell r="R2517" t="str">
            <v>PD</v>
          </cell>
          <cell r="T2517" t="str">
            <v>Tour-13 (Beed)</v>
          </cell>
          <cell r="U2517" t="str">
            <v>23-24</v>
          </cell>
          <cell r="W2517">
            <v>45239</v>
          </cell>
        </row>
        <row r="2518">
          <cell r="F2518" t="str">
            <v>PUNE01A222</v>
          </cell>
          <cell r="G2518" t="str">
            <v>AMBIKA FEEDS</v>
          </cell>
          <cell r="H2518" t="str">
            <v>-</v>
          </cell>
          <cell r="J2518" t="str">
            <v>Domestic</v>
          </cell>
          <cell r="L2518" t="str">
            <v>Non-Sugar</v>
          </cell>
          <cell r="O2518" t="str">
            <v>-</v>
          </cell>
          <cell r="P2518" t="str">
            <v>-</v>
          </cell>
          <cell r="Q2518" t="str">
            <v>-</v>
          </cell>
        </row>
        <row r="2519">
          <cell r="F2519" t="str">
            <v>BANK01A210</v>
          </cell>
          <cell r="G2519" t="str">
            <v>AMBITION ENGINEERING</v>
          </cell>
          <cell r="H2519" t="str">
            <v>-</v>
          </cell>
          <cell r="J2519" t="str">
            <v>Export</v>
          </cell>
          <cell r="L2519" t="str">
            <v>Non-Sugar</v>
          </cell>
          <cell r="O2519" t="str">
            <v>-</v>
          </cell>
          <cell r="P2519" t="str">
            <v>VA</v>
          </cell>
          <cell r="Q2519" t="str">
            <v>VG</v>
          </cell>
        </row>
        <row r="2520">
          <cell r="F2520" t="str">
            <v>PUNE01A230</v>
          </cell>
          <cell r="G2520" t="str">
            <v>AMEY ENGINEERS</v>
          </cell>
          <cell r="H2520" t="str">
            <v>-</v>
          </cell>
          <cell r="J2520" t="str">
            <v>Domestic</v>
          </cell>
          <cell r="K2520" t="str">
            <v>PHARMA</v>
          </cell>
          <cell r="L2520" t="str">
            <v>Non-Sugar</v>
          </cell>
          <cell r="M2520" t="str">
            <v>Trader</v>
          </cell>
          <cell r="P2520" t="str">
            <v>AV</v>
          </cell>
          <cell r="Q2520" t="str">
            <v>AV</v>
          </cell>
          <cell r="R2520" t="str">
            <v>VG</v>
          </cell>
        </row>
        <row r="2521">
          <cell r="F2521" t="str">
            <v>VARA01A102</v>
          </cell>
          <cell r="G2521" t="str">
            <v>AMRIT VARSHA CATTLE FEED PLANT</v>
          </cell>
          <cell r="H2521" t="str">
            <v>-</v>
          </cell>
          <cell r="J2521" t="str">
            <v>Domestic</v>
          </cell>
          <cell r="K2521" t="str">
            <v>Cattlefeed</v>
          </cell>
          <cell r="L2521" t="str">
            <v>Non-Sugar</v>
          </cell>
          <cell r="M2521" t="str">
            <v>End User</v>
          </cell>
          <cell r="O2521" t="str">
            <v>-</v>
          </cell>
          <cell r="P2521" t="str">
            <v>HO</v>
          </cell>
          <cell r="Q2521" t="str">
            <v>AVIRAL SHUKLA</v>
          </cell>
          <cell r="T2521" t="str">
            <v>-</v>
          </cell>
          <cell r="U2521" t="str">
            <v>24-25</v>
          </cell>
          <cell r="W2521">
            <v>45434</v>
          </cell>
        </row>
        <row r="2522">
          <cell r="F2522" t="str">
            <v>GWAL01A263</v>
          </cell>
          <cell r="G2522" t="str">
            <v>AMRUTAM PHARMACEUTICALS PVT LTD</v>
          </cell>
          <cell r="H2522" t="str">
            <v>-</v>
          </cell>
          <cell r="J2522" t="str">
            <v>Domestic</v>
          </cell>
          <cell r="K2522" t="str">
            <v>Pharma</v>
          </cell>
          <cell r="L2522" t="str">
            <v>Non-Sugar</v>
          </cell>
          <cell r="O2522" t="str">
            <v>-</v>
          </cell>
          <cell r="P2522" t="str">
            <v>HO</v>
          </cell>
          <cell r="Q2522" t="str">
            <v>AVIRAL SHUKLA</v>
          </cell>
        </row>
        <row r="2523">
          <cell r="F2523" t="str">
            <v>MERT01A188</v>
          </cell>
          <cell r="G2523" t="str">
            <v>ANAND DUPLEX</v>
          </cell>
          <cell r="H2523" t="str">
            <v>-</v>
          </cell>
          <cell r="J2523" t="str">
            <v>Domestic</v>
          </cell>
          <cell r="L2523" t="str">
            <v>Non-Sugar</v>
          </cell>
          <cell r="O2523" t="str">
            <v>-</v>
          </cell>
          <cell r="P2523" t="str">
            <v xml:space="preserve">HO </v>
          </cell>
          <cell r="Q2523" t="str">
            <v>MONU RAJPUT</v>
          </cell>
          <cell r="U2523" t="str">
            <v>22-23</v>
          </cell>
          <cell r="W2523" t="str">
            <v>30-09-2022</v>
          </cell>
        </row>
        <row r="2524">
          <cell r="F2524" t="str">
            <v>MUMB01A181</v>
          </cell>
          <cell r="G2524" t="str">
            <v>ANANT DUDH PVT. LTD</v>
          </cell>
          <cell r="H2524" t="str">
            <v>-</v>
          </cell>
          <cell r="J2524" t="str">
            <v>Domestic</v>
          </cell>
          <cell r="K2524" t="str">
            <v>Dairy</v>
          </cell>
          <cell r="L2524" t="str">
            <v>Non-Sugar</v>
          </cell>
          <cell r="M2524" t="str">
            <v>End User</v>
          </cell>
          <cell r="O2524" t="str">
            <v>-</v>
          </cell>
          <cell r="P2524" t="str">
            <v>AV</v>
          </cell>
          <cell r="Q2524" t="str">
            <v>AV</v>
          </cell>
          <cell r="R2524" t="str">
            <v>AT</v>
          </cell>
          <cell r="T2524" t="str">
            <v>TOUR-10 (Pune)</v>
          </cell>
          <cell r="U2524" t="str">
            <v>23-24</v>
          </cell>
          <cell r="W2524">
            <v>45119</v>
          </cell>
        </row>
        <row r="2525">
          <cell r="F2525" t="str">
            <v>HUBL01A203</v>
          </cell>
          <cell r="G2525" t="str">
            <v>ANANYA FEEDS PVT LTD</v>
          </cell>
          <cell r="H2525" t="str">
            <v>-</v>
          </cell>
          <cell r="J2525" t="str">
            <v>Domestic</v>
          </cell>
          <cell r="K2525" t="str">
            <v>Cattle Feed</v>
          </cell>
          <cell r="L2525" t="str">
            <v>Non-Sugar</v>
          </cell>
          <cell r="M2525" t="str">
            <v>End User</v>
          </cell>
          <cell r="O2525" t="str">
            <v>-</v>
          </cell>
          <cell r="P2525" t="str">
            <v>MRK</v>
          </cell>
          <cell r="Q2525" t="str">
            <v>MRK</v>
          </cell>
          <cell r="R2525" t="str">
            <v>VG</v>
          </cell>
          <cell r="T2525" t="str">
            <v>TOUR-1 (BELGAUM)</v>
          </cell>
          <cell r="U2525" t="str">
            <v>23-24</v>
          </cell>
          <cell r="W2525">
            <v>45336</v>
          </cell>
        </row>
        <row r="2526">
          <cell r="F2526" t="str">
            <v>VADO01A214</v>
          </cell>
          <cell r="G2526" t="str">
            <v>ANKUR SCIENTIFIC ENERGY TECHNOLOGIES PVT LTD</v>
          </cell>
          <cell r="H2526" t="str">
            <v>-</v>
          </cell>
          <cell r="J2526" t="str">
            <v>Domestic</v>
          </cell>
          <cell r="L2526" t="str">
            <v>Non-Sugar</v>
          </cell>
          <cell r="O2526" t="str">
            <v>-</v>
          </cell>
          <cell r="P2526" t="str">
            <v>-</v>
          </cell>
          <cell r="Q2526" t="str">
            <v>-</v>
          </cell>
        </row>
        <row r="2527">
          <cell r="F2527" t="str">
            <v>MOHL01A232</v>
          </cell>
          <cell r="G2527" t="str">
            <v>ANM TECHNOSOL (P) LIMITED</v>
          </cell>
          <cell r="H2527" t="str">
            <v>-</v>
          </cell>
          <cell r="J2527" t="str">
            <v>Domestic</v>
          </cell>
          <cell r="L2527" t="str">
            <v>Non-Sugar</v>
          </cell>
          <cell r="O2527" t="str">
            <v>-</v>
          </cell>
          <cell r="P2527" t="str">
            <v>-</v>
          </cell>
          <cell r="Q2527" t="str">
            <v>-</v>
          </cell>
        </row>
        <row r="2528">
          <cell r="F2528" t="str">
            <v>NODA01A211</v>
          </cell>
          <cell r="G2528" t="str">
            <v>ANU TECHNO SERVICES</v>
          </cell>
          <cell r="H2528" t="str">
            <v>-</v>
          </cell>
          <cell r="J2528" t="str">
            <v>Domestic</v>
          </cell>
          <cell r="L2528" t="str">
            <v>Non-Sugar</v>
          </cell>
          <cell r="O2528" t="str">
            <v>-</v>
          </cell>
          <cell r="P2528" t="str">
            <v>-</v>
          </cell>
          <cell r="Q2528" t="str">
            <v>-</v>
          </cell>
        </row>
        <row r="2529">
          <cell r="F2529" t="str">
            <v>FARD01A240</v>
          </cell>
          <cell r="G2529" t="str">
            <v>ANUSHA ENVIRO TECH SYSTEM</v>
          </cell>
          <cell r="H2529" t="str">
            <v>-</v>
          </cell>
          <cell r="J2529" t="str">
            <v>Domestic</v>
          </cell>
          <cell r="L2529" t="str">
            <v>Non-Sugar</v>
          </cell>
          <cell r="O2529" t="str">
            <v>-</v>
          </cell>
          <cell r="P2529" t="str">
            <v>HO</v>
          </cell>
          <cell r="Q2529" t="str">
            <v>AVIRAL SHUKLA</v>
          </cell>
        </row>
        <row r="2530">
          <cell r="F2530" t="str">
            <v>MERT01A213</v>
          </cell>
          <cell r="G2530" t="str">
            <v>APCO CHEMICAL PVT LTD</v>
          </cell>
          <cell r="H2530" t="str">
            <v>-</v>
          </cell>
          <cell r="J2530" t="str">
            <v>Domestic</v>
          </cell>
          <cell r="L2530" t="str">
            <v>Non-Sugar</v>
          </cell>
          <cell r="O2530" t="str">
            <v>-</v>
          </cell>
          <cell r="P2530" t="str">
            <v>-</v>
          </cell>
          <cell r="Q2530" t="str">
            <v>-</v>
          </cell>
          <cell r="U2530" t="str">
            <v>25-26</v>
          </cell>
          <cell r="W2530">
            <v>45962</v>
          </cell>
        </row>
        <row r="2531">
          <cell r="F2531" t="str">
            <v>AHME01A247</v>
          </cell>
          <cell r="G2531" t="str">
            <v>APIC INTERNATIONAL</v>
          </cell>
          <cell r="H2531" t="str">
            <v>-</v>
          </cell>
          <cell r="J2531" t="str">
            <v>Domestic</v>
          </cell>
          <cell r="L2531" t="str">
            <v>Non-Sugar</v>
          </cell>
          <cell r="O2531" t="str">
            <v>-</v>
          </cell>
          <cell r="P2531" t="str">
            <v>-</v>
          </cell>
          <cell r="Q2531" t="str">
            <v>-</v>
          </cell>
        </row>
        <row r="2532">
          <cell r="F2532" t="str">
            <v>GUJA1A128</v>
          </cell>
          <cell r="G2532" t="str">
            <v>APOLLO SCREENS PRIVATE LIMITED</v>
          </cell>
          <cell r="H2532" t="str">
            <v>-</v>
          </cell>
          <cell r="J2532" t="str">
            <v>Domestic</v>
          </cell>
          <cell r="L2532" t="str">
            <v>Non-Sugar</v>
          </cell>
          <cell r="O2532" t="str">
            <v>-</v>
          </cell>
          <cell r="P2532" t="str">
            <v>-</v>
          </cell>
          <cell r="Q2532" t="str">
            <v>-</v>
          </cell>
        </row>
        <row r="2533">
          <cell r="F2533" t="str">
            <v>KOLH01A164</v>
          </cell>
          <cell r="G2533" t="str">
            <v>APPASAHEB NALAWADE GADHINGLAJ TALUKA SSK</v>
          </cell>
          <cell r="H2533" t="str">
            <v>-</v>
          </cell>
          <cell r="J2533" t="str">
            <v>Domestic</v>
          </cell>
          <cell r="K2533" t="str">
            <v>Sugar</v>
          </cell>
          <cell r="M2533" t="str">
            <v>End User</v>
          </cell>
          <cell r="O2533">
            <v>2500</v>
          </cell>
          <cell r="P2533" t="str">
            <v>MRK</v>
          </cell>
          <cell r="Q2533" t="str">
            <v>MRK</v>
          </cell>
          <cell r="R2533" t="str">
            <v>VG</v>
          </cell>
          <cell r="T2533" t="str">
            <v>TOUR-5 (KOLHAPUR)</v>
          </cell>
          <cell r="U2533" t="str">
            <v>25-26</v>
          </cell>
          <cell r="W2533" t="str">
            <v>16-7-2025</v>
          </cell>
        </row>
        <row r="2534">
          <cell r="F2534" t="str">
            <v>DABI01A218</v>
          </cell>
          <cell r="G2534" t="str">
            <v>AQUA TREAT CLEAN PURE LIFE</v>
          </cell>
          <cell r="H2534" t="str">
            <v>-</v>
          </cell>
          <cell r="J2534" t="str">
            <v>Export</v>
          </cell>
          <cell r="L2534" t="str">
            <v>Non-Sugar</v>
          </cell>
          <cell r="O2534" t="str">
            <v>-</v>
          </cell>
          <cell r="P2534" t="str">
            <v>VA</v>
          </cell>
          <cell r="Q2534" t="str">
            <v>ANKUR</v>
          </cell>
        </row>
        <row r="2535">
          <cell r="F2535" t="str">
            <v>PUNE01A264</v>
          </cell>
          <cell r="G2535" t="str">
            <v>AQUARIUS ENGINEERS PVT LTD</v>
          </cell>
          <cell r="H2535" t="str">
            <v>-</v>
          </cell>
          <cell r="J2535" t="str">
            <v>Domestic</v>
          </cell>
          <cell r="L2535" t="str">
            <v>Non-Sugar</v>
          </cell>
          <cell r="O2535" t="str">
            <v>-</v>
          </cell>
          <cell r="P2535" t="str">
            <v>HO</v>
          </cell>
          <cell r="Q2535" t="str">
            <v>AVIRAL SHUKLA</v>
          </cell>
        </row>
        <row r="2536">
          <cell r="F2536" t="str">
            <v>BIJN01A206</v>
          </cell>
          <cell r="G2536" t="str">
            <v>ARADHYA HONEY AND WAX</v>
          </cell>
          <cell r="H2536" t="str">
            <v>-</v>
          </cell>
          <cell r="J2536" t="str">
            <v>Domestic</v>
          </cell>
          <cell r="L2536" t="str">
            <v>Non-Sugar</v>
          </cell>
          <cell r="O2536" t="str">
            <v>-</v>
          </cell>
          <cell r="P2536" t="str">
            <v>-</v>
          </cell>
          <cell r="Q2536" t="str">
            <v>-</v>
          </cell>
        </row>
        <row r="2537">
          <cell r="F2537" t="str">
            <v>DUBA01A265</v>
          </cell>
          <cell r="G2537" t="str">
            <v>ARCHIRODON CONSTRUCTION (OVERSEAS) CO LTD</v>
          </cell>
          <cell r="H2537" t="str">
            <v>-</v>
          </cell>
          <cell r="J2537" t="str">
            <v>Export</v>
          </cell>
          <cell r="L2537" t="str">
            <v>Non-Sugar</v>
          </cell>
          <cell r="P2537" t="str">
            <v>VA</v>
          </cell>
          <cell r="Q2537" t="str">
            <v>VG</v>
          </cell>
        </row>
        <row r="2538">
          <cell r="F2538" t="str">
            <v>ROHT01A233</v>
          </cell>
          <cell r="G2538" t="str">
            <v>AROMA CRAFT &amp; PAPER- HARYANA</v>
          </cell>
          <cell r="H2538" t="str">
            <v>-</v>
          </cell>
          <cell r="J2538" t="str">
            <v>Domestic</v>
          </cell>
          <cell r="L2538" t="str">
            <v>Non-Sugar</v>
          </cell>
          <cell r="O2538" t="str">
            <v>-</v>
          </cell>
          <cell r="P2538" t="str">
            <v>-</v>
          </cell>
          <cell r="Q2538" t="str">
            <v>-</v>
          </cell>
        </row>
        <row r="2539">
          <cell r="F2539" t="str">
            <v>NANA01A057</v>
          </cell>
          <cell r="G2539" t="str">
            <v>ARUNA DISTILLERY PVT. LTD.</v>
          </cell>
          <cell r="H2539" t="str">
            <v>-</v>
          </cell>
          <cell r="J2539" t="str">
            <v>Domestic</v>
          </cell>
          <cell r="L2539" t="str">
            <v>Non-Sugar</v>
          </cell>
          <cell r="O2539" t="str">
            <v>-</v>
          </cell>
          <cell r="P2539" t="str">
            <v>-</v>
          </cell>
          <cell r="Q2539" t="str">
            <v>-</v>
          </cell>
        </row>
        <row r="2540">
          <cell r="F2540" t="str">
            <v>PUNE01A237</v>
          </cell>
          <cell r="G2540" t="str">
            <v>ARUNODAY BIO-CNG PVT LTD</v>
          </cell>
          <cell r="H2540" t="str">
            <v>-</v>
          </cell>
          <cell r="J2540" t="str">
            <v>Domestic</v>
          </cell>
          <cell r="K2540" t="str">
            <v>Biogas</v>
          </cell>
          <cell r="L2540" t="str">
            <v>Non-Sugar</v>
          </cell>
          <cell r="P2540" t="str">
            <v>WI-SV</v>
          </cell>
          <cell r="Q2540" t="str">
            <v>SUDHIR</v>
          </cell>
        </row>
        <row r="2541">
          <cell r="F2541" t="str">
            <v>DLHI01A258</v>
          </cell>
          <cell r="G2541" t="str">
            <v>AS IMPEXS TECHNICAL SERVICE</v>
          </cell>
          <cell r="H2541" t="str">
            <v>-</v>
          </cell>
          <cell r="J2541" t="str">
            <v>Domestic</v>
          </cell>
          <cell r="L2541" t="str">
            <v>Non-Sugar</v>
          </cell>
          <cell r="O2541" t="str">
            <v>-</v>
          </cell>
          <cell r="P2541" t="str">
            <v>HO</v>
          </cell>
          <cell r="Q2541" t="str">
            <v>-</v>
          </cell>
        </row>
        <row r="2542">
          <cell r="F2542" t="str">
            <v>GURD01A241</v>
          </cell>
          <cell r="G2542" t="str">
            <v>ASHMA PAPER MILL</v>
          </cell>
          <cell r="H2542" t="str">
            <v>-</v>
          </cell>
          <cell r="J2542" t="str">
            <v>Domestic</v>
          </cell>
          <cell r="L2542" t="str">
            <v>Non-Sugar</v>
          </cell>
          <cell r="O2542" t="str">
            <v>-</v>
          </cell>
          <cell r="P2542" t="str">
            <v>-</v>
          </cell>
          <cell r="Q2542" t="str">
            <v>-</v>
          </cell>
        </row>
        <row r="2543">
          <cell r="F2543" t="str">
            <v>MEHS01A216</v>
          </cell>
          <cell r="G2543" t="str">
            <v>ATEN PAPER MILL</v>
          </cell>
          <cell r="H2543" t="str">
            <v>-</v>
          </cell>
          <cell r="J2543" t="str">
            <v>Domestic</v>
          </cell>
          <cell r="L2543" t="str">
            <v>Non-Sugar</v>
          </cell>
          <cell r="O2543" t="str">
            <v>-</v>
          </cell>
          <cell r="P2543" t="str">
            <v>-</v>
          </cell>
          <cell r="Q2543" t="str">
            <v>-</v>
          </cell>
        </row>
        <row r="2544">
          <cell r="F2544" t="str">
            <v>PUNE01A209</v>
          </cell>
          <cell r="G2544" t="str">
            <v>ATHARV ENVIRO CONSULTANTS</v>
          </cell>
          <cell r="H2544" t="str">
            <v>-</v>
          </cell>
          <cell r="J2544" t="str">
            <v>Domestic</v>
          </cell>
          <cell r="P2544" t="str">
            <v>SP</v>
          </cell>
          <cell r="Q2544" t="str">
            <v>-</v>
          </cell>
        </row>
        <row r="2545">
          <cell r="F2545" t="str">
            <v>CHEN01A194</v>
          </cell>
          <cell r="G2545" t="str">
            <v>ATOMIC ENERGY</v>
          </cell>
          <cell r="H2545" t="str">
            <v>-</v>
          </cell>
          <cell r="J2545" t="str">
            <v>Domestic</v>
          </cell>
          <cell r="L2545" t="str">
            <v>Non-Sugar</v>
          </cell>
          <cell r="O2545" t="str">
            <v>-</v>
          </cell>
          <cell r="P2545" t="str">
            <v>-</v>
          </cell>
          <cell r="Q2545" t="str">
            <v>-</v>
          </cell>
        </row>
        <row r="2546">
          <cell r="F2546" t="str">
            <v>DUBA01A246</v>
          </cell>
          <cell r="G2546" t="str">
            <v>AURAS GROUP LLC</v>
          </cell>
          <cell r="H2546" t="str">
            <v>-</v>
          </cell>
          <cell r="J2546" t="str">
            <v>Export</v>
          </cell>
          <cell r="L2546" t="str">
            <v>Non-Sugar</v>
          </cell>
          <cell r="O2546" t="str">
            <v>-</v>
          </cell>
          <cell r="P2546" t="str">
            <v>VA</v>
          </cell>
          <cell r="Q2546" t="str">
            <v>ANKUR</v>
          </cell>
        </row>
        <row r="2547">
          <cell r="F2547" t="str">
            <v>GORA01A249</v>
          </cell>
          <cell r="G2547" t="str">
            <v>AUURA AGROTECH PVT LTD</v>
          </cell>
          <cell r="H2547" t="str">
            <v>-</v>
          </cell>
          <cell r="J2547" t="str">
            <v>Domestic</v>
          </cell>
          <cell r="L2547" t="str">
            <v>Non-Sugar</v>
          </cell>
          <cell r="O2547" t="str">
            <v>-</v>
          </cell>
          <cell r="P2547" t="str">
            <v>-</v>
          </cell>
          <cell r="Q2547" t="str">
            <v>-</v>
          </cell>
        </row>
        <row r="2548">
          <cell r="F2548" t="str">
            <v>CHEN01A077</v>
          </cell>
          <cell r="G2548" t="str">
            <v>AVANT-GRADE SYSTEMS AND CONTROLS(P) LTD</v>
          </cell>
          <cell r="H2548" t="str">
            <v>-</v>
          </cell>
          <cell r="J2548" t="str">
            <v>Domestic</v>
          </cell>
          <cell r="K2548" t="str">
            <v>OEM</v>
          </cell>
          <cell r="L2548" t="str">
            <v>Non-Sugar</v>
          </cell>
          <cell r="M2548" t="str">
            <v>OEM</v>
          </cell>
          <cell r="P2548" t="str">
            <v>SI-GS</v>
          </cell>
          <cell r="Q2548" t="str">
            <v>SI-GS</v>
          </cell>
          <cell r="W2548">
            <v>45460</v>
          </cell>
        </row>
        <row r="2549">
          <cell r="F2549" t="str">
            <v>CHEN01A205</v>
          </cell>
          <cell r="G2549" t="str">
            <v>AVATAR PETROCHEMICALS PVT LTD</v>
          </cell>
          <cell r="H2549" t="str">
            <v>-</v>
          </cell>
          <cell r="J2549" t="str">
            <v>Domestic</v>
          </cell>
          <cell r="L2549" t="str">
            <v>Non-Sugar</v>
          </cell>
          <cell r="O2549" t="str">
            <v>-</v>
          </cell>
          <cell r="P2549" t="str">
            <v>-</v>
          </cell>
          <cell r="Q2549" t="str">
            <v>-</v>
          </cell>
        </row>
        <row r="2550">
          <cell r="F2550" t="str">
            <v>GURG01A227</v>
          </cell>
          <cell r="G2550" t="str">
            <v>AVI INDIA PVT LTD</v>
          </cell>
          <cell r="H2550" t="str">
            <v>-</v>
          </cell>
          <cell r="J2550" t="str">
            <v>Domestic</v>
          </cell>
          <cell r="L2550" t="str">
            <v>Non-Sugar</v>
          </cell>
          <cell r="O2550" t="str">
            <v>-</v>
          </cell>
          <cell r="P2550" t="str">
            <v>-</v>
          </cell>
          <cell r="Q2550" t="str">
            <v>-</v>
          </cell>
        </row>
        <row r="2551">
          <cell r="F2551" t="str">
            <v>HOSH01A197</v>
          </cell>
          <cell r="G2551" t="str">
            <v>AXCHEM SOLUTIONS INDIA PVT LTD.</v>
          </cell>
          <cell r="H2551" t="str">
            <v>-</v>
          </cell>
          <cell r="J2551" t="str">
            <v>Domestic</v>
          </cell>
          <cell r="L2551" t="str">
            <v>Non-Sugar</v>
          </cell>
          <cell r="O2551" t="str">
            <v>-</v>
          </cell>
          <cell r="P2551" t="str">
            <v>-</v>
          </cell>
          <cell r="Q2551" t="str">
            <v>-</v>
          </cell>
        </row>
        <row r="2552">
          <cell r="F2552" t="str">
            <v>MERT1B100</v>
          </cell>
          <cell r="G2552" t="str">
            <v>B&amp;D LOCAL</v>
          </cell>
          <cell r="H2552" t="str">
            <v>-</v>
          </cell>
          <cell r="J2552" t="str">
            <v>Domestic</v>
          </cell>
          <cell r="L2552" t="str">
            <v>Non-Sugar</v>
          </cell>
          <cell r="O2552" t="str">
            <v>-</v>
          </cell>
          <cell r="P2552" t="str">
            <v>-</v>
          </cell>
          <cell r="Q2552" t="str">
            <v>-</v>
          </cell>
        </row>
        <row r="2553">
          <cell r="F2553" t="str">
            <v>GUJA01B166</v>
          </cell>
          <cell r="G2553" t="str">
            <v>B.N THAKKAR &amp; SONS</v>
          </cell>
          <cell r="H2553" t="str">
            <v>-</v>
          </cell>
          <cell r="J2553" t="str">
            <v>Domestic</v>
          </cell>
          <cell r="L2553" t="str">
            <v>Non-Sugar</v>
          </cell>
          <cell r="O2553" t="str">
            <v>-</v>
          </cell>
          <cell r="P2553" t="str">
            <v>-</v>
          </cell>
          <cell r="Q2553" t="str">
            <v>-</v>
          </cell>
        </row>
        <row r="2554">
          <cell r="F2554" t="str">
            <v>GUJA01B160</v>
          </cell>
          <cell r="G2554" t="str">
            <v>BACHANI CATTLEFEED</v>
          </cell>
          <cell r="H2554" t="str">
            <v>-</v>
          </cell>
          <cell r="J2554" t="str">
            <v>Domestic</v>
          </cell>
          <cell r="L2554" t="str">
            <v>Non-Sugar</v>
          </cell>
          <cell r="O2554" t="str">
            <v>-</v>
          </cell>
          <cell r="P2554" t="str">
            <v>-</v>
          </cell>
          <cell r="Q2554" t="str">
            <v>-</v>
          </cell>
        </row>
        <row r="2555">
          <cell r="F2555" t="str">
            <v>BIRA01B149</v>
          </cell>
          <cell r="G2555" t="str">
            <v>BAGMATI OIL INDUSTRY</v>
          </cell>
          <cell r="H2555" t="str">
            <v>-</v>
          </cell>
          <cell r="J2555" t="str">
            <v>Export</v>
          </cell>
          <cell r="L2555" t="str">
            <v>Non-Sugar</v>
          </cell>
          <cell r="O2555" t="str">
            <v>-</v>
          </cell>
          <cell r="P2555" t="str">
            <v>-</v>
          </cell>
          <cell r="Q2555" t="str">
            <v>-</v>
          </cell>
        </row>
        <row r="2556">
          <cell r="F2556" t="str">
            <v>KASH01B176</v>
          </cell>
          <cell r="G2556" t="str">
            <v>BAHL PAPER MILLS LIMITED</v>
          </cell>
          <cell r="H2556" t="str">
            <v>-</v>
          </cell>
          <cell r="J2556" t="str">
            <v>Domestic</v>
          </cell>
          <cell r="L2556" t="str">
            <v>Non-Sugar</v>
          </cell>
          <cell r="M2556" t="str">
            <v>End User</v>
          </cell>
          <cell r="O2556" t="str">
            <v>-</v>
          </cell>
          <cell r="P2556" t="str">
            <v>NI</v>
          </cell>
          <cell r="Q2556" t="str">
            <v>AVIRAL SHUKLA</v>
          </cell>
          <cell r="R2556" t="str">
            <v xml:space="preserve">HIMANSHU </v>
          </cell>
          <cell r="T2556" t="str">
            <v>-</v>
          </cell>
          <cell r="U2556" t="str">
            <v>26-27</v>
          </cell>
          <cell r="V2556" t="str">
            <v>Apr</v>
          </cell>
          <cell r="W2556" t="str">
            <v>9-4-2026
22-11-2025</v>
          </cell>
        </row>
        <row r="2557">
          <cell r="F2557" t="str">
            <v>SATA01B146</v>
          </cell>
          <cell r="G2557" t="str">
            <v>BALIRAJA CATTLE FEED</v>
          </cell>
          <cell r="H2557" t="str">
            <v>-</v>
          </cell>
          <cell r="J2557" t="str">
            <v>Domestic</v>
          </cell>
          <cell r="K2557" t="str">
            <v>Sugar</v>
          </cell>
          <cell r="M2557" t="str">
            <v>End User</v>
          </cell>
          <cell r="O2557" t="str">
            <v>-</v>
          </cell>
          <cell r="P2557" t="str">
            <v>AV</v>
          </cell>
          <cell r="Q2557" t="str">
            <v>AV</v>
          </cell>
          <cell r="R2557" t="str">
            <v>AT</v>
          </cell>
          <cell r="T2557" t="str">
            <v>TOUR-2 (Satara &amp; Solapur)</v>
          </cell>
          <cell r="W2557" t="str">
            <v>-</v>
          </cell>
        </row>
        <row r="2558">
          <cell r="F2558" t="str">
            <v>PALA01B020</v>
          </cell>
          <cell r="G2558" t="str">
            <v>BANAS OIL PLANT</v>
          </cell>
          <cell r="H2558" t="str">
            <v>-</v>
          </cell>
          <cell r="J2558" t="str">
            <v>Domestic</v>
          </cell>
          <cell r="L2558" t="str">
            <v>Non-Sugar</v>
          </cell>
          <cell r="O2558" t="str">
            <v>-</v>
          </cell>
          <cell r="P2558" t="str">
            <v>HO</v>
          </cell>
          <cell r="Q2558" t="str">
            <v>AVIRAL SHUKLA</v>
          </cell>
        </row>
        <row r="2559">
          <cell r="F2559" t="str">
            <v>PALA01B181</v>
          </cell>
          <cell r="G2559" t="str">
            <v>BANAS OIL PLANT</v>
          </cell>
          <cell r="H2559" t="str">
            <v>-</v>
          </cell>
          <cell r="J2559" t="str">
            <v>Domestic</v>
          </cell>
          <cell r="L2559" t="str">
            <v>Non-Sugar</v>
          </cell>
          <cell r="O2559" t="str">
            <v>-</v>
          </cell>
          <cell r="P2559" t="str">
            <v>HO</v>
          </cell>
          <cell r="Q2559" t="str">
            <v>AVIRAL SHUKLA</v>
          </cell>
        </row>
        <row r="2560">
          <cell r="F2560" t="str">
            <v>VADO01B167</v>
          </cell>
          <cell r="G2560" t="str">
            <v>BANAS WASTE MANAGEMENT</v>
          </cell>
          <cell r="H2560" t="str">
            <v>-</v>
          </cell>
          <cell r="J2560" t="str">
            <v>Domestic</v>
          </cell>
          <cell r="L2560" t="str">
            <v>Non-Sugar</v>
          </cell>
          <cell r="O2560" t="str">
            <v>-</v>
          </cell>
          <cell r="P2560" t="str">
            <v>-</v>
          </cell>
          <cell r="Q2560" t="str">
            <v>-</v>
          </cell>
        </row>
        <row r="2561">
          <cell r="F2561" t="str">
            <v>PUNA01B154</v>
          </cell>
          <cell r="G2561" t="str">
            <v>BARAMATI CATTLEFEEDS PVT. LTD</v>
          </cell>
          <cell r="H2561" t="str">
            <v>-</v>
          </cell>
          <cell r="J2561" t="str">
            <v>Domestic</v>
          </cell>
          <cell r="K2561" t="str">
            <v>Cattle Feed</v>
          </cell>
          <cell r="L2561" t="str">
            <v>Non-Sugar</v>
          </cell>
          <cell r="M2561" t="str">
            <v>End User</v>
          </cell>
          <cell r="O2561" t="str">
            <v>-</v>
          </cell>
          <cell r="P2561" t="str">
            <v>AV</v>
          </cell>
          <cell r="Q2561" t="str">
            <v>AV</v>
          </cell>
          <cell r="R2561" t="str">
            <v>AT</v>
          </cell>
          <cell r="T2561" t="str">
            <v>TOUR-1 (Pune)</v>
          </cell>
          <cell r="W2561" t="str">
            <v>-</v>
          </cell>
        </row>
        <row r="2562">
          <cell r="F2562" t="str">
            <v>HRDO01B183</v>
          </cell>
          <cell r="G2562" t="str">
            <v>BERGER PAINT LTD</v>
          </cell>
          <cell r="H2562" t="str">
            <v>-</v>
          </cell>
          <cell r="J2562" t="str">
            <v>Domestic</v>
          </cell>
          <cell r="P2562" t="str">
            <v>HO</v>
          </cell>
          <cell r="Q2562" t="str">
            <v>AVIRAL SHUKLA</v>
          </cell>
          <cell r="S2562" t="str">
            <v>https://maps.app.goo.gl/WhFbnDvYM1jN16gT6</v>
          </cell>
          <cell r="U2562" t="str">
            <v>26-27</v>
          </cell>
          <cell r="V2562" t="str">
            <v>May</v>
          </cell>
          <cell r="W2562" t="str">
            <v>22.05.26</v>
          </cell>
        </row>
        <row r="2563">
          <cell r="F2563" t="str">
            <v>NANA01B082</v>
          </cell>
          <cell r="G2563" t="str">
            <v>BASHUNDHARA PAPER MILLS LTD</v>
          </cell>
          <cell r="H2563" t="str">
            <v>-</v>
          </cell>
          <cell r="J2563" t="str">
            <v>Export</v>
          </cell>
          <cell r="L2563" t="str">
            <v>Non-Sugar</v>
          </cell>
          <cell r="O2563" t="str">
            <v>-</v>
          </cell>
          <cell r="P2563" t="str">
            <v>VA</v>
          </cell>
          <cell r="Q2563" t="str">
            <v>ANKUR</v>
          </cell>
        </row>
        <row r="2564">
          <cell r="F2564" t="str">
            <v>GHZB01B182</v>
          </cell>
          <cell r="G2564" t="str">
            <v>BASIC AYURVEDA</v>
          </cell>
          <cell r="H2564" t="str">
            <v>-</v>
          </cell>
          <cell r="J2564" t="str">
            <v>Domestic</v>
          </cell>
          <cell r="L2564" t="str">
            <v>Non-Sugar</v>
          </cell>
          <cell r="O2564" t="str">
            <v>-</v>
          </cell>
          <cell r="P2564" t="str">
            <v>HO</v>
          </cell>
          <cell r="Q2564" t="str">
            <v>AVIRAL SHUKLA</v>
          </cell>
        </row>
        <row r="2565">
          <cell r="F2565" t="str">
            <v>VISA01B172</v>
          </cell>
          <cell r="G2565" t="str">
            <v>BAYLITE</v>
          </cell>
          <cell r="H2565" t="str">
            <v>-</v>
          </cell>
          <cell r="J2565" t="str">
            <v>Domestic</v>
          </cell>
          <cell r="P2565" t="str">
            <v>HO</v>
          </cell>
          <cell r="Q2565" t="str">
            <v>-</v>
          </cell>
        </row>
        <row r="2566">
          <cell r="F2566" t="str">
            <v>PALG01B184</v>
          </cell>
          <cell r="G2566" t="str">
            <v>BENEVOLENT ELIXIR PVT LTD</v>
          </cell>
          <cell r="H2566" t="str">
            <v>-</v>
          </cell>
          <cell r="J2566" t="str">
            <v>Domestic</v>
          </cell>
          <cell r="L2566" t="str">
            <v>Non-Sugar</v>
          </cell>
          <cell r="P2566" t="str">
            <v>WI-SV</v>
          </cell>
          <cell r="Q2566" t="str">
            <v>SUDHIR</v>
          </cell>
        </row>
        <row r="2567">
          <cell r="F2567" t="str">
            <v>PUNE01B171</v>
          </cell>
          <cell r="G2567" t="str">
            <v>BEWORTH TECHNO SERVICES</v>
          </cell>
          <cell r="H2567" t="str">
            <v>-</v>
          </cell>
          <cell r="J2567" t="str">
            <v>Domestic</v>
          </cell>
          <cell r="L2567" t="str">
            <v>Non-Sugar</v>
          </cell>
          <cell r="O2567" t="str">
            <v>-</v>
          </cell>
          <cell r="P2567" t="str">
            <v>-</v>
          </cell>
          <cell r="Q2567" t="str">
            <v>-</v>
          </cell>
        </row>
        <row r="2568">
          <cell r="F2568" t="str">
            <v>DHAN01B173</v>
          </cell>
          <cell r="G2568" t="str">
            <v>BHAGABANDH 17 BOTTOM INCLINE</v>
          </cell>
          <cell r="H2568" t="str">
            <v>-</v>
          </cell>
          <cell r="J2568" t="str">
            <v>Domestic</v>
          </cell>
          <cell r="L2568" t="str">
            <v>Non-Sugar</v>
          </cell>
          <cell r="O2568" t="str">
            <v>-</v>
          </cell>
          <cell r="P2568" t="str">
            <v>-</v>
          </cell>
          <cell r="Q2568" t="str">
            <v>-</v>
          </cell>
        </row>
        <row r="2569">
          <cell r="F2569" t="str">
            <v>VARA01B151</v>
          </cell>
          <cell r="G2569" t="str">
            <v>BHAGWATI AGRO INDUSTRIES</v>
          </cell>
          <cell r="H2569" t="str">
            <v>-</v>
          </cell>
          <cell r="J2569" t="str">
            <v>Domestic</v>
          </cell>
          <cell r="L2569" t="str">
            <v>Non-Sugar</v>
          </cell>
          <cell r="O2569" t="str">
            <v>-</v>
          </cell>
          <cell r="P2569" t="str">
            <v>-</v>
          </cell>
          <cell r="Q2569" t="str">
            <v>-</v>
          </cell>
        </row>
        <row r="2570">
          <cell r="F2570" t="str">
            <v>JAMM01B159</v>
          </cell>
          <cell r="G2570" t="str">
            <v>BHARAT PETROLIUM CORPORATION OF INDIA LTD</v>
          </cell>
          <cell r="H2570" t="str">
            <v>-</v>
          </cell>
          <cell r="J2570" t="str">
            <v>Domestic</v>
          </cell>
          <cell r="L2570" t="str">
            <v>Non-Sugar</v>
          </cell>
          <cell r="O2570" t="str">
            <v>-</v>
          </cell>
          <cell r="P2570" t="str">
            <v>-</v>
          </cell>
          <cell r="Q2570" t="str">
            <v>-</v>
          </cell>
        </row>
        <row r="2571">
          <cell r="F2571" t="str">
            <v>MUMB01B138</v>
          </cell>
          <cell r="G2571" t="str">
            <v>BHAVYA IIT BOMBAY</v>
          </cell>
          <cell r="H2571" t="str">
            <v>-</v>
          </cell>
          <cell r="J2571" t="str">
            <v>Domestic</v>
          </cell>
          <cell r="K2571" t="str">
            <v>-</v>
          </cell>
          <cell r="L2571" t="str">
            <v>Non-Sugar</v>
          </cell>
          <cell r="O2571" t="str">
            <v>-</v>
          </cell>
          <cell r="P2571" t="str">
            <v>VA</v>
          </cell>
          <cell r="Q2571" t="str">
            <v>-</v>
          </cell>
          <cell r="T2571" t="str">
            <v>-</v>
          </cell>
          <cell r="U2571" t="str">
            <v>-</v>
          </cell>
          <cell r="W2571" t="str">
            <v>-</v>
          </cell>
        </row>
        <row r="2572">
          <cell r="F2572" t="str">
            <v>JAIP01B109</v>
          </cell>
          <cell r="G2572" t="str">
            <v>BIJSON INNOVATIONS PVT LTD</v>
          </cell>
          <cell r="H2572" t="str">
            <v>-</v>
          </cell>
          <cell r="J2572" t="str">
            <v>Domestic</v>
          </cell>
          <cell r="K2572" t="str">
            <v>-</v>
          </cell>
          <cell r="L2572" t="str">
            <v>Non-Sugar</v>
          </cell>
          <cell r="O2572" t="str">
            <v>-</v>
          </cell>
          <cell r="P2572" t="str">
            <v>HO</v>
          </cell>
          <cell r="Q2572" t="str">
            <v>AVIRAL SHUKLA</v>
          </cell>
          <cell r="T2572" t="str">
            <v>HARYANA + RAJASTHAN</v>
          </cell>
          <cell r="U2572" t="str">
            <v>25-26</v>
          </cell>
          <cell r="W2572" t="str">
            <v>27-06-2025</v>
          </cell>
        </row>
        <row r="2573">
          <cell r="F2573" t="str">
            <v>THAN1B104</v>
          </cell>
          <cell r="G2573" t="str">
            <v>BIOLAXMI ENZYMES PVT.LTD</v>
          </cell>
          <cell r="H2573" t="str">
            <v>-</v>
          </cell>
          <cell r="J2573" t="str">
            <v>Domestic</v>
          </cell>
          <cell r="L2573" t="str">
            <v>Non-Sugar</v>
          </cell>
          <cell r="O2573" t="str">
            <v>-</v>
          </cell>
          <cell r="P2573" t="str">
            <v>-</v>
          </cell>
          <cell r="Q2573" t="str">
            <v>-</v>
          </cell>
        </row>
        <row r="2574">
          <cell r="F2574" t="str">
            <v>GUJA01B140</v>
          </cell>
          <cell r="G2574" t="str">
            <v>BIOS CROPCARE PRIVATE LTD.</v>
          </cell>
          <cell r="H2574" t="str">
            <v>-</v>
          </cell>
          <cell r="J2574" t="str">
            <v>Domestic</v>
          </cell>
          <cell r="L2574" t="str">
            <v>Non-Sugar</v>
          </cell>
          <cell r="O2574" t="str">
            <v>-</v>
          </cell>
          <cell r="P2574" t="str">
            <v>-</v>
          </cell>
          <cell r="Q2574" t="str">
            <v>-</v>
          </cell>
        </row>
        <row r="2575">
          <cell r="F2575" t="str">
            <v>BELG01B175</v>
          </cell>
          <cell r="G2575" t="str">
            <v>BLENDTECH ENERGIES LLP</v>
          </cell>
          <cell r="H2575" t="str">
            <v>-</v>
          </cell>
          <cell r="J2575" t="str">
            <v>Domestic</v>
          </cell>
          <cell r="L2575" t="str">
            <v>Non-Sugar</v>
          </cell>
          <cell r="O2575" t="str">
            <v>-</v>
          </cell>
          <cell r="P2575" t="str">
            <v>-</v>
          </cell>
          <cell r="Q2575" t="str">
            <v>-</v>
          </cell>
        </row>
        <row r="2576">
          <cell r="F2576" t="str">
            <v>COIM01B168</v>
          </cell>
          <cell r="G2576" t="str">
            <v>BLUE MOUNT PAPER AND BOARDS LTD</v>
          </cell>
          <cell r="H2576" t="str">
            <v>-</v>
          </cell>
          <cell r="J2576" t="str">
            <v>Domestic</v>
          </cell>
          <cell r="K2576" t="str">
            <v>Paper</v>
          </cell>
          <cell r="L2576" t="str">
            <v>Non-Sugar</v>
          </cell>
          <cell r="M2576" t="str">
            <v>End User</v>
          </cell>
          <cell r="P2576" t="str">
            <v>SI-GS</v>
          </cell>
          <cell r="Q2576" t="str">
            <v>SI-GS</v>
          </cell>
          <cell r="W2576">
            <v>45682</v>
          </cell>
        </row>
        <row r="2577">
          <cell r="F2577" t="str">
            <v>JALN01B158</v>
          </cell>
          <cell r="G2577" t="str">
            <v>BLUE SAPPHIRE FOOD PROCESSING PVT. LTD</v>
          </cell>
          <cell r="H2577" t="str">
            <v>25-26</v>
          </cell>
          <cell r="J2577" t="str">
            <v>Domestic</v>
          </cell>
          <cell r="K2577" t="str">
            <v>Khandsari and Jaggery</v>
          </cell>
          <cell r="L2577" t="str">
            <v>Non-Sugar</v>
          </cell>
          <cell r="M2577" t="str">
            <v>End User</v>
          </cell>
          <cell r="N2577" t="str">
            <v>(0-5000)</v>
          </cell>
          <cell r="O2577">
            <v>1250</v>
          </cell>
          <cell r="P2577" t="str">
            <v>AV</v>
          </cell>
          <cell r="Q2577" t="str">
            <v>AV</v>
          </cell>
          <cell r="R2577" t="str">
            <v>PD</v>
          </cell>
          <cell r="T2577" t="str">
            <v>Jalna - 1</v>
          </cell>
          <cell r="W2577" t="str">
            <v>-</v>
          </cell>
        </row>
        <row r="2578">
          <cell r="F2578" t="str">
            <v>BOKA01B174</v>
          </cell>
          <cell r="G2578" t="str">
            <v>BOKARO POWER SUPPLY COMPANY PVT LTD</v>
          </cell>
          <cell r="H2578" t="str">
            <v>-</v>
          </cell>
          <cell r="J2578" t="str">
            <v>Domestic</v>
          </cell>
          <cell r="L2578" t="str">
            <v>Non-Sugar</v>
          </cell>
          <cell r="O2578" t="str">
            <v>-</v>
          </cell>
          <cell r="P2578" t="str">
            <v>-</v>
          </cell>
          <cell r="Q2578" t="str">
            <v>-</v>
          </cell>
        </row>
        <row r="2579">
          <cell r="F2579" t="str">
            <v>MUMB01B156</v>
          </cell>
          <cell r="G2579" t="str">
            <v>BRITACEL SILICONES LIMITED</v>
          </cell>
          <cell r="H2579" t="str">
            <v>-</v>
          </cell>
          <cell r="J2579" t="str">
            <v>Domestic</v>
          </cell>
          <cell r="L2579" t="str">
            <v>Non-Sugar</v>
          </cell>
          <cell r="O2579" t="str">
            <v>-</v>
          </cell>
          <cell r="P2579" t="str">
            <v>-</v>
          </cell>
          <cell r="Q2579" t="str">
            <v>-</v>
          </cell>
        </row>
        <row r="2580">
          <cell r="F2580" t="str">
            <v>MUMB01B178</v>
          </cell>
          <cell r="G2580" t="str">
            <v>Britomatics Engineers Pvt.Ltd</v>
          </cell>
          <cell r="H2580" t="str">
            <v>-</v>
          </cell>
          <cell r="J2580" t="str">
            <v>Domestic</v>
          </cell>
          <cell r="L2580" t="str">
            <v>Non-Sugar</v>
          </cell>
          <cell r="O2580" t="str">
            <v>-</v>
          </cell>
          <cell r="P2580" t="str">
            <v>-</v>
          </cell>
          <cell r="Q2580" t="str">
            <v>-</v>
          </cell>
        </row>
        <row r="2581">
          <cell r="F2581" t="str">
            <v>VADO01B142</v>
          </cell>
          <cell r="G2581" t="str">
            <v>BT WATER TREATMENT PVT LTD</v>
          </cell>
          <cell r="H2581" t="str">
            <v>-</v>
          </cell>
          <cell r="J2581" t="str">
            <v>Domestic</v>
          </cell>
          <cell r="L2581" t="str">
            <v>Non-Sugar</v>
          </cell>
          <cell r="O2581" t="str">
            <v>-</v>
          </cell>
          <cell r="P2581" t="str">
            <v>-</v>
          </cell>
          <cell r="Q2581" t="str">
            <v>-</v>
          </cell>
        </row>
        <row r="2582">
          <cell r="F2582" t="str">
            <v>MOSC01B144</v>
          </cell>
          <cell r="G2582" t="str">
            <v>BUMHIMTEK LLC</v>
          </cell>
          <cell r="H2582" t="str">
            <v>-</v>
          </cell>
          <cell r="J2582" t="str">
            <v>Export</v>
          </cell>
          <cell r="L2582" t="str">
            <v>Non-Sugar</v>
          </cell>
          <cell r="O2582" t="str">
            <v>-</v>
          </cell>
          <cell r="P2582" t="str">
            <v>VA</v>
          </cell>
          <cell r="Q2582" t="str">
            <v>ANKUR</v>
          </cell>
        </row>
        <row r="2583">
          <cell r="F2583" t="str">
            <v>UGAN01B179</v>
          </cell>
          <cell r="G2583" t="str">
            <v>BUSIA SUGAR MILL</v>
          </cell>
          <cell r="H2583" t="str">
            <v>-</v>
          </cell>
          <cell r="J2583" t="str">
            <v>Export</v>
          </cell>
          <cell r="L2583" t="str">
            <v>Non-Sugar</v>
          </cell>
          <cell r="O2583" t="str">
            <v>-</v>
          </cell>
          <cell r="P2583" t="str">
            <v>VA</v>
          </cell>
          <cell r="Q2583" t="str">
            <v>-</v>
          </cell>
        </row>
        <row r="2584">
          <cell r="F2584" t="str">
            <v>MIAM01B169</v>
          </cell>
          <cell r="G2584" t="str">
            <v>BUSINESS &amp; SERVICES TRADING</v>
          </cell>
          <cell r="H2584" t="str">
            <v>-</v>
          </cell>
          <cell r="J2584" t="str">
            <v>Export</v>
          </cell>
          <cell r="L2584" t="str">
            <v>Non-Sugar</v>
          </cell>
          <cell r="O2584" t="str">
            <v>-</v>
          </cell>
          <cell r="P2584" t="str">
            <v>VA</v>
          </cell>
          <cell r="Q2584" t="str">
            <v>ANKUR</v>
          </cell>
        </row>
        <row r="2585">
          <cell r="F2585" t="str">
            <v>JHAR01C093</v>
          </cell>
          <cell r="G2585" t="str">
            <v>C B ASSOCIATES</v>
          </cell>
          <cell r="H2585" t="str">
            <v>-</v>
          </cell>
          <cell r="J2585" t="str">
            <v>Domestic</v>
          </cell>
          <cell r="L2585" t="str">
            <v>Non-Sugar</v>
          </cell>
          <cell r="O2585" t="str">
            <v>-</v>
          </cell>
          <cell r="P2585" t="str">
            <v>-</v>
          </cell>
          <cell r="Q2585" t="str">
            <v>-</v>
          </cell>
        </row>
        <row r="2586">
          <cell r="F2586" t="str">
            <v>SONE01C108</v>
          </cell>
          <cell r="G2586" t="str">
            <v>CAMEROON COTTON COMPANY</v>
          </cell>
          <cell r="H2586" t="str">
            <v>-</v>
          </cell>
          <cell r="J2586" t="str">
            <v>Export</v>
          </cell>
          <cell r="L2586" t="str">
            <v>Non-Sugar</v>
          </cell>
          <cell r="O2586" t="str">
            <v>-</v>
          </cell>
          <cell r="P2586" t="str">
            <v>VA</v>
          </cell>
          <cell r="Q2586" t="str">
            <v>VG</v>
          </cell>
        </row>
        <row r="2587">
          <cell r="F2587" t="str">
            <v>NAGP01C103</v>
          </cell>
          <cell r="G2587" t="str">
            <v>CAN GROUP INDUSTRIES</v>
          </cell>
          <cell r="H2587" t="str">
            <v>-</v>
          </cell>
          <cell r="J2587" t="str">
            <v>Domestic</v>
          </cell>
          <cell r="L2587" t="str">
            <v>Non-Sugar</v>
          </cell>
          <cell r="M2587" t="str">
            <v>OEM</v>
          </cell>
          <cell r="P2587" t="str">
            <v>WI-SV</v>
          </cell>
          <cell r="Q2587" t="str">
            <v>SUDHIR</v>
          </cell>
        </row>
        <row r="2588">
          <cell r="F2588" t="str">
            <v>PUNE01C122</v>
          </cell>
          <cell r="G2588" t="str">
            <v>CANEX TECHNO PVT LTD</v>
          </cell>
          <cell r="H2588" t="str">
            <v>-</v>
          </cell>
          <cell r="J2588" t="str">
            <v>Domestic</v>
          </cell>
          <cell r="L2588" t="str">
            <v>Non-Sugar</v>
          </cell>
          <cell r="P2588" t="str">
            <v>WI-SV</v>
          </cell>
          <cell r="Q2588" t="str">
            <v>SUDHIR</v>
          </cell>
          <cell r="S2588" t="str">
            <v>https://maps.app.goo.gl/SxnknDqq6RaxsJkP9</v>
          </cell>
          <cell r="U2588" t="str">
            <v>26-27</v>
          </cell>
          <cell r="V2588" t="str">
            <v>May</v>
          </cell>
          <cell r="W2588" t="str">
            <v>19.05.2026</v>
          </cell>
        </row>
        <row r="2589">
          <cell r="F2589" t="str">
            <v>NANA01C032</v>
          </cell>
          <cell r="G2589" t="str">
            <v>CAPMAR MACHINERY PTE LTD</v>
          </cell>
          <cell r="H2589" t="str">
            <v>-</v>
          </cell>
          <cell r="J2589" t="str">
            <v>Export</v>
          </cell>
          <cell r="L2589" t="str">
            <v>Non-Sugar</v>
          </cell>
          <cell r="O2589" t="str">
            <v>-</v>
          </cell>
          <cell r="P2589" t="str">
            <v>-</v>
          </cell>
          <cell r="Q2589" t="str">
            <v>-</v>
          </cell>
        </row>
        <row r="2590">
          <cell r="F2590" t="str">
            <v>GURG01C101</v>
          </cell>
          <cell r="G2590" t="str">
            <v>CARBON CIRCLE PVT LTD</v>
          </cell>
          <cell r="H2590" t="str">
            <v>-</v>
          </cell>
          <cell r="J2590" t="str">
            <v>Domestic</v>
          </cell>
          <cell r="L2590" t="str">
            <v>Non-Sugar</v>
          </cell>
          <cell r="O2590" t="str">
            <v>-</v>
          </cell>
          <cell r="P2590" t="str">
            <v>-</v>
          </cell>
          <cell r="Q2590" t="str">
            <v>-</v>
          </cell>
        </row>
        <row r="2591">
          <cell r="F2591" t="str">
            <v>MUMB01C085</v>
          </cell>
          <cell r="G2591" t="str">
            <v>CASTLE SHIPS PVT LTD</v>
          </cell>
          <cell r="H2591" t="str">
            <v>-</v>
          </cell>
          <cell r="J2591" t="str">
            <v>Domestic</v>
          </cell>
          <cell r="L2591" t="str">
            <v>Non-Sugar</v>
          </cell>
          <cell r="O2591" t="str">
            <v>-</v>
          </cell>
          <cell r="P2591" t="str">
            <v>-</v>
          </cell>
          <cell r="Q2591" t="str">
            <v>-</v>
          </cell>
        </row>
        <row r="2592">
          <cell r="F2592" t="str">
            <v>JHAR01C094</v>
          </cell>
          <cell r="G2592" t="str">
            <v>CB ASSOCIATS</v>
          </cell>
          <cell r="H2592" t="str">
            <v>-</v>
          </cell>
          <cell r="J2592" t="str">
            <v>Domestic</v>
          </cell>
          <cell r="L2592" t="str">
            <v>Non-Sugar</v>
          </cell>
          <cell r="O2592" t="str">
            <v>-</v>
          </cell>
          <cell r="P2592" t="str">
            <v>-</v>
          </cell>
          <cell r="Q2592" t="str">
            <v>-</v>
          </cell>
        </row>
        <row r="2593">
          <cell r="F2593" t="str">
            <v>GUNA01C112</v>
          </cell>
          <cell r="G2593" t="str">
            <v>CBG ORGANICS</v>
          </cell>
          <cell r="H2593" t="str">
            <v>-</v>
          </cell>
          <cell r="J2593" t="str">
            <v>Domestic</v>
          </cell>
          <cell r="L2593" t="str">
            <v>Non-Sugar</v>
          </cell>
          <cell r="O2593" t="str">
            <v>-</v>
          </cell>
          <cell r="P2593" t="str">
            <v>-</v>
          </cell>
          <cell r="Q2593" t="str">
            <v>-</v>
          </cell>
        </row>
        <row r="2594">
          <cell r="F2594" t="str">
            <v>DLHI01C111</v>
          </cell>
          <cell r="G2594" t="str">
            <v>CECON POLLUTECH SYSTEMS PVT. LTD.</v>
          </cell>
          <cell r="H2594" t="str">
            <v>-</v>
          </cell>
          <cell r="J2594" t="str">
            <v>Domestic</v>
          </cell>
          <cell r="L2594" t="str">
            <v>Non-Sugar</v>
          </cell>
          <cell r="O2594" t="str">
            <v>-</v>
          </cell>
          <cell r="P2594" t="str">
            <v>HO</v>
          </cell>
          <cell r="Q2594" t="str">
            <v>AVIRAL SHUKLA</v>
          </cell>
        </row>
        <row r="2595">
          <cell r="F2595" t="str">
            <v>KOLK01C102</v>
          </cell>
          <cell r="G2595" t="str">
            <v>CELEBRITY BREWERIES PVT.LTD.</v>
          </cell>
          <cell r="H2595" t="str">
            <v>-</v>
          </cell>
          <cell r="J2595" t="str">
            <v>Domestic</v>
          </cell>
          <cell r="P2595" t="str">
            <v>SNS</v>
          </cell>
          <cell r="Q2595" t="str">
            <v>-</v>
          </cell>
        </row>
        <row r="2596">
          <cell r="F2596" t="str">
            <v>PUNE01C119</v>
          </cell>
          <cell r="G2596" t="str">
            <v>CENTRAL WATER AND POWER RESEARCH STATION</v>
          </cell>
          <cell r="H2596" t="str">
            <v>-</v>
          </cell>
          <cell r="J2596" t="str">
            <v>Domestic</v>
          </cell>
          <cell r="L2596" t="str">
            <v>Non-Sugar</v>
          </cell>
          <cell r="O2596" t="str">
            <v>-</v>
          </cell>
          <cell r="P2596" t="str">
            <v>VA</v>
          </cell>
          <cell r="Q2596" t="str">
            <v>AVIRAL SHUKLA</v>
          </cell>
        </row>
        <row r="2597">
          <cell r="F2597" t="str">
            <v>CHAN01C064</v>
          </cell>
          <cell r="G2597" t="str">
            <v>CHANDIGARH DISTILLERS &amp; BOTTLERS LIMITED</v>
          </cell>
          <cell r="H2597" t="str">
            <v>-</v>
          </cell>
          <cell r="J2597" t="str">
            <v>Domestic</v>
          </cell>
          <cell r="L2597" t="str">
            <v>Non-Sugar</v>
          </cell>
          <cell r="M2597" t="str">
            <v>End User</v>
          </cell>
          <cell r="O2597" t="str">
            <v>-</v>
          </cell>
          <cell r="P2597" t="str">
            <v>HO</v>
          </cell>
          <cell r="Q2597" t="str">
            <v>AVIRAL SHUKLA</v>
          </cell>
        </row>
        <row r="2598">
          <cell r="F2598" t="str">
            <v>NODA1C057</v>
          </cell>
          <cell r="G2598" t="str">
            <v>CHAUDHARY LABLES &amp; PACKAGING</v>
          </cell>
          <cell r="H2598" t="str">
            <v>-</v>
          </cell>
          <cell r="J2598" t="str">
            <v>Domestic</v>
          </cell>
          <cell r="L2598" t="str">
            <v>Non-Sugar</v>
          </cell>
          <cell r="O2598" t="str">
            <v>-</v>
          </cell>
          <cell r="P2598" t="str">
            <v>-</v>
          </cell>
          <cell r="Q2598" t="str">
            <v>-</v>
          </cell>
        </row>
        <row r="2599">
          <cell r="F2599" t="str">
            <v>KASH01C061</v>
          </cell>
          <cell r="G2599" t="str">
            <v>CHEEMA PAPER MILL</v>
          </cell>
          <cell r="H2599" t="str">
            <v>-</v>
          </cell>
          <cell r="J2599" t="str">
            <v>Domestic</v>
          </cell>
          <cell r="K2599" t="str">
            <v>Paper</v>
          </cell>
          <cell r="L2599" t="str">
            <v>Non-Sugar</v>
          </cell>
          <cell r="M2599" t="str">
            <v>End User</v>
          </cell>
          <cell r="O2599" t="str">
            <v>-</v>
          </cell>
          <cell r="P2599" t="str">
            <v>HO</v>
          </cell>
          <cell r="Q2599" t="str">
            <v>-</v>
          </cell>
          <cell r="T2599" t="str">
            <v>-</v>
          </cell>
          <cell r="U2599" t="str">
            <v>24-25</v>
          </cell>
          <cell r="W2599" t="str">
            <v>19-01-2025
30-09-2022
15-09-2021</v>
          </cell>
        </row>
        <row r="2600">
          <cell r="F2600" t="str">
            <v>DLHI01C084</v>
          </cell>
          <cell r="G2600" t="str">
            <v>CHEMICAL CONSTRUCTION INTERNATIONAL PVT LTD</v>
          </cell>
          <cell r="H2600" t="str">
            <v>-</v>
          </cell>
          <cell r="J2600" t="str">
            <v>Domestic</v>
          </cell>
          <cell r="L2600" t="str">
            <v>Non-Sugar</v>
          </cell>
          <cell r="O2600" t="str">
            <v>-</v>
          </cell>
          <cell r="P2600" t="str">
            <v>-</v>
          </cell>
          <cell r="Q2600" t="str">
            <v>-</v>
          </cell>
        </row>
        <row r="2601">
          <cell r="F2601" t="str">
            <v>MUMB01C109</v>
          </cell>
          <cell r="G2601" t="str">
            <v>CHEMPRO EXPERTISE PVT LTD</v>
          </cell>
          <cell r="H2601" t="str">
            <v>-</v>
          </cell>
          <cell r="J2601" t="str">
            <v>Domestic</v>
          </cell>
          <cell r="L2601" t="str">
            <v>Non-Sugar</v>
          </cell>
          <cell r="P2601" t="str">
            <v>WI-SV</v>
          </cell>
          <cell r="Q2601" t="str">
            <v>SUDHIR</v>
          </cell>
        </row>
        <row r="2602">
          <cell r="F2602" t="str">
            <v>CHEN01C088</v>
          </cell>
          <cell r="G2602" t="str">
            <v>CHENNAI PETROLEUM CORPORATION LIMITED</v>
          </cell>
          <cell r="H2602" t="str">
            <v>-</v>
          </cell>
          <cell r="J2602" t="str">
            <v>Domestic</v>
          </cell>
          <cell r="L2602" t="str">
            <v>Non-Sugar</v>
          </cell>
          <cell r="O2602" t="str">
            <v>-</v>
          </cell>
          <cell r="P2602" t="str">
            <v>-</v>
          </cell>
          <cell r="Q2602" t="str">
            <v>-</v>
          </cell>
        </row>
        <row r="2603">
          <cell r="F2603" t="str">
            <v>C099</v>
          </cell>
          <cell r="G2603" t="str">
            <v>CHITALE DAIRY</v>
          </cell>
          <cell r="H2603" t="str">
            <v>-</v>
          </cell>
          <cell r="J2603" t="str">
            <v>Domestic</v>
          </cell>
          <cell r="K2603" t="str">
            <v>Dairy</v>
          </cell>
          <cell r="L2603" t="str">
            <v>Non-Sugar</v>
          </cell>
          <cell r="M2603" t="str">
            <v>End User</v>
          </cell>
          <cell r="P2603" t="str">
            <v>AV</v>
          </cell>
          <cell r="Q2603" t="str">
            <v>AV</v>
          </cell>
          <cell r="R2603" t="str">
            <v>VG</v>
          </cell>
          <cell r="U2603" t="str">
            <v>24-25</v>
          </cell>
          <cell r="W2603">
            <v>45549</v>
          </cell>
        </row>
        <row r="2604">
          <cell r="F2604" t="str">
            <v>PUNE01C087</v>
          </cell>
          <cell r="G2604" t="str">
            <v>CHOWGULE LAVGAN</v>
          </cell>
          <cell r="H2604" t="str">
            <v>-</v>
          </cell>
          <cell r="J2604" t="str">
            <v>Domestic</v>
          </cell>
          <cell r="L2604" t="str">
            <v>Non-Sugar</v>
          </cell>
          <cell r="O2604" t="str">
            <v>-</v>
          </cell>
          <cell r="P2604" t="str">
            <v>-</v>
          </cell>
          <cell r="Q2604" t="str">
            <v>-</v>
          </cell>
        </row>
        <row r="2605">
          <cell r="F2605" t="str">
            <v>MERT01C097</v>
          </cell>
          <cell r="G2605" t="str">
            <v>CIRCLE CBG INDIA PVT LTD</v>
          </cell>
          <cell r="H2605" t="str">
            <v>-</v>
          </cell>
          <cell r="J2605" t="str">
            <v>Domestic</v>
          </cell>
          <cell r="L2605" t="str">
            <v>Non-Sugar</v>
          </cell>
          <cell r="O2605" t="str">
            <v>-</v>
          </cell>
          <cell r="P2605" t="str">
            <v>-</v>
          </cell>
          <cell r="Q2605" t="str">
            <v>-</v>
          </cell>
        </row>
        <row r="2606">
          <cell r="F2606" t="str">
            <v>MUMB01C121</v>
          </cell>
          <cell r="G2606" t="str">
            <v>CITADEL IMPEX PVT LTD</v>
          </cell>
          <cell r="H2606" t="str">
            <v>-</v>
          </cell>
          <cell r="J2606" t="str">
            <v>Domestic</v>
          </cell>
          <cell r="L2606" t="str">
            <v>Non-Sugar</v>
          </cell>
          <cell r="O2606" t="str">
            <v>-</v>
          </cell>
          <cell r="P2606" t="str">
            <v>HO</v>
          </cell>
          <cell r="Q2606" t="str">
            <v>AVIRAL SHUKLA</v>
          </cell>
        </row>
        <row r="2607">
          <cell r="F2607" t="str">
            <v>MUMB01C062</v>
          </cell>
          <cell r="G2607" t="str">
            <v>CITY CAT INTERNATIONAL LTD.</v>
          </cell>
          <cell r="H2607" t="str">
            <v>-</v>
          </cell>
          <cell r="J2607" t="str">
            <v>Domestic</v>
          </cell>
          <cell r="K2607" t="str">
            <v>-</v>
          </cell>
          <cell r="L2607" t="str">
            <v>Non-Sugar</v>
          </cell>
          <cell r="O2607" t="str">
            <v>-</v>
          </cell>
          <cell r="P2607" t="str">
            <v>-</v>
          </cell>
          <cell r="Q2607" t="str">
            <v>-</v>
          </cell>
          <cell r="R2607" t="str">
            <v>-</v>
          </cell>
          <cell r="T2607" t="str">
            <v>-</v>
          </cell>
          <cell r="U2607" t="str">
            <v>-</v>
          </cell>
          <cell r="W2607" t="str">
            <v>-</v>
          </cell>
        </row>
        <row r="2608">
          <cell r="F2608" t="str">
            <v>PUNE01C068</v>
          </cell>
          <cell r="G2608" t="str">
            <v>CLEAN AQUATO ENGINEERING ENVIRONMENTAL CONSULTANT.</v>
          </cell>
          <cell r="H2608" t="str">
            <v>-</v>
          </cell>
          <cell r="J2608" t="str">
            <v>Domestic</v>
          </cell>
          <cell r="K2608" t="str">
            <v>-</v>
          </cell>
          <cell r="L2608" t="str">
            <v>Non-Sugar</v>
          </cell>
          <cell r="O2608" t="str">
            <v>-</v>
          </cell>
          <cell r="P2608" t="str">
            <v>VA</v>
          </cell>
          <cell r="Q2608" t="str">
            <v>-</v>
          </cell>
          <cell r="T2608" t="str">
            <v>-</v>
          </cell>
          <cell r="U2608" t="str">
            <v>-</v>
          </cell>
          <cell r="W2608" t="str">
            <v>-</v>
          </cell>
        </row>
        <row r="2609">
          <cell r="F2609" t="str">
            <v>NAGP01C113</v>
          </cell>
          <cell r="G2609" t="str">
            <v>CLEANEDGE RESOURCES INDIA PVT LTD</v>
          </cell>
          <cell r="H2609" t="str">
            <v>-</v>
          </cell>
          <cell r="J2609" t="str">
            <v>Domestic</v>
          </cell>
          <cell r="L2609" t="str">
            <v>Non-Sugar</v>
          </cell>
          <cell r="P2609" t="str">
            <v>WI-SV</v>
          </cell>
          <cell r="Q2609" t="str">
            <v>SUDHIR</v>
          </cell>
          <cell r="S2609" t="str">
            <v>https://maps.app.goo.gl/xVMeEyJ38Y9aQiSW8</v>
          </cell>
          <cell r="U2609" t="str">
            <v>26-27</v>
          </cell>
          <cell r="V2609" t="str">
            <v>May</v>
          </cell>
          <cell r="W2609" t="str">
            <v>28-05-2026
14-05-2026</v>
          </cell>
        </row>
        <row r="2610">
          <cell r="F2610" t="str">
            <v>AHME01C110</v>
          </cell>
          <cell r="G2610" t="str">
            <v>CLEANTECH WATER.</v>
          </cell>
          <cell r="H2610" t="str">
            <v>-</v>
          </cell>
          <cell r="J2610" t="str">
            <v>Domestic</v>
          </cell>
          <cell r="L2610" t="str">
            <v>Non-Sugar</v>
          </cell>
          <cell r="O2610" t="str">
            <v>-</v>
          </cell>
          <cell r="P2610" t="str">
            <v>-</v>
          </cell>
          <cell r="Q2610" t="str">
            <v>-</v>
          </cell>
        </row>
        <row r="2611">
          <cell r="F2611" t="str">
            <v>DUBA01C092</v>
          </cell>
          <cell r="G2611" t="str">
            <v>CLEAR WATER SOLUTIONS LLC</v>
          </cell>
          <cell r="H2611" t="str">
            <v>-</v>
          </cell>
          <cell r="J2611" t="str">
            <v>Export</v>
          </cell>
          <cell r="L2611" t="str">
            <v>Non-Sugar</v>
          </cell>
          <cell r="O2611" t="str">
            <v>-</v>
          </cell>
          <cell r="P2611" t="str">
            <v>VA</v>
          </cell>
          <cell r="Q2611" t="str">
            <v>ANKUR</v>
          </cell>
        </row>
        <row r="2612">
          <cell r="F2612" t="str">
            <v>NANA01M044</v>
          </cell>
          <cell r="G2612" t="str">
            <v>CMJ BREWERIES PVT LTD</v>
          </cell>
          <cell r="H2612" t="str">
            <v>-</v>
          </cell>
          <cell r="J2612" t="str">
            <v>Domestic</v>
          </cell>
          <cell r="L2612" t="str">
            <v>Non-Sugar</v>
          </cell>
          <cell r="O2612" t="str">
            <v>-</v>
          </cell>
          <cell r="P2612" t="str">
            <v>-</v>
          </cell>
          <cell r="Q2612" t="str">
            <v>-</v>
          </cell>
        </row>
        <row r="2613">
          <cell r="F2613" t="str">
            <v>CHEN01C107</v>
          </cell>
          <cell r="G2613" t="str">
            <v>CMR TOYOTSU ALUMINIUM INDIA PVT LTD</v>
          </cell>
          <cell r="H2613" t="str">
            <v>24-25</v>
          </cell>
          <cell r="J2613" t="str">
            <v>Domestic</v>
          </cell>
          <cell r="K2613" t="str">
            <v>Metals &amp; Minerals</v>
          </cell>
          <cell r="L2613" t="str">
            <v>Non-Sugar</v>
          </cell>
          <cell r="M2613" t="str">
            <v>End User</v>
          </cell>
          <cell r="O2613" t="str">
            <v>-</v>
          </cell>
          <cell r="P2613" t="str">
            <v>NI</v>
          </cell>
          <cell r="Q2613" t="str">
            <v>AVIRAL SHUKLA</v>
          </cell>
        </row>
        <row r="2614">
          <cell r="F2614" t="str">
            <v>COLO01C115</v>
          </cell>
          <cell r="G2614" t="str">
            <v>COLFLO EQUIPOS S.A.S CALI</v>
          </cell>
          <cell r="H2614" t="str">
            <v>-</v>
          </cell>
          <cell r="J2614" t="str">
            <v>Export</v>
          </cell>
          <cell r="L2614" t="str">
            <v>Non-Sugar</v>
          </cell>
          <cell r="O2614" t="str">
            <v>-</v>
          </cell>
          <cell r="P2614" t="str">
            <v>VA</v>
          </cell>
          <cell r="Q2614" t="str">
            <v>ANKUR</v>
          </cell>
        </row>
        <row r="2615">
          <cell r="F2615" t="str">
            <v>NODA01C120</v>
          </cell>
          <cell r="G2615" t="str">
            <v>COMBUSTION RESEARCH ASSOCIATES</v>
          </cell>
          <cell r="H2615" t="str">
            <v>-</v>
          </cell>
          <cell r="J2615" t="str">
            <v>Domestic</v>
          </cell>
          <cell r="L2615" t="str">
            <v>Non-Sugar</v>
          </cell>
          <cell r="O2615" t="str">
            <v>-</v>
          </cell>
          <cell r="P2615" t="str">
            <v>HO</v>
          </cell>
          <cell r="Q2615" t="str">
            <v>AVIRAL SHUKLA</v>
          </cell>
        </row>
        <row r="2616">
          <cell r="F2616" t="str">
            <v>CHIL01C114</v>
          </cell>
          <cell r="G2616" t="str">
            <v>Comercializadora Zimac SpA</v>
          </cell>
          <cell r="H2616" t="str">
            <v>-</v>
          </cell>
          <cell r="J2616" t="str">
            <v>Export</v>
          </cell>
          <cell r="L2616" t="str">
            <v>Non-Sugar</v>
          </cell>
          <cell r="O2616" t="str">
            <v>-</v>
          </cell>
          <cell r="P2616" t="str">
            <v>VA</v>
          </cell>
          <cell r="Q2616" t="str">
            <v>ANKUR</v>
          </cell>
        </row>
        <row r="2617">
          <cell r="F2617" t="str">
            <v>HOCH01C118</v>
          </cell>
          <cell r="G2617" t="str">
            <v>CONG TY TNHH TH?NH CU?NG</v>
          </cell>
          <cell r="H2617" t="str">
            <v>-</v>
          </cell>
          <cell r="J2617" t="str">
            <v>Export</v>
          </cell>
          <cell r="L2617" t="str">
            <v>Non-Sugar</v>
          </cell>
          <cell r="O2617" t="str">
            <v>-</v>
          </cell>
          <cell r="P2617" t="str">
            <v>VA</v>
          </cell>
          <cell r="Q2617" t="str">
            <v>VG</v>
          </cell>
        </row>
        <row r="2618">
          <cell r="F2618" t="str">
            <v>DLHI01C081</v>
          </cell>
          <cell r="G2618" t="str">
            <v>CONTAINER CORPORATION OF INDIA</v>
          </cell>
          <cell r="H2618" t="str">
            <v>-</v>
          </cell>
          <cell r="J2618" t="str">
            <v>Domestic</v>
          </cell>
          <cell r="L2618" t="str">
            <v>Non-Sugar</v>
          </cell>
          <cell r="O2618" t="str">
            <v>-</v>
          </cell>
          <cell r="P2618" t="str">
            <v>-</v>
          </cell>
          <cell r="Q2618" t="str">
            <v>-</v>
          </cell>
        </row>
        <row r="2619">
          <cell r="F2619" t="str">
            <v>PUNE01C078</v>
          </cell>
          <cell r="G2619" t="str">
            <v>CORROCOMP ENGINEERING PRIVATE LIMITED</v>
          </cell>
          <cell r="H2619" t="str">
            <v>-</v>
          </cell>
          <cell r="J2619" t="str">
            <v>Domestic</v>
          </cell>
          <cell r="L2619" t="str">
            <v>Non-Sugar</v>
          </cell>
          <cell r="O2619" t="str">
            <v>-</v>
          </cell>
          <cell r="P2619" t="str">
            <v>-</v>
          </cell>
          <cell r="Q2619" t="str">
            <v>-</v>
          </cell>
        </row>
        <row r="2620">
          <cell r="F2620" t="str">
            <v>CHEN01C098</v>
          </cell>
          <cell r="G2620" t="str">
            <v>CPC INFO</v>
          </cell>
          <cell r="H2620" t="str">
            <v>-</v>
          </cell>
          <cell r="J2620" t="str">
            <v>Domestic</v>
          </cell>
          <cell r="K2620" t="str">
            <v>OEM</v>
          </cell>
          <cell r="L2620" t="str">
            <v>Non-Sugar</v>
          </cell>
          <cell r="M2620" t="str">
            <v>End User</v>
          </cell>
          <cell r="P2620" t="str">
            <v>SI-GS</v>
          </cell>
          <cell r="Q2620" t="str">
            <v>SI-GS</v>
          </cell>
          <cell r="W2620">
            <v>45701</v>
          </cell>
        </row>
        <row r="2621">
          <cell r="F2621" t="str">
            <v>MALA01C082</v>
          </cell>
          <cell r="G2621" t="str">
            <v>CREATIVE ENGINEERING &amp; SYSTEMS (M) SDN BHD.</v>
          </cell>
          <cell r="H2621" t="str">
            <v>-</v>
          </cell>
          <cell r="J2621" t="str">
            <v>Export</v>
          </cell>
          <cell r="L2621" t="str">
            <v>Non-Sugar</v>
          </cell>
          <cell r="O2621" t="str">
            <v>-</v>
          </cell>
          <cell r="P2621" t="str">
            <v>VA</v>
          </cell>
          <cell r="Q2621" t="str">
            <v>ANKUR</v>
          </cell>
        </row>
        <row r="2622">
          <cell r="F2622" t="str">
            <v>PUNE01C073</v>
          </cell>
          <cell r="G2622" t="str">
            <v>CREATIVE ENGINEERING AND CENTRIFUGE CONTROL PVT LTD</v>
          </cell>
          <cell r="H2622" t="str">
            <v>-</v>
          </cell>
          <cell r="J2622" t="str">
            <v>Domestic</v>
          </cell>
          <cell r="K2622" t="str">
            <v>-</v>
          </cell>
          <cell r="L2622" t="str">
            <v>Non-Sugar</v>
          </cell>
          <cell r="O2622" t="str">
            <v>-</v>
          </cell>
          <cell r="P2622" t="str">
            <v>HO</v>
          </cell>
          <cell r="Q2622" t="str">
            <v>-</v>
          </cell>
          <cell r="T2622" t="str">
            <v>-</v>
          </cell>
          <cell r="U2622" t="str">
            <v>-</v>
          </cell>
          <cell r="W2622" t="str">
            <v>-</v>
          </cell>
        </row>
        <row r="2623">
          <cell r="F2623" t="str">
            <v>GUJA01C106</v>
          </cell>
          <cell r="G2623" t="str">
            <v>CREATIVE ENTERPRISES</v>
          </cell>
          <cell r="H2623" t="str">
            <v>-</v>
          </cell>
          <cell r="J2623" t="str">
            <v>Domestic</v>
          </cell>
          <cell r="L2623" t="str">
            <v>Non-Sugar</v>
          </cell>
          <cell r="O2623" t="str">
            <v>-</v>
          </cell>
          <cell r="P2623" t="str">
            <v>-</v>
          </cell>
          <cell r="Q2623" t="str">
            <v>-</v>
          </cell>
        </row>
        <row r="2624">
          <cell r="F2624" t="str">
            <v>CHEN01C086</v>
          </cell>
          <cell r="G2624" t="str">
            <v>CREDENZA ENGINEERING PVT LTD.</v>
          </cell>
          <cell r="H2624" t="str">
            <v>-</v>
          </cell>
          <cell r="J2624" t="str">
            <v>Domestic</v>
          </cell>
          <cell r="K2624" t="str">
            <v>OEM</v>
          </cell>
          <cell r="L2624" t="str">
            <v>Non-Sugar</v>
          </cell>
          <cell r="M2624" t="str">
            <v>OEM</v>
          </cell>
          <cell r="P2624" t="str">
            <v>SI-GS</v>
          </cell>
          <cell r="Q2624" t="str">
            <v>SI-GS</v>
          </cell>
          <cell r="W2624" t="str">
            <v>-</v>
          </cell>
        </row>
        <row r="2625">
          <cell r="F2625" t="str">
            <v>BELG01C090</v>
          </cell>
          <cell r="G2625" t="str">
            <v>CREINTORS AUTOMATION SOLUTIONS PVT LTD</v>
          </cell>
          <cell r="H2625" t="str">
            <v>-</v>
          </cell>
          <cell r="J2625" t="str">
            <v>Domestic</v>
          </cell>
          <cell r="L2625" t="str">
            <v>Non-Sugar</v>
          </cell>
          <cell r="O2625" t="str">
            <v>-</v>
          </cell>
          <cell r="P2625" t="str">
            <v>-</v>
          </cell>
          <cell r="Q2625" t="str">
            <v>-</v>
          </cell>
        </row>
        <row r="2626">
          <cell r="F2626" t="str">
            <v>BELG01C089</v>
          </cell>
          <cell r="G2626" t="str">
            <v>CREINTORS AUTOMATION SOLUTIONS PVT. LTD.</v>
          </cell>
          <cell r="H2626" t="str">
            <v>-</v>
          </cell>
          <cell r="J2626" t="str">
            <v>Domestic</v>
          </cell>
          <cell r="L2626" t="str">
            <v>Non-Sugar</v>
          </cell>
          <cell r="O2626" t="str">
            <v>-</v>
          </cell>
          <cell r="P2626" t="str">
            <v>-</v>
          </cell>
          <cell r="Q2626" t="str">
            <v>-</v>
          </cell>
        </row>
        <row r="2627">
          <cell r="F2627" t="str">
            <v>NANA01C091</v>
          </cell>
          <cell r="G2627" t="str">
            <v>CROWN CHEMICALS INDIA</v>
          </cell>
          <cell r="H2627" t="str">
            <v>-</v>
          </cell>
          <cell r="J2627" t="str">
            <v>Domestic</v>
          </cell>
          <cell r="L2627" t="str">
            <v>Non-Sugar</v>
          </cell>
          <cell r="O2627" t="str">
            <v>-</v>
          </cell>
          <cell r="P2627" t="str">
            <v>WI-SV</v>
          </cell>
          <cell r="Q2627" t="str">
            <v>SUDHIR</v>
          </cell>
        </row>
        <row r="2628">
          <cell r="F2628" t="str">
            <v>BHUB01C096</v>
          </cell>
          <cell r="G2628" t="str">
            <v>CSIR - INSTITUTE OF MINERALS AND MATERIALS TECHNOLOGY</v>
          </cell>
          <cell r="H2628" t="str">
            <v>-</v>
          </cell>
          <cell r="J2628" t="str">
            <v>Domestic</v>
          </cell>
          <cell r="L2628" t="str">
            <v>Non-Sugar</v>
          </cell>
          <cell r="O2628" t="str">
            <v>-</v>
          </cell>
          <cell r="P2628" t="str">
            <v>SI-SIVA</v>
          </cell>
          <cell r="Q2628" t="str">
            <v>M SIVA</v>
          </cell>
        </row>
        <row r="2629">
          <cell r="F2629" t="str">
            <v>MUZF01D116</v>
          </cell>
          <cell r="G2629" t="str">
            <v>D.D.L.S PAPER MILL</v>
          </cell>
          <cell r="H2629" t="str">
            <v>-</v>
          </cell>
          <cell r="J2629" t="str">
            <v>Domestic</v>
          </cell>
          <cell r="L2629" t="str">
            <v>Non-Sugar</v>
          </cell>
          <cell r="O2629" t="str">
            <v>-</v>
          </cell>
          <cell r="P2629" t="str">
            <v>-</v>
          </cell>
          <cell r="Q2629" t="str">
            <v>-</v>
          </cell>
        </row>
        <row r="2630">
          <cell r="F2630" t="str">
            <v>GURG1D084</v>
          </cell>
          <cell r="G2630" t="str">
            <v>DAYALJI INDUSTRIES</v>
          </cell>
          <cell r="H2630" t="str">
            <v>-</v>
          </cell>
          <cell r="J2630" t="str">
            <v>Domestic</v>
          </cell>
          <cell r="L2630" t="str">
            <v>Non-Sugar</v>
          </cell>
          <cell r="O2630" t="str">
            <v>-</v>
          </cell>
          <cell r="P2630" t="str">
            <v>-</v>
          </cell>
          <cell r="Q2630" t="str">
            <v>-</v>
          </cell>
        </row>
        <row r="2631">
          <cell r="F2631" t="str">
            <v>KOLK01D104</v>
          </cell>
          <cell r="G2631" t="str">
            <v>DECTRON SYSTEM</v>
          </cell>
          <cell r="H2631" t="str">
            <v>-</v>
          </cell>
          <cell r="J2631" t="str">
            <v>Domestic</v>
          </cell>
          <cell r="L2631" t="str">
            <v>Non-Sugar</v>
          </cell>
          <cell r="O2631" t="str">
            <v>-</v>
          </cell>
          <cell r="P2631" t="str">
            <v>-</v>
          </cell>
          <cell r="Q2631" t="str">
            <v>-</v>
          </cell>
        </row>
        <row r="2632">
          <cell r="F2632" t="str">
            <v>KANP01D101</v>
          </cell>
          <cell r="G2632" t="str">
            <v>DEEP ENTERPRISES</v>
          </cell>
          <cell r="H2632" t="str">
            <v>-</v>
          </cell>
          <cell r="J2632" t="str">
            <v>Domestic</v>
          </cell>
          <cell r="L2632" t="str">
            <v>Non-Sugar</v>
          </cell>
          <cell r="O2632" t="str">
            <v>-</v>
          </cell>
          <cell r="P2632" t="str">
            <v>-</v>
          </cell>
          <cell r="Q2632" t="str">
            <v>-</v>
          </cell>
        </row>
        <row r="2633">
          <cell r="F2633" t="str">
            <v>NODA01D120</v>
          </cell>
          <cell r="G2633" t="str">
            <v>DEV &amp; GARGI AGROTECH</v>
          </cell>
          <cell r="H2633" t="str">
            <v>-</v>
          </cell>
          <cell r="J2633" t="str">
            <v>Domestic</v>
          </cell>
          <cell r="L2633" t="str">
            <v>Non-Sugar</v>
          </cell>
          <cell r="O2633" t="str">
            <v>-</v>
          </cell>
          <cell r="P2633" t="str">
            <v>HO</v>
          </cell>
          <cell r="Q2633" t="str">
            <v>AVIRAL SHUKLA</v>
          </cell>
        </row>
        <row r="2634">
          <cell r="F2634" t="str">
            <v>MERT01D105</v>
          </cell>
          <cell r="G2634" t="str">
            <v>DEV ENGINEERING &amp; ALLIED PRODUCTS</v>
          </cell>
          <cell r="H2634" t="str">
            <v>-</v>
          </cell>
          <cell r="J2634" t="str">
            <v>Domestic</v>
          </cell>
          <cell r="L2634" t="str">
            <v>Non-Sugar</v>
          </cell>
          <cell r="O2634" t="str">
            <v>-</v>
          </cell>
          <cell r="P2634" t="str">
            <v>-</v>
          </cell>
          <cell r="Q2634" t="str">
            <v>-</v>
          </cell>
        </row>
        <row r="2635">
          <cell r="F2635" t="str">
            <v>BANG01D099</v>
          </cell>
          <cell r="G2635" t="str">
            <v>DEVAKI ENGINEERING ENTERPRISES</v>
          </cell>
          <cell r="H2635" t="str">
            <v>-</v>
          </cell>
          <cell r="J2635" t="str">
            <v>Domestic</v>
          </cell>
          <cell r="L2635" t="str">
            <v>Non-Sugar</v>
          </cell>
          <cell r="O2635" t="str">
            <v>-</v>
          </cell>
          <cell r="P2635" t="str">
            <v>-</v>
          </cell>
          <cell r="Q2635" t="str">
            <v>-</v>
          </cell>
        </row>
        <row r="2636">
          <cell r="F2636" t="str">
            <v>AHME01D115</v>
          </cell>
          <cell r="G2636" t="str">
            <v>DEVEX GLOBAL</v>
          </cell>
          <cell r="H2636" t="str">
            <v>-</v>
          </cell>
          <cell r="J2636" t="str">
            <v>Domestic</v>
          </cell>
          <cell r="L2636" t="str">
            <v>Non-Sugar</v>
          </cell>
          <cell r="O2636" t="str">
            <v>-</v>
          </cell>
          <cell r="P2636" t="str">
            <v>-</v>
          </cell>
          <cell r="Q2636" t="str">
            <v>-</v>
          </cell>
        </row>
        <row r="2637">
          <cell r="F2637" t="str">
            <v>BARO01D062</v>
          </cell>
          <cell r="G2637" t="str">
            <v>DEVKI NANDAN MINERAL WATER LIMITED</v>
          </cell>
          <cell r="H2637" t="str">
            <v>-</v>
          </cell>
          <cell r="J2637" t="str">
            <v>Domestic</v>
          </cell>
          <cell r="L2637" t="str">
            <v>Non-Sugar</v>
          </cell>
          <cell r="O2637" t="str">
            <v>-</v>
          </cell>
          <cell r="P2637" t="str">
            <v>-</v>
          </cell>
          <cell r="Q2637" t="str">
            <v>-</v>
          </cell>
        </row>
        <row r="2638">
          <cell r="F2638" t="str">
            <v>GWAL01D113</v>
          </cell>
          <cell r="G2638" t="str">
            <v>DHARANI SUGAR</v>
          </cell>
          <cell r="H2638" t="str">
            <v>25-26</v>
          </cell>
          <cell r="J2638" t="str">
            <v>Domestic</v>
          </cell>
          <cell r="K2638" t="str">
            <v>sugar</v>
          </cell>
          <cell r="L2638" t="str">
            <v>Sugar</v>
          </cell>
          <cell r="M2638" t="str">
            <v>End User</v>
          </cell>
          <cell r="N2638" t="str">
            <v>(0-5000)</v>
          </cell>
          <cell r="O2638" t="str">
            <v>-</v>
          </cell>
          <cell r="P2638" t="str">
            <v>NI</v>
          </cell>
          <cell r="Q2638" t="str">
            <v>AVIRAL SHUKLA</v>
          </cell>
          <cell r="S2638" t="str">
            <v>https://maps.app.goo.gl/fbSoSmp2QGnTyuNCA</v>
          </cell>
          <cell r="U2638" t="str">
            <v>25-26</v>
          </cell>
          <cell r="V2638" t="str">
            <v>Mar</v>
          </cell>
          <cell r="W2638" t="str">
            <v>20-03-2025</v>
          </cell>
        </row>
        <row r="2639">
          <cell r="F2639" t="str">
            <v>LUDH01D100</v>
          </cell>
          <cell r="G2639" t="str">
            <v>DHARMESH TEXTILES LTD.</v>
          </cell>
          <cell r="H2639" t="str">
            <v>-</v>
          </cell>
          <cell r="J2639" t="str">
            <v>Domestic</v>
          </cell>
          <cell r="K2639" t="str">
            <v>Textile</v>
          </cell>
          <cell r="L2639" t="str">
            <v>Non-Sugar</v>
          </cell>
          <cell r="M2639" t="str">
            <v>End User</v>
          </cell>
          <cell r="O2639" t="str">
            <v>-</v>
          </cell>
          <cell r="P2639" t="str">
            <v>-</v>
          </cell>
          <cell r="Q2639" t="str">
            <v>-</v>
          </cell>
        </row>
        <row r="2640">
          <cell r="F2640" t="str">
            <v>KASH01D108</v>
          </cell>
          <cell r="G2640" t="str">
            <v>DHEERAJ JI KASHIPUR</v>
          </cell>
          <cell r="H2640" t="str">
            <v>-</v>
          </cell>
          <cell r="J2640" t="str">
            <v>Domestic</v>
          </cell>
          <cell r="L2640" t="str">
            <v>Non-Sugar</v>
          </cell>
          <cell r="O2640" t="str">
            <v>-</v>
          </cell>
          <cell r="P2640" t="str">
            <v>-</v>
          </cell>
          <cell r="Q2640" t="str">
            <v>-</v>
          </cell>
        </row>
        <row r="2641">
          <cell r="F2641" t="str">
            <v>PUNE01D119</v>
          </cell>
          <cell r="G2641" t="str">
            <v>DILIGENT SOLUTIONS TECHNOLOGY SERVICES PVT LTD</v>
          </cell>
          <cell r="H2641" t="str">
            <v>-</v>
          </cell>
          <cell r="J2641" t="str">
            <v>Domestic</v>
          </cell>
          <cell r="L2641" t="str">
            <v>Non-Sugar</v>
          </cell>
          <cell r="P2641" t="str">
            <v>WI-SV</v>
          </cell>
          <cell r="Q2641" t="str">
            <v>SUDHIR</v>
          </cell>
          <cell r="U2641" t="str">
            <v>26-27</v>
          </cell>
          <cell r="V2641" t="str">
            <v>Apr</v>
          </cell>
          <cell r="W2641">
            <v>46238</v>
          </cell>
        </row>
        <row r="2642">
          <cell r="F2642" t="str">
            <v>JAKA01D117</v>
          </cell>
          <cell r="G2642" t="str">
            <v>DMOSQUERA PROVIDENCIA</v>
          </cell>
          <cell r="H2642" t="str">
            <v>-</v>
          </cell>
          <cell r="J2642" t="str">
            <v>Export</v>
          </cell>
          <cell r="L2642" t="str">
            <v>Non-Sugar</v>
          </cell>
          <cell r="O2642" t="str">
            <v>-</v>
          </cell>
          <cell r="P2642" t="str">
            <v>VA</v>
          </cell>
          <cell r="Q2642" t="str">
            <v>ANKUR</v>
          </cell>
        </row>
        <row r="2643">
          <cell r="F2643" t="str">
            <v>DEDH01D103</v>
          </cell>
          <cell r="G2643" t="str">
            <v>DOON FINE SERVICE</v>
          </cell>
          <cell r="H2643" t="str">
            <v>-</v>
          </cell>
          <cell r="J2643" t="str">
            <v>Domestic</v>
          </cell>
          <cell r="L2643" t="str">
            <v>Non-Sugar</v>
          </cell>
          <cell r="O2643" t="str">
            <v>-</v>
          </cell>
          <cell r="P2643" t="str">
            <v>-</v>
          </cell>
          <cell r="Q2643" t="str">
            <v>-</v>
          </cell>
        </row>
        <row r="2644">
          <cell r="F2644" t="str">
            <v>BANG01D111</v>
          </cell>
          <cell r="G2644" t="str">
            <v>DOPAG INDIA PVT. LTD.</v>
          </cell>
          <cell r="H2644" t="str">
            <v>-</v>
          </cell>
          <cell r="J2644" t="str">
            <v>Domestic</v>
          </cell>
          <cell r="P2644" t="str">
            <v>SI-MANI</v>
          </cell>
          <cell r="Q2644" t="str">
            <v>M SIVA</v>
          </cell>
        </row>
        <row r="2645">
          <cell r="F2645" t="str">
            <v>BANK01D114</v>
          </cell>
          <cell r="G2645" t="str">
            <v>DR PUMP</v>
          </cell>
          <cell r="H2645" t="str">
            <v>-</v>
          </cell>
          <cell r="J2645" t="str">
            <v>Export</v>
          </cell>
          <cell r="L2645" t="str">
            <v>Non-Sugar</v>
          </cell>
          <cell r="O2645" t="str">
            <v>-</v>
          </cell>
          <cell r="P2645" t="str">
            <v>VA</v>
          </cell>
          <cell r="Q2645" t="str">
            <v>VG</v>
          </cell>
        </row>
        <row r="2646">
          <cell r="F2646" t="str">
            <v>JAIP01D102</v>
          </cell>
          <cell r="G2646" t="str">
            <v>DR.AGROVET PVT LTD</v>
          </cell>
          <cell r="H2646" t="str">
            <v>-</v>
          </cell>
          <cell r="J2646" t="str">
            <v>Domestic</v>
          </cell>
          <cell r="L2646" t="str">
            <v>Non-Sugar</v>
          </cell>
          <cell r="O2646" t="str">
            <v>-</v>
          </cell>
          <cell r="P2646" t="str">
            <v>-</v>
          </cell>
          <cell r="Q2646" t="str">
            <v>-</v>
          </cell>
        </row>
        <row r="2647">
          <cell r="F2647" t="str">
            <v>BANG01E079</v>
          </cell>
          <cell r="G2647" t="str">
            <v>EADIX LIFE SPACES</v>
          </cell>
          <cell r="H2647" t="str">
            <v>-</v>
          </cell>
          <cell r="J2647" t="str">
            <v>Domestic</v>
          </cell>
          <cell r="P2647" t="str">
            <v>SI-SIVA</v>
          </cell>
          <cell r="Q2647" t="str">
            <v>M SIVA</v>
          </cell>
        </row>
        <row r="2648">
          <cell r="F2648" t="str">
            <v>DHAN01E070</v>
          </cell>
          <cell r="G2648" t="str">
            <v>EAGLEDEEP PB DHANBAD COAL PVT LTD</v>
          </cell>
          <cell r="H2648" t="str">
            <v>-</v>
          </cell>
          <cell r="J2648" t="str">
            <v>Domestic</v>
          </cell>
          <cell r="L2648" t="str">
            <v>Non-Sugar</v>
          </cell>
          <cell r="O2648" t="str">
            <v>-</v>
          </cell>
          <cell r="P2648" t="str">
            <v>-</v>
          </cell>
          <cell r="Q2648" t="str">
            <v>-</v>
          </cell>
        </row>
        <row r="2649">
          <cell r="F2649" t="str">
            <v>GUJA01E049</v>
          </cell>
          <cell r="G2649" t="str">
            <v>EARTH LINK ENTERPRISE</v>
          </cell>
          <cell r="H2649" t="str">
            <v>-</v>
          </cell>
          <cell r="J2649" t="str">
            <v>Domestic</v>
          </cell>
          <cell r="L2649" t="str">
            <v>Non-Sugar</v>
          </cell>
          <cell r="O2649" t="str">
            <v>-</v>
          </cell>
          <cell r="P2649" t="str">
            <v>-</v>
          </cell>
          <cell r="Q2649" t="str">
            <v>-</v>
          </cell>
        </row>
        <row r="2650">
          <cell r="F2650" t="str">
            <v>KOLK01E064</v>
          </cell>
          <cell r="G2650" t="str">
            <v>EAST INDIA</v>
          </cell>
          <cell r="H2650" t="str">
            <v>-</v>
          </cell>
          <cell r="J2650" t="str">
            <v>Domestic</v>
          </cell>
          <cell r="L2650" t="str">
            <v>Non-Sugar</v>
          </cell>
          <cell r="O2650" t="str">
            <v>-</v>
          </cell>
          <cell r="P2650" t="str">
            <v>-</v>
          </cell>
          <cell r="Q2650" t="str">
            <v>-</v>
          </cell>
        </row>
        <row r="2651">
          <cell r="F2651" t="str">
            <v>DHAN01E008</v>
          </cell>
          <cell r="G2651" t="str">
            <v>EASTERN COALFIELDS LTD.</v>
          </cell>
          <cell r="H2651" t="str">
            <v>-</v>
          </cell>
          <cell r="J2651" t="str">
            <v>Domestic</v>
          </cell>
          <cell r="K2651" t="str">
            <v>-</v>
          </cell>
          <cell r="L2651" t="str">
            <v>Non-Sugar</v>
          </cell>
          <cell r="O2651" t="str">
            <v>-</v>
          </cell>
          <cell r="P2651" t="str">
            <v>HO</v>
          </cell>
          <cell r="Q2651" t="str">
            <v>-</v>
          </cell>
          <cell r="T2651" t="str">
            <v>-</v>
          </cell>
          <cell r="U2651" t="str">
            <v>-</v>
          </cell>
          <cell r="W2651" t="str">
            <v>-</v>
          </cell>
        </row>
        <row r="2652">
          <cell r="F2652" t="str">
            <v>BOKA01E058</v>
          </cell>
          <cell r="G2652" t="str">
            <v>EASTERN INDIA CEMENTS PVT.LTD</v>
          </cell>
          <cell r="H2652" t="str">
            <v>-</v>
          </cell>
          <cell r="J2652" t="str">
            <v>Domestic</v>
          </cell>
          <cell r="L2652" t="str">
            <v>Non-Sugar</v>
          </cell>
          <cell r="O2652" t="str">
            <v>-</v>
          </cell>
          <cell r="P2652" t="str">
            <v>-</v>
          </cell>
          <cell r="Q2652" t="str">
            <v>-</v>
          </cell>
        </row>
        <row r="2653">
          <cell r="F2653" t="str">
            <v>PUNE01E057</v>
          </cell>
          <cell r="G2653" t="str">
            <v>ECEPL</v>
          </cell>
          <cell r="H2653" t="str">
            <v>-</v>
          </cell>
          <cell r="J2653" t="str">
            <v>Domestic</v>
          </cell>
          <cell r="L2653" t="str">
            <v>Non-Sugar</v>
          </cell>
          <cell r="O2653" t="str">
            <v>-</v>
          </cell>
          <cell r="P2653" t="str">
            <v>-</v>
          </cell>
          <cell r="Q2653" t="str">
            <v>-</v>
          </cell>
        </row>
        <row r="2654">
          <cell r="F2654" t="str">
            <v>PUNE01E080</v>
          </cell>
          <cell r="G2654" t="str">
            <v>ECOBOARD INDUSTRIES LIMITED</v>
          </cell>
          <cell r="H2654" t="str">
            <v>-</v>
          </cell>
          <cell r="J2654" t="str">
            <v>Domestic</v>
          </cell>
          <cell r="P2654" t="str">
            <v>AV</v>
          </cell>
          <cell r="Q2654" t="str">
            <v>AV</v>
          </cell>
          <cell r="R2654" t="str">
            <v>VG</v>
          </cell>
          <cell r="S2654" t="str">
            <v>https://share.google/adwuVtNI5aVcJtq6n</v>
          </cell>
          <cell r="U2654" t="str">
            <v>26-27</v>
          </cell>
          <cell r="V2654" t="str">
            <v>May</v>
          </cell>
          <cell r="W2654" t="str">
            <v>09-05-2026
09/04/2026</v>
          </cell>
        </row>
        <row r="2655">
          <cell r="F2655" t="str">
            <v>SATA01E071</v>
          </cell>
          <cell r="G2655" t="str">
            <v>ECOMATRIX GLOBAL PVT LTD</v>
          </cell>
          <cell r="H2655" t="str">
            <v>-</v>
          </cell>
          <cell r="J2655" t="str">
            <v>Domestic</v>
          </cell>
          <cell r="L2655" t="str">
            <v>Non-Sugar</v>
          </cell>
          <cell r="O2655" t="str">
            <v>-</v>
          </cell>
          <cell r="P2655" t="str">
            <v>-</v>
          </cell>
          <cell r="Q2655" t="str">
            <v>-</v>
          </cell>
        </row>
        <row r="2656">
          <cell r="F2656" t="str">
            <v>KOLK01E055</v>
          </cell>
          <cell r="G2656" t="str">
            <v>ELECTRICAL &amp; MECHANICAL AGENCIES</v>
          </cell>
          <cell r="H2656" t="str">
            <v>-</v>
          </cell>
          <cell r="J2656" t="str">
            <v>Domestic</v>
          </cell>
          <cell r="L2656" t="str">
            <v>Non-Sugar</v>
          </cell>
          <cell r="O2656" t="str">
            <v>-</v>
          </cell>
          <cell r="P2656" t="str">
            <v>-</v>
          </cell>
          <cell r="Q2656" t="str">
            <v>-</v>
          </cell>
        </row>
        <row r="2657">
          <cell r="F2657" t="str">
            <v>PUNE01E065</v>
          </cell>
          <cell r="G2657" t="str">
            <v>ELICA ENGINEERS</v>
          </cell>
          <cell r="H2657" t="str">
            <v>-</v>
          </cell>
          <cell r="J2657" t="str">
            <v>Domestic</v>
          </cell>
          <cell r="L2657" t="str">
            <v>Non-Sugar</v>
          </cell>
          <cell r="O2657" t="str">
            <v>-</v>
          </cell>
          <cell r="P2657" t="str">
            <v>-</v>
          </cell>
          <cell r="Q2657" t="str">
            <v>-</v>
          </cell>
        </row>
        <row r="2658">
          <cell r="F2658" t="str">
            <v>CHEN01E078</v>
          </cell>
          <cell r="G2658" t="str">
            <v>ELITE INTEGRATED AQUA MANAGEMENT</v>
          </cell>
          <cell r="H2658" t="str">
            <v>-</v>
          </cell>
          <cell r="J2658" t="str">
            <v>Domestic</v>
          </cell>
          <cell r="P2658" t="str">
            <v>SI-SIVA</v>
          </cell>
          <cell r="Q2658" t="str">
            <v>M SIVA</v>
          </cell>
        </row>
        <row r="2659">
          <cell r="F2659" t="str">
            <v>KOLH01E043</v>
          </cell>
          <cell r="G2659" t="str">
            <v>ELKY CHEMICALS PVT LTD</v>
          </cell>
          <cell r="H2659" t="str">
            <v>-</v>
          </cell>
          <cell r="J2659" t="str">
            <v>Domestic</v>
          </cell>
          <cell r="K2659" t="str">
            <v>Sugar</v>
          </cell>
          <cell r="L2659" t="str">
            <v>Sugar</v>
          </cell>
          <cell r="M2659" t="str">
            <v>End User</v>
          </cell>
          <cell r="O2659" t="str">
            <v>-</v>
          </cell>
          <cell r="P2659" t="str">
            <v>AV</v>
          </cell>
          <cell r="Q2659" t="str">
            <v>AV</v>
          </cell>
          <cell r="R2659" t="str">
            <v>VG</v>
          </cell>
          <cell r="T2659" t="str">
            <v>TOUR-5 (KOLHAPUR)</v>
          </cell>
          <cell r="U2659" t="str">
            <v>23-24</v>
          </cell>
          <cell r="W2659">
            <v>45000</v>
          </cell>
        </row>
        <row r="2660">
          <cell r="F2660" t="str">
            <v>DUBA01E069</v>
          </cell>
          <cell r="G2660" t="str">
            <v>EMERALD TECH TRADING LLC</v>
          </cell>
          <cell r="H2660" t="str">
            <v>-</v>
          </cell>
          <cell r="J2660" t="str">
            <v>Export</v>
          </cell>
          <cell r="L2660" t="str">
            <v>Non-Sugar</v>
          </cell>
          <cell r="O2660" t="str">
            <v>-</v>
          </cell>
          <cell r="P2660" t="str">
            <v>VA</v>
          </cell>
          <cell r="Q2660" t="str">
            <v>ANKUR</v>
          </cell>
        </row>
        <row r="2661">
          <cell r="F2661" t="str">
            <v>TEMC01E066</v>
          </cell>
          <cell r="G2661" t="str">
            <v>EMPRESAS A LA CARTA</v>
          </cell>
          <cell r="H2661" t="str">
            <v>-</v>
          </cell>
          <cell r="J2661" t="str">
            <v>Export</v>
          </cell>
          <cell r="L2661" t="str">
            <v>Non-Sugar</v>
          </cell>
          <cell r="O2661" t="str">
            <v>-</v>
          </cell>
          <cell r="P2661" t="str">
            <v>VA</v>
          </cell>
          <cell r="Q2661" t="str">
            <v>ANKUR</v>
          </cell>
        </row>
        <row r="2662">
          <cell r="F2662" t="str">
            <v>TRIC01S373</v>
          </cell>
          <cell r="G2662" t="str">
            <v>ENERGEIZ</v>
          </cell>
          <cell r="H2662" t="str">
            <v>-</v>
          </cell>
          <cell r="J2662" t="str">
            <v>Domestic</v>
          </cell>
          <cell r="K2662" t="str">
            <v>OEM</v>
          </cell>
          <cell r="L2662" t="str">
            <v>Non-Sugar</v>
          </cell>
          <cell r="M2662" t="str">
            <v>OEM</v>
          </cell>
          <cell r="P2662" t="str">
            <v>SI-GS</v>
          </cell>
          <cell r="Q2662" t="str">
            <v>SI-GS</v>
          </cell>
          <cell r="W2662" t="str">
            <v>-</v>
          </cell>
        </row>
        <row r="2663">
          <cell r="F2663" t="str">
            <v>CUDD01E082</v>
          </cell>
          <cell r="G2663" t="str">
            <v>ENERGIM SUSTAINABLE SOLUTIONS CUDDALORE PVT LTD</v>
          </cell>
          <cell r="H2663" t="str">
            <v>-</v>
          </cell>
          <cell r="J2663" t="str">
            <v>Domestic</v>
          </cell>
          <cell r="P2663" t="str">
            <v>SI-SIVA</v>
          </cell>
          <cell r="Q2663" t="str">
            <v>M SIVA</v>
          </cell>
        </row>
        <row r="2664">
          <cell r="F2664" t="str">
            <v>BANG01E067</v>
          </cell>
          <cell r="G2664" t="str">
            <v>ENGINEDOC ENERGY</v>
          </cell>
          <cell r="H2664" t="str">
            <v>-</v>
          </cell>
          <cell r="J2664" t="str">
            <v>Domestic</v>
          </cell>
          <cell r="L2664" t="str">
            <v>Non-Sugar</v>
          </cell>
          <cell r="O2664" t="str">
            <v>-</v>
          </cell>
          <cell r="P2664" t="str">
            <v>-</v>
          </cell>
          <cell r="Q2664" t="str">
            <v>-</v>
          </cell>
        </row>
        <row r="2665">
          <cell r="F2665" t="str">
            <v>SELS01E068</v>
          </cell>
          <cell r="G2665" t="str">
            <v>ENGINEERING CONSULTING</v>
          </cell>
          <cell r="H2665" t="str">
            <v>-</v>
          </cell>
          <cell r="J2665" t="str">
            <v>Export</v>
          </cell>
          <cell r="L2665" t="str">
            <v>Non-Sugar</v>
          </cell>
          <cell r="O2665" t="str">
            <v>-</v>
          </cell>
          <cell r="P2665" t="str">
            <v>VA</v>
          </cell>
          <cell r="Q2665" t="str">
            <v>ANKUR</v>
          </cell>
        </row>
        <row r="2666">
          <cell r="F2666" t="str">
            <v>NANA01E013</v>
          </cell>
          <cell r="G2666" t="str">
            <v>ENGINEERING FOR SUPPLIES &amp; CONSULTANCY CO.</v>
          </cell>
          <cell r="H2666" t="str">
            <v>-</v>
          </cell>
          <cell r="J2666" t="str">
            <v>Export</v>
          </cell>
          <cell r="L2666" t="str">
            <v>Non-Sugar</v>
          </cell>
          <cell r="O2666" t="str">
            <v>-</v>
          </cell>
          <cell r="P2666" t="str">
            <v>VA</v>
          </cell>
          <cell r="Q2666" t="str">
            <v>ANKUR</v>
          </cell>
        </row>
        <row r="2667">
          <cell r="F2667" t="str">
            <v>NANA01E017</v>
          </cell>
          <cell r="G2667" t="str">
            <v>ENHANCED ENERGY INC</v>
          </cell>
          <cell r="H2667" t="str">
            <v>-</v>
          </cell>
          <cell r="J2667" t="str">
            <v>Export</v>
          </cell>
          <cell r="L2667" t="str">
            <v>Non-Sugar</v>
          </cell>
          <cell r="O2667" t="str">
            <v>-</v>
          </cell>
          <cell r="P2667" t="str">
            <v>VA</v>
          </cell>
          <cell r="Q2667" t="str">
            <v>-</v>
          </cell>
        </row>
        <row r="2668">
          <cell r="F2668" t="str">
            <v>MNXI01E059</v>
          </cell>
          <cell r="G2668" t="str">
            <v>ENSO PROYECTOS E INGENIERIA</v>
          </cell>
          <cell r="H2668" t="str">
            <v>-</v>
          </cell>
          <cell r="J2668" t="str">
            <v>Export</v>
          </cell>
          <cell r="L2668" t="str">
            <v>Non-Sugar</v>
          </cell>
          <cell r="O2668" t="str">
            <v>-</v>
          </cell>
          <cell r="P2668" t="str">
            <v>VA</v>
          </cell>
          <cell r="Q2668" t="str">
            <v>ANKUR</v>
          </cell>
        </row>
        <row r="2669">
          <cell r="F2669" t="str">
            <v>THAN01E075</v>
          </cell>
          <cell r="G2669" t="str">
            <v>ENVIRO ENGINEERS</v>
          </cell>
          <cell r="H2669" t="str">
            <v>-</v>
          </cell>
          <cell r="J2669" t="str">
            <v>Domestic</v>
          </cell>
          <cell r="L2669" t="str">
            <v>Non-Sugar</v>
          </cell>
          <cell r="P2669" t="str">
            <v>WI-SV</v>
          </cell>
          <cell r="Q2669" t="str">
            <v>SUDHIR</v>
          </cell>
        </row>
        <row r="2670">
          <cell r="F2670" t="str">
            <v>GWAL01E053</v>
          </cell>
          <cell r="G2670" t="str">
            <v>ENVODOCTOR SYSTEMS</v>
          </cell>
          <cell r="H2670" t="str">
            <v>-</v>
          </cell>
          <cell r="J2670" t="str">
            <v>Domestic</v>
          </cell>
          <cell r="L2670" t="str">
            <v>Non-Sugar</v>
          </cell>
          <cell r="O2670" t="str">
            <v>-</v>
          </cell>
          <cell r="P2670" t="str">
            <v>-</v>
          </cell>
          <cell r="Q2670" t="str">
            <v>-</v>
          </cell>
        </row>
        <row r="2671">
          <cell r="F2671" t="str">
            <v>BANK01E056</v>
          </cell>
          <cell r="G2671" t="str">
            <v>ERAWAN SUGAR COMPANY-</v>
          </cell>
          <cell r="H2671" t="str">
            <v>-</v>
          </cell>
          <cell r="J2671" t="str">
            <v>Export</v>
          </cell>
          <cell r="L2671" t="str">
            <v>Non-Sugar</v>
          </cell>
          <cell r="O2671" t="str">
            <v>-</v>
          </cell>
          <cell r="P2671" t="str">
            <v>VA</v>
          </cell>
          <cell r="Q2671" t="str">
            <v>VG</v>
          </cell>
        </row>
        <row r="2672">
          <cell r="F2672" t="str">
            <v>PUNE01E044</v>
          </cell>
          <cell r="G2672" t="str">
            <v>ESBEE POWER SOLUTIONS PVT.LTD</v>
          </cell>
          <cell r="H2672" t="str">
            <v>-</v>
          </cell>
          <cell r="J2672" t="str">
            <v>Domestic</v>
          </cell>
          <cell r="K2672" t="str">
            <v>-</v>
          </cell>
          <cell r="L2672" t="str">
            <v>Non-Sugar</v>
          </cell>
          <cell r="O2672" t="str">
            <v>-</v>
          </cell>
          <cell r="P2672" t="str">
            <v>HO</v>
          </cell>
          <cell r="Q2672" t="str">
            <v>-</v>
          </cell>
          <cell r="T2672" t="str">
            <v>-</v>
          </cell>
          <cell r="U2672" t="str">
            <v>-</v>
          </cell>
          <cell r="W2672" t="str">
            <v>-</v>
          </cell>
        </row>
        <row r="2673">
          <cell r="F2673" t="str">
            <v>PUNE1E044</v>
          </cell>
          <cell r="G2673" t="str">
            <v>ESBEE POWER SOLUTIONS PVT.LTD</v>
          </cell>
          <cell r="H2673" t="str">
            <v>-</v>
          </cell>
          <cell r="J2673" t="str">
            <v>Domestic</v>
          </cell>
          <cell r="L2673" t="str">
            <v>Non-Sugar</v>
          </cell>
          <cell r="O2673" t="str">
            <v>-</v>
          </cell>
          <cell r="P2673" t="str">
            <v>-</v>
          </cell>
          <cell r="Q2673" t="str">
            <v>-</v>
          </cell>
        </row>
        <row r="2674">
          <cell r="F2674" t="str">
            <v>MUMB01E062</v>
          </cell>
          <cell r="G2674" t="str">
            <v>ESSEM EXPORTS &amp; MARKETING</v>
          </cell>
          <cell r="H2674" t="str">
            <v>-</v>
          </cell>
          <cell r="J2674" t="str">
            <v>Domestic</v>
          </cell>
          <cell r="L2674" t="str">
            <v>Non-Sugar</v>
          </cell>
          <cell r="O2674" t="str">
            <v>-</v>
          </cell>
          <cell r="P2674" t="str">
            <v>-</v>
          </cell>
          <cell r="Q2674" t="str">
            <v>-</v>
          </cell>
        </row>
        <row r="2675">
          <cell r="F2675" t="str">
            <v>THIR01E051</v>
          </cell>
          <cell r="G2675" t="str">
            <v>ESYLYS LLP THIRUVANANTHPURAM</v>
          </cell>
          <cell r="H2675" t="str">
            <v>-</v>
          </cell>
          <cell r="J2675" t="str">
            <v>Domestic</v>
          </cell>
          <cell r="L2675" t="str">
            <v>Non-Sugar</v>
          </cell>
          <cell r="O2675" t="str">
            <v>-</v>
          </cell>
          <cell r="P2675" t="str">
            <v>-</v>
          </cell>
          <cell r="Q2675" t="str">
            <v>-</v>
          </cell>
        </row>
        <row r="2676">
          <cell r="F2676" t="str">
            <v>HYDE01E054</v>
          </cell>
          <cell r="G2676" t="str">
            <v>EUROTECK ENVIRONMENTAL (P) LTD</v>
          </cell>
          <cell r="H2676" t="str">
            <v>-</v>
          </cell>
          <cell r="J2676" t="str">
            <v>Domestic</v>
          </cell>
          <cell r="L2676" t="str">
            <v>Non-Sugar</v>
          </cell>
          <cell r="O2676" t="str">
            <v>-</v>
          </cell>
          <cell r="P2676" t="str">
            <v>-</v>
          </cell>
          <cell r="Q2676" t="str">
            <v>-</v>
          </cell>
        </row>
        <row r="2677">
          <cell r="F2677" t="str">
            <v>KANP01E052</v>
          </cell>
          <cell r="G2677" t="str">
            <v>EVEREST EXPORT (LEATHER UNIT)</v>
          </cell>
          <cell r="H2677" t="str">
            <v>-</v>
          </cell>
          <cell r="J2677" t="str">
            <v>Domestic</v>
          </cell>
          <cell r="L2677" t="str">
            <v>Non-Sugar</v>
          </cell>
          <cell r="O2677" t="str">
            <v>-</v>
          </cell>
          <cell r="P2677" t="str">
            <v>-</v>
          </cell>
          <cell r="Q2677" t="str">
            <v>-</v>
          </cell>
        </row>
        <row r="2678">
          <cell r="F2678" t="str">
            <v>KISH01E063</v>
          </cell>
          <cell r="G2678" t="str">
            <v>EVERSHINE MARBLE PVT LTD</v>
          </cell>
          <cell r="H2678" t="str">
            <v>-</v>
          </cell>
          <cell r="J2678" t="str">
            <v>Domestic</v>
          </cell>
          <cell r="L2678" t="str">
            <v>Non-Sugar</v>
          </cell>
          <cell r="O2678" t="str">
            <v>-</v>
          </cell>
          <cell r="P2678" t="str">
            <v>HO</v>
          </cell>
          <cell r="Q2678" t="str">
            <v>-</v>
          </cell>
        </row>
        <row r="2679">
          <cell r="F2679" t="str">
            <v>NANA01E022</v>
          </cell>
          <cell r="G2679" t="str">
            <v>EVO SOLUTIONS</v>
          </cell>
          <cell r="H2679" t="str">
            <v>-</v>
          </cell>
          <cell r="J2679" t="str">
            <v>Domestic</v>
          </cell>
          <cell r="L2679" t="str">
            <v>Non-Sugar</v>
          </cell>
          <cell r="O2679" t="str">
            <v>-</v>
          </cell>
          <cell r="P2679" t="str">
            <v>-</v>
          </cell>
          <cell r="Q2679" t="str">
            <v>-</v>
          </cell>
        </row>
        <row r="2680">
          <cell r="F2680" t="str">
            <v>SITE01F051</v>
          </cell>
          <cell r="G2680" t="str">
            <v>FILDOS CHEMICAL DOSING TECHNOLOGIES</v>
          </cell>
          <cell r="H2680" t="str">
            <v>-</v>
          </cell>
          <cell r="J2680" t="str">
            <v>Export</v>
          </cell>
          <cell r="L2680" t="str">
            <v>Non-Sugar</v>
          </cell>
          <cell r="O2680" t="str">
            <v>-</v>
          </cell>
          <cell r="P2680" t="str">
            <v>VA</v>
          </cell>
          <cell r="Q2680" t="str">
            <v>ANKUR</v>
          </cell>
        </row>
        <row r="2681">
          <cell r="F2681" t="str">
            <v>INDR01F046</v>
          </cell>
          <cell r="G2681" t="str">
            <v>FINSEN RITTER</v>
          </cell>
          <cell r="H2681" t="str">
            <v>-</v>
          </cell>
          <cell r="J2681" t="str">
            <v>Domestic</v>
          </cell>
          <cell r="L2681" t="str">
            <v>Non-Sugar</v>
          </cell>
          <cell r="O2681" t="str">
            <v>-</v>
          </cell>
          <cell r="P2681" t="str">
            <v>HO</v>
          </cell>
          <cell r="Q2681" t="str">
            <v>AVIRAL SHUKLA</v>
          </cell>
          <cell r="T2681" t="str">
            <v>M.P. - 2</v>
          </cell>
          <cell r="U2681" t="str">
            <v>25-26</v>
          </cell>
          <cell r="W2681" t="str">
            <v>15-09-2025</v>
          </cell>
        </row>
        <row r="2682">
          <cell r="F2682" t="str">
            <v>KOLL01F049</v>
          </cell>
          <cell r="G2682" t="str">
            <v>FLOW MAX WATER</v>
          </cell>
          <cell r="H2682" t="str">
            <v>-</v>
          </cell>
          <cell r="J2682" t="str">
            <v>Domestic</v>
          </cell>
          <cell r="P2682" t="str">
            <v>SI-MANI</v>
          </cell>
          <cell r="Q2682" t="str">
            <v>M SIVA</v>
          </cell>
        </row>
        <row r="2683">
          <cell r="F2683" t="str">
            <v>CHIL01F054</v>
          </cell>
          <cell r="G2683" t="str">
            <v>FLU CONTROL</v>
          </cell>
          <cell r="H2683" t="str">
            <v>-</v>
          </cell>
          <cell r="J2683" t="str">
            <v>Export</v>
          </cell>
          <cell r="L2683" t="str">
            <v>Non-Sugar</v>
          </cell>
          <cell r="O2683" t="str">
            <v>-</v>
          </cell>
          <cell r="P2683" t="str">
            <v>VA</v>
          </cell>
          <cell r="Q2683" t="str">
            <v>ANKUR</v>
          </cell>
        </row>
        <row r="2684">
          <cell r="F2684" t="str">
            <v>HARD01F047</v>
          </cell>
          <cell r="G2684" t="str">
            <v>FORTUNE FITTINGS PVT LTD.</v>
          </cell>
          <cell r="H2684" t="str">
            <v>-</v>
          </cell>
          <cell r="J2684" t="str">
            <v>Domestic</v>
          </cell>
          <cell r="L2684" t="str">
            <v>Non-Sugar</v>
          </cell>
          <cell r="O2684" t="str">
            <v>-</v>
          </cell>
          <cell r="P2684" t="str">
            <v>-</v>
          </cell>
          <cell r="Q2684" t="str">
            <v>-</v>
          </cell>
        </row>
        <row r="2685">
          <cell r="F2685" t="str">
            <v>NIGE01F056</v>
          </cell>
          <cell r="G2685" t="str">
            <v>FRANOMI INNOVATION AND SKILLS LIMITED</v>
          </cell>
          <cell r="H2685" t="str">
            <v>-</v>
          </cell>
          <cell r="J2685" t="str">
            <v>Export</v>
          </cell>
          <cell r="L2685" t="str">
            <v>Non-Sugar</v>
          </cell>
          <cell r="O2685" t="str">
            <v>-</v>
          </cell>
          <cell r="P2685" t="str">
            <v>VA</v>
          </cell>
          <cell r="Q2685" t="str">
            <v>VG</v>
          </cell>
        </row>
        <row r="2686">
          <cell r="F2686" t="str">
            <v>AHME01F057</v>
          </cell>
          <cell r="G2686" t="str">
            <v>FRY &amp; BAKE PVT LTD</v>
          </cell>
          <cell r="H2686" t="str">
            <v>-</v>
          </cell>
          <cell r="J2686" t="str">
            <v>Domestic</v>
          </cell>
          <cell r="L2686" t="str">
            <v>Non-Sugar</v>
          </cell>
          <cell r="O2686" t="str">
            <v>-</v>
          </cell>
          <cell r="P2686" t="str">
            <v>HO</v>
          </cell>
          <cell r="Q2686" t="str">
            <v>AVIRAL SHUKLA</v>
          </cell>
        </row>
        <row r="2687">
          <cell r="F2687" t="str">
            <v>RAIG01F052</v>
          </cell>
          <cell r="G2687" t="str">
            <v>FULCRUM SHIPPING AND LOGISTICS PRIVATE LIMITED</v>
          </cell>
          <cell r="H2687" t="str">
            <v>-</v>
          </cell>
          <cell r="J2687" t="str">
            <v>Domestic</v>
          </cell>
          <cell r="L2687" t="str">
            <v>Non-Sugar</v>
          </cell>
          <cell r="O2687" t="str">
            <v>-</v>
          </cell>
          <cell r="P2687" t="str">
            <v>-</v>
          </cell>
          <cell r="Q2687" t="str">
            <v>-</v>
          </cell>
        </row>
        <row r="2688">
          <cell r="F2688" t="str">
            <v>NEPL01F048</v>
          </cell>
          <cell r="G2688" t="str">
            <v>FULJOR KHADYA UDYOG</v>
          </cell>
          <cell r="H2688" t="str">
            <v>-</v>
          </cell>
          <cell r="J2688" t="str">
            <v>Export</v>
          </cell>
          <cell r="L2688" t="str">
            <v>Non-Sugar</v>
          </cell>
          <cell r="M2688" t="str">
            <v>End User</v>
          </cell>
          <cell r="O2688" t="str">
            <v>-</v>
          </cell>
          <cell r="P2688" t="str">
            <v>VA</v>
          </cell>
          <cell r="Q2688" t="str">
            <v>-</v>
          </cell>
        </row>
        <row r="2689">
          <cell r="F2689" t="str">
            <v>SONI01F041</v>
          </cell>
          <cell r="G2689" t="str">
            <v>FUN REACH FOODS PVT LTD</v>
          </cell>
          <cell r="H2689" t="str">
            <v>-</v>
          </cell>
          <cell r="J2689" t="str">
            <v>Domestic</v>
          </cell>
          <cell r="L2689" t="str">
            <v>Non-Sugar</v>
          </cell>
          <cell r="O2689" t="str">
            <v>-</v>
          </cell>
          <cell r="P2689" t="str">
            <v>-</v>
          </cell>
          <cell r="Q2689" t="str">
            <v>-</v>
          </cell>
        </row>
        <row r="2690">
          <cell r="F2690" t="str">
            <v>MAND01G112</v>
          </cell>
          <cell r="G2690" t="str">
            <v>GAGPIN BRWERIES</v>
          </cell>
          <cell r="H2690" t="str">
            <v>-</v>
          </cell>
          <cell r="J2690" t="str">
            <v>Domestic</v>
          </cell>
          <cell r="L2690" t="str">
            <v>Non-Sugar</v>
          </cell>
          <cell r="O2690" t="str">
            <v>-</v>
          </cell>
          <cell r="P2690" t="str">
            <v>-</v>
          </cell>
          <cell r="Q2690" t="str">
            <v>-</v>
          </cell>
        </row>
        <row r="2691">
          <cell r="F2691" t="str">
            <v>CHEN01G077</v>
          </cell>
          <cell r="G2691" t="str">
            <v>GAJA ENGINEERING PVT LTD</v>
          </cell>
          <cell r="H2691" t="str">
            <v>-</v>
          </cell>
          <cell r="J2691" t="str">
            <v>Domestic</v>
          </cell>
          <cell r="K2691" t="str">
            <v>OEM</v>
          </cell>
          <cell r="L2691" t="str">
            <v>Non-Sugar</v>
          </cell>
          <cell r="M2691" t="str">
            <v>OEM</v>
          </cell>
          <cell r="P2691" t="str">
            <v>SI-GS</v>
          </cell>
          <cell r="Q2691" t="str">
            <v>SI-GS</v>
          </cell>
          <cell r="W2691">
            <v>45699</v>
          </cell>
        </row>
        <row r="2692">
          <cell r="F2692" t="str">
            <v>RAGH01J060</v>
          </cell>
          <cell r="G2692" t="str">
            <v>GANGAPUR SAHAKARI SAKHAR KARKHANA LTD. (JAI HIND SUGAR UNIT-2)</v>
          </cell>
          <cell r="H2692" t="str">
            <v>-</v>
          </cell>
          <cell r="J2692" t="str">
            <v>Domestic</v>
          </cell>
          <cell r="K2692" t="str">
            <v>Sugar</v>
          </cell>
          <cell r="M2692" t="str">
            <v>End User</v>
          </cell>
          <cell r="O2692">
            <v>2500</v>
          </cell>
          <cell r="P2692" t="str">
            <v>AV</v>
          </cell>
          <cell r="Q2692" t="str">
            <v>AV</v>
          </cell>
          <cell r="R2692" t="str">
            <v>AT</v>
          </cell>
          <cell r="T2692" t="str">
            <v>TOUR-11 (Aurangabad)</v>
          </cell>
          <cell r="U2692" t="str">
            <v>23-24</v>
          </cell>
          <cell r="W2692">
            <v>45169</v>
          </cell>
        </row>
        <row r="2693">
          <cell r="F2693" t="str">
            <v>YAMN01G104</v>
          </cell>
          <cell r="G2693" t="str">
            <v>GANPATI ENTERPRISES (S)</v>
          </cell>
          <cell r="H2693" t="str">
            <v>-</v>
          </cell>
          <cell r="J2693" t="str">
            <v>Domestic</v>
          </cell>
          <cell r="L2693" t="str">
            <v>Non-Sugar</v>
          </cell>
          <cell r="O2693" t="str">
            <v>-</v>
          </cell>
          <cell r="P2693" t="str">
            <v>-</v>
          </cell>
          <cell r="Q2693" t="str">
            <v>-</v>
          </cell>
        </row>
        <row r="2694">
          <cell r="F2694" t="str">
            <v>KOLK01G107</v>
          </cell>
          <cell r="G2694" t="str">
            <v>GARDEN REACH SHIP BUILDERS &amp; ENGINEERS LTD</v>
          </cell>
          <cell r="H2694" t="str">
            <v>-</v>
          </cell>
          <cell r="J2694" t="str">
            <v>Domestic</v>
          </cell>
          <cell r="L2694" t="str">
            <v>Non-Sugar</v>
          </cell>
          <cell r="O2694" t="str">
            <v>-</v>
          </cell>
          <cell r="P2694" t="str">
            <v>-</v>
          </cell>
          <cell r="Q2694" t="str">
            <v>-</v>
          </cell>
        </row>
        <row r="2695">
          <cell r="F2695" t="str">
            <v>MUZF01G072</v>
          </cell>
          <cell r="G2695" t="str">
            <v>GARG DUPLEX PAPER MILL</v>
          </cell>
          <cell r="H2695" t="str">
            <v>-</v>
          </cell>
          <cell r="J2695" t="str">
            <v>Domestic</v>
          </cell>
          <cell r="K2695" t="str">
            <v>Paper</v>
          </cell>
          <cell r="L2695" t="str">
            <v>Non-Sugar</v>
          </cell>
          <cell r="M2695" t="str">
            <v>End User</v>
          </cell>
          <cell r="O2695" t="str">
            <v>-</v>
          </cell>
          <cell r="P2695" t="str">
            <v>HO</v>
          </cell>
          <cell r="Q2695" t="str">
            <v>HIMANSHU KUSHWAHA</v>
          </cell>
          <cell r="T2695" t="str">
            <v>-</v>
          </cell>
          <cell r="U2695" t="str">
            <v>25-26</v>
          </cell>
          <cell r="W2695">
            <v>45965</v>
          </cell>
        </row>
        <row r="2696">
          <cell r="F2696" t="str">
            <v>MUMB01G114</v>
          </cell>
          <cell r="G2696" t="str">
            <v>GEGADYNE ENERGY</v>
          </cell>
          <cell r="H2696" t="str">
            <v>-</v>
          </cell>
          <cell r="J2696" t="str">
            <v>Domestic</v>
          </cell>
          <cell r="L2696" t="str">
            <v>Non-Sugar</v>
          </cell>
          <cell r="O2696" t="str">
            <v>-</v>
          </cell>
          <cell r="P2696" t="str">
            <v>-</v>
          </cell>
          <cell r="Q2696" t="str">
            <v>-</v>
          </cell>
        </row>
        <row r="2697">
          <cell r="F2697" t="str">
            <v>KOLK01G115</v>
          </cell>
          <cell r="G2697" t="str">
            <v>GEM ALLIED INDUSTRIES</v>
          </cell>
          <cell r="H2697" t="str">
            <v>-</v>
          </cell>
          <cell r="J2697" t="str">
            <v>Domestic</v>
          </cell>
          <cell r="L2697" t="str">
            <v>Non-Sugar</v>
          </cell>
          <cell r="O2697" t="str">
            <v>-</v>
          </cell>
          <cell r="P2697" t="str">
            <v>-</v>
          </cell>
          <cell r="Q2697" t="str">
            <v>-</v>
          </cell>
        </row>
        <row r="2698">
          <cell r="F2698" t="str">
            <v>TIRV01G116</v>
          </cell>
          <cell r="G2698" t="str">
            <v>GEN ROBOTICS</v>
          </cell>
          <cell r="H2698" t="str">
            <v>-</v>
          </cell>
          <cell r="J2698" t="str">
            <v>Domestic</v>
          </cell>
          <cell r="L2698" t="str">
            <v>Non-Sugar</v>
          </cell>
          <cell r="O2698" t="str">
            <v>-</v>
          </cell>
          <cell r="P2698" t="str">
            <v>-</v>
          </cell>
          <cell r="Q2698" t="str">
            <v>-</v>
          </cell>
        </row>
        <row r="2699">
          <cell r="F2699" t="str">
            <v>PUNE01G087</v>
          </cell>
          <cell r="G2699" t="str">
            <v>GHARPURE ENGINERING &amp; CONSTRUCTIONS PVT LTD</v>
          </cell>
          <cell r="H2699" t="str">
            <v>-</v>
          </cell>
          <cell r="J2699" t="str">
            <v>Domestic</v>
          </cell>
          <cell r="K2699" t="str">
            <v>-</v>
          </cell>
          <cell r="L2699" t="str">
            <v>Non-Sugar</v>
          </cell>
          <cell r="O2699" t="str">
            <v>-</v>
          </cell>
          <cell r="P2699" t="str">
            <v>VA</v>
          </cell>
          <cell r="Q2699" t="str">
            <v>-</v>
          </cell>
          <cell r="T2699" t="str">
            <v>-</v>
          </cell>
          <cell r="U2699" t="str">
            <v>-</v>
          </cell>
          <cell r="W2699" t="str">
            <v>-</v>
          </cell>
        </row>
        <row r="2700">
          <cell r="F2700" t="str">
            <v>THNA01G045</v>
          </cell>
          <cell r="G2700" t="str">
            <v>GIPFEL ENGINEERING</v>
          </cell>
          <cell r="H2700" t="str">
            <v>-</v>
          </cell>
          <cell r="J2700" t="str">
            <v>Domestic</v>
          </cell>
          <cell r="L2700" t="str">
            <v>Non-Sugar</v>
          </cell>
          <cell r="O2700" t="str">
            <v>-</v>
          </cell>
          <cell r="P2700" t="str">
            <v>-</v>
          </cell>
          <cell r="Q2700" t="str">
            <v>-</v>
          </cell>
        </row>
        <row r="2701">
          <cell r="F2701" t="str">
            <v>BETU01G121</v>
          </cell>
          <cell r="G2701" t="str">
            <v>GIRIRAJ SUGAR</v>
          </cell>
          <cell r="H2701" t="str">
            <v>-</v>
          </cell>
          <cell r="J2701" t="str">
            <v>Domestic</v>
          </cell>
          <cell r="L2701" t="str">
            <v>Non-Sugar</v>
          </cell>
          <cell r="O2701">
            <v>2000</v>
          </cell>
          <cell r="P2701" t="str">
            <v>HO</v>
          </cell>
          <cell r="Q2701" t="str">
            <v>AVIRAL SHUKLA</v>
          </cell>
          <cell r="U2701" t="str">
            <v>25-26</v>
          </cell>
          <cell r="W2701" t="str">
            <v>12-01-2026
15-05-2025</v>
          </cell>
        </row>
        <row r="2702">
          <cell r="F2702" t="str">
            <v>BARR01G123</v>
          </cell>
          <cell r="G2702" t="str">
            <v>GLOBAL SUPPLIES SOLUTIONS</v>
          </cell>
          <cell r="H2702" t="str">
            <v>-</v>
          </cell>
          <cell r="J2702" t="str">
            <v>Export</v>
          </cell>
          <cell r="L2702" t="str">
            <v>Non-Sugar</v>
          </cell>
          <cell r="O2702" t="str">
            <v>-</v>
          </cell>
          <cell r="P2702" t="str">
            <v>VA</v>
          </cell>
          <cell r="Q2702" t="str">
            <v>ANKUR</v>
          </cell>
        </row>
        <row r="2703">
          <cell r="F2703" t="str">
            <v>PUNE01G124</v>
          </cell>
          <cell r="G2703" t="str">
            <v>GLOBAL TRADELINKS</v>
          </cell>
          <cell r="H2703" t="str">
            <v>-</v>
          </cell>
          <cell r="J2703" t="str">
            <v>Domestic</v>
          </cell>
          <cell r="P2703" t="str">
            <v>SP</v>
          </cell>
          <cell r="Q2703" t="str">
            <v>-</v>
          </cell>
        </row>
        <row r="2704">
          <cell r="F2704" t="str">
            <v>CHEN01G141</v>
          </cell>
          <cell r="G2704" t="str">
            <v>GLOBALSYNC PVT LTD</v>
          </cell>
          <cell r="H2704" t="str">
            <v>-</v>
          </cell>
          <cell r="J2704" t="str">
            <v>Domestic</v>
          </cell>
          <cell r="P2704" t="str">
            <v>SI-SIVA</v>
          </cell>
          <cell r="Q2704" t="str">
            <v>M SIVA</v>
          </cell>
        </row>
        <row r="2705">
          <cell r="F2705" t="str">
            <v>POND01G093</v>
          </cell>
          <cell r="G2705" t="str">
            <v>GOA SHIPYARD</v>
          </cell>
          <cell r="H2705" t="str">
            <v>-</v>
          </cell>
          <cell r="J2705" t="str">
            <v>Domestic</v>
          </cell>
          <cell r="K2705" t="str">
            <v>-</v>
          </cell>
          <cell r="L2705" t="str">
            <v>Non-Sugar</v>
          </cell>
          <cell r="O2705" t="str">
            <v>-</v>
          </cell>
          <cell r="P2705" t="str">
            <v>VA</v>
          </cell>
          <cell r="Q2705" t="str">
            <v>-</v>
          </cell>
          <cell r="T2705" t="str">
            <v>-</v>
          </cell>
          <cell r="U2705" t="str">
            <v>-</v>
          </cell>
          <cell r="W2705" t="str">
            <v>-</v>
          </cell>
        </row>
        <row r="2706">
          <cell r="F2706" t="str">
            <v>CHEN01G108</v>
          </cell>
          <cell r="G2706" t="str">
            <v>GOPIKA AGRO PRODUCT PRIVATE LTD</v>
          </cell>
          <cell r="H2706" t="str">
            <v>-</v>
          </cell>
          <cell r="J2706" t="str">
            <v>Domestic</v>
          </cell>
          <cell r="L2706" t="str">
            <v>Non-Sugar</v>
          </cell>
          <cell r="O2706" t="str">
            <v>-</v>
          </cell>
          <cell r="P2706" t="str">
            <v>-</v>
          </cell>
          <cell r="Q2706" t="str">
            <v>-</v>
          </cell>
        </row>
        <row r="2707">
          <cell r="F2707" t="str">
            <v>MEHS01G110</v>
          </cell>
          <cell r="G2707" t="str">
            <v>GOVINDLAL ASHARAM</v>
          </cell>
          <cell r="H2707" t="str">
            <v>-</v>
          </cell>
          <cell r="J2707" t="str">
            <v>Domestic</v>
          </cell>
          <cell r="L2707" t="str">
            <v>Non-Sugar</v>
          </cell>
          <cell r="O2707" t="str">
            <v>-</v>
          </cell>
          <cell r="P2707" t="str">
            <v>-</v>
          </cell>
          <cell r="Q2707" t="str">
            <v>-</v>
          </cell>
        </row>
        <row r="2708">
          <cell r="F2708" t="str">
            <v>BANG01G128</v>
          </cell>
          <cell r="G2708" t="str">
            <v>GPS RENEWABLES PVT LTD</v>
          </cell>
          <cell r="H2708" t="str">
            <v>-</v>
          </cell>
          <cell r="J2708" t="str">
            <v>Domestic</v>
          </cell>
          <cell r="L2708" t="str">
            <v>Non-Sugar</v>
          </cell>
          <cell r="O2708" t="str">
            <v>-</v>
          </cell>
          <cell r="P2708" t="str">
            <v>SI-SIVA</v>
          </cell>
          <cell r="Q2708" t="str">
            <v>M SIVA</v>
          </cell>
        </row>
        <row r="2709">
          <cell r="F2709" t="str">
            <v>BEME01G137</v>
          </cell>
          <cell r="G2709" t="str">
            <v>GR GROUP OF INDUSTRIES</v>
          </cell>
          <cell r="H2709" t="str">
            <v>-</v>
          </cell>
          <cell r="J2709" t="str">
            <v>Domestic</v>
          </cell>
          <cell r="L2709" t="str">
            <v>Non-Sugar</v>
          </cell>
          <cell r="O2709" t="str">
            <v>-</v>
          </cell>
          <cell r="P2709" t="str">
            <v>-</v>
          </cell>
          <cell r="Q2709" t="str">
            <v>-</v>
          </cell>
        </row>
        <row r="2710">
          <cell r="F2710" t="str">
            <v>AHME01G135</v>
          </cell>
          <cell r="G2710" t="str">
            <v>GRAINSPAN NUTRIENTS PVT LTD ENL-II</v>
          </cell>
          <cell r="H2710" t="str">
            <v>-</v>
          </cell>
          <cell r="J2710" t="str">
            <v>Domestic</v>
          </cell>
          <cell r="L2710" t="str">
            <v>Non-Sugar</v>
          </cell>
          <cell r="O2710" t="str">
            <v>-</v>
          </cell>
          <cell r="P2710" t="str">
            <v>-</v>
          </cell>
          <cell r="Q2710" t="str">
            <v>-</v>
          </cell>
        </row>
        <row r="2711">
          <cell r="F2711" t="str">
            <v>KOLH01G120</v>
          </cell>
          <cell r="G2711" t="str">
            <v>GRAVITY ENGINEERS CORPORATION</v>
          </cell>
          <cell r="H2711" t="str">
            <v>-</v>
          </cell>
          <cell r="J2711" t="str">
            <v>Domestic</v>
          </cell>
          <cell r="K2711" t="str">
            <v>OTHERS</v>
          </cell>
          <cell r="L2711" t="str">
            <v>Non-Sugar</v>
          </cell>
          <cell r="M2711" t="str">
            <v>OEM</v>
          </cell>
          <cell r="O2711" t="str">
            <v>-</v>
          </cell>
          <cell r="P2711" t="str">
            <v>AV</v>
          </cell>
          <cell r="Q2711" t="str">
            <v>AV</v>
          </cell>
          <cell r="R2711" t="str">
            <v>OEM</v>
          </cell>
          <cell r="T2711" t="str">
            <v>-</v>
          </cell>
          <cell r="W2711" t="str">
            <v>-</v>
          </cell>
        </row>
        <row r="2712">
          <cell r="F2712" t="str">
            <v>KANP01G106</v>
          </cell>
          <cell r="G2712" t="str">
            <v>GREEN GOLD FEED INDIA</v>
          </cell>
          <cell r="H2712" t="str">
            <v>-</v>
          </cell>
          <cell r="J2712" t="str">
            <v>Domestic</v>
          </cell>
          <cell r="L2712" t="str">
            <v>Non-Sugar</v>
          </cell>
          <cell r="O2712" t="str">
            <v>-</v>
          </cell>
          <cell r="P2712" t="str">
            <v>-</v>
          </cell>
          <cell r="Q2712" t="str">
            <v>-</v>
          </cell>
        </row>
        <row r="2713">
          <cell r="F2713" t="str">
            <v>KORA01G129</v>
          </cell>
          <cell r="G2713" t="str">
            <v>GREEN HOUSE ENGINEERING SERVICES PVT LTD</v>
          </cell>
          <cell r="H2713" t="str">
            <v>-</v>
          </cell>
          <cell r="J2713" t="str">
            <v>Domestic</v>
          </cell>
          <cell r="P2713" t="str">
            <v>SI-MANI</v>
          </cell>
          <cell r="Q2713" t="str">
            <v>M SIVA</v>
          </cell>
        </row>
        <row r="2714">
          <cell r="F2714" t="str">
            <v>LATU01G145</v>
          </cell>
          <cell r="G2714" t="str">
            <v>GREENATIVE PETROCHEM PVT LTD</v>
          </cell>
          <cell r="H2714" t="str">
            <v>-</v>
          </cell>
          <cell r="J2714" t="str">
            <v>Domestic</v>
          </cell>
          <cell r="P2714" t="str">
            <v>-</v>
          </cell>
          <cell r="Q2714" t="str">
            <v>-</v>
          </cell>
        </row>
        <row r="2715">
          <cell r="F2715" t="str">
            <v>KANP01G113</v>
          </cell>
          <cell r="G2715" t="str">
            <v>GREENGINE ENVIROMENTAL TECHNOLOGIES PVT LTD</v>
          </cell>
          <cell r="H2715" t="str">
            <v>-</v>
          </cell>
          <cell r="J2715" t="str">
            <v>Domestic</v>
          </cell>
          <cell r="L2715" t="str">
            <v>Non-Sugar</v>
          </cell>
          <cell r="O2715" t="str">
            <v>-</v>
          </cell>
          <cell r="P2715" t="str">
            <v>HO</v>
          </cell>
          <cell r="Q2715" t="str">
            <v>AVIRAL SHUKLA</v>
          </cell>
        </row>
        <row r="2716">
          <cell r="F2716" t="str">
            <v>TIRP01G142</v>
          </cell>
          <cell r="G2716" t="str">
            <v>GREENPANEL INDUSTRIES LIMITED</v>
          </cell>
          <cell r="H2716" t="str">
            <v>-</v>
          </cell>
          <cell r="J2716" t="str">
            <v>Domestic</v>
          </cell>
          <cell r="P2716" t="str">
            <v>SI-SIVA</v>
          </cell>
          <cell r="Q2716" t="str">
            <v>M SIVA</v>
          </cell>
        </row>
        <row r="2717">
          <cell r="F2717" t="str">
            <v>KOLH01G133</v>
          </cell>
          <cell r="G2717" t="str">
            <v>GREENTEX RECYLING PVT. LTD</v>
          </cell>
          <cell r="H2717" t="str">
            <v>-</v>
          </cell>
          <cell r="J2717" t="str">
            <v>Domestic</v>
          </cell>
          <cell r="K2717" t="str">
            <v>OTHERS</v>
          </cell>
          <cell r="L2717" t="str">
            <v>Non-Sugar</v>
          </cell>
          <cell r="M2717" t="str">
            <v>End User</v>
          </cell>
          <cell r="P2717" t="str">
            <v>AV</v>
          </cell>
          <cell r="Q2717" t="str">
            <v>AV</v>
          </cell>
          <cell r="R2717" t="str">
            <v>VG</v>
          </cell>
        </row>
        <row r="2718">
          <cell r="F2718" t="str">
            <v>GHZB01G130</v>
          </cell>
          <cell r="G2718" t="str">
            <v>GROWDIESEL VENTURES LIMITED</v>
          </cell>
          <cell r="H2718" t="str">
            <v>-</v>
          </cell>
          <cell r="J2718" t="str">
            <v>Domestic</v>
          </cell>
          <cell r="L2718" t="str">
            <v>Non-Sugar</v>
          </cell>
          <cell r="O2718" t="str">
            <v>-</v>
          </cell>
          <cell r="P2718" t="str">
            <v>-</v>
          </cell>
          <cell r="Q2718" t="str">
            <v>-</v>
          </cell>
        </row>
        <row r="2719">
          <cell r="F2719" t="str">
            <v>DLHI01G119</v>
          </cell>
          <cell r="G2719" t="str">
            <v>GROWDIESEL VENTURES PVT LTD</v>
          </cell>
          <cell r="H2719" t="str">
            <v>-</v>
          </cell>
          <cell r="J2719" t="str">
            <v>Domestic</v>
          </cell>
          <cell r="L2719" t="str">
            <v>Non-Sugar</v>
          </cell>
          <cell r="O2719" t="str">
            <v>-</v>
          </cell>
          <cell r="P2719" t="str">
            <v>-</v>
          </cell>
          <cell r="Q2719" t="str">
            <v>-</v>
          </cell>
        </row>
        <row r="2720">
          <cell r="F2720" t="str">
            <v>BORG01G071</v>
          </cell>
          <cell r="G2720" t="str">
            <v>GULSHAN POLYOLS LTD</v>
          </cell>
          <cell r="H2720" t="str">
            <v>-</v>
          </cell>
          <cell r="J2720" t="str">
            <v>Domestic</v>
          </cell>
          <cell r="K2720" t="str">
            <v>-</v>
          </cell>
          <cell r="L2720" t="str">
            <v>Non-Sugar</v>
          </cell>
          <cell r="O2720" t="str">
            <v>-</v>
          </cell>
          <cell r="P2720" t="str">
            <v>HO</v>
          </cell>
          <cell r="Q2720" t="str">
            <v>AVIRAL SHUKLA</v>
          </cell>
          <cell r="T2720" t="str">
            <v>Delhi tour</v>
          </cell>
          <cell r="U2720" t="str">
            <v>25-26</v>
          </cell>
          <cell r="W2720" t="str">
            <v>15-10-2025
10/10/2024</v>
          </cell>
        </row>
        <row r="2721">
          <cell r="F2721" t="str">
            <v>GAND01G131</v>
          </cell>
          <cell r="G2721" t="str">
            <v>GUNJAN PAINTS LIMITED</v>
          </cell>
          <cell r="H2721" t="str">
            <v>-</v>
          </cell>
          <cell r="J2721" t="str">
            <v>Domestic</v>
          </cell>
          <cell r="L2721" t="str">
            <v>Non-Sugar</v>
          </cell>
          <cell r="O2721" t="str">
            <v>-</v>
          </cell>
          <cell r="P2721" t="str">
            <v>-</v>
          </cell>
          <cell r="Q2721" t="str">
            <v>-</v>
          </cell>
        </row>
        <row r="2722">
          <cell r="F2722" t="str">
            <v>BHOR01G136</v>
          </cell>
          <cell r="G2722" t="str">
            <v>GVPR ENGINEERS LIMITED</v>
          </cell>
          <cell r="H2722" t="str">
            <v>-</v>
          </cell>
          <cell r="J2722" t="str">
            <v>Domestic</v>
          </cell>
          <cell r="L2722" t="str">
            <v>Non-Sugar</v>
          </cell>
          <cell r="O2722" t="str">
            <v>-</v>
          </cell>
          <cell r="P2722" t="str">
            <v>-</v>
          </cell>
          <cell r="Q2722" t="str">
            <v>-</v>
          </cell>
        </row>
        <row r="2723">
          <cell r="F2723" t="str">
            <v>THAN01H075</v>
          </cell>
          <cell r="G2723" t="str">
            <v>HAICO INDIA</v>
          </cell>
          <cell r="H2723" t="str">
            <v>-</v>
          </cell>
          <cell r="J2723" t="str">
            <v>Domestic</v>
          </cell>
          <cell r="L2723" t="str">
            <v>Non-Sugar</v>
          </cell>
          <cell r="O2723" t="str">
            <v>-</v>
          </cell>
          <cell r="P2723" t="str">
            <v>-</v>
          </cell>
          <cell r="Q2723" t="str">
            <v>-</v>
          </cell>
        </row>
        <row r="2724">
          <cell r="F2724" t="str">
            <v>KANP01H088</v>
          </cell>
          <cell r="G2724" t="str">
            <v>HAL INDIA CO.</v>
          </cell>
          <cell r="H2724" t="str">
            <v>-</v>
          </cell>
          <cell r="J2724" t="str">
            <v>Domestic</v>
          </cell>
          <cell r="L2724" t="str">
            <v>Non-Sugar</v>
          </cell>
          <cell r="O2724" t="str">
            <v>-</v>
          </cell>
          <cell r="P2724" t="str">
            <v>-</v>
          </cell>
          <cell r="Q2724" t="str">
            <v>-</v>
          </cell>
        </row>
        <row r="2725">
          <cell r="F2725" t="str">
            <v>MUMB01H056</v>
          </cell>
          <cell r="G2725" t="str">
            <v>HAL OFFSHORE LTD</v>
          </cell>
          <cell r="H2725" t="str">
            <v>-</v>
          </cell>
          <cell r="J2725" t="str">
            <v>Domestic</v>
          </cell>
          <cell r="K2725" t="str">
            <v>-</v>
          </cell>
          <cell r="L2725" t="str">
            <v>Non-Sugar</v>
          </cell>
          <cell r="O2725" t="str">
            <v>-</v>
          </cell>
          <cell r="P2725" t="str">
            <v>VA</v>
          </cell>
          <cell r="Q2725" t="str">
            <v>-</v>
          </cell>
          <cell r="T2725" t="str">
            <v>-</v>
          </cell>
          <cell r="U2725" t="str">
            <v>-</v>
          </cell>
          <cell r="W2725" t="str">
            <v>-</v>
          </cell>
        </row>
        <row r="2726">
          <cell r="F2726" t="str">
            <v>NODA01H073</v>
          </cell>
          <cell r="G2726" t="str">
            <v>HAMDARD LABORATORY INDIA</v>
          </cell>
          <cell r="H2726" t="str">
            <v>-</v>
          </cell>
          <cell r="J2726" t="str">
            <v>Domestic</v>
          </cell>
          <cell r="L2726" t="str">
            <v>Non-Sugar</v>
          </cell>
          <cell r="O2726" t="str">
            <v>-</v>
          </cell>
          <cell r="P2726" t="str">
            <v>-</v>
          </cell>
          <cell r="Q2726" t="str">
            <v>-</v>
          </cell>
        </row>
        <row r="2727">
          <cell r="F2727" t="str">
            <v>SAMB01H095</v>
          </cell>
          <cell r="G2727" t="str">
            <v>HAMMA FOODS PVT. LTD</v>
          </cell>
          <cell r="H2727" t="str">
            <v>-</v>
          </cell>
          <cell r="J2727" t="str">
            <v>Domestic</v>
          </cell>
          <cell r="L2727" t="str">
            <v>Non-Sugar</v>
          </cell>
          <cell r="P2727" t="str">
            <v>WI-SV</v>
          </cell>
          <cell r="Q2727" t="str">
            <v>SUDHIR</v>
          </cell>
        </row>
        <row r="2728">
          <cell r="F2728" t="str">
            <v>HYDE1H061</v>
          </cell>
          <cell r="G2728" t="str">
            <v>HARDAYAL ENGINEERING WORKS (P).LTD</v>
          </cell>
          <cell r="H2728" t="str">
            <v>-</v>
          </cell>
          <cell r="J2728" t="str">
            <v>Domestic</v>
          </cell>
          <cell r="L2728" t="str">
            <v>Non-Sugar</v>
          </cell>
          <cell r="O2728" t="str">
            <v>-</v>
          </cell>
          <cell r="P2728" t="str">
            <v>-</v>
          </cell>
          <cell r="Q2728" t="str">
            <v>-</v>
          </cell>
        </row>
        <row r="2729">
          <cell r="F2729" t="str">
            <v>GORA01H083</v>
          </cell>
          <cell r="G2729" t="str">
            <v>HARIOM FEEDS</v>
          </cell>
          <cell r="H2729" t="str">
            <v>-</v>
          </cell>
          <cell r="J2729" t="str">
            <v>Domestic</v>
          </cell>
          <cell r="L2729" t="str">
            <v>Non-Sugar</v>
          </cell>
          <cell r="O2729" t="str">
            <v>-</v>
          </cell>
          <cell r="P2729" t="str">
            <v>-</v>
          </cell>
          <cell r="Q2729" t="str">
            <v>-</v>
          </cell>
        </row>
        <row r="2730">
          <cell r="F2730" t="str">
            <v>ALWR01H080</v>
          </cell>
          <cell r="G2730" t="str">
            <v>HARSH TECHNOCAST ENGINEERS</v>
          </cell>
          <cell r="H2730" t="str">
            <v>-</v>
          </cell>
          <cell r="J2730" t="str">
            <v>Domestic</v>
          </cell>
          <cell r="L2730" t="str">
            <v>Non-Sugar</v>
          </cell>
          <cell r="O2730" t="str">
            <v>-</v>
          </cell>
          <cell r="P2730" t="str">
            <v>-</v>
          </cell>
          <cell r="Q2730" t="str">
            <v>-</v>
          </cell>
        </row>
        <row r="2731">
          <cell r="F2731" t="str">
            <v>ESCH01H053</v>
          </cell>
          <cell r="G2731" t="str">
            <v>HASANPUR SUGAR MILL(unit of MAGADH SUGAR)</v>
          </cell>
          <cell r="H2731" t="str">
            <v>-</v>
          </cell>
          <cell r="I2731" t="str">
            <v>Magadh Group</v>
          </cell>
          <cell r="J2731" t="str">
            <v>Domestic</v>
          </cell>
          <cell r="K2731" t="str">
            <v>Sugar</v>
          </cell>
          <cell r="L2731" t="str">
            <v>Sugar</v>
          </cell>
          <cell r="M2731" t="str">
            <v>Group (Mills)</v>
          </cell>
          <cell r="O2731">
            <v>6500</v>
          </cell>
          <cell r="P2731" t="str">
            <v>HO</v>
          </cell>
          <cell r="Q2731" t="str">
            <v>HIMANSHU KUSHWAHA</v>
          </cell>
          <cell r="T2731" t="str">
            <v>-</v>
          </cell>
          <cell r="U2731" t="str">
            <v>-</v>
          </cell>
          <cell r="W2731" t="str">
            <v>-</v>
          </cell>
        </row>
        <row r="2732">
          <cell r="F2732" t="str">
            <v>PUNE01H074</v>
          </cell>
          <cell r="G2732" t="str">
            <v>HB FULLER INDIA ADHESIVE PVT LTD.</v>
          </cell>
          <cell r="H2732" t="str">
            <v>-</v>
          </cell>
          <cell r="J2732" t="str">
            <v>Domestic</v>
          </cell>
          <cell r="L2732" t="str">
            <v>Non-Sugar</v>
          </cell>
          <cell r="O2732" t="str">
            <v>-</v>
          </cell>
          <cell r="P2732" t="str">
            <v>-</v>
          </cell>
          <cell r="Q2732" t="str">
            <v>-</v>
          </cell>
        </row>
        <row r="2733">
          <cell r="F2733" t="str">
            <v>RUDR01H085</v>
          </cell>
          <cell r="G2733" t="str">
            <v>HELA INFRA MARKET WOOD PRODUCTS</v>
          </cell>
          <cell r="H2733" t="str">
            <v>-</v>
          </cell>
          <cell r="J2733" t="str">
            <v>Domestic</v>
          </cell>
          <cell r="L2733" t="str">
            <v>Non-Sugar</v>
          </cell>
          <cell r="O2733" t="str">
            <v>-</v>
          </cell>
          <cell r="P2733" t="str">
            <v>-</v>
          </cell>
          <cell r="Q2733" t="str">
            <v>-</v>
          </cell>
        </row>
        <row r="2734">
          <cell r="F2734" t="str">
            <v>NANA01H022</v>
          </cell>
          <cell r="G2734" t="str">
            <v>HEMA LABORATORIES PVT LTD</v>
          </cell>
          <cell r="H2734" t="str">
            <v>-</v>
          </cell>
          <cell r="J2734" t="str">
            <v>Domestic</v>
          </cell>
          <cell r="L2734" t="str">
            <v>Non-Sugar</v>
          </cell>
          <cell r="O2734" t="str">
            <v>-</v>
          </cell>
          <cell r="P2734" t="str">
            <v>-</v>
          </cell>
          <cell r="Q2734" t="str">
            <v>-</v>
          </cell>
        </row>
        <row r="2735">
          <cell r="F2735" t="str">
            <v>HARD01H078</v>
          </cell>
          <cell r="G2735" t="str">
            <v>HIMALAYA ASSOCIATE</v>
          </cell>
          <cell r="H2735" t="str">
            <v>-</v>
          </cell>
          <cell r="J2735" t="str">
            <v>Domestic</v>
          </cell>
          <cell r="L2735" t="str">
            <v>Non-Sugar</v>
          </cell>
          <cell r="O2735" t="str">
            <v>-</v>
          </cell>
          <cell r="P2735" t="str">
            <v>-</v>
          </cell>
          <cell r="Q2735" t="str">
            <v>-</v>
          </cell>
        </row>
        <row r="2736">
          <cell r="F2736" t="str">
            <v>MUMB01H092</v>
          </cell>
          <cell r="G2736" t="str">
            <v>HINDALCO INDUSTRIES LIMITED</v>
          </cell>
          <cell r="H2736" t="str">
            <v>-</v>
          </cell>
          <cell r="J2736" t="str">
            <v>Domestic</v>
          </cell>
          <cell r="L2736" t="str">
            <v>Non-Sugar</v>
          </cell>
          <cell r="P2736" t="str">
            <v>WI-SV</v>
          </cell>
          <cell r="Q2736" t="str">
            <v>SUDHIR</v>
          </cell>
        </row>
        <row r="2737">
          <cell r="F2737" t="str">
            <v>MUMB01H082</v>
          </cell>
          <cell r="G2737" t="str">
            <v>HINDUSTAN COLAS PVT LTD</v>
          </cell>
          <cell r="H2737" t="str">
            <v>-</v>
          </cell>
          <cell r="J2737" t="str">
            <v>Domestic</v>
          </cell>
          <cell r="L2737" t="str">
            <v>Non-Sugar</v>
          </cell>
          <cell r="O2737" t="str">
            <v>-</v>
          </cell>
          <cell r="P2737" t="str">
            <v>-</v>
          </cell>
          <cell r="Q2737" t="str">
            <v>-</v>
          </cell>
        </row>
        <row r="2738">
          <cell r="F2738" t="str">
            <v>ERNA01H077</v>
          </cell>
          <cell r="G2738" t="str">
            <v>HINDUSTAN ORGANIC CHEMICALS LIMITED</v>
          </cell>
          <cell r="H2738" t="str">
            <v>-</v>
          </cell>
          <cell r="J2738" t="str">
            <v>Domestic</v>
          </cell>
          <cell r="L2738" t="str">
            <v>Non-Sugar</v>
          </cell>
          <cell r="O2738" t="str">
            <v>-</v>
          </cell>
          <cell r="P2738" t="str">
            <v>-</v>
          </cell>
          <cell r="Q2738" t="str">
            <v>-</v>
          </cell>
        </row>
        <row r="2739">
          <cell r="F2739" t="str">
            <v>PUND01H093</v>
          </cell>
          <cell r="G2739" t="str">
            <v>HINDUSTAN UNILEVER LTD</v>
          </cell>
          <cell r="H2739" t="str">
            <v>-</v>
          </cell>
          <cell r="J2739" t="str">
            <v>Domestic</v>
          </cell>
          <cell r="P2739" t="str">
            <v>SI-SIVA</v>
          </cell>
          <cell r="Q2739" t="str">
            <v>M SIVA</v>
          </cell>
        </row>
        <row r="2740">
          <cell r="F2740" t="str">
            <v>NODA01H054</v>
          </cell>
          <cell r="G2740" t="str">
            <v>HITECH ENVIRO ENGINEERS AND SOLUTIONS</v>
          </cell>
          <cell r="H2740" t="str">
            <v>-</v>
          </cell>
          <cell r="J2740" t="str">
            <v>Domestic</v>
          </cell>
          <cell r="K2740" t="str">
            <v>-</v>
          </cell>
          <cell r="L2740" t="str">
            <v>Non-Sugar</v>
          </cell>
          <cell r="O2740" t="str">
            <v>-</v>
          </cell>
          <cell r="P2740" t="str">
            <v>HO</v>
          </cell>
          <cell r="Q2740" t="str">
            <v>-</v>
          </cell>
          <cell r="T2740" t="str">
            <v>-</v>
          </cell>
          <cell r="U2740" t="str">
            <v>-</v>
          </cell>
          <cell r="W2740" t="str">
            <v>-</v>
          </cell>
        </row>
        <row r="2741">
          <cell r="F2741" t="str">
            <v>NANA01H036</v>
          </cell>
          <cell r="G2741" t="str">
            <v>HITEX OVERSEAS</v>
          </cell>
          <cell r="H2741" t="str">
            <v>-</v>
          </cell>
          <cell r="J2741" t="str">
            <v>Domestic</v>
          </cell>
          <cell r="L2741" t="str">
            <v>Non-Sugar</v>
          </cell>
          <cell r="O2741" t="str">
            <v>-</v>
          </cell>
          <cell r="P2741" t="str">
            <v>-</v>
          </cell>
          <cell r="Q2741" t="str">
            <v>-</v>
          </cell>
        </row>
        <row r="2742">
          <cell r="F2742" t="str">
            <v>SATA01H079</v>
          </cell>
          <cell r="G2742" t="str">
            <v>HOME CELL</v>
          </cell>
          <cell r="H2742" t="str">
            <v>-</v>
          </cell>
          <cell r="J2742" t="str">
            <v>Domestic</v>
          </cell>
          <cell r="L2742" t="str">
            <v>Non-Sugar</v>
          </cell>
          <cell r="O2742" t="str">
            <v>-</v>
          </cell>
          <cell r="P2742" t="str">
            <v>-</v>
          </cell>
          <cell r="Q2742" t="str">
            <v>-</v>
          </cell>
        </row>
        <row r="2743">
          <cell r="F2743" t="str">
            <v>BANG01H084</v>
          </cell>
          <cell r="G2743" t="str">
            <v>HP GREEN R&amp;D CENTRE_HINDUSTAN PERTROLEUM CORPORATION LTD</v>
          </cell>
          <cell r="H2743" t="str">
            <v>-</v>
          </cell>
          <cell r="J2743" t="str">
            <v>Domestic</v>
          </cell>
          <cell r="K2743" t="str">
            <v>OIL</v>
          </cell>
          <cell r="L2743" t="str">
            <v>Non-Sugar</v>
          </cell>
          <cell r="M2743" t="str">
            <v>End User</v>
          </cell>
          <cell r="P2743" t="str">
            <v>MRK</v>
          </cell>
          <cell r="Q2743" t="str">
            <v>MRK</v>
          </cell>
          <cell r="R2743" t="str">
            <v>VG</v>
          </cell>
        </row>
        <row r="2744">
          <cell r="F2744" t="str">
            <v>WSCH01H023</v>
          </cell>
          <cell r="G2744" t="str">
            <v>HPCL BIOFUELS LTD [L]</v>
          </cell>
          <cell r="H2744" t="str">
            <v>-</v>
          </cell>
          <cell r="J2744" t="str">
            <v>Domestic</v>
          </cell>
          <cell r="K2744" t="str">
            <v>-</v>
          </cell>
          <cell r="L2744" t="str">
            <v>Non-Sugar</v>
          </cell>
          <cell r="O2744" t="str">
            <v>-</v>
          </cell>
          <cell r="P2744" t="str">
            <v>HO</v>
          </cell>
          <cell r="Q2744" t="str">
            <v>-</v>
          </cell>
          <cell r="T2744" t="str">
            <v>-</v>
          </cell>
          <cell r="U2744" t="str">
            <v>-</v>
          </cell>
          <cell r="W2744" t="str">
            <v>-</v>
          </cell>
        </row>
        <row r="2745">
          <cell r="F2745" t="str">
            <v>BANG01H087</v>
          </cell>
          <cell r="G2745" t="str">
            <v>HYCONS BIOENERGY</v>
          </cell>
          <cell r="H2745" t="str">
            <v>-</v>
          </cell>
          <cell r="J2745" t="str">
            <v>Domestic</v>
          </cell>
          <cell r="L2745" t="str">
            <v>Non-Sugar</v>
          </cell>
          <cell r="O2745" t="str">
            <v>-</v>
          </cell>
          <cell r="P2745" t="str">
            <v>-</v>
          </cell>
          <cell r="Q2745" t="str">
            <v>-</v>
          </cell>
        </row>
        <row r="2746">
          <cell r="F2746" t="str">
            <v>RAIP01H072</v>
          </cell>
          <cell r="G2746" t="str">
            <v>HYDROTECH ENGINEERING</v>
          </cell>
          <cell r="H2746" t="str">
            <v>-</v>
          </cell>
          <cell r="J2746" t="str">
            <v>Domestic</v>
          </cell>
          <cell r="L2746" t="str">
            <v>Non-Sugar</v>
          </cell>
          <cell r="O2746" t="str">
            <v>-</v>
          </cell>
          <cell r="P2746" t="str">
            <v>-</v>
          </cell>
          <cell r="Q2746" t="str">
            <v>-</v>
          </cell>
        </row>
        <row r="2747">
          <cell r="F2747" t="str">
            <v>HYDE01I095</v>
          </cell>
          <cell r="G2747" t="str">
            <v>I WATER SOLUTIONS</v>
          </cell>
          <cell r="H2747" t="str">
            <v>-</v>
          </cell>
          <cell r="J2747" t="str">
            <v>Domestic</v>
          </cell>
          <cell r="L2747" t="str">
            <v>Non-Sugar</v>
          </cell>
          <cell r="O2747" t="str">
            <v>-</v>
          </cell>
          <cell r="P2747" t="str">
            <v>-</v>
          </cell>
          <cell r="Q2747" t="str">
            <v>-</v>
          </cell>
        </row>
        <row r="2748">
          <cell r="F2748" t="str">
            <v>NIGE01I092</v>
          </cell>
          <cell r="G2748" t="str">
            <v>IBOM DEVELOPER FZE</v>
          </cell>
          <cell r="H2748" t="str">
            <v>-</v>
          </cell>
          <cell r="J2748" t="str">
            <v>Export</v>
          </cell>
          <cell r="L2748" t="str">
            <v>Non-Sugar</v>
          </cell>
          <cell r="O2748" t="str">
            <v>-</v>
          </cell>
          <cell r="P2748" t="str">
            <v>VA</v>
          </cell>
          <cell r="Q2748" t="str">
            <v>ANKUR</v>
          </cell>
        </row>
        <row r="2749">
          <cell r="F2749" t="str">
            <v>PUNE01I081</v>
          </cell>
          <cell r="G2749" t="str">
            <v>ICEAGE COLD STORAGE</v>
          </cell>
          <cell r="H2749" t="str">
            <v>-</v>
          </cell>
          <cell r="J2749" t="str">
            <v>Domestic</v>
          </cell>
          <cell r="L2749" t="str">
            <v>Non-Sugar</v>
          </cell>
          <cell r="O2749" t="str">
            <v>-</v>
          </cell>
          <cell r="P2749" t="str">
            <v>-</v>
          </cell>
          <cell r="Q2749" t="str">
            <v>-</v>
          </cell>
        </row>
        <row r="2750">
          <cell r="F2750" t="str">
            <v>MUMB01I084</v>
          </cell>
          <cell r="G2750" t="str">
            <v>ICTPL GLOBICON TERMINAL</v>
          </cell>
          <cell r="H2750" t="str">
            <v>-</v>
          </cell>
          <cell r="J2750" t="str">
            <v>Domestic</v>
          </cell>
          <cell r="L2750" t="str">
            <v>Non-Sugar</v>
          </cell>
          <cell r="O2750" t="str">
            <v>-</v>
          </cell>
          <cell r="P2750" t="str">
            <v>-</v>
          </cell>
          <cell r="Q2750" t="str">
            <v>-</v>
          </cell>
        </row>
        <row r="2751">
          <cell r="F2751" t="str">
            <v>MUMB01I073</v>
          </cell>
          <cell r="G2751" t="str">
            <v>IIT BOMBAY</v>
          </cell>
          <cell r="H2751" t="str">
            <v>-</v>
          </cell>
          <cell r="J2751" t="str">
            <v>Domestic</v>
          </cell>
          <cell r="L2751" t="str">
            <v>Non-Sugar</v>
          </cell>
          <cell r="O2751" t="str">
            <v>-</v>
          </cell>
          <cell r="P2751" t="str">
            <v>-</v>
          </cell>
          <cell r="Q2751" t="str">
            <v>-</v>
          </cell>
          <cell r="U2751" t="str">
            <v>25-26</v>
          </cell>
          <cell r="V2751" t="str">
            <v>Mar</v>
          </cell>
          <cell r="W2751" t="str">
            <v>24-03-2026</v>
          </cell>
        </row>
        <row r="2752">
          <cell r="F2752" t="str">
            <v>PUNE01I096</v>
          </cell>
          <cell r="G2752" t="str">
            <v>IKSHU INDIAN BIOFUEL PVT LTD</v>
          </cell>
          <cell r="H2752" t="str">
            <v>-</v>
          </cell>
          <cell r="J2752" t="str">
            <v>Domestic</v>
          </cell>
          <cell r="L2752" t="str">
            <v>Non-Sugar</v>
          </cell>
          <cell r="M2752" t="str">
            <v>OEM</v>
          </cell>
          <cell r="P2752" t="str">
            <v>WI-SV</v>
          </cell>
          <cell r="Q2752" t="str">
            <v>SUDHIR</v>
          </cell>
        </row>
        <row r="2753">
          <cell r="F2753" t="str">
            <v>PHIL01I101</v>
          </cell>
          <cell r="G2753" t="str">
            <v>IMCO ALLOYS</v>
          </cell>
          <cell r="H2753" t="str">
            <v>-</v>
          </cell>
          <cell r="J2753" t="str">
            <v>Domestic</v>
          </cell>
          <cell r="K2753" t="str">
            <v>others</v>
          </cell>
          <cell r="L2753" t="str">
            <v>Non-Sugar</v>
          </cell>
          <cell r="M2753" t="str">
            <v>Trader</v>
          </cell>
          <cell r="P2753" t="str">
            <v>AV</v>
          </cell>
          <cell r="Q2753" t="str">
            <v>AV</v>
          </cell>
          <cell r="R2753" t="str">
            <v>-</v>
          </cell>
        </row>
        <row r="2754">
          <cell r="F2754" t="str">
            <v>UNNA01I102</v>
          </cell>
          <cell r="G2754" t="str">
            <v>INDAGRO FOOD PVT LTD</v>
          </cell>
          <cell r="H2754" t="str">
            <v>-</v>
          </cell>
          <cell r="J2754" t="str">
            <v>Domestic</v>
          </cell>
          <cell r="L2754" t="str">
            <v>Non-Sugar</v>
          </cell>
          <cell r="O2754" t="str">
            <v>-</v>
          </cell>
          <cell r="P2754" t="str">
            <v>HO</v>
          </cell>
          <cell r="Q2754" t="str">
            <v>AVIRAL SHUKLA</v>
          </cell>
        </row>
        <row r="2755">
          <cell r="F2755" t="str">
            <v>DUBA01I091</v>
          </cell>
          <cell r="G2755" t="str">
            <v>INDEPENDENT SUPPLIES DMCC</v>
          </cell>
          <cell r="H2755" t="str">
            <v>-</v>
          </cell>
          <cell r="J2755" t="str">
            <v>Export</v>
          </cell>
          <cell r="L2755" t="str">
            <v>Non-Sugar</v>
          </cell>
          <cell r="O2755" t="str">
            <v>-</v>
          </cell>
          <cell r="P2755" t="str">
            <v>VA</v>
          </cell>
          <cell r="Q2755" t="str">
            <v>ANKUR</v>
          </cell>
        </row>
        <row r="2756">
          <cell r="F2756" t="str">
            <v>HYDE01I103</v>
          </cell>
          <cell r="G2756" t="str">
            <v>INDIAN INSTITUTE OF CHEMICAL TECNOLOGY (IICT)</v>
          </cell>
          <cell r="H2756" t="str">
            <v>-</v>
          </cell>
          <cell r="J2756" t="str">
            <v>Domestic</v>
          </cell>
          <cell r="P2756" t="str">
            <v>SI-SIVA</v>
          </cell>
          <cell r="Q2756" t="str">
            <v>M SIVA</v>
          </cell>
        </row>
        <row r="2757">
          <cell r="F2757" t="str">
            <v>GUJA01I071</v>
          </cell>
          <cell r="G2757" t="str">
            <v>INDIAN OIL CORPORATION LIMITED</v>
          </cell>
          <cell r="H2757" t="str">
            <v>-</v>
          </cell>
          <cell r="J2757" t="str">
            <v>Domestic</v>
          </cell>
          <cell r="K2757" t="str">
            <v>Oil</v>
          </cell>
          <cell r="L2757" t="str">
            <v>Non-Sugar</v>
          </cell>
          <cell r="M2757" t="str">
            <v>End User</v>
          </cell>
          <cell r="O2757" t="str">
            <v>-</v>
          </cell>
          <cell r="P2757" t="str">
            <v>VA</v>
          </cell>
          <cell r="Q2757" t="str">
            <v>-</v>
          </cell>
          <cell r="T2757" t="str">
            <v>-</v>
          </cell>
          <cell r="U2757" t="str">
            <v>-</v>
          </cell>
          <cell r="W2757" t="str">
            <v>-</v>
          </cell>
        </row>
        <row r="2758">
          <cell r="F2758" t="str">
            <v>KOLH01I078</v>
          </cell>
          <cell r="G2758" t="str">
            <v>INDIANA SUCRO TECH (PUNE) PVT LTD.</v>
          </cell>
          <cell r="H2758" t="str">
            <v>-</v>
          </cell>
          <cell r="J2758" t="str">
            <v>Domestic</v>
          </cell>
          <cell r="L2758" t="str">
            <v>Non-Sugar</v>
          </cell>
          <cell r="O2758" t="str">
            <v>-</v>
          </cell>
          <cell r="P2758" t="str">
            <v>-</v>
          </cell>
          <cell r="Q2758" t="str">
            <v>-</v>
          </cell>
        </row>
        <row r="2759">
          <cell r="F2759" t="str">
            <v>AHME01I093</v>
          </cell>
          <cell r="G2759" t="str">
            <v>INDO COLCHEM LTD</v>
          </cell>
          <cell r="H2759" t="str">
            <v>-</v>
          </cell>
          <cell r="J2759" t="str">
            <v>Domestic</v>
          </cell>
          <cell r="L2759" t="str">
            <v>Non-Sugar</v>
          </cell>
          <cell r="O2759" t="str">
            <v>-</v>
          </cell>
          <cell r="P2759" t="str">
            <v>-</v>
          </cell>
          <cell r="Q2759" t="str">
            <v>-</v>
          </cell>
        </row>
        <row r="2760">
          <cell r="F2760" t="str">
            <v>JAKA01I098</v>
          </cell>
          <cell r="G2760" t="str">
            <v>INDOCEMENT TUNGGAL PRAKARSA</v>
          </cell>
          <cell r="H2760" t="str">
            <v>-</v>
          </cell>
          <cell r="J2760" t="str">
            <v>Export</v>
          </cell>
          <cell r="L2760" t="str">
            <v>Non-Sugar</v>
          </cell>
          <cell r="P2760" t="str">
            <v>VA</v>
          </cell>
          <cell r="Q2760" t="str">
            <v>VG</v>
          </cell>
        </row>
        <row r="2761">
          <cell r="F2761" t="str">
            <v>HOCH01I089</v>
          </cell>
          <cell r="G2761" t="str">
            <v>INDUSTRIAL PROCESSING ENGINEERING SERVICE CO</v>
          </cell>
          <cell r="H2761" t="str">
            <v>-</v>
          </cell>
          <cell r="J2761" t="str">
            <v>Export</v>
          </cell>
          <cell r="L2761" t="str">
            <v>Non-Sugar</v>
          </cell>
          <cell r="O2761" t="str">
            <v>-</v>
          </cell>
          <cell r="P2761" t="str">
            <v>VA</v>
          </cell>
          <cell r="Q2761" t="str">
            <v>ANKUR</v>
          </cell>
        </row>
        <row r="2762">
          <cell r="F2762" t="str">
            <v>COCH01I082</v>
          </cell>
          <cell r="G2762" t="str">
            <v>INNOPOLIS BIO INNOVATIONS PVT LTD</v>
          </cell>
          <cell r="H2762" t="str">
            <v>-</v>
          </cell>
          <cell r="J2762" t="str">
            <v>Domestic</v>
          </cell>
          <cell r="L2762" t="str">
            <v>Non-Sugar</v>
          </cell>
          <cell r="O2762" t="str">
            <v>-</v>
          </cell>
          <cell r="P2762" t="str">
            <v>-</v>
          </cell>
          <cell r="Q2762" t="str">
            <v>-</v>
          </cell>
        </row>
        <row r="2763">
          <cell r="F2763" t="str">
            <v>KRSH01I083</v>
          </cell>
          <cell r="G2763" t="str">
            <v>INNOTRANS SYSTEMS INDIA PVT.LTD.</v>
          </cell>
          <cell r="H2763" t="str">
            <v>-</v>
          </cell>
          <cell r="J2763" t="str">
            <v>Domestic</v>
          </cell>
          <cell r="L2763" t="str">
            <v>Non-Sugar</v>
          </cell>
          <cell r="O2763" t="str">
            <v>-</v>
          </cell>
          <cell r="P2763" t="str">
            <v>-</v>
          </cell>
          <cell r="Q2763" t="str">
            <v>-</v>
          </cell>
        </row>
        <row r="2764">
          <cell r="F2764" t="str">
            <v>CHEN01I074</v>
          </cell>
          <cell r="G2764" t="str">
            <v>INNOVATIVE AND QUALITY SOLUTIONS</v>
          </cell>
          <cell r="H2764" t="str">
            <v>-</v>
          </cell>
          <cell r="J2764" t="str">
            <v>Domestic</v>
          </cell>
          <cell r="L2764" t="str">
            <v>Non-Sugar</v>
          </cell>
          <cell r="O2764" t="str">
            <v>-</v>
          </cell>
          <cell r="P2764" t="str">
            <v>-</v>
          </cell>
          <cell r="Q2764" t="str">
            <v>-</v>
          </cell>
        </row>
        <row r="2765">
          <cell r="F2765" t="str">
            <v>COIM01I088</v>
          </cell>
          <cell r="G2765" t="str">
            <v>INNOVATIVE MARINE PRODUCTS</v>
          </cell>
          <cell r="H2765" t="str">
            <v>-</v>
          </cell>
          <cell r="J2765" t="str">
            <v>Domestic</v>
          </cell>
          <cell r="L2765" t="str">
            <v>Non-Sugar</v>
          </cell>
          <cell r="O2765" t="str">
            <v>-</v>
          </cell>
          <cell r="P2765" t="str">
            <v>-</v>
          </cell>
          <cell r="Q2765" t="str">
            <v>-</v>
          </cell>
        </row>
        <row r="2766">
          <cell r="F2766" t="str">
            <v>KUSH01I108</v>
          </cell>
          <cell r="G2766" t="str">
            <v>INTERNATIONAL HERBAL LABS PVT LTD</v>
          </cell>
          <cell r="H2766" t="str">
            <v>-</v>
          </cell>
          <cell r="J2766" t="str">
            <v>Domestic</v>
          </cell>
          <cell r="L2766" t="str">
            <v>Non-Sugar</v>
          </cell>
          <cell r="O2766" t="str">
            <v>-</v>
          </cell>
          <cell r="P2766" t="str">
            <v>HO</v>
          </cell>
          <cell r="Q2766" t="str">
            <v>AVIRAL SHUKLA</v>
          </cell>
        </row>
        <row r="2767">
          <cell r="F2767" t="str">
            <v>BHUB01I085</v>
          </cell>
          <cell r="G2767" t="str">
            <v>IOCL BHUBANESWAR</v>
          </cell>
          <cell r="H2767" t="str">
            <v>-</v>
          </cell>
          <cell r="J2767" t="str">
            <v>Domestic</v>
          </cell>
          <cell r="L2767" t="str">
            <v>Non-Sugar</v>
          </cell>
          <cell r="O2767" t="str">
            <v>-</v>
          </cell>
          <cell r="P2767" t="str">
            <v>-</v>
          </cell>
          <cell r="Q2767" t="str">
            <v>-</v>
          </cell>
        </row>
        <row r="2768">
          <cell r="F2768" t="str">
            <v>MUMB01I065</v>
          </cell>
          <cell r="G2768" t="str">
            <v>ION EXCHANGE</v>
          </cell>
          <cell r="H2768" t="str">
            <v>-</v>
          </cell>
          <cell r="J2768" t="str">
            <v>Domestic</v>
          </cell>
          <cell r="K2768" t="str">
            <v>ETP/STP/WTP</v>
          </cell>
          <cell r="L2768" t="str">
            <v>Non-Sugar</v>
          </cell>
          <cell r="M2768" t="str">
            <v>OEM</v>
          </cell>
          <cell r="O2768" t="str">
            <v>-</v>
          </cell>
          <cell r="P2768" t="str">
            <v>VA</v>
          </cell>
          <cell r="Q2768" t="str">
            <v>-</v>
          </cell>
          <cell r="T2768" t="str">
            <v>-</v>
          </cell>
          <cell r="U2768" t="str">
            <v>-</v>
          </cell>
          <cell r="W2768" t="str">
            <v>-</v>
          </cell>
        </row>
        <row r="2769">
          <cell r="F2769" t="str">
            <v>SURA01I104</v>
          </cell>
          <cell r="G2769" t="str">
            <v>IPL SUGAR - (INDIAN POTASH LTD) KODINAR</v>
          </cell>
          <cell r="H2769" t="str">
            <v>-</v>
          </cell>
          <cell r="J2769" t="str">
            <v>Domestic</v>
          </cell>
          <cell r="L2769" t="str">
            <v>Non-Sugar</v>
          </cell>
          <cell r="O2769" t="str">
            <v>-</v>
          </cell>
          <cell r="P2769" t="str">
            <v>HO</v>
          </cell>
          <cell r="Q2769" t="str">
            <v>AVIRAL SHUKLA</v>
          </cell>
        </row>
        <row r="2770">
          <cell r="F2770" t="str">
            <v>DUBA01I090</v>
          </cell>
          <cell r="G2770" t="str">
            <v>IRAM TUNISIE</v>
          </cell>
          <cell r="H2770" t="str">
            <v>-</v>
          </cell>
          <cell r="J2770" t="str">
            <v>Export</v>
          </cell>
          <cell r="L2770" t="str">
            <v>Non-Sugar</v>
          </cell>
          <cell r="O2770" t="str">
            <v>-</v>
          </cell>
          <cell r="P2770" t="str">
            <v>VA</v>
          </cell>
          <cell r="Q2770" t="str">
            <v>ANKUR</v>
          </cell>
        </row>
        <row r="2771">
          <cell r="F2771" t="str">
            <v>NODA01I072</v>
          </cell>
          <cell r="G2771" t="str">
            <v>ISHAN INTERNATIONAL LTD</v>
          </cell>
          <cell r="H2771" t="str">
            <v>-</v>
          </cell>
          <cell r="J2771" t="str">
            <v>Domestic</v>
          </cell>
          <cell r="L2771" t="str">
            <v>Non-Sugar</v>
          </cell>
          <cell r="O2771" t="str">
            <v>-</v>
          </cell>
          <cell r="P2771" t="str">
            <v>-</v>
          </cell>
          <cell r="Q2771" t="str">
            <v>-</v>
          </cell>
        </row>
        <row r="2772">
          <cell r="F2772" t="str">
            <v>KOLK01I077</v>
          </cell>
          <cell r="G2772" t="str">
            <v>ISPAT DAMODAR PRIVATE LTD</v>
          </cell>
          <cell r="H2772" t="str">
            <v>-</v>
          </cell>
          <cell r="J2772" t="str">
            <v>Domestic</v>
          </cell>
          <cell r="L2772" t="str">
            <v>Non-Sugar</v>
          </cell>
          <cell r="O2772" t="str">
            <v>-</v>
          </cell>
          <cell r="P2772" t="str">
            <v>-</v>
          </cell>
          <cell r="Q2772" t="str">
            <v>-</v>
          </cell>
        </row>
        <row r="2773">
          <cell r="F2773" t="str">
            <v>MUMB01I107</v>
          </cell>
          <cell r="G2773" t="str">
            <v>ITT ENGINEERING INDIA PVT LTD</v>
          </cell>
          <cell r="H2773" t="str">
            <v>-</v>
          </cell>
          <cell r="J2773" t="str">
            <v>Domestic</v>
          </cell>
          <cell r="L2773" t="str">
            <v>Non-Sugar</v>
          </cell>
          <cell r="P2773" t="str">
            <v>WI-SV</v>
          </cell>
          <cell r="Q2773" t="str">
            <v>SUDHIR</v>
          </cell>
        </row>
        <row r="2774">
          <cell r="F2774" t="str">
            <v>BANG01I097</v>
          </cell>
          <cell r="G2774" t="str">
            <v>IVAX CHEMICAL</v>
          </cell>
          <cell r="H2774" t="str">
            <v>-</v>
          </cell>
          <cell r="J2774" t="str">
            <v>Domestic</v>
          </cell>
          <cell r="L2774" t="str">
            <v>Non-Sugar</v>
          </cell>
          <cell r="O2774" t="str">
            <v>-</v>
          </cell>
          <cell r="P2774" t="str">
            <v>-</v>
          </cell>
          <cell r="Q2774" t="str">
            <v>-</v>
          </cell>
        </row>
        <row r="2775">
          <cell r="F2775" t="str">
            <v>KANP01J063</v>
          </cell>
          <cell r="G2775" t="str">
            <v>J P FERTILIZER</v>
          </cell>
          <cell r="H2775" t="str">
            <v>-</v>
          </cell>
          <cell r="J2775" t="str">
            <v>Domestic</v>
          </cell>
          <cell r="L2775" t="str">
            <v>Non-Sugar</v>
          </cell>
          <cell r="O2775" t="str">
            <v>-</v>
          </cell>
          <cell r="P2775" t="str">
            <v>-</v>
          </cell>
          <cell r="Q2775" t="str">
            <v>-</v>
          </cell>
        </row>
        <row r="2776">
          <cell r="F2776" t="str">
            <v>NANA01J068</v>
          </cell>
          <cell r="G2776" t="str">
            <v>J P MUKHERJI &amp; ASSOCIATE PVT LTD</v>
          </cell>
          <cell r="H2776" t="str">
            <v>-</v>
          </cell>
          <cell r="J2776" t="str">
            <v>Domestic</v>
          </cell>
          <cell r="K2776" t="str">
            <v>OTHERS</v>
          </cell>
          <cell r="L2776" t="str">
            <v>Non-Sugar</v>
          </cell>
          <cell r="M2776" t="str">
            <v>OEM</v>
          </cell>
          <cell r="O2776" t="str">
            <v>-</v>
          </cell>
          <cell r="P2776" t="str">
            <v>AV</v>
          </cell>
          <cell r="Q2776" t="str">
            <v>AV</v>
          </cell>
          <cell r="R2776" t="str">
            <v>OEM</v>
          </cell>
          <cell r="T2776" t="str">
            <v>-</v>
          </cell>
          <cell r="W2776" t="str">
            <v>-</v>
          </cell>
        </row>
        <row r="2777">
          <cell r="F2777" t="str">
            <v>PUNE01J074</v>
          </cell>
          <cell r="G2777" t="str">
            <v>J.T. JADHAV &amp; ASSOCIATES</v>
          </cell>
          <cell r="H2777" t="str">
            <v>-</v>
          </cell>
          <cell r="J2777" t="str">
            <v>Domestic</v>
          </cell>
          <cell r="P2777" t="str">
            <v>AV</v>
          </cell>
          <cell r="Q2777" t="str">
            <v>AV</v>
          </cell>
          <cell r="R2777" t="str">
            <v>-</v>
          </cell>
        </row>
        <row r="2778">
          <cell r="F2778" t="str">
            <v>BEED01J079</v>
          </cell>
          <cell r="G2778" t="str">
            <v>JAI BHAVANI SSK LTD</v>
          </cell>
          <cell r="H2778" t="str">
            <v>-</v>
          </cell>
          <cell r="J2778" t="str">
            <v>Domestic</v>
          </cell>
          <cell r="K2778" t="str">
            <v>Sugar</v>
          </cell>
          <cell r="M2778" t="str">
            <v>End User</v>
          </cell>
          <cell r="P2778" t="str">
            <v>AV</v>
          </cell>
          <cell r="Q2778" t="str">
            <v>AV</v>
          </cell>
          <cell r="R2778" t="str">
            <v>PD</v>
          </cell>
          <cell r="U2778" t="str">
            <v>25-26</v>
          </cell>
          <cell r="W2778">
            <v>46204</v>
          </cell>
        </row>
        <row r="2779">
          <cell r="F2779" t="str">
            <v>PUNE01J048</v>
          </cell>
          <cell r="G2779" t="str">
            <v>JAI HIND FEEDS</v>
          </cell>
          <cell r="H2779" t="str">
            <v>-</v>
          </cell>
          <cell r="J2779" t="str">
            <v>Domestic</v>
          </cell>
          <cell r="K2779" t="str">
            <v>OTHERS</v>
          </cell>
          <cell r="L2779" t="str">
            <v>Non-Sugar</v>
          </cell>
          <cell r="M2779" t="str">
            <v>End User</v>
          </cell>
          <cell r="O2779" t="str">
            <v>-</v>
          </cell>
          <cell r="P2779" t="str">
            <v>AV</v>
          </cell>
          <cell r="Q2779" t="str">
            <v>AV</v>
          </cell>
          <cell r="R2779" t="str">
            <v>AT</v>
          </cell>
          <cell r="T2779" t="str">
            <v>TOUR-1 (Pune)</v>
          </cell>
          <cell r="W2779" t="str">
            <v>-</v>
          </cell>
        </row>
        <row r="2780">
          <cell r="F2780" t="str">
            <v>JAKA01J077</v>
          </cell>
          <cell r="G2780" t="str">
            <v>JALAN TEUKU UMAR</v>
          </cell>
          <cell r="H2780" t="str">
            <v>-</v>
          </cell>
          <cell r="J2780" t="str">
            <v>Export</v>
          </cell>
          <cell r="L2780" t="str">
            <v>Non-Sugar</v>
          </cell>
          <cell r="P2780" t="str">
            <v>VA</v>
          </cell>
          <cell r="Q2780" t="str">
            <v>VG</v>
          </cell>
        </row>
        <row r="2781">
          <cell r="F2781" t="str">
            <v>NAGP01J069</v>
          </cell>
          <cell r="G2781" t="str">
            <v>JALARAM FEEDS</v>
          </cell>
          <cell r="H2781" t="str">
            <v>-</v>
          </cell>
          <cell r="J2781" t="str">
            <v>Domestic</v>
          </cell>
          <cell r="L2781" t="str">
            <v>Non-Sugar</v>
          </cell>
          <cell r="O2781" t="str">
            <v>-</v>
          </cell>
          <cell r="P2781" t="str">
            <v>-</v>
          </cell>
          <cell r="Q2781" t="str">
            <v>-</v>
          </cell>
        </row>
        <row r="2782">
          <cell r="F2782" t="str">
            <v>WSCH01J051</v>
          </cell>
          <cell r="G2782" t="str">
            <v>JANATHA BENGAL MARINE PRODUCT</v>
          </cell>
          <cell r="H2782" t="str">
            <v>-</v>
          </cell>
          <cell r="J2782" t="str">
            <v>Domestic</v>
          </cell>
          <cell r="K2782" t="str">
            <v>-</v>
          </cell>
          <cell r="L2782" t="str">
            <v>Non-Sugar</v>
          </cell>
          <cell r="O2782" t="str">
            <v>-</v>
          </cell>
          <cell r="P2782" t="str">
            <v>HO</v>
          </cell>
          <cell r="Q2782" t="str">
            <v>-</v>
          </cell>
          <cell r="T2782" t="str">
            <v>-</v>
          </cell>
          <cell r="U2782" t="str">
            <v>-</v>
          </cell>
          <cell r="W2782" t="str">
            <v>-</v>
          </cell>
        </row>
        <row r="2783">
          <cell r="F2783" t="str">
            <v>MERT01J081</v>
          </cell>
          <cell r="G2783" t="str">
            <v>JANKI NEWSPRINT PRIVATE LIMITED</v>
          </cell>
          <cell r="H2783" t="str">
            <v>-</v>
          </cell>
          <cell r="J2783" t="str">
            <v>Domestic</v>
          </cell>
          <cell r="L2783" t="str">
            <v>Non-Sugar</v>
          </cell>
          <cell r="O2783" t="str">
            <v>-</v>
          </cell>
          <cell r="P2783" t="str">
            <v>-</v>
          </cell>
          <cell r="Q2783" t="str">
            <v>AMRESH VERMA</v>
          </cell>
          <cell r="R2783" t="str">
            <v>-</v>
          </cell>
          <cell r="U2783" t="str">
            <v>25-26</v>
          </cell>
          <cell r="W2783">
            <v>46055</v>
          </cell>
        </row>
        <row r="2784">
          <cell r="F2784" t="str">
            <v>NANA01J027</v>
          </cell>
          <cell r="G2784" t="str">
            <v>JARIWALA TRADING</v>
          </cell>
          <cell r="H2784" t="str">
            <v>-</v>
          </cell>
          <cell r="J2784" t="str">
            <v>Domestic</v>
          </cell>
          <cell r="L2784" t="str">
            <v>Non-Sugar</v>
          </cell>
          <cell r="O2784" t="str">
            <v>-</v>
          </cell>
          <cell r="P2784" t="str">
            <v>-</v>
          </cell>
          <cell r="Q2784" t="str">
            <v>-</v>
          </cell>
        </row>
        <row r="2785">
          <cell r="F2785" t="str">
            <v>DUBA01J076</v>
          </cell>
          <cell r="G2785" t="str">
            <v>JASEEL (PowerFlow Middle East LLC)</v>
          </cell>
          <cell r="H2785" t="str">
            <v>-</v>
          </cell>
          <cell r="J2785" t="str">
            <v>Export</v>
          </cell>
          <cell r="L2785" t="str">
            <v>Non-Sugar</v>
          </cell>
          <cell r="O2785" t="str">
            <v>-</v>
          </cell>
          <cell r="P2785" t="str">
            <v>VA</v>
          </cell>
          <cell r="Q2785" t="str">
            <v>VG</v>
          </cell>
        </row>
        <row r="2786">
          <cell r="F2786" t="str">
            <v>MALA01J046</v>
          </cell>
          <cell r="G2786" t="str">
            <v>JAT STAR</v>
          </cell>
          <cell r="H2786" t="str">
            <v>-</v>
          </cell>
          <cell r="J2786" t="str">
            <v>Export</v>
          </cell>
          <cell r="K2786" t="str">
            <v>-</v>
          </cell>
          <cell r="L2786" t="str">
            <v>Non-Sugar</v>
          </cell>
          <cell r="O2786" t="str">
            <v>-</v>
          </cell>
          <cell r="P2786" t="str">
            <v>VA</v>
          </cell>
          <cell r="Q2786" t="str">
            <v>-</v>
          </cell>
          <cell r="T2786" t="str">
            <v>-</v>
          </cell>
          <cell r="U2786" t="str">
            <v>-</v>
          </cell>
          <cell r="W2786" t="str">
            <v>-</v>
          </cell>
        </row>
        <row r="2787">
          <cell r="F2787" t="str">
            <v>RAMP01J057</v>
          </cell>
          <cell r="G2787" t="str">
            <v>JAYANT JAGGERY</v>
          </cell>
          <cell r="H2787" t="str">
            <v>-</v>
          </cell>
          <cell r="J2787" t="str">
            <v>Domestic</v>
          </cell>
          <cell r="L2787" t="str">
            <v>Non-Sugar</v>
          </cell>
          <cell r="O2787" t="str">
            <v>-</v>
          </cell>
          <cell r="P2787" t="str">
            <v>-</v>
          </cell>
          <cell r="Q2787" t="str">
            <v>-</v>
          </cell>
        </row>
        <row r="2788">
          <cell r="F2788" t="str">
            <v>KOLK01J062</v>
          </cell>
          <cell r="G2788" t="str">
            <v>JB LEASHING PVT LTD</v>
          </cell>
          <cell r="H2788" t="str">
            <v>-</v>
          </cell>
          <cell r="J2788" t="str">
            <v>Domestic</v>
          </cell>
          <cell r="L2788" t="str">
            <v>Non-Sugar</v>
          </cell>
          <cell r="O2788" t="str">
            <v>-</v>
          </cell>
          <cell r="P2788" t="str">
            <v>-</v>
          </cell>
          <cell r="Q2788" t="str">
            <v>-</v>
          </cell>
        </row>
        <row r="2789">
          <cell r="F2789" t="str">
            <v>AHME01J071</v>
          </cell>
          <cell r="G2789" t="str">
            <v>JEE PUMPS LIMITED</v>
          </cell>
          <cell r="H2789" t="str">
            <v>-</v>
          </cell>
          <cell r="J2789" t="str">
            <v>Domestic</v>
          </cell>
          <cell r="L2789" t="str">
            <v>Non-Sugar</v>
          </cell>
          <cell r="O2789" t="str">
            <v>-</v>
          </cell>
          <cell r="P2789" t="str">
            <v>-</v>
          </cell>
          <cell r="Q2789" t="str">
            <v>-</v>
          </cell>
        </row>
        <row r="2790">
          <cell r="F2790" t="str">
            <v>NANA01J022</v>
          </cell>
          <cell r="G2790" t="str">
            <v>JHUNJHUNUN OIL MILS LTD.</v>
          </cell>
          <cell r="H2790" t="str">
            <v>-</v>
          </cell>
          <cell r="J2790" t="str">
            <v>Domestic</v>
          </cell>
          <cell r="L2790" t="str">
            <v>Non-Sugar</v>
          </cell>
          <cell r="O2790" t="str">
            <v>-</v>
          </cell>
          <cell r="P2790" t="str">
            <v>-</v>
          </cell>
          <cell r="Q2790" t="str">
            <v>-</v>
          </cell>
        </row>
        <row r="2791">
          <cell r="F2791" t="str">
            <v>GUJA01J059</v>
          </cell>
          <cell r="G2791" t="str">
            <v>JK FLUID CONTROL</v>
          </cell>
          <cell r="H2791" t="str">
            <v>-</v>
          </cell>
          <cell r="J2791" t="str">
            <v>Domestic</v>
          </cell>
          <cell r="L2791" t="str">
            <v>Non-Sugar</v>
          </cell>
          <cell r="O2791" t="str">
            <v>-</v>
          </cell>
          <cell r="P2791" t="str">
            <v>-</v>
          </cell>
          <cell r="Q2791" t="str">
            <v>-</v>
          </cell>
        </row>
        <row r="2792">
          <cell r="F2792" t="str">
            <v>PATN01J058</v>
          </cell>
          <cell r="G2792" t="str">
            <v>JKM ENGINEERS</v>
          </cell>
          <cell r="H2792" t="str">
            <v>-</v>
          </cell>
          <cell r="J2792" t="str">
            <v>Domestic</v>
          </cell>
          <cell r="L2792" t="str">
            <v>Non-Sugar</v>
          </cell>
          <cell r="O2792" t="str">
            <v>-</v>
          </cell>
          <cell r="P2792" t="str">
            <v>-</v>
          </cell>
          <cell r="Q2792" t="str">
            <v>-</v>
          </cell>
        </row>
        <row r="2793">
          <cell r="F2793" t="str">
            <v>RNCH01J075</v>
          </cell>
          <cell r="G2793" t="str">
            <v>JMS MINING PVT LTD</v>
          </cell>
          <cell r="H2793" t="str">
            <v>-</v>
          </cell>
          <cell r="J2793" t="str">
            <v>Domestic</v>
          </cell>
          <cell r="K2793" t="str">
            <v>MINING</v>
          </cell>
          <cell r="L2793" t="str">
            <v>Non-Sugar</v>
          </cell>
          <cell r="O2793" t="str">
            <v>-</v>
          </cell>
          <cell r="P2793" t="str">
            <v>-</v>
          </cell>
          <cell r="Q2793" t="str">
            <v>-</v>
          </cell>
        </row>
        <row r="2794">
          <cell r="F2794" t="str">
            <v>SANG01J066</v>
          </cell>
          <cell r="G2794" t="str">
            <v>JOLLYBOARD LTD</v>
          </cell>
          <cell r="H2794" t="str">
            <v>-</v>
          </cell>
          <cell r="J2794" t="str">
            <v>Domestic</v>
          </cell>
          <cell r="K2794" t="str">
            <v>CHEMICAL</v>
          </cell>
          <cell r="L2794" t="str">
            <v>Non-Sugar</v>
          </cell>
          <cell r="M2794" t="str">
            <v>End User</v>
          </cell>
          <cell r="O2794" t="str">
            <v>-</v>
          </cell>
          <cell r="P2794" t="str">
            <v>MRK</v>
          </cell>
          <cell r="Q2794" t="str">
            <v>MRK</v>
          </cell>
          <cell r="R2794" t="str">
            <v>VG</v>
          </cell>
          <cell r="T2794" t="str">
            <v>TOUR-8</v>
          </cell>
          <cell r="U2794" t="str">
            <v>24-25</v>
          </cell>
          <cell r="W2794">
            <v>45451</v>
          </cell>
        </row>
        <row r="2795">
          <cell r="F2795" t="str">
            <v>GUJA01J072</v>
          </cell>
          <cell r="G2795" t="str">
            <v>JPOXY POLYMER</v>
          </cell>
          <cell r="H2795" t="str">
            <v>-</v>
          </cell>
          <cell r="J2795" t="str">
            <v>Domestic</v>
          </cell>
          <cell r="L2795" t="str">
            <v>Non-Sugar</v>
          </cell>
          <cell r="O2795" t="str">
            <v>-</v>
          </cell>
          <cell r="P2795" t="str">
            <v>-</v>
          </cell>
          <cell r="Q2795" t="str">
            <v>-</v>
          </cell>
        </row>
        <row r="2796">
          <cell r="F2796" t="str">
            <v>DHAR01J085</v>
          </cell>
          <cell r="G2796" t="str">
            <v>JSW STEEL COATED PRODUCTS LIMITED</v>
          </cell>
          <cell r="H2796" t="str">
            <v>-</v>
          </cell>
          <cell r="J2796" t="str">
            <v>Domestic</v>
          </cell>
          <cell r="L2796" t="str">
            <v>Non-Sugar</v>
          </cell>
          <cell r="O2796" t="str">
            <v>-</v>
          </cell>
          <cell r="P2796" t="str">
            <v>HO</v>
          </cell>
          <cell r="Q2796" t="str">
            <v>AVIRAL SHUKLA</v>
          </cell>
          <cell r="U2796" t="str">
            <v>25-26</v>
          </cell>
          <cell r="W2796">
            <v>45964</v>
          </cell>
        </row>
        <row r="2797">
          <cell r="F2797" t="str">
            <v>ALIG01J064</v>
          </cell>
          <cell r="G2797" t="str">
            <v>JUBER DUPLEX</v>
          </cell>
          <cell r="H2797" t="str">
            <v>-</v>
          </cell>
          <cell r="J2797" t="str">
            <v>Domestic</v>
          </cell>
          <cell r="L2797" t="str">
            <v>Non-Sugar</v>
          </cell>
          <cell r="O2797" t="str">
            <v>-</v>
          </cell>
          <cell r="P2797" t="str">
            <v>-</v>
          </cell>
          <cell r="Q2797" t="str">
            <v>-</v>
          </cell>
        </row>
        <row r="2798">
          <cell r="F2798" t="str">
            <v>VADO01J086</v>
          </cell>
          <cell r="G2798" t="str">
            <v>JUBILANT AGRI &amp; CONSUMER PRODUCTS LIMITED</v>
          </cell>
          <cell r="H2798" t="str">
            <v>-</v>
          </cell>
          <cell r="J2798" t="str">
            <v>Domestic</v>
          </cell>
          <cell r="P2798" t="str">
            <v>HO</v>
          </cell>
          <cell r="Q2798" t="str">
            <v>AVIRAL SHUKLA</v>
          </cell>
        </row>
        <row r="2799">
          <cell r="F2799" t="str">
            <v>PUNE01J061</v>
          </cell>
          <cell r="G2799" t="str">
            <v>JYOTIRLING FABRICATOR</v>
          </cell>
          <cell r="H2799" t="str">
            <v>-</v>
          </cell>
          <cell r="J2799" t="str">
            <v>Domestic</v>
          </cell>
          <cell r="L2799" t="str">
            <v>Non-Sugar</v>
          </cell>
          <cell r="O2799" t="str">
            <v>-</v>
          </cell>
          <cell r="P2799" t="str">
            <v>-</v>
          </cell>
          <cell r="Q2799" t="str">
            <v>-</v>
          </cell>
        </row>
        <row r="2800">
          <cell r="F2800" t="str">
            <v>LUCK01K060</v>
          </cell>
          <cell r="G2800" t="str">
            <v>K S PROJECTS &amp; PROCESS ENGINEERING PVT LTD</v>
          </cell>
          <cell r="H2800" t="str">
            <v>-</v>
          </cell>
          <cell r="J2800" t="str">
            <v>Domestic</v>
          </cell>
          <cell r="K2800" t="str">
            <v>-</v>
          </cell>
          <cell r="L2800" t="str">
            <v>Non-Sugar</v>
          </cell>
          <cell r="O2800" t="str">
            <v>-</v>
          </cell>
          <cell r="P2800" t="str">
            <v>HO</v>
          </cell>
          <cell r="Q2800" t="str">
            <v>AVIRAL SHUKLA</v>
          </cell>
          <cell r="S2800" t="str">
            <v>https://maps.app.goo.gl/Bt9JmRYn7mHb3sdq5</v>
          </cell>
          <cell r="T2800" t="str">
            <v>-</v>
          </cell>
          <cell r="U2800" t="str">
            <v>26-27</v>
          </cell>
          <cell r="V2800" t="str">
            <v>May</v>
          </cell>
          <cell r="W2800" t="str">
            <v>22.05.26
31-10-25</v>
          </cell>
        </row>
        <row r="2801">
          <cell r="F2801" t="str">
            <v>MUZF01K038</v>
          </cell>
          <cell r="G2801" t="str">
            <v>K. K. DUPLEX</v>
          </cell>
          <cell r="H2801" t="str">
            <v>-</v>
          </cell>
          <cell r="J2801" t="str">
            <v>Domestic</v>
          </cell>
          <cell r="K2801" t="str">
            <v>Paper</v>
          </cell>
          <cell r="L2801" t="str">
            <v>Non-Sugar</v>
          </cell>
          <cell r="M2801" t="str">
            <v>End User</v>
          </cell>
          <cell r="O2801" t="str">
            <v>-</v>
          </cell>
          <cell r="P2801" t="str">
            <v>HO</v>
          </cell>
          <cell r="Q2801" t="str">
            <v>AVIRAL SHUKLA</v>
          </cell>
          <cell r="T2801" t="str">
            <v>WESTERN</v>
          </cell>
          <cell r="U2801" t="str">
            <v>25-26</v>
          </cell>
          <cell r="W2801" t="str">
            <v>15-10-2025</v>
          </cell>
        </row>
        <row r="2802">
          <cell r="F2802" t="str">
            <v>SONI01K130</v>
          </cell>
          <cell r="G2802" t="str">
            <v>K2S CORPORATION</v>
          </cell>
          <cell r="H2802" t="str">
            <v>-</v>
          </cell>
          <cell r="J2802" t="str">
            <v>Domestic</v>
          </cell>
          <cell r="L2802" t="str">
            <v>Non-Sugar</v>
          </cell>
          <cell r="O2802" t="str">
            <v>-</v>
          </cell>
          <cell r="P2802" t="str">
            <v>-</v>
          </cell>
          <cell r="Q2802" t="str">
            <v>-</v>
          </cell>
        </row>
        <row r="2803">
          <cell r="F2803" t="str">
            <v>HYDE01K152</v>
          </cell>
          <cell r="G2803" t="str">
            <v>KAASHYAP ENVERGY INFRASTRUCTURES PVT LTD</v>
          </cell>
          <cell r="H2803" t="str">
            <v>-</v>
          </cell>
          <cell r="J2803" t="str">
            <v>Domestic</v>
          </cell>
          <cell r="L2803" t="str">
            <v>Non-Sugar</v>
          </cell>
          <cell r="O2803" t="str">
            <v>-</v>
          </cell>
          <cell r="P2803" t="str">
            <v>HO</v>
          </cell>
          <cell r="Q2803" t="str">
            <v>AVIRAL SHUKLA</v>
          </cell>
        </row>
        <row r="2804">
          <cell r="F2804" t="str">
            <v>PUNE01K119</v>
          </cell>
          <cell r="G2804" t="str">
            <v>KADWA SAHAKARI SAKHAR KARKHANA LTD.</v>
          </cell>
          <cell r="H2804" t="str">
            <v>-</v>
          </cell>
          <cell r="J2804" t="str">
            <v>Domestic</v>
          </cell>
          <cell r="K2804" t="str">
            <v>Sugar</v>
          </cell>
          <cell r="M2804" t="str">
            <v>End User</v>
          </cell>
          <cell r="O2804" t="str">
            <v>-</v>
          </cell>
          <cell r="P2804" t="str">
            <v>AV</v>
          </cell>
          <cell r="Q2804" t="str">
            <v>AV</v>
          </cell>
          <cell r="R2804" t="str">
            <v>PD</v>
          </cell>
          <cell r="T2804" t="str">
            <v>Tour - Nasik</v>
          </cell>
          <cell r="U2804" t="str">
            <v>25-26</v>
          </cell>
          <cell r="W2804" t="str">
            <v>05-03-2026
5/30/2024</v>
          </cell>
        </row>
        <row r="2805">
          <cell r="F2805" t="str">
            <v>MANS01K111</v>
          </cell>
          <cell r="G2805" t="str">
            <v>KAFUE SUGAR</v>
          </cell>
          <cell r="H2805" t="str">
            <v>-</v>
          </cell>
          <cell r="J2805" t="str">
            <v>Export</v>
          </cell>
          <cell r="K2805" t="str">
            <v>Sugar</v>
          </cell>
          <cell r="L2805" t="str">
            <v>Sugar</v>
          </cell>
          <cell r="M2805" t="str">
            <v>End User</v>
          </cell>
          <cell r="O2805" t="str">
            <v>-</v>
          </cell>
          <cell r="P2805" t="str">
            <v>VA</v>
          </cell>
          <cell r="Q2805" t="str">
            <v>AVIRAL SHUKLA</v>
          </cell>
          <cell r="T2805" t="str">
            <v>-</v>
          </cell>
          <cell r="U2805" t="str">
            <v>-</v>
          </cell>
          <cell r="W2805" t="str">
            <v>-</v>
          </cell>
        </row>
        <row r="2806">
          <cell r="F2806" t="str">
            <v>KASH01K099</v>
          </cell>
          <cell r="G2806" t="str">
            <v>KAILASHIDEVI PULPS AND PAPER PRODUCTS</v>
          </cell>
          <cell r="H2806" t="str">
            <v>-</v>
          </cell>
          <cell r="J2806" t="str">
            <v>Domestic</v>
          </cell>
          <cell r="K2806" t="str">
            <v>Paper</v>
          </cell>
          <cell r="L2806" t="str">
            <v>Non-Sugar</v>
          </cell>
          <cell r="M2806" t="str">
            <v>End User</v>
          </cell>
          <cell r="O2806" t="str">
            <v>-</v>
          </cell>
          <cell r="P2806" t="str">
            <v>HO</v>
          </cell>
          <cell r="Q2806" t="str">
            <v>-</v>
          </cell>
          <cell r="T2806" t="str">
            <v>-</v>
          </cell>
          <cell r="U2806" t="str">
            <v>23-24</v>
          </cell>
          <cell r="W2806">
            <v>45237</v>
          </cell>
        </row>
        <row r="2807">
          <cell r="F2807" t="str">
            <v>MUMB01K146</v>
          </cell>
          <cell r="G2807" t="str">
            <v>KALINA CAMP</v>
          </cell>
          <cell r="H2807" t="str">
            <v>-</v>
          </cell>
          <cell r="J2807" t="str">
            <v>Domestic</v>
          </cell>
          <cell r="L2807" t="str">
            <v>Non-Sugar</v>
          </cell>
          <cell r="P2807" t="str">
            <v>WI-SV</v>
          </cell>
          <cell r="Q2807" t="str">
            <v>SUDHIR</v>
          </cell>
        </row>
        <row r="2808">
          <cell r="F2808" t="str">
            <v>HASA01K100</v>
          </cell>
          <cell r="G2808" t="str">
            <v>KAMAKSHI PAPER MILL</v>
          </cell>
          <cell r="H2808" t="str">
            <v>-</v>
          </cell>
          <cell r="J2808" t="str">
            <v>Domestic</v>
          </cell>
          <cell r="K2808" t="str">
            <v>Paper</v>
          </cell>
          <cell r="L2808" t="str">
            <v>Non-Sugar</v>
          </cell>
          <cell r="M2808" t="str">
            <v>End User</v>
          </cell>
          <cell r="O2808" t="str">
            <v>90 TPD</v>
          </cell>
          <cell r="P2808" t="str">
            <v>HO</v>
          </cell>
          <cell r="Q2808" t="str">
            <v>-</v>
          </cell>
          <cell r="T2808" t="str">
            <v>CENTRAL + U.K</v>
          </cell>
          <cell r="U2808" t="str">
            <v>24-25</v>
          </cell>
          <cell r="W2808" t="str">
            <v>21-09-2024
21-12-2023</v>
          </cell>
        </row>
        <row r="2809">
          <cell r="F2809" t="str">
            <v>AMRI01K154</v>
          </cell>
          <cell r="G2809" t="str">
            <v>KAMBOJ MACHINERY STORE</v>
          </cell>
          <cell r="H2809" t="str">
            <v>-</v>
          </cell>
          <cell r="J2809" t="str">
            <v>Domestic</v>
          </cell>
          <cell r="L2809" t="str">
            <v>Non-Sugar</v>
          </cell>
          <cell r="O2809" t="str">
            <v>-</v>
          </cell>
          <cell r="P2809" t="str">
            <v>-</v>
          </cell>
          <cell r="Q2809" t="str">
            <v>-</v>
          </cell>
        </row>
        <row r="2810">
          <cell r="F2810" t="str">
            <v>VARA01K132</v>
          </cell>
          <cell r="G2810" t="str">
            <v>KAPILA KRISHI UDYOG</v>
          </cell>
          <cell r="H2810" t="str">
            <v>-</v>
          </cell>
          <cell r="J2810" t="str">
            <v>Domestic</v>
          </cell>
          <cell r="L2810" t="str">
            <v>Non-Sugar</v>
          </cell>
          <cell r="O2810" t="str">
            <v>-</v>
          </cell>
          <cell r="P2810" t="str">
            <v>-</v>
          </cell>
          <cell r="Q2810" t="str">
            <v>-</v>
          </cell>
        </row>
        <row r="2811">
          <cell r="F2811" t="str">
            <v>KOLH01K101</v>
          </cell>
          <cell r="G2811" t="str">
            <v>KARAN DISTILLERY</v>
          </cell>
          <cell r="H2811" t="str">
            <v>-</v>
          </cell>
          <cell r="J2811" t="str">
            <v>Domestic</v>
          </cell>
          <cell r="K2811" t="str">
            <v>Sugar</v>
          </cell>
          <cell r="M2811" t="str">
            <v>End User</v>
          </cell>
          <cell r="O2811" t="str">
            <v>-</v>
          </cell>
          <cell r="P2811" t="str">
            <v>MRK</v>
          </cell>
          <cell r="Q2811" t="str">
            <v>MRK</v>
          </cell>
          <cell r="R2811" t="str">
            <v>VG</v>
          </cell>
          <cell r="T2811" t="str">
            <v>TOUR-5 (KOLHAPUR)</v>
          </cell>
          <cell r="U2811" t="str">
            <v>24-25</v>
          </cell>
          <cell r="W2811">
            <v>45430</v>
          </cell>
        </row>
        <row r="2812">
          <cell r="F2812" t="str">
            <v>DAVA01K121</v>
          </cell>
          <cell r="G2812" t="str">
            <v>KARGIL INDIA PVT LTD</v>
          </cell>
          <cell r="H2812" t="str">
            <v>-</v>
          </cell>
          <cell r="J2812" t="str">
            <v>Domestic</v>
          </cell>
          <cell r="L2812" t="str">
            <v>Non-Sugar</v>
          </cell>
          <cell r="O2812" t="str">
            <v>-</v>
          </cell>
          <cell r="P2812" t="str">
            <v>-</v>
          </cell>
          <cell r="Q2812" t="str">
            <v>-</v>
          </cell>
        </row>
        <row r="2813">
          <cell r="F2813" t="str">
            <v>NASK01L027</v>
          </cell>
          <cell r="G2813" t="str">
            <v>KARMVEER KAKASAHEB WAGH SAHAKARI SAKHAR KARKHANA LTD ( LEASE OF ASHOK BANKAR NAGARI PATSANSTHA LTD )</v>
          </cell>
          <cell r="H2813" t="str">
            <v>-</v>
          </cell>
          <cell r="J2813" t="str">
            <v>Domestic</v>
          </cell>
          <cell r="K2813" t="str">
            <v>Sugar</v>
          </cell>
          <cell r="M2813" t="str">
            <v>End User</v>
          </cell>
          <cell r="O2813">
            <v>1250</v>
          </cell>
          <cell r="P2813" t="str">
            <v>AV</v>
          </cell>
          <cell r="Q2813" t="str">
            <v>AV</v>
          </cell>
          <cell r="R2813" t="str">
            <v>AT</v>
          </cell>
          <cell r="T2813" t="str">
            <v>Tour- 20 (Nasik)</v>
          </cell>
          <cell r="U2813" t="str">
            <v>24-25</v>
          </cell>
          <cell r="W2813">
            <v>45442</v>
          </cell>
        </row>
        <row r="2814">
          <cell r="F2814" t="str">
            <v>SRIG01K139</v>
          </cell>
          <cell r="G2814" t="str">
            <v>KARVJYA ETHNOXY PVT LTD</v>
          </cell>
          <cell r="H2814" t="str">
            <v>-</v>
          </cell>
          <cell r="J2814" t="str">
            <v>Domestic</v>
          </cell>
          <cell r="L2814" t="str">
            <v>Non-Sugar</v>
          </cell>
          <cell r="O2814" t="str">
            <v>-</v>
          </cell>
          <cell r="P2814" t="str">
            <v>-</v>
          </cell>
          <cell r="Q2814" t="str">
            <v>-</v>
          </cell>
        </row>
        <row r="2815">
          <cell r="F2815" t="str">
            <v>NODA01K140</v>
          </cell>
          <cell r="G2815" t="str">
            <v>KASPO ENGINEERING PRIVATE LIMITED</v>
          </cell>
          <cell r="H2815" t="str">
            <v>-</v>
          </cell>
          <cell r="J2815" t="str">
            <v>Domestic</v>
          </cell>
          <cell r="L2815" t="str">
            <v>Non-Sugar</v>
          </cell>
          <cell r="O2815" t="str">
            <v>-</v>
          </cell>
          <cell r="P2815" t="str">
            <v>-</v>
          </cell>
          <cell r="Q2815" t="str">
            <v>-</v>
          </cell>
        </row>
        <row r="2816">
          <cell r="F2816" t="str">
            <v>GHZB01K148</v>
          </cell>
          <cell r="G2816" t="str">
            <v>KAWATRA PAPER PVT LIMITED</v>
          </cell>
          <cell r="H2816" t="str">
            <v>-</v>
          </cell>
          <cell r="J2816" t="str">
            <v>Domestic</v>
          </cell>
          <cell r="L2816" t="str">
            <v>Non-Sugar</v>
          </cell>
          <cell r="O2816" t="str">
            <v>-</v>
          </cell>
          <cell r="P2816" t="str">
            <v>-</v>
          </cell>
          <cell r="Q2816" t="str">
            <v>-</v>
          </cell>
        </row>
        <row r="2817">
          <cell r="F2817" t="str">
            <v>SURD01K124</v>
          </cell>
          <cell r="G2817" t="str">
            <v>KEBON AGUNG</v>
          </cell>
          <cell r="H2817" t="str">
            <v>-</v>
          </cell>
          <cell r="J2817" t="str">
            <v>Export</v>
          </cell>
          <cell r="L2817" t="str">
            <v>Non-Sugar</v>
          </cell>
          <cell r="O2817" t="str">
            <v>-</v>
          </cell>
          <cell r="P2817" t="str">
            <v>VA</v>
          </cell>
          <cell r="Q2817" t="str">
            <v>ANKUR</v>
          </cell>
        </row>
        <row r="2818">
          <cell r="F2818" t="str">
            <v>KANU01K159</v>
          </cell>
          <cell r="G2818" t="str">
            <v>KELTRON COMPONENT COMPLEX LTD</v>
          </cell>
          <cell r="H2818" t="str">
            <v>-</v>
          </cell>
          <cell r="J2818" t="str">
            <v>Domestic</v>
          </cell>
          <cell r="P2818" t="str">
            <v>SI-SIVA</v>
          </cell>
          <cell r="Q2818" t="str">
            <v>M SIVA</v>
          </cell>
        </row>
        <row r="2819">
          <cell r="F2819" t="str">
            <v>MUMB01N113</v>
          </cell>
          <cell r="G2819" t="str">
            <v>KENSAI NEROLAC PAINTS LTD.</v>
          </cell>
          <cell r="H2819" t="str">
            <v>-</v>
          </cell>
          <cell r="J2819" t="str">
            <v>Domestic</v>
          </cell>
          <cell r="K2819" t="str">
            <v>Paint</v>
          </cell>
          <cell r="L2819" t="str">
            <v>Non-Sugar</v>
          </cell>
          <cell r="M2819" t="str">
            <v>End User</v>
          </cell>
          <cell r="O2819" t="str">
            <v>-</v>
          </cell>
          <cell r="P2819" t="str">
            <v>MRK</v>
          </cell>
          <cell r="Q2819" t="str">
            <v>MRK</v>
          </cell>
          <cell r="R2819" t="str">
            <v>VG</v>
          </cell>
          <cell r="T2819" t="str">
            <v>TOUR-8 (CHIPLUN)</v>
          </cell>
          <cell r="U2819" t="str">
            <v>24-25</v>
          </cell>
          <cell r="W2819" t="str">
            <v>22-11-2024
16-03-2023
24-01-2023</v>
          </cell>
        </row>
        <row r="2820">
          <cell r="F2820" t="str">
            <v>LATU01K091</v>
          </cell>
          <cell r="G2820" t="str">
            <v>KHANDOBA DISTILLERIES LTD. LATUR</v>
          </cell>
          <cell r="H2820" t="str">
            <v>-</v>
          </cell>
          <cell r="J2820" t="str">
            <v>Domestic</v>
          </cell>
          <cell r="K2820" t="str">
            <v>Sugar</v>
          </cell>
          <cell r="M2820" t="str">
            <v>End User</v>
          </cell>
          <cell r="O2820" t="str">
            <v>-</v>
          </cell>
          <cell r="P2820" t="str">
            <v>AV</v>
          </cell>
          <cell r="Q2820" t="str">
            <v>AV</v>
          </cell>
          <cell r="R2820" t="str">
            <v>AT</v>
          </cell>
          <cell r="T2820" t="str">
            <v>Tour- 12 (Latur)</v>
          </cell>
          <cell r="W2820" t="str">
            <v>-</v>
          </cell>
        </row>
        <row r="2821">
          <cell r="F2821" t="str">
            <v>AMRI01K013</v>
          </cell>
          <cell r="G2821" t="str">
            <v>KHANNA PAPER MILLS PVT. LTD</v>
          </cell>
          <cell r="H2821" t="str">
            <v>-</v>
          </cell>
          <cell r="J2821" t="str">
            <v>Domestic</v>
          </cell>
          <cell r="K2821" t="str">
            <v>Paper</v>
          </cell>
          <cell r="L2821" t="str">
            <v>Non-Sugar</v>
          </cell>
          <cell r="M2821" t="str">
            <v>End User</v>
          </cell>
          <cell r="O2821" t="str">
            <v>-</v>
          </cell>
          <cell r="P2821" t="str">
            <v>HO</v>
          </cell>
          <cell r="Q2821" t="str">
            <v xml:space="preserve">AKSHAY AWASTHI </v>
          </cell>
          <cell r="T2821" t="str">
            <v>-</v>
          </cell>
          <cell r="U2821" t="str">
            <v>22-23</v>
          </cell>
          <cell r="W2821">
            <v>44743</v>
          </cell>
        </row>
        <row r="2822">
          <cell r="F2822" t="str">
            <v>HYDE01K131</v>
          </cell>
          <cell r="G2822" t="str">
            <v>KHAR ENERGY OPTIMISER</v>
          </cell>
          <cell r="H2822" t="str">
            <v>-</v>
          </cell>
          <cell r="J2822" t="str">
            <v>Domestic</v>
          </cell>
          <cell r="L2822" t="str">
            <v>Non-Sugar</v>
          </cell>
          <cell r="O2822" t="str">
            <v>-</v>
          </cell>
          <cell r="P2822" t="str">
            <v>-</v>
          </cell>
          <cell r="Q2822" t="str">
            <v>-</v>
          </cell>
        </row>
        <row r="2823">
          <cell r="F2823" t="str">
            <v>DLHI01K102</v>
          </cell>
          <cell r="G2823" t="str">
            <v>KHD HUMBOLDT WEDAG</v>
          </cell>
          <cell r="H2823" t="str">
            <v>-</v>
          </cell>
          <cell r="J2823" t="str">
            <v>Domestic</v>
          </cell>
          <cell r="K2823" t="str">
            <v>-</v>
          </cell>
          <cell r="L2823" t="str">
            <v>Non-Sugar</v>
          </cell>
          <cell r="O2823" t="str">
            <v>-</v>
          </cell>
          <cell r="P2823" t="str">
            <v>VA</v>
          </cell>
          <cell r="Q2823" t="str">
            <v>-</v>
          </cell>
          <cell r="T2823" t="str">
            <v>-</v>
          </cell>
          <cell r="U2823" t="str">
            <v>-</v>
          </cell>
          <cell r="W2823" t="str">
            <v>-</v>
          </cell>
        </row>
        <row r="2824">
          <cell r="F2824" t="str">
            <v>BULA01K144</v>
          </cell>
          <cell r="G2824" t="str">
            <v>KHURJA SUPER THERMAL POWER</v>
          </cell>
          <cell r="H2824" t="str">
            <v>-</v>
          </cell>
          <cell r="J2824" t="str">
            <v>Domestic</v>
          </cell>
          <cell r="L2824" t="str">
            <v>Non-Sugar</v>
          </cell>
          <cell r="O2824" t="str">
            <v>-</v>
          </cell>
          <cell r="P2824" t="str">
            <v>-</v>
          </cell>
          <cell r="Q2824" t="str">
            <v>-</v>
          </cell>
        </row>
        <row r="2825">
          <cell r="F2825" t="str">
            <v>CHEN01K147</v>
          </cell>
          <cell r="G2825" t="str">
            <v>KINGS MARITECH ECOPARK LTD (KMEPL)</v>
          </cell>
          <cell r="H2825" t="str">
            <v>-</v>
          </cell>
          <cell r="J2825" t="str">
            <v>Domestic</v>
          </cell>
          <cell r="P2825" t="str">
            <v>SI-MANI</v>
          </cell>
          <cell r="Q2825" t="str">
            <v>M SIVA</v>
          </cell>
        </row>
        <row r="2826">
          <cell r="F2826" t="str">
            <v>BANA01K137</v>
          </cell>
          <cell r="G2826" t="str">
            <v>KISAN PASHU AAHAR</v>
          </cell>
          <cell r="H2826" t="str">
            <v>-</v>
          </cell>
          <cell r="J2826" t="str">
            <v>Domestic</v>
          </cell>
          <cell r="L2826" t="str">
            <v>Non-Sugar</v>
          </cell>
          <cell r="O2826" t="str">
            <v>-</v>
          </cell>
          <cell r="P2826" t="str">
            <v>HO</v>
          </cell>
          <cell r="Q2826" t="str">
            <v>AVIRAL SHUKLA</v>
          </cell>
        </row>
        <row r="2827">
          <cell r="F2827" t="str">
            <v>AGRA01K110</v>
          </cell>
          <cell r="G2827" t="str">
            <v>KISSAN IRON WORKS</v>
          </cell>
          <cell r="H2827" t="str">
            <v>-</v>
          </cell>
          <cell r="J2827" t="str">
            <v>Domestic</v>
          </cell>
          <cell r="K2827" t="str">
            <v>-</v>
          </cell>
          <cell r="L2827" t="str">
            <v>Non-Sugar</v>
          </cell>
          <cell r="O2827" t="str">
            <v>-</v>
          </cell>
          <cell r="P2827" t="str">
            <v>HO</v>
          </cell>
          <cell r="Q2827" t="str">
            <v>-</v>
          </cell>
          <cell r="T2827" t="str">
            <v>-</v>
          </cell>
          <cell r="U2827" t="str">
            <v>-</v>
          </cell>
          <cell r="W2827" t="str">
            <v>-</v>
          </cell>
        </row>
        <row r="2828">
          <cell r="F2828" t="str">
            <v>KOLH01K151</v>
          </cell>
          <cell r="G2828" t="str">
            <v>KOLHAPUR ZILLA SAHAKARI DUDH UTPADAK SANGH LTD</v>
          </cell>
          <cell r="H2828" t="str">
            <v>-</v>
          </cell>
          <cell r="J2828" t="str">
            <v>Domestic</v>
          </cell>
          <cell r="L2828" t="str">
            <v>Non-Sugar</v>
          </cell>
          <cell r="P2828" t="str">
            <v>WI-SV</v>
          </cell>
          <cell r="Q2828" t="str">
            <v>SUDHIR</v>
          </cell>
        </row>
        <row r="2829">
          <cell r="F2829" t="str">
            <v>LATU01K153</v>
          </cell>
          <cell r="G2829" t="str">
            <v>KRISHISTAMBH</v>
          </cell>
          <cell r="H2829" t="str">
            <v>-</v>
          </cell>
          <cell r="J2829" t="str">
            <v>Domestic</v>
          </cell>
          <cell r="L2829" t="str">
            <v>Non-Sugar</v>
          </cell>
          <cell r="O2829" t="str">
            <v>-</v>
          </cell>
          <cell r="P2829" t="str">
            <v>-</v>
          </cell>
          <cell r="Q2829" t="str">
            <v>-</v>
          </cell>
        </row>
        <row r="2830">
          <cell r="F2830" t="str">
            <v>PUNE01K136</v>
          </cell>
          <cell r="G2830" t="str">
            <v>KRISHNA DRIVETECH</v>
          </cell>
          <cell r="H2830" t="str">
            <v>-</v>
          </cell>
          <cell r="J2830" t="str">
            <v>Domestic</v>
          </cell>
          <cell r="L2830" t="str">
            <v>Non-Sugar</v>
          </cell>
          <cell r="O2830" t="str">
            <v>-</v>
          </cell>
          <cell r="P2830" t="str">
            <v>-</v>
          </cell>
          <cell r="Q2830" t="str">
            <v>-</v>
          </cell>
        </row>
        <row r="2831">
          <cell r="F2831" t="str">
            <v>MUZF01K127</v>
          </cell>
          <cell r="G2831" t="str">
            <v>KRISHNANCHAL PULPS &amp; PAPER PRIVATE LTD</v>
          </cell>
          <cell r="H2831" t="str">
            <v>-</v>
          </cell>
          <cell r="J2831" t="str">
            <v>Domestic</v>
          </cell>
          <cell r="L2831" t="str">
            <v>Non-Sugar</v>
          </cell>
          <cell r="O2831" t="str">
            <v>-</v>
          </cell>
          <cell r="P2831" t="str">
            <v>HO</v>
          </cell>
          <cell r="Q2831" t="str">
            <v xml:space="preserve">BAJRANG PANDEY </v>
          </cell>
          <cell r="U2831" t="str">
            <v>22-23</v>
          </cell>
          <cell r="W2831">
            <v>44653</v>
          </cell>
        </row>
        <row r="2832">
          <cell r="F2832" t="str">
            <v>DLHI1K096</v>
          </cell>
          <cell r="G2832" t="str">
            <v>KROFTA ENGINEERING LIMITED</v>
          </cell>
          <cell r="H2832" t="str">
            <v>-</v>
          </cell>
          <cell r="J2832" t="str">
            <v>Domestic</v>
          </cell>
          <cell r="L2832" t="str">
            <v>Non-Sugar</v>
          </cell>
          <cell r="O2832" t="str">
            <v>-</v>
          </cell>
          <cell r="P2832" t="str">
            <v>-</v>
          </cell>
          <cell r="Q2832" t="str">
            <v>-</v>
          </cell>
        </row>
        <row r="2833">
          <cell r="F2833" t="str">
            <v>SANG01K123</v>
          </cell>
          <cell r="G2833" t="str">
            <v>KRUSHNA AGROMECH INDIA PVT LTD</v>
          </cell>
          <cell r="H2833" t="str">
            <v>-</v>
          </cell>
          <cell r="J2833" t="str">
            <v>Domestic</v>
          </cell>
          <cell r="L2833" t="str">
            <v>Non-Sugar</v>
          </cell>
          <cell r="O2833" t="str">
            <v>-</v>
          </cell>
          <cell r="P2833" t="str">
            <v>-</v>
          </cell>
          <cell r="Q2833" t="str">
            <v>-</v>
          </cell>
        </row>
        <row r="2834">
          <cell r="F2834" t="str">
            <v>PHIL01A229</v>
          </cell>
          <cell r="G2834" t="str">
            <v>KSB PHILIPINES (AMON COMPOUND CORPORAL CRUZ ST)</v>
          </cell>
          <cell r="H2834" t="str">
            <v>-</v>
          </cell>
          <cell r="J2834" t="str">
            <v>Export</v>
          </cell>
          <cell r="L2834" t="str">
            <v>Non-Sugar</v>
          </cell>
          <cell r="O2834" t="str">
            <v>-</v>
          </cell>
          <cell r="P2834" t="str">
            <v>VA</v>
          </cell>
          <cell r="Q2834" t="str">
            <v>VG</v>
          </cell>
        </row>
        <row r="2835">
          <cell r="F2835" t="str">
            <v>PHIL01K122</v>
          </cell>
          <cell r="G2835" t="str">
            <v>KSB SUPREME SERV</v>
          </cell>
          <cell r="H2835" t="str">
            <v>-</v>
          </cell>
          <cell r="J2835" t="str">
            <v>Export</v>
          </cell>
          <cell r="L2835" t="str">
            <v>Non-Sugar</v>
          </cell>
          <cell r="O2835" t="str">
            <v>-</v>
          </cell>
          <cell r="P2835" t="str">
            <v>VA</v>
          </cell>
          <cell r="Q2835" t="str">
            <v>VG</v>
          </cell>
        </row>
        <row r="2836">
          <cell r="F2836" t="str">
            <v>MUMB01K145</v>
          </cell>
          <cell r="G2836" t="str">
            <v>KUMAR METAL INDUSTRIES</v>
          </cell>
          <cell r="H2836" t="str">
            <v>-</v>
          </cell>
          <cell r="J2836" t="str">
            <v>Domestic</v>
          </cell>
          <cell r="L2836" t="str">
            <v>Non-Sugar</v>
          </cell>
          <cell r="M2836" t="str">
            <v>OEM</v>
          </cell>
          <cell r="P2836" t="str">
            <v>WI-SV</v>
          </cell>
          <cell r="Q2836" t="str">
            <v>SUDHIR</v>
          </cell>
          <cell r="U2836" t="str">
            <v>26-27</v>
          </cell>
          <cell r="V2836" t="str">
            <v>Apr</v>
          </cell>
          <cell r="W2836" t="str">
            <v>24-04-2026</v>
          </cell>
        </row>
        <row r="2837">
          <cell r="F2837" t="str">
            <v>KUTC01K142</v>
          </cell>
          <cell r="G2837" t="str">
            <v>KUTCH CHEMICAL</v>
          </cell>
          <cell r="H2837" t="str">
            <v>-</v>
          </cell>
          <cell r="J2837" t="str">
            <v>Domestic</v>
          </cell>
          <cell r="L2837" t="str">
            <v>Non-Sugar</v>
          </cell>
          <cell r="O2837" t="str">
            <v>-</v>
          </cell>
          <cell r="P2837" t="str">
            <v>-</v>
          </cell>
          <cell r="Q2837" t="str">
            <v>-</v>
          </cell>
        </row>
        <row r="2838">
          <cell r="F2838" t="str">
            <v>NANA01K051</v>
          </cell>
          <cell r="G2838" t="str">
            <v>KUWAIT DANA LUBES CO</v>
          </cell>
          <cell r="H2838" t="str">
            <v>-</v>
          </cell>
          <cell r="J2838" t="str">
            <v>Export</v>
          </cell>
          <cell r="L2838" t="str">
            <v>Non-Sugar</v>
          </cell>
          <cell r="O2838" t="str">
            <v>-</v>
          </cell>
          <cell r="P2838" t="str">
            <v>VA</v>
          </cell>
          <cell r="Q2838" t="str">
            <v>ANKUR</v>
          </cell>
        </row>
        <row r="2839">
          <cell r="F2839" t="str">
            <v>PANI01K158</v>
          </cell>
          <cell r="G2839" t="str">
            <v>KV INDUSTRIAL SERVICES</v>
          </cell>
          <cell r="H2839" t="str">
            <v>-</v>
          </cell>
          <cell r="J2839" t="str">
            <v>Domestic</v>
          </cell>
          <cell r="L2839" t="str">
            <v>Non-Sugar</v>
          </cell>
          <cell r="O2839" t="str">
            <v>-</v>
          </cell>
          <cell r="P2839" t="str">
            <v>HO</v>
          </cell>
          <cell r="Q2839" t="str">
            <v>AVIRAL SHUKLA</v>
          </cell>
        </row>
        <row r="2840">
          <cell r="F2840" t="str">
            <v>CHEN01L030</v>
          </cell>
          <cell r="G2840" t="str">
            <v>L &amp; T ( GORAKHPUR PROJECT)</v>
          </cell>
          <cell r="H2840" t="str">
            <v>-</v>
          </cell>
          <cell r="J2840" t="str">
            <v>Domestic</v>
          </cell>
          <cell r="K2840" t="str">
            <v>-</v>
          </cell>
          <cell r="L2840" t="str">
            <v>Non-Sugar</v>
          </cell>
          <cell r="O2840" t="str">
            <v>-</v>
          </cell>
          <cell r="P2840" t="str">
            <v>VA</v>
          </cell>
          <cell r="Q2840" t="str">
            <v>-</v>
          </cell>
          <cell r="T2840" t="str">
            <v>-</v>
          </cell>
          <cell r="U2840" t="str">
            <v>-</v>
          </cell>
          <cell r="W2840" t="str">
            <v>-</v>
          </cell>
        </row>
        <row r="2841">
          <cell r="F2841" t="str">
            <v>VADO01L014</v>
          </cell>
          <cell r="G2841" t="str">
            <v>L &amp; T TECHNOLOGY SERVICES LTD</v>
          </cell>
          <cell r="H2841" t="str">
            <v>-</v>
          </cell>
          <cell r="J2841" t="str">
            <v>Domestic</v>
          </cell>
          <cell r="K2841" t="str">
            <v>-</v>
          </cell>
          <cell r="L2841" t="str">
            <v>Non-Sugar</v>
          </cell>
          <cell r="O2841" t="str">
            <v>-</v>
          </cell>
          <cell r="P2841" t="str">
            <v>VA</v>
          </cell>
          <cell r="Q2841" t="str">
            <v>-</v>
          </cell>
          <cell r="T2841" t="str">
            <v>-</v>
          </cell>
          <cell r="U2841" t="str">
            <v>-</v>
          </cell>
          <cell r="W2841" t="str">
            <v>-</v>
          </cell>
        </row>
        <row r="2842">
          <cell r="F2842" t="str">
            <v>CHEN01L041</v>
          </cell>
          <cell r="G2842" t="str">
            <v>L&amp;T CONSTRUCTION CHENNAI</v>
          </cell>
          <cell r="H2842" t="str">
            <v>-</v>
          </cell>
          <cell r="J2842" t="str">
            <v>Domestic</v>
          </cell>
          <cell r="L2842" t="str">
            <v>Non-Sugar</v>
          </cell>
          <cell r="O2842" t="str">
            <v>-</v>
          </cell>
          <cell r="P2842" t="str">
            <v>VA</v>
          </cell>
          <cell r="Q2842" t="str">
            <v>-</v>
          </cell>
        </row>
        <row r="2843">
          <cell r="F2843" t="str">
            <v>CHEN01L056</v>
          </cell>
          <cell r="G2843" t="str">
            <v>L&amp;T HEAVY CIVIL INFRA</v>
          </cell>
          <cell r="H2843" t="str">
            <v>-</v>
          </cell>
          <cell r="J2843" t="str">
            <v>Domestic</v>
          </cell>
          <cell r="P2843" t="str">
            <v>HO</v>
          </cell>
          <cell r="Q2843" t="str">
            <v>AVIRAL SHUKLA</v>
          </cell>
        </row>
        <row r="2844">
          <cell r="F2844" t="str">
            <v>SURA01L040</v>
          </cell>
          <cell r="G2844" t="str">
            <v>LACGENE TECHNOLOGIES PVT LTD</v>
          </cell>
          <cell r="H2844" t="str">
            <v>-</v>
          </cell>
          <cell r="J2844" t="str">
            <v>Domestic</v>
          </cell>
          <cell r="L2844" t="str">
            <v>Non-Sugar</v>
          </cell>
          <cell r="O2844" t="str">
            <v>-</v>
          </cell>
          <cell r="P2844" t="str">
            <v>-</v>
          </cell>
          <cell r="Q2844" t="str">
            <v>-</v>
          </cell>
        </row>
        <row r="2845">
          <cell r="F2845" t="str">
            <v>PUNE01L035</v>
          </cell>
          <cell r="G2845" t="str">
            <v>LAFIL ENGINEERS &amp; ASSOCIATES</v>
          </cell>
          <cell r="H2845" t="str">
            <v>-</v>
          </cell>
          <cell r="J2845" t="str">
            <v>Domestic</v>
          </cell>
          <cell r="L2845" t="str">
            <v>Non-Sugar</v>
          </cell>
          <cell r="O2845" t="str">
            <v>-</v>
          </cell>
          <cell r="P2845" t="str">
            <v>-</v>
          </cell>
          <cell r="Q2845" t="str">
            <v>-</v>
          </cell>
        </row>
        <row r="2846">
          <cell r="F2846" t="str">
            <v>CUDD01L047</v>
          </cell>
          <cell r="G2846" t="str">
            <v>LAKSHMI ENERGY AND ENVIRONMENTS DESIGNS</v>
          </cell>
          <cell r="H2846" t="str">
            <v>-</v>
          </cell>
          <cell r="J2846" t="str">
            <v>Domestic</v>
          </cell>
          <cell r="L2846" t="str">
            <v>Non-Sugar</v>
          </cell>
          <cell r="P2846" t="str">
            <v>WI-SV</v>
          </cell>
          <cell r="Q2846" t="str">
            <v>SUDHIR</v>
          </cell>
        </row>
        <row r="2847">
          <cell r="F2847" t="str">
            <v>NODA01L043</v>
          </cell>
          <cell r="G2847" t="str">
            <v>LAKSHMI RUBBER INDUSTRIES</v>
          </cell>
          <cell r="H2847" t="str">
            <v>-</v>
          </cell>
          <cell r="J2847" t="str">
            <v>Domestic</v>
          </cell>
          <cell r="L2847" t="str">
            <v>Non-Sugar</v>
          </cell>
          <cell r="O2847" t="str">
            <v>-</v>
          </cell>
          <cell r="P2847" t="str">
            <v>-</v>
          </cell>
          <cell r="Q2847" t="str">
            <v>-</v>
          </cell>
        </row>
        <row r="2848">
          <cell r="F2848" t="str">
            <v>NAGP01L042</v>
          </cell>
          <cell r="G2848" t="str">
            <v>LARS ENVIRO (LARS)</v>
          </cell>
          <cell r="H2848" t="str">
            <v>-</v>
          </cell>
          <cell r="J2848" t="str">
            <v>Domestic</v>
          </cell>
          <cell r="K2848" t="str">
            <v>ETP/STP/WTP</v>
          </cell>
          <cell r="L2848" t="str">
            <v>Non-Sugar</v>
          </cell>
          <cell r="M2848" t="str">
            <v>OEM</v>
          </cell>
          <cell r="O2848" t="str">
            <v>-</v>
          </cell>
          <cell r="P2848" t="str">
            <v>VA</v>
          </cell>
          <cell r="Q2848" t="str">
            <v>AVIRAL SHUKLA</v>
          </cell>
          <cell r="U2848" t="str">
            <v>24-25</v>
          </cell>
          <cell r="W2848">
            <v>45500</v>
          </cell>
        </row>
        <row r="2849">
          <cell r="F2849" t="str">
            <v>VADO01L051</v>
          </cell>
          <cell r="G2849" t="str">
            <v>LARSEN &amp; TOUBRO HYDROCARBON ENGINEERING</v>
          </cell>
          <cell r="H2849" t="str">
            <v>-</v>
          </cell>
          <cell r="J2849" t="str">
            <v>Domestic</v>
          </cell>
          <cell r="L2849" t="str">
            <v>Non-Sugar</v>
          </cell>
          <cell r="O2849" t="str">
            <v>-</v>
          </cell>
          <cell r="P2849" t="str">
            <v>-</v>
          </cell>
          <cell r="Q2849" t="str">
            <v>-</v>
          </cell>
        </row>
        <row r="2850">
          <cell r="F2850" t="str">
            <v>DHAR01L005</v>
          </cell>
          <cell r="G2850" t="str">
            <v>LARSEN &amp; TOUBRO LIMITED</v>
          </cell>
          <cell r="H2850" t="str">
            <v>-</v>
          </cell>
          <cell r="J2850" t="str">
            <v>Domestic</v>
          </cell>
          <cell r="K2850" t="str">
            <v>-</v>
          </cell>
          <cell r="L2850" t="str">
            <v>Non-Sugar</v>
          </cell>
          <cell r="O2850" t="str">
            <v>-</v>
          </cell>
          <cell r="P2850" t="str">
            <v>HO</v>
          </cell>
          <cell r="Q2850" t="str">
            <v>-</v>
          </cell>
          <cell r="T2850" t="str">
            <v>-</v>
          </cell>
        </row>
        <row r="2851">
          <cell r="F2851" t="str">
            <v>ROXA01L045</v>
          </cell>
          <cell r="G2851" t="str">
            <v>LESLIE CORPORATION</v>
          </cell>
          <cell r="H2851" t="str">
            <v>-</v>
          </cell>
          <cell r="J2851" t="str">
            <v>Export</v>
          </cell>
          <cell r="L2851" t="str">
            <v>Non-Sugar</v>
          </cell>
          <cell r="O2851" t="str">
            <v>-</v>
          </cell>
          <cell r="P2851" t="str">
            <v>VA</v>
          </cell>
          <cell r="Q2851" t="str">
            <v>VG</v>
          </cell>
        </row>
        <row r="2852">
          <cell r="F2852" t="str">
            <v>GERN01L052</v>
          </cell>
          <cell r="G2852" t="str">
            <v>LFL SOLUTION GMBH AND CO KG</v>
          </cell>
          <cell r="H2852" t="str">
            <v>-</v>
          </cell>
          <cell r="J2852" t="str">
            <v>Export</v>
          </cell>
          <cell r="L2852" t="str">
            <v>Non-Sugar</v>
          </cell>
          <cell r="O2852" t="str">
            <v>-</v>
          </cell>
          <cell r="P2852" t="str">
            <v>VA</v>
          </cell>
          <cell r="Q2852" t="str">
            <v>ANKUR</v>
          </cell>
        </row>
        <row r="2853">
          <cell r="F2853" t="str">
            <v>NANA01L015</v>
          </cell>
          <cell r="G2853" t="str">
            <v>LG PATSONS ENGINEERING PVT. LTD.</v>
          </cell>
          <cell r="H2853" t="str">
            <v>-</v>
          </cell>
          <cell r="J2853" t="str">
            <v>Domestic</v>
          </cell>
          <cell r="L2853" t="str">
            <v>Non-Sugar</v>
          </cell>
          <cell r="O2853" t="str">
            <v>-</v>
          </cell>
          <cell r="P2853" t="str">
            <v>HO</v>
          </cell>
          <cell r="Q2853" t="str">
            <v>-</v>
          </cell>
        </row>
        <row r="2854">
          <cell r="F2854" t="str">
            <v>CHEN01L055</v>
          </cell>
          <cell r="G2854" t="str">
            <v>LIQUID SKY</v>
          </cell>
          <cell r="H2854" t="str">
            <v>-</v>
          </cell>
          <cell r="J2854" t="str">
            <v>Domestic</v>
          </cell>
          <cell r="P2854" t="str">
            <v>SI-GS</v>
          </cell>
          <cell r="Q2854" t="str">
            <v>SI-GS</v>
          </cell>
        </row>
        <row r="2855">
          <cell r="F2855" t="str">
            <v>RAMP01L036</v>
          </cell>
          <cell r="G2855" t="str">
            <v>LLC INFRATECH LTD</v>
          </cell>
          <cell r="H2855" t="str">
            <v>-</v>
          </cell>
          <cell r="J2855" t="str">
            <v>Domestic</v>
          </cell>
          <cell r="L2855" t="str">
            <v>Non-Sugar</v>
          </cell>
          <cell r="O2855" t="str">
            <v>-</v>
          </cell>
          <cell r="P2855" t="str">
            <v>-</v>
          </cell>
          <cell r="Q2855" t="str">
            <v>-</v>
          </cell>
        </row>
        <row r="2856">
          <cell r="F2856" t="str">
            <v>SATA01B145</v>
          </cell>
          <cell r="G2856" t="str">
            <v>LOKNETE BALASAHEB DESAI SAHAKARI SAKHAR KARKHANA</v>
          </cell>
          <cell r="H2856" t="str">
            <v>-</v>
          </cell>
          <cell r="J2856" t="str">
            <v>Domestic</v>
          </cell>
          <cell r="K2856" t="str">
            <v>Sugar</v>
          </cell>
          <cell r="M2856" t="str">
            <v>End User</v>
          </cell>
          <cell r="O2856" t="str">
            <v>Sugar 1500</v>
          </cell>
          <cell r="P2856" t="str">
            <v>MRK</v>
          </cell>
          <cell r="Q2856" t="str">
            <v>MRK</v>
          </cell>
          <cell r="R2856" t="str">
            <v>VG</v>
          </cell>
          <cell r="T2856" t="str">
            <v>TOUR-7 (SATARA)</v>
          </cell>
          <cell r="U2856" t="str">
            <v>25-26</v>
          </cell>
          <cell r="W2856" t="str">
            <v>17-05-2025
18-6-2024
25-8-2023</v>
          </cell>
        </row>
        <row r="2857">
          <cell r="F2857" t="str">
            <v>GURG01L046</v>
          </cell>
          <cell r="G2857" t="str">
            <v>LR ENERGY</v>
          </cell>
          <cell r="H2857" t="str">
            <v>-</v>
          </cell>
          <cell r="J2857" t="str">
            <v>Domestic</v>
          </cell>
          <cell r="L2857" t="str">
            <v>Non-Sugar</v>
          </cell>
          <cell r="O2857" t="str">
            <v>-</v>
          </cell>
          <cell r="P2857" t="str">
            <v>-</v>
          </cell>
          <cell r="Q2857" t="str">
            <v>-</v>
          </cell>
        </row>
        <row r="2858">
          <cell r="F2858" t="str">
            <v>RAMP01L037</v>
          </cell>
          <cell r="G2858" t="str">
            <v>LSC INFRATECH LTD</v>
          </cell>
          <cell r="H2858" t="str">
            <v>-</v>
          </cell>
          <cell r="J2858" t="str">
            <v>Domestic</v>
          </cell>
          <cell r="L2858" t="str">
            <v>Non-Sugar</v>
          </cell>
          <cell r="O2858" t="str">
            <v>-</v>
          </cell>
          <cell r="P2858" t="str">
            <v>-</v>
          </cell>
          <cell r="Q2858" t="str">
            <v>-</v>
          </cell>
        </row>
        <row r="2859">
          <cell r="F2859" t="str">
            <v>KANP01M158</v>
          </cell>
          <cell r="G2859" t="str">
            <v>M/S SUPPLY SYESTEM</v>
          </cell>
          <cell r="H2859" t="str">
            <v>-</v>
          </cell>
          <cell r="J2859" t="str">
            <v>Domestic</v>
          </cell>
          <cell r="L2859" t="str">
            <v>Non-Sugar</v>
          </cell>
          <cell r="O2859" t="str">
            <v>-</v>
          </cell>
          <cell r="P2859" t="str">
            <v>-</v>
          </cell>
          <cell r="Q2859" t="str">
            <v>-</v>
          </cell>
        </row>
        <row r="2860">
          <cell r="F2860" t="str">
            <v>JAIP01M174</v>
          </cell>
          <cell r="G2860" t="str">
            <v>MACSEN LABS</v>
          </cell>
          <cell r="H2860" t="str">
            <v>-</v>
          </cell>
          <cell r="J2860" t="str">
            <v>Domestic</v>
          </cell>
          <cell r="L2860" t="str">
            <v>Non-Sugar</v>
          </cell>
          <cell r="O2860" t="str">
            <v>-</v>
          </cell>
          <cell r="P2860" t="str">
            <v>-</v>
          </cell>
          <cell r="Q2860" t="str">
            <v>-</v>
          </cell>
        </row>
        <row r="2861">
          <cell r="F2861" t="str">
            <v>AHME01M196</v>
          </cell>
          <cell r="G2861" t="str">
            <v>MACWIN ENGINEERS</v>
          </cell>
          <cell r="H2861" t="str">
            <v>-</v>
          </cell>
          <cell r="J2861" t="str">
            <v>Domestic</v>
          </cell>
          <cell r="L2861" t="str">
            <v>Non-Sugar</v>
          </cell>
          <cell r="O2861" t="str">
            <v>-</v>
          </cell>
          <cell r="P2861" t="str">
            <v>-</v>
          </cell>
          <cell r="Q2861" t="str">
            <v>-</v>
          </cell>
        </row>
        <row r="2862">
          <cell r="F2862" t="str">
            <v>GHZB01M111</v>
          </cell>
          <cell r="G2862" t="str">
            <v>MAGNUM VENTURES LIMITED</v>
          </cell>
          <cell r="H2862" t="str">
            <v>-</v>
          </cell>
          <cell r="J2862" t="str">
            <v>Domestic</v>
          </cell>
          <cell r="K2862" t="str">
            <v>-</v>
          </cell>
          <cell r="L2862" t="str">
            <v>Non-Sugar</v>
          </cell>
          <cell r="O2862" t="str">
            <v>-</v>
          </cell>
          <cell r="P2862" t="str">
            <v>HO</v>
          </cell>
          <cell r="Q2862" t="str">
            <v xml:space="preserve">MONU RAJPUT </v>
          </cell>
          <cell r="T2862" t="str">
            <v>-</v>
          </cell>
          <cell r="U2862" t="str">
            <v>22-23</v>
          </cell>
          <cell r="W2862" t="str">
            <v>27-09-2022</v>
          </cell>
        </row>
        <row r="2863">
          <cell r="F2863" t="str">
            <v>BADD01M165</v>
          </cell>
          <cell r="G2863" t="str">
            <v>MAHAKALI ENTERPRISES</v>
          </cell>
          <cell r="H2863" t="str">
            <v>-</v>
          </cell>
          <cell r="J2863" t="str">
            <v>Domestic</v>
          </cell>
          <cell r="L2863" t="str">
            <v>Non-Sugar</v>
          </cell>
          <cell r="O2863" t="str">
            <v>-</v>
          </cell>
          <cell r="P2863" t="str">
            <v>-</v>
          </cell>
          <cell r="Q2863" t="str">
            <v>-</v>
          </cell>
        </row>
        <row r="2864">
          <cell r="F2864" t="str">
            <v>KOLH01M173</v>
          </cell>
          <cell r="G2864" t="str">
            <v>MAHALAXMI CATTLE FEED(GOKUL)</v>
          </cell>
          <cell r="H2864" t="str">
            <v>-</v>
          </cell>
          <cell r="J2864" t="str">
            <v>Domestic</v>
          </cell>
          <cell r="K2864" t="str">
            <v>Dairy</v>
          </cell>
          <cell r="L2864" t="str">
            <v>Non-Sugar</v>
          </cell>
          <cell r="M2864" t="str">
            <v>End User</v>
          </cell>
          <cell r="O2864">
            <v>200</v>
          </cell>
          <cell r="P2864" t="str">
            <v>MRK</v>
          </cell>
          <cell r="Q2864" t="str">
            <v>MRK</v>
          </cell>
          <cell r="R2864" t="str">
            <v>VG</v>
          </cell>
          <cell r="T2864" t="str">
            <v>TOUR-5 (KOLHAPUR)</v>
          </cell>
          <cell r="U2864" t="str">
            <v>24-25</v>
          </cell>
          <cell r="W2864" t="str">
            <v>21-01-2025
03-02-2024</v>
          </cell>
        </row>
        <row r="2865">
          <cell r="F2865" t="str">
            <v>PATI1M103</v>
          </cell>
          <cell r="G2865" t="str">
            <v>MAHALAXMI PAPER MILL-MUZAFFARNAGAR</v>
          </cell>
          <cell r="H2865" t="str">
            <v>-</v>
          </cell>
          <cell r="J2865" t="str">
            <v>Domestic</v>
          </cell>
          <cell r="L2865" t="str">
            <v>Non-Sugar</v>
          </cell>
          <cell r="O2865" t="str">
            <v>-</v>
          </cell>
          <cell r="P2865" t="str">
            <v>-</v>
          </cell>
          <cell r="Q2865" t="str">
            <v>-</v>
          </cell>
        </row>
        <row r="2866">
          <cell r="F2866" t="str">
            <v>CHEN01M199</v>
          </cell>
          <cell r="G2866" t="str">
            <v>MAHASHAKTI BIO GAS</v>
          </cell>
          <cell r="H2866" t="str">
            <v>-</v>
          </cell>
          <cell r="J2866" t="str">
            <v>Domestic</v>
          </cell>
          <cell r="K2866" t="str">
            <v>BIOGAS</v>
          </cell>
          <cell r="L2866" t="str">
            <v>Non-Sugar</v>
          </cell>
          <cell r="M2866" t="str">
            <v>End User</v>
          </cell>
          <cell r="P2866" t="str">
            <v>SI-GS</v>
          </cell>
          <cell r="Q2866" t="str">
            <v>SI-GS</v>
          </cell>
          <cell r="W2866">
            <v>45693</v>
          </cell>
        </row>
        <row r="2867">
          <cell r="F2867" t="str">
            <v>GHZB01M063</v>
          </cell>
          <cell r="G2867" t="str">
            <v>MAHASHAKTI ENGINEERING COMPANY (UNIT-1)</v>
          </cell>
          <cell r="H2867" t="str">
            <v>-</v>
          </cell>
          <cell r="J2867" t="str">
            <v>Domestic</v>
          </cell>
          <cell r="K2867" t="str">
            <v>-</v>
          </cell>
          <cell r="L2867" t="str">
            <v>Non-Sugar</v>
          </cell>
          <cell r="O2867" t="str">
            <v>-</v>
          </cell>
          <cell r="P2867" t="str">
            <v>HO</v>
          </cell>
          <cell r="Q2867" t="str">
            <v>-</v>
          </cell>
          <cell r="T2867" t="str">
            <v>-</v>
          </cell>
          <cell r="U2867" t="str">
            <v>-</v>
          </cell>
          <cell r="W2867" t="str">
            <v>-</v>
          </cell>
        </row>
        <row r="2868">
          <cell r="F2868" t="str">
            <v>CHEN01M157</v>
          </cell>
          <cell r="G2868" t="str">
            <v>MAHATECH</v>
          </cell>
          <cell r="H2868" t="str">
            <v>-</v>
          </cell>
          <cell r="J2868" t="str">
            <v>Domestic</v>
          </cell>
          <cell r="L2868" t="str">
            <v>Non-Sugar</v>
          </cell>
          <cell r="O2868" t="str">
            <v>-</v>
          </cell>
          <cell r="P2868" t="str">
            <v>-</v>
          </cell>
          <cell r="Q2868" t="str">
            <v>-</v>
          </cell>
        </row>
        <row r="2869">
          <cell r="F2869" t="str">
            <v>NODA01M169</v>
          </cell>
          <cell r="G2869" t="str">
            <v>MAHEM IMPEX PVT LTD</v>
          </cell>
          <cell r="H2869" t="str">
            <v>-</v>
          </cell>
          <cell r="J2869" t="str">
            <v>Domestic</v>
          </cell>
          <cell r="L2869" t="str">
            <v>Non-Sugar</v>
          </cell>
          <cell r="O2869" t="str">
            <v>-</v>
          </cell>
          <cell r="P2869" t="str">
            <v>-</v>
          </cell>
          <cell r="Q2869" t="str">
            <v>-</v>
          </cell>
        </row>
        <row r="2870">
          <cell r="F2870" t="str">
            <v>HOSA01M160</v>
          </cell>
          <cell r="G2870" t="str">
            <v>MAHESHWARI GROUP</v>
          </cell>
          <cell r="H2870" t="str">
            <v>-</v>
          </cell>
          <cell r="J2870" t="str">
            <v>Domestic</v>
          </cell>
          <cell r="L2870" t="str">
            <v>Non-Sugar</v>
          </cell>
          <cell r="O2870" t="str">
            <v>-</v>
          </cell>
          <cell r="P2870" t="str">
            <v>-</v>
          </cell>
          <cell r="Q2870" t="str">
            <v>-</v>
          </cell>
        </row>
        <row r="2871">
          <cell r="F2871" t="str">
            <v>CHEN01M198</v>
          </cell>
          <cell r="G2871" t="str">
            <v>MAHINDRA NATURAL FEEDS &amp; FOODS</v>
          </cell>
          <cell r="H2871" t="str">
            <v>-</v>
          </cell>
          <cell r="J2871" t="str">
            <v>Domestic</v>
          </cell>
          <cell r="K2871" t="str">
            <v>Cattle Feed</v>
          </cell>
          <cell r="L2871" t="str">
            <v>Non-Sugar</v>
          </cell>
          <cell r="M2871" t="str">
            <v>End User</v>
          </cell>
          <cell r="P2871" t="str">
            <v>SI-GS</v>
          </cell>
          <cell r="Q2871" t="str">
            <v>SI-GS</v>
          </cell>
          <cell r="W2871" t="str">
            <v>-</v>
          </cell>
        </row>
        <row r="2872">
          <cell r="F2872" t="str">
            <v>PUNE01M172</v>
          </cell>
          <cell r="G2872" t="str">
            <v>MAILHEM ENVIRONMENT PVT LTD</v>
          </cell>
          <cell r="H2872" t="str">
            <v>-</v>
          </cell>
          <cell r="J2872" t="str">
            <v>Domestic</v>
          </cell>
          <cell r="L2872" t="str">
            <v>Non-Sugar</v>
          </cell>
          <cell r="O2872" t="str">
            <v>-</v>
          </cell>
          <cell r="P2872" t="str">
            <v>WI-SV</v>
          </cell>
          <cell r="Q2872" t="str">
            <v>SUDHIR</v>
          </cell>
        </row>
        <row r="2873">
          <cell r="F2873" t="str">
            <v>SAHA01M205</v>
          </cell>
          <cell r="G2873" t="str">
            <v>MAIR BIOTECH ENGINEERING PVT LTD</v>
          </cell>
          <cell r="H2873" t="str">
            <v>-</v>
          </cell>
          <cell r="J2873" t="str">
            <v>Domestic</v>
          </cell>
          <cell r="L2873" t="str">
            <v>Non-Sugar</v>
          </cell>
          <cell r="O2873" t="str">
            <v>-</v>
          </cell>
          <cell r="P2873" t="str">
            <v>-</v>
          </cell>
          <cell r="Q2873" t="str">
            <v>-</v>
          </cell>
        </row>
        <row r="2874">
          <cell r="F2874" t="str">
            <v>COIM01M204</v>
          </cell>
          <cell r="G2874" t="str">
            <v>MAK INDIA LTD</v>
          </cell>
          <cell r="H2874" t="str">
            <v>-</v>
          </cell>
          <cell r="J2874" t="str">
            <v>Domestic</v>
          </cell>
          <cell r="K2874" t="str">
            <v>BIOGAS</v>
          </cell>
          <cell r="L2874" t="str">
            <v>Non-Sugar</v>
          </cell>
          <cell r="M2874" t="str">
            <v>OEM</v>
          </cell>
          <cell r="P2874" t="str">
            <v>SI-GS</v>
          </cell>
          <cell r="Q2874" t="str">
            <v>SI-GS</v>
          </cell>
          <cell r="W2874" t="str">
            <v>-</v>
          </cell>
        </row>
        <row r="2875">
          <cell r="F2875" t="str">
            <v>SENE01M221</v>
          </cell>
          <cell r="G2875" t="str">
            <v>MAKTO DISTRIBUTION</v>
          </cell>
          <cell r="H2875" t="str">
            <v>-</v>
          </cell>
          <cell r="J2875" t="str">
            <v>Export</v>
          </cell>
          <cell r="L2875" t="str">
            <v>Non-Sugar</v>
          </cell>
          <cell r="M2875" t="str">
            <v>OEM</v>
          </cell>
          <cell r="O2875" t="str">
            <v>-</v>
          </cell>
          <cell r="P2875" t="str">
            <v>VA</v>
          </cell>
          <cell r="Q2875" t="str">
            <v>VG</v>
          </cell>
        </row>
        <row r="2876">
          <cell r="F2876" t="str">
            <v>NANA01M032</v>
          </cell>
          <cell r="G2876" t="str">
            <v>MANKAPUR CHINI MILLS----(SEE CODE )</v>
          </cell>
          <cell r="H2876" t="str">
            <v>-</v>
          </cell>
          <cell r="J2876" t="str">
            <v>Domestic</v>
          </cell>
          <cell r="L2876" t="str">
            <v>Non-Sugar</v>
          </cell>
          <cell r="O2876" t="str">
            <v>-</v>
          </cell>
          <cell r="P2876" t="str">
            <v>-</v>
          </cell>
          <cell r="Q2876" t="str">
            <v>-</v>
          </cell>
        </row>
        <row r="2877">
          <cell r="F2877" t="str">
            <v>MAND01M167</v>
          </cell>
          <cell r="G2877" t="str">
            <v>MANOJ COMPANY</v>
          </cell>
          <cell r="H2877" t="str">
            <v>-</v>
          </cell>
          <cell r="J2877" t="str">
            <v>Domestic</v>
          </cell>
          <cell r="L2877" t="str">
            <v>Non-Sugar</v>
          </cell>
          <cell r="O2877" t="str">
            <v>-</v>
          </cell>
          <cell r="P2877" t="str">
            <v>-</v>
          </cell>
          <cell r="Q2877" t="str">
            <v>-</v>
          </cell>
        </row>
        <row r="2878">
          <cell r="F2878" t="str">
            <v>GUJA01M155</v>
          </cell>
          <cell r="G2878" t="str">
            <v>MANSHI FOODS</v>
          </cell>
          <cell r="H2878" t="str">
            <v>-</v>
          </cell>
          <cell r="J2878" t="str">
            <v>Domestic</v>
          </cell>
          <cell r="L2878" t="str">
            <v>Non-Sugar</v>
          </cell>
          <cell r="O2878" t="str">
            <v>-</v>
          </cell>
          <cell r="P2878" t="str">
            <v>-</v>
          </cell>
          <cell r="Q2878" t="str">
            <v>-</v>
          </cell>
        </row>
        <row r="2879">
          <cell r="F2879" t="str">
            <v>EGPT01M190</v>
          </cell>
          <cell r="G2879" t="str">
            <v>MARIDIVE &amp; OIL SERVICES (S.A.E.)</v>
          </cell>
          <cell r="H2879" t="str">
            <v>-</v>
          </cell>
          <cell r="J2879" t="str">
            <v>Export</v>
          </cell>
          <cell r="L2879" t="str">
            <v>Non-Sugar</v>
          </cell>
          <cell r="O2879" t="str">
            <v>-</v>
          </cell>
          <cell r="P2879" t="str">
            <v>VA</v>
          </cell>
          <cell r="Q2879" t="str">
            <v>ANKUR</v>
          </cell>
        </row>
        <row r="2880">
          <cell r="F2880" t="str">
            <v>MUMB01M154</v>
          </cell>
          <cell r="G2880" t="str">
            <v>MARINE ENGINEERING</v>
          </cell>
          <cell r="H2880" t="str">
            <v>-</v>
          </cell>
          <cell r="J2880" t="str">
            <v>Domestic</v>
          </cell>
          <cell r="L2880" t="str">
            <v>Non-Sugar</v>
          </cell>
          <cell r="O2880" t="str">
            <v>-</v>
          </cell>
          <cell r="P2880" t="str">
            <v>-</v>
          </cell>
          <cell r="Q2880" t="str">
            <v>-</v>
          </cell>
        </row>
        <row r="2881">
          <cell r="F2881" t="str">
            <v>DLHI01M168</v>
          </cell>
          <cell r="G2881" t="str">
            <v>MARKETING CAFE</v>
          </cell>
          <cell r="H2881" t="str">
            <v>-</v>
          </cell>
          <cell r="J2881" t="str">
            <v>Domestic</v>
          </cell>
          <cell r="L2881" t="str">
            <v>Non-Sugar</v>
          </cell>
          <cell r="O2881" t="str">
            <v>-</v>
          </cell>
          <cell r="P2881" t="str">
            <v>-</v>
          </cell>
          <cell r="Q2881" t="str">
            <v>-</v>
          </cell>
        </row>
        <row r="2882">
          <cell r="F2882" t="str">
            <v>RAIG01M223</v>
          </cell>
          <cell r="G2882" t="str">
            <v>MASH ENERGY INDIA PVT LTD(SPV One)</v>
          </cell>
          <cell r="H2882" t="str">
            <v>-</v>
          </cell>
          <cell r="J2882" t="str">
            <v>Domestic</v>
          </cell>
          <cell r="K2882" t="str">
            <v>BIOGAS</v>
          </cell>
          <cell r="L2882" t="str">
            <v>Non-Sugar</v>
          </cell>
          <cell r="M2882" t="str">
            <v>End User</v>
          </cell>
          <cell r="P2882" t="str">
            <v>WI-SV</v>
          </cell>
          <cell r="Q2882" t="str">
            <v>SUDHIR</v>
          </cell>
        </row>
        <row r="2883">
          <cell r="F2883" t="str">
            <v>VISA01M182</v>
          </cell>
          <cell r="G2883" t="str">
            <v>MATERIAL ORGANISATION CONTROLLER OF</v>
          </cell>
          <cell r="H2883" t="str">
            <v>-</v>
          </cell>
          <cell r="J2883" t="str">
            <v>Domestic</v>
          </cell>
          <cell r="L2883" t="str">
            <v>Non-Sugar</v>
          </cell>
          <cell r="O2883" t="str">
            <v>-</v>
          </cell>
          <cell r="P2883" t="str">
            <v>-</v>
          </cell>
          <cell r="Q2883" t="str">
            <v>-</v>
          </cell>
        </row>
        <row r="2884">
          <cell r="F2884" t="str">
            <v>VISA01M181</v>
          </cell>
          <cell r="G2884" t="str">
            <v>MATERIAL ORGANISATION CONTROLLER OF WAREHOUSE</v>
          </cell>
          <cell r="H2884" t="str">
            <v>-</v>
          </cell>
          <cell r="J2884" t="str">
            <v>Domestic</v>
          </cell>
          <cell r="L2884" t="str">
            <v>Non-Sugar</v>
          </cell>
          <cell r="O2884" t="str">
            <v>-</v>
          </cell>
          <cell r="P2884" t="str">
            <v>-</v>
          </cell>
          <cell r="Q2884" t="str">
            <v>-</v>
          </cell>
        </row>
        <row r="2885">
          <cell r="F2885" t="str">
            <v>NODA01M180</v>
          </cell>
          <cell r="G2885" t="str">
            <v>MCCL NON WOVEN INDUSTRIES</v>
          </cell>
          <cell r="H2885" t="str">
            <v>-</v>
          </cell>
          <cell r="J2885" t="str">
            <v>Domestic</v>
          </cell>
          <cell r="L2885" t="str">
            <v>Non-Sugar</v>
          </cell>
          <cell r="O2885" t="str">
            <v>-</v>
          </cell>
          <cell r="P2885" t="str">
            <v>-</v>
          </cell>
          <cell r="Q2885" t="str">
            <v>-</v>
          </cell>
        </row>
        <row r="2886">
          <cell r="F2886" t="str">
            <v>BHAR01M166</v>
          </cell>
          <cell r="G2886" t="str">
            <v>MDK CHEMICALS</v>
          </cell>
          <cell r="H2886" t="str">
            <v>-</v>
          </cell>
          <cell r="J2886" t="str">
            <v>Domestic</v>
          </cell>
          <cell r="L2886" t="str">
            <v>Non-Sugar</v>
          </cell>
          <cell r="O2886" t="str">
            <v>-</v>
          </cell>
          <cell r="P2886" t="str">
            <v>-</v>
          </cell>
          <cell r="Q2886" t="str">
            <v>-</v>
          </cell>
        </row>
        <row r="2887">
          <cell r="F2887" t="str">
            <v>VADO01M188</v>
          </cell>
          <cell r="G2887" t="str">
            <v>MECHINSTR ENGINEERING LLP</v>
          </cell>
          <cell r="H2887" t="str">
            <v>-</v>
          </cell>
          <cell r="J2887" t="str">
            <v>Domestic</v>
          </cell>
          <cell r="L2887" t="str">
            <v>Non-Sugar</v>
          </cell>
          <cell r="O2887" t="str">
            <v>-</v>
          </cell>
          <cell r="P2887" t="str">
            <v>-</v>
          </cell>
          <cell r="Q2887" t="str">
            <v>-</v>
          </cell>
        </row>
        <row r="2888">
          <cell r="F2888" t="str">
            <v>MUMB01M200</v>
          </cell>
          <cell r="G2888" t="str">
            <v>MECHMANN ENGINEERING PVT LTD</v>
          </cell>
          <cell r="H2888" t="str">
            <v>-</v>
          </cell>
          <cell r="J2888" t="str">
            <v>Domestic</v>
          </cell>
          <cell r="L2888" t="str">
            <v>Non-Sugar</v>
          </cell>
          <cell r="P2888" t="str">
            <v>WI-SV</v>
          </cell>
          <cell r="Q2888" t="str">
            <v>SUDHIR</v>
          </cell>
        </row>
        <row r="2889">
          <cell r="F2889" t="str">
            <v>DLHI01M192</v>
          </cell>
          <cell r="G2889" t="str">
            <v>MEDSHIELD INDIA</v>
          </cell>
          <cell r="H2889" t="str">
            <v>-</v>
          </cell>
          <cell r="J2889" t="str">
            <v>Domestic</v>
          </cell>
          <cell r="L2889" t="str">
            <v>Non-Sugar</v>
          </cell>
          <cell r="O2889" t="str">
            <v>-</v>
          </cell>
          <cell r="P2889" t="str">
            <v>-</v>
          </cell>
          <cell r="Q2889" t="str">
            <v>-</v>
          </cell>
        </row>
        <row r="2890">
          <cell r="F2890" t="str">
            <v>NANA01M058</v>
          </cell>
          <cell r="G2890" t="str">
            <v>MEGHALAYA BREWERIES</v>
          </cell>
          <cell r="H2890" t="str">
            <v>-</v>
          </cell>
          <cell r="J2890" t="str">
            <v>Domestic</v>
          </cell>
          <cell r="L2890" t="str">
            <v>Non-Sugar</v>
          </cell>
          <cell r="O2890" t="str">
            <v>-</v>
          </cell>
          <cell r="P2890" t="str">
            <v>-</v>
          </cell>
          <cell r="Q2890" t="str">
            <v>-</v>
          </cell>
        </row>
        <row r="2891">
          <cell r="F2891" t="str">
            <v>GUJA01M171</v>
          </cell>
          <cell r="G2891" t="str">
            <v>MEGHMANI ORGANICS LTD</v>
          </cell>
          <cell r="H2891" t="str">
            <v>-</v>
          </cell>
          <cell r="J2891" t="str">
            <v>Domestic</v>
          </cell>
          <cell r="L2891" t="str">
            <v>Non-Sugar</v>
          </cell>
          <cell r="O2891" t="str">
            <v>-</v>
          </cell>
          <cell r="P2891" t="str">
            <v>-</v>
          </cell>
          <cell r="Q2891" t="str">
            <v>-</v>
          </cell>
          <cell r="R2891" t="str">
            <v>HIMANSHU</v>
          </cell>
          <cell r="U2891" t="str">
            <v>24-25</v>
          </cell>
          <cell r="W2891" t="str">
            <v>26-03-25</v>
          </cell>
        </row>
        <row r="2892">
          <cell r="F2892" t="str">
            <v>KAPI01M156</v>
          </cell>
          <cell r="G2892" t="str">
            <v>MEHTO</v>
          </cell>
          <cell r="H2892" t="str">
            <v>-</v>
          </cell>
          <cell r="J2892" t="str">
            <v>Export</v>
          </cell>
          <cell r="L2892" t="str">
            <v>Non-Sugar</v>
          </cell>
          <cell r="O2892" t="str">
            <v>-</v>
          </cell>
          <cell r="P2892" t="str">
            <v>-</v>
          </cell>
          <cell r="Q2892" t="str">
            <v>-</v>
          </cell>
        </row>
        <row r="2893">
          <cell r="F2893" t="str">
            <v>GUJA01M177</v>
          </cell>
          <cell r="G2893" t="str">
            <v>MEKCIV PROJECTS</v>
          </cell>
          <cell r="H2893" t="str">
            <v>-</v>
          </cell>
          <cell r="J2893" t="str">
            <v>Domestic</v>
          </cell>
          <cell r="L2893" t="str">
            <v>Non-Sugar</v>
          </cell>
          <cell r="O2893" t="str">
            <v>-</v>
          </cell>
          <cell r="P2893" t="str">
            <v>-</v>
          </cell>
          <cell r="Q2893" t="str">
            <v>-</v>
          </cell>
        </row>
        <row r="2894">
          <cell r="F2894" t="str">
            <v>DUBA01M211</v>
          </cell>
          <cell r="G2894" t="str">
            <v>MEKELINS INTERNATIONAL TRADING CO LLC</v>
          </cell>
          <cell r="H2894" t="str">
            <v>-</v>
          </cell>
          <cell r="J2894" t="str">
            <v>Export</v>
          </cell>
          <cell r="L2894" t="str">
            <v>Non-Sugar</v>
          </cell>
          <cell r="O2894" t="str">
            <v>-</v>
          </cell>
          <cell r="P2894" t="str">
            <v>VA</v>
          </cell>
          <cell r="Q2894" t="str">
            <v>VG</v>
          </cell>
        </row>
        <row r="2895">
          <cell r="F2895" t="str">
            <v>MANI01M186</v>
          </cell>
          <cell r="G2895" t="str">
            <v>MEKNOID SOLUTIONS PVT LTD</v>
          </cell>
          <cell r="H2895" t="str">
            <v>-</v>
          </cell>
          <cell r="J2895" t="str">
            <v>Domestic</v>
          </cell>
          <cell r="L2895" t="str">
            <v>Non-Sugar</v>
          </cell>
          <cell r="O2895" t="str">
            <v>-</v>
          </cell>
          <cell r="P2895" t="str">
            <v>-</v>
          </cell>
          <cell r="Q2895" t="str">
            <v>-</v>
          </cell>
        </row>
        <row r="2896">
          <cell r="F2896" t="str">
            <v>CHEN01M203</v>
          </cell>
          <cell r="G2896" t="str">
            <v>MEL SYSTEMS AND SERVICES LTD</v>
          </cell>
          <cell r="H2896" t="str">
            <v>-</v>
          </cell>
          <cell r="J2896" t="str">
            <v>Domestic</v>
          </cell>
          <cell r="P2896" t="str">
            <v>SI-MANI</v>
          </cell>
          <cell r="Q2896" t="str">
            <v>M SIVA</v>
          </cell>
        </row>
        <row r="2897">
          <cell r="F2897" t="str">
            <v>GURG1M136</v>
          </cell>
          <cell r="G2897" t="str">
            <v>MEMBRANE GROUP</v>
          </cell>
          <cell r="H2897" t="str">
            <v>-</v>
          </cell>
          <cell r="J2897" t="str">
            <v>Domestic</v>
          </cell>
          <cell r="L2897" t="str">
            <v>Non-Sugar</v>
          </cell>
          <cell r="O2897" t="str">
            <v>-</v>
          </cell>
          <cell r="P2897" t="str">
            <v>HO</v>
          </cell>
          <cell r="Q2897" t="str">
            <v>AVIRAL SHUKLA</v>
          </cell>
          <cell r="T2897" t="str">
            <v>Delhi-NCR tour</v>
          </cell>
          <cell r="U2897" t="str">
            <v>25-26</v>
          </cell>
          <cell r="W2897" t="str">
            <v>16-10-2025
25-07-2025</v>
          </cell>
        </row>
        <row r="2898">
          <cell r="F2898" t="str">
            <v>DUBA01M175</v>
          </cell>
          <cell r="G2898" t="str">
            <v>METALLURGY &amp; DRILLING (FZE)</v>
          </cell>
          <cell r="H2898" t="str">
            <v>-</v>
          </cell>
          <cell r="J2898" t="str">
            <v>Export</v>
          </cell>
          <cell r="L2898" t="str">
            <v>Non-Sugar</v>
          </cell>
          <cell r="O2898" t="str">
            <v>-</v>
          </cell>
          <cell r="P2898" t="str">
            <v>VA</v>
          </cell>
          <cell r="Q2898" t="str">
            <v>ANKUR</v>
          </cell>
        </row>
        <row r="2899">
          <cell r="F2899" t="str">
            <v>PUNE01M217</v>
          </cell>
          <cell r="G2899" t="str">
            <v>MEXOSMART PROCESS EQUIPMENTS</v>
          </cell>
          <cell r="H2899" t="str">
            <v>-</v>
          </cell>
          <cell r="J2899" t="str">
            <v>Domestic</v>
          </cell>
          <cell r="K2899" t="str">
            <v>others</v>
          </cell>
          <cell r="L2899" t="str">
            <v>Non-Sugar</v>
          </cell>
          <cell r="M2899" t="str">
            <v>OEM</v>
          </cell>
          <cell r="P2899" t="str">
            <v>AV</v>
          </cell>
          <cell r="Q2899" t="str">
            <v>AV</v>
          </cell>
          <cell r="R2899" t="str">
            <v>-</v>
          </cell>
        </row>
        <row r="2900">
          <cell r="F2900" t="str">
            <v>NANA01M046</v>
          </cell>
          <cell r="G2900" t="str">
            <v>MFCO</v>
          </cell>
          <cell r="H2900" t="str">
            <v>-</v>
          </cell>
          <cell r="J2900" t="str">
            <v>Export</v>
          </cell>
          <cell r="L2900" t="str">
            <v>Non-Sugar</v>
          </cell>
          <cell r="O2900" t="str">
            <v>-</v>
          </cell>
          <cell r="P2900" t="str">
            <v>VA</v>
          </cell>
          <cell r="Q2900" t="str">
            <v>ANKUR</v>
          </cell>
        </row>
        <row r="2901">
          <cell r="F2901" t="str">
            <v>SANG01M189</v>
          </cell>
          <cell r="G2901" t="str">
            <v>MFG ADITYA AUTO TECT &amp; SHRI TECHNIQUES</v>
          </cell>
          <cell r="H2901" t="str">
            <v>-</v>
          </cell>
          <cell r="J2901" t="str">
            <v>Domestic</v>
          </cell>
          <cell r="L2901" t="str">
            <v>Non-Sugar</v>
          </cell>
          <cell r="O2901" t="str">
            <v>-</v>
          </cell>
          <cell r="P2901" t="str">
            <v>-</v>
          </cell>
          <cell r="Q2901" t="str">
            <v>-</v>
          </cell>
        </row>
        <row r="2902">
          <cell r="F2902" t="str">
            <v>JAMM01J065</v>
          </cell>
          <cell r="G2902" t="str">
            <v>MICO TECHNOLOGY</v>
          </cell>
          <cell r="H2902" t="str">
            <v>-</v>
          </cell>
          <cell r="J2902" t="str">
            <v>Domestic</v>
          </cell>
          <cell r="L2902" t="str">
            <v>Non-Sugar</v>
          </cell>
          <cell r="O2902" t="str">
            <v>-</v>
          </cell>
          <cell r="P2902" t="str">
            <v>-</v>
          </cell>
          <cell r="Q2902" t="str">
            <v>-</v>
          </cell>
        </row>
        <row r="2903">
          <cell r="F2903" t="str">
            <v>MUZA01M185</v>
          </cell>
          <cell r="G2903" t="str">
            <v>MICROMAX BIOFUELS PVT LTD</v>
          </cell>
          <cell r="H2903" t="str">
            <v>-</v>
          </cell>
          <cell r="J2903" t="str">
            <v>Domestic</v>
          </cell>
          <cell r="L2903" t="str">
            <v>Non-Sugar</v>
          </cell>
          <cell r="O2903" t="str">
            <v>-</v>
          </cell>
          <cell r="P2903" t="str">
            <v>-</v>
          </cell>
          <cell r="Q2903" t="str">
            <v>-</v>
          </cell>
        </row>
        <row r="2904">
          <cell r="F2904" t="str">
            <v>COIM01M159</v>
          </cell>
          <cell r="G2904" t="str">
            <v>MIDAS SAFTEY PRODUCT LTD</v>
          </cell>
          <cell r="H2904" t="str">
            <v>-</v>
          </cell>
          <cell r="J2904" t="str">
            <v>Domestic</v>
          </cell>
          <cell r="L2904" t="str">
            <v>Non-Sugar</v>
          </cell>
          <cell r="O2904" t="str">
            <v>-</v>
          </cell>
          <cell r="P2904" t="str">
            <v>-</v>
          </cell>
          <cell r="Q2904" t="str">
            <v>-</v>
          </cell>
        </row>
        <row r="2905">
          <cell r="F2905" t="str">
            <v>PUNE01M162</v>
          </cell>
          <cell r="G2905" t="str">
            <v>MIDC</v>
          </cell>
          <cell r="H2905" t="str">
            <v>-</v>
          </cell>
          <cell r="J2905" t="str">
            <v>Domestic</v>
          </cell>
          <cell r="L2905" t="str">
            <v>Non-Sugar</v>
          </cell>
          <cell r="O2905" t="str">
            <v>-</v>
          </cell>
          <cell r="P2905" t="str">
            <v>-</v>
          </cell>
          <cell r="Q2905" t="str">
            <v>-</v>
          </cell>
        </row>
        <row r="2906">
          <cell r="F2906" t="str">
            <v>NANA01M051</v>
          </cell>
          <cell r="G2906" t="str">
            <v>MINERAL TECHNOLOGIES</v>
          </cell>
          <cell r="H2906" t="str">
            <v>-</v>
          </cell>
          <cell r="J2906" t="str">
            <v>Export</v>
          </cell>
          <cell r="L2906" t="str">
            <v>Non-Sugar</v>
          </cell>
          <cell r="O2906" t="str">
            <v>-</v>
          </cell>
          <cell r="P2906" t="str">
            <v>VA</v>
          </cell>
          <cell r="Q2906" t="str">
            <v>ANKUR</v>
          </cell>
        </row>
        <row r="2907">
          <cell r="F2907" t="str">
            <v>PERU01M213</v>
          </cell>
          <cell r="G2907" t="str">
            <v>MINFLUID PERU EIRL</v>
          </cell>
          <cell r="H2907" t="str">
            <v>-</v>
          </cell>
          <cell r="J2907" t="str">
            <v>Export</v>
          </cell>
          <cell r="L2907" t="str">
            <v>Non-Sugar</v>
          </cell>
          <cell r="O2907" t="str">
            <v>-</v>
          </cell>
          <cell r="P2907" t="str">
            <v>VA</v>
          </cell>
          <cell r="Q2907" t="str">
            <v>ANKUR</v>
          </cell>
        </row>
        <row r="2908">
          <cell r="F2908" t="str">
            <v>BHIL01M161</v>
          </cell>
          <cell r="G2908" t="str">
            <v>MINOVA RUNAYA PRIVATE LIMITED</v>
          </cell>
          <cell r="H2908" t="str">
            <v>-</v>
          </cell>
          <cell r="J2908" t="str">
            <v>Domestic</v>
          </cell>
          <cell r="L2908" t="str">
            <v>Non-Sugar</v>
          </cell>
          <cell r="O2908" t="str">
            <v>-</v>
          </cell>
          <cell r="P2908" t="str">
            <v>-</v>
          </cell>
          <cell r="Q2908" t="str">
            <v>-</v>
          </cell>
        </row>
        <row r="2909">
          <cell r="F2909" t="str">
            <v>NANA01M045</v>
          </cell>
          <cell r="G2909" t="str">
            <v>MIXER (CHILE) LTD</v>
          </cell>
          <cell r="H2909" t="str">
            <v>-</v>
          </cell>
          <cell r="J2909" t="str">
            <v>Export</v>
          </cell>
          <cell r="L2909" t="str">
            <v>Non-Sugar</v>
          </cell>
          <cell r="O2909" t="str">
            <v>-</v>
          </cell>
          <cell r="P2909" t="str">
            <v>VA</v>
          </cell>
          <cell r="Q2909" t="str">
            <v>ANKUR</v>
          </cell>
        </row>
        <row r="2910">
          <cell r="F2910" t="str">
            <v>KANP01M183</v>
          </cell>
          <cell r="G2910" t="str">
            <v>MLA INDUSTRIES PRIVATE LIMITED</v>
          </cell>
          <cell r="H2910" t="str">
            <v>-</v>
          </cell>
          <cell r="J2910" t="str">
            <v>Domestic</v>
          </cell>
          <cell r="L2910" t="str">
            <v>Non-Sugar</v>
          </cell>
          <cell r="O2910" t="str">
            <v>-</v>
          </cell>
          <cell r="P2910" t="str">
            <v>-</v>
          </cell>
          <cell r="Q2910" t="str">
            <v>-</v>
          </cell>
        </row>
        <row r="2911">
          <cell r="F2911" t="str">
            <v>CHEN01M195</v>
          </cell>
          <cell r="G2911" t="str">
            <v>MLESS</v>
          </cell>
          <cell r="H2911" t="str">
            <v>-</v>
          </cell>
          <cell r="J2911" t="str">
            <v>Domestic</v>
          </cell>
          <cell r="P2911" t="str">
            <v>SI-MANI</v>
          </cell>
          <cell r="Q2911" t="str">
            <v>M SIVA</v>
          </cell>
        </row>
        <row r="2912">
          <cell r="F2912" t="str">
            <v>RUDR01M201</v>
          </cell>
          <cell r="G2912" t="str">
            <v>MOGLI LABS (INDIA) PVT LTD</v>
          </cell>
          <cell r="H2912" t="str">
            <v>-</v>
          </cell>
          <cell r="J2912" t="str">
            <v>Domestic</v>
          </cell>
          <cell r="L2912" t="str">
            <v>Non-Sugar</v>
          </cell>
          <cell r="O2912" t="str">
            <v>-</v>
          </cell>
          <cell r="P2912" t="str">
            <v>-</v>
          </cell>
          <cell r="Q2912" t="str">
            <v>-</v>
          </cell>
        </row>
        <row r="2913">
          <cell r="F2913" t="str">
            <v>PUNA01M164</v>
          </cell>
          <cell r="G2913" t="str">
            <v>MOHIT TRADERS( MANORAMA ENTERPRISES)</v>
          </cell>
          <cell r="H2913" t="str">
            <v>-</v>
          </cell>
          <cell r="J2913" t="str">
            <v>Domestic</v>
          </cell>
          <cell r="L2913" t="str">
            <v>Non-Sugar</v>
          </cell>
          <cell r="O2913" t="str">
            <v>-</v>
          </cell>
          <cell r="P2913" t="str">
            <v>-</v>
          </cell>
          <cell r="Q2913" t="str">
            <v>-</v>
          </cell>
        </row>
        <row r="2914">
          <cell r="F2914" t="str">
            <v>HYDE1M138</v>
          </cell>
          <cell r="G2914" t="str">
            <v>MONDI (SERGEY KHOZYAINOV)</v>
          </cell>
          <cell r="H2914" t="str">
            <v>-</v>
          </cell>
          <cell r="J2914" t="str">
            <v>Domestic</v>
          </cell>
          <cell r="L2914" t="str">
            <v>Non-Sugar</v>
          </cell>
          <cell r="O2914" t="str">
            <v>-</v>
          </cell>
          <cell r="P2914" t="str">
            <v>-</v>
          </cell>
          <cell r="Q2914" t="str">
            <v>-</v>
          </cell>
        </row>
        <row r="2915">
          <cell r="F2915" t="str">
            <v>KANP01M224</v>
          </cell>
          <cell r="G2915" t="str">
            <v>MOTOR &amp; MACHINERY CORPORATION</v>
          </cell>
          <cell r="H2915" t="str">
            <v>-</v>
          </cell>
          <cell r="J2915" t="str">
            <v>Domestic</v>
          </cell>
          <cell r="P2915" t="str">
            <v>HO</v>
          </cell>
          <cell r="Q2915" t="str">
            <v>AVIRAL SHUKLA</v>
          </cell>
        </row>
        <row r="2916">
          <cell r="F2916" t="str">
            <v>KOLH01M137</v>
          </cell>
          <cell r="G2916" t="str">
            <v>MR SPECIALITY CHEMICALS LOTE CHIPLUN</v>
          </cell>
          <cell r="H2916" t="str">
            <v>-</v>
          </cell>
          <cell r="J2916" t="str">
            <v>Domestic</v>
          </cell>
          <cell r="K2916" t="str">
            <v>Chemical</v>
          </cell>
          <cell r="L2916" t="str">
            <v>Non-Sugar</v>
          </cell>
          <cell r="M2916" t="str">
            <v>End User</v>
          </cell>
          <cell r="O2916" t="str">
            <v>-</v>
          </cell>
          <cell r="P2916" t="str">
            <v>MRK</v>
          </cell>
          <cell r="Q2916" t="str">
            <v>MRK</v>
          </cell>
          <cell r="R2916" t="str">
            <v>VG</v>
          </cell>
          <cell r="T2916" t="str">
            <v>TOUR-8 (CHIPLUN)</v>
          </cell>
          <cell r="U2916" t="str">
            <v>22-23</v>
          </cell>
          <cell r="W2916" t="str">
            <v>14-03-2023
25-01-2023</v>
          </cell>
        </row>
        <row r="2917">
          <cell r="F2917" t="str">
            <v>GUJA01M176</v>
          </cell>
          <cell r="G2917" t="str">
            <v>MRF LIMITED</v>
          </cell>
          <cell r="H2917" t="str">
            <v>-</v>
          </cell>
          <cell r="J2917" t="str">
            <v>Domestic</v>
          </cell>
          <cell r="L2917" t="str">
            <v>Non-Sugar</v>
          </cell>
          <cell r="O2917" t="str">
            <v>-</v>
          </cell>
          <cell r="P2917" t="str">
            <v>NI</v>
          </cell>
          <cell r="Q2917" t="str">
            <v xml:space="preserve">AKSHAY AWASTHI </v>
          </cell>
          <cell r="U2917" t="str">
            <v>24-25</v>
          </cell>
          <cell r="W2917" t="str">
            <v>17-04-2024</v>
          </cell>
        </row>
        <row r="2918">
          <cell r="F2918" t="str">
            <v>GAMP01M193</v>
          </cell>
          <cell r="G2918" t="str">
            <v>MSN ENGINEERING (PVT) LTD</v>
          </cell>
          <cell r="H2918" t="str">
            <v>-</v>
          </cell>
          <cell r="J2918" t="str">
            <v>Export</v>
          </cell>
          <cell r="L2918" t="str">
            <v>Non-Sugar</v>
          </cell>
          <cell r="O2918" t="str">
            <v>-</v>
          </cell>
          <cell r="P2918" t="str">
            <v>VA</v>
          </cell>
          <cell r="Q2918" t="str">
            <v>AVIRAL SHUKLA</v>
          </cell>
        </row>
        <row r="2919">
          <cell r="F2919" t="str">
            <v>KASH01M215</v>
          </cell>
          <cell r="G2919" t="str">
            <v>MULTIWAL PAPER &amp; BOARD LTD</v>
          </cell>
          <cell r="H2919" t="str">
            <v>-</v>
          </cell>
          <cell r="J2919" t="str">
            <v>Domestic</v>
          </cell>
          <cell r="L2919" t="str">
            <v>Non-Sugar</v>
          </cell>
          <cell r="O2919" t="str">
            <v>-</v>
          </cell>
          <cell r="P2919" t="str">
            <v>-</v>
          </cell>
          <cell r="Q2919" t="str">
            <v>-</v>
          </cell>
        </row>
        <row r="2920">
          <cell r="F2920" t="str">
            <v>MYSR01M191</v>
          </cell>
          <cell r="G2920" t="str">
            <v>MURHOPYE SCIENTIFIC COMPANY</v>
          </cell>
          <cell r="H2920" t="str">
            <v>-</v>
          </cell>
          <cell r="J2920" t="str">
            <v>Domestic</v>
          </cell>
          <cell r="L2920" t="str">
            <v>Non-Sugar</v>
          </cell>
          <cell r="O2920" t="str">
            <v>-</v>
          </cell>
          <cell r="P2920" t="str">
            <v>-</v>
          </cell>
          <cell r="Q2920" t="str">
            <v>-</v>
          </cell>
        </row>
        <row r="2921">
          <cell r="F2921" t="str">
            <v>CHEN01M222</v>
          </cell>
          <cell r="G2921" t="str">
            <v>MURUGAPPA WATER TECHNOLOGIES</v>
          </cell>
          <cell r="H2921" t="str">
            <v>-</v>
          </cell>
          <cell r="J2921" t="str">
            <v>Domestic</v>
          </cell>
          <cell r="P2921" t="str">
            <v>SI-SIVA</v>
          </cell>
          <cell r="Q2921" t="str">
            <v>M SIVA</v>
          </cell>
        </row>
        <row r="2922">
          <cell r="F2922" t="str">
            <v>PUNE01N176</v>
          </cell>
          <cell r="G2922" t="str">
            <v>N. MEHTA &amp; COMPANY</v>
          </cell>
          <cell r="H2922" t="str">
            <v>-</v>
          </cell>
          <cell r="J2922" t="str">
            <v>Domestic</v>
          </cell>
          <cell r="L2922" t="str">
            <v>Non-Sugar</v>
          </cell>
          <cell r="P2922" t="str">
            <v>WI-SV</v>
          </cell>
          <cell r="Q2922" t="str">
            <v>SUDHIR</v>
          </cell>
        </row>
        <row r="2923">
          <cell r="F2923" t="str">
            <v>KOLK01N175</v>
          </cell>
          <cell r="G2923" t="str">
            <v>N. P. SYNDICATE</v>
          </cell>
          <cell r="H2923" t="str">
            <v>-</v>
          </cell>
          <cell r="J2923" t="str">
            <v>Domestic</v>
          </cell>
          <cell r="P2923" t="str">
            <v>VA</v>
          </cell>
          <cell r="Q2923" t="str">
            <v>-</v>
          </cell>
        </row>
        <row r="2924">
          <cell r="F2924" t="str">
            <v>RAIA01N164</v>
          </cell>
          <cell r="G2924" t="str">
            <v>NAAF PVT. LTD.</v>
          </cell>
          <cell r="H2924" t="str">
            <v>-</v>
          </cell>
          <cell r="J2924" t="str">
            <v>Domestic</v>
          </cell>
          <cell r="P2924" t="str">
            <v>SNS</v>
          </cell>
          <cell r="Q2924" t="str">
            <v>-</v>
          </cell>
        </row>
        <row r="2925">
          <cell r="F2925" t="str">
            <v>KOLK01N163</v>
          </cell>
          <cell r="G2925" t="str">
            <v>NABA DIGANTA WATER MANAGEMENT</v>
          </cell>
          <cell r="H2925" t="str">
            <v>-</v>
          </cell>
          <cell r="J2925" t="str">
            <v>Domestic</v>
          </cell>
          <cell r="P2925" t="str">
            <v>SNS</v>
          </cell>
          <cell r="Q2925" t="str">
            <v>-</v>
          </cell>
        </row>
        <row r="2926">
          <cell r="F2926" t="str">
            <v>CUTT01N138</v>
          </cell>
          <cell r="G2926" t="str">
            <v>NALCO ALUMINIUM COMPANY LTD</v>
          </cell>
          <cell r="H2926" t="str">
            <v>-</v>
          </cell>
          <cell r="J2926" t="str">
            <v>Domestic</v>
          </cell>
          <cell r="L2926" t="str">
            <v>Non-Sugar</v>
          </cell>
          <cell r="O2926" t="str">
            <v>-</v>
          </cell>
          <cell r="P2926" t="str">
            <v>-</v>
          </cell>
          <cell r="Q2926" t="str">
            <v>-</v>
          </cell>
        </row>
        <row r="2927">
          <cell r="F2927" t="str">
            <v>JAK01N171</v>
          </cell>
          <cell r="G2927" t="str">
            <v>NAMANDLA</v>
          </cell>
          <cell r="H2927" t="str">
            <v>-</v>
          </cell>
          <cell r="J2927" t="str">
            <v>Export</v>
          </cell>
          <cell r="L2927" t="str">
            <v>Non-Sugar</v>
          </cell>
          <cell r="O2927" t="str">
            <v>-</v>
          </cell>
          <cell r="P2927" t="str">
            <v>VA</v>
          </cell>
          <cell r="Q2927" t="str">
            <v>-</v>
          </cell>
        </row>
        <row r="2928">
          <cell r="F2928" t="str">
            <v>PUNE01N149</v>
          </cell>
          <cell r="G2928" t="str">
            <v>NASHIK GREEN ENERGY PVT LTD</v>
          </cell>
          <cell r="H2928" t="str">
            <v>-</v>
          </cell>
          <cell r="J2928" t="str">
            <v>Domestic</v>
          </cell>
          <cell r="L2928" t="str">
            <v>Non-Sugar</v>
          </cell>
          <cell r="O2928" t="str">
            <v>-</v>
          </cell>
          <cell r="P2928" t="str">
            <v>-</v>
          </cell>
          <cell r="Q2928" t="str">
            <v>-</v>
          </cell>
        </row>
        <row r="2929">
          <cell r="F2929" t="str">
            <v>GURG01N141</v>
          </cell>
          <cell r="G2929" t="str">
            <v>NATIONAL DAIRY RESEARCH INSTITUTE</v>
          </cell>
          <cell r="H2929" t="str">
            <v>-</v>
          </cell>
          <cell r="J2929" t="str">
            <v>Domestic</v>
          </cell>
          <cell r="L2929" t="str">
            <v>Non-Sugar</v>
          </cell>
          <cell r="O2929" t="str">
            <v>-</v>
          </cell>
          <cell r="P2929" t="str">
            <v>-</v>
          </cell>
          <cell r="Q2929" t="str">
            <v>-</v>
          </cell>
        </row>
        <row r="2930">
          <cell r="F2930" t="str">
            <v>KUTC01N145</v>
          </cell>
          <cell r="G2930" t="str">
            <v>NAVAR PLYWOOD</v>
          </cell>
          <cell r="H2930" t="str">
            <v>-</v>
          </cell>
          <cell r="J2930" t="str">
            <v>Domestic</v>
          </cell>
          <cell r="L2930" t="str">
            <v>Non-Sugar</v>
          </cell>
          <cell r="O2930" t="str">
            <v>-</v>
          </cell>
          <cell r="P2930" t="str">
            <v>-</v>
          </cell>
          <cell r="Q2930" t="str">
            <v>-</v>
          </cell>
        </row>
        <row r="2931">
          <cell r="F2931" t="str">
            <v>KANN01N137</v>
          </cell>
          <cell r="G2931" t="str">
            <v>NAVAYUGA ENGINEERING COMPANY LIMITED</v>
          </cell>
          <cell r="H2931" t="str">
            <v>-</v>
          </cell>
          <cell r="J2931" t="str">
            <v>Domestic</v>
          </cell>
          <cell r="L2931" t="str">
            <v>Non-Sugar</v>
          </cell>
          <cell r="O2931" t="str">
            <v>-</v>
          </cell>
          <cell r="P2931" t="str">
            <v>-</v>
          </cell>
          <cell r="Q2931" t="str">
            <v>-</v>
          </cell>
        </row>
        <row r="2932">
          <cell r="F2932" t="str">
            <v>KANN01N136</v>
          </cell>
          <cell r="G2932" t="str">
            <v>NAYAUGA ENGINEERING COMPANY LTD</v>
          </cell>
          <cell r="H2932" t="str">
            <v>-</v>
          </cell>
          <cell r="J2932" t="str">
            <v>Domestic</v>
          </cell>
          <cell r="L2932" t="str">
            <v>Non-Sugar</v>
          </cell>
          <cell r="O2932" t="str">
            <v>-</v>
          </cell>
          <cell r="P2932" t="str">
            <v>-</v>
          </cell>
          <cell r="Q2932" t="str">
            <v>-</v>
          </cell>
        </row>
        <row r="2933">
          <cell r="F2933" t="str">
            <v>DEDH01N132</v>
          </cell>
          <cell r="G2933" t="str">
            <v>NEC ROTOFLEX PACKAGING - HIMACHAL PRADESH</v>
          </cell>
          <cell r="H2933" t="str">
            <v>-</v>
          </cell>
          <cell r="J2933" t="str">
            <v>Domestic</v>
          </cell>
          <cell r="L2933" t="str">
            <v>Non-Sugar</v>
          </cell>
          <cell r="O2933" t="str">
            <v>-</v>
          </cell>
          <cell r="P2933" t="str">
            <v>-</v>
          </cell>
          <cell r="Q2933" t="str">
            <v>-</v>
          </cell>
        </row>
        <row r="2934">
          <cell r="F2934" t="str">
            <v>GUJA01N139</v>
          </cell>
          <cell r="G2934" t="str">
            <v>NEHA KRISHNA CHEMICAL</v>
          </cell>
          <cell r="H2934" t="str">
            <v>-</v>
          </cell>
          <cell r="J2934" t="str">
            <v>Domestic</v>
          </cell>
          <cell r="L2934" t="str">
            <v>Non-Sugar</v>
          </cell>
          <cell r="O2934" t="str">
            <v>-</v>
          </cell>
          <cell r="P2934" t="str">
            <v>-</v>
          </cell>
          <cell r="Q2934" t="str">
            <v>-</v>
          </cell>
        </row>
        <row r="2935">
          <cell r="F2935" t="str">
            <v>MUMB01N119</v>
          </cell>
          <cell r="G2935" t="str">
            <v>NEON INTERNATIONAL PVT. LTD</v>
          </cell>
          <cell r="H2935" t="str">
            <v>-</v>
          </cell>
          <cell r="J2935" t="str">
            <v>Domestic</v>
          </cell>
          <cell r="L2935" t="str">
            <v>Non-Sugar</v>
          </cell>
          <cell r="M2935" t="str">
            <v>OEM</v>
          </cell>
          <cell r="P2935" t="str">
            <v>WI-SV</v>
          </cell>
          <cell r="Q2935" t="str">
            <v>SUDHIR</v>
          </cell>
        </row>
        <row r="2936">
          <cell r="F2936" t="str">
            <v>NANA01N048</v>
          </cell>
          <cell r="G2936" t="str">
            <v>NEPTUNE GROUP</v>
          </cell>
          <cell r="H2936" t="str">
            <v>-</v>
          </cell>
          <cell r="J2936" t="str">
            <v>Domestic</v>
          </cell>
          <cell r="L2936" t="str">
            <v>Non-Sugar</v>
          </cell>
          <cell r="O2936" t="str">
            <v>-</v>
          </cell>
          <cell r="P2936" t="str">
            <v>-</v>
          </cell>
          <cell r="Q2936" t="str">
            <v>-</v>
          </cell>
        </row>
        <row r="2937">
          <cell r="F2937" t="str">
            <v>KANP01N133</v>
          </cell>
          <cell r="G2937" t="str">
            <v>NEROLAC PAINT</v>
          </cell>
          <cell r="H2937" t="str">
            <v>-</v>
          </cell>
          <cell r="J2937" t="str">
            <v>Domestic</v>
          </cell>
          <cell r="L2937" t="str">
            <v>Non-Sugar</v>
          </cell>
          <cell r="O2937" t="str">
            <v>-</v>
          </cell>
          <cell r="P2937" t="str">
            <v>-</v>
          </cell>
          <cell r="Q2937" t="str">
            <v>-</v>
          </cell>
        </row>
        <row r="2938">
          <cell r="F2938" t="str">
            <v>NODA01N172</v>
          </cell>
          <cell r="G2938" t="str">
            <v>NETXEROC PRIVATE LIMITED</v>
          </cell>
          <cell r="H2938" t="str">
            <v>-</v>
          </cell>
          <cell r="J2938" t="str">
            <v>Domestic</v>
          </cell>
          <cell r="K2938" t="str">
            <v>BIOGAS</v>
          </cell>
          <cell r="L2938" t="str">
            <v>Non-Sugar</v>
          </cell>
          <cell r="M2938" t="str">
            <v>OEM</v>
          </cell>
          <cell r="P2938" t="str">
            <v>SI-GS</v>
          </cell>
          <cell r="Q2938" t="str">
            <v>SI-GS</v>
          </cell>
        </row>
        <row r="2939">
          <cell r="F2939" t="str">
            <v>DABI01N142</v>
          </cell>
          <cell r="G2939" t="str">
            <v>NEW ALLIANZ GENERAL TRADING LLC</v>
          </cell>
          <cell r="H2939" t="str">
            <v>-</v>
          </cell>
          <cell r="J2939" t="str">
            <v>Export</v>
          </cell>
          <cell r="L2939" t="str">
            <v>Non-Sugar</v>
          </cell>
          <cell r="O2939" t="str">
            <v>-</v>
          </cell>
          <cell r="P2939" t="str">
            <v>VA</v>
          </cell>
          <cell r="Q2939" t="str">
            <v>ANKUR</v>
          </cell>
        </row>
        <row r="2940">
          <cell r="F2940" t="str">
            <v>BANG01N153</v>
          </cell>
          <cell r="G2940" t="str">
            <v>NEW INDIA ELECTRICALS LIMITED</v>
          </cell>
          <cell r="H2940" t="str">
            <v>-</v>
          </cell>
          <cell r="J2940" t="str">
            <v>Domestic</v>
          </cell>
          <cell r="L2940" t="str">
            <v>Non-Sugar</v>
          </cell>
          <cell r="O2940" t="str">
            <v>-</v>
          </cell>
          <cell r="P2940" t="str">
            <v>-</v>
          </cell>
          <cell r="Q2940" t="str">
            <v>-</v>
          </cell>
        </row>
        <row r="2941">
          <cell r="F2941" t="str">
            <v>NANA01N068</v>
          </cell>
          <cell r="G2941" t="str">
            <v>NEW S K ENTERPRIESSES</v>
          </cell>
          <cell r="H2941" t="str">
            <v>-</v>
          </cell>
          <cell r="J2941" t="str">
            <v>Domestic</v>
          </cell>
          <cell r="L2941" t="str">
            <v>Non-Sugar</v>
          </cell>
          <cell r="O2941" t="str">
            <v>-</v>
          </cell>
          <cell r="P2941" t="str">
            <v>-</v>
          </cell>
          <cell r="Q2941" t="str">
            <v>-</v>
          </cell>
          <cell r="T2941" t="str">
            <v>NOT APPLICABLE</v>
          </cell>
        </row>
        <row r="2942">
          <cell r="F2942" t="str">
            <v>KANP01N151</v>
          </cell>
          <cell r="G2942" t="str">
            <v>NEW TECH TRANSFORMERS</v>
          </cell>
          <cell r="H2942" t="str">
            <v>-</v>
          </cell>
          <cell r="J2942" t="str">
            <v>Domestic</v>
          </cell>
          <cell r="L2942" t="str">
            <v>Non-Sugar</v>
          </cell>
          <cell r="O2942" t="str">
            <v>-</v>
          </cell>
          <cell r="P2942" t="str">
            <v>-</v>
          </cell>
          <cell r="Q2942" t="str">
            <v>-</v>
          </cell>
        </row>
        <row r="2943">
          <cell r="F2943" t="str">
            <v>UGAN01N152</v>
          </cell>
          <cell r="G2943" t="str">
            <v>NILE FIBRE BOARD LTD</v>
          </cell>
          <cell r="H2943" t="str">
            <v>-</v>
          </cell>
          <cell r="J2943" t="str">
            <v>Export</v>
          </cell>
          <cell r="L2943" t="str">
            <v>Non-Sugar</v>
          </cell>
          <cell r="O2943" t="str">
            <v>-</v>
          </cell>
          <cell r="P2943" t="str">
            <v>VA</v>
          </cell>
          <cell r="Q2943" t="str">
            <v>AVIRAL SHUKLA</v>
          </cell>
        </row>
        <row r="2944">
          <cell r="F2944" t="str">
            <v>CHEN01N121</v>
          </cell>
          <cell r="G2944" t="str">
            <v>NIMIS INDIA PVT.LTD.</v>
          </cell>
          <cell r="H2944" t="str">
            <v>-</v>
          </cell>
          <cell r="J2944" t="str">
            <v>Domestic</v>
          </cell>
          <cell r="P2944" t="str">
            <v>SI-MANI</v>
          </cell>
          <cell r="Q2944" t="str">
            <v>M SIVA</v>
          </cell>
        </row>
        <row r="2945">
          <cell r="F2945" t="str">
            <v>COIM01N169</v>
          </cell>
          <cell r="G2945" t="str">
            <v>NIRMAL BRICKS AND BLOCKS</v>
          </cell>
          <cell r="H2945" t="str">
            <v>-</v>
          </cell>
          <cell r="J2945" t="str">
            <v>Domestic</v>
          </cell>
          <cell r="L2945" t="str">
            <v>Non-Sugar</v>
          </cell>
          <cell r="P2945" t="str">
            <v>WI-SV</v>
          </cell>
          <cell r="Q2945" t="str">
            <v>SUDHIR</v>
          </cell>
        </row>
        <row r="2946">
          <cell r="F2946" t="str">
            <v>KOLH01N167</v>
          </cell>
          <cell r="G2946" t="str">
            <v>NIRMIK AGROTECH</v>
          </cell>
          <cell r="H2946" t="str">
            <v>-</v>
          </cell>
          <cell r="J2946" t="str">
            <v>Domestic</v>
          </cell>
          <cell r="L2946" t="str">
            <v>Non-Sugar</v>
          </cell>
          <cell r="O2946" t="str">
            <v>-</v>
          </cell>
          <cell r="P2946" t="str">
            <v>-</v>
          </cell>
          <cell r="Q2946" t="str">
            <v>AVIRAL SHUKLA</v>
          </cell>
          <cell r="R2946" t="str">
            <v>HIMANSHU</v>
          </cell>
          <cell r="T2946" t="str">
            <v>MAHARASHTRA + KARNATAKA</v>
          </cell>
          <cell r="U2946" t="str">
            <v>25-26</v>
          </cell>
          <cell r="W2946">
            <v>45754</v>
          </cell>
        </row>
        <row r="2947">
          <cell r="F2947" t="str">
            <v>TANZ01N130</v>
          </cell>
          <cell r="G2947" t="str">
            <v>NITI RATTANAPHANPANICH</v>
          </cell>
          <cell r="H2947" t="str">
            <v>-</v>
          </cell>
          <cell r="J2947" t="str">
            <v>Export</v>
          </cell>
          <cell r="K2947" t="str">
            <v>-</v>
          </cell>
          <cell r="L2947" t="str">
            <v>Non-Sugar</v>
          </cell>
          <cell r="O2947" t="str">
            <v>-</v>
          </cell>
          <cell r="P2947" t="str">
            <v>VA</v>
          </cell>
          <cell r="Q2947" t="str">
            <v>VG</v>
          </cell>
          <cell r="T2947" t="str">
            <v>-</v>
          </cell>
          <cell r="U2947" t="str">
            <v>-</v>
          </cell>
          <cell r="W2947" t="str">
            <v>-</v>
          </cell>
        </row>
        <row r="2948">
          <cell r="F2948" t="str">
            <v>BHAR01N148</v>
          </cell>
          <cell r="G2948" t="str">
            <v>NITREX CHEMICALS INDIA LTD</v>
          </cell>
          <cell r="H2948" t="str">
            <v>-</v>
          </cell>
          <cell r="J2948" t="str">
            <v>Domestic</v>
          </cell>
          <cell r="L2948" t="str">
            <v>Non-Sugar</v>
          </cell>
          <cell r="O2948" t="str">
            <v>-</v>
          </cell>
          <cell r="P2948" t="str">
            <v>-</v>
          </cell>
          <cell r="Q2948" t="str">
            <v>-</v>
          </cell>
        </row>
        <row r="2949">
          <cell r="F2949" t="str">
            <v>HYDE01N166</v>
          </cell>
          <cell r="G2949" t="str">
            <v>NMDC LIMITED</v>
          </cell>
          <cell r="H2949" t="str">
            <v>-</v>
          </cell>
          <cell r="J2949" t="str">
            <v>Domestic</v>
          </cell>
          <cell r="L2949" t="str">
            <v>Non-Sugar</v>
          </cell>
          <cell r="O2949" t="str">
            <v>-</v>
          </cell>
          <cell r="P2949" t="str">
            <v>-</v>
          </cell>
          <cell r="Q2949" t="str">
            <v>-</v>
          </cell>
        </row>
        <row r="2950">
          <cell r="F2950" t="str">
            <v>BELG01N135</v>
          </cell>
          <cell r="G2950" t="str">
            <v>NMDC LTD</v>
          </cell>
          <cell r="H2950" t="str">
            <v>-</v>
          </cell>
          <cell r="J2950" t="str">
            <v>Domestic</v>
          </cell>
          <cell r="L2950" t="str">
            <v>Non-Sugar</v>
          </cell>
          <cell r="O2950" t="str">
            <v>-</v>
          </cell>
          <cell r="P2950" t="str">
            <v>-</v>
          </cell>
          <cell r="Q2950" t="str">
            <v>-</v>
          </cell>
        </row>
        <row r="2951">
          <cell r="F2951" t="str">
            <v>KANP01N154</v>
          </cell>
          <cell r="G2951" t="str">
            <v>NOOR ALAM KURAISHI</v>
          </cell>
          <cell r="H2951" t="str">
            <v>-</v>
          </cell>
          <cell r="J2951" t="str">
            <v>Domestic</v>
          </cell>
          <cell r="L2951" t="str">
            <v>Non-Sugar</v>
          </cell>
          <cell r="O2951" t="str">
            <v>-</v>
          </cell>
          <cell r="P2951" t="str">
            <v>-</v>
          </cell>
          <cell r="Q2951" t="str">
            <v>-</v>
          </cell>
        </row>
        <row r="2952">
          <cell r="F2952" t="str">
            <v>KANP01H033</v>
          </cell>
          <cell r="G2952" t="str">
            <v>NORTH INDIA</v>
          </cell>
          <cell r="H2952" t="str">
            <v>-</v>
          </cell>
          <cell r="J2952" t="str">
            <v>Domestic</v>
          </cell>
          <cell r="L2952" t="str">
            <v>Non-Sugar</v>
          </cell>
          <cell r="O2952" t="str">
            <v>-</v>
          </cell>
          <cell r="P2952" t="str">
            <v>-</v>
          </cell>
          <cell r="Q2952" t="str">
            <v>-</v>
          </cell>
        </row>
        <row r="2953">
          <cell r="F2953" t="str">
            <v>MUMB01N147</v>
          </cell>
          <cell r="G2953" t="str">
            <v>NUCLEAR POWER CORPATION OF INDIA</v>
          </cell>
          <cell r="H2953" t="str">
            <v>-</v>
          </cell>
          <cell r="J2953" t="str">
            <v>Domestic</v>
          </cell>
          <cell r="L2953" t="str">
            <v>Non-Sugar</v>
          </cell>
          <cell r="O2953" t="str">
            <v>-</v>
          </cell>
          <cell r="P2953" t="str">
            <v>-</v>
          </cell>
          <cell r="Q2953" t="str">
            <v>-</v>
          </cell>
        </row>
        <row r="2954">
          <cell r="F2954" t="str">
            <v>CHEN01N177</v>
          </cell>
          <cell r="G2954" t="str">
            <v>NUCLEAR POWER CORPORATION OF INDIA</v>
          </cell>
          <cell r="H2954" t="str">
            <v>-</v>
          </cell>
          <cell r="J2954" t="str">
            <v>Domestic</v>
          </cell>
          <cell r="L2954" t="str">
            <v>Non-Sugar</v>
          </cell>
          <cell r="O2954" t="str">
            <v>-</v>
          </cell>
          <cell r="P2954" t="str">
            <v>VA</v>
          </cell>
          <cell r="Q2954" t="str">
            <v>AVIRAL SHUKLA</v>
          </cell>
        </row>
        <row r="2955">
          <cell r="F2955" t="str">
            <v>GOLA01N165</v>
          </cell>
          <cell r="G2955" t="str">
            <v>NUMALIGARH REFINERY LTD</v>
          </cell>
          <cell r="H2955" t="str">
            <v>-</v>
          </cell>
          <cell r="J2955" t="str">
            <v>Domestic</v>
          </cell>
          <cell r="L2955" t="str">
            <v>Non-Sugar</v>
          </cell>
          <cell r="O2955" t="str">
            <v>-</v>
          </cell>
          <cell r="P2955" t="str">
            <v>-</v>
          </cell>
          <cell r="Q2955" t="str">
            <v>-</v>
          </cell>
        </row>
        <row r="2956">
          <cell r="F2956" t="str">
            <v>DLHI01N155</v>
          </cell>
          <cell r="G2956" t="str">
            <v>NUMIX INDUSTRIES PVT LTD</v>
          </cell>
          <cell r="H2956" t="str">
            <v>-</v>
          </cell>
          <cell r="J2956" t="str">
            <v>Domestic</v>
          </cell>
          <cell r="L2956" t="str">
            <v>Non-Sugar</v>
          </cell>
          <cell r="O2956" t="str">
            <v>-</v>
          </cell>
          <cell r="P2956" t="str">
            <v>-</v>
          </cell>
          <cell r="Q2956" t="str">
            <v>-</v>
          </cell>
        </row>
        <row r="2957">
          <cell r="F2957" t="str">
            <v>CHEN01N160</v>
          </cell>
          <cell r="G2957" t="str">
            <v>NVG SPECIALITY PAPER AND COATING LLP</v>
          </cell>
          <cell r="H2957" t="str">
            <v>-</v>
          </cell>
          <cell r="J2957" t="str">
            <v>Domestic</v>
          </cell>
          <cell r="K2957" t="str">
            <v>Paper</v>
          </cell>
          <cell r="L2957" t="str">
            <v>Non-Sugar</v>
          </cell>
          <cell r="M2957" t="str">
            <v>End User</v>
          </cell>
          <cell r="P2957" t="str">
            <v>SI-GS</v>
          </cell>
          <cell r="Q2957" t="str">
            <v>SI-GS</v>
          </cell>
          <cell r="W2957">
            <v>45642</v>
          </cell>
        </row>
        <row r="2958">
          <cell r="F2958" t="str">
            <v>NAIR01N156</v>
          </cell>
          <cell r="G2958" t="str">
            <v>NYUMBA YA CHUMA LTD</v>
          </cell>
          <cell r="H2958" t="str">
            <v>-</v>
          </cell>
          <cell r="J2958" t="str">
            <v>Export</v>
          </cell>
          <cell r="L2958" t="str">
            <v>Non-Sugar</v>
          </cell>
          <cell r="O2958" t="str">
            <v>-</v>
          </cell>
          <cell r="P2958" t="str">
            <v>VA</v>
          </cell>
          <cell r="Q2958" t="str">
            <v>ANKUR</v>
          </cell>
        </row>
        <row r="2959">
          <cell r="F2959" t="str">
            <v>BANK01N134</v>
          </cell>
          <cell r="G2959" t="str">
            <v>NZ KBL</v>
          </cell>
          <cell r="H2959" t="str">
            <v>-</v>
          </cell>
          <cell r="J2959" t="str">
            <v>Export</v>
          </cell>
          <cell r="L2959" t="str">
            <v>Non-Sugar</v>
          </cell>
          <cell r="O2959" t="str">
            <v>-</v>
          </cell>
          <cell r="P2959" t="str">
            <v>VA</v>
          </cell>
          <cell r="Q2959" t="str">
            <v>ANKUR</v>
          </cell>
        </row>
        <row r="2960">
          <cell r="F2960" t="str">
            <v>CHEN01O027</v>
          </cell>
          <cell r="G2960" t="str">
            <v>OIL INDIA LIMITED DULIAGAM</v>
          </cell>
          <cell r="H2960" t="str">
            <v>-</v>
          </cell>
          <cell r="J2960" t="str">
            <v>Domestic</v>
          </cell>
          <cell r="K2960" t="str">
            <v>-</v>
          </cell>
          <cell r="L2960" t="str">
            <v>Non-Sugar</v>
          </cell>
          <cell r="O2960" t="str">
            <v>-</v>
          </cell>
          <cell r="P2960" t="str">
            <v>HO</v>
          </cell>
          <cell r="Q2960" t="str">
            <v>-</v>
          </cell>
          <cell r="T2960" t="str">
            <v>-</v>
          </cell>
          <cell r="U2960" t="str">
            <v>-</v>
          </cell>
          <cell r="W2960" t="str">
            <v>-</v>
          </cell>
        </row>
        <row r="2961">
          <cell r="F2961" t="str">
            <v>SURA01O040</v>
          </cell>
          <cell r="G2961" t="str">
            <v>OM GANESH REFINERY</v>
          </cell>
          <cell r="H2961" t="str">
            <v>-</v>
          </cell>
          <cell r="J2961" t="str">
            <v>Domestic</v>
          </cell>
          <cell r="L2961" t="str">
            <v>Non-Sugar</v>
          </cell>
          <cell r="O2961" t="str">
            <v>-</v>
          </cell>
          <cell r="P2961" t="str">
            <v>-</v>
          </cell>
          <cell r="Q2961" t="str">
            <v>-</v>
          </cell>
        </row>
        <row r="2962">
          <cell r="F2962" t="str">
            <v>SULL01O023</v>
          </cell>
          <cell r="G2962" t="str">
            <v>OM SAI AQUA SULURPETA</v>
          </cell>
          <cell r="H2962" t="str">
            <v>-</v>
          </cell>
          <cell r="J2962" t="str">
            <v>Domestic</v>
          </cell>
          <cell r="L2962" t="str">
            <v>Non-Sugar</v>
          </cell>
          <cell r="O2962" t="str">
            <v>-</v>
          </cell>
          <cell r="P2962" t="str">
            <v>-</v>
          </cell>
          <cell r="Q2962" t="str">
            <v>-</v>
          </cell>
        </row>
        <row r="2963">
          <cell r="F2963" t="str">
            <v>NAGP01O024</v>
          </cell>
          <cell r="G2963" t="str">
            <v>OMEGA CORPORATION</v>
          </cell>
          <cell r="H2963" t="str">
            <v>-</v>
          </cell>
          <cell r="J2963" t="str">
            <v>Domestic</v>
          </cell>
          <cell r="K2963" t="str">
            <v>-</v>
          </cell>
          <cell r="L2963" t="str">
            <v>Non-Sugar</v>
          </cell>
          <cell r="O2963" t="str">
            <v>-</v>
          </cell>
          <cell r="P2963" t="str">
            <v>VA</v>
          </cell>
          <cell r="Q2963" t="str">
            <v>-</v>
          </cell>
          <cell r="S2963" t="str">
            <v>https://maps.app.goo.gl/EembnS9BJcpTvH8p8</v>
          </cell>
          <cell r="T2963" t="str">
            <v>-</v>
          </cell>
          <cell r="U2963" t="str">
            <v>26-27</v>
          </cell>
          <cell r="V2963" t="str">
            <v>May</v>
          </cell>
          <cell r="W2963" t="str">
            <v>16-05-2026</v>
          </cell>
        </row>
        <row r="2964">
          <cell r="F2964" t="str">
            <v>ALEP01O032</v>
          </cell>
          <cell r="G2964" t="str">
            <v>OMEGA FOR TRADING</v>
          </cell>
          <cell r="H2964" t="str">
            <v>-</v>
          </cell>
          <cell r="J2964" t="str">
            <v>Export</v>
          </cell>
          <cell r="L2964" t="str">
            <v>Non-Sugar</v>
          </cell>
          <cell r="O2964" t="str">
            <v>-</v>
          </cell>
          <cell r="P2964" t="str">
            <v>VA</v>
          </cell>
          <cell r="Q2964" t="str">
            <v>ANKUR</v>
          </cell>
        </row>
        <row r="2965">
          <cell r="F2965" t="str">
            <v>THNA01O044</v>
          </cell>
          <cell r="G2965" t="str">
            <v>OMKAR ENTERPRISES</v>
          </cell>
          <cell r="H2965" t="str">
            <v>-</v>
          </cell>
          <cell r="J2965" t="str">
            <v>Domestic</v>
          </cell>
          <cell r="L2965" t="str">
            <v>Non-Sugar</v>
          </cell>
          <cell r="P2965" t="str">
            <v>WI-SV</v>
          </cell>
          <cell r="Q2965" t="str">
            <v>SUDHIR</v>
          </cell>
        </row>
        <row r="2966">
          <cell r="F2966" t="str">
            <v>NAZI01O036</v>
          </cell>
          <cell r="G2966" t="str">
            <v>ONGC LTD</v>
          </cell>
          <cell r="H2966" t="str">
            <v>-</v>
          </cell>
          <cell r="J2966" t="str">
            <v>Domestic</v>
          </cell>
          <cell r="L2966" t="str">
            <v>Non-Sugar</v>
          </cell>
          <cell r="O2966" t="str">
            <v>-</v>
          </cell>
          <cell r="P2966" t="str">
            <v>-</v>
          </cell>
          <cell r="Q2966" t="str">
            <v>-</v>
          </cell>
        </row>
        <row r="2967">
          <cell r="F2967" t="str">
            <v>SOLP01V072</v>
          </cell>
          <cell r="G2967" t="str">
            <v>ONKAR POWER CORPORATION PVT. LTD UNIT-5(gokul mauli)</v>
          </cell>
          <cell r="H2967" t="str">
            <v>-</v>
          </cell>
          <cell r="I2967" t="str">
            <v>Onkar Group</v>
          </cell>
          <cell r="J2967" t="str">
            <v>Domestic</v>
          </cell>
          <cell r="K2967" t="str">
            <v>Sugar</v>
          </cell>
          <cell r="L2967" t="str">
            <v>Sugar</v>
          </cell>
          <cell r="M2967" t="str">
            <v>Group (Mills)</v>
          </cell>
          <cell r="P2967" t="str">
            <v>AV</v>
          </cell>
          <cell r="Q2967" t="str">
            <v>AV</v>
          </cell>
          <cell r="R2967" t="str">
            <v>AT</v>
          </cell>
        </row>
        <row r="2968">
          <cell r="F2968" t="str">
            <v>NUND01O049</v>
          </cell>
          <cell r="G2968" t="str">
            <v>ONKAR SUGAR &amp; ALLIED IND LTD UNIT - 9 (Formerly SHREE NAGAI DEVI SUGAR) (formerly shree satpuda tapi parisai ssk)</v>
          </cell>
          <cell r="H2968" t="str">
            <v>-</v>
          </cell>
          <cell r="I2968" t="str">
            <v>Onkar Group</v>
          </cell>
          <cell r="J2968" t="str">
            <v>Domestic</v>
          </cell>
          <cell r="K2968" t="str">
            <v>Sugar</v>
          </cell>
          <cell r="L2968" t="str">
            <v>Sugar</v>
          </cell>
          <cell r="M2968" t="str">
            <v>Group (Mills)</v>
          </cell>
          <cell r="N2968" t="str">
            <v>(0-5000)</v>
          </cell>
          <cell r="O2968">
            <v>5000</v>
          </cell>
          <cell r="P2968" t="str">
            <v>AV</v>
          </cell>
          <cell r="Q2968" t="str">
            <v>AV</v>
          </cell>
          <cell r="R2968" t="str">
            <v>PD</v>
          </cell>
          <cell r="T2968" t="str">
            <v>Nasik_Nandurbar - 1</v>
          </cell>
          <cell r="W2968" t="str">
            <v>-</v>
          </cell>
        </row>
        <row r="2969">
          <cell r="F2969" t="str">
            <v>PUNE01O030</v>
          </cell>
          <cell r="G2969" t="str">
            <v>ORCHID MATERIAL HANDLING PVT LTD</v>
          </cell>
          <cell r="H2969" t="str">
            <v>-</v>
          </cell>
          <cell r="J2969" t="str">
            <v>Domestic</v>
          </cell>
          <cell r="L2969" t="str">
            <v>Non-Sugar</v>
          </cell>
          <cell r="O2969" t="str">
            <v>-</v>
          </cell>
          <cell r="P2969" t="str">
            <v>-</v>
          </cell>
          <cell r="Q2969" t="str">
            <v>-</v>
          </cell>
        </row>
        <row r="2970">
          <cell r="F2970" t="str">
            <v>LUDH01O031</v>
          </cell>
          <cell r="G2970" t="str">
            <v>ORIENTAL EXPORT PVT LTD</v>
          </cell>
          <cell r="H2970" t="str">
            <v>-</v>
          </cell>
          <cell r="J2970" t="str">
            <v>Domestic</v>
          </cell>
          <cell r="L2970" t="str">
            <v>Non-Sugar</v>
          </cell>
          <cell r="O2970" t="str">
            <v>-</v>
          </cell>
          <cell r="P2970" t="str">
            <v>-</v>
          </cell>
          <cell r="Q2970" t="str">
            <v>-</v>
          </cell>
        </row>
        <row r="2971">
          <cell r="F2971" t="str">
            <v>HARD01O041</v>
          </cell>
          <cell r="G2971" t="str">
            <v>ORIGAMI CELLULO PVT LTD</v>
          </cell>
          <cell r="H2971" t="str">
            <v>-</v>
          </cell>
          <cell r="J2971" t="str">
            <v>Domestic</v>
          </cell>
          <cell r="L2971" t="str">
            <v>Non-Sugar</v>
          </cell>
          <cell r="O2971" t="str">
            <v>-</v>
          </cell>
          <cell r="P2971" t="str">
            <v>-</v>
          </cell>
          <cell r="Q2971" t="str">
            <v>-</v>
          </cell>
        </row>
        <row r="2972">
          <cell r="F2972" t="str">
            <v>AHME01O046</v>
          </cell>
          <cell r="G2972" t="str">
            <v>OSWAL ENGINEERING</v>
          </cell>
          <cell r="H2972" t="str">
            <v>-</v>
          </cell>
          <cell r="J2972" t="str">
            <v>Domestic</v>
          </cell>
          <cell r="L2972" t="str">
            <v>Non-Sugar</v>
          </cell>
          <cell r="O2972" t="str">
            <v>-</v>
          </cell>
          <cell r="P2972" t="str">
            <v>HO</v>
          </cell>
          <cell r="Q2972" t="str">
            <v>AVIRAL SHUKLA</v>
          </cell>
        </row>
        <row r="2973">
          <cell r="F2973" t="str">
            <v>GUJA01O035</v>
          </cell>
          <cell r="G2973" t="str">
            <v>OSWAL INFRASTRUCTURE LIMITED</v>
          </cell>
          <cell r="H2973" t="str">
            <v>-</v>
          </cell>
          <cell r="J2973" t="str">
            <v>Domestic</v>
          </cell>
          <cell r="L2973" t="str">
            <v>Non-Sugar</v>
          </cell>
          <cell r="O2973" t="str">
            <v>-</v>
          </cell>
          <cell r="P2973" t="str">
            <v>-</v>
          </cell>
          <cell r="Q2973" t="str">
            <v>-</v>
          </cell>
        </row>
        <row r="2974">
          <cell r="F2974" t="str">
            <v>PUNE01O042</v>
          </cell>
          <cell r="G2974" t="str">
            <v>OVEE CONSULTING ENGINEERING</v>
          </cell>
          <cell r="H2974" t="str">
            <v>-</v>
          </cell>
          <cell r="J2974" t="str">
            <v>Domestic</v>
          </cell>
          <cell r="L2974" t="str">
            <v>Non-Sugar</v>
          </cell>
          <cell r="P2974" t="str">
            <v>WI-SV</v>
          </cell>
          <cell r="Q2974" t="str">
            <v>SUDHIR</v>
          </cell>
        </row>
        <row r="2975">
          <cell r="F2975" t="str">
            <v>CHIL01P159</v>
          </cell>
          <cell r="G2975" t="str">
            <v>P &amp; F TECHNOLOGY</v>
          </cell>
          <cell r="H2975" t="str">
            <v>-</v>
          </cell>
          <cell r="J2975" t="str">
            <v>Export</v>
          </cell>
          <cell r="L2975" t="str">
            <v>Non-Sugar</v>
          </cell>
          <cell r="O2975" t="str">
            <v>-</v>
          </cell>
          <cell r="P2975" t="str">
            <v>VA</v>
          </cell>
          <cell r="Q2975" t="str">
            <v>ANKUR</v>
          </cell>
        </row>
        <row r="2976">
          <cell r="F2976" t="str">
            <v>DLHI1P119</v>
          </cell>
          <cell r="G2976" t="str">
            <v>P.K Marketing Co.</v>
          </cell>
          <cell r="H2976" t="str">
            <v>-</v>
          </cell>
          <cell r="J2976" t="str">
            <v>Domestic</v>
          </cell>
          <cell r="L2976" t="str">
            <v>Non-Sugar</v>
          </cell>
          <cell r="O2976" t="str">
            <v>-</v>
          </cell>
          <cell r="P2976" t="str">
            <v>-</v>
          </cell>
          <cell r="Q2976" t="str">
            <v>-</v>
          </cell>
        </row>
        <row r="2977">
          <cell r="F2977" t="str">
            <v>DABI01P121</v>
          </cell>
          <cell r="G2977" t="str">
            <v>PACT ENGG...</v>
          </cell>
          <cell r="H2977" t="str">
            <v>-</v>
          </cell>
          <cell r="J2977" t="str">
            <v>Export</v>
          </cell>
          <cell r="L2977" t="str">
            <v>Non-Sugar</v>
          </cell>
          <cell r="O2977" t="str">
            <v>-</v>
          </cell>
          <cell r="P2977" t="str">
            <v>VA</v>
          </cell>
          <cell r="Q2977" t="str">
            <v>VG</v>
          </cell>
        </row>
        <row r="2978">
          <cell r="F2978" t="str">
            <v>BHOP01P148</v>
          </cell>
          <cell r="G2978" t="str">
            <v>PALIWAL BIO ENERGY PVT LIMITED</v>
          </cell>
          <cell r="H2978" t="str">
            <v>-</v>
          </cell>
          <cell r="J2978" t="str">
            <v>Domestic</v>
          </cell>
          <cell r="L2978" t="str">
            <v>Non-Sugar</v>
          </cell>
          <cell r="O2978" t="str">
            <v>-</v>
          </cell>
          <cell r="P2978" t="str">
            <v>-</v>
          </cell>
          <cell r="Q2978" t="str">
            <v>-</v>
          </cell>
        </row>
        <row r="2979">
          <cell r="F2979" t="str">
            <v>MUMB01P040</v>
          </cell>
          <cell r="G2979" t="str">
            <v>PAMS INDUSTRIES</v>
          </cell>
          <cell r="H2979" t="str">
            <v>-</v>
          </cell>
          <cell r="J2979" t="str">
            <v>Domestic</v>
          </cell>
          <cell r="K2979" t="str">
            <v>-</v>
          </cell>
          <cell r="L2979" t="str">
            <v>Non-Sugar</v>
          </cell>
          <cell r="O2979" t="str">
            <v>-</v>
          </cell>
          <cell r="P2979" t="str">
            <v>VA</v>
          </cell>
          <cell r="Q2979" t="str">
            <v>-</v>
          </cell>
          <cell r="T2979" t="str">
            <v>-</v>
          </cell>
          <cell r="U2979" t="str">
            <v>-</v>
          </cell>
          <cell r="W2979" t="str">
            <v>-</v>
          </cell>
        </row>
        <row r="2980">
          <cell r="F2980" t="str">
            <v>PANI01P124</v>
          </cell>
          <cell r="G2980" t="str">
            <v>PAN FOODS</v>
          </cell>
          <cell r="H2980" t="str">
            <v>-</v>
          </cell>
          <cell r="J2980" t="str">
            <v>Domestic</v>
          </cell>
          <cell r="L2980" t="str">
            <v>Non-Sugar</v>
          </cell>
          <cell r="O2980" t="str">
            <v>-</v>
          </cell>
          <cell r="P2980" t="str">
            <v>-</v>
          </cell>
          <cell r="Q2980" t="str">
            <v>-</v>
          </cell>
        </row>
        <row r="2981">
          <cell r="F2981" t="str">
            <v>JAKA01P138</v>
          </cell>
          <cell r="G2981" t="str">
            <v>PANCA BUANA BERKATAMA</v>
          </cell>
          <cell r="H2981" t="str">
            <v>-</v>
          </cell>
          <cell r="J2981" t="str">
            <v>Export</v>
          </cell>
          <cell r="L2981" t="str">
            <v>Non-Sugar</v>
          </cell>
          <cell r="O2981" t="str">
            <v>-</v>
          </cell>
          <cell r="P2981" t="str">
            <v>VA</v>
          </cell>
          <cell r="Q2981" t="str">
            <v>VG</v>
          </cell>
        </row>
        <row r="2982">
          <cell r="F2982" t="str">
            <v>NANA01P042</v>
          </cell>
          <cell r="G2982" t="str">
            <v>PANDJI SUGAR MILLS LTD</v>
          </cell>
          <cell r="H2982" t="str">
            <v>-</v>
          </cell>
          <cell r="J2982" t="str">
            <v>Export</v>
          </cell>
          <cell r="L2982" t="str">
            <v>Non-Sugar</v>
          </cell>
          <cell r="O2982" t="str">
            <v>-</v>
          </cell>
          <cell r="P2982" t="str">
            <v>VA</v>
          </cell>
          <cell r="Q2982" t="str">
            <v>ANKUR</v>
          </cell>
        </row>
        <row r="2983">
          <cell r="F2983" t="str">
            <v>NODA01P113</v>
          </cell>
          <cell r="G2983" t="str">
            <v>PANOLI INTERMEDIATES ( INDIA ) PVT LTD</v>
          </cell>
          <cell r="H2983" t="str">
            <v>-</v>
          </cell>
          <cell r="J2983" t="str">
            <v>Domestic</v>
          </cell>
          <cell r="L2983" t="str">
            <v>Non-Sugar</v>
          </cell>
          <cell r="O2983" t="str">
            <v>-</v>
          </cell>
          <cell r="P2983" t="str">
            <v>-</v>
          </cell>
          <cell r="Q2983" t="str">
            <v>-</v>
          </cell>
        </row>
        <row r="2984">
          <cell r="F2984" t="str">
            <v>BANG01P096</v>
          </cell>
          <cell r="G2984" t="str">
            <v>PARAM ENVIRO</v>
          </cell>
          <cell r="H2984" t="str">
            <v>-</v>
          </cell>
          <cell r="J2984" t="str">
            <v>Domestic</v>
          </cell>
          <cell r="K2984" t="str">
            <v>ETP/STP/WTP</v>
          </cell>
          <cell r="L2984" t="str">
            <v>Non-Sugar</v>
          </cell>
          <cell r="M2984" t="str">
            <v>OEM</v>
          </cell>
          <cell r="O2984" t="str">
            <v>-</v>
          </cell>
          <cell r="P2984" t="str">
            <v>VA</v>
          </cell>
          <cell r="Q2984" t="str">
            <v>-</v>
          </cell>
          <cell r="T2984" t="str">
            <v>-</v>
          </cell>
          <cell r="U2984" t="str">
            <v>-</v>
          </cell>
          <cell r="W2984" t="str">
            <v>-</v>
          </cell>
        </row>
        <row r="2985">
          <cell r="F2985" t="str">
            <v>GUJA01P110</v>
          </cell>
          <cell r="G2985" t="str">
            <v>PARAMOUNT LIMITED</v>
          </cell>
          <cell r="H2985" t="str">
            <v>-</v>
          </cell>
          <cell r="J2985" t="str">
            <v>Domestic</v>
          </cell>
          <cell r="K2985" t="str">
            <v>-</v>
          </cell>
          <cell r="L2985" t="str">
            <v>Non-Sugar</v>
          </cell>
          <cell r="O2985" t="str">
            <v>-</v>
          </cell>
          <cell r="P2985" t="str">
            <v>HO</v>
          </cell>
          <cell r="Q2985" t="str">
            <v>-</v>
          </cell>
          <cell r="T2985" t="str">
            <v>-</v>
          </cell>
          <cell r="U2985" t="str">
            <v>-</v>
          </cell>
          <cell r="W2985" t="str">
            <v>-</v>
          </cell>
        </row>
        <row r="2986">
          <cell r="F2986" t="str">
            <v>AHME01P161</v>
          </cell>
          <cell r="G2986" t="str">
            <v>PARIK</v>
          </cell>
          <cell r="H2986" t="str">
            <v>-</v>
          </cell>
          <cell r="J2986" t="str">
            <v>Domestic</v>
          </cell>
          <cell r="L2986" t="str">
            <v>Non-Sugar</v>
          </cell>
          <cell r="O2986" t="str">
            <v>-</v>
          </cell>
          <cell r="P2986" t="str">
            <v>-</v>
          </cell>
          <cell r="Q2986" t="str">
            <v>-</v>
          </cell>
        </row>
        <row r="2987">
          <cell r="F2987" t="str">
            <v>GWAL01P125</v>
          </cell>
          <cell r="G2987" t="str">
            <v>PARK PAPER MILLS</v>
          </cell>
          <cell r="H2987" t="str">
            <v>-</v>
          </cell>
          <cell r="J2987" t="str">
            <v>Domestic</v>
          </cell>
          <cell r="L2987" t="str">
            <v>Non-Sugar</v>
          </cell>
          <cell r="O2987" t="str">
            <v>-</v>
          </cell>
          <cell r="P2987" t="str">
            <v>-</v>
          </cell>
          <cell r="Q2987" t="str">
            <v>-</v>
          </cell>
        </row>
        <row r="2988">
          <cell r="F2988" t="str">
            <v>PILI01P160</v>
          </cell>
          <cell r="G2988" t="str">
            <v>PARTS SUPPLY LTDA</v>
          </cell>
          <cell r="H2988" t="str">
            <v>-</v>
          </cell>
          <cell r="J2988" t="str">
            <v>Export</v>
          </cell>
          <cell r="L2988" t="str">
            <v>Non-Sugar</v>
          </cell>
          <cell r="O2988" t="str">
            <v>-</v>
          </cell>
          <cell r="P2988" t="str">
            <v>VA</v>
          </cell>
          <cell r="Q2988" t="str">
            <v>ANKUR</v>
          </cell>
        </row>
        <row r="2989">
          <cell r="F2989" t="str">
            <v>HALD01P147</v>
          </cell>
          <cell r="G2989" t="str">
            <v>PATANJALI FOODS LIMITED</v>
          </cell>
          <cell r="H2989" t="str">
            <v>-</v>
          </cell>
          <cell r="J2989" t="str">
            <v>Domestic</v>
          </cell>
          <cell r="P2989" t="str">
            <v>SNS</v>
          </cell>
          <cell r="Q2989" t="str">
            <v>-</v>
          </cell>
        </row>
        <row r="2990">
          <cell r="F2990" t="str">
            <v>PUNE01P167</v>
          </cell>
          <cell r="G2990" t="str">
            <v>PATIL ENGINEERING</v>
          </cell>
          <cell r="H2990" t="str">
            <v>-</v>
          </cell>
          <cell r="J2990" t="str">
            <v>Domestic</v>
          </cell>
          <cell r="L2990" t="str">
            <v>Non-Sugar</v>
          </cell>
          <cell r="P2990" t="str">
            <v>WI-SV</v>
          </cell>
          <cell r="Q2990" t="str">
            <v>SUDHIR</v>
          </cell>
        </row>
        <row r="2991">
          <cell r="F2991" t="str">
            <v>CALI01P097</v>
          </cell>
          <cell r="G2991" t="str">
            <v>PATPAT ENGINEERING</v>
          </cell>
          <cell r="H2991" t="str">
            <v>-</v>
          </cell>
          <cell r="J2991" t="str">
            <v>Export</v>
          </cell>
          <cell r="K2991" t="str">
            <v>-</v>
          </cell>
          <cell r="L2991" t="str">
            <v>Non-Sugar</v>
          </cell>
          <cell r="O2991" t="str">
            <v>-</v>
          </cell>
          <cell r="P2991" t="str">
            <v>VA</v>
          </cell>
          <cell r="Q2991" t="str">
            <v>VG</v>
          </cell>
          <cell r="T2991" t="str">
            <v>-</v>
          </cell>
          <cell r="U2991" t="str">
            <v>-</v>
          </cell>
          <cell r="W2991" t="str">
            <v>-</v>
          </cell>
        </row>
        <row r="2992">
          <cell r="F2992" t="str">
            <v>UDUP01P123</v>
          </cell>
          <cell r="G2992" t="str">
            <v>PERADKA ENGINEERING</v>
          </cell>
          <cell r="H2992" t="str">
            <v>-</v>
          </cell>
          <cell r="J2992" t="str">
            <v>Domestic</v>
          </cell>
          <cell r="L2992" t="str">
            <v>Non-Sugar</v>
          </cell>
          <cell r="O2992" t="str">
            <v>-</v>
          </cell>
          <cell r="P2992" t="str">
            <v>-</v>
          </cell>
          <cell r="Q2992" t="str">
            <v>-</v>
          </cell>
        </row>
        <row r="2993">
          <cell r="F2993" t="str">
            <v>VADO01P080</v>
          </cell>
          <cell r="G2993" t="str">
            <v>PETROEXCEL TECHNOLOGY SERVICES PVT LTD</v>
          </cell>
          <cell r="H2993" t="str">
            <v>-</v>
          </cell>
          <cell r="J2993" t="str">
            <v>Domestic</v>
          </cell>
          <cell r="K2993" t="str">
            <v>-</v>
          </cell>
          <cell r="L2993" t="str">
            <v>Non-Sugar</v>
          </cell>
          <cell r="O2993" t="str">
            <v>-</v>
          </cell>
          <cell r="P2993" t="str">
            <v>VA</v>
          </cell>
          <cell r="Q2993" t="str">
            <v>-</v>
          </cell>
          <cell r="T2993" t="str">
            <v>-</v>
          </cell>
          <cell r="U2993" t="str">
            <v>-</v>
          </cell>
          <cell r="W2993" t="str">
            <v>-</v>
          </cell>
        </row>
        <row r="2994">
          <cell r="F2994" t="str">
            <v>JAIP01P155</v>
          </cell>
          <cell r="G2994" t="str">
            <v>PETROGLOBAL CONSULTANT ENGINEERING</v>
          </cell>
          <cell r="H2994" t="str">
            <v>-</v>
          </cell>
          <cell r="J2994" t="str">
            <v>Domestic</v>
          </cell>
          <cell r="L2994" t="str">
            <v>Non-Sugar</v>
          </cell>
          <cell r="O2994" t="str">
            <v>-</v>
          </cell>
          <cell r="P2994" t="str">
            <v>-</v>
          </cell>
          <cell r="Q2994" t="str">
            <v>-</v>
          </cell>
        </row>
        <row r="2995">
          <cell r="F2995" t="str">
            <v>INDR01P150</v>
          </cell>
          <cell r="G2995" t="str">
            <v>PHALOUDI AGRI AND FOODS PRIVATE LIMITED</v>
          </cell>
          <cell r="H2995" t="str">
            <v>-</v>
          </cell>
          <cell r="J2995" t="str">
            <v>Domestic</v>
          </cell>
          <cell r="L2995" t="str">
            <v>Non-Sugar</v>
          </cell>
          <cell r="O2995" t="str">
            <v>-</v>
          </cell>
          <cell r="P2995" t="str">
            <v>-</v>
          </cell>
          <cell r="Q2995" t="str">
            <v>-</v>
          </cell>
        </row>
        <row r="2996">
          <cell r="F2996" t="str">
            <v>PHIL01P116</v>
          </cell>
          <cell r="G2996" t="str">
            <v>PHES INDUSTRIAL EQUIPMENT SUPPLY</v>
          </cell>
          <cell r="H2996" t="str">
            <v>-</v>
          </cell>
          <cell r="J2996" t="str">
            <v>Export</v>
          </cell>
          <cell r="L2996" t="str">
            <v>Non-Sugar</v>
          </cell>
          <cell r="O2996" t="str">
            <v>-</v>
          </cell>
          <cell r="P2996" t="str">
            <v>VA</v>
          </cell>
          <cell r="Q2996" t="str">
            <v>VG</v>
          </cell>
        </row>
        <row r="2997">
          <cell r="F2997" t="str">
            <v>PUNE01P108</v>
          </cell>
          <cell r="G2997" t="str">
            <v>PILON ENGINEERING PVT.LTD.</v>
          </cell>
          <cell r="H2997" t="str">
            <v>-</v>
          </cell>
          <cell r="J2997" t="str">
            <v>Domestic</v>
          </cell>
          <cell r="K2997" t="str">
            <v>-</v>
          </cell>
          <cell r="L2997" t="str">
            <v>Non-Sugar</v>
          </cell>
          <cell r="M2997" t="str">
            <v>OEM</v>
          </cell>
          <cell r="O2997" t="str">
            <v>-</v>
          </cell>
          <cell r="P2997" t="str">
            <v>WI-SV</v>
          </cell>
          <cell r="Q2997" t="str">
            <v>SUDHIR</v>
          </cell>
          <cell r="R2997" t="str">
            <v>-</v>
          </cell>
          <cell r="T2997" t="str">
            <v>-</v>
          </cell>
          <cell r="U2997" t="str">
            <v>-</v>
          </cell>
          <cell r="W2997" t="str">
            <v>-</v>
          </cell>
        </row>
        <row r="2998">
          <cell r="F2998" t="str">
            <v>FIRO01P153</v>
          </cell>
          <cell r="G2998" t="str">
            <v>PKLS INDUSTRIES</v>
          </cell>
          <cell r="H2998" t="str">
            <v>-</v>
          </cell>
          <cell r="J2998" t="str">
            <v>Domestic</v>
          </cell>
          <cell r="L2998" t="str">
            <v>Non-Sugar</v>
          </cell>
          <cell r="O2998" t="str">
            <v>-</v>
          </cell>
          <cell r="P2998" t="str">
            <v>-</v>
          </cell>
          <cell r="Q2998" t="str">
            <v>-</v>
          </cell>
        </row>
        <row r="2999">
          <cell r="F2999" t="str">
            <v>BANK01P132</v>
          </cell>
          <cell r="G2999" t="str">
            <v>PL INTER PRODUCTS CO. LTD</v>
          </cell>
          <cell r="H2999" t="str">
            <v>-</v>
          </cell>
          <cell r="J2999" t="str">
            <v>Export</v>
          </cell>
          <cell r="L2999" t="str">
            <v>Non-Sugar</v>
          </cell>
          <cell r="O2999" t="str">
            <v>-</v>
          </cell>
          <cell r="P2999" t="str">
            <v>VA</v>
          </cell>
          <cell r="Q2999" t="str">
            <v>VG</v>
          </cell>
        </row>
        <row r="3000">
          <cell r="F3000" t="str">
            <v>MYSR01P137</v>
          </cell>
          <cell r="G3000" t="str">
            <v>PLANSEE INDIA HIGH</v>
          </cell>
          <cell r="H3000" t="str">
            <v>-</v>
          </cell>
          <cell r="J3000" t="str">
            <v>Domestic</v>
          </cell>
          <cell r="K3000" t="str">
            <v>OTHERS</v>
          </cell>
          <cell r="L3000" t="str">
            <v>Non-Sugar</v>
          </cell>
          <cell r="M3000" t="str">
            <v>End User</v>
          </cell>
          <cell r="P3000" t="str">
            <v>AV</v>
          </cell>
          <cell r="Q3000" t="str">
            <v>AV</v>
          </cell>
          <cell r="R3000" t="str">
            <v>VG</v>
          </cell>
        </row>
        <row r="3001">
          <cell r="F3001" t="str">
            <v>EGPT01P157</v>
          </cell>
          <cell r="G3001" t="str">
            <v>POLY CHEM</v>
          </cell>
          <cell r="H3001" t="str">
            <v>-</v>
          </cell>
          <cell r="J3001" t="str">
            <v>Export</v>
          </cell>
          <cell r="L3001" t="str">
            <v>Non-Sugar</v>
          </cell>
          <cell r="O3001" t="str">
            <v>-</v>
          </cell>
          <cell r="P3001" t="str">
            <v>VA</v>
          </cell>
          <cell r="Q3001" t="str">
            <v>ANKUR</v>
          </cell>
        </row>
        <row r="3002">
          <cell r="F3002" t="str">
            <v>CHEN01P026</v>
          </cell>
          <cell r="G3002" t="str">
            <v>POLYMORPHIC SYSTEMS PVT. LTD.</v>
          </cell>
          <cell r="H3002" t="str">
            <v>-</v>
          </cell>
          <cell r="J3002" t="str">
            <v>Domestic</v>
          </cell>
          <cell r="K3002" t="str">
            <v>Chemical</v>
          </cell>
          <cell r="L3002" t="str">
            <v>Non-Sugar</v>
          </cell>
          <cell r="M3002" t="str">
            <v>End User</v>
          </cell>
          <cell r="P3002" t="str">
            <v>SI-GS</v>
          </cell>
          <cell r="Q3002" t="str">
            <v>SI-GS</v>
          </cell>
          <cell r="W3002" t="str">
            <v>-</v>
          </cell>
        </row>
        <row r="3003">
          <cell r="F3003" t="str">
            <v>RAIG01P139</v>
          </cell>
          <cell r="G3003" t="str">
            <v>POSCO MAHARASHTRA STEEL PVT LTD (supplied by OM Tools)</v>
          </cell>
          <cell r="H3003" t="str">
            <v>-</v>
          </cell>
          <cell r="J3003" t="str">
            <v>Domestic</v>
          </cell>
          <cell r="L3003" t="str">
            <v>Non-Sugar</v>
          </cell>
          <cell r="M3003" t="str">
            <v>End User</v>
          </cell>
          <cell r="O3003" t="str">
            <v>-</v>
          </cell>
          <cell r="P3003" t="str">
            <v>NI</v>
          </cell>
          <cell r="Q3003" t="str">
            <v>AVIRAL SHUKLA</v>
          </cell>
        </row>
        <row r="3004">
          <cell r="F3004" t="str">
            <v>GHAZ01P130</v>
          </cell>
          <cell r="G3004" t="str">
            <v>POWER CRAFT HOLDING PVT LTD</v>
          </cell>
          <cell r="H3004" t="str">
            <v>-</v>
          </cell>
          <cell r="J3004" t="str">
            <v>Domestic</v>
          </cell>
          <cell r="L3004" t="str">
            <v>Non-Sugar</v>
          </cell>
          <cell r="O3004" t="str">
            <v>-</v>
          </cell>
          <cell r="P3004" t="str">
            <v>-</v>
          </cell>
          <cell r="Q3004" t="str">
            <v>-</v>
          </cell>
        </row>
        <row r="3005">
          <cell r="F3005" t="str">
            <v>DUBA01P117</v>
          </cell>
          <cell r="G3005" t="str">
            <v>POWER LINE SOLUTIONS GROUP</v>
          </cell>
          <cell r="H3005" t="str">
            <v>-</v>
          </cell>
          <cell r="J3005" t="str">
            <v>Export</v>
          </cell>
          <cell r="L3005" t="str">
            <v>Non-Sugar</v>
          </cell>
          <cell r="O3005" t="str">
            <v>-</v>
          </cell>
          <cell r="P3005" t="str">
            <v>VA</v>
          </cell>
          <cell r="Q3005" t="str">
            <v>ANKUR</v>
          </cell>
        </row>
        <row r="3006">
          <cell r="F3006" t="str">
            <v>AHME01P041</v>
          </cell>
          <cell r="G3006" t="str">
            <v>PPI PUMPS PVT LTD</v>
          </cell>
          <cell r="H3006" t="str">
            <v>-</v>
          </cell>
          <cell r="J3006" t="str">
            <v>Domestic</v>
          </cell>
          <cell r="K3006" t="str">
            <v>-</v>
          </cell>
          <cell r="L3006" t="str">
            <v>Non-Sugar</v>
          </cell>
          <cell r="O3006" t="str">
            <v>-</v>
          </cell>
          <cell r="P3006" t="str">
            <v>VA</v>
          </cell>
          <cell r="Q3006" t="str">
            <v>VG</v>
          </cell>
          <cell r="T3006" t="str">
            <v>-</v>
          </cell>
          <cell r="U3006" t="str">
            <v>-</v>
          </cell>
          <cell r="W3006" t="str">
            <v>-</v>
          </cell>
        </row>
        <row r="3007">
          <cell r="F3007" t="str">
            <v>KOLH01P103</v>
          </cell>
          <cell r="G3007" t="str">
            <v>PRAHALAD FABRICATION</v>
          </cell>
          <cell r="H3007" t="str">
            <v>-</v>
          </cell>
          <cell r="J3007" t="str">
            <v>Domestic</v>
          </cell>
          <cell r="K3007" t="str">
            <v>-</v>
          </cell>
          <cell r="L3007" t="str">
            <v>Non-Sugar</v>
          </cell>
          <cell r="O3007" t="str">
            <v>-</v>
          </cell>
          <cell r="P3007" t="str">
            <v>-</v>
          </cell>
          <cell r="Q3007" t="str">
            <v>-</v>
          </cell>
          <cell r="R3007" t="str">
            <v>-</v>
          </cell>
          <cell r="T3007" t="str">
            <v>-</v>
          </cell>
          <cell r="U3007" t="str">
            <v>-</v>
          </cell>
          <cell r="W3007" t="str">
            <v>-</v>
          </cell>
        </row>
        <row r="3008">
          <cell r="F3008" t="str">
            <v>GUJA01P115</v>
          </cell>
          <cell r="G3008" t="str">
            <v>PRATHAM AGRO TECH</v>
          </cell>
          <cell r="H3008" t="str">
            <v>-</v>
          </cell>
          <cell r="J3008" t="str">
            <v>Domestic</v>
          </cell>
          <cell r="L3008" t="str">
            <v>Non-Sugar</v>
          </cell>
          <cell r="O3008" t="str">
            <v>-</v>
          </cell>
          <cell r="P3008" t="str">
            <v>-</v>
          </cell>
          <cell r="Q3008" t="str">
            <v>-</v>
          </cell>
        </row>
        <row r="3009">
          <cell r="F3009" t="str">
            <v>MUMB01P129</v>
          </cell>
          <cell r="G3009" t="str">
            <v>PRAVEEN INDUSTRIES LIMITED</v>
          </cell>
          <cell r="H3009" t="str">
            <v>-</v>
          </cell>
          <cell r="J3009" t="str">
            <v>Domestic</v>
          </cell>
          <cell r="L3009" t="str">
            <v>Non-Sugar</v>
          </cell>
          <cell r="O3009" t="str">
            <v>-</v>
          </cell>
          <cell r="P3009" t="str">
            <v>-</v>
          </cell>
          <cell r="Q3009" t="str">
            <v>-</v>
          </cell>
        </row>
        <row r="3010">
          <cell r="F3010" t="str">
            <v>PUNE01P131</v>
          </cell>
          <cell r="G3010" t="str">
            <v>PRIMOVE ENGINEERING PVT. LTD</v>
          </cell>
          <cell r="H3010" t="str">
            <v>-</v>
          </cell>
          <cell r="J3010" t="str">
            <v>Domestic</v>
          </cell>
          <cell r="K3010" t="str">
            <v>OTHERS</v>
          </cell>
          <cell r="L3010" t="str">
            <v>Non-Sugar</v>
          </cell>
          <cell r="M3010" t="str">
            <v>OEM</v>
          </cell>
          <cell r="P3010" t="str">
            <v>AV</v>
          </cell>
          <cell r="Q3010" t="str">
            <v>AV</v>
          </cell>
          <cell r="R3010" t="str">
            <v>AT</v>
          </cell>
        </row>
        <row r="3011">
          <cell r="F3011" t="str">
            <v>BETU01P135</v>
          </cell>
          <cell r="G3011" t="str">
            <v>PRISM JOHNSON LIMITED</v>
          </cell>
          <cell r="H3011" t="str">
            <v>-</v>
          </cell>
          <cell r="J3011" t="str">
            <v>Domestic</v>
          </cell>
          <cell r="L3011" t="str">
            <v>Non-Sugar</v>
          </cell>
          <cell r="O3011" t="str">
            <v>-</v>
          </cell>
          <cell r="P3011" t="str">
            <v>-</v>
          </cell>
          <cell r="Q3011" t="str">
            <v>-</v>
          </cell>
        </row>
        <row r="3012">
          <cell r="F3012" t="str">
            <v>PUNE01P154</v>
          </cell>
          <cell r="G3012" t="str">
            <v>PROCIENT ENGINEERING PRIVATE LIMITED</v>
          </cell>
          <cell r="H3012" t="str">
            <v>-</v>
          </cell>
          <cell r="J3012" t="str">
            <v>Domestic</v>
          </cell>
          <cell r="L3012" t="str">
            <v>Non-Sugar</v>
          </cell>
          <cell r="O3012" t="str">
            <v>-</v>
          </cell>
          <cell r="P3012" t="str">
            <v>-</v>
          </cell>
          <cell r="Q3012" t="str">
            <v>-</v>
          </cell>
        </row>
        <row r="3013">
          <cell r="F3013" t="str">
            <v>PUNE01P144</v>
          </cell>
          <cell r="G3013" t="str">
            <v>PROFIQUIP</v>
          </cell>
          <cell r="H3013" t="str">
            <v>-</v>
          </cell>
          <cell r="J3013" t="str">
            <v>Domestic</v>
          </cell>
          <cell r="L3013" t="str">
            <v>Non-Sugar</v>
          </cell>
          <cell r="O3013" t="str">
            <v>-</v>
          </cell>
          <cell r="P3013" t="str">
            <v>-</v>
          </cell>
          <cell r="Q3013" t="str">
            <v>-</v>
          </cell>
        </row>
        <row r="3014">
          <cell r="F3014" t="str">
            <v>DLHI01P149</v>
          </cell>
          <cell r="G3014" t="str">
            <v>PROMPT CONSULTANTS</v>
          </cell>
          <cell r="H3014" t="str">
            <v>-</v>
          </cell>
          <cell r="J3014" t="str">
            <v>Domestic</v>
          </cell>
          <cell r="L3014" t="str">
            <v>Non-Sugar</v>
          </cell>
          <cell r="O3014" t="str">
            <v>-</v>
          </cell>
          <cell r="P3014" t="str">
            <v>-</v>
          </cell>
          <cell r="Q3014" t="str">
            <v>-</v>
          </cell>
        </row>
        <row r="3015">
          <cell r="F3015" t="str">
            <v>JAKA01P133</v>
          </cell>
          <cell r="G3015" t="str">
            <v>PT ARSOLEN</v>
          </cell>
          <cell r="H3015" t="str">
            <v>-</v>
          </cell>
          <cell r="J3015" t="str">
            <v>Export</v>
          </cell>
          <cell r="L3015" t="str">
            <v>Non-Sugar</v>
          </cell>
          <cell r="O3015" t="str">
            <v>-</v>
          </cell>
          <cell r="P3015" t="str">
            <v>VA</v>
          </cell>
          <cell r="Q3015" t="str">
            <v>ANKUR</v>
          </cell>
        </row>
        <row r="3016">
          <cell r="F3016" t="str">
            <v>JAKR01P151</v>
          </cell>
          <cell r="G3016" t="str">
            <v>PT DAVINDO SURYA PRATAMA</v>
          </cell>
          <cell r="H3016" t="str">
            <v>-</v>
          </cell>
          <cell r="J3016" t="str">
            <v>Export</v>
          </cell>
          <cell r="L3016" t="str">
            <v>Non-Sugar</v>
          </cell>
          <cell r="O3016" t="str">
            <v>-</v>
          </cell>
          <cell r="P3016" t="str">
            <v>VA</v>
          </cell>
          <cell r="Q3016" t="str">
            <v>VG</v>
          </cell>
        </row>
        <row r="3017">
          <cell r="F3017" t="str">
            <v>NANA01P051</v>
          </cell>
          <cell r="G3017" t="str">
            <v>PT DWIRAJAYA SATYA</v>
          </cell>
          <cell r="H3017" t="str">
            <v>-</v>
          </cell>
          <cell r="J3017" t="str">
            <v>Export</v>
          </cell>
          <cell r="L3017" t="str">
            <v>Non-Sugar</v>
          </cell>
          <cell r="O3017" t="str">
            <v>-</v>
          </cell>
          <cell r="P3017" t="str">
            <v>VA</v>
          </cell>
          <cell r="Q3017" t="str">
            <v>ANKUR</v>
          </cell>
        </row>
        <row r="3018">
          <cell r="F3018" t="str">
            <v>SURD01P032</v>
          </cell>
          <cell r="G3018" t="str">
            <v>PT GOLDEN PRATAMA GEMILANG</v>
          </cell>
          <cell r="H3018" t="str">
            <v>-</v>
          </cell>
          <cell r="J3018" t="str">
            <v>Export</v>
          </cell>
          <cell r="K3018" t="str">
            <v>-</v>
          </cell>
          <cell r="L3018" t="str">
            <v>Non-Sugar</v>
          </cell>
          <cell r="O3018" t="str">
            <v>-</v>
          </cell>
          <cell r="P3018" t="str">
            <v>VA</v>
          </cell>
          <cell r="Q3018" t="str">
            <v>VG</v>
          </cell>
          <cell r="T3018" t="str">
            <v>-</v>
          </cell>
          <cell r="U3018" t="str">
            <v>-</v>
          </cell>
          <cell r="W3018" t="str">
            <v>-</v>
          </cell>
        </row>
        <row r="3019">
          <cell r="F3019" t="str">
            <v>JAKA01P099</v>
          </cell>
          <cell r="G3019" t="str">
            <v>PT GRESINDO MANDIRI UTAMA</v>
          </cell>
          <cell r="H3019" t="str">
            <v>-</v>
          </cell>
          <cell r="J3019" t="str">
            <v>Export</v>
          </cell>
          <cell r="K3019" t="str">
            <v>-</v>
          </cell>
          <cell r="L3019" t="str">
            <v>Non-Sugar</v>
          </cell>
          <cell r="O3019" t="str">
            <v>-</v>
          </cell>
          <cell r="P3019" t="str">
            <v>VA</v>
          </cell>
          <cell r="Q3019" t="str">
            <v>VG</v>
          </cell>
          <cell r="T3019" t="str">
            <v>-</v>
          </cell>
          <cell r="U3019" t="str">
            <v>-</v>
          </cell>
          <cell r="W3019" t="str">
            <v>-</v>
          </cell>
        </row>
        <row r="3020">
          <cell r="F3020" t="str">
            <v>JAKA01P166</v>
          </cell>
          <cell r="G3020" t="str">
            <v>PT INDO BHARAT RAYON</v>
          </cell>
          <cell r="H3020" t="str">
            <v>-</v>
          </cell>
          <cell r="J3020" t="str">
            <v>Export</v>
          </cell>
          <cell r="L3020" t="str">
            <v>Non-Sugar</v>
          </cell>
          <cell r="O3020" t="str">
            <v>-</v>
          </cell>
          <cell r="P3020" t="str">
            <v>VA</v>
          </cell>
          <cell r="Q3020" t="str">
            <v>VG</v>
          </cell>
        </row>
        <row r="3021">
          <cell r="F3021" t="str">
            <v>JAKA01P169</v>
          </cell>
          <cell r="G3021" t="str">
            <v>PT INTI TEKNOLOGI PERSADA</v>
          </cell>
          <cell r="H3021" t="str">
            <v>-</v>
          </cell>
          <cell r="J3021" t="str">
            <v>Export</v>
          </cell>
          <cell r="L3021" t="str">
            <v>Non-Sugar</v>
          </cell>
          <cell r="P3021" t="str">
            <v>VA</v>
          </cell>
          <cell r="Q3021" t="str">
            <v>VG</v>
          </cell>
        </row>
        <row r="3022">
          <cell r="F3022" t="str">
            <v>JAKA01P170</v>
          </cell>
          <cell r="G3022" t="str">
            <v>PT KARYA TEKNIK SEMESTA</v>
          </cell>
          <cell r="H3022" t="str">
            <v>-</v>
          </cell>
          <cell r="J3022" t="str">
            <v>Export</v>
          </cell>
          <cell r="L3022" t="str">
            <v>Non-Sugar</v>
          </cell>
          <cell r="P3022" t="str">
            <v>VA</v>
          </cell>
          <cell r="Q3022" t="str">
            <v>VG</v>
          </cell>
        </row>
        <row r="3023">
          <cell r="F3023" t="str">
            <v>JAKA01P134</v>
          </cell>
          <cell r="G3023" t="str">
            <v>PT LAJU BRATA</v>
          </cell>
          <cell r="H3023" t="str">
            <v>-</v>
          </cell>
          <cell r="J3023" t="str">
            <v>Export</v>
          </cell>
          <cell r="L3023" t="str">
            <v>Non-Sugar</v>
          </cell>
          <cell r="O3023" t="str">
            <v>-</v>
          </cell>
          <cell r="P3023" t="str">
            <v>VA</v>
          </cell>
          <cell r="Q3023" t="str">
            <v>VG</v>
          </cell>
        </row>
        <row r="3024">
          <cell r="F3024" t="str">
            <v>NANA01P046</v>
          </cell>
          <cell r="G3024" t="str">
            <v>PT LINUGI MANDIRI SUKSES</v>
          </cell>
          <cell r="H3024" t="str">
            <v>-</v>
          </cell>
          <cell r="J3024" t="str">
            <v>Export</v>
          </cell>
          <cell r="L3024" t="str">
            <v>Non-Sugar</v>
          </cell>
          <cell r="O3024" t="str">
            <v>-</v>
          </cell>
          <cell r="P3024" t="str">
            <v>VA</v>
          </cell>
          <cell r="Q3024" t="str">
            <v>ANKUR</v>
          </cell>
        </row>
        <row r="3025">
          <cell r="F3025" t="str">
            <v>JAKA01P128</v>
          </cell>
          <cell r="G3025" t="str">
            <v>PT. ANUGRAH TEKHNIK LISTRINDO</v>
          </cell>
          <cell r="H3025" t="str">
            <v>-</v>
          </cell>
          <cell r="J3025" t="str">
            <v>Export</v>
          </cell>
          <cell r="K3025" t="str">
            <v>Sugar</v>
          </cell>
          <cell r="L3025" t="str">
            <v>Sugar</v>
          </cell>
          <cell r="M3025" t="str">
            <v>OEM</v>
          </cell>
          <cell r="O3025" t="str">
            <v>-</v>
          </cell>
          <cell r="P3025" t="str">
            <v>VA</v>
          </cell>
          <cell r="Q3025" t="str">
            <v>VG</v>
          </cell>
        </row>
        <row r="3026">
          <cell r="F3026" t="str">
            <v>JAKA01P152</v>
          </cell>
          <cell r="G3026" t="str">
            <v>PT. ARFIGO DJAVA PERKASA</v>
          </cell>
          <cell r="H3026" t="str">
            <v>-</v>
          </cell>
          <cell r="J3026" t="str">
            <v>Export</v>
          </cell>
          <cell r="K3026" t="str">
            <v>Sugar</v>
          </cell>
          <cell r="L3026" t="str">
            <v>Sugar</v>
          </cell>
          <cell r="M3026" t="str">
            <v>OEM</v>
          </cell>
          <cell r="O3026" t="str">
            <v>-</v>
          </cell>
          <cell r="P3026" t="str">
            <v>VA</v>
          </cell>
          <cell r="Q3026" t="str">
            <v>VG</v>
          </cell>
        </row>
        <row r="3027">
          <cell r="F3027" t="str">
            <v>JAKA01P168</v>
          </cell>
          <cell r="G3027" t="str">
            <v>PT. INDO USAHA MANDIRI</v>
          </cell>
          <cell r="H3027" t="str">
            <v>-</v>
          </cell>
          <cell r="J3027" t="str">
            <v>Export</v>
          </cell>
          <cell r="K3027" t="str">
            <v>Sugar</v>
          </cell>
          <cell r="L3027" t="str">
            <v>Sugar</v>
          </cell>
          <cell r="M3027" t="str">
            <v>OEM</v>
          </cell>
          <cell r="P3027" t="str">
            <v>VA</v>
          </cell>
          <cell r="Q3027" t="str">
            <v>VG</v>
          </cell>
        </row>
        <row r="3028">
          <cell r="F3028" t="str">
            <v>JAKA01P172</v>
          </cell>
          <cell r="G3028" t="str">
            <v>PT. MARCOPERSADA ENGINEERING</v>
          </cell>
          <cell r="H3028" t="str">
            <v>-</v>
          </cell>
          <cell r="J3028" t="str">
            <v>Export</v>
          </cell>
          <cell r="L3028" t="str">
            <v>Non-Sugar</v>
          </cell>
          <cell r="P3028" t="str">
            <v>VA</v>
          </cell>
          <cell r="Q3028" t="str">
            <v>VG</v>
          </cell>
        </row>
        <row r="3029">
          <cell r="F3029" t="str">
            <v>NANA01P036</v>
          </cell>
          <cell r="G3029" t="str">
            <v>PTPNXI DJOTOROTO</v>
          </cell>
          <cell r="H3029" t="str">
            <v>-</v>
          </cell>
          <cell r="J3029" t="str">
            <v>Export</v>
          </cell>
          <cell r="L3029" t="str">
            <v>Non-Sugar</v>
          </cell>
          <cell r="O3029" t="str">
            <v>-</v>
          </cell>
          <cell r="P3029" t="str">
            <v>VA</v>
          </cell>
          <cell r="Q3029" t="str">
            <v>VG</v>
          </cell>
        </row>
        <row r="3030">
          <cell r="F3030" t="str">
            <v>GHZB01P164</v>
          </cell>
          <cell r="G3030" t="str">
            <v>PUNMAC ENGINEERS LLP</v>
          </cell>
          <cell r="H3030" t="str">
            <v>-</v>
          </cell>
          <cell r="J3030" t="str">
            <v>Domestic</v>
          </cell>
          <cell r="L3030" t="str">
            <v>Non-Sugar</v>
          </cell>
          <cell r="O3030" t="str">
            <v>-</v>
          </cell>
          <cell r="P3030" t="str">
            <v>HO</v>
          </cell>
          <cell r="Q3030" t="str">
            <v>AVIRAL SHUKLA</v>
          </cell>
        </row>
        <row r="3031">
          <cell r="F3031" t="str">
            <v>NODA01P141</v>
          </cell>
          <cell r="G3031" t="str">
            <v>PURLIEUS INC</v>
          </cell>
          <cell r="H3031" t="str">
            <v>-</v>
          </cell>
          <cell r="J3031" t="str">
            <v>Domestic</v>
          </cell>
          <cell r="L3031" t="str">
            <v>Non-Sugar</v>
          </cell>
          <cell r="O3031" t="str">
            <v>-</v>
          </cell>
          <cell r="P3031" t="str">
            <v>-</v>
          </cell>
          <cell r="Q3031" t="str">
            <v>-</v>
          </cell>
        </row>
        <row r="3032">
          <cell r="F3032" t="str">
            <v>DOHA01Q005</v>
          </cell>
          <cell r="G3032" t="str">
            <v>QATAR DETERGENTS COMPANY W I L</v>
          </cell>
          <cell r="H3032" t="str">
            <v>-</v>
          </cell>
          <cell r="J3032" t="str">
            <v>Export</v>
          </cell>
          <cell r="L3032" t="str">
            <v>Non-Sugar</v>
          </cell>
          <cell r="O3032" t="str">
            <v>-</v>
          </cell>
          <cell r="P3032" t="str">
            <v>VA</v>
          </cell>
          <cell r="Q3032" t="str">
            <v>VG</v>
          </cell>
        </row>
        <row r="3033">
          <cell r="F3033" t="str">
            <v>GURG01Q004</v>
          </cell>
          <cell r="G3033" t="str">
            <v>QUANTINOX TECHNOLOGY PVT LTD</v>
          </cell>
          <cell r="H3033" t="str">
            <v>-</v>
          </cell>
          <cell r="J3033" t="str">
            <v>Domestic</v>
          </cell>
          <cell r="L3033" t="str">
            <v>Non-Sugar</v>
          </cell>
          <cell r="O3033" t="str">
            <v>-</v>
          </cell>
          <cell r="P3033" t="str">
            <v>-</v>
          </cell>
          <cell r="Q3033" t="str">
            <v>-</v>
          </cell>
        </row>
        <row r="3034">
          <cell r="F3034" t="str">
            <v>HOCH01Q006</v>
          </cell>
          <cell r="G3034" t="str">
            <v>QUYNH DO VIETNAM CO LTD</v>
          </cell>
          <cell r="H3034" t="str">
            <v>-</v>
          </cell>
          <cell r="J3034" t="str">
            <v>Export</v>
          </cell>
          <cell r="L3034" t="str">
            <v>Non-Sugar</v>
          </cell>
          <cell r="O3034" t="str">
            <v>-</v>
          </cell>
          <cell r="P3034" t="str">
            <v>VA</v>
          </cell>
          <cell r="Q3034" t="str">
            <v>VG</v>
          </cell>
        </row>
        <row r="3035">
          <cell r="F3035" t="str">
            <v>CHEN01R110</v>
          </cell>
          <cell r="G3035" t="str">
            <v>R B S GROUP</v>
          </cell>
          <cell r="H3035" t="str">
            <v>-</v>
          </cell>
          <cell r="J3035" t="str">
            <v>Domestic</v>
          </cell>
          <cell r="L3035" t="str">
            <v>Non-Sugar</v>
          </cell>
          <cell r="O3035" t="str">
            <v>-</v>
          </cell>
          <cell r="P3035" t="str">
            <v>-</v>
          </cell>
          <cell r="Q3035" t="str">
            <v>-</v>
          </cell>
        </row>
        <row r="3036">
          <cell r="F3036" t="str">
            <v>SRIL01R106</v>
          </cell>
          <cell r="G3036" t="str">
            <v>R D ASSOCIATES TRADING PRIVATE LIMITED</v>
          </cell>
          <cell r="H3036" t="str">
            <v>-</v>
          </cell>
          <cell r="J3036" t="str">
            <v>Export</v>
          </cell>
          <cell r="L3036" t="str">
            <v>Non-Sugar</v>
          </cell>
          <cell r="O3036" t="str">
            <v>-</v>
          </cell>
          <cell r="P3036" t="str">
            <v>VA</v>
          </cell>
          <cell r="Q3036" t="str">
            <v>AVIRAL SHUKLA</v>
          </cell>
        </row>
        <row r="3037">
          <cell r="F3037" t="str">
            <v>KANP01R122</v>
          </cell>
          <cell r="G3037" t="str">
            <v>R K MACHINE AND MOULD</v>
          </cell>
          <cell r="H3037" t="str">
            <v>-</v>
          </cell>
          <cell r="J3037" t="str">
            <v>Domestic</v>
          </cell>
          <cell r="L3037" t="str">
            <v>Non-Sugar</v>
          </cell>
          <cell r="O3037" t="str">
            <v>-</v>
          </cell>
          <cell r="P3037" t="str">
            <v>-</v>
          </cell>
          <cell r="Q3037" t="str">
            <v>-</v>
          </cell>
        </row>
        <row r="3038">
          <cell r="F3038" t="str">
            <v>GWAL01R095</v>
          </cell>
          <cell r="G3038" t="str">
            <v>R K TRADES</v>
          </cell>
          <cell r="H3038" t="str">
            <v>-</v>
          </cell>
          <cell r="J3038" t="str">
            <v>Domestic</v>
          </cell>
          <cell r="L3038" t="str">
            <v>Non-Sugar</v>
          </cell>
          <cell r="O3038" t="str">
            <v>-</v>
          </cell>
          <cell r="P3038" t="str">
            <v>-</v>
          </cell>
          <cell r="Q3038" t="str">
            <v>-</v>
          </cell>
        </row>
        <row r="3039">
          <cell r="F3039" t="str">
            <v>KOLK01R124</v>
          </cell>
          <cell r="G3039" t="str">
            <v>R. K. COAL MINES</v>
          </cell>
          <cell r="H3039" t="str">
            <v>-</v>
          </cell>
          <cell r="J3039" t="str">
            <v>Domestic</v>
          </cell>
          <cell r="P3039" t="str">
            <v>SNS</v>
          </cell>
          <cell r="Q3039" t="str">
            <v>-</v>
          </cell>
        </row>
        <row r="3040">
          <cell r="F3040" t="str">
            <v>BURD01R125</v>
          </cell>
          <cell r="G3040" t="str">
            <v>R.S. ENTERPRISES</v>
          </cell>
          <cell r="H3040" t="str">
            <v>-</v>
          </cell>
          <cell r="J3040" t="str">
            <v>Domestic</v>
          </cell>
          <cell r="L3040" t="str">
            <v>Non-Sugar</v>
          </cell>
          <cell r="O3040" t="str">
            <v>-</v>
          </cell>
          <cell r="P3040" t="str">
            <v>-</v>
          </cell>
          <cell r="Q3040" t="str">
            <v>-</v>
          </cell>
        </row>
        <row r="3041">
          <cell r="F3041" t="str">
            <v>GHZB01R097</v>
          </cell>
          <cell r="G3041" t="str">
            <v>RADHEY KRISHNA INDUSTRIAL SOLUTION</v>
          </cell>
          <cell r="H3041" t="str">
            <v>-</v>
          </cell>
          <cell r="J3041" t="str">
            <v>Domestic</v>
          </cell>
          <cell r="L3041" t="str">
            <v>Non-Sugar</v>
          </cell>
          <cell r="O3041" t="str">
            <v>-</v>
          </cell>
          <cell r="P3041" t="str">
            <v>-</v>
          </cell>
          <cell r="Q3041" t="str">
            <v>-</v>
          </cell>
        </row>
        <row r="3042">
          <cell r="F3042" t="str">
            <v>PUNE01R127</v>
          </cell>
          <cell r="G3042" t="str">
            <v>RADITECH SOLUTIONS</v>
          </cell>
          <cell r="H3042" t="str">
            <v>-</v>
          </cell>
          <cell r="J3042" t="str">
            <v>Domestic</v>
          </cell>
          <cell r="L3042" t="str">
            <v>Non-Sugar</v>
          </cell>
          <cell r="P3042" t="str">
            <v>WI-SV</v>
          </cell>
          <cell r="Q3042" t="str">
            <v>SUDHIR</v>
          </cell>
        </row>
        <row r="3043">
          <cell r="F3043" t="str">
            <v>BANG01R142</v>
          </cell>
          <cell r="G3043" t="str">
            <v>RADIX LIFE SPACE</v>
          </cell>
          <cell r="H3043" t="str">
            <v>-</v>
          </cell>
          <cell r="J3043" t="str">
            <v>Domestic</v>
          </cell>
          <cell r="P3043" t="str">
            <v>SI-SIVA</v>
          </cell>
          <cell r="Q3043" t="str">
            <v>M SIVA</v>
          </cell>
        </row>
        <row r="3044">
          <cell r="F3044" t="str">
            <v>JAIP01R114</v>
          </cell>
          <cell r="G3044" t="str">
            <v>RADOX ENGINEERING PVT LTD</v>
          </cell>
          <cell r="H3044" t="str">
            <v>-</v>
          </cell>
          <cell r="J3044" t="str">
            <v>Domestic</v>
          </cell>
          <cell r="L3044" t="str">
            <v>Non-Sugar</v>
          </cell>
          <cell r="O3044" t="str">
            <v>-</v>
          </cell>
          <cell r="P3044" t="str">
            <v>-</v>
          </cell>
          <cell r="Q3044" t="str">
            <v>-</v>
          </cell>
        </row>
        <row r="3045">
          <cell r="F3045" t="str">
            <v>BHOP01R112</v>
          </cell>
          <cell r="G3045" t="str">
            <v>RAJA ENTERPRISES (CONSTRUCTION COMPANY)</v>
          </cell>
          <cell r="H3045" t="str">
            <v>-</v>
          </cell>
          <cell r="J3045" t="str">
            <v>Domestic</v>
          </cell>
          <cell r="L3045" t="str">
            <v>Non-Sugar</v>
          </cell>
          <cell r="O3045" t="str">
            <v>-</v>
          </cell>
          <cell r="P3045" t="str">
            <v>-</v>
          </cell>
          <cell r="Q3045" t="str">
            <v>-</v>
          </cell>
        </row>
        <row r="3046">
          <cell r="F3046" t="str">
            <v>NEPL01R131</v>
          </cell>
          <cell r="G3046" t="str">
            <v>RAJAPUR SUGAR AND CHEMICAL INDUSTRIES PVT LTD</v>
          </cell>
          <cell r="H3046" t="str">
            <v>25-26</v>
          </cell>
          <cell r="I3046" t="str">
            <v>-</v>
          </cell>
          <cell r="J3046" t="str">
            <v>Export</v>
          </cell>
          <cell r="K3046" t="str">
            <v>Sugar</v>
          </cell>
          <cell r="L3046" t="str">
            <v>Sugar</v>
          </cell>
          <cell r="M3046" t="str">
            <v>End User</v>
          </cell>
          <cell r="P3046" t="str">
            <v>NI</v>
          </cell>
          <cell r="Q3046" t="str">
            <v>AKSHAY AWASTHI</v>
          </cell>
        </row>
        <row r="3047">
          <cell r="F3047" t="str">
            <v>GWAL01R093</v>
          </cell>
          <cell r="G3047" t="str">
            <v>RAKESH GWALIOR</v>
          </cell>
          <cell r="H3047" t="str">
            <v>-</v>
          </cell>
          <cell r="J3047" t="str">
            <v>Domestic</v>
          </cell>
          <cell r="L3047" t="str">
            <v>Non-Sugar</v>
          </cell>
          <cell r="O3047" t="str">
            <v>-</v>
          </cell>
          <cell r="P3047" t="str">
            <v>-</v>
          </cell>
          <cell r="Q3047" t="str">
            <v>-</v>
          </cell>
        </row>
        <row r="3048">
          <cell r="F3048" t="str">
            <v>VARA01R130</v>
          </cell>
          <cell r="G3048" t="str">
            <v>RAMADA PLAZA BY WYNDHAM JHV</v>
          </cell>
          <cell r="H3048" t="str">
            <v>-</v>
          </cell>
          <cell r="J3048" t="str">
            <v>Domestic</v>
          </cell>
          <cell r="L3048" t="str">
            <v>Non-Sugar</v>
          </cell>
          <cell r="O3048" t="str">
            <v>-</v>
          </cell>
          <cell r="P3048" t="str">
            <v>-</v>
          </cell>
          <cell r="Q3048" t="str">
            <v>-</v>
          </cell>
        </row>
        <row r="3049">
          <cell r="F3049" t="str">
            <v>LUCK01R123</v>
          </cell>
          <cell r="G3049" t="str">
            <v>RAMITECH ( INDIA )</v>
          </cell>
          <cell r="H3049" t="str">
            <v>-</v>
          </cell>
          <cell r="J3049" t="str">
            <v>Domestic</v>
          </cell>
          <cell r="L3049" t="str">
            <v>Non-Sugar</v>
          </cell>
          <cell r="O3049" t="str">
            <v>-</v>
          </cell>
          <cell r="P3049" t="str">
            <v>-</v>
          </cell>
          <cell r="Q3049" t="str">
            <v>-</v>
          </cell>
        </row>
        <row r="3050">
          <cell r="F3050" t="str">
            <v>BHIL01R115</v>
          </cell>
          <cell r="G3050" t="str">
            <v>RATAN LALA DIBULAMIA</v>
          </cell>
          <cell r="H3050" t="str">
            <v>-</v>
          </cell>
          <cell r="J3050" t="str">
            <v>Domestic</v>
          </cell>
          <cell r="L3050" t="str">
            <v>Non-Sugar</v>
          </cell>
          <cell r="O3050" t="str">
            <v>-</v>
          </cell>
          <cell r="P3050" t="str">
            <v>-</v>
          </cell>
          <cell r="Q3050" t="str">
            <v>-</v>
          </cell>
        </row>
        <row r="3051">
          <cell r="F3051" t="str">
            <v>NODA01R090</v>
          </cell>
          <cell r="G3051" t="str">
            <v>RATHPON ENGINEERING</v>
          </cell>
          <cell r="H3051" t="str">
            <v>-</v>
          </cell>
          <cell r="J3051" t="str">
            <v>Domestic</v>
          </cell>
          <cell r="L3051" t="str">
            <v>Non-Sugar</v>
          </cell>
          <cell r="O3051" t="str">
            <v>-</v>
          </cell>
          <cell r="P3051" t="str">
            <v>-</v>
          </cell>
          <cell r="Q3051" t="str">
            <v>-</v>
          </cell>
        </row>
        <row r="3052">
          <cell r="F3052" t="str">
            <v>CHEN01R111</v>
          </cell>
          <cell r="G3052" t="str">
            <v>RBS GROUP.</v>
          </cell>
          <cell r="H3052" t="str">
            <v>-</v>
          </cell>
          <cell r="J3052" t="str">
            <v>Domestic</v>
          </cell>
          <cell r="L3052" t="str">
            <v>Non-Sugar</v>
          </cell>
          <cell r="O3052" t="str">
            <v>-</v>
          </cell>
          <cell r="P3052" t="str">
            <v>-</v>
          </cell>
          <cell r="Q3052" t="str">
            <v>-</v>
          </cell>
        </row>
        <row r="3053">
          <cell r="F3053" t="str">
            <v>KANP01R109</v>
          </cell>
          <cell r="G3053" t="str">
            <v>REAL WATER INDUSTRIES</v>
          </cell>
          <cell r="H3053" t="str">
            <v>-</v>
          </cell>
          <cell r="J3053" t="str">
            <v>Domestic</v>
          </cell>
          <cell r="L3053" t="str">
            <v>Non-Sugar</v>
          </cell>
          <cell r="O3053" t="str">
            <v>-</v>
          </cell>
          <cell r="P3053" t="str">
            <v>-</v>
          </cell>
          <cell r="Q3053" t="str">
            <v>-</v>
          </cell>
        </row>
        <row r="3054">
          <cell r="F3054" t="str">
            <v>GUJA01R099</v>
          </cell>
          <cell r="G3054" t="str">
            <v>REEPANSHI INFRA STRUCTURE</v>
          </cell>
          <cell r="H3054" t="str">
            <v>-</v>
          </cell>
          <cell r="J3054" t="str">
            <v>Domestic</v>
          </cell>
          <cell r="L3054" t="str">
            <v>Non-Sugar</v>
          </cell>
          <cell r="O3054" t="str">
            <v>-</v>
          </cell>
          <cell r="P3054" t="str">
            <v>-</v>
          </cell>
          <cell r="Q3054" t="str">
            <v>-</v>
          </cell>
        </row>
        <row r="3055">
          <cell r="F3055" t="str">
            <v>PUNE01R128</v>
          </cell>
          <cell r="G3055" t="str">
            <v>RELIANCE BIO ENERGY</v>
          </cell>
          <cell r="H3055" t="str">
            <v>-</v>
          </cell>
          <cell r="J3055" t="str">
            <v>Domestic</v>
          </cell>
          <cell r="L3055" t="str">
            <v>Non-Sugar</v>
          </cell>
          <cell r="O3055" t="str">
            <v>-</v>
          </cell>
          <cell r="P3055" t="str">
            <v>WI-SV</v>
          </cell>
          <cell r="Q3055" t="str">
            <v>SUDHIR</v>
          </cell>
          <cell r="S3055" t="str">
            <v>https://maps.app.goo.gl/S4dJaPMjsvxg6BWx8</v>
          </cell>
          <cell r="U3055" t="str">
            <v>26-27</v>
          </cell>
          <cell r="V3055" t="str">
            <v>May</v>
          </cell>
          <cell r="W3055" t="str">
            <v>26-05-2026
4/5/2026</v>
          </cell>
        </row>
        <row r="3056">
          <cell r="F3056" t="str">
            <v>KANP01R117</v>
          </cell>
          <cell r="G3056" t="str">
            <v>RELIANCE ENTERPRISES</v>
          </cell>
          <cell r="H3056" t="str">
            <v>-</v>
          </cell>
          <cell r="J3056" t="str">
            <v>Domestic</v>
          </cell>
          <cell r="L3056" t="str">
            <v>Non-Sugar</v>
          </cell>
          <cell r="O3056" t="str">
            <v>-</v>
          </cell>
          <cell r="P3056" t="str">
            <v>-</v>
          </cell>
          <cell r="Q3056" t="str">
            <v>-</v>
          </cell>
        </row>
        <row r="3057">
          <cell r="F3057" t="str">
            <v>NANA01R030</v>
          </cell>
          <cell r="G3057" t="str">
            <v>RELIANCE INDUSTRIES LIMITED</v>
          </cell>
          <cell r="H3057" t="str">
            <v>-</v>
          </cell>
          <cell r="J3057" t="str">
            <v>Domestic</v>
          </cell>
          <cell r="L3057" t="str">
            <v>Non-Sugar</v>
          </cell>
          <cell r="O3057" t="str">
            <v>-</v>
          </cell>
          <cell r="P3057" t="str">
            <v>WI-SV</v>
          </cell>
          <cell r="Q3057" t="str">
            <v>SUDHIR</v>
          </cell>
        </row>
        <row r="3058">
          <cell r="F3058" t="str">
            <v>PUNE01R102</v>
          </cell>
          <cell r="G3058" t="str">
            <v>RENERGY DYNAMICS PVT LTD</v>
          </cell>
          <cell r="H3058" t="str">
            <v>-</v>
          </cell>
          <cell r="J3058" t="str">
            <v>Domestic</v>
          </cell>
          <cell r="L3058" t="str">
            <v>Non-Sugar</v>
          </cell>
          <cell r="O3058" t="str">
            <v>-</v>
          </cell>
          <cell r="P3058" t="str">
            <v>-</v>
          </cell>
          <cell r="Q3058" t="str">
            <v>AVIRAL SHUKLA</v>
          </cell>
          <cell r="R3058" t="str">
            <v>Himanshu Kushwaha</v>
          </cell>
          <cell r="S3058" t="str">
            <v>https://maps.app.goo.gl/4uFXhnygDmdwYAwUA</v>
          </cell>
          <cell r="U3058" t="str">
            <v>25-26</v>
          </cell>
          <cell r="V3058" t="str">
            <v>May</v>
          </cell>
          <cell r="W3058" t="str">
            <v>19-05-2026
13-03-2026</v>
          </cell>
        </row>
        <row r="3059">
          <cell r="F3059" t="str">
            <v>DUBA01R144</v>
          </cell>
          <cell r="G3059" t="str">
            <v>REVIVA (GEMS)</v>
          </cell>
          <cell r="H3059" t="str">
            <v>25-26</v>
          </cell>
          <cell r="I3059" t="str">
            <v>-</v>
          </cell>
          <cell r="J3059" t="str">
            <v>Export</v>
          </cell>
          <cell r="K3059" t="str">
            <v>WTP</v>
          </cell>
          <cell r="L3059" t="str">
            <v>Non-Sugar</v>
          </cell>
          <cell r="M3059" t="str">
            <v>End User</v>
          </cell>
          <cell r="P3059" t="str">
            <v>VA</v>
          </cell>
          <cell r="Q3059" t="str">
            <v>VG</v>
          </cell>
        </row>
        <row r="3060">
          <cell r="F3060" t="str">
            <v>MUMB01R121</v>
          </cell>
          <cell r="G3060" t="str">
            <v>RISHABH METALS AND CHEMICAL PVT LTD</v>
          </cell>
          <cell r="H3060" t="str">
            <v>-</v>
          </cell>
          <cell r="J3060" t="str">
            <v>Domestic</v>
          </cell>
          <cell r="L3060" t="str">
            <v>Non-Sugar</v>
          </cell>
          <cell r="O3060" t="str">
            <v>-</v>
          </cell>
          <cell r="P3060" t="str">
            <v>-</v>
          </cell>
          <cell r="Q3060" t="str">
            <v>-</v>
          </cell>
        </row>
        <row r="3061">
          <cell r="F3061" t="str">
            <v>HYDE01R132</v>
          </cell>
          <cell r="G3061" t="str">
            <v>RISHI ENVIROTECH PVT LTD</v>
          </cell>
          <cell r="H3061" t="str">
            <v>-</v>
          </cell>
          <cell r="J3061" t="str">
            <v>Domestic</v>
          </cell>
          <cell r="P3061" t="str">
            <v>SI-MANI</v>
          </cell>
          <cell r="Q3061" t="str">
            <v>M SIVA</v>
          </cell>
        </row>
        <row r="3062">
          <cell r="F3062" t="str">
            <v>THAN01R108</v>
          </cell>
          <cell r="G3062" t="str">
            <v>RISHIKESH EXPORTS</v>
          </cell>
          <cell r="H3062" t="str">
            <v>-</v>
          </cell>
          <cell r="J3062" t="str">
            <v>Domestic</v>
          </cell>
          <cell r="L3062" t="str">
            <v>Non-Sugar</v>
          </cell>
          <cell r="O3062" t="str">
            <v>-</v>
          </cell>
          <cell r="P3062" t="str">
            <v>-</v>
          </cell>
          <cell r="Q3062" t="str">
            <v>-</v>
          </cell>
        </row>
        <row r="3063">
          <cell r="F3063" t="str">
            <v>LUCK01R141</v>
          </cell>
          <cell r="G3063" t="str">
            <v>RK ENGINEERS SALES LIMITED</v>
          </cell>
          <cell r="H3063" t="str">
            <v>-</v>
          </cell>
          <cell r="J3063" t="str">
            <v>Domestic</v>
          </cell>
          <cell r="L3063" t="str">
            <v>Non-Sugar</v>
          </cell>
          <cell r="O3063" t="str">
            <v>-</v>
          </cell>
          <cell r="P3063" t="str">
            <v>HO</v>
          </cell>
          <cell r="Q3063" t="str">
            <v>AVIRAL SHUKLA</v>
          </cell>
        </row>
        <row r="3064">
          <cell r="F3064" t="str">
            <v>MODI01R119</v>
          </cell>
          <cell r="G3064" t="str">
            <v>RMD ENVIRO ENGINEERS</v>
          </cell>
          <cell r="H3064" t="str">
            <v>-</v>
          </cell>
          <cell r="J3064" t="str">
            <v>Domestic</v>
          </cell>
          <cell r="L3064" t="str">
            <v>Non-Sugar</v>
          </cell>
          <cell r="O3064" t="str">
            <v>-</v>
          </cell>
          <cell r="P3064" t="str">
            <v>-</v>
          </cell>
          <cell r="Q3064" t="str">
            <v>-</v>
          </cell>
        </row>
        <row r="3065">
          <cell r="F3065" t="str">
            <v>MUMB01R101</v>
          </cell>
          <cell r="G3065" t="str">
            <v>ROCHEM SEPARATION SYSTEMS PVT LTD</v>
          </cell>
          <cell r="H3065" t="str">
            <v>-</v>
          </cell>
          <cell r="J3065" t="str">
            <v>Domestic</v>
          </cell>
          <cell r="K3065" t="str">
            <v>ETP/STP/WTP</v>
          </cell>
          <cell r="L3065" t="str">
            <v>Non-Sugar</v>
          </cell>
          <cell r="O3065" t="str">
            <v>-</v>
          </cell>
          <cell r="P3065" t="str">
            <v>-</v>
          </cell>
          <cell r="Q3065" t="str">
            <v>-</v>
          </cell>
        </row>
        <row r="3066">
          <cell r="F3066" t="str">
            <v>PUNA01R104</v>
          </cell>
          <cell r="G3066" t="str">
            <v>ROCKWELL SOLUTIONS</v>
          </cell>
          <cell r="H3066" t="str">
            <v>-</v>
          </cell>
          <cell r="J3066" t="str">
            <v>Domestic</v>
          </cell>
          <cell r="L3066" t="str">
            <v>Non-Sugar</v>
          </cell>
          <cell r="O3066" t="str">
            <v>-</v>
          </cell>
          <cell r="P3066" t="str">
            <v>-</v>
          </cell>
          <cell r="Q3066" t="str">
            <v>-</v>
          </cell>
        </row>
        <row r="3067">
          <cell r="F3067" t="str">
            <v>KOLH01R134</v>
          </cell>
          <cell r="G3067" t="str">
            <v>ROLLCON ENGINEERS</v>
          </cell>
          <cell r="H3067" t="str">
            <v>-</v>
          </cell>
          <cell r="J3067" t="str">
            <v>Domestic</v>
          </cell>
          <cell r="K3067" t="str">
            <v>others</v>
          </cell>
          <cell r="L3067" t="str">
            <v>Non-Sugar</v>
          </cell>
          <cell r="M3067" t="str">
            <v>End User</v>
          </cell>
          <cell r="P3067" t="str">
            <v>AV</v>
          </cell>
          <cell r="Q3067" t="str">
            <v>AV</v>
          </cell>
          <cell r="R3067" t="str">
            <v>-</v>
          </cell>
        </row>
        <row r="3068">
          <cell r="F3068" t="str">
            <v>GUJA01R100</v>
          </cell>
          <cell r="G3068" t="str">
            <v>ROQUETTE INDIA PVT LTD</v>
          </cell>
          <cell r="H3068" t="str">
            <v>-</v>
          </cell>
          <cell r="J3068" t="str">
            <v>Domestic</v>
          </cell>
          <cell r="K3068" t="str">
            <v>-</v>
          </cell>
          <cell r="L3068" t="str">
            <v>Non-Sugar</v>
          </cell>
          <cell r="O3068" t="str">
            <v>-</v>
          </cell>
          <cell r="P3068" t="str">
            <v>HO</v>
          </cell>
          <cell r="Q3068" t="str">
            <v>AVIRAL SHUKLA</v>
          </cell>
          <cell r="T3068" t="str">
            <v>-</v>
          </cell>
          <cell r="U3068" t="str">
            <v>24-25</v>
          </cell>
          <cell r="W3068">
            <v>45642</v>
          </cell>
        </row>
        <row r="3069">
          <cell r="F3069" t="str">
            <v>NARS01R139</v>
          </cell>
          <cell r="G3069" t="str">
            <v>RR AGRO INDUSTRIES</v>
          </cell>
          <cell r="H3069" t="str">
            <v>-</v>
          </cell>
          <cell r="J3069" t="str">
            <v>Domestic</v>
          </cell>
          <cell r="L3069" t="str">
            <v>Non-Sugar</v>
          </cell>
          <cell r="O3069" t="str">
            <v>-</v>
          </cell>
          <cell r="P3069" t="str">
            <v>-</v>
          </cell>
          <cell r="Q3069" t="str">
            <v>-</v>
          </cell>
        </row>
        <row r="3070">
          <cell r="F3070" t="str">
            <v>NODA01R089</v>
          </cell>
          <cell r="G3070" t="str">
            <v>RS. ENGINEERING</v>
          </cell>
          <cell r="H3070" t="str">
            <v>-</v>
          </cell>
          <cell r="J3070" t="str">
            <v>Domestic</v>
          </cell>
          <cell r="L3070" t="str">
            <v>Non-Sugar</v>
          </cell>
          <cell r="O3070" t="str">
            <v>-</v>
          </cell>
          <cell r="P3070" t="str">
            <v>-</v>
          </cell>
          <cell r="Q3070" t="str">
            <v>-</v>
          </cell>
        </row>
        <row r="3071">
          <cell r="F3071" t="str">
            <v>GIRI01R098</v>
          </cell>
          <cell r="G3071" t="str">
            <v>RUBY MILA COMPANY LTD</v>
          </cell>
          <cell r="H3071" t="str">
            <v>-</v>
          </cell>
          <cell r="J3071" t="str">
            <v>Domestic</v>
          </cell>
          <cell r="L3071" t="str">
            <v>Non-Sugar</v>
          </cell>
          <cell r="O3071" t="str">
            <v>-</v>
          </cell>
          <cell r="P3071" t="str">
            <v>-</v>
          </cell>
          <cell r="Q3071" t="str">
            <v>-</v>
          </cell>
        </row>
        <row r="3072">
          <cell r="F3072" t="str">
            <v>NAGP01R137</v>
          </cell>
          <cell r="G3072" t="str">
            <v>RUDRAKSHA ALLIED CHEMICAL PVT LTD</v>
          </cell>
          <cell r="H3072" t="str">
            <v>-</v>
          </cell>
          <cell r="J3072" t="str">
            <v>Domestic</v>
          </cell>
          <cell r="L3072" t="str">
            <v>Non-Sugar</v>
          </cell>
          <cell r="P3072" t="str">
            <v>WI-SV</v>
          </cell>
          <cell r="Q3072" t="str">
            <v>SUDHIR</v>
          </cell>
        </row>
        <row r="3073">
          <cell r="F3073" t="str">
            <v>NAGP01R120</v>
          </cell>
          <cell r="G3073" t="str">
            <v>RUDRANSH TRADER</v>
          </cell>
          <cell r="H3073" t="str">
            <v>-</v>
          </cell>
          <cell r="J3073" t="str">
            <v>Domestic</v>
          </cell>
          <cell r="L3073" t="str">
            <v>Non-Sugar</v>
          </cell>
          <cell r="O3073" t="str">
            <v>-</v>
          </cell>
          <cell r="P3073" t="str">
            <v>-</v>
          </cell>
          <cell r="Q3073" t="str">
            <v>-</v>
          </cell>
        </row>
        <row r="3074">
          <cell r="F3074" t="str">
            <v>BEED01R113</v>
          </cell>
          <cell r="G3074" t="str">
            <v>RUPAMATA POWER LTD</v>
          </cell>
          <cell r="H3074" t="str">
            <v>-</v>
          </cell>
          <cell r="J3074" t="str">
            <v>Domestic</v>
          </cell>
          <cell r="K3074" t="str">
            <v>OTHERS</v>
          </cell>
          <cell r="L3074" t="str">
            <v>Non-Sugar</v>
          </cell>
          <cell r="M3074" t="str">
            <v>End User</v>
          </cell>
          <cell r="P3074" t="str">
            <v>AV</v>
          </cell>
          <cell r="Q3074" t="str">
            <v>AV</v>
          </cell>
          <cell r="R3074" t="str">
            <v>PD</v>
          </cell>
        </row>
        <row r="3075">
          <cell r="F3075" t="str">
            <v>GUJA01R092</v>
          </cell>
          <cell r="G3075" t="str">
            <v>RUSHABH TREDING COMPANY</v>
          </cell>
          <cell r="H3075" t="str">
            <v>-</v>
          </cell>
          <cell r="J3075" t="str">
            <v>Domestic</v>
          </cell>
          <cell r="L3075" t="str">
            <v>Non-Sugar</v>
          </cell>
          <cell r="O3075" t="str">
            <v>-</v>
          </cell>
          <cell r="P3075" t="str">
            <v>-</v>
          </cell>
          <cell r="Q3075" t="str">
            <v>-</v>
          </cell>
        </row>
        <row r="3076">
          <cell r="F3076" t="str">
            <v>HYDE01R129</v>
          </cell>
          <cell r="G3076" t="str">
            <v>RV ENGINEERS</v>
          </cell>
          <cell r="H3076" t="str">
            <v>-</v>
          </cell>
          <cell r="J3076" t="str">
            <v>Domestic</v>
          </cell>
          <cell r="P3076" t="str">
            <v>SI-MANI</v>
          </cell>
          <cell r="Q3076" t="str">
            <v>M SIVA</v>
          </cell>
        </row>
        <row r="3077">
          <cell r="F3077" t="str">
            <v>PUNE01S414</v>
          </cell>
          <cell r="G3077" t="str">
            <v>S J SUGAR DISTILLERY AND POWER PVT LTD</v>
          </cell>
          <cell r="H3077" t="str">
            <v>-</v>
          </cell>
          <cell r="J3077" t="str">
            <v>Domestic</v>
          </cell>
          <cell r="K3077" t="str">
            <v>Sugar</v>
          </cell>
          <cell r="M3077" t="str">
            <v>End User</v>
          </cell>
          <cell r="O3077" t="str">
            <v>-</v>
          </cell>
          <cell r="P3077" t="str">
            <v>MRK</v>
          </cell>
          <cell r="Q3077" t="str">
            <v>MRK</v>
          </cell>
          <cell r="R3077" t="str">
            <v>AT</v>
          </cell>
          <cell r="T3077" t="str">
            <v>TOUR-10 (Pune)</v>
          </cell>
          <cell r="W3077" t="str">
            <v>-</v>
          </cell>
        </row>
        <row r="3078">
          <cell r="F3078" t="str">
            <v>JALA01S460</v>
          </cell>
          <cell r="G3078" t="str">
            <v>S. R. PARYAVARAN ENGINEERS PVT LTD</v>
          </cell>
          <cell r="H3078" t="str">
            <v>-</v>
          </cell>
          <cell r="J3078" t="str">
            <v>Domestic</v>
          </cell>
          <cell r="L3078" t="str">
            <v>Non-Sugar</v>
          </cell>
          <cell r="O3078" t="str">
            <v>-</v>
          </cell>
          <cell r="P3078" t="str">
            <v>-</v>
          </cell>
          <cell r="Q3078" t="str">
            <v>-</v>
          </cell>
        </row>
        <row r="3079">
          <cell r="F3079" t="str">
            <v>SHIK01S552</v>
          </cell>
          <cell r="G3079" t="str">
            <v>S.R. MITTAL PAPER MILLS LTD</v>
          </cell>
          <cell r="H3079" t="str">
            <v>-</v>
          </cell>
          <cell r="J3079" t="str">
            <v>Domestic</v>
          </cell>
          <cell r="L3079" t="str">
            <v>Non-Sugar</v>
          </cell>
          <cell r="O3079" t="str">
            <v>-</v>
          </cell>
          <cell r="P3079" t="str">
            <v>-</v>
          </cell>
          <cell r="Q3079" t="str">
            <v>-</v>
          </cell>
        </row>
        <row r="3080">
          <cell r="F3080" t="str">
            <v>PUNE01S516</v>
          </cell>
          <cell r="G3080" t="str">
            <v>SAAF BIOGAS PVT LTD</v>
          </cell>
          <cell r="H3080" t="str">
            <v>-</v>
          </cell>
          <cell r="J3080" t="str">
            <v>Domestic</v>
          </cell>
          <cell r="K3080" t="str">
            <v>BIOGAS</v>
          </cell>
          <cell r="L3080" t="str">
            <v>Non-Sugar</v>
          </cell>
          <cell r="P3080" t="str">
            <v>WI-SV</v>
          </cell>
          <cell r="Q3080" t="str">
            <v>SUDHIR</v>
          </cell>
        </row>
        <row r="3081">
          <cell r="F3081" t="str">
            <v>JABA01S421</v>
          </cell>
          <cell r="G3081" t="str">
            <v>SACHDEV HARDWARE &amp; MACHINERY</v>
          </cell>
          <cell r="H3081" t="str">
            <v>-</v>
          </cell>
          <cell r="J3081" t="str">
            <v>Domestic</v>
          </cell>
          <cell r="L3081" t="str">
            <v>Non-Sugar</v>
          </cell>
          <cell r="O3081" t="str">
            <v>-</v>
          </cell>
          <cell r="P3081" t="str">
            <v>-</v>
          </cell>
          <cell r="Q3081" t="str">
            <v>-</v>
          </cell>
        </row>
        <row r="3082">
          <cell r="F3082" t="str">
            <v>MUZF01S518</v>
          </cell>
          <cell r="G3082" t="str">
            <v>SACHIN AGARWAL</v>
          </cell>
          <cell r="H3082" t="str">
            <v>-</v>
          </cell>
          <cell r="J3082" t="str">
            <v>Domestic</v>
          </cell>
          <cell r="L3082" t="str">
            <v>Non-Sugar</v>
          </cell>
          <cell r="O3082" t="str">
            <v>-</v>
          </cell>
          <cell r="P3082" t="str">
            <v>-</v>
          </cell>
          <cell r="Q3082" t="str">
            <v>-</v>
          </cell>
        </row>
        <row r="3083">
          <cell r="F3083" t="str">
            <v>AHME01S570</v>
          </cell>
          <cell r="G3083" t="str">
            <v>SACHIN INDUSTRIES LTD</v>
          </cell>
          <cell r="H3083" t="str">
            <v>-</v>
          </cell>
          <cell r="J3083" t="str">
            <v>Domestic</v>
          </cell>
          <cell r="L3083" t="str">
            <v>Non-Sugar</v>
          </cell>
          <cell r="O3083" t="str">
            <v>-</v>
          </cell>
          <cell r="P3083" t="str">
            <v>HO</v>
          </cell>
          <cell r="Q3083" t="str">
            <v>AKSHAY AWASTHI</v>
          </cell>
          <cell r="U3083" t="str">
            <v>24-25</v>
          </cell>
          <cell r="W3083" t="str">
            <v>18-12-2024</v>
          </cell>
        </row>
        <row r="3084">
          <cell r="F3084" t="str">
            <v>MEHS01S456</v>
          </cell>
          <cell r="G3084" t="str">
            <v>SAGAR DAN CATTEL FEED PRODUCTION</v>
          </cell>
          <cell r="H3084" t="str">
            <v>-</v>
          </cell>
          <cell r="J3084" t="str">
            <v>Domestic</v>
          </cell>
          <cell r="L3084" t="str">
            <v>Non-Sugar</v>
          </cell>
          <cell r="O3084" t="str">
            <v>-</v>
          </cell>
          <cell r="P3084" t="str">
            <v>-</v>
          </cell>
          <cell r="Q3084" t="str">
            <v>-</v>
          </cell>
        </row>
        <row r="3085">
          <cell r="F3085" t="str">
            <v>SOLP01S418</v>
          </cell>
          <cell r="G3085" t="str">
            <v>SAHAKAR MAHARSHI SHANKARRAO MOHITE-PATIL SAHAKARI SAKHAR KARKHANA LTD. SHANKARNAGAR-AKLUJ</v>
          </cell>
          <cell r="H3085" t="str">
            <v>-</v>
          </cell>
          <cell r="J3085" t="str">
            <v>Domestic</v>
          </cell>
          <cell r="K3085" t="str">
            <v>Sugar</v>
          </cell>
          <cell r="L3085" t="str">
            <v>Sugar</v>
          </cell>
          <cell r="M3085" t="str">
            <v>End User</v>
          </cell>
          <cell r="O3085">
            <v>7500</v>
          </cell>
          <cell r="P3085" t="str">
            <v>AV</v>
          </cell>
          <cell r="Q3085" t="str">
            <v>AV</v>
          </cell>
          <cell r="R3085" t="str">
            <v>AT</v>
          </cell>
          <cell r="S3085" t="str">
            <v>https://maps.app.goo.gl/1wyQnu5eBufQVfYP8</v>
          </cell>
          <cell r="T3085" t="str">
            <v>TOUR-2 (Satara &amp; Solapur)</v>
          </cell>
          <cell r="U3085" t="str">
            <v>26-27</v>
          </cell>
          <cell r="V3085" t="str">
            <v>May</v>
          </cell>
          <cell r="W3085" t="str">
            <v>25.05.2026</v>
          </cell>
        </row>
        <row r="3086">
          <cell r="F3086" t="str">
            <v>PUNE01S536</v>
          </cell>
          <cell r="G3086" t="str">
            <v>SAHYADRI ENVITECH</v>
          </cell>
          <cell r="H3086" t="str">
            <v>-</v>
          </cell>
          <cell r="J3086" t="str">
            <v>Domestic</v>
          </cell>
          <cell r="L3086" t="str">
            <v>Non-Sugar</v>
          </cell>
          <cell r="M3086" t="str">
            <v>OEM</v>
          </cell>
          <cell r="P3086" t="str">
            <v>WI-SV</v>
          </cell>
          <cell r="Q3086" t="str">
            <v>SUDHIR</v>
          </cell>
        </row>
        <row r="3087">
          <cell r="F3087" t="str">
            <v>PUNE01S502</v>
          </cell>
          <cell r="G3087" t="str">
            <v>SAHYADRI SPIRITS</v>
          </cell>
          <cell r="H3087" t="str">
            <v>-</v>
          </cell>
          <cell r="J3087" t="str">
            <v>Domestic</v>
          </cell>
          <cell r="K3087" t="str">
            <v>OTHERS</v>
          </cell>
          <cell r="L3087" t="str">
            <v>Non-Sugar</v>
          </cell>
          <cell r="M3087" t="str">
            <v>End User</v>
          </cell>
          <cell r="P3087" t="str">
            <v>AV</v>
          </cell>
          <cell r="Q3087" t="str">
            <v>AV</v>
          </cell>
          <cell r="R3087" t="str">
            <v>VG</v>
          </cell>
        </row>
        <row r="3088">
          <cell r="F3088" t="str">
            <v>CHEN01S508</v>
          </cell>
          <cell r="G3088" t="str">
            <v>SAI ENGG SERVICES</v>
          </cell>
          <cell r="H3088" t="str">
            <v>-</v>
          </cell>
          <cell r="J3088" t="str">
            <v>Domestic</v>
          </cell>
          <cell r="K3088" t="str">
            <v>BIOGAS</v>
          </cell>
          <cell r="L3088" t="str">
            <v>Non-Sugar</v>
          </cell>
          <cell r="M3088" t="str">
            <v>OEM</v>
          </cell>
          <cell r="P3088" t="str">
            <v>SI-GS</v>
          </cell>
          <cell r="Q3088" t="str">
            <v>SI-GS</v>
          </cell>
          <cell r="W3088">
            <v>45632</v>
          </cell>
        </row>
        <row r="3089">
          <cell r="F3089" t="str">
            <v>GUJA01S405</v>
          </cell>
          <cell r="G3089" t="str">
            <v>SAI SAMRUDHI DAIRY</v>
          </cell>
          <cell r="H3089" t="str">
            <v>-</v>
          </cell>
          <cell r="J3089" t="str">
            <v>Domestic</v>
          </cell>
          <cell r="L3089" t="str">
            <v>Non-Sugar</v>
          </cell>
          <cell r="O3089" t="str">
            <v>-</v>
          </cell>
          <cell r="P3089" t="str">
            <v>-</v>
          </cell>
          <cell r="Q3089" t="str">
            <v>-</v>
          </cell>
        </row>
        <row r="3090">
          <cell r="F3090" t="str">
            <v>HYDE01S483</v>
          </cell>
          <cell r="G3090" t="str">
            <v>SAI VSLP BIOENERGY PRIVATE LIMITED</v>
          </cell>
          <cell r="H3090" t="str">
            <v>-</v>
          </cell>
          <cell r="J3090" t="str">
            <v>Domestic</v>
          </cell>
          <cell r="L3090" t="str">
            <v>Non-Sugar</v>
          </cell>
          <cell r="O3090" t="str">
            <v>-</v>
          </cell>
          <cell r="P3090" t="str">
            <v>-</v>
          </cell>
          <cell r="Q3090" t="str">
            <v>-</v>
          </cell>
        </row>
        <row r="3091">
          <cell r="F3091" t="str">
            <v>CHEN01S556</v>
          </cell>
          <cell r="G3091" t="str">
            <v>SAINT GOBAIN WEBER BUSINESS DIVISION</v>
          </cell>
          <cell r="H3091" t="str">
            <v>-</v>
          </cell>
          <cell r="J3091" t="str">
            <v>Domestic</v>
          </cell>
          <cell r="P3091" t="str">
            <v>SI-SIVA</v>
          </cell>
          <cell r="Q3091" t="str">
            <v>M SIVA</v>
          </cell>
        </row>
        <row r="3092">
          <cell r="F3092" t="str">
            <v>PUNE01S499</v>
          </cell>
          <cell r="G3092" t="str">
            <v>SAIRAJ INDUSTRIAL SOLUTIONS</v>
          </cell>
          <cell r="H3092" t="str">
            <v>-</v>
          </cell>
          <cell r="J3092" t="str">
            <v>Domestic</v>
          </cell>
          <cell r="L3092" t="str">
            <v>Non-Sugar</v>
          </cell>
          <cell r="P3092" t="str">
            <v>WI-SV</v>
          </cell>
          <cell r="Q3092" t="str">
            <v>SUDHIR</v>
          </cell>
        </row>
        <row r="3093">
          <cell r="F3093" t="str">
            <v>NASK01S453</v>
          </cell>
          <cell r="G3093" t="str">
            <v>SAM ENVIRO</v>
          </cell>
          <cell r="H3093" t="str">
            <v>-</v>
          </cell>
          <cell r="J3093" t="str">
            <v>Domestic</v>
          </cell>
          <cell r="P3093" t="str">
            <v>SP</v>
          </cell>
          <cell r="Q3093" t="str">
            <v>-</v>
          </cell>
        </row>
        <row r="3094">
          <cell r="F3094" t="str">
            <v>CHEN01S330</v>
          </cell>
          <cell r="G3094" t="str">
            <v>SAMAY PROJECT SERVICES PVT LTD</v>
          </cell>
          <cell r="H3094" t="str">
            <v>-</v>
          </cell>
          <cell r="J3094" t="str">
            <v>Domestic</v>
          </cell>
          <cell r="K3094" t="str">
            <v>BIOGAS</v>
          </cell>
          <cell r="L3094" t="str">
            <v>Non-Sugar</v>
          </cell>
          <cell r="M3094" t="str">
            <v>OEM</v>
          </cell>
          <cell r="P3094" t="str">
            <v>SI-GS</v>
          </cell>
          <cell r="Q3094" t="str">
            <v>SI-GS</v>
          </cell>
          <cell r="W3094" t="str">
            <v>-</v>
          </cell>
        </row>
        <row r="3095">
          <cell r="F3095" t="str">
            <v>AMBA1S308</v>
          </cell>
          <cell r="G3095" t="str">
            <v>SAMPURAN PACKAGING PVT.LTD</v>
          </cell>
          <cell r="H3095" t="str">
            <v>-</v>
          </cell>
          <cell r="J3095" t="str">
            <v>Domestic</v>
          </cell>
          <cell r="L3095" t="str">
            <v>Non-Sugar</v>
          </cell>
          <cell r="O3095" t="str">
            <v>-</v>
          </cell>
          <cell r="P3095" t="str">
            <v>-</v>
          </cell>
          <cell r="Q3095" t="str">
            <v>-</v>
          </cell>
        </row>
        <row r="3096">
          <cell r="F3096" t="str">
            <v>GHZB01S440</v>
          </cell>
          <cell r="G3096" t="str">
            <v>SANDEEP KUMAR-SHRIRAM PISTON</v>
          </cell>
          <cell r="H3096" t="str">
            <v>-</v>
          </cell>
          <cell r="J3096" t="str">
            <v>Domestic</v>
          </cell>
          <cell r="L3096" t="str">
            <v>Non-Sugar</v>
          </cell>
          <cell r="O3096" t="str">
            <v>-</v>
          </cell>
          <cell r="P3096" t="str">
            <v>-</v>
          </cell>
          <cell r="Q3096" t="str">
            <v>-</v>
          </cell>
        </row>
        <row r="3097">
          <cell r="F3097" t="str">
            <v>MUMB01S542</v>
          </cell>
          <cell r="G3097" t="str">
            <v>SANDO GROUP</v>
          </cell>
          <cell r="H3097" t="str">
            <v>-</v>
          </cell>
          <cell r="J3097" t="str">
            <v>Domestic</v>
          </cell>
          <cell r="L3097" t="str">
            <v>Non-Sugar</v>
          </cell>
          <cell r="P3097" t="str">
            <v>WI-SV</v>
          </cell>
          <cell r="Q3097" t="str">
            <v>SUDHIR</v>
          </cell>
        </row>
        <row r="3098">
          <cell r="F3098" t="str">
            <v>BIJA01S566</v>
          </cell>
          <cell r="G3098" t="str">
            <v>SANGAMNATH SUGARS LTD.</v>
          </cell>
          <cell r="H3098" t="str">
            <v>-</v>
          </cell>
          <cell r="J3098" t="str">
            <v>Domestic</v>
          </cell>
          <cell r="K3098" t="str">
            <v>Sugar</v>
          </cell>
          <cell r="L3098" t="str">
            <v>Sugar</v>
          </cell>
          <cell r="M3098" t="str">
            <v>End User</v>
          </cell>
          <cell r="O3098">
            <v>7500</v>
          </cell>
          <cell r="P3098" t="str">
            <v>MRK</v>
          </cell>
          <cell r="Q3098" t="str">
            <v>MRK</v>
          </cell>
          <cell r="R3098" t="str">
            <v>VG</v>
          </cell>
          <cell r="T3098" t="str">
            <v>TOUR-3 (VIJAYPURA)</v>
          </cell>
          <cell r="U3098" t="str">
            <v>25-26</v>
          </cell>
          <cell r="W3098" t="str">
            <v>12-11-2025
6-6-2025
5/29/2024</v>
          </cell>
        </row>
        <row r="3099">
          <cell r="F3099" t="str">
            <v>SATA01S537</v>
          </cell>
          <cell r="G3099" t="str">
            <v>SATARA ENGINEERING PROJECTS (Kay Bouvet)</v>
          </cell>
          <cell r="H3099" t="str">
            <v>-</v>
          </cell>
          <cell r="I3099" t="str">
            <v>-</v>
          </cell>
          <cell r="J3099" t="str">
            <v>Domestic</v>
          </cell>
          <cell r="K3099" t="str">
            <v>Sugar</v>
          </cell>
          <cell r="L3099" t="str">
            <v>Sugar</v>
          </cell>
          <cell r="M3099" t="str">
            <v>OEM</v>
          </cell>
          <cell r="P3099" t="str">
            <v>WI-SV</v>
          </cell>
          <cell r="Q3099" t="str">
            <v>SUDHIR</v>
          </cell>
        </row>
        <row r="3100">
          <cell r="F3100" t="str">
            <v>CHEN01S466</v>
          </cell>
          <cell r="G3100" t="str">
            <v>SATTVA ENGINEERING CONSTRUCTION PVT LTD</v>
          </cell>
          <cell r="H3100" t="str">
            <v>-</v>
          </cell>
          <cell r="J3100" t="str">
            <v>Domestic</v>
          </cell>
          <cell r="K3100" t="str">
            <v>ETP/STP/WTP</v>
          </cell>
          <cell r="L3100" t="str">
            <v>Non-Sugar</v>
          </cell>
          <cell r="M3100" t="str">
            <v>OEM</v>
          </cell>
          <cell r="P3100" t="str">
            <v>SI-GS</v>
          </cell>
          <cell r="Q3100" t="str">
            <v>SI-GS</v>
          </cell>
          <cell r="W3100">
            <v>45742</v>
          </cell>
        </row>
        <row r="3101">
          <cell r="F3101" t="str">
            <v>YAND01S484</v>
          </cell>
          <cell r="G3101" t="str">
            <v>SAUDI ARAMCO MOBIL REFINERY COMPANY LTD</v>
          </cell>
          <cell r="H3101" t="str">
            <v>-</v>
          </cell>
          <cell r="J3101" t="str">
            <v>Export</v>
          </cell>
          <cell r="L3101" t="str">
            <v>Non-Sugar</v>
          </cell>
          <cell r="O3101" t="str">
            <v>-</v>
          </cell>
          <cell r="P3101" t="str">
            <v>VA</v>
          </cell>
          <cell r="Q3101" t="str">
            <v>ANKUR</v>
          </cell>
        </row>
        <row r="3102">
          <cell r="F3102" t="str">
            <v>DABI01S427</v>
          </cell>
          <cell r="G3102" t="str">
            <v>SAUDI THALATE GENERAL MANUFACTURING INDUSTRIAL SERVICES CO.</v>
          </cell>
          <cell r="H3102" t="str">
            <v>-</v>
          </cell>
          <cell r="J3102" t="str">
            <v>Export</v>
          </cell>
          <cell r="L3102" t="str">
            <v>Non-Sugar</v>
          </cell>
          <cell r="O3102" t="str">
            <v>-</v>
          </cell>
          <cell r="P3102" t="str">
            <v>VA</v>
          </cell>
          <cell r="Q3102" t="str">
            <v>ANKUR</v>
          </cell>
        </row>
        <row r="3103">
          <cell r="F3103" t="str">
            <v>NAGP01S498</v>
          </cell>
          <cell r="G3103" t="str">
            <v>SBL ENERGY LIMITED</v>
          </cell>
          <cell r="H3103" t="str">
            <v>-</v>
          </cell>
          <cell r="J3103" t="str">
            <v>Domestic</v>
          </cell>
          <cell r="L3103" t="str">
            <v>Non-Sugar</v>
          </cell>
          <cell r="P3103" t="str">
            <v>WI-SV</v>
          </cell>
          <cell r="Q3103" t="str">
            <v>SUDHIR</v>
          </cell>
        </row>
        <row r="3104">
          <cell r="F3104" t="str">
            <v>HYDE01S526</v>
          </cell>
          <cell r="G3104" t="str">
            <v>SBR TECHNOLOGY</v>
          </cell>
          <cell r="H3104" t="str">
            <v>-</v>
          </cell>
          <cell r="J3104" t="str">
            <v>Domestic</v>
          </cell>
          <cell r="P3104" t="str">
            <v>SI-MANI</v>
          </cell>
          <cell r="Q3104" t="str">
            <v>M SIVA</v>
          </cell>
        </row>
        <row r="3105">
          <cell r="F3105" t="str">
            <v>MUMB01S478</v>
          </cell>
          <cell r="G3105" t="str">
            <v>SEFTECH INDIA PVT LTD</v>
          </cell>
          <cell r="H3105" t="str">
            <v>-</v>
          </cell>
          <cell r="J3105" t="str">
            <v>Domestic</v>
          </cell>
          <cell r="K3105" t="str">
            <v>OTHERS</v>
          </cell>
          <cell r="L3105" t="str">
            <v>Non-Sugar</v>
          </cell>
          <cell r="M3105" t="str">
            <v>End User</v>
          </cell>
          <cell r="P3105" t="str">
            <v>AV</v>
          </cell>
          <cell r="Q3105" t="str">
            <v>AV</v>
          </cell>
          <cell r="R3105" t="str">
            <v>VG</v>
          </cell>
        </row>
        <row r="3106">
          <cell r="F3106" t="str">
            <v>MUMB01S363</v>
          </cell>
          <cell r="G3106" t="str">
            <v>SERENE INTERNATIONAL</v>
          </cell>
          <cell r="H3106" t="str">
            <v>-</v>
          </cell>
          <cell r="J3106" t="str">
            <v>Domestic</v>
          </cell>
          <cell r="K3106" t="str">
            <v>-</v>
          </cell>
          <cell r="L3106" t="str">
            <v>Non-Sugar</v>
          </cell>
          <cell r="O3106" t="str">
            <v>-</v>
          </cell>
          <cell r="P3106" t="str">
            <v>HO</v>
          </cell>
          <cell r="Q3106" t="str">
            <v>-</v>
          </cell>
          <cell r="T3106" t="str">
            <v>-</v>
          </cell>
          <cell r="U3106" t="str">
            <v>-</v>
          </cell>
          <cell r="W3106" t="str">
            <v>-</v>
          </cell>
        </row>
        <row r="3107">
          <cell r="F3107" t="str">
            <v>TAPI01S240</v>
          </cell>
          <cell r="G3107" t="str">
            <v>SESHASAYEE PAPER &amp; BOARDS LTD</v>
          </cell>
          <cell r="H3107" t="str">
            <v>-</v>
          </cell>
          <cell r="J3107" t="str">
            <v>Domestic</v>
          </cell>
          <cell r="K3107" t="str">
            <v>Paper</v>
          </cell>
          <cell r="L3107" t="str">
            <v>Non-Sugar</v>
          </cell>
          <cell r="M3107" t="str">
            <v>End User</v>
          </cell>
          <cell r="P3107" t="str">
            <v>SI-GS</v>
          </cell>
          <cell r="Q3107" t="str">
            <v>SI-GS</v>
          </cell>
          <cell r="W3107">
            <v>45240</v>
          </cell>
        </row>
        <row r="3108">
          <cell r="F3108" t="str">
            <v>KARA01K150</v>
          </cell>
          <cell r="G3108" t="str">
            <v>SEWON VERTEX HEAVY INDUSTRIES</v>
          </cell>
          <cell r="H3108" t="str">
            <v>-</v>
          </cell>
          <cell r="J3108" t="str">
            <v>Export</v>
          </cell>
          <cell r="L3108" t="str">
            <v>Non-Sugar</v>
          </cell>
          <cell r="O3108" t="str">
            <v>-</v>
          </cell>
          <cell r="P3108" t="str">
            <v>VA</v>
          </cell>
          <cell r="Q3108" t="str">
            <v>ANKUR</v>
          </cell>
        </row>
        <row r="3109">
          <cell r="F3109" t="str">
            <v>CHEN01S522</v>
          </cell>
          <cell r="G3109" t="str">
            <v>SGC PUMPS &amp; SYSTEMS</v>
          </cell>
          <cell r="H3109" t="str">
            <v>-</v>
          </cell>
          <cell r="J3109" t="str">
            <v>Domestic</v>
          </cell>
          <cell r="P3109" t="str">
            <v>SI-MANI</v>
          </cell>
          <cell r="Q3109" t="str">
            <v>M SIVA</v>
          </cell>
        </row>
        <row r="3110">
          <cell r="F3110" t="str">
            <v>JORD01S476</v>
          </cell>
          <cell r="G3110" t="str">
            <v>SHADOUF INDUSTRIAL EQUIPMENT</v>
          </cell>
          <cell r="H3110" t="str">
            <v>-</v>
          </cell>
          <cell r="J3110" t="str">
            <v>Export</v>
          </cell>
          <cell r="L3110" t="str">
            <v>Non-Sugar</v>
          </cell>
          <cell r="O3110" t="str">
            <v>-</v>
          </cell>
          <cell r="P3110" t="str">
            <v>VA</v>
          </cell>
          <cell r="Q3110" t="str">
            <v>ANKUR</v>
          </cell>
        </row>
        <row r="3111">
          <cell r="F3111" t="str">
            <v>NODA01S408</v>
          </cell>
          <cell r="G3111" t="str">
            <v>SHAKUNTALA SCIENTIFIC TRADERS</v>
          </cell>
          <cell r="H3111" t="str">
            <v>-</v>
          </cell>
          <cell r="J3111" t="str">
            <v>Domestic</v>
          </cell>
          <cell r="L3111" t="str">
            <v>Non-Sugar</v>
          </cell>
          <cell r="O3111" t="str">
            <v>-</v>
          </cell>
          <cell r="P3111" t="str">
            <v>-</v>
          </cell>
          <cell r="Q3111" t="str">
            <v>-</v>
          </cell>
        </row>
        <row r="3112">
          <cell r="F3112" t="str">
            <v>MILA01S531</v>
          </cell>
          <cell r="G3112" t="str">
            <v>SHANFARI IMPIANTI ITALIA SRL</v>
          </cell>
          <cell r="H3112" t="str">
            <v>-</v>
          </cell>
          <cell r="J3112" t="str">
            <v>Export</v>
          </cell>
          <cell r="L3112" t="str">
            <v>Non-Sugar</v>
          </cell>
          <cell r="O3112" t="str">
            <v>-</v>
          </cell>
          <cell r="P3112" t="str">
            <v>VA</v>
          </cell>
          <cell r="Q3112" t="str">
            <v>ANKUR</v>
          </cell>
        </row>
        <row r="3113">
          <cell r="F3113" t="str">
            <v>NANA01S201</v>
          </cell>
          <cell r="G3113" t="str">
            <v>SHEAR GOLD</v>
          </cell>
          <cell r="H3113" t="str">
            <v>-</v>
          </cell>
          <cell r="J3113" t="str">
            <v>Export</v>
          </cell>
          <cell r="L3113" t="str">
            <v>Non-Sugar</v>
          </cell>
          <cell r="O3113" t="str">
            <v>-</v>
          </cell>
          <cell r="P3113" t="str">
            <v>VA</v>
          </cell>
          <cell r="Q3113" t="str">
            <v>ANKUR</v>
          </cell>
        </row>
        <row r="3114">
          <cell r="F3114" t="str">
            <v>OSMA01S448</v>
          </cell>
          <cell r="G3114" t="str">
            <v>SHIKSHAN MAHARSHI DNYANDEV MOHEKAR AGRO INDUSTRIES</v>
          </cell>
          <cell r="H3114" t="str">
            <v>-</v>
          </cell>
          <cell r="J3114" t="str">
            <v>Domestic</v>
          </cell>
          <cell r="L3114" t="str">
            <v>Non-Sugar</v>
          </cell>
          <cell r="O3114" t="str">
            <v>-</v>
          </cell>
          <cell r="P3114" t="str">
            <v>-</v>
          </cell>
          <cell r="Q3114" t="str">
            <v>-</v>
          </cell>
        </row>
        <row r="3115">
          <cell r="F3115" t="str">
            <v>PUNE01S485</v>
          </cell>
          <cell r="G3115" t="str">
            <v>SHIRISH PANADARE</v>
          </cell>
          <cell r="H3115" t="str">
            <v>-</v>
          </cell>
          <cell r="J3115" t="str">
            <v>Domestic</v>
          </cell>
          <cell r="L3115" t="str">
            <v>Non-Sugar</v>
          </cell>
          <cell r="O3115" t="str">
            <v>-</v>
          </cell>
          <cell r="P3115" t="str">
            <v>-</v>
          </cell>
          <cell r="Q3115" t="str">
            <v>-</v>
          </cell>
        </row>
        <row r="3116">
          <cell r="F3116" t="str">
            <v>GUJA01S442</v>
          </cell>
          <cell r="G3116" t="str">
            <v>SHITAL FARM MAHUVA</v>
          </cell>
          <cell r="H3116" t="str">
            <v>-</v>
          </cell>
          <cell r="J3116" t="str">
            <v>Domestic</v>
          </cell>
          <cell r="L3116" t="str">
            <v>Non-Sugar</v>
          </cell>
          <cell r="O3116" t="str">
            <v>-</v>
          </cell>
          <cell r="P3116" t="str">
            <v>-</v>
          </cell>
          <cell r="Q3116" t="str">
            <v>-</v>
          </cell>
        </row>
        <row r="3117">
          <cell r="F3117" t="str">
            <v>VAPI01S538</v>
          </cell>
          <cell r="G3117" t="str">
            <v>SHIV PUMPS &amp; EQUIPMENTS</v>
          </cell>
          <cell r="H3117" t="str">
            <v>-</v>
          </cell>
          <cell r="J3117" t="str">
            <v>Domestic</v>
          </cell>
          <cell r="L3117" t="str">
            <v>Non-Sugar</v>
          </cell>
          <cell r="O3117" t="str">
            <v>-</v>
          </cell>
          <cell r="P3117" t="str">
            <v>-</v>
          </cell>
          <cell r="Q3117" t="str">
            <v>-</v>
          </cell>
        </row>
        <row r="3118">
          <cell r="F3118" t="str">
            <v>PATN01S444</v>
          </cell>
          <cell r="G3118" t="str">
            <v>SHIVAM FOOD PRODUCTS</v>
          </cell>
          <cell r="H3118" t="str">
            <v>-</v>
          </cell>
          <cell r="J3118" t="str">
            <v>Domestic</v>
          </cell>
          <cell r="L3118" t="str">
            <v>Non-Sugar</v>
          </cell>
          <cell r="O3118" t="str">
            <v>-</v>
          </cell>
          <cell r="P3118" t="str">
            <v>-</v>
          </cell>
          <cell r="Q3118" t="str">
            <v>-</v>
          </cell>
        </row>
        <row r="3119">
          <cell r="F3119" t="str">
            <v>NIGE01S511</v>
          </cell>
          <cell r="G3119" t="str">
            <v>SHOOLIN FZE</v>
          </cell>
          <cell r="H3119" t="str">
            <v>-</v>
          </cell>
          <cell r="J3119" t="str">
            <v>Export</v>
          </cell>
          <cell r="L3119" t="str">
            <v>Non-Sugar</v>
          </cell>
          <cell r="O3119" t="str">
            <v>-</v>
          </cell>
          <cell r="P3119" t="str">
            <v>VA</v>
          </cell>
          <cell r="Q3119" t="str">
            <v>ANKUR</v>
          </cell>
        </row>
        <row r="3120">
          <cell r="F3120" t="str">
            <v>SITP01S352</v>
          </cell>
          <cell r="G3120" t="str">
            <v>SHREE BAIDYANATH AYURVED BHAWAN PVT. LTD</v>
          </cell>
          <cell r="H3120" t="str">
            <v>-</v>
          </cell>
          <cell r="J3120" t="str">
            <v>Domestic</v>
          </cell>
          <cell r="K3120" t="str">
            <v>-</v>
          </cell>
          <cell r="L3120" t="str">
            <v>Non-Sugar</v>
          </cell>
          <cell r="O3120" t="str">
            <v>-</v>
          </cell>
          <cell r="P3120" t="str">
            <v>-</v>
          </cell>
          <cell r="Q3120" t="str">
            <v>-</v>
          </cell>
          <cell r="R3120" t="str">
            <v>-</v>
          </cell>
          <cell r="T3120" t="str">
            <v>-</v>
          </cell>
          <cell r="U3120" t="str">
            <v>-</v>
          </cell>
          <cell r="W3120" t="str">
            <v>-</v>
          </cell>
        </row>
        <row r="3121">
          <cell r="F3121" t="str">
            <v>JAMS01S495</v>
          </cell>
          <cell r="G3121" t="str">
            <v>SHREE BALAJI ENTERPRISES</v>
          </cell>
          <cell r="H3121" t="str">
            <v>-</v>
          </cell>
          <cell r="J3121" t="str">
            <v>Domestic</v>
          </cell>
          <cell r="P3121" t="str">
            <v>VA</v>
          </cell>
          <cell r="Q3121" t="str">
            <v>ANKUR</v>
          </cell>
        </row>
        <row r="3122">
          <cell r="F3122" t="str">
            <v>JAIP01S425</v>
          </cell>
          <cell r="G3122" t="str">
            <v>SHREE BALAJI PASHUAHAR</v>
          </cell>
          <cell r="H3122" t="str">
            <v>-</v>
          </cell>
          <cell r="J3122" t="str">
            <v>Domestic</v>
          </cell>
          <cell r="L3122" t="str">
            <v>Non-Sugar</v>
          </cell>
          <cell r="O3122" t="str">
            <v>-</v>
          </cell>
          <cell r="P3122" t="str">
            <v>-</v>
          </cell>
          <cell r="Q3122" t="str">
            <v>-</v>
          </cell>
        </row>
        <row r="3123">
          <cell r="F3123" t="str">
            <v>PUNE01S519</v>
          </cell>
          <cell r="G3123" t="str">
            <v>SHREE DATTA ENGINEERS FABRICATION</v>
          </cell>
          <cell r="H3123" t="str">
            <v>-</v>
          </cell>
          <cell r="J3123" t="str">
            <v>Domestic</v>
          </cell>
          <cell r="K3123" t="str">
            <v>others</v>
          </cell>
          <cell r="L3123" t="str">
            <v>Non-Sugar</v>
          </cell>
          <cell r="M3123" t="str">
            <v>Trader</v>
          </cell>
          <cell r="P3123" t="str">
            <v>MRK</v>
          </cell>
          <cell r="Q3123" t="str">
            <v>MRK</v>
          </cell>
          <cell r="R3123" t="str">
            <v>OEM</v>
          </cell>
        </row>
        <row r="3124">
          <cell r="F3124" t="str">
            <v>NAGP01S452</v>
          </cell>
          <cell r="G3124" t="str">
            <v>SHREE JAGANNATH ENTERPRISE</v>
          </cell>
          <cell r="H3124" t="str">
            <v>-</v>
          </cell>
          <cell r="J3124" t="str">
            <v>Domestic</v>
          </cell>
          <cell r="L3124" t="str">
            <v>Non-Sugar</v>
          </cell>
          <cell r="O3124" t="str">
            <v>-</v>
          </cell>
          <cell r="P3124" t="str">
            <v>-</v>
          </cell>
          <cell r="Q3124" t="str">
            <v>-</v>
          </cell>
        </row>
        <row r="3125">
          <cell r="F3125" t="str">
            <v>LATU01S576</v>
          </cell>
          <cell r="G3125" t="str">
            <v>SHREE SAINT GOPALBUVA SUGAR FACTORY</v>
          </cell>
          <cell r="H3125" t="str">
            <v>-</v>
          </cell>
          <cell r="J3125" t="str">
            <v>Domestic</v>
          </cell>
          <cell r="K3125" t="str">
            <v>Sugar</v>
          </cell>
          <cell r="M3125" t="str">
            <v>End User</v>
          </cell>
          <cell r="P3125" t="str">
            <v>AV</v>
          </cell>
          <cell r="Q3125" t="str">
            <v>AV</v>
          </cell>
        </row>
        <row r="3126">
          <cell r="F3126" t="str">
            <v>OSMA01S569</v>
          </cell>
          <cell r="G3126" t="str">
            <v>SHREE SIDDHIVINAYAK AGRITECH INDUSTRIES LTD. (KHANDSARI AND JAGGERY)</v>
          </cell>
          <cell r="H3126" t="str">
            <v>25-26</v>
          </cell>
          <cell r="J3126" t="str">
            <v>Domestic</v>
          </cell>
          <cell r="K3126" t="str">
            <v>Khandsari and Jaggery</v>
          </cell>
          <cell r="L3126" t="str">
            <v>Non-Sugar</v>
          </cell>
          <cell r="M3126" t="str">
            <v>End User</v>
          </cell>
          <cell r="N3126" t="str">
            <v>(0-5000)</v>
          </cell>
          <cell r="O3126">
            <v>1250</v>
          </cell>
          <cell r="P3126" t="str">
            <v>AV</v>
          </cell>
          <cell r="Q3126" t="str">
            <v>AV</v>
          </cell>
          <cell r="R3126" t="str">
            <v>PD</v>
          </cell>
          <cell r="T3126" t="str">
            <v>Dharashiv - 1</v>
          </cell>
          <cell r="U3126" t="str">
            <v>25-26</v>
          </cell>
          <cell r="W3126" t="str">
            <v>3-2-26
4/24/2024</v>
          </cell>
        </row>
        <row r="3127">
          <cell r="F3127" t="str">
            <v>GURG01S413</v>
          </cell>
          <cell r="G3127" t="str">
            <v>SHREE SIDDHIVINAYAK AND ASSOCIATES</v>
          </cell>
          <cell r="H3127" t="str">
            <v>-</v>
          </cell>
          <cell r="J3127" t="str">
            <v>Domestic</v>
          </cell>
          <cell r="L3127" t="str">
            <v>Non-Sugar</v>
          </cell>
          <cell r="O3127" t="str">
            <v>-</v>
          </cell>
          <cell r="P3127" t="str">
            <v>-</v>
          </cell>
          <cell r="Q3127" t="str">
            <v>-</v>
          </cell>
        </row>
        <row r="3128">
          <cell r="F3128" t="str">
            <v>DHRS01S555</v>
          </cell>
          <cell r="G3128" t="str">
            <v>SHREE SIDDHIVINAYAK GREENTECH INDUSTRIES</v>
          </cell>
          <cell r="H3128" t="str">
            <v>23-24</v>
          </cell>
          <cell r="J3128" t="str">
            <v>Domestic</v>
          </cell>
          <cell r="K3128" t="str">
            <v>Khandsari and Jaggery</v>
          </cell>
          <cell r="L3128" t="str">
            <v>Sugar</v>
          </cell>
          <cell r="M3128" t="str">
            <v>End User</v>
          </cell>
          <cell r="N3128" t="str">
            <v>(0-5000)</v>
          </cell>
          <cell r="O3128">
            <v>2000</v>
          </cell>
          <cell r="P3128" t="str">
            <v>AV</v>
          </cell>
          <cell r="Q3128" t="str">
            <v>AV</v>
          </cell>
          <cell r="R3128" t="str">
            <v>PD</v>
          </cell>
          <cell r="T3128" t="str">
            <v>Dharashiv - 1</v>
          </cell>
        </row>
        <row r="3129">
          <cell r="F3129" t="str">
            <v>MERT01S486</v>
          </cell>
          <cell r="G3129" t="str">
            <v>SHREE ULTRATECK SUGAR ENGINEERING CO.</v>
          </cell>
          <cell r="H3129" t="str">
            <v>-</v>
          </cell>
          <cell r="J3129" t="str">
            <v>Domestic</v>
          </cell>
          <cell r="L3129" t="str">
            <v>Non-Sugar</v>
          </cell>
          <cell r="O3129" t="str">
            <v>-</v>
          </cell>
          <cell r="P3129" t="str">
            <v>-</v>
          </cell>
          <cell r="Q3129" t="str">
            <v>-</v>
          </cell>
        </row>
        <row r="3130">
          <cell r="F3130" t="str">
            <v>PUNE01S306</v>
          </cell>
          <cell r="G3130" t="str">
            <v>SHREEJI AQUA TREATMENT PVT.ITD</v>
          </cell>
          <cell r="H3130" t="str">
            <v>-</v>
          </cell>
          <cell r="J3130" t="str">
            <v>Domestic</v>
          </cell>
          <cell r="K3130" t="str">
            <v>ETP/STP/WTP</v>
          </cell>
          <cell r="L3130" t="str">
            <v>Non-Sugar</v>
          </cell>
          <cell r="M3130" t="str">
            <v>End User</v>
          </cell>
          <cell r="O3130" t="str">
            <v>-</v>
          </cell>
          <cell r="P3130" t="str">
            <v>HO</v>
          </cell>
          <cell r="Q3130" t="str">
            <v>-</v>
          </cell>
          <cell r="T3130" t="str">
            <v>-</v>
          </cell>
          <cell r="U3130" t="str">
            <v>-</v>
          </cell>
          <cell r="W3130" t="str">
            <v>-</v>
          </cell>
        </row>
        <row r="3131">
          <cell r="F3131" t="str">
            <v>AHME1S422</v>
          </cell>
          <cell r="G3131" t="str">
            <v>Shreyans Water Engineers</v>
          </cell>
          <cell r="H3131" t="str">
            <v>-</v>
          </cell>
          <cell r="J3131" t="str">
            <v>Domestic</v>
          </cell>
          <cell r="L3131" t="str">
            <v>Non-Sugar</v>
          </cell>
          <cell r="O3131" t="str">
            <v>-</v>
          </cell>
          <cell r="P3131" t="str">
            <v>-</v>
          </cell>
          <cell r="Q3131" t="str">
            <v>-</v>
          </cell>
        </row>
        <row r="3132">
          <cell r="F3132" t="str">
            <v>KANP01S489</v>
          </cell>
          <cell r="G3132" t="str">
            <v>SHRI BANKEY BIHARI INDUSTRIES</v>
          </cell>
          <cell r="H3132" t="str">
            <v>-</v>
          </cell>
          <cell r="J3132" t="str">
            <v>Domestic</v>
          </cell>
          <cell r="L3132" t="str">
            <v>Non-Sugar</v>
          </cell>
          <cell r="O3132" t="str">
            <v>-</v>
          </cell>
          <cell r="P3132" t="str">
            <v>-</v>
          </cell>
          <cell r="Q3132" t="str">
            <v>-</v>
          </cell>
        </row>
        <row r="3133">
          <cell r="F3133" t="str">
            <v>BARL01S475</v>
          </cell>
          <cell r="G3133" t="str">
            <v>SHRI CHANCHALA FOODS INDIA PVT LTD</v>
          </cell>
          <cell r="H3133" t="str">
            <v>-</v>
          </cell>
          <cell r="J3133" t="str">
            <v>Domestic</v>
          </cell>
          <cell r="L3133" t="str">
            <v>Non-Sugar</v>
          </cell>
          <cell r="O3133" t="str">
            <v>-</v>
          </cell>
          <cell r="P3133" t="str">
            <v>-</v>
          </cell>
          <cell r="Q3133" t="str">
            <v>-</v>
          </cell>
        </row>
        <row r="3134">
          <cell r="F3134" t="str">
            <v>GUJA01S437</v>
          </cell>
          <cell r="G3134" t="str">
            <v>SHRI DUTT INDIA PVT LTD.</v>
          </cell>
          <cell r="H3134" t="str">
            <v>-</v>
          </cell>
          <cell r="J3134" t="str">
            <v>Domestic</v>
          </cell>
          <cell r="K3134" t="str">
            <v>Sugar</v>
          </cell>
          <cell r="L3134" t="str">
            <v>Sugar</v>
          </cell>
          <cell r="O3134">
            <v>1200</v>
          </cell>
          <cell r="P3134" t="str">
            <v>-</v>
          </cell>
          <cell r="Q3134" t="str">
            <v>-</v>
          </cell>
          <cell r="R3134" t="str">
            <v>ASHISH</v>
          </cell>
          <cell r="U3134" t="str">
            <v>25-26</v>
          </cell>
          <cell r="V3134" t="str">
            <v>Apr</v>
          </cell>
          <cell r="W3134" t="str">
            <v>27-04-2025</v>
          </cell>
        </row>
        <row r="3135">
          <cell r="F3135" t="str">
            <v>PUNE01S500</v>
          </cell>
          <cell r="G3135" t="str">
            <v>SHRI HARI FABTECH INDIA PVT LTD</v>
          </cell>
          <cell r="H3135" t="str">
            <v>-</v>
          </cell>
          <cell r="J3135" t="str">
            <v>Domestic</v>
          </cell>
          <cell r="L3135" t="str">
            <v>Non-Sugar</v>
          </cell>
          <cell r="P3135" t="str">
            <v>WI-SV</v>
          </cell>
          <cell r="Q3135" t="str">
            <v>SUDHIR</v>
          </cell>
        </row>
        <row r="3136">
          <cell r="F3136" t="str">
            <v>PUNE01S450</v>
          </cell>
          <cell r="G3136" t="str">
            <v>SHRI JAGANNATH ENTERPRISES</v>
          </cell>
          <cell r="H3136" t="str">
            <v>-</v>
          </cell>
          <cell r="J3136" t="str">
            <v>Domestic</v>
          </cell>
          <cell r="L3136" t="str">
            <v>Non-Sugar</v>
          </cell>
          <cell r="O3136" t="str">
            <v>-</v>
          </cell>
          <cell r="P3136" t="str">
            <v>-</v>
          </cell>
          <cell r="Q3136" t="str">
            <v>-</v>
          </cell>
        </row>
        <row r="3137">
          <cell r="F3137" t="str">
            <v>SOLP01S071</v>
          </cell>
          <cell r="G3137" t="str">
            <v>SHRI SANT KURMADAS SAHAKARI - SAKHAR KARKHANA LIMITED</v>
          </cell>
          <cell r="H3137" t="str">
            <v>-</v>
          </cell>
          <cell r="J3137" t="str">
            <v>Domestic</v>
          </cell>
          <cell r="K3137" t="str">
            <v>Sugar</v>
          </cell>
          <cell r="M3137" t="str">
            <v>End User</v>
          </cell>
          <cell r="O3137">
            <v>1600</v>
          </cell>
          <cell r="P3137" t="str">
            <v>AV</v>
          </cell>
          <cell r="Q3137" t="str">
            <v>AV</v>
          </cell>
          <cell r="R3137" t="str">
            <v>AT</v>
          </cell>
          <cell r="S3137" t="str">
            <v>https://maps.app.goo.gl/7kft7ezhihRmoApa7</v>
          </cell>
          <cell r="T3137" t="str">
            <v>TOUR-4 (OSMANABAD)</v>
          </cell>
          <cell r="U3137" t="str">
            <v>26-27</v>
          </cell>
          <cell r="V3137" t="str">
            <v>May</v>
          </cell>
          <cell r="W3137" t="str">
            <v>22.05.2026
5/11/2023</v>
          </cell>
        </row>
        <row r="3138">
          <cell r="F3138" t="str">
            <v>LATU01S397</v>
          </cell>
          <cell r="G3138" t="str">
            <v>SHRI SANT SHIROMANI MARUTI MAHARAJ SAHAKARI SAKHAR KARKHANA LTD.</v>
          </cell>
          <cell r="H3138" t="str">
            <v>-</v>
          </cell>
          <cell r="J3138" t="str">
            <v>Domestic</v>
          </cell>
          <cell r="K3138" t="str">
            <v>Sugar</v>
          </cell>
          <cell r="M3138" t="str">
            <v>End User</v>
          </cell>
          <cell r="O3138" t="str">
            <v>-</v>
          </cell>
          <cell r="P3138" t="str">
            <v>AV</v>
          </cell>
          <cell r="Q3138" t="str">
            <v>AV</v>
          </cell>
          <cell r="R3138" t="str">
            <v>AT</v>
          </cell>
          <cell r="T3138" t="str">
            <v>Tour- 12 (Latur)</v>
          </cell>
          <cell r="U3138" t="str">
            <v>23-24</v>
          </cell>
          <cell r="W3138">
            <v>45204</v>
          </cell>
        </row>
        <row r="3139">
          <cell r="F3139" t="str">
            <v>PUNE01S428</v>
          </cell>
          <cell r="G3139" t="str">
            <v>SHRI WAGHESHWAR DAIRY FOODS AND AGRO PRODUCTS PVT. LTD: PHAR</v>
          </cell>
          <cell r="H3139" t="str">
            <v>-</v>
          </cell>
          <cell r="J3139" t="str">
            <v>Domestic</v>
          </cell>
          <cell r="K3139" t="str">
            <v>Dairy</v>
          </cell>
          <cell r="L3139" t="str">
            <v>Non-Sugar</v>
          </cell>
          <cell r="M3139" t="str">
            <v>End User</v>
          </cell>
          <cell r="P3139" t="str">
            <v>AV</v>
          </cell>
          <cell r="Q3139" t="str">
            <v>AV</v>
          </cell>
          <cell r="R3139" t="str">
            <v>AT</v>
          </cell>
        </row>
        <row r="3140">
          <cell r="F3140" t="str">
            <v>FARD01S527</v>
          </cell>
          <cell r="G3140" t="str">
            <v>SHRIRAM MACHINERY</v>
          </cell>
          <cell r="H3140" t="str">
            <v>-</v>
          </cell>
          <cell r="J3140" t="str">
            <v>Domestic</v>
          </cell>
          <cell r="L3140" t="str">
            <v>Non-Sugar</v>
          </cell>
          <cell r="O3140" t="str">
            <v>-</v>
          </cell>
          <cell r="P3140" t="str">
            <v>-</v>
          </cell>
          <cell r="Q3140" t="str">
            <v>-</v>
          </cell>
        </row>
        <row r="3141">
          <cell r="F3141" t="str">
            <v>NODA01S407</v>
          </cell>
          <cell r="G3141" t="str">
            <v>SHYAM POWER SOLUTION &amp; BATTERY HOUSE</v>
          </cell>
          <cell r="H3141" t="str">
            <v>-</v>
          </cell>
          <cell r="J3141" t="str">
            <v>Domestic</v>
          </cell>
          <cell r="L3141" t="str">
            <v>Non-Sugar</v>
          </cell>
          <cell r="O3141" t="str">
            <v>-</v>
          </cell>
          <cell r="P3141" t="str">
            <v>-</v>
          </cell>
          <cell r="Q3141" t="str">
            <v>-</v>
          </cell>
        </row>
        <row r="3142">
          <cell r="F3142" t="str">
            <v>ALWR01S462</v>
          </cell>
          <cell r="G3142" t="str">
            <v>SIEGWERK INDIA PRIVATE LIMITED</v>
          </cell>
          <cell r="H3142" t="str">
            <v>-</v>
          </cell>
          <cell r="J3142" t="str">
            <v>Domestic</v>
          </cell>
          <cell r="L3142" t="str">
            <v>Non-Sugar</v>
          </cell>
          <cell r="O3142" t="str">
            <v>-</v>
          </cell>
          <cell r="P3142" t="str">
            <v>-</v>
          </cell>
          <cell r="Q3142" t="str">
            <v>-</v>
          </cell>
        </row>
        <row r="3143">
          <cell r="F3143" t="str">
            <v>JAKA01S464</v>
          </cell>
          <cell r="G3143" t="str">
            <v>SILVER SPEED FORWARDING SERVICES PTE LTD</v>
          </cell>
          <cell r="H3143" t="str">
            <v>-</v>
          </cell>
          <cell r="J3143" t="str">
            <v>Export</v>
          </cell>
          <cell r="L3143" t="str">
            <v>Non-Sugar</v>
          </cell>
          <cell r="O3143" t="str">
            <v>-</v>
          </cell>
          <cell r="P3143" t="str">
            <v>VA</v>
          </cell>
          <cell r="Q3143" t="str">
            <v>ANKUR</v>
          </cell>
        </row>
        <row r="3144">
          <cell r="F3144" t="str">
            <v>HYDE01S371</v>
          </cell>
          <cell r="G3144" t="str">
            <v>SILVERTON PULP &amp; PAPER PVT.LTD</v>
          </cell>
          <cell r="H3144" t="str">
            <v>-</v>
          </cell>
          <cell r="J3144" t="str">
            <v>Domestic</v>
          </cell>
          <cell r="K3144" t="str">
            <v>Paper</v>
          </cell>
          <cell r="L3144" t="str">
            <v>Non-Sugar</v>
          </cell>
          <cell r="M3144" t="str">
            <v>End User</v>
          </cell>
          <cell r="O3144" t="str">
            <v>-</v>
          </cell>
          <cell r="P3144" t="str">
            <v>HO</v>
          </cell>
          <cell r="Q3144" t="str">
            <v>AVIRAL SHUKLA</v>
          </cell>
          <cell r="T3144" t="str">
            <v>-</v>
          </cell>
        </row>
        <row r="3145">
          <cell r="F3145" t="str">
            <v>HYDE1S371</v>
          </cell>
          <cell r="G3145" t="str">
            <v>SILVERTON PULP &amp; PAPER PVT.LTD</v>
          </cell>
          <cell r="H3145" t="str">
            <v>-</v>
          </cell>
          <cell r="J3145" t="str">
            <v>Domestic</v>
          </cell>
          <cell r="L3145" t="str">
            <v>Non-Sugar</v>
          </cell>
          <cell r="O3145" t="str">
            <v>-</v>
          </cell>
          <cell r="P3145" t="str">
            <v>-</v>
          </cell>
          <cell r="Q3145" t="str">
            <v>-</v>
          </cell>
        </row>
        <row r="3146">
          <cell r="F3146" t="str">
            <v>HUBL01S468</v>
          </cell>
          <cell r="G3146" t="str">
            <v>SINTORN PUMPS 1994 CO LTD</v>
          </cell>
          <cell r="H3146" t="str">
            <v>-</v>
          </cell>
          <cell r="J3146" t="str">
            <v>Export</v>
          </cell>
          <cell r="L3146" t="str">
            <v>Non-Sugar</v>
          </cell>
          <cell r="O3146" t="str">
            <v>-</v>
          </cell>
          <cell r="P3146" t="str">
            <v>VA</v>
          </cell>
          <cell r="Q3146" t="str">
            <v>VG</v>
          </cell>
        </row>
        <row r="3147">
          <cell r="F3147" t="str">
            <v>JAIP01S430</v>
          </cell>
          <cell r="G3147" t="str">
            <v>SITAL DAIRY</v>
          </cell>
          <cell r="H3147" t="str">
            <v>-</v>
          </cell>
          <cell r="J3147" t="str">
            <v>Domestic</v>
          </cell>
          <cell r="L3147" t="str">
            <v>Non-Sugar</v>
          </cell>
          <cell r="O3147" t="str">
            <v>-</v>
          </cell>
          <cell r="P3147" t="str">
            <v>-</v>
          </cell>
          <cell r="Q3147" t="str">
            <v>-</v>
          </cell>
        </row>
        <row r="3148">
          <cell r="F3148" t="str">
            <v>DLHI01S507</v>
          </cell>
          <cell r="G3148" t="str">
            <v>SK CONSTRUCTION COMPANY</v>
          </cell>
          <cell r="H3148" t="str">
            <v>-</v>
          </cell>
          <cell r="J3148" t="str">
            <v>Domestic</v>
          </cell>
          <cell r="L3148" t="str">
            <v>Non-Sugar</v>
          </cell>
          <cell r="O3148" t="str">
            <v>-</v>
          </cell>
          <cell r="P3148" t="str">
            <v>-</v>
          </cell>
          <cell r="Q3148" t="str">
            <v>-</v>
          </cell>
        </row>
        <row r="3149">
          <cell r="F3149" t="str">
            <v>NODA01S491</v>
          </cell>
          <cell r="G3149" t="str">
            <v>SKV ENERGY SERVICES PVT LTD</v>
          </cell>
          <cell r="H3149" t="str">
            <v>-</v>
          </cell>
          <cell r="J3149" t="str">
            <v>Domestic</v>
          </cell>
          <cell r="L3149" t="str">
            <v>Non-Sugar</v>
          </cell>
          <cell r="O3149" t="str">
            <v>-</v>
          </cell>
          <cell r="P3149" t="str">
            <v>-</v>
          </cell>
          <cell r="Q3149" t="str">
            <v>-</v>
          </cell>
        </row>
        <row r="3150">
          <cell r="F3150" t="str">
            <v>SANG01S228</v>
          </cell>
          <cell r="G3150" t="str">
            <v>SKYLARK PRECITECH PVT LTD</v>
          </cell>
          <cell r="H3150" t="str">
            <v>-</v>
          </cell>
          <cell r="J3150" t="str">
            <v>Domestic</v>
          </cell>
          <cell r="K3150" t="str">
            <v>Sugar</v>
          </cell>
          <cell r="M3150" t="str">
            <v>OEM</v>
          </cell>
          <cell r="O3150" t="str">
            <v>-</v>
          </cell>
          <cell r="P3150" t="str">
            <v>MRK</v>
          </cell>
          <cell r="Q3150" t="str">
            <v>MRK</v>
          </cell>
          <cell r="R3150" t="str">
            <v>OEM</v>
          </cell>
          <cell r="T3150" t="str">
            <v>-</v>
          </cell>
          <cell r="W3150" t="str">
            <v>-</v>
          </cell>
        </row>
        <row r="3151">
          <cell r="F3151" t="str">
            <v>AHMD01S435</v>
          </cell>
          <cell r="G3151" t="str">
            <v>SMJAVAK ENERGY PVT. LTD</v>
          </cell>
          <cell r="H3151" t="str">
            <v>-</v>
          </cell>
          <cell r="J3151" t="str">
            <v>Domestic</v>
          </cell>
          <cell r="K3151" t="str">
            <v>Cattle Feed</v>
          </cell>
          <cell r="L3151" t="str">
            <v>Non-Sugar</v>
          </cell>
          <cell r="M3151" t="str">
            <v>OEM</v>
          </cell>
          <cell r="O3151" t="str">
            <v>-</v>
          </cell>
          <cell r="P3151" t="str">
            <v>AV</v>
          </cell>
          <cell r="Q3151" t="str">
            <v>AV</v>
          </cell>
          <cell r="R3151" t="str">
            <v>OEM</v>
          </cell>
          <cell r="T3151" t="str">
            <v>-</v>
          </cell>
          <cell r="W3151" t="str">
            <v>-</v>
          </cell>
        </row>
        <row r="3152">
          <cell r="F3152" t="str">
            <v>BARL01S477</v>
          </cell>
          <cell r="G3152" t="str">
            <v>SNJ BIO PRODUCT PVT. LTD</v>
          </cell>
          <cell r="H3152" t="str">
            <v>-</v>
          </cell>
          <cell r="J3152" t="str">
            <v>Domestic</v>
          </cell>
          <cell r="L3152" t="str">
            <v>Non-Sugar</v>
          </cell>
          <cell r="O3152" t="str">
            <v>-</v>
          </cell>
          <cell r="P3152" t="str">
            <v>-</v>
          </cell>
          <cell r="Q3152" t="str">
            <v>-</v>
          </cell>
        </row>
        <row r="3153">
          <cell r="F3153" t="str">
            <v>SATA01S081</v>
          </cell>
          <cell r="G3153" t="str">
            <v>SNNEHA SUGAR (DIV.SIDDHARTH- MILK &amp; MILK PRODUCTS PVT. LTD.</v>
          </cell>
          <cell r="H3153" t="str">
            <v>-</v>
          </cell>
          <cell r="J3153" t="str">
            <v>Domestic</v>
          </cell>
          <cell r="K3153" t="str">
            <v>Sugar</v>
          </cell>
          <cell r="L3153" t="str">
            <v>Sugar</v>
          </cell>
          <cell r="M3153" t="str">
            <v>End User</v>
          </cell>
          <cell r="O3153" t="str">
            <v>-</v>
          </cell>
          <cell r="P3153" t="str">
            <v>AV</v>
          </cell>
          <cell r="Q3153" t="str">
            <v>AV</v>
          </cell>
          <cell r="R3153" t="str">
            <v>VG</v>
          </cell>
          <cell r="T3153" t="str">
            <v>TOUR-7 (SATARA)</v>
          </cell>
          <cell r="W3153" t="str">
            <v>-</v>
          </cell>
        </row>
        <row r="3154">
          <cell r="F3154" t="str">
            <v>PUNE01S572</v>
          </cell>
          <cell r="G3154" t="str">
            <v>SNOW LEOPARD PROJECTS INDIA PVT LTD</v>
          </cell>
          <cell r="H3154" t="str">
            <v>-</v>
          </cell>
          <cell r="J3154" t="str">
            <v>Domestic</v>
          </cell>
          <cell r="L3154" t="str">
            <v>Non-Sugar</v>
          </cell>
          <cell r="P3154" t="str">
            <v>WI-SV</v>
          </cell>
          <cell r="Q3154" t="str">
            <v>SUDHIR</v>
          </cell>
        </row>
        <row r="3155">
          <cell r="F3155" t="str">
            <v>MERT01S416</v>
          </cell>
          <cell r="G3155" t="str">
            <v>SOFPARK INFRA SERVICE</v>
          </cell>
          <cell r="H3155" t="str">
            <v>-</v>
          </cell>
          <cell r="J3155" t="str">
            <v>Domestic</v>
          </cell>
          <cell r="L3155" t="str">
            <v>Non-Sugar</v>
          </cell>
          <cell r="O3155" t="str">
            <v>-</v>
          </cell>
          <cell r="P3155" t="str">
            <v>-</v>
          </cell>
          <cell r="Q3155" t="str">
            <v>-</v>
          </cell>
        </row>
        <row r="3156">
          <cell r="F3156" t="str">
            <v>DUBA01S549</v>
          </cell>
          <cell r="G3156" t="str">
            <v>SOLB TIHAMAH COMPANY</v>
          </cell>
          <cell r="H3156" t="str">
            <v>-</v>
          </cell>
          <cell r="J3156" t="str">
            <v>Export</v>
          </cell>
          <cell r="L3156" t="str">
            <v>Non-Sugar</v>
          </cell>
          <cell r="O3156" t="str">
            <v>-</v>
          </cell>
          <cell r="P3156" t="str">
            <v>VA</v>
          </cell>
          <cell r="Q3156" t="str">
            <v>VG</v>
          </cell>
        </row>
        <row r="3157">
          <cell r="F3157" t="str">
            <v>MNXI01S457</v>
          </cell>
          <cell r="G3157" t="str">
            <v>SOLVINGEN SA DE CV</v>
          </cell>
          <cell r="H3157" t="str">
            <v>-</v>
          </cell>
          <cell r="J3157" t="str">
            <v>Export</v>
          </cell>
          <cell r="L3157" t="str">
            <v>Non-Sugar</v>
          </cell>
          <cell r="O3157" t="str">
            <v>-</v>
          </cell>
          <cell r="P3157" t="str">
            <v>VA</v>
          </cell>
          <cell r="Q3157" t="str">
            <v>ANKUR</v>
          </cell>
        </row>
        <row r="3158">
          <cell r="F3158" t="str">
            <v>SENE01S563</v>
          </cell>
          <cell r="G3158" t="str">
            <v>SONACOS</v>
          </cell>
          <cell r="H3158" t="str">
            <v>-</v>
          </cell>
          <cell r="J3158" t="str">
            <v>Export</v>
          </cell>
          <cell r="L3158" t="str">
            <v>Non-Sugar</v>
          </cell>
          <cell r="O3158" t="str">
            <v>-</v>
          </cell>
          <cell r="P3158" t="str">
            <v>VA</v>
          </cell>
          <cell r="Q3158" t="str">
            <v>-</v>
          </cell>
        </row>
        <row r="3159">
          <cell r="F3159" t="str">
            <v>KISM01S438</v>
          </cell>
          <cell r="G3159" t="str">
            <v>SONI TECHNICAL SERVICES LT</v>
          </cell>
          <cell r="H3159" t="str">
            <v>-</v>
          </cell>
          <cell r="J3159" t="str">
            <v>Export</v>
          </cell>
          <cell r="L3159" t="str">
            <v>Non-Sugar</v>
          </cell>
          <cell r="O3159" t="str">
            <v>-</v>
          </cell>
          <cell r="P3159" t="str">
            <v>VA</v>
          </cell>
          <cell r="Q3159" t="str">
            <v>AVIRAL SHUKLA</v>
          </cell>
        </row>
        <row r="3160">
          <cell r="F3160" t="str">
            <v>AHMD01S528</v>
          </cell>
          <cell r="G3160" t="str">
            <v>SONKUL ENERGY PRODUCTS PVT LTD</v>
          </cell>
          <cell r="H3160" t="str">
            <v>-</v>
          </cell>
          <cell r="J3160" t="str">
            <v>Domestic</v>
          </cell>
          <cell r="L3160" t="str">
            <v>Non-Sugar</v>
          </cell>
          <cell r="M3160" t="str">
            <v>OEM</v>
          </cell>
          <cell r="P3160" t="str">
            <v>WI-SV</v>
          </cell>
          <cell r="Q3160" t="str">
            <v>SUDHIR</v>
          </cell>
        </row>
        <row r="3161">
          <cell r="F3161" t="str">
            <v>NANA01S169</v>
          </cell>
          <cell r="G3161" t="str">
            <v>SONY SUGAR CO LTD</v>
          </cell>
          <cell r="H3161" t="str">
            <v>25-26</v>
          </cell>
          <cell r="I3161" t="str">
            <v>-</v>
          </cell>
          <cell r="J3161" t="str">
            <v>Export</v>
          </cell>
          <cell r="K3161" t="str">
            <v>Sugar</v>
          </cell>
          <cell r="L3161" t="str">
            <v>Sugar</v>
          </cell>
          <cell r="M3161" t="str">
            <v>End User</v>
          </cell>
          <cell r="O3161" t="str">
            <v>-</v>
          </cell>
          <cell r="P3161" t="str">
            <v>NI</v>
          </cell>
          <cell r="Q3161" t="str">
            <v>AKSHAY AWASTHI</v>
          </cell>
        </row>
        <row r="3162">
          <cell r="F3162" t="str">
            <v>PUNE01S558</v>
          </cell>
          <cell r="G3162" t="str">
            <v>SOPAN GROUP</v>
          </cell>
          <cell r="H3162" t="str">
            <v>-</v>
          </cell>
          <cell r="J3162" t="str">
            <v>Domestic</v>
          </cell>
          <cell r="L3162" t="str">
            <v>Non-Sugar</v>
          </cell>
          <cell r="P3162" t="str">
            <v>WI-SV</v>
          </cell>
          <cell r="Q3162" t="str">
            <v>SUDHIR</v>
          </cell>
        </row>
        <row r="3163">
          <cell r="F3163" t="str">
            <v>GHZB01S447</v>
          </cell>
          <cell r="G3163" t="str">
            <v>SP OIL PVT LTD (RAMESHWARAM OIL)</v>
          </cell>
          <cell r="H3163" t="str">
            <v>-</v>
          </cell>
          <cell r="J3163" t="str">
            <v>Domestic</v>
          </cell>
          <cell r="L3163" t="str">
            <v>Non-Sugar</v>
          </cell>
          <cell r="O3163" t="str">
            <v>-</v>
          </cell>
          <cell r="P3163" t="str">
            <v>-</v>
          </cell>
          <cell r="Q3163" t="str">
            <v>-</v>
          </cell>
        </row>
        <row r="3164">
          <cell r="F3164" t="str">
            <v>QUEZ01S211</v>
          </cell>
          <cell r="G3164" t="str">
            <v>SPANDEX MARKETING CORPORATION</v>
          </cell>
          <cell r="H3164" t="str">
            <v>-</v>
          </cell>
          <cell r="J3164" t="str">
            <v>Export</v>
          </cell>
          <cell r="K3164" t="str">
            <v>-</v>
          </cell>
          <cell r="L3164" t="str">
            <v>Non-Sugar</v>
          </cell>
          <cell r="O3164" t="str">
            <v>-</v>
          </cell>
          <cell r="P3164" t="str">
            <v>VA</v>
          </cell>
          <cell r="Q3164" t="str">
            <v>VG</v>
          </cell>
          <cell r="T3164" t="str">
            <v>-</v>
          </cell>
          <cell r="U3164" t="str">
            <v>-</v>
          </cell>
          <cell r="W3164" t="str">
            <v>-</v>
          </cell>
        </row>
        <row r="3165">
          <cell r="F3165" t="str">
            <v>FARD01S571</v>
          </cell>
          <cell r="G3165" t="str">
            <v>SPANS ENVIROTECH PVT LTD</v>
          </cell>
          <cell r="H3165" t="str">
            <v>-</v>
          </cell>
          <cell r="J3165" t="str">
            <v>Domestic</v>
          </cell>
          <cell r="L3165" t="str">
            <v>Non-Sugar</v>
          </cell>
          <cell r="O3165" t="str">
            <v>-</v>
          </cell>
          <cell r="P3165" t="str">
            <v>HO</v>
          </cell>
          <cell r="Q3165" t="str">
            <v>-</v>
          </cell>
        </row>
        <row r="3166">
          <cell r="F3166" t="str">
            <v>NODA01S458</v>
          </cell>
          <cell r="G3166" t="str">
            <v>SPARES PAZARI LLP</v>
          </cell>
          <cell r="H3166" t="str">
            <v>-</v>
          </cell>
          <cell r="J3166" t="str">
            <v>Domestic</v>
          </cell>
          <cell r="L3166" t="str">
            <v>Non-Sugar</v>
          </cell>
          <cell r="O3166" t="str">
            <v>-</v>
          </cell>
          <cell r="P3166" t="str">
            <v>-</v>
          </cell>
          <cell r="Q3166" t="str">
            <v>-</v>
          </cell>
        </row>
        <row r="3167">
          <cell r="F3167" t="str">
            <v>NASK01S423</v>
          </cell>
          <cell r="G3167" t="str">
            <v>SPARION FOODS</v>
          </cell>
          <cell r="H3167" t="str">
            <v>-</v>
          </cell>
          <cell r="J3167" t="str">
            <v>Domestic</v>
          </cell>
          <cell r="L3167" t="str">
            <v>Non-Sugar</v>
          </cell>
          <cell r="O3167" t="str">
            <v>-</v>
          </cell>
          <cell r="P3167" t="str">
            <v>-</v>
          </cell>
          <cell r="Q3167" t="str">
            <v>-</v>
          </cell>
        </row>
        <row r="3168">
          <cell r="F3168" t="str">
            <v>PUNE01S501</v>
          </cell>
          <cell r="G3168" t="str">
            <v>SPARKLE CLEAN TECH PVT LTD</v>
          </cell>
          <cell r="H3168" t="str">
            <v>-</v>
          </cell>
          <cell r="J3168" t="str">
            <v>Domestic</v>
          </cell>
          <cell r="L3168" t="str">
            <v>Non-Sugar</v>
          </cell>
          <cell r="P3168" t="str">
            <v>WI-SV</v>
          </cell>
          <cell r="Q3168" t="str">
            <v>SUDHIR</v>
          </cell>
        </row>
        <row r="3169">
          <cell r="F3169" t="str">
            <v>MUMB01S198</v>
          </cell>
          <cell r="G3169" t="str">
            <v>SPECTRUM GLOBAL PROJECTS PVT LTD</v>
          </cell>
          <cell r="H3169" t="str">
            <v>-</v>
          </cell>
          <cell r="J3169" t="str">
            <v>Domestic</v>
          </cell>
          <cell r="K3169" t="str">
            <v>-</v>
          </cell>
          <cell r="L3169" t="str">
            <v>Non-Sugar</v>
          </cell>
          <cell r="O3169" t="str">
            <v>-</v>
          </cell>
          <cell r="P3169" t="str">
            <v>-</v>
          </cell>
          <cell r="Q3169" t="str">
            <v>-</v>
          </cell>
          <cell r="R3169" t="str">
            <v>-</v>
          </cell>
          <cell r="T3169" t="str">
            <v>-</v>
          </cell>
          <cell r="U3169" t="str">
            <v>-</v>
          </cell>
          <cell r="W3169" t="str">
            <v>-</v>
          </cell>
        </row>
        <row r="3170">
          <cell r="F3170" t="str">
            <v>KOLH01S209</v>
          </cell>
          <cell r="G3170" t="str">
            <v>SPECTRUM RENEWABLE ENERGY PVT. LTD</v>
          </cell>
          <cell r="H3170" t="str">
            <v>-</v>
          </cell>
          <cell r="J3170" t="str">
            <v>Domestic</v>
          </cell>
          <cell r="K3170" t="str">
            <v>Bio-Gas</v>
          </cell>
          <cell r="L3170" t="str">
            <v>Non-Sugar</v>
          </cell>
          <cell r="M3170" t="str">
            <v>End User</v>
          </cell>
          <cell r="P3170" t="str">
            <v>MRK</v>
          </cell>
          <cell r="Q3170" t="str">
            <v>MRK</v>
          </cell>
          <cell r="R3170" t="str">
            <v>VG</v>
          </cell>
          <cell r="U3170" t="str">
            <v>24-25</v>
          </cell>
          <cell r="W3170" t="str">
            <v>26-03-2025</v>
          </cell>
        </row>
        <row r="3171">
          <cell r="F3171" t="str">
            <v>GUJA01S441</v>
          </cell>
          <cell r="G3171" t="str">
            <v>SPINECORD ENGINEERS</v>
          </cell>
          <cell r="H3171" t="str">
            <v>-</v>
          </cell>
          <cell r="J3171" t="str">
            <v>Domestic</v>
          </cell>
          <cell r="L3171" t="str">
            <v>Non-Sugar</v>
          </cell>
          <cell r="O3171" t="str">
            <v>-</v>
          </cell>
          <cell r="P3171" t="str">
            <v>-</v>
          </cell>
          <cell r="Q3171" t="str">
            <v>-</v>
          </cell>
        </row>
        <row r="3172">
          <cell r="F3172" t="str">
            <v>YAMN01S480</v>
          </cell>
          <cell r="G3172" t="str">
            <v>SPS BIO-CHEM PRIVATE LIMITED</v>
          </cell>
          <cell r="H3172" t="str">
            <v>24-25</v>
          </cell>
          <cell r="J3172" t="str">
            <v>Domestic</v>
          </cell>
          <cell r="K3172" t="str">
            <v>OTHERS</v>
          </cell>
          <cell r="L3172" t="str">
            <v>Non-Sugar</v>
          </cell>
          <cell r="M3172" t="str">
            <v>End User</v>
          </cell>
          <cell r="O3172" t="str">
            <v>-</v>
          </cell>
          <cell r="P3172" t="str">
            <v>NI</v>
          </cell>
          <cell r="Q3172" t="str">
            <v>AVIRAL SHUKLA</v>
          </cell>
          <cell r="U3172" t="str">
            <v>25-26</v>
          </cell>
          <cell r="W3172">
            <v>45876</v>
          </cell>
        </row>
        <row r="3173">
          <cell r="F3173" t="str">
            <v>CHEN01S505</v>
          </cell>
          <cell r="G3173" t="str">
            <v>SREE RAYALASEEMA HI STRENGTH HYPO LTD</v>
          </cell>
          <cell r="H3173" t="str">
            <v>-</v>
          </cell>
          <cell r="J3173" t="str">
            <v>Domestic</v>
          </cell>
          <cell r="P3173" t="str">
            <v>SI-MANI</v>
          </cell>
          <cell r="Q3173" t="str">
            <v>M SIVA</v>
          </cell>
        </row>
        <row r="3174">
          <cell r="F3174" t="str">
            <v>CHEN01S490</v>
          </cell>
          <cell r="G3174" t="str">
            <v>SRI BALAJI ENGINEERING WORKS</v>
          </cell>
          <cell r="H3174" t="str">
            <v>-</v>
          </cell>
          <cell r="J3174" t="str">
            <v>Domestic</v>
          </cell>
          <cell r="P3174" t="str">
            <v>SI-MANI</v>
          </cell>
          <cell r="Q3174" t="str">
            <v>M SIVA</v>
          </cell>
        </row>
        <row r="3175">
          <cell r="F3175" t="str">
            <v>CHEN01S529</v>
          </cell>
          <cell r="G3175" t="str">
            <v>SRINIVAS WASTE MANAGEMENT SERVICES</v>
          </cell>
          <cell r="H3175" t="str">
            <v>-</v>
          </cell>
          <cell r="J3175" t="str">
            <v>Domestic</v>
          </cell>
          <cell r="K3175" t="str">
            <v>Bio-Gas</v>
          </cell>
          <cell r="L3175" t="str">
            <v>Non-Sugar</v>
          </cell>
          <cell r="M3175" t="str">
            <v>OEM</v>
          </cell>
          <cell r="P3175" t="str">
            <v>SI-GS</v>
          </cell>
          <cell r="Q3175" t="str">
            <v>SI-GS</v>
          </cell>
        </row>
        <row r="3176">
          <cell r="F3176" t="str">
            <v>MERT01S474</v>
          </cell>
          <cell r="G3176" t="str">
            <v>SRSBIOX RENEWABLE LLP</v>
          </cell>
          <cell r="H3176" t="str">
            <v>-</v>
          </cell>
          <cell r="J3176" t="str">
            <v>Domestic</v>
          </cell>
          <cell r="L3176" t="str">
            <v>Non-Sugar</v>
          </cell>
          <cell r="O3176" t="str">
            <v>-</v>
          </cell>
          <cell r="P3176" t="str">
            <v>-</v>
          </cell>
          <cell r="Q3176" t="str">
            <v>-</v>
          </cell>
        </row>
        <row r="3177">
          <cell r="F3177" t="str">
            <v>DEOR01S471</v>
          </cell>
          <cell r="G3177" t="str">
            <v>SS CONNECT</v>
          </cell>
          <cell r="H3177" t="str">
            <v>-</v>
          </cell>
          <cell r="J3177" t="str">
            <v>Domestic</v>
          </cell>
          <cell r="L3177" t="str">
            <v>Non-Sugar</v>
          </cell>
          <cell r="O3177" t="str">
            <v>-</v>
          </cell>
          <cell r="P3177" t="str">
            <v>-</v>
          </cell>
          <cell r="Q3177" t="str">
            <v>-</v>
          </cell>
        </row>
        <row r="3178">
          <cell r="F3178" t="str">
            <v>NODA01S467</v>
          </cell>
          <cell r="G3178" t="str">
            <v>SS ENGINEERING WORKS LTD</v>
          </cell>
          <cell r="H3178" t="str">
            <v>-</v>
          </cell>
          <cell r="J3178" t="str">
            <v>Domestic</v>
          </cell>
          <cell r="L3178" t="str">
            <v>Non-Sugar</v>
          </cell>
          <cell r="O3178" t="str">
            <v>-</v>
          </cell>
          <cell r="P3178" t="str">
            <v>-</v>
          </cell>
          <cell r="Q3178" t="str">
            <v>-</v>
          </cell>
        </row>
        <row r="3179">
          <cell r="F3179" t="str">
            <v>BELL01S424</v>
          </cell>
          <cell r="G3179" t="str">
            <v>SS ENTERPRISES</v>
          </cell>
          <cell r="H3179" t="str">
            <v>-</v>
          </cell>
          <cell r="J3179" t="str">
            <v>Domestic</v>
          </cell>
          <cell r="L3179" t="str">
            <v>Non-Sugar</v>
          </cell>
          <cell r="O3179" t="str">
            <v>-</v>
          </cell>
          <cell r="P3179" t="str">
            <v>-</v>
          </cell>
          <cell r="Q3179" t="str">
            <v>-</v>
          </cell>
        </row>
        <row r="3180">
          <cell r="F3180" t="str">
            <v>PUNE01S482</v>
          </cell>
          <cell r="G3180" t="str">
            <v>SSEPL TECHNO PRIVATE LIMITED</v>
          </cell>
          <cell r="H3180" t="str">
            <v>-</v>
          </cell>
          <cell r="J3180" t="str">
            <v>Domestic</v>
          </cell>
          <cell r="L3180" t="str">
            <v>Non-Sugar</v>
          </cell>
          <cell r="O3180" t="str">
            <v>-</v>
          </cell>
          <cell r="P3180" t="str">
            <v>-</v>
          </cell>
          <cell r="Q3180" t="str">
            <v>-</v>
          </cell>
        </row>
        <row r="3181">
          <cell r="F3181" t="str">
            <v>KANP01S535</v>
          </cell>
          <cell r="G3181" t="str">
            <v>STAR MOULDING AND ENGINEERING WORK AND SUPPLIER</v>
          </cell>
          <cell r="H3181" t="str">
            <v>-</v>
          </cell>
          <cell r="J3181" t="str">
            <v>Domestic</v>
          </cell>
          <cell r="L3181" t="str">
            <v>Non-Sugar</v>
          </cell>
          <cell r="O3181" t="str">
            <v>-</v>
          </cell>
          <cell r="P3181" t="str">
            <v>-</v>
          </cell>
          <cell r="Q3181" t="str">
            <v>-</v>
          </cell>
        </row>
        <row r="3182">
          <cell r="F3182" t="str">
            <v>ROUR01S355</v>
          </cell>
          <cell r="G3182" t="str">
            <v>STEEL AUTHORITY OF INDIA</v>
          </cell>
          <cell r="H3182" t="str">
            <v>-</v>
          </cell>
          <cell r="J3182" t="str">
            <v>Domestic</v>
          </cell>
          <cell r="K3182" t="str">
            <v>-</v>
          </cell>
          <cell r="L3182" t="str">
            <v>Non-Sugar</v>
          </cell>
          <cell r="O3182" t="str">
            <v>-</v>
          </cell>
          <cell r="P3182" t="str">
            <v>-</v>
          </cell>
          <cell r="Q3182" t="str">
            <v>-</v>
          </cell>
          <cell r="R3182" t="str">
            <v>-</v>
          </cell>
          <cell r="T3182" t="str">
            <v>-</v>
          </cell>
          <cell r="U3182" t="str">
            <v>-</v>
          </cell>
          <cell r="W3182" t="str">
            <v>-</v>
          </cell>
        </row>
        <row r="3183">
          <cell r="F3183" t="str">
            <v>DHAN01S567</v>
          </cell>
          <cell r="G3183" t="str">
            <v>STORE SPARES &amp; SOLUTIONS</v>
          </cell>
          <cell r="H3183" t="str">
            <v>-</v>
          </cell>
          <cell r="J3183" t="str">
            <v>Domestic</v>
          </cell>
          <cell r="L3183" t="str">
            <v>Non-Sugar</v>
          </cell>
          <cell r="O3183" t="str">
            <v>-</v>
          </cell>
          <cell r="P3183" t="str">
            <v>HO</v>
          </cell>
          <cell r="Q3183" t="str">
            <v>AVIRAL SHUKLA</v>
          </cell>
        </row>
        <row r="3184">
          <cell r="F3184" t="str">
            <v>PUNE01S541</v>
          </cell>
          <cell r="G3184" t="str">
            <v>STRIDER ENGINEERING &amp; CONSULTANT</v>
          </cell>
          <cell r="H3184" t="str">
            <v>-</v>
          </cell>
          <cell r="J3184" t="str">
            <v>Domestic</v>
          </cell>
          <cell r="L3184" t="str">
            <v>Non-Sugar</v>
          </cell>
          <cell r="O3184" t="str">
            <v>-</v>
          </cell>
          <cell r="P3184" t="str">
            <v>HO</v>
          </cell>
          <cell r="Q3184" t="str">
            <v>AVIRAL SHUKLA</v>
          </cell>
        </row>
        <row r="3185">
          <cell r="F3185" t="str">
            <v>TIRN01S564</v>
          </cell>
          <cell r="G3185" t="str">
            <v>SUBAM PAPER BOARDS</v>
          </cell>
          <cell r="H3185" t="str">
            <v>-</v>
          </cell>
          <cell r="J3185" t="str">
            <v>Domestic</v>
          </cell>
          <cell r="K3185" t="str">
            <v>Paper</v>
          </cell>
          <cell r="L3185" t="str">
            <v>Non-Sugar</v>
          </cell>
          <cell r="M3185" t="str">
            <v>OEM</v>
          </cell>
          <cell r="P3185" t="str">
            <v>SI-GS</v>
          </cell>
          <cell r="Q3185" t="str">
            <v>SI-GS</v>
          </cell>
        </row>
        <row r="3186">
          <cell r="F3186" t="str">
            <v>DLHI01S473</v>
          </cell>
          <cell r="G3186" t="str">
            <v>SUCRO SYNERGY TECHNOLOGIES LLP</v>
          </cell>
          <cell r="H3186" t="str">
            <v>-</v>
          </cell>
          <cell r="J3186" t="str">
            <v>Domestic</v>
          </cell>
          <cell r="L3186" t="str">
            <v>Non-Sugar</v>
          </cell>
          <cell r="O3186" t="str">
            <v>-</v>
          </cell>
          <cell r="P3186" t="str">
            <v>-</v>
          </cell>
          <cell r="Q3186" t="str">
            <v>-</v>
          </cell>
        </row>
        <row r="3187">
          <cell r="F3187" t="str">
            <v>GHZB01S487</v>
          </cell>
          <cell r="G3187" t="str">
            <v>SUGAR N POWER PROJECTS PRIVATE LIMITED</v>
          </cell>
          <cell r="H3187" t="str">
            <v>-</v>
          </cell>
          <cell r="J3187" t="str">
            <v>Domestic</v>
          </cell>
          <cell r="L3187" t="str">
            <v>Non-Sugar</v>
          </cell>
          <cell r="M3187" t="str">
            <v>Trader</v>
          </cell>
          <cell r="O3187" t="str">
            <v>-</v>
          </cell>
          <cell r="P3187" t="str">
            <v>-</v>
          </cell>
          <cell r="Q3187" t="str">
            <v>-</v>
          </cell>
        </row>
        <row r="3188">
          <cell r="F3188" t="str">
            <v>TEXC01S109</v>
          </cell>
          <cell r="G3188" t="str">
            <v>SUGAR TECHNOLOGY INTERNATIONAL LLC</v>
          </cell>
          <cell r="H3188">
            <v>2016</v>
          </cell>
          <cell r="J3188" t="str">
            <v>Export</v>
          </cell>
          <cell r="K3188" t="str">
            <v>Sugar</v>
          </cell>
          <cell r="L3188" t="str">
            <v>Sugar</v>
          </cell>
          <cell r="M3188" t="str">
            <v>End User</v>
          </cell>
          <cell r="O3188" t="str">
            <v>-</v>
          </cell>
          <cell r="P3188" t="str">
            <v>VA</v>
          </cell>
          <cell r="Q3188" t="str">
            <v>VG</v>
          </cell>
          <cell r="T3188" t="str">
            <v>-</v>
          </cell>
          <cell r="U3188" t="str">
            <v>-</v>
          </cell>
          <cell r="W3188" t="str">
            <v>-</v>
          </cell>
        </row>
        <row r="3189">
          <cell r="F3189" t="str">
            <v>HYDE1S372</v>
          </cell>
          <cell r="G3189" t="str">
            <v>SUGARS OF FIJI</v>
          </cell>
          <cell r="H3189" t="str">
            <v>-</v>
          </cell>
          <cell r="J3189" t="str">
            <v>Domestic</v>
          </cell>
          <cell r="L3189" t="str">
            <v>Non-Sugar</v>
          </cell>
          <cell r="O3189" t="str">
            <v>-</v>
          </cell>
          <cell r="P3189" t="str">
            <v>-</v>
          </cell>
          <cell r="Q3189" t="str">
            <v>-</v>
          </cell>
        </row>
        <row r="3190">
          <cell r="F3190" t="str">
            <v>MERT01S463</v>
          </cell>
          <cell r="G3190" t="str">
            <v>SUGFAB CORPORATION</v>
          </cell>
          <cell r="H3190" t="str">
            <v>-</v>
          </cell>
          <cell r="J3190" t="str">
            <v>Domestic</v>
          </cell>
          <cell r="L3190" t="str">
            <v>Non-Sugar</v>
          </cell>
          <cell r="O3190" t="str">
            <v>-</v>
          </cell>
          <cell r="P3190" t="str">
            <v>-</v>
          </cell>
          <cell r="Q3190" t="str">
            <v>-</v>
          </cell>
        </row>
        <row r="3191">
          <cell r="F3191" t="str">
            <v>AMRO01S521</v>
          </cell>
          <cell r="G3191" t="str">
            <v>SUKHDEEP COMPRESSED BIOGAS</v>
          </cell>
          <cell r="H3191" t="str">
            <v>-</v>
          </cell>
          <cell r="J3191" t="str">
            <v>Domestic</v>
          </cell>
          <cell r="L3191" t="str">
            <v>Non-Sugar</v>
          </cell>
          <cell r="O3191" t="str">
            <v>-</v>
          </cell>
          <cell r="P3191" t="str">
            <v>-</v>
          </cell>
          <cell r="Q3191" t="str">
            <v>-</v>
          </cell>
        </row>
        <row r="3192">
          <cell r="F3192" t="str">
            <v>PUNE01S524</v>
          </cell>
          <cell r="G3192" t="str">
            <v>SUMEDHA ENERGY PVT LTD</v>
          </cell>
          <cell r="H3192" t="str">
            <v>-</v>
          </cell>
          <cell r="J3192" t="str">
            <v>Domestic</v>
          </cell>
          <cell r="L3192" t="str">
            <v>Non-Sugar</v>
          </cell>
          <cell r="P3192" t="str">
            <v>WI-SV</v>
          </cell>
          <cell r="Q3192" t="str">
            <v>SUDHIR</v>
          </cell>
          <cell r="S3192" t="str">
            <v>https://maps.app.goo.gl/mY6wLCtdsdigqt9KA</v>
          </cell>
          <cell r="U3192" t="str">
            <v>26-27</v>
          </cell>
          <cell r="V3192" t="str">
            <v>Mar</v>
          </cell>
          <cell r="W3192" t="str">
            <v>30-04-2026</v>
          </cell>
        </row>
        <row r="3193">
          <cell r="F3193" t="str">
            <v>RORK01S406</v>
          </cell>
          <cell r="G3193" t="str">
            <v>SUN SCIENTIFIC INSTRUMENT</v>
          </cell>
          <cell r="H3193" t="str">
            <v>-</v>
          </cell>
          <cell r="J3193" t="str">
            <v>Domestic</v>
          </cell>
          <cell r="L3193" t="str">
            <v>Non-Sugar</v>
          </cell>
          <cell r="O3193" t="str">
            <v>-</v>
          </cell>
          <cell r="P3193" t="str">
            <v>-</v>
          </cell>
          <cell r="Q3193" t="str">
            <v>-</v>
          </cell>
        </row>
        <row r="3194">
          <cell r="F3194" t="str">
            <v>COIM01S479</v>
          </cell>
          <cell r="G3194" t="str">
            <v>SUNEEL ROY</v>
          </cell>
          <cell r="H3194" t="str">
            <v>-</v>
          </cell>
          <cell r="J3194" t="str">
            <v>Domestic</v>
          </cell>
          <cell r="L3194" t="str">
            <v>Non-Sugar</v>
          </cell>
          <cell r="O3194" t="str">
            <v>-</v>
          </cell>
          <cell r="P3194" t="str">
            <v>-</v>
          </cell>
          <cell r="Q3194" t="str">
            <v>-</v>
          </cell>
        </row>
        <row r="3195">
          <cell r="F3195" t="str">
            <v>AHMD01S401</v>
          </cell>
          <cell r="G3195" t="str">
            <v>SUNFRESH AGRO INDUSTRIES</v>
          </cell>
          <cell r="H3195" t="str">
            <v>-</v>
          </cell>
          <cell r="J3195" t="str">
            <v>Domestic</v>
          </cell>
          <cell r="K3195" t="str">
            <v>Dairy</v>
          </cell>
          <cell r="L3195" t="str">
            <v>Non-Sugar</v>
          </cell>
          <cell r="M3195" t="str">
            <v>End User</v>
          </cell>
          <cell r="O3195" t="str">
            <v>-</v>
          </cell>
          <cell r="P3195" t="str">
            <v>AV</v>
          </cell>
          <cell r="Q3195" t="str">
            <v>AV</v>
          </cell>
          <cell r="R3195" t="str">
            <v>AT</v>
          </cell>
          <cell r="T3195" t="str">
            <v>TOUR-8 (Ahmednagar)</v>
          </cell>
          <cell r="U3195" t="str">
            <v>23-24</v>
          </cell>
          <cell r="W3195">
            <v>45126</v>
          </cell>
        </row>
        <row r="3196">
          <cell r="F3196" t="str">
            <v>NAGP01S574</v>
          </cell>
          <cell r="G3196" t="str">
            <v>SUPER HYGINE DISPOSAL (I) LTD</v>
          </cell>
          <cell r="H3196" t="str">
            <v>-</v>
          </cell>
          <cell r="J3196" t="str">
            <v>Domestic</v>
          </cell>
          <cell r="L3196" t="str">
            <v>Non-Sugar</v>
          </cell>
          <cell r="P3196" t="str">
            <v>WI-SV</v>
          </cell>
          <cell r="Q3196" t="str">
            <v>SUDHIR</v>
          </cell>
          <cell r="S3196" t="str">
            <v>https://maps.app.goo.gl/fn1WYEg4VnRsmeRp9</v>
          </cell>
          <cell r="U3196" t="str">
            <v>26-27</v>
          </cell>
          <cell r="V3196" t="str">
            <v>May</v>
          </cell>
          <cell r="W3196" t="str">
            <v>15-05-2026</v>
          </cell>
        </row>
        <row r="3197">
          <cell r="F3197" t="str">
            <v>NAGP01S503</v>
          </cell>
          <cell r="G3197" t="str">
            <v>SUPERB HYGIENIC DISPOSALS (I) PVT LTD</v>
          </cell>
          <cell r="H3197" t="str">
            <v>-</v>
          </cell>
          <cell r="J3197" t="str">
            <v>Domestic</v>
          </cell>
          <cell r="L3197" t="str">
            <v>Non-Sugar</v>
          </cell>
          <cell r="P3197" t="str">
            <v>WI-SV</v>
          </cell>
          <cell r="Q3197" t="str">
            <v>SUDHIR</v>
          </cell>
        </row>
        <row r="3198">
          <cell r="F3198" t="str">
            <v>MUMB01S506</v>
          </cell>
          <cell r="G3198" t="str">
            <v>SUPERFLOW PUMPS PVT LTD</v>
          </cell>
          <cell r="H3198" t="str">
            <v>-</v>
          </cell>
          <cell r="J3198" t="str">
            <v>Domestic</v>
          </cell>
          <cell r="L3198" t="str">
            <v>Non-Sugar</v>
          </cell>
          <cell r="P3198" t="str">
            <v>WI-SV</v>
          </cell>
          <cell r="Q3198" t="str">
            <v>SUDHIR</v>
          </cell>
        </row>
        <row r="3199">
          <cell r="F3199" t="str">
            <v>PUNE01S560</v>
          </cell>
          <cell r="G3199" t="str">
            <v>SUPERTHARRM GLOBALS LLP</v>
          </cell>
          <cell r="H3199" t="str">
            <v>-</v>
          </cell>
          <cell r="J3199" t="str">
            <v>Domestic</v>
          </cell>
          <cell r="L3199" t="str">
            <v>Non-Sugar</v>
          </cell>
          <cell r="O3199" t="str">
            <v>-</v>
          </cell>
          <cell r="P3199" t="str">
            <v>HO</v>
          </cell>
          <cell r="Q3199" t="str">
            <v>AVIRAL SHUKLA</v>
          </cell>
        </row>
        <row r="3200">
          <cell r="F3200" t="str">
            <v>GURG1S311</v>
          </cell>
          <cell r="G3200" t="str">
            <v>SUPREME GROUP</v>
          </cell>
          <cell r="H3200" t="str">
            <v>-</v>
          </cell>
          <cell r="J3200" t="str">
            <v>Domestic</v>
          </cell>
          <cell r="L3200" t="str">
            <v>Non-Sugar</v>
          </cell>
          <cell r="O3200" t="str">
            <v>-</v>
          </cell>
          <cell r="P3200" t="str">
            <v>-</v>
          </cell>
          <cell r="Q3200" t="str">
            <v>-</v>
          </cell>
        </row>
        <row r="3201">
          <cell r="F3201" t="str">
            <v>PUNE01S365</v>
          </cell>
          <cell r="G3201" t="str">
            <v>SURAJ ENTERPRISES</v>
          </cell>
          <cell r="H3201" t="str">
            <v>-</v>
          </cell>
          <cell r="J3201" t="str">
            <v>Domestic</v>
          </cell>
          <cell r="K3201" t="str">
            <v>-</v>
          </cell>
          <cell r="L3201" t="str">
            <v>Non-Sugar</v>
          </cell>
          <cell r="O3201" t="str">
            <v>-</v>
          </cell>
          <cell r="P3201" t="str">
            <v>HO</v>
          </cell>
          <cell r="Q3201" t="str">
            <v>AVIRAL SHUKLA</v>
          </cell>
          <cell r="T3201" t="str">
            <v>-</v>
          </cell>
          <cell r="U3201" t="str">
            <v>-</v>
          </cell>
          <cell r="W3201" t="str">
            <v>-</v>
          </cell>
        </row>
        <row r="3202">
          <cell r="F3202" t="str">
            <v>SURA01S439</v>
          </cell>
          <cell r="G3202" t="str">
            <v>SURAT-TAPI DISTRICT CO-OPERATIVE MILK PRODUCERS UNI. LTD</v>
          </cell>
          <cell r="H3202" t="str">
            <v>-</v>
          </cell>
          <cell r="J3202" t="str">
            <v>Domestic</v>
          </cell>
          <cell r="L3202" t="str">
            <v>Non-Sugar</v>
          </cell>
          <cell r="O3202" t="str">
            <v>-</v>
          </cell>
          <cell r="P3202" t="str">
            <v>-</v>
          </cell>
          <cell r="Q3202" t="str">
            <v>-</v>
          </cell>
        </row>
        <row r="3203">
          <cell r="F3203" t="str">
            <v>MUMB01U054</v>
          </cell>
          <cell r="G3203" t="str">
            <v>SURFACE SOLUTIONS</v>
          </cell>
          <cell r="H3203" t="str">
            <v>-</v>
          </cell>
          <cell r="J3203" t="str">
            <v>Domestic</v>
          </cell>
          <cell r="L3203" t="str">
            <v>Non-Sugar</v>
          </cell>
          <cell r="O3203" t="str">
            <v>-</v>
          </cell>
          <cell r="P3203" t="str">
            <v>-</v>
          </cell>
          <cell r="Q3203" t="str">
            <v>-</v>
          </cell>
        </row>
        <row r="3204">
          <cell r="F3204" t="str">
            <v>HYDE01S520</v>
          </cell>
          <cell r="G3204" t="str">
            <v>SV ENGINEERS</v>
          </cell>
          <cell r="H3204" t="str">
            <v>-</v>
          </cell>
          <cell r="J3204" t="str">
            <v>Domestic</v>
          </cell>
          <cell r="L3204" t="str">
            <v>Non-Sugar</v>
          </cell>
          <cell r="O3204" t="str">
            <v>-</v>
          </cell>
          <cell r="P3204" t="str">
            <v>-</v>
          </cell>
          <cell r="Q3204" t="str">
            <v>-</v>
          </cell>
        </row>
        <row r="3205">
          <cell r="F3205" t="str">
            <v>INDR01S515</v>
          </cell>
          <cell r="G3205" t="str">
            <v>SWAAHA RESOURCE MANAGEMENT PRIVATE LIMITED</v>
          </cell>
          <cell r="H3205" t="str">
            <v>-</v>
          </cell>
          <cell r="J3205" t="str">
            <v>Domestic</v>
          </cell>
          <cell r="L3205" t="str">
            <v>Non-Sugar</v>
          </cell>
          <cell r="O3205" t="str">
            <v>-</v>
          </cell>
          <cell r="P3205" t="str">
            <v>-</v>
          </cell>
          <cell r="Q3205" t="str">
            <v>-</v>
          </cell>
        </row>
        <row r="3206">
          <cell r="F3206" t="str">
            <v>BARA01S534</v>
          </cell>
          <cell r="G3206" t="str">
            <v>SWADESH MILK PRODUCTS PRIVATE LTD</v>
          </cell>
          <cell r="H3206" t="str">
            <v>-</v>
          </cell>
          <cell r="J3206" t="str">
            <v>Domestic</v>
          </cell>
          <cell r="L3206" t="str">
            <v>Non-Sugar</v>
          </cell>
          <cell r="O3206" t="str">
            <v>-</v>
          </cell>
          <cell r="P3206" t="str">
            <v>-</v>
          </cell>
          <cell r="Q3206" t="str">
            <v>-</v>
          </cell>
        </row>
        <row r="3207">
          <cell r="F3207" t="str">
            <v>FARD01S419</v>
          </cell>
          <cell r="G3207" t="str">
            <v>SWARAN AQUATECH PVT LTD</v>
          </cell>
          <cell r="H3207" t="str">
            <v>-</v>
          </cell>
          <cell r="J3207" t="str">
            <v>Domestic</v>
          </cell>
          <cell r="L3207" t="str">
            <v>Non-Sugar</v>
          </cell>
          <cell r="O3207" t="str">
            <v>-</v>
          </cell>
          <cell r="P3207" t="str">
            <v>-</v>
          </cell>
          <cell r="Q3207" t="str">
            <v>-</v>
          </cell>
        </row>
        <row r="3208">
          <cell r="F3208" t="str">
            <v>PUNE01S492</v>
          </cell>
          <cell r="G3208" t="str">
            <v>SWECOL POWER ENGINEERING COMPANY</v>
          </cell>
          <cell r="H3208" t="str">
            <v>-</v>
          </cell>
          <cell r="J3208" t="str">
            <v>Domestic</v>
          </cell>
          <cell r="L3208" t="str">
            <v>Non-Sugar</v>
          </cell>
          <cell r="M3208" t="str">
            <v>OEM</v>
          </cell>
          <cell r="P3208" t="str">
            <v>WI-SV</v>
          </cell>
          <cell r="Q3208" t="str">
            <v>SUDHIR</v>
          </cell>
        </row>
        <row r="3209">
          <cell r="F3209" t="str">
            <v>SHAJ01S573</v>
          </cell>
          <cell r="G3209" t="str">
            <v>SWEDINOX INTERNATIONAL FZC</v>
          </cell>
          <cell r="H3209" t="str">
            <v>-</v>
          </cell>
          <cell r="J3209" t="str">
            <v>Export</v>
          </cell>
          <cell r="L3209" t="str">
            <v>Non-Sugar</v>
          </cell>
          <cell r="P3209" t="str">
            <v>WI-SV</v>
          </cell>
          <cell r="Q3209" t="str">
            <v>SUDHIR</v>
          </cell>
        </row>
        <row r="3210">
          <cell r="F3210" t="str">
            <v>ESGO01S202</v>
          </cell>
          <cell r="G3210" t="str">
            <v>SYNERGY BIOREFINERIES PVT LTD</v>
          </cell>
          <cell r="H3210" t="str">
            <v>-</v>
          </cell>
          <cell r="J3210" t="str">
            <v>Domestic</v>
          </cell>
          <cell r="K3210" t="str">
            <v>Bio-Gas</v>
          </cell>
          <cell r="L3210" t="str">
            <v>Non-Sugar</v>
          </cell>
          <cell r="M3210" t="str">
            <v>End User</v>
          </cell>
          <cell r="P3210" t="str">
            <v>SI-GS</v>
          </cell>
          <cell r="Q3210" t="str">
            <v>SI-GS</v>
          </cell>
          <cell r="W3210" t="str">
            <v>-</v>
          </cell>
        </row>
        <row r="3211">
          <cell r="F3211" t="str">
            <v>NANA01S170</v>
          </cell>
          <cell r="G3211" t="str">
            <v>SYSTECH INDUSTRIES LTD</v>
          </cell>
          <cell r="H3211" t="str">
            <v>-</v>
          </cell>
          <cell r="J3211" t="str">
            <v>Export</v>
          </cell>
          <cell r="L3211" t="str">
            <v>Non-Sugar</v>
          </cell>
          <cell r="O3211" t="str">
            <v>-</v>
          </cell>
          <cell r="P3211" t="str">
            <v>VA</v>
          </cell>
          <cell r="Q3211" t="str">
            <v>ANKUR</v>
          </cell>
        </row>
        <row r="3212">
          <cell r="F3212" t="str">
            <v>MUMB01T208</v>
          </cell>
          <cell r="G3212" t="str">
            <v>TAAJ HEALTHCARE CHEMICALS PVT LTD</v>
          </cell>
          <cell r="H3212" t="str">
            <v>-</v>
          </cell>
          <cell r="J3212" t="str">
            <v>Domestic</v>
          </cell>
          <cell r="L3212" t="str">
            <v>Non-Sugar</v>
          </cell>
          <cell r="P3212" t="str">
            <v>WI-SV</v>
          </cell>
          <cell r="Q3212" t="str">
            <v>SUDHIR</v>
          </cell>
        </row>
        <row r="3213">
          <cell r="F3213" t="str">
            <v>CHEN01T190</v>
          </cell>
          <cell r="G3213" t="str">
            <v>TAKRAF INDIA PVT LTD</v>
          </cell>
          <cell r="H3213" t="str">
            <v>-</v>
          </cell>
          <cell r="J3213" t="str">
            <v>Domestic</v>
          </cell>
          <cell r="P3213" t="str">
            <v>SI-SIVA</v>
          </cell>
          <cell r="Q3213" t="str">
            <v>M SIVA</v>
          </cell>
        </row>
        <row r="3214">
          <cell r="F3214" t="str">
            <v>PUNE01T172</v>
          </cell>
          <cell r="G3214" t="str">
            <v>TALEGAON SHOP</v>
          </cell>
          <cell r="H3214" t="str">
            <v>-</v>
          </cell>
          <cell r="J3214" t="str">
            <v>Domestic</v>
          </cell>
          <cell r="L3214" t="str">
            <v>Non-Sugar</v>
          </cell>
          <cell r="O3214" t="str">
            <v>-</v>
          </cell>
          <cell r="P3214" t="str">
            <v>-</v>
          </cell>
          <cell r="Q3214" t="str">
            <v>-</v>
          </cell>
        </row>
        <row r="3215">
          <cell r="F3215" t="str">
            <v>PETA01T205</v>
          </cell>
          <cell r="G3215" t="str">
            <v>TANABE TECHNICAL SERVICE 
MALAYSIA</v>
          </cell>
          <cell r="H3215" t="str">
            <v>-</v>
          </cell>
          <cell r="J3215" t="str">
            <v>Export</v>
          </cell>
          <cell r="L3215" t="str">
            <v>Non-Sugar</v>
          </cell>
          <cell r="O3215" t="str">
            <v>-</v>
          </cell>
          <cell r="P3215" t="str">
            <v>VA</v>
          </cell>
          <cell r="Q3215" t="str">
            <v>VG</v>
          </cell>
        </row>
        <row r="3216">
          <cell r="F3216" t="str">
            <v>BETU01T175</v>
          </cell>
          <cell r="G3216" t="str">
            <v>TAPTI AGRO INDUSTRIES (AMLA AGRO UNIT)</v>
          </cell>
          <cell r="H3216" t="str">
            <v>-</v>
          </cell>
          <cell r="J3216" t="str">
            <v>Domestic</v>
          </cell>
          <cell r="K3216" t="str">
            <v>Cattlefeed</v>
          </cell>
          <cell r="L3216" t="str">
            <v>Non-Sugar</v>
          </cell>
          <cell r="M3216" t="str">
            <v>End User</v>
          </cell>
          <cell r="O3216">
            <v>4500</v>
          </cell>
          <cell r="P3216" t="str">
            <v>HO</v>
          </cell>
          <cell r="Q3216" t="str">
            <v>-</v>
          </cell>
          <cell r="T3216" t="str">
            <v>MP</v>
          </cell>
          <cell r="U3216" t="str">
            <v>24-25</v>
          </cell>
          <cell r="W3216" t="str">
            <v>14-01-2026
31-05-2024
28-02-2024</v>
          </cell>
        </row>
        <row r="3217">
          <cell r="F3217" t="str">
            <v>DLHI01T199</v>
          </cell>
          <cell r="G3217" t="str">
            <v>TDC PHARMATECH FILTERATION LLP</v>
          </cell>
          <cell r="H3217" t="str">
            <v>-</v>
          </cell>
          <cell r="J3217" t="str">
            <v>Domestic</v>
          </cell>
          <cell r="L3217" t="str">
            <v>Non-Sugar</v>
          </cell>
          <cell r="O3217" t="str">
            <v>-</v>
          </cell>
          <cell r="P3217" t="str">
            <v>-</v>
          </cell>
          <cell r="Q3217" t="str">
            <v>-</v>
          </cell>
        </row>
        <row r="3218">
          <cell r="F3218" t="str">
            <v>SPAI01T212</v>
          </cell>
          <cell r="G3218" t="str">
            <v>TECAMYSER TECNOLOGIA AMBIENTAL SERVICIOS</v>
          </cell>
          <cell r="H3218" t="str">
            <v>-</v>
          </cell>
          <cell r="J3218" t="str">
            <v>Export</v>
          </cell>
          <cell r="L3218" t="str">
            <v>Non-Sugar</v>
          </cell>
          <cell r="O3218" t="str">
            <v>-</v>
          </cell>
          <cell r="P3218" t="str">
            <v>VA</v>
          </cell>
          <cell r="Q3218" t="str">
            <v>VG</v>
          </cell>
        </row>
        <row r="3219">
          <cell r="F3219" t="str">
            <v>PUNE01T210</v>
          </cell>
          <cell r="G3219" t="str">
            <v>TECHKNOWGREEN SOLUTIONS LTD</v>
          </cell>
          <cell r="H3219" t="str">
            <v>-</v>
          </cell>
          <cell r="J3219" t="str">
            <v>Domestic</v>
          </cell>
          <cell r="L3219" t="str">
            <v>Non-Sugar</v>
          </cell>
          <cell r="P3219" t="str">
            <v>WI-SV</v>
          </cell>
          <cell r="Q3219" t="str">
            <v>SUDHIR</v>
          </cell>
        </row>
        <row r="3220">
          <cell r="F3220" t="str">
            <v>GAND01T192</v>
          </cell>
          <cell r="G3220" t="str">
            <v>TECHKNOWSENSATIONS PVT LTD</v>
          </cell>
          <cell r="H3220" t="str">
            <v>-</v>
          </cell>
          <cell r="J3220" t="str">
            <v>Domestic</v>
          </cell>
          <cell r="L3220" t="str">
            <v>Non-Sugar</v>
          </cell>
          <cell r="O3220" t="str">
            <v>-</v>
          </cell>
          <cell r="P3220" t="str">
            <v>-</v>
          </cell>
          <cell r="Q3220" t="str">
            <v>-</v>
          </cell>
        </row>
        <row r="3221">
          <cell r="F3221" t="str">
            <v>HYDE01T197</v>
          </cell>
          <cell r="G3221" t="str">
            <v>TECHNO ENGINEERING WORKS</v>
          </cell>
          <cell r="H3221" t="str">
            <v>-</v>
          </cell>
          <cell r="J3221" t="str">
            <v>Domestic</v>
          </cell>
          <cell r="L3221" t="str">
            <v>Non-Sugar</v>
          </cell>
          <cell r="O3221" t="str">
            <v>-</v>
          </cell>
          <cell r="P3221" t="str">
            <v>-</v>
          </cell>
          <cell r="Q3221" t="str">
            <v>-</v>
          </cell>
        </row>
        <row r="3222">
          <cell r="F3222" t="str">
            <v>DUBA01T195</v>
          </cell>
          <cell r="G3222" t="str">
            <v>TECHNOMAK PROCESS SYSTEMS FZC</v>
          </cell>
          <cell r="H3222" t="str">
            <v>-</v>
          </cell>
          <cell r="J3222" t="str">
            <v>Export</v>
          </cell>
          <cell r="L3222" t="str">
            <v>Non-Sugar</v>
          </cell>
          <cell r="O3222" t="str">
            <v>-</v>
          </cell>
          <cell r="P3222" t="str">
            <v>VA</v>
          </cell>
          <cell r="Q3222" t="str">
            <v>ANKUR</v>
          </cell>
        </row>
        <row r="3223">
          <cell r="F3223" t="str">
            <v>RNCH01T174</v>
          </cell>
          <cell r="G3223" t="str">
            <v>TECHNOPLUS( MANISH METAL) STEEL PLANT</v>
          </cell>
          <cell r="H3223" t="str">
            <v>-</v>
          </cell>
          <cell r="J3223" t="str">
            <v>Domestic</v>
          </cell>
          <cell r="L3223" t="str">
            <v>Non-Sugar</v>
          </cell>
          <cell r="O3223" t="str">
            <v>-</v>
          </cell>
          <cell r="P3223" t="str">
            <v>-</v>
          </cell>
          <cell r="Q3223" t="str">
            <v>-</v>
          </cell>
        </row>
        <row r="3224">
          <cell r="F3224" t="str">
            <v>GURG01T200</v>
          </cell>
          <cell r="G3224" t="str">
            <v>TECTIKO INNOVATION AND EQUIPMENT PRIVATE LIMITED</v>
          </cell>
          <cell r="H3224" t="str">
            <v>-</v>
          </cell>
          <cell r="J3224" t="str">
            <v>Domestic</v>
          </cell>
          <cell r="L3224" t="str">
            <v>Non-Sugar</v>
          </cell>
          <cell r="O3224" t="str">
            <v>-</v>
          </cell>
          <cell r="P3224" t="str">
            <v>-</v>
          </cell>
          <cell r="Q3224" t="str">
            <v>-</v>
          </cell>
        </row>
        <row r="3225">
          <cell r="F3225" t="str">
            <v>ARGB01T213</v>
          </cell>
          <cell r="G3225" t="str">
            <v>TECZHAR PRIVATE LIMITED</v>
          </cell>
          <cell r="H3225" t="str">
            <v>-</v>
          </cell>
          <cell r="J3225" t="str">
            <v>Domestic</v>
          </cell>
          <cell r="L3225" t="str">
            <v>Non-Sugar</v>
          </cell>
          <cell r="P3225" t="str">
            <v>WI-SV</v>
          </cell>
          <cell r="Q3225" t="str">
            <v>SUDHIR</v>
          </cell>
        </row>
        <row r="3226">
          <cell r="F3226" t="str">
            <v>JAIP01T193</v>
          </cell>
          <cell r="G3226" t="str">
            <v>TEJOMAY GREEN ENERGIES</v>
          </cell>
          <cell r="H3226" t="str">
            <v>-</v>
          </cell>
          <cell r="J3226" t="str">
            <v>Domestic</v>
          </cell>
          <cell r="L3226" t="str">
            <v>Non-Sugar</v>
          </cell>
          <cell r="O3226" t="str">
            <v>-</v>
          </cell>
          <cell r="P3226" t="str">
            <v>-</v>
          </cell>
          <cell r="Q3226" t="str">
            <v>-</v>
          </cell>
        </row>
        <row r="3227">
          <cell r="F3227" t="str">
            <v>KANP01T202</v>
          </cell>
          <cell r="G3227" t="str">
            <v>THE INDIA THERMIT CORPORATION LIMITED</v>
          </cell>
          <cell r="H3227" t="str">
            <v>-</v>
          </cell>
          <cell r="J3227" t="str">
            <v>Domestic</v>
          </cell>
          <cell r="L3227" t="str">
            <v>Non-Sugar</v>
          </cell>
          <cell r="O3227" t="str">
            <v>-</v>
          </cell>
          <cell r="P3227" t="str">
            <v>-</v>
          </cell>
          <cell r="Q3227" t="str">
            <v>-</v>
          </cell>
        </row>
        <row r="3228">
          <cell r="F3228" t="str">
            <v>GUJA01T180</v>
          </cell>
          <cell r="G3228" t="str">
            <v>THE PHOENIX ENGINEERING CORPORATION</v>
          </cell>
          <cell r="H3228" t="str">
            <v>-</v>
          </cell>
          <cell r="J3228" t="str">
            <v>Domestic</v>
          </cell>
          <cell r="L3228" t="str">
            <v>Non-Sugar</v>
          </cell>
          <cell r="O3228" t="str">
            <v>-</v>
          </cell>
          <cell r="P3228" t="str">
            <v>-</v>
          </cell>
          <cell r="Q3228" t="str">
            <v>-</v>
          </cell>
        </row>
        <row r="3229">
          <cell r="F3229" t="str">
            <v>KANP01T183</v>
          </cell>
          <cell r="G3229" t="str">
            <v>THE PLASTIC FACTORTY (UNIT-2)</v>
          </cell>
          <cell r="H3229" t="str">
            <v>-</v>
          </cell>
          <cell r="J3229" t="str">
            <v>Domestic</v>
          </cell>
          <cell r="L3229" t="str">
            <v>Non-Sugar</v>
          </cell>
          <cell r="O3229" t="str">
            <v>-</v>
          </cell>
          <cell r="P3229" t="str">
            <v>-</v>
          </cell>
          <cell r="Q3229" t="str">
            <v>-</v>
          </cell>
        </row>
        <row r="3230">
          <cell r="F3230" t="str">
            <v>HYDE01T214</v>
          </cell>
          <cell r="G3230" t="str">
            <v>THE SINGARENI COLLIERIES COMPANY LTD</v>
          </cell>
          <cell r="H3230" t="str">
            <v>-</v>
          </cell>
          <cell r="J3230" t="str">
            <v>Domestic</v>
          </cell>
          <cell r="L3230" t="str">
            <v>Non-Sugar</v>
          </cell>
          <cell r="O3230" t="str">
            <v>-</v>
          </cell>
          <cell r="P3230" t="str">
            <v>VA</v>
          </cell>
          <cell r="Q3230" t="str">
            <v>-</v>
          </cell>
        </row>
        <row r="3231">
          <cell r="F3231" t="str">
            <v>MURS01T194</v>
          </cell>
          <cell r="G3231" t="str">
            <v>THE WEST BENGAL POWER DEVELOPMENT CORPORATION LIMITED</v>
          </cell>
          <cell r="H3231" t="str">
            <v>-</v>
          </cell>
          <cell r="J3231" t="str">
            <v>Domestic</v>
          </cell>
          <cell r="L3231" t="str">
            <v>Non-Sugar</v>
          </cell>
          <cell r="O3231" t="str">
            <v>-</v>
          </cell>
          <cell r="P3231" t="str">
            <v>-</v>
          </cell>
          <cell r="Q3231" t="str">
            <v>-</v>
          </cell>
        </row>
        <row r="3232">
          <cell r="F3232" t="str">
            <v>NAGP01T188</v>
          </cell>
          <cell r="G3232" t="str">
            <v>THERMAX BIOENERGY SOLUTION PVT LTD</v>
          </cell>
          <cell r="H3232" t="str">
            <v>24-25</v>
          </cell>
          <cell r="J3232" t="str">
            <v>Domestic</v>
          </cell>
          <cell r="K3232" t="str">
            <v>ETP/STP/WTP</v>
          </cell>
          <cell r="L3232" t="str">
            <v>Non-Sugar</v>
          </cell>
          <cell r="M3232" t="str">
            <v>OEM</v>
          </cell>
          <cell r="O3232" t="str">
            <v>-</v>
          </cell>
          <cell r="P3232" t="str">
            <v>WI-SV</v>
          </cell>
          <cell r="Q3232" t="str">
            <v>SV</v>
          </cell>
          <cell r="U3232" t="str">
            <v>26-27</v>
          </cell>
          <cell r="V3232" t="str">
            <v>Apr</v>
          </cell>
          <cell r="W3232" t="str">
            <v>08-04-2026
17-03-2026
30-08-2024
13-11-2024</v>
          </cell>
        </row>
        <row r="3233">
          <cell r="F3233" t="str">
            <v>PUNE01T104</v>
          </cell>
          <cell r="G3233" t="str">
            <v>THERMAX PUNE</v>
          </cell>
          <cell r="H3233" t="str">
            <v>-</v>
          </cell>
          <cell r="J3233" t="str">
            <v>Domestic</v>
          </cell>
          <cell r="K3233" t="str">
            <v>ETP/STP/WTP</v>
          </cell>
          <cell r="L3233" t="str">
            <v>Non-Sugar</v>
          </cell>
          <cell r="M3233" t="str">
            <v>OEM</v>
          </cell>
          <cell r="O3233" t="str">
            <v>-</v>
          </cell>
          <cell r="P3233" t="str">
            <v>WI-SV</v>
          </cell>
          <cell r="Q3233" t="str">
            <v>SV</v>
          </cell>
          <cell r="S3233" t="str">
            <v>https://maps.app.goo.gl/r7XK1Crd8Lem7eSKA</v>
          </cell>
          <cell r="T3233" t="str">
            <v>-</v>
          </cell>
          <cell r="U3233" t="str">
            <v>26-27</v>
          </cell>
          <cell r="V3233" t="str">
            <v>Apr</v>
          </cell>
          <cell r="W3233" t="str">
            <v>08-04-2026
17-03-2026
30-08-2024
13-11-2024</v>
          </cell>
        </row>
        <row r="3234">
          <cell r="F3234" t="str">
            <v>UGAN01T156</v>
          </cell>
          <cell r="G3234" t="str">
            <v>THREE STAR ENGINEERING WORKS PVT LTD</v>
          </cell>
          <cell r="H3234" t="str">
            <v>-</v>
          </cell>
          <cell r="J3234" t="str">
            <v>Export</v>
          </cell>
          <cell r="K3234" t="str">
            <v>Other</v>
          </cell>
          <cell r="L3234" t="str">
            <v>Non-Sugar</v>
          </cell>
          <cell r="O3234" t="str">
            <v>-</v>
          </cell>
          <cell r="P3234" t="str">
            <v>VA</v>
          </cell>
          <cell r="Q3234" t="str">
            <v>AVIRAL SHUKLA</v>
          </cell>
          <cell r="T3234" t="str">
            <v>-</v>
          </cell>
        </row>
        <row r="3235">
          <cell r="F3235" t="str">
            <v>VADO01T196</v>
          </cell>
          <cell r="G3235" t="str">
            <v>TRANSFLUID PUMPS SYSTEMS.</v>
          </cell>
          <cell r="H3235" t="str">
            <v>-</v>
          </cell>
          <cell r="J3235" t="str">
            <v>Domestic</v>
          </cell>
          <cell r="L3235" t="str">
            <v>Non-Sugar</v>
          </cell>
          <cell r="O3235" t="str">
            <v>-</v>
          </cell>
          <cell r="P3235" t="str">
            <v>-</v>
          </cell>
          <cell r="Q3235" t="str">
            <v>-</v>
          </cell>
        </row>
        <row r="3236">
          <cell r="F3236" t="str">
            <v>NANA01T099</v>
          </cell>
          <cell r="G3236" t="str">
            <v>TRANSMARA SUGAR ENGG</v>
          </cell>
          <cell r="H3236" t="str">
            <v>-</v>
          </cell>
          <cell r="J3236" t="str">
            <v>Export</v>
          </cell>
          <cell r="L3236" t="str">
            <v>Sugar</v>
          </cell>
          <cell r="N3236" t="str">
            <v>(0-5000)</v>
          </cell>
          <cell r="O3236">
            <v>4000</v>
          </cell>
          <cell r="P3236" t="str">
            <v>VA</v>
          </cell>
          <cell r="Q3236" t="str">
            <v>AVIRAL SHUKLA</v>
          </cell>
        </row>
        <row r="3237">
          <cell r="F3237" t="str">
            <v>VADO01T211</v>
          </cell>
          <cell r="G3237" t="str">
            <v>TRANSPUMPSERV GLOBEL PVt. LTD</v>
          </cell>
          <cell r="H3237" t="str">
            <v>-</v>
          </cell>
          <cell r="J3237" t="str">
            <v>Domestic</v>
          </cell>
          <cell r="L3237" t="str">
            <v>Non-Sugar</v>
          </cell>
          <cell r="O3237" t="str">
            <v>-</v>
          </cell>
          <cell r="P3237" t="str">
            <v>HO</v>
          </cell>
          <cell r="Q3237" t="str">
            <v>AVIRAL SHUKLA</v>
          </cell>
        </row>
        <row r="3238">
          <cell r="F3238" t="str">
            <v>KOLK01T206</v>
          </cell>
          <cell r="G3238" t="str">
            <v>TRANSTEK ASEAN TEKNOLOGY</v>
          </cell>
          <cell r="H3238" t="str">
            <v>-</v>
          </cell>
          <cell r="J3238" t="str">
            <v>Domestic</v>
          </cell>
          <cell r="L3238" t="str">
            <v>Non-Sugar</v>
          </cell>
          <cell r="O3238" t="str">
            <v>-</v>
          </cell>
          <cell r="P3238" t="str">
            <v>VA</v>
          </cell>
          <cell r="Q3238" t="str">
            <v>ANKUR</v>
          </cell>
        </row>
        <row r="3239">
          <cell r="F3239" t="str">
            <v>JAKA01T201</v>
          </cell>
          <cell r="G3239" t="str">
            <v>TRI RAMA ENERGI</v>
          </cell>
          <cell r="H3239" t="str">
            <v>-</v>
          </cell>
          <cell r="J3239" t="str">
            <v>Export</v>
          </cell>
          <cell r="L3239" t="str">
            <v>Non-Sugar</v>
          </cell>
          <cell r="O3239" t="str">
            <v>-</v>
          </cell>
          <cell r="P3239" t="str">
            <v>VA</v>
          </cell>
          <cell r="Q3239" t="str">
            <v>ANKUR</v>
          </cell>
        </row>
        <row r="3240">
          <cell r="F3240" t="str">
            <v>YAMN01T176</v>
          </cell>
          <cell r="G3240" t="str">
            <v>TRIDENT METAL ENERGY</v>
          </cell>
          <cell r="H3240" t="str">
            <v>-</v>
          </cell>
          <cell r="J3240" t="str">
            <v>Domestic</v>
          </cell>
          <cell r="L3240" t="str">
            <v>Non-Sugar</v>
          </cell>
          <cell r="O3240" t="str">
            <v>-</v>
          </cell>
          <cell r="P3240" t="str">
            <v>-</v>
          </cell>
          <cell r="Q3240" t="str">
            <v>-</v>
          </cell>
        </row>
        <row r="3241">
          <cell r="F3241" t="str">
            <v>PHIL01T185</v>
          </cell>
          <cell r="G3241" t="str">
            <v>TRIFLO ENGINEERING SUPPLY AND SERVICES</v>
          </cell>
          <cell r="H3241" t="str">
            <v>-</v>
          </cell>
          <cell r="J3241" t="str">
            <v>Export</v>
          </cell>
          <cell r="L3241" t="str">
            <v>Non-Sugar</v>
          </cell>
          <cell r="O3241" t="str">
            <v>-</v>
          </cell>
          <cell r="P3241" t="str">
            <v>VA</v>
          </cell>
          <cell r="Q3241" t="str">
            <v>VG</v>
          </cell>
        </row>
        <row r="3242">
          <cell r="F3242" t="str">
            <v>PHIL01T166</v>
          </cell>
          <cell r="G3242" t="str">
            <v>TRIMCOR TRIUMPH MACHINERY</v>
          </cell>
          <cell r="H3242" t="str">
            <v>-</v>
          </cell>
          <cell r="J3242" t="str">
            <v>Export</v>
          </cell>
          <cell r="K3242" t="str">
            <v>-</v>
          </cell>
          <cell r="L3242" t="str">
            <v>Non-Sugar</v>
          </cell>
          <cell r="M3242" t="str">
            <v>OEM</v>
          </cell>
          <cell r="O3242" t="str">
            <v>-</v>
          </cell>
          <cell r="P3242" t="str">
            <v>VA</v>
          </cell>
          <cell r="Q3242" t="str">
            <v>VG</v>
          </cell>
          <cell r="T3242" t="str">
            <v>-</v>
          </cell>
          <cell r="U3242" t="str">
            <v>-</v>
          </cell>
          <cell r="W3242" t="str">
            <v>-</v>
          </cell>
        </row>
        <row r="3243">
          <cell r="F3243" t="str">
            <v>GHZB01T173</v>
          </cell>
          <cell r="G3243" t="str">
            <v>TRITY ENVIRON SOLUTIONS</v>
          </cell>
          <cell r="H3243" t="str">
            <v>-</v>
          </cell>
          <cell r="J3243" t="str">
            <v>Domestic</v>
          </cell>
          <cell r="L3243" t="str">
            <v>Non-Sugar</v>
          </cell>
          <cell r="O3243" t="str">
            <v>-</v>
          </cell>
          <cell r="P3243" t="str">
            <v>-</v>
          </cell>
          <cell r="Q3243" t="str">
            <v>-</v>
          </cell>
        </row>
        <row r="3244">
          <cell r="F3244" t="str">
            <v>MUMB01T204</v>
          </cell>
          <cell r="G3244" t="str">
            <v>TRIVENI CONTROLS GEARS</v>
          </cell>
          <cell r="H3244" t="str">
            <v>-</v>
          </cell>
          <cell r="J3244" t="str">
            <v>Domestic</v>
          </cell>
          <cell r="L3244" t="str">
            <v>Non-Sugar</v>
          </cell>
          <cell r="M3244" t="str">
            <v>OEM</v>
          </cell>
          <cell r="O3244" t="str">
            <v>-</v>
          </cell>
          <cell r="P3244" t="str">
            <v>HO</v>
          </cell>
          <cell r="Q3244" t="str">
            <v>-</v>
          </cell>
        </row>
        <row r="3245">
          <cell r="F3245" t="str">
            <v>NANA01T108</v>
          </cell>
          <cell r="G3245" t="str">
            <v>TRUNG AN TRADING CO. LTD</v>
          </cell>
          <cell r="H3245" t="str">
            <v>-</v>
          </cell>
          <cell r="J3245" t="str">
            <v>Export</v>
          </cell>
          <cell r="L3245" t="str">
            <v>Non-Sugar</v>
          </cell>
          <cell r="O3245" t="str">
            <v>-</v>
          </cell>
          <cell r="P3245" t="str">
            <v>VA</v>
          </cell>
          <cell r="Q3245" t="str">
            <v>ANKUR</v>
          </cell>
        </row>
        <row r="3246">
          <cell r="F3246" t="str">
            <v>CHEN01U050</v>
          </cell>
          <cell r="G3246" t="str">
            <v>UNIQUE FABRICATION INDUSTRIES</v>
          </cell>
          <cell r="H3246" t="str">
            <v>-</v>
          </cell>
          <cell r="J3246" t="str">
            <v>Domestic</v>
          </cell>
          <cell r="L3246" t="str">
            <v>Non-Sugar</v>
          </cell>
          <cell r="O3246" t="str">
            <v>-</v>
          </cell>
          <cell r="P3246" t="str">
            <v>-</v>
          </cell>
          <cell r="Q3246" t="str">
            <v>-</v>
          </cell>
        </row>
        <row r="3247">
          <cell r="F3247" t="str">
            <v>MERT01U060</v>
          </cell>
          <cell r="G3247" t="str">
            <v>UNIQUE INDUSTRIAL SUPPLIER</v>
          </cell>
          <cell r="H3247" t="str">
            <v>-</v>
          </cell>
          <cell r="J3247" t="str">
            <v>Domestic</v>
          </cell>
          <cell r="L3247" t="str">
            <v>Non-Sugar</v>
          </cell>
          <cell r="O3247" t="str">
            <v>-</v>
          </cell>
          <cell r="P3247" t="str">
            <v>-</v>
          </cell>
          <cell r="Q3247" t="str">
            <v>-</v>
          </cell>
        </row>
        <row r="3248">
          <cell r="F3248" t="str">
            <v>KOLK01U065</v>
          </cell>
          <cell r="G3248" t="str">
            <v>UNITECH WATER TECHNOLOGIES PVT LTD</v>
          </cell>
          <cell r="H3248" t="str">
            <v>-</v>
          </cell>
          <cell r="J3248" t="str">
            <v>Domestic</v>
          </cell>
          <cell r="P3248" t="str">
            <v>SNS</v>
          </cell>
          <cell r="Q3248" t="str">
            <v>-</v>
          </cell>
        </row>
        <row r="3249">
          <cell r="F3249" t="str">
            <v>THAN01U064</v>
          </cell>
          <cell r="G3249" t="str">
            <v>UNITED BIOENERGY PVT. LTD</v>
          </cell>
          <cell r="H3249" t="str">
            <v>-</v>
          </cell>
          <cell r="J3249" t="str">
            <v>Domestic</v>
          </cell>
          <cell r="K3249" t="str">
            <v>Bio-Gas</v>
          </cell>
          <cell r="L3249" t="str">
            <v>Non-Sugar</v>
          </cell>
          <cell r="M3249" t="str">
            <v>End User</v>
          </cell>
          <cell r="P3249" t="str">
            <v>AV</v>
          </cell>
          <cell r="Q3249" t="str">
            <v>AV</v>
          </cell>
          <cell r="R3249" t="str">
            <v>-</v>
          </cell>
        </row>
        <row r="3250">
          <cell r="F3250" t="str">
            <v>PUNE01U049</v>
          </cell>
          <cell r="G3250" t="str">
            <v>UNITED ENGINEERING &amp; TECHNOLOGIES</v>
          </cell>
          <cell r="H3250" t="str">
            <v>-</v>
          </cell>
          <cell r="J3250" t="str">
            <v>Domestic</v>
          </cell>
          <cell r="L3250" t="str">
            <v>Non-Sugar</v>
          </cell>
          <cell r="O3250" t="str">
            <v>-</v>
          </cell>
          <cell r="P3250" t="str">
            <v>-</v>
          </cell>
          <cell r="Q3250" t="str">
            <v>-</v>
          </cell>
        </row>
        <row r="3251">
          <cell r="F3251" t="str">
            <v>SAHA01U063</v>
          </cell>
          <cell r="G3251" t="str">
            <v>UNIVERSAL CONSTRUCTION</v>
          </cell>
          <cell r="H3251" t="str">
            <v>-</v>
          </cell>
          <cell r="J3251" t="str">
            <v>Domestic</v>
          </cell>
          <cell r="L3251" t="str">
            <v>Non-Sugar</v>
          </cell>
          <cell r="O3251" t="str">
            <v>-</v>
          </cell>
          <cell r="P3251" t="str">
            <v>-</v>
          </cell>
          <cell r="Q3251" t="str">
            <v>-</v>
          </cell>
        </row>
        <row r="3252">
          <cell r="F3252" t="str">
            <v>GAND01U061</v>
          </cell>
          <cell r="G3252" t="str">
            <v>UNIVERSAL ENGNEERING COLLAGE</v>
          </cell>
          <cell r="H3252" t="str">
            <v>-</v>
          </cell>
          <cell r="J3252" t="str">
            <v>Domestic</v>
          </cell>
          <cell r="L3252" t="str">
            <v>Non-Sugar</v>
          </cell>
          <cell r="O3252" t="str">
            <v>-</v>
          </cell>
          <cell r="P3252" t="str">
            <v>-</v>
          </cell>
          <cell r="Q3252" t="str">
            <v>-</v>
          </cell>
        </row>
        <row r="3253">
          <cell r="F3253" t="str">
            <v>SONE01U024</v>
          </cell>
          <cell r="G3253" t="str">
            <v>UNIVERSAL ROBINA CORPORATION</v>
          </cell>
          <cell r="H3253" t="str">
            <v>-</v>
          </cell>
          <cell r="J3253" t="str">
            <v>Export</v>
          </cell>
          <cell r="K3253" t="str">
            <v>-</v>
          </cell>
          <cell r="L3253" t="str">
            <v>Non-Sugar</v>
          </cell>
          <cell r="M3253" t="str">
            <v>OEM</v>
          </cell>
          <cell r="O3253" t="str">
            <v>-</v>
          </cell>
          <cell r="P3253" t="str">
            <v>VA</v>
          </cell>
          <cell r="Q3253" t="str">
            <v>VG</v>
          </cell>
          <cell r="T3253" t="str">
            <v>-</v>
          </cell>
          <cell r="U3253" t="str">
            <v>-</v>
          </cell>
          <cell r="W3253" t="str">
            <v>-</v>
          </cell>
        </row>
        <row r="3254">
          <cell r="F3254" t="str">
            <v>KADA01U066</v>
          </cell>
          <cell r="G3254" t="str">
            <v>URANIUM CORPORATION OF INDIA LTD-KADAPA</v>
          </cell>
          <cell r="H3254" t="str">
            <v>-</v>
          </cell>
          <cell r="J3254" t="str">
            <v>Domestic</v>
          </cell>
          <cell r="L3254" t="str">
            <v>Non-Sugar</v>
          </cell>
          <cell r="O3254" t="str">
            <v>-</v>
          </cell>
          <cell r="P3254" t="str">
            <v>-</v>
          </cell>
          <cell r="Q3254" t="str">
            <v>-</v>
          </cell>
        </row>
        <row r="3255">
          <cell r="F3255" t="str">
            <v>PUNE01U070</v>
          </cell>
          <cell r="G3255" t="str">
            <v>URJA BIO SYSTEM PVT LTD</v>
          </cell>
          <cell r="H3255" t="str">
            <v>-</v>
          </cell>
          <cell r="J3255" t="str">
            <v>Domestic</v>
          </cell>
          <cell r="L3255" t="str">
            <v>Non-Sugar</v>
          </cell>
          <cell r="P3255" t="str">
            <v>WI-SV</v>
          </cell>
          <cell r="Q3255" t="str">
            <v>SUDHIR</v>
          </cell>
          <cell r="S3255" t="str">
            <v>https://maps.app.goo.gl/KWafxBYnz6dTUehu9</v>
          </cell>
          <cell r="U3255" t="str">
            <v>26-27</v>
          </cell>
          <cell r="V3255" t="str">
            <v>Apr</v>
          </cell>
          <cell r="W3255" t="str">
            <v>29-04-2026</v>
          </cell>
        </row>
        <row r="3256">
          <cell r="F3256" t="str">
            <v>HRDO01U072</v>
          </cell>
          <cell r="G3256" t="str">
            <v>UTM ENERGRY (P) LTD</v>
          </cell>
          <cell r="H3256" t="str">
            <v>25-26</v>
          </cell>
          <cell r="I3256" t="str">
            <v>-</v>
          </cell>
          <cell r="J3256" t="str">
            <v>Domestic</v>
          </cell>
          <cell r="K3256" t="str">
            <v>Bio-Gas</v>
          </cell>
          <cell r="L3256" t="str">
            <v>Non-Sugar</v>
          </cell>
          <cell r="M3256" t="str">
            <v>End User</v>
          </cell>
          <cell r="P3256" t="str">
            <v>NI</v>
          </cell>
          <cell r="Q3256" t="str">
            <v>AMIT SRIVASTAVA</v>
          </cell>
          <cell r="S3256" t="str">
            <v>https://maps.app.goo.gl/16sG3e59LYD1Q6eB8</v>
          </cell>
          <cell r="U3256" t="str">
            <v>25-26</v>
          </cell>
          <cell r="V3256" t="str">
            <v>May</v>
          </cell>
          <cell r="W3256" t="str">
            <v>21-05-2026
10/28/2025</v>
          </cell>
        </row>
        <row r="3257">
          <cell r="F3257" t="str">
            <v>GWAL01U051</v>
          </cell>
          <cell r="G3257" t="str">
            <v>UTTAM SINGH</v>
          </cell>
          <cell r="H3257" t="str">
            <v>-</v>
          </cell>
          <cell r="J3257" t="str">
            <v>Domestic</v>
          </cell>
          <cell r="L3257" t="str">
            <v>Non-Sugar</v>
          </cell>
          <cell r="O3257" t="str">
            <v>-</v>
          </cell>
          <cell r="P3257" t="str">
            <v>-</v>
          </cell>
          <cell r="Q3257" t="str">
            <v>-</v>
          </cell>
        </row>
        <row r="3258">
          <cell r="F3258" t="str">
            <v>PUNE01U062</v>
          </cell>
          <cell r="G3258" t="str">
            <v>UWS ENVIRO - TECH PVT LTD</v>
          </cell>
          <cell r="H3258" t="str">
            <v>-</v>
          </cell>
          <cell r="J3258" t="str">
            <v>Domestic</v>
          </cell>
          <cell r="P3258" t="str">
            <v>SI-MANI</v>
          </cell>
          <cell r="Q3258" t="str">
            <v>M SIVA</v>
          </cell>
        </row>
        <row r="3259">
          <cell r="F3259" t="str">
            <v>CHEN01V105</v>
          </cell>
          <cell r="G3259" t="str">
            <v>VA TECH WABAG LIMITED</v>
          </cell>
          <cell r="H3259" t="str">
            <v>-</v>
          </cell>
          <cell r="J3259" t="str">
            <v>Domestic</v>
          </cell>
          <cell r="P3259" t="str">
            <v>SI-SIVA</v>
          </cell>
          <cell r="Q3259" t="str">
            <v>M SIVA</v>
          </cell>
        </row>
        <row r="3260">
          <cell r="F3260" t="str">
            <v>MUMB01V083</v>
          </cell>
          <cell r="G3260" t="str">
            <v>VACMAN SAINTATION SOLUTION PVT LTD</v>
          </cell>
          <cell r="H3260" t="str">
            <v>-</v>
          </cell>
          <cell r="J3260" t="str">
            <v>Domestic</v>
          </cell>
          <cell r="L3260" t="str">
            <v>Non-Sugar</v>
          </cell>
          <cell r="O3260" t="str">
            <v>-</v>
          </cell>
          <cell r="P3260" t="str">
            <v>-</v>
          </cell>
          <cell r="Q3260" t="str">
            <v>-</v>
          </cell>
        </row>
        <row r="3261">
          <cell r="F3261" t="str">
            <v>CHEN01V079</v>
          </cell>
          <cell r="G3261" t="str">
            <v>VALLALAR ENERGY SOLUTIONS</v>
          </cell>
          <cell r="H3261" t="str">
            <v>-</v>
          </cell>
          <cell r="J3261" t="str">
            <v>Domestic</v>
          </cell>
          <cell r="L3261" t="str">
            <v>Non-Sugar</v>
          </cell>
          <cell r="O3261" t="str">
            <v>-</v>
          </cell>
          <cell r="P3261" t="str">
            <v>-</v>
          </cell>
          <cell r="Q3261" t="str">
            <v>-</v>
          </cell>
        </row>
        <row r="3262">
          <cell r="F3262" t="str">
            <v>BARL01V084</v>
          </cell>
          <cell r="G3262" t="str">
            <v>VALUEMATE LTD</v>
          </cell>
          <cell r="H3262" t="str">
            <v>-</v>
          </cell>
          <cell r="J3262" t="str">
            <v>Domestic</v>
          </cell>
          <cell r="L3262" t="str">
            <v>Non-Sugar</v>
          </cell>
          <cell r="O3262" t="str">
            <v>-</v>
          </cell>
          <cell r="P3262" t="str">
            <v>-</v>
          </cell>
          <cell r="Q3262" t="str">
            <v>-</v>
          </cell>
        </row>
        <row r="3263">
          <cell r="F3263" t="str">
            <v>BOIS01V097</v>
          </cell>
          <cell r="G3263" t="str">
            <v>VANQUEST PHARMA PVT LTD</v>
          </cell>
          <cell r="H3263" t="str">
            <v>-</v>
          </cell>
          <cell r="J3263" t="str">
            <v>Domestic</v>
          </cell>
          <cell r="L3263" t="str">
            <v>Non-Sugar</v>
          </cell>
          <cell r="P3263" t="str">
            <v>WI-SV</v>
          </cell>
          <cell r="Q3263" t="str">
            <v>SUDHIR</v>
          </cell>
        </row>
        <row r="3264">
          <cell r="F3264" t="str">
            <v>HOCH01V108</v>
          </cell>
          <cell r="G3264" t="str">
            <v>VANTAGE POWER TECHNOLOGY</v>
          </cell>
          <cell r="H3264" t="str">
            <v>-</v>
          </cell>
          <cell r="J3264" t="str">
            <v>Export</v>
          </cell>
          <cell r="L3264" t="str">
            <v>Non-Sugar</v>
          </cell>
          <cell r="O3264" t="str">
            <v>-</v>
          </cell>
          <cell r="P3264" t="str">
            <v>VA</v>
          </cell>
          <cell r="Q3264" t="str">
            <v>-</v>
          </cell>
        </row>
        <row r="3265">
          <cell r="F3265" t="str">
            <v>PUNE01V111</v>
          </cell>
          <cell r="G3265" t="str">
            <v>VARAD ENTERPRISES</v>
          </cell>
          <cell r="H3265" t="str">
            <v>-</v>
          </cell>
          <cell r="J3265" t="str">
            <v>Domestic</v>
          </cell>
          <cell r="L3265" t="str">
            <v>Non-Sugar</v>
          </cell>
          <cell r="P3265" t="str">
            <v>WI-SV</v>
          </cell>
          <cell r="Q3265" t="str">
            <v>SUDHIR</v>
          </cell>
        </row>
        <row r="3266">
          <cell r="F3266" t="str">
            <v>VARA01V081</v>
          </cell>
          <cell r="G3266" t="str">
            <v>VARANASHI BIO CONVERSION PROJECT</v>
          </cell>
          <cell r="H3266" t="str">
            <v>-</v>
          </cell>
          <cell r="J3266" t="str">
            <v>Domestic</v>
          </cell>
          <cell r="L3266" t="str">
            <v>Non-Sugar</v>
          </cell>
          <cell r="O3266" t="str">
            <v>-</v>
          </cell>
          <cell r="P3266" t="str">
            <v>-</v>
          </cell>
          <cell r="Q3266" t="str">
            <v>-</v>
          </cell>
        </row>
        <row r="3267">
          <cell r="F3267" t="str">
            <v>LUCK01V095</v>
          </cell>
          <cell r="G3267" t="str">
            <v>VARSA ENERGY PRIVATE LIMITED</v>
          </cell>
          <cell r="H3267" t="str">
            <v>-</v>
          </cell>
          <cell r="J3267" t="str">
            <v>Domestic</v>
          </cell>
          <cell r="L3267" t="str">
            <v>Non-Sugar</v>
          </cell>
          <cell r="O3267" t="str">
            <v>-</v>
          </cell>
          <cell r="P3267" t="str">
            <v>-</v>
          </cell>
          <cell r="Q3267" t="str">
            <v>-</v>
          </cell>
        </row>
        <row r="3268">
          <cell r="F3268" t="str">
            <v>TUMA01V080</v>
          </cell>
          <cell r="G3268" t="str">
            <v>VARUN BEVERAGES (PEPSI COMPANY)</v>
          </cell>
          <cell r="H3268" t="str">
            <v>-</v>
          </cell>
          <cell r="J3268" t="str">
            <v>Domestic</v>
          </cell>
          <cell r="L3268" t="str">
            <v>Non-Sugar</v>
          </cell>
          <cell r="O3268" t="str">
            <v>-</v>
          </cell>
          <cell r="P3268" t="str">
            <v>-</v>
          </cell>
          <cell r="Q3268" t="str">
            <v>-</v>
          </cell>
        </row>
        <row r="3269">
          <cell r="F3269" t="str">
            <v>MUMB01V094</v>
          </cell>
          <cell r="G3269" t="str">
            <v>VASU CHEMICALS LLP</v>
          </cell>
          <cell r="H3269" t="str">
            <v>-</v>
          </cell>
          <cell r="J3269" t="str">
            <v>Domestic</v>
          </cell>
          <cell r="L3269" t="str">
            <v>Non-Sugar</v>
          </cell>
          <cell r="O3269" t="str">
            <v>-</v>
          </cell>
          <cell r="P3269" t="str">
            <v>-</v>
          </cell>
          <cell r="Q3269" t="str">
            <v>-</v>
          </cell>
        </row>
        <row r="3270">
          <cell r="F3270" t="str">
            <v>BETU01V090</v>
          </cell>
          <cell r="G3270" t="str">
            <v>VASUDEV KHANDSARI UDYOG</v>
          </cell>
          <cell r="H3270" t="str">
            <v>-</v>
          </cell>
          <cell r="J3270" t="str">
            <v>Domestic</v>
          </cell>
          <cell r="L3270" t="str">
            <v>Non-Sugar</v>
          </cell>
          <cell r="O3270" t="str">
            <v>-</v>
          </cell>
          <cell r="P3270" t="str">
            <v>-</v>
          </cell>
          <cell r="Q3270" t="str">
            <v>-</v>
          </cell>
        </row>
        <row r="3271">
          <cell r="F3271" t="str">
            <v>PUNE01V112</v>
          </cell>
          <cell r="G3271" t="str">
            <v>VASUNDHARA DAIRY ICE CREAM PLANT</v>
          </cell>
          <cell r="H3271" t="str">
            <v>-</v>
          </cell>
          <cell r="J3271" t="str">
            <v>Domestic</v>
          </cell>
          <cell r="L3271" t="str">
            <v>Non-Sugar</v>
          </cell>
          <cell r="P3271" t="str">
            <v>WI-SV</v>
          </cell>
          <cell r="Q3271" t="str">
            <v>SUDHIR</v>
          </cell>
        </row>
        <row r="3272">
          <cell r="F3272" t="str">
            <v>KOLH01V089</v>
          </cell>
          <cell r="G3272" t="str">
            <v>VENTURIC BIOFUELS PVT LTD</v>
          </cell>
          <cell r="H3272" t="str">
            <v>-</v>
          </cell>
          <cell r="J3272" t="str">
            <v>Domestic</v>
          </cell>
          <cell r="L3272" t="str">
            <v>Non-Sugar</v>
          </cell>
          <cell r="O3272" t="str">
            <v>-</v>
          </cell>
          <cell r="P3272" t="str">
            <v>-</v>
          </cell>
          <cell r="Q3272" t="str">
            <v>-</v>
          </cell>
        </row>
        <row r="3273">
          <cell r="F3273" t="str">
            <v>SONI01V087</v>
          </cell>
          <cell r="G3273" t="str">
            <v>VERMA BROTHERS ENTERPRISES</v>
          </cell>
          <cell r="H3273" t="str">
            <v>-</v>
          </cell>
          <cell r="J3273" t="str">
            <v>Domestic</v>
          </cell>
          <cell r="L3273" t="str">
            <v>Non-Sugar</v>
          </cell>
          <cell r="O3273" t="str">
            <v>-</v>
          </cell>
          <cell r="P3273" t="str">
            <v>-</v>
          </cell>
          <cell r="Q3273" t="str">
            <v>-</v>
          </cell>
        </row>
        <row r="3274">
          <cell r="F3274" t="str">
            <v>PUNE01V093</v>
          </cell>
          <cell r="G3274" t="str">
            <v>VERSATILE PROCESS CONTROLS PVT. LTD.</v>
          </cell>
          <cell r="H3274" t="str">
            <v>-</v>
          </cell>
          <cell r="J3274" t="str">
            <v>Domestic</v>
          </cell>
          <cell r="K3274" t="str">
            <v>OTHERS</v>
          </cell>
          <cell r="L3274" t="str">
            <v>Non-Sugar</v>
          </cell>
          <cell r="M3274" t="str">
            <v>Trader</v>
          </cell>
          <cell r="P3274" t="str">
            <v>AV</v>
          </cell>
          <cell r="Q3274" t="str">
            <v>AV</v>
          </cell>
          <cell r="R3274" t="str">
            <v>OEM</v>
          </cell>
        </row>
        <row r="3275">
          <cell r="F3275" t="str">
            <v>CHEN01V107</v>
          </cell>
          <cell r="G3275" t="str">
            <v>VIBRANTZ TECHNOLOGIES</v>
          </cell>
          <cell r="H3275" t="str">
            <v>-</v>
          </cell>
          <cell r="J3275" t="str">
            <v>Domestic</v>
          </cell>
          <cell r="L3275" t="str">
            <v>Non-Sugar</v>
          </cell>
          <cell r="P3275" t="str">
            <v>SI-SIVA</v>
          </cell>
          <cell r="Q3275" t="str">
            <v>M SIVA</v>
          </cell>
        </row>
        <row r="3276">
          <cell r="F3276" t="str">
            <v>BANG01V091</v>
          </cell>
          <cell r="G3276" t="str">
            <v>VIJAYDURAGA TECHNOLOGIES PVT LTD</v>
          </cell>
          <cell r="H3276" t="str">
            <v>-</v>
          </cell>
          <cell r="J3276" t="str">
            <v>Domestic</v>
          </cell>
          <cell r="L3276" t="str">
            <v>Non-Sugar</v>
          </cell>
          <cell r="O3276" t="str">
            <v>-</v>
          </cell>
          <cell r="P3276" t="str">
            <v>-</v>
          </cell>
          <cell r="Q3276" t="str">
            <v>-</v>
          </cell>
        </row>
        <row r="3277">
          <cell r="F3277" t="str">
            <v>NODA01V086</v>
          </cell>
          <cell r="G3277" t="str">
            <v>VIJSUN INDUSTRIES</v>
          </cell>
          <cell r="H3277" t="str">
            <v>-</v>
          </cell>
          <cell r="J3277" t="str">
            <v>Domestic</v>
          </cell>
          <cell r="L3277" t="str">
            <v>Non-Sugar</v>
          </cell>
          <cell r="O3277" t="str">
            <v>-</v>
          </cell>
          <cell r="P3277" t="str">
            <v>-</v>
          </cell>
          <cell r="Q3277" t="str">
            <v>-</v>
          </cell>
        </row>
        <row r="3278">
          <cell r="F3278" t="str">
            <v>CHIN01V099</v>
          </cell>
          <cell r="G3278" t="str">
            <v>VINDIP SUGAR INFRA PVT LTD</v>
          </cell>
          <cell r="H3278" t="str">
            <v>-</v>
          </cell>
          <cell r="J3278" t="str">
            <v>Domestic</v>
          </cell>
          <cell r="L3278" t="str">
            <v>Non-Sugar</v>
          </cell>
          <cell r="O3278" t="str">
            <v>-</v>
          </cell>
          <cell r="P3278" t="str">
            <v>-</v>
          </cell>
          <cell r="Q3278" t="str">
            <v>-</v>
          </cell>
        </row>
        <row r="3279">
          <cell r="F3279" t="str">
            <v>KOLH01V098</v>
          </cell>
          <cell r="G3279" t="str">
            <v>VIRAJ CANE AND ENERGY LTD. (KHANDSARI AND JAGGERY)</v>
          </cell>
          <cell r="H3279" t="str">
            <v>-</v>
          </cell>
          <cell r="J3279" t="str">
            <v>Domestic</v>
          </cell>
          <cell r="K3279" t="str">
            <v>Khandsari and Jaggery</v>
          </cell>
          <cell r="L3279" t="str">
            <v>Non-Sugar</v>
          </cell>
          <cell r="M3279" t="str">
            <v>End User</v>
          </cell>
          <cell r="O3279" t="str">
            <v>-</v>
          </cell>
          <cell r="P3279" t="str">
            <v>MRK</v>
          </cell>
          <cell r="Q3279" t="str">
            <v>MRK</v>
          </cell>
          <cell r="R3279" t="str">
            <v>VG</v>
          </cell>
          <cell r="T3279" t="str">
            <v>TOUR-6 (SANGLI)</v>
          </cell>
          <cell r="U3279" t="str">
            <v>24-25</v>
          </cell>
          <cell r="W3279" t="str">
            <v>04-09-2024
07-10-2023</v>
          </cell>
        </row>
        <row r="3280">
          <cell r="F3280" t="str">
            <v>MUMB01V065</v>
          </cell>
          <cell r="G3280" t="str">
            <v>VIRAJ CLEAN SEA ENTERPRISES PVT. LTD</v>
          </cell>
          <cell r="H3280" t="str">
            <v>-</v>
          </cell>
          <cell r="J3280" t="str">
            <v>Domestic</v>
          </cell>
          <cell r="K3280" t="str">
            <v>Other</v>
          </cell>
          <cell r="L3280" t="str">
            <v>Non-Sugar</v>
          </cell>
          <cell r="O3280" t="str">
            <v>-</v>
          </cell>
          <cell r="P3280" t="str">
            <v>VA</v>
          </cell>
          <cell r="Q3280" t="str">
            <v>-</v>
          </cell>
          <cell r="T3280" t="str">
            <v>-</v>
          </cell>
          <cell r="U3280" t="str">
            <v>-</v>
          </cell>
          <cell r="W3280" t="str">
            <v>-</v>
          </cell>
        </row>
        <row r="3281">
          <cell r="F3281" t="str">
            <v>HYDE01V110</v>
          </cell>
          <cell r="G3281" t="str">
            <v>VIRCHOW PETROCHEMICAL PVT LTD.</v>
          </cell>
          <cell r="H3281" t="str">
            <v>-</v>
          </cell>
          <cell r="J3281" t="str">
            <v>Domestic</v>
          </cell>
          <cell r="P3281" t="str">
            <v>SI-SIVA</v>
          </cell>
          <cell r="Q3281" t="str">
            <v>M SIVA</v>
          </cell>
        </row>
        <row r="3282">
          <cell r="F3282" t="str">
            <v>VISA01V109</v>
          </cell>
          <cell r="G3282" t="str">
            <v>VISAKHAPATNAM STEEL PLANT</v>
          </cell>
          <cell r="H3282" t="str">
            <v>-</v>
          </cell>
          <cell r="J3282" t="str">
            <v>Domestic</v>
          </cell>
          <cell r="P3282" t="str">
            <v>SI-SIVA</v>
          </cell>
          <cell r="Q3282" t="str">
            <v>M SIVA</v>
          </cell>
        </row>
        <row r="3283">
          <cell r="F3283" t="str">
            <v>PUNE01V085</v>
          </cell>
          <cell r="G3283" t="str">
            <v>VISHAL ENGI-CHEM</v>
          </cell>
          <cell r="H3283" t="str">
            <v>-</v>
          </cell>
          <cell r="J3283" t="str">
            <v>Domestic</v>
          </cell>
          <cell r="L3283" t="str">
            <v>Non-Sugar</v>
          </cell>
          <cell r="O3283" t="str">
            <v>-</v>
          </cell>
          <cell r="P3283" t="str">
            <v>-</v>
          </cell>
          <cell r="Q3283" t="str">
            <v>-</v>
          </cell>
        </row>
        <row r="3284">
          <cell r="F3284" t="str">
            <v>PUNE01V063</v>
          </cell>
          <cell r="G3284" t="str">
            <v>VISHAL ENGINEERING</v>
          </cell>
          <cell r="H3284" t="str">
            <v>-</v>
          </cell>
          <cell r="J3284" t="str">
            <v>Domestic</v>
          </cell>
          <cell r="L3284" t="str">
            <v>Non-Sugar</v>
          </cell>
          <cell r="M3284" t="str">
            <v>OEM</v>
          </cell>
          <cell r="P3284" t="str">
            <v>WI-SV</v>
          </cell>
          <cell r="Q3284" t="str">
            <v>SUDHIR</v>
          </cell>
        </row>
        <row r="3285">
          <cell r="F3285" t="str">
            <v>GUJA01V082</v>
          </cell>
          <cell r="G3285" t="str">
            <v>VISHAL OIL ENGERGIES</v>
          </cell>
          <cell r="H3285" t="str">
            <v>-</v>
          </cell>
          <cell r="J3285" t="str">
            <v>Domestic</v>
          </cell>
          <cell r="L3285" t="str">
            <v>Non-Sugar</v>
          </cell>
          <cell r="O3285" t="str">
            <v>-</v>
          </cell>
          <cell r="P3285" t="str">
            <v>-</v>
          </cell>
          <cell r="Q3285" t="str">
            <v>-</v>
          </cell>
        </row>
        <row r="3286">
          <cell r="F3286" t="str">
            <v>HRDO01V060</v>
          </cell>
          <cell r="G3286" t="str">
            <v>VISHVAM PROJECTS &amp; SERVICES</v>
          </cell>
          <cell r="H3286" t="str">
            <v>-</v>
          </cell>
          <cell r="J3286" t="str">
            <v>Domestic</v>
          </cell>
          <cell r="K3286" t="str">
            <v>ETP/STP/WTP</v>
          </cell>
          <cell r="L3286" t="str">
            <v>Non-Sugar</v>
          </cell>
          <cell r="M3286" t="str">
            <v>OEM</v>
          </cell>
          <cell r="O3286" t="str">
            <v>-</v>
          </cell>
          <cell r="P3286" t="str">
            <v>HO</v>
          </cell>
          <cell r="Q3286" t="str">
            <v>-</v>
          </cell>
          <cell r="T3286" t="str">
            <v>-</v>
          </cell>
          <cell r="U3286" t="str">
            <v>-</v>
          </cell>
          <cell r="W3286" t="str">
            <v>-</v>
          </cell>
        </row>
        <row r="3287">
          <cell r="F3287" t="str">
            <v>NAGP01V088</v>
          </cell>
          <cell r="G3287" t="str">
            <v>VISHVARAJ ENVIRONMENT PVT LTD</v>
          </cell>
          <cell r="H3287" t="str">
            <v>-</v>
          </cell>
          <cell r="J3287" t="str">
            <v>Domestic</v>
          </cell>
          <cell r="L3287" t="str">
            <v>Non-Sugar</v>
          </cell>
          <cell r="P3287" t="str">
            <v>WI-SV</v>
          </cell>
          <cell r="Q3287" t="str">
            <v>SUDHIR</v>
          </cell>
        </row>
        <row r="3288">
          <cell r="F3288" t="str">
            <v>RAIP01V078</v>
          </cell>
          <cell r="G3288" t="str">
            <v>VIVAAN CONSULTANCY SERVICES</v>
          </cell>
          <cell r="H3288" t="str">
            <v>-</v>
          </cell>
          <cell r="J3288" t="str">
            <v>Domestic</v>
          </cell>
          <cell r="L3288" t="str">
            <v>Non-Sugar</v>
          </cell>
          <cell r="O3288" t="str">
            <v>-</v>
          </cell>
          <cell r="P3288" t="str">
            <v>-</v>
          </cell>
          <cell r="Q3288" t="str">
            <v>-</v>
          </cell>
        </row>
        <row r="3289">
          <cell r="F3289" t="str">
            <v>PUNE01V106</v>
          </cell>
          <cell r="G3289" t="str">
            <v>VKMS VENTURES INDIA (DELTA SUGAR COMPANY -GIZA (EGYPT))</v>
          </cell>
          <cell r="H3289" t="str">
            <v>-</v>
          </cell>
          <cell r="J3289" t="str">
            <v>Domestic</v>
          </cell>
          <cell r="L3289" t="str">
            <v>Non-Sugar</v>
          </cell>
          <cell r="M3289" t="str">
            <v>OEM</v>
          </cell>
          <cell r="O3289" t="str">
            <v>-</v>
          </cell>
          <cell r="P3289" t="str">
            <v>HO</v>
          </cell>
          <cell r="Q3289" t="str">
            <v>AVIRAL SHUKLA</v>
          </cell>
        </row>
        <row r="3290">
          <cell r="F3290" t="str">
            <v>PUNE01V092</v>
          </cell>
          <cell r="G3290" t="str">
            <v>VORIAL GROUP</v>
          </cell>
          <cell r="H3290" t="str">
            <v>-</v>
          </cell>
          <cell r="J3290" t="str">
            <v>Domestic</v>
          </cell>
          <cell r="L3290" t="str">
            <v>Non-Sugar</v>
          </cell>
          <cell r="O3290" t="str">
            <v>-</v>
          </cell>
          <cell r="P3290" t="str">
            <v>-</v>
          </cell>
          <cell r="Q3290" t="str">
            <v>-</v>
          </cell>
        </row>
        <row r="3291">
          <cell r="F3291" t="str">
            <v>RAIP01V102</v>
          </cell>
          <cell r="G3291" t="str">
            <v>VSM POLYOLS PVT. LTD</v>
          </cell>
          <cell r="H3291" t="str">
            <v>-</v>
          </cell>
          <cell r="J3291" t="str">
            <v>Domestic</v>
          </cell>
          <cell r="L3291" t="str">
            <v>Non-Sugar</v>
          </cell>
          <cell r="O3291" t="str">
            <v>-</v>
          </cell>
          <cell r="P3291" t="str">
            <v>-</v>
          </cell>
          <cell r="Q3291" t="str">
            <v>-</v>
          </cell>
        </row>
        <row r="3292">
          <cell r="F3292" t="str">
            <v>CHEN1V064</v>
          </cell>
          <cell r="G3292" t="str">
            <v>VULCAN ELASTOLAN</v>
          </cell>
          <cell r="H3292" t="str">
            <v>-</v>
          </cell>
          <cell r="J3292" t="str">
            <v>Domestic</v>
          </cell>
          <cell r="L3292" t="str">
            <v>Non-Sugar</v>
          </cell>
          <cell r="O3292" t="str">
            <v>-</v>
          </cell>
          <cell r="P3292" t="str">
            <v>-</v>
          </cell>
          <cell r="Q3292" t="str">
            <v>-</v>
          </cell>
        </row>
        <row r="3293">
          <cell r="F3293" t="str">
            <v>CHEN01W035</v>
          </cell>
          <cell r="G3293" t="str">
            <v>WALSON INDUSTRY PVT.LTD</v>
          </cell>
          <cell r="H3293" t="str">
            <v>-</v>
          </cell>
          <cell r="J3293" t="str">
            <v>Domestic</v>
          </cell>
          <cell r="L3293" t="str">
            <v>Non-Sugar</v>
          </cell>
          <cell r="O3293" t="str">
            <v>-</v>
          </cell>
          <cell r="P3293" t="str">
            <v>-</v>
          </cell>
          <cell r="Q3293" t="str">
            <v>-</v>
          </cell>
        </row>
        <row r="3294">
          <cell r="F3294" t="str">
            <v>KOLH01W028</v>
          </cell>
          <cell r="G3294" t="str">
            <v>WARNA DAIRY</v>
          </cell>
          <cell r="H3294" t="str">
            <v>-</v>
          </cell>
          <cell r="J3294" t="str">
            <v>Domestic</v>
          </cell>
          <cell r="K3294" t="str">
            <v>Sugar</v>
          </cell>
          <cell r="M3294" t="str">
            <v>End User</v>
          </cell>
          <cell r="O3294" t="str">
            <v>-</v>
          </cell>
          <cell r="P3294" t="str">
            <v>MRK</v>
          </cell>
          <cell r="Q3294" t="str">
            <v>MRK</v>
          </cell>
          <cell r="R3294" t="str">
            <v>VG</v>
          </cell>
          <cell r="T3294" t="str">
            <v>TOUR-5 (KOLHAPUR)</v>
          </cell>
          <cell r="U3294" t="str">
            <v>22-23</v>
          </cell>
          <cell r="W3294">
            <v>44798</v>
          </cell>
        </row>
        <row r="3295">
          <cell r="F3295" t="str">
            <v>NAGP01W036</v>
          </cell>
          <cell r="G3295" t="str">
            <v>WATER TECH SERVICES</v>
          </cell>
          <cell r="H3295" t="str">
            <v>-</v>
          </cell>
          <cell r="J3295" t="str">
            <v>Domestic</v>
          </cell>
          <cell r="L3295" t="str">
            <v>Non-Sugar</v>
          </cell>
          <cell r="O3295" t="str">
            <v>-</v>
          </cell>
          <cell r="P3295" t="str">
            <v>-</v>
          </cell>
          <cell r="Q3295" t="str">
            <v>-</v>
          </cell>
        </row>
        <row r="3296">
          <cell r="F3296" t="str">
            <v>KASH01W044</v>
          </cell>
          <cell r="G3296" t="str">
            <v>WAY2HEIGHT PRIVATE LIMITED</v>
          </cell>
          <cell r="H3296" t="str">
            <v>-</v>
          </cell>
          <cell r="J3296" t="str">
            <v>Domestic</v>
          </cell>
          <cell r="L3296" t="str">
            <v>Non-Sugar</v>
          </cell>
          <cell r="O3296" t="str">
            <v>-</v>
          </cell>
          <cell r="P3296" t="str">
            <v>-</v>
          </cell>
          <cell r="Q3296" t="str">
            <v>-</v>
          </cell>
        </row>
        <row r="3297">
          <cell r="F3297" t="str">
            <v>PUNE01W043</v>
          </cell>
          <cell r="G3297" t="str">
            <v>WEST INDIA</v>
          </cell>
          <cell r="H3297" t="str">
            <v>-</v>
          </cell>
          <cell r="J3297" t="str">
            <v>Domestic</v>
          </cell>
          <cell r="L3297" t="str">
            <v>Non-Sugar</v>
          </cell>
          <cell r="P3297" t="str">
            <v>WI-SV</v>
          </cell>
          <cell r="Q3297" t="str">
            <v>SUDHIR</v>
          </cell>
        </row>
        <row r="3298">
          <cell r="F3298" t="str">
            <v>DLHI01W041</v>
          </cell>
          <cell r="G3298" t="str">
            <v>WINDSOR CHOCOLATE</v>
          </cell>
          <cell r="H3298" t="str">
            <v>-</v>
          </cell>
          <cell r="J3298" t="str">
            <v>Domestic</v>
          </cell>
          <cell r="L3298" t="str">
            <v>Non-Sugar</v>
          </cell>
          <cell r="O3298" t="str">
            <v>-</v>
          </cell>
          <cell r="P3298" t="str">
            <v>-</v>
          </cell>
          <cell r="Q3298" t="str">
            <v>-</v>
          </cell>
        </row>
        <row r="3299">
          <cell r="F3299" t="str">
            <v>DLHI01W037</v>
          </cell>
          <cell r="G3299" t="str">
            <v>WORLDREF TECHNOLOGIES</v>
          </cell>
          <cell r="H3299" t="str">
            <v>-</v>
          </cell>
          <cell r="J3299" t="str">
            <v>Domestic</v>
          </cell>
          <cell r="L3299" t="str">
            <v>Non-Sugar</v>
          </cell>
          <cell r="M3299" t="str">
            <v>Trader</v>
          </cell>
          <cell r="O3299" t="str">
            <v>-</v>
          </cell>
          <cell r="P3299" t="str">
            <v>-</v>
          </cell>
          <cell r="Q3299" t="str">
            <v>-</v>
          </cell>
        </row>
        <row r="3300">
          <cell r="F3300" t="str">
            <v>NODA01W032</v>
          </cell>
          <cell r="G3300" t="str">
            <v>WORLDREF TECHNOLOGIES PRIVATE LIMITED</v>
          </cell>
          <cell r="H3300" t="str">
            <v>-</v>
          </cell>
          <cell r="J3300" t="str">
            <v>Domestic</v>
          </cell>
          <cell r="K3300" t="str">
            <v>-</v>
          </cell>
          <cell r="L3300" t="str">
            <v>Non-Sugar</v>
          </cell>
          <cell r="M3300" t="str">
            <v>Trader</v>
          </cell>
          <cell r="O3300" t="str">
            <v>-</v>
          </cell>
          <cell r="P3300" t="str">
            <v>-</v>
          </cell>
          <cell r="Q3300" t="str">
            <v>-</v>
          </cell>
          <cell r="R3300" t="str">
            <v>-</v>
          </cell>
          <cell r="T3300" t="str">
            <v>-</v>
          </cell>
          <cell r="U3300" t="str">
            <v>-</v>
          </cell>
          <cell r="W3300" t="str">
            <v>-</v>
          </cell>
        </row>
        <row r="3301">
          <cell r="F3301" t="str">
            <v>ROXA01W039</v>
          </cell>
          <cell r="G3301" t="str">
            <v>WVM ENGG SERVICES</v>
          </cell>
          <cell r="H3301" t="str">
            <v>-</v>
          </cell>
          <cell r="J3301" t="str">
            <v>Export</v>
          </cell>
          <cell r="L3301" t="str">
            <v>Non-Sugar</v>
          </cell>
          <cell r="O3301" t="str">
            <v>-</v>
          </cell>
          <cell r="P3301" t="str">
            <v>VA</v>
          </cell>
          <cell r="Q3301" t="str">
            <v>ANKUR</v>
          </cell>
        </row>
        <row r="3302">
          <cell r="F3302" t="str">
            <v>PUNE01Y017</v>
          </cell>
          <cell r="G3302" t="str">
            <v>YANTRIK ENGINEERS</v>
          </cell>
          <cell r="H3302" t="str">
            <v>-</v>
          </cell>
          <cell r="J3302" t="str">
            <v>Domestic</v>
          </cell>
          <cell r="K3302" t="str">
            <v>OTHERS</v>
          </cell>
          <cell r="L3302" t="str">
            <v>Non-Sugar</v>
          </cell>
          <cell r="M3302" t="str">
            <v>End User</v>
          </cell>
          <cell r="P3302" t="str">
            <v>AV</v>
          </cell>
          <cell r="Q3302" t="str">
            <v>AV</v>
          </cell>
          <cell r="R3302" t="str">
            <v>OEM</v>
          </cell>
        </row>
        <row r="3303">
          <cell r="F3303" t="str">
            <v>SANG01Y018</v>
          </cell>
          <cell r="G3303" t="str">
            <v>YASHWANT SAHAKARI GLUCOSE KARKHANA LTD</v>
          </cell>
          <cell r="H3303" t="str">
            <v>-</v>
          </cell>
          <cell r="J3303" t="str">
            <v>Domestic</v>
          </cell>
          <cell r="K3303" t="str">
            <v>Sugar</v>
          </cell>
          <cell r="M3303" t="str">
            <v>End User</v>
          </cell>
          <cell r="O3303" t="str">
            <v>-</v>
          </cell>
          <cell r="P3303" t="str">
            <v>MRK</v>
          </cell>
          <cell r="Q3303" t="str">
            <v>MRK</v>
          </cell>
          <cell r="R3303" t="str">
            <v>VG</v>
          </cell>
          <cell r="T3303" t="str">
            <v>TOUR-6 (SANGLI)</v>
          </cell>
          <cell r="U3303" t="str">
            <v>24-25</v>
          </cell>
          <cell r="W3303" t="str">
            <v>28-01-2025
8/22/2023</v>
          </cell>
        </row>
        <row r="3304">
          <cell r="F3304" t="str">
            <v>VENG01Z006</v>
          </cell>
          <cell r="G3304" t="str">
            <v>ZANTYE KAJU</v>
          </cell>
          <cell r="H3304" t="str">
            <v>-</v>
          </cell>
          <cell r="J3304" t="str">
            <v>Domestic</v>
          </cell>
          <cell r="L3304" t="str">
            <v>Non-Sugar</v>
          </cell>
          <cell r="P3304" t="str">
            <v>WI-SV</v>
          </cell>
          <cell r="Q3304" t="str">
            <v>SUDHIR</v>
          </cell>
        </row>
        <row r="3305">
          <cell r="F3305" t="str">
            <v>GUJA01Z004</v>
          </cell>
          <cell r="G3305" t="str">
            <v>ZEB PHARMA</v>
          </cell>
          <cell r="H3305" t="str">
            <v>-</v>
          </cell>
          <cell r="J3305" t="str">
            <v>Domestic</v>
          </cell>
          <cell r="L3305" t="str">
            <v>Non-Sugar</v>
          </cell>
          <cell r="O3305" t="str">
            <v>-</v>
          </cell>
          <cell r="P3305" t="str">
            <v>HO</v>
          </cell>
          <cell r="Q3305" t="str">
            <v>-</v>
          </cell>
        </row>
        <row r="3306">
          <cell r="F3306" t="str">
            <v>PUNE01Z005</v>
          </cell>
          <cell r="G3306" t="str">
            <v>ZEUZER ENGINEERS INDIA PVT LTD</v>
          </cell>
          <cell r="H3306" t="str">
            <v>-</v>
          </cell>
          <cell r="J3306" t="str">
            <v>Domestic</v>
          </cell>
          <cell r="L3306" t="str">
            <v>Non-Sugar</v>
          </cell>
          <cell r="P3306" t="str">
            <v>WI-SV</v>
          </cell>
          <cell r="Q3306" t="str">
            <v>SUDHIR</v>
          </cell>
        </row>
        <row r="3307">
          <cell r="F3307" t="str">
            <v>RUDR01P177</v>
          </cell>
          <cell r="G3307" t="str">
            <v>PARKSONS PACKAGING LTD</v>
          </cell>
          <cell r="J3307" t="str">
            <v>Domestic</v>
          </cell>
          <cell r="P3307" t="str">
            <v>HO</v>
          </cell>
          <cell r="Q3307" t="str">
            <v>-</v>
          </cell>
        </row>
        <row r="3308">
          <cell r="F3308" t="str">
            <v>HARD01I110</v>
          </cell>
          <cell r="G3308" t="str">
            <v>ITC LIMITED</v>
          </cell>
          <cell r="J3308" t="str">
            <v>Domestic</v>
          </cell>
          <cell r="P3308" t="str">
            <v>HO</v>
          </cell>
          <cell r="Q3308" t="str">
            <v>AMRESH VERMA</v>
          </cell>
          <cell r="U3308" t="str">
            <v>25-26</v>
          </cell>
          <cell r="W3308">
            <v>46114</v>
          </cell>
        </row>
        <row r="3309">
          <cell r="F3309" t="str">
            <v>PANI01I111</v>
          </cell>
          <cell r="G3309" t="str">
            <v>INDIAN OIL CORPORATION LIMITED - PANIPAT</v>
          </cell>
          <cell r="J3309" t="str">
            <v>Domestic</v>
          </cell>
          <cell r="P3309" t="str">
            <v>HO</v>
          </cell>
          <cell r="Q3309" t="str">
            <v>-</v>
          </cell>
        </row>
        <row r="3310">
          <cell r="F3310" t="str">
            <v>RUDR01P178</v>
          </cell>
          <cell r="G3310" t="str">
            <v>POLYPLEX CORPORATION</v>
          </cell>
          <cell r="J3310" t="str">
            <v>Domestic</v>
          </cell>
          <cell r="P3310" t="str">
            <v>HO</v>
          </cell>
          <cell r="Q3310" t="str">
            <v>-</v>
          </cell>
        </row>
        <row r="3311">
          <cell r="F3311" t="str">
            <v>CHEN01G147</v>
          </cell>
          <cell r="G3311" t="str">
            <v>GI TECHNOLOGIES</v>
          </cell>
          <cell r="J3311" t="str">
            <v>Domestic</v>
          </cell>
          <cell r="P3311" t="str">
            <v>SI-SIVA</v>
          </cell>
          <cell r="Q3311" t="str">
            <v>M SIVA</v>
          </cell>
        </row>
        <row r="3312">
          <cell r="F3312" t="str">
            <v>GUJA01M228</v>
          </cell>
          <cell r="G3312" t="str">
            <v>MAHESHWARI INDUSTRIES</v>
          </cell>
          <cell r="J3312" t="str">
            <v>Domestic</v>
          </cell>
          <cell r="P3312" t="str">
            <v>HO</v>
          </cell>
          <cell r="Q3312" t="str">
            <v>-</v>
          </cell>
        </row>
        <row r="3313">
          <cell r="F3313" t="str">
            <v>NODA01K161</v>
          </cell>
          <cell r="G3313" t="str">
            <v>KAMAL SWEET</v>
          </cell>
          <cell r="J3313" t="str">
            <v>Domestic</v>
          </cell>
          <cell r="P3313" t="str">
            <v>HO</v>
          </cell>
          <cell r="Q3313" t="str">
            <v>-</v>
          </cell>
        </row>
        <row r="3314">
          <cell r="F3314" t="str">
            <v>VARA01T217</v>
          </cell>
          <cell r="G3314" t="str">
            <v>TROCKS FISH FEEDS</v>
          </cell>
          <cell r="H3314" t="str">
            <v>25-26</v>
          </cell>
          <cell r="J3314" t="str">
            <v>Domestic</v>
          </cell>
          <cell r="L3314" t="str">
            <v>Non-Sugar</v>
          </cell>
          <cell r="M3314" t="str">
            <v>End User</v>
          </cell>
          <cell r="P3314" t="str">
            <v>NI</v>
          </cell>
          <cell r="Q3314" t="str">
            <v>HIMANSHU KUSHWAHA</v>
          </cell>
        </row>
        <row r="3315">
          <cell r="F3315" t="str">
            <v>FARD01S580</v>
          </cell>
          <cell r="G3315" t="str">
            <v>SHUBHAM FLEXIBLE PACKAGING MACHINES</v>
          </cell>
          <cell r="J3315" t="str">
            <v>Domestic</v>
          </cell>
          <cell r="P3315" t="str">
            <v>HO</v>
          </cell>
          <cell r="Q3315" t="str">
            <v>-</v>
          </cell>
        </row>
        <row r="3316">
          <cell r="F3316" t="str">
            <v>JAMM01A270</v>
          </cell>
          <cell r="G3316" t="str">
            <v>AAZIN FORMULATION</v>
          </cell>
          <cell r="J3316" t="str">
            <v>Domestic</v>
          </cell>
          <cell r="P3316" t="str">
            <v>HO</v>
          </cell>
          <cell r="Q3316" t="str">
            <v>-</v>
          </cell>
        </row>
        <row r="3317">
          <cell r="F3317" t="str">
            <v>CHEN01B188</v>
          </cell>
          <cell r="G3317" t="str">
            <v>BIRLA CARBON</v>
          </cell>
          <cell r="J3317" t="str">
            <v>Domestic</v>
          </cell>
          <cell r="P3317" t="str">
            <v>SI-SIVA</v>
          </cell>
          <cell r="Q3317" t="str">
            <v>M SIVA</v>
          </cell>
        </row>
        <row r="3318">
          <cell r="F3318" t="str">
            <v>AHMD01S581</v>
          </cell>
          <cell r="G3318" t="str">
            <v>SAHAKAR MAHARSHI SHIVAJIRAO NARAYANRAO NAGAWADE SSK LIMITED</v>
          </cell>
          <cell r="J3318" t="str">
            <v>Domestic</v>
          </cell>
          <cell r="P3318" t="str">
            <v>AV</v>
          </cell>
          <cell r="Q3318" t="str">
            <v>-</v>
          </cell>
        </row>
        <row r="3319">
          <cell r="F3319" t="str">
            <v>FARD01U073</v>
          </cell>
          <cell r="G3319" t="str">
            <v>U FLEX LTD</v>
          </cell>
          <cell r="J3319" t="str">
            <v>Domestic</v>
          </cell>
          <cell r="P3319" t="str">
            <v>HO</v>
          </cell>
          <cell r="Q3319" t="str">
            <v>-</v>
          </cell>
        </row>
        <row r="3320">
          <cell r="F3320" t="str">
            <v>CHEN01C124</v>
          </cell>
          <cell r="G3320" t="str">
            <v>CARBORUNDUM UNIVERSAL LIMITED</v>
          </cell>
          <cell r="J3320" t="str">
            <v>Domestic</v>
          </cell>
          <cell r="P3320" t="str">
            <v>SI-SIVA</v>
          </cell>
          <cell r="Q3320" t="str">
            <v>M SIVA</v>
          </cell>
        </row>
        <row r="3321">
          <cell r="F3321" t="str">
            <v>DLHI01A271</v>
          </cell>
          <cell r="G3321" t="str">
            <v>AKHILESH SAINI</v>
          </cell>
          <cell r="J3321" t="str">
            <v>Domestic</v>
          </cell>
          <cell r="P3321" t="str">
            <v>HO</v>
          </cell>
          <cell r="Q3321" t="str">
            <v>-</v>
          </cell>
        </row>
        <row r="3322">
          <cell r="F3322" t="str">
            <v>GWAL01F059</v>
          </cell>
          <cell r="G3322" t="str">
            <v>FUMA PVT LTD GWALIOR</v>
          </cell>
          <cell r="J3322" t="str">
            <v>Domestic</v>
          </cell>
          <cell r="P3322" t="str">
            <v>HO</v>
          </cell>
          <cell r="Q3322" t="str">
            <v>-</v>
          </cell>
        </row>
        <row r="3323">
          <cell r="F3323" t="str">
            <v>GUJA01S582</v>
          </cell>
          <cell r="G3323" t="str">
            <v>SOLENIS CHEMICAL</v>
          </cell>
          <cell r="J3323" t="str">
            <v>Domestic</v>
          </cell>
          <cell r="P3323" t="str">
            <v>HO</v>
          </cell>
          <cell r="Q3323" t="str">
            <v>-</v>
          </cell>
        </row>
        <row r="3324">
          <cell r="F3324" t="str">
            <v>UDAI01K162</v>
          </cell>
          <cell r="G3324" t="str">
            <v>KISHOR CORPORATION</v>
          </cell>
          <cell r="J3324" t="str">
            <v>Domestic</v>
          </cell>
          <cell r="P3324" t="str">
            <v>HO</v>
          </cell>
          <cell r="Q3324" t="str">
            <v>-</v>
          </cell>
        </row>
        <row r="3325">
          <cell r="F3325" t="str">
            <v>MUMB01P179</v>
          </cell>
          <cell r="G3325" t="str">
            <v>PEMACPROJECTS ENGINEERING</v>
          </cell>
          <cell r="J3325" t="str">
            <v>Domestic</v>
          </cell>
          <cell r="P3325" t="str">
            <v>WI-SV</v>
          </cell>
          <cell r="Q3325" t="str">
            <v>SUDHIR</v>
          </cell>
        </row>
        <row r="3326">
          <cell r="F3326" t="str">
            <v>PUNE01B189</v>
          </cell>
          <cell r="G3326" t="str">
            <v>BAKHRESA GROUP</v>
          </cell>
          <cell r="J3326" t="str">
            <v>Domestic</v>
          </cell>
          <cell r="P3326" t="str">
            <v>HO</v>
          </cell>
          <cell r="Q3326" t="str">
            <v>-</v>
          </cell>
        </row>
        <row r="3327">
          <cell r="F3327" t="str">
            <v>FARD01P180</v>
          </cell>
          <cell r="G3327" t="str">
            <v>POLLUCON ENGINEERING SERVICES</v>
          </cell>
          <cell r="J3327" t="str">
            <v>Domestic</v>
          </cell>
          <cell r="P3327" t="str">
            <v>HO</v>
          </cell>
          <cell r="Q3327" t="str">
            <v>-</v>
          </cell>
        </row>
        <row r="3328">
          <cell r="F3328" t="str">
            <v>DLHI01A272</v>
          </cell>
          <cell r="G3328" t="str">
            <v>ANMOL POLYMERS CHEMICALS</v>
          </cell>
          <cell r="J3328" t="str">
            <v>Domestic</v>
          </cell>
          <cell r="P3328" t="str">
            <v>HO</v>
          </cell>
          <cell r="Q3328" t="str">
            <v>-</v>
          </cell>
          <cell r="S3328" t="str">
            <v>https://maps.app.goo.gl/2Px4Ddxd55SZmTP88</v>
          </cell>
          <cell r="U3328" t="str">
            <v>26-27</v>
          </cell>
          <cell r="V3328" t="str">
            <v>May</v>
          </cell>
          <cell r="W3328">
            <v>46164</v>
          </cell>
        </row>
        <row r="3329">
          <cell r="F3329" t="str">
            <v>PUNE01A273</v>
          </cell>
          <cell r="G3329" t="str">
            <v>ASK CHEMICALS INDIA PVT LTD</v>
          </cell>
          <cell r="J3329" t="str">
            <v>Domestic</v>
          </cell>
          <cell r="P3329" t="str">
            <v>WI-SV</v>
          </cell>
          <cell r="Q3329" t="str">
            <v>SUDHIR</v>
          </cell>
        </row>
        <row r="3330">
          <cell r="F3330" t="str">
            <v>JAMK01B187</v>
          </cell>
          <cell r="G3330" t="str">
            <v>BARAMATI AGRO LTD SUGAR UNIT 3</v>
          </cell>
          <cell r="H3330" t="str">
            <v>25-26</v>
          </cell>
          <cell r="I3330" t="str">
            <v>-</v>
          </cell>
          <cell r="J3330" t="str">
            <v>Domestic</v>
          </cell>
          <cell r="K3330" t="str">
            <v>Sugar</v>
          </cell>
          <cell r="L3330" t="str">
            <v>Sugar</v>
          </cell>
          <cell r="M3330" t="str">
            <v>End User</v>
          </cell>
          <cell r="N3330" t="str">
            <v>(0-5000)</v>
          </cell>
          <cell r="O3330">
            <v>3000</v>
          </cell>
          <cell r="P3330" t="str">
            <v>AV</v>
          </cell>
          <cell r="Q3330" t="str">
            <v>AV</v>
          </cell>
          <cell r="R3330" t="str">
            <v>PD</v>
          </cell>
          <cell r="T3330" t="str">
            <v>Ahmednagar - 2</v>
          </cell>
        </row>
        <row r="3331">
          <cell r="F3331" t="str">
            <v>SOLP01V115</v>
          </cell>
          <cell r="G3331" t="str">
            <v>VRINDAVAN SUGAR AND ALLIED PRODUCTS LLP (Formerly INDRESHWAR SUGAR MILLS LTD_I011)</v>
          </cell>
          <cell r="H3331">
            <v>2013</v>
          </cell>
          <cell r="I3331" t="str">
            <v>-</v>
          </cell>
          <cell r="J3331" t="str">
            <v>Domestic</v>
          </cell>
          <cell r="K3331" t="str">
            <v>Sugar</v>
          </cell>
          <cell r="L3331" t="str">
            <v>Sugar</v>
          </cell>
          <cell r="M3331" t="str">
            <v>End User</v>
          </cell>
          <cell r="N3331" t="str">
            <v>(0-5000)</v>
          </cell>
          <cell r="O3331">
            <v>4500</v>
          </cell>
          <cell r="P3331" t="str">
            <v>AV</v>
          </cell>
          <cell r="Q3331" t="str">
            <v>AV</v>
          </cell>
          <cell r="R3331" t="str">
            <v>PD</v>
          </cell>
          <cell r="T3331" t="str">
            <v>Solapur - 2</v>
          </cell>
          <cell r="U3331" t="str">
            <v>24-25</v>
          </cell>
          <cell r="W3331" t="str">
            <v>20-06-2024
16-02-2024</v>
          </cell>
        </row>
        <row r="3332">
          <cell r="F3332" t="str">
            <v>MERT01A277</v>
          </cell>
          <cell r="G3332" t="str">
            <v>A R ENGINEER &amp; ALLIED PRODUCTS</v>
          </cell>
          <cell r="J3332" t="str">
            <v>Domestic</v>
          </cell>
          <cell r="L3332" t="str">
            <v>Non-Sugar</v>
          </cell>
          <cell r="M3332" t="str">
            <v>OEM</v>
          </cell>
          <cell r="P3332" t="str">
            <v>HO</v>
          </cell>
          <cell r="Q3332" t="str">
            <v>AVIRAL SHUKLA</v>
          </cell>
        </row>
        <row r="3333">
          <cell r="F3333" t="str">
            <v>GURG01A274</v>
          </cell>
          <cell r="G3333" t="str">
            <v>AASTHA ENVIRO ENGINEERS PVT LTD</v>
          </cell>
          <cell r="J3333" t="str">
            <v>Domestic</v>
          </cell>
          <cell r="L3333" t="str">
            <v>Non-Sugar</v>
          </cell>
          <cell r="M3333" t="str">
            <v>OEM</v>
          </cell>
          <cell r="P3333" t="str">
            <v>HO</v>
          </cell>
          <cell r="Q3333" t="str">
            <v>AVIRAL SHUKLA</v>
          </cell>
        </row>
        <row r="3334">
          <cell r="F3334" t="str">
            <v>LUCK01A275</v>
          </cell>
          <cell r="G3334" t="str">
            <v>ANAND BIOTECHANAND BIOTECH PVT LTD</v>
          </cell>
          <cell r="J3334" t="str">
            <v>Domestic</v>
          </cell>
          <cell r="K3334" t="str">
            <v>BIOGAS</v>
          </cell>
          <cell r="L3334" t="str">
            <v>Non-Sugar</v>
          </cell>
          <cell r="M3334" t="str">
            <v>OEM</v>
          </cell>
          <cell r="P3334" t="str">
            <v>NI</v>
          </cell>
          <cell r="Q3334" t="str">
            <v>AMIT SRIVASTAVA</v>
          </cell>
          <cell r="W3334">
            <v>46035</v>
          </cell>
        </row>
        <row r="3335">
          <cell r="F3335" t="str">
            <v>JAIP01B191</v>
          </cell>
          <cell r="G3335" t="str">
            <v>BNG POWER AND ENERGY LLP</v>
          </cell>
          <cell r="J3335" t="str">
            <v>Domestic</v>
          </cell>
          <cell r="L3335" t="str">
            <v>Non-Sugar</v>
          </cell>
          <cell r="M3335" t="str">
            <v>OEM</v>
          </cell>
          <cell r="P3335" t="str">
            <v>HO</v>
          </cell>
          <cell r="Q3335" t="str">
            <v>AVIRAL SHUKLA</v>
          </cell>
        </row>
        <row r="3336">
          <cell r="F3336" t="str">
            <v>JANA01C125</v>
          </cell>
          <cell r="G3336" t="str">
            <v>CHANDRIKA DISTILLERY</v>
          </cell>
          <cell r="J3336" t="str">
            <v>Export</v>
          </cell>
          <cell r="L3336" t="str">
            <v>Non-Sugar</v>
          </cell>
          <cell r="M3336" t="str">
            <v>End User</v>
          </cell>
          <cell r="P3336" t="str">
            <v>HO</v>
          </cell>
          <cell r="Q3336" t="str">
            <v>AVIRAL SHUKLA</v>
          </cell>
        </row>
        <row r="3337">
          <cell r="F3337" t="str">
            <v>NODA01D124</v>
          </cell>
          <cell r="G3337" t="str">
            <v>DEGNA BIOENERGY PRIVATE LIMITED</v>
          </cell>
          <cell r="J3337" t="str">
            <v>Domestic</v>
          </cell>
          <cell r="K3337" t="str">
            <v>BIOGAS</v>
          </cell>
          <cell r="L3337" t="str">
            <v>Non-Sugar</v>
          </cell>
          <cell r="M3337" t="str">
            <v>OEM</v>
          </cell>
          <cell r="P3337" t="str">
            <v>HO</v>
          </cell>
          <cell r="Q3337" t="str">
            <v>AVIRAL SHUKLA</v>
          </cell>
        </row>
        <row r="3338">
          <cell r="F3338" t="str">
            <v>PALW01E086</v>
          </cell>
          <cell r="G3338" t="str">
            <v>EKAUM NATURE PRO TEC</v>
          </cell>
          <cell r="J3338" t="str">
            <v>Domestic</v>
          </cell>
          <cell r="L3338" t="str">
            <v>Non-Sugar</v>
          </cell>
          <cell r="M3338" t="str">
            <v>OEM</v>
          </cell>
          <cell r="P3338" t="str">
            <v>HO</v>
          </cell>
          <cell r="Q3338" t="str">
            <v>AVIRAL SHUKLA</v>
          </cell>
        </row>
        <row r="3339">
          <cell r="F3339" t="str">
            <v>GHZB01E084</v>
          </cell>
          <cell r="G3339" t="str">
            <v>ERECTION INSTRUMENTATION PVT LTD</v>
          </cell>
          <cell r="J3339" t="str">
            <v>Domestic</v>
          </cell>
          <cell r="L3339" t="str">
            <v>Non-Sugar</v>
          </cell>
          <cell r="M3339" t="str">
            <v>OEM</v>
          </cell>
          <cell r="P3339" t="str">
            <v>HO</v>
          </cell>
          <cell r="Q3339" t="str">
            <v>AVIRAL SHUKLA</v>
          </cell>
        </row>
        <row r="3340">
          <cell r="F3340" t="str">
            <v>HYDE01E085</v>
          </cell>
          <cell r="G3340" t="str">
            <v>EVISSAT TECHNOLOGIES</v>
          </cell>
          <cell r="J3340" t="str">
            <v>Domestic</v>
          </cell>
          <cell r="L3340" t="str">
            <v>Non-Sugar</v>
          </cell>
          <cell r="M3340" t="str">
            <v>OEM</v>
          </cell>
          <cell r="P3340" t="str">
            <v>SI-SIVA</v>
          </cell>
          <cell r="Q3340" t="str">
            <v>M SIVA</v>
          </cell>
        </row>
        <row r="3341">
          <cell r="F3341" t="str">
            <v>HOCH01G148</v>
          </cell>
          <cell r="G3341" t="str">
            <v>GOSHU KOHSAN (VIETNAM) CO LTD</v>
          </cell>
          <cell r="J3341" t="str">
            <v>Export</v>
          </cell>
          <cell r="L3341" t="str">
            <v>Non-Sugar</v>
          </cell>
          <cell r="M3341" t="str">
            <v>OEM</v>
          </cell>
          <cell r="P3341" t="str">
            <v>VA</v>
          </cell>
          <cell r="Q3341" t="str">
            <v>VG</v>
          </cell>
        </row>
        <row r="3342">
          <cell r="F3342" t="str">
            <v>GUJA01G149</v>
          </cell>
          <cell r="G3342" t="str">
            <v>GRAINFUEL DISTILLERY (P) LTD</v>
          </cell>
          <cell r="H3342" t="str">
            <v>25-26</v>
          </cell>
          <cell r="J3342" t="str">
            <v>Domestic</v>
          </cell>
          <cell r="K3342" t="str">
            <v>Distillery</v>
          </cell>
          <cell r="L3342" t="str">
            <v>Non-Sugar</v>
          </cell>
          <cell r="M3342" t="str">
            <v>End User</v>
          </cell>
          <cell r="P3342" t="str">
            <v>NI</v>
          </cell>
          <cell r="Q3342" t="str">
            <v>AVIRAL SHUKLA</v>
          </cell>
        </row>
        <row r="3343">
          <cell r="F3343" t="str">
            <v>LUCK01H098</v>
          </cell>
          <cell r="G3343" t="str">
            <v>H L AGRO PRODUCTS (P) LTD</v>
          </cell>
          <cell r="J3343" t="str">
            <v>Domestic</v>
          </cell>
          <cell r="L3343" t="str">
            <v>Non-Sugar</v>
          </cell>
          <cell r="M3343" t="str">
            <v>OEM</v>
          </cell>
          <cell r="P3343" t="str">
            <v>HO</v>
          </cell>
          <cell r="Q3343" t="str">
            <v>AVIRAL SHUKLA</v>
          </cell>
        </row>
        <row r="3344">
          <cell r="F3344" t="str">
            <v>BANG01I113</v>
          </cell>
          <cell r="G3344" t="str">
            <v>INGWENYA MINERAL TECH PVT LTD</v>
          </cell>
          <cell r="J3344" t="str">
            <v>Domestic</v>
          </cell>
          <cell r="L3344" t="str">
            <v>Non-Sugar</v>
          </cell>
          <cell r="M3344" t="str">
            <v>OEM</v>
          </cell>
          <cell r="P3344" t="str">
            <v>SI-SIVA</v>
          </cell>
          <cell r="Q3344" t="str">
            <v>M SIVA</v>
          </cell>
          <cell r="R3344" t="str">
            <v>AMIT</v>
          </cell>
        </row>
        <row r="3345">
          <cell r="F3345" t="str">
            <v>BEED01J092</v>
          </cell>
          <cell r="G3345" t="str">
            <v>JAY BALIRAJA AGRO PVT LTD</v>
          </cell>
          <cell r="J3345" t="str">
            <v>Domestic</v>
          </cell>
          <cell r="L3345" t="str">
            <v>Non-Sugar</v>
          </cell>
          <cell r="M3345" t="str">
            <v>OEM</v>
          </cell>
          <cell r="P3345" t="str">
            <v>AV</v>
          </cell>
          <cell r="Q3345" t="str">
            <v>AV</v>
          </cell>
          <cell r="R3345" t="str">
            <v>PD</v>
          </cell>
        </row>
        <row r="3346">
          <cell r="F3346" t="str">
            <v>MUMB01J091</v>
          </cell>
          <cell r="G3346" t="str">
            <v>JWIL INFRA LTD</v>
          </cell>
          <cell r="J3346" t="str">
            <v>Domestic</v>
          </cell>
          <cell r="L3346" t="str">
            <v>Non-Sugar</v>
          </cell>
          <cell r="M3346" t="str">
            <v>OEM</v>
          </cell>
          <cell r="P3346" t="str">
            <v>WI-SV</v>
          </cell>
          <cell r="Q3346" t="str">
            <v>SUDHIR</v>
          </cell>
          <cell r="R3346" t="str">
            <v>-</v>
          </cell>
        </row>
        <row r="3347">
          <cell r="F3347" t="str">
            <v>BEED01L058</v>
          </cell>
          <cell r="G3347" t="str">
            <v>LOKNETE SUNDARRAOJI SOLANKE SAHAKARI SAKHAR KARKHANA LTD.(Formerly MAJALGAON SSK LTD.)</v>
          </cell>
          <cell r="H3347" t="str">
            <v>-</v>
          </cell>
          <cell r="J3347" t="str">
            <v>Domestic</v>
          </cell>
          <cell r="K3347" t="str">
            <v>Sugar</v>
          </cell>
          <cell r="L3347" t="str">
            <v>Sugar</v>
          </cell>
          <cell r="M3347" t="str">
            <v>End User</v>
          </cell>
          <cell r="N3347" t="str">
            <v>(0-5000)</v>
          </cell>
          <cell r="O3347">
            <v>5000</v>
          </cell>
          <cell r="P3347" t="str">
            <v>AV</v>
          </cell>
          <cell r="Q3347" t="str">
            <v>AV</v>
          </cell>
          <cell r="R3347" t="str">
            <v>PD</v>
          </cell>
          <cell r="S3347" t="str">
            <v>https://share.google/6oPyGGOcI3CZkaEti</v>
          </cell>
          <cell r="T3347" t="str">
            <v>Visit not required</v>
          </cell>
          <cell r="U3347" t="str">
            <v>25-26</v>
          </cell>
          <cell r="W3347" t="str">
            <v>9-1-2026
11/9/2023</v>
          </cell>
        </row>
        <row r="3348">
          <cell r="F3348" t="str">
            <v>MUMB01M229</v>
          </cell>
          <cell r="G3348" t="str">
            <v>MILES INDIA AUTOMOTIVE COMPONENTS&amp;LUBRICANTS</v>
          </cell>
          <cell r="H3348" t="str">
            <v>25-26</v>
          </cell>
          <cell r="J3348" t="str">
            <v>Domestic</v>
          </cell>
          <cell r="L3348" t="str">
            <v>Non-Sugar</v>
          </cell>
          <cell r="M3348" t="str">
            <v>End User</v>
          </cell>
          <cell r="P3348" t="str">
            <v>WI-SV</v>
          </cell>
          <cell r="Q3348" t="str">
            <v>SUDHIR</v>
          </cell>
          <cell r="R3348" t="str">
            <v>-</v>
          </cell>
          <cell r="U3348" t="str">
            <v>26-27</v>
          </cell>
          <cell r="V3348" t="str">
            <v>Apr</v>
          </cell>
          <cell r="W3348">
            <v>46207</v>
          </cell>
        </row>
        <row r="3349">
          <cell r="F3349" t="str">
            <v>HYDE01M231</v>
          </cell>
          <cell r="G3349" t="str">
            <v>MK TRADERS</v>
          </cell>
          <cell r="J3349" t="str">
            <v>Domestic</v>
          </cell>
          <cell r="L3349" t="str">
            <v>Non-Sugar</v>
          </cell>
          <cell r="M3349" t="str">
            <v>OEM</v>
          </cell>
          <cell r="P3349" t="str">
            <v>HO</v>
          </cell>
          <cell r="Q3349" t="str">
            <v>AVIRAL SHUKLA</v>
          </cell>
        </row>
        <row r="3350">
          <cell r="F3350" t="str">
            <v>NODA01N183</v>
          </cell>
          <cell r="G3350" t="str">
            <v>NEW ERA DAIRY ENGINEERS INDIA PVT LTD</v>
          </cell>
          <cell r="J3350" t="str">
            <v>Domestic</v>
          </cell>
          <cell r="L3350" t="str">
            <v>Non-Sugar</v>
          </cell>
          <cell r="M3350" t="str">
            <v>OEM</v>
          </cell>
          <cell r="P3350" t="str">
            <v>HO</v>
          </cell>
        </row>
        <row r="3351">
          <cell r="F3351" t="str">
            <v>MUMB01N182</v>
          </cell>
          <cell r="G3351" t="str">
            <v>NIKISU FINE CHEMICALS PVT LTD</v>
          </cell>
          <cell r="J3351" t="str">
            <v>Domestic</v>
          </cell>
          <cell r="L3351" t="str">
            <v>Non-Sugar</v>
          </cell>
          <cell r="M3351" t="str">
            <v>OEM</v>
          </cell>
          <cell r="P3351" t="str">
            <v>WI-SV</v>
          </cell>
          <cell r="Q3351" t="str">
            <v>SUDHIR</v>
          </cell>
          <cell r="R3351" t="str">
            <v>-</v>
          </cell>
        </row>
        <row r="3352">
          <cell r="F3352" t="str">
            <v>SANG01O051</v>
          </cell>
          <cell r="G3352" t="str">
            <v>ONKAR SAKHAR KARKHANA PVT LTD UNIT-16 (formerly Raigaon sugars_R105)</v>
          </cell>
          <cell r="H3352" t="str">
            <v>25-26</v>
          </cell>
          <cell r="I3352" t="str">
            <v>Onkar Group</v>
          </cell>
          <cell r="J3352" t="str">
            <v>Domestic</v>
          </cell>
          <cell r="K3352" t="str">
            <v>Sugar</v>
          </cell>
          <cell r="L3352" t="str">
            <v>Sugar</v>
          </cell>
          <cell r="M3352" t="str">
            <v>Group (Mills)</v>
          </cell>
          <cell r="N3352" t="str">
            <v>(0-5000)</v>
          </cell>
          <cell r="O3352">
            <v>3500</v>
          </cell>
          <cell r="P3352" t="str">
            <v>AV</v>
          </cell>
          <cell r="Q3352" t="str">
            <v>AV</v>
          </cell>
          <cell r="R3352" t="str">
            <v>VG</v>
          </cell>
          <cell r="T3352" t="str">
            <v>Sangli - 1</v>
          </cell>
          <cell r="U3352" t="str">
            <v>24-25</v>
          </cell>
          <cell r="W3352" t="str">
            <v>18-06-2024</v>
          </cell>
        </row>
        <row r="3353">
          <cell r="F3353" t="str">
            <v>KOLR01P183</v>
          </cell>
          <cell r="G3353" t="str">
            <v>PANACEA MEDICAL TECHNOLOGIES PVT LTD</v>
          </cell>
          <cell r="J3353" t="str">
            <v>Domestic</v>
          </cell>
          <cell r="L3353" t="str">
            <v>Non-Sugar</v>
          </cell>
          <cell r="M3353" t="str">
            <v>OEM</v>
          </cell>
          <cell r="P3353" t="str">
            <v>WI-SV</v>
          </cell>
          <cell r="Q3353" t="str">
            <v>SUDHIR</v>
          </cell>
          <cell r="R3353" t="str">
            <v>-</v>
          </cell>
        </row>
        <row r="3354">
          <cell r="F3354" t="str">
            <v>PUNE01P181</v>
          </cell>
          <cell r="G3354" t="str">
            <v>PARTH VALVES AND HOUSE LLP</v>
          </cell>
          <cell r="J3354" t="str">
            <v>Domestic</v>
          </cell>
          <cell r="L3354" t="str">
            <v>Non-Sugar</v>
          </cell>
          <cell r="M3354" t="str">
            <v>OEM</v>
          </cell>
          <cell r="P3354" t="str">
            <v>WI-SV</v>
          </cell>
          <cell r="Q3354" t="str">
            <v>SUDHIR</v>
          </cell>
          <cell r="R3354" t="str">
            <v>-</v>
          </cell>
        </row>
        <row r="3355">
          <cell r="F3355" t="str">
            <v>INDR01P182</v>
          </cell>
          <cell r="G3355" t="str">
            <v>PRK COMMODITIES</v>
          </cell>
          <cell r="J3355" t="str">
            <v>Domestic</v>
          </cell>
          <cell r="L3355" t="str">
            <v>Non-Sugar</v>
          </cell>
          <cell r="M3355" t="str">
            <v>OEM</v>
          </cell>
          <cell r="P3355" t="str">
            <v>HO</v>
          </cell>
          <cell r="Q3355" t="str">
            <v>AVIRAL SHUKLA</v>
          </cell>
        </row>
        <row r="3356">
          <cell r="F3356" t="str">
            <v>BHII01P185</v>
          </cell>
          <cell r="G3356" t="str">
            <v>PUNJ STAR INDUSTRIES PVT LTD</v>
          </cell>
          <cell r="J3356" t="str">
            <v>Domestic</v>
          </cell>
          <cell r="L3356" t="str">
            <v>Non-Sugar</v>
          </cell>
          <cell r="M3356" t="str">
            <v>OEM</v>
          </cell>
          <cell r="P3356" t="str">
            <v>HO</v>
          </cell>
          <cell r="Q3356" t="str">
            <v>AVIRAL SHUKLA</v>
          </cell>
        </row>
        <row r="3357">
          <cell r="F3357" t="str">
            <v>DURG01P184</v>
          </cell>
          <cell r="G3357" t="str">
            <v>PUNJ STAR THERMAL INSULATION PVT LTD</v>
          </cell>
          <cell r="J3357" t="str">
            <v>Domestic</v>
          </cell>
          <cell r="L3357" t="str">
            <v>Non-Sugar</v>
          </cell>
          <cell r="M3357" t="str">
            <v>OEM</v>
          </cell>
          <cell r="P3357" t="str">
            <v>HO</v>
          </cell>
          <cell r="Q3357" t="str">
            <v>AVIRAL SHUKLA</v>
          </cell>
        </row>
        <row r="3358">
          <cell r="F3358" t="str">
            <v>NARS01R148</v>
          </cell>
          <cell r="G3358" t="str">
            <v>RAJ RAJESHWARI SUGAR PVT LTD</v>
          </cell>
          <cell r="J3358" t="str">
            <v>Domestic</v>
          </cell>
          <cell r="L3358" t="str">
            <v>Non-Sugar</v>
          </cell>
          <cell r="M3358" t="str">
            <v>OEM</v>
          </cell>
          <cell r="P3358" t="str">
            <v>HO</v>
          </cell>
          <cell r="Q3358" t="str">
            <v>AVIRAL SHUKLA</v>
          </cell>
        </row>
        <row r="3359">
          <cell r="F3359" t="str">
            <v>BHIW01S587</v>
          </cell>
          <cell r="G3359" t="str">
            <v>SAKATA INDIA</v>
          </cell>
          <cell r="J3359" t="str">
            <v>Domestic</v>
          </cell>
          <cell r="L3359" t="str">
            <v>Non-Sugar</v>
          </cell>
          <cell r="M3359" t="str">
            <v>OEM</v>
          </cell>
          <cell r="P3359" t="str">
            <v>HO</v>
          </cell>
          <cell r="Q3359" t="str">
            <v>AVIRAL SHUKLA</v>
          </cell>
          <cell r="R3359" t="str">
            <v>AMIT SRIVASTAVA</v>
          </cell>
          <cell r="U3359" t="str">
            <v>25-26</v>
          </cell>
          <cell r="W3359" t="str">
            <v>19-11-2025</v>
          </cell>
        </row>
        <row r="3360">
          <cell r="F3360" t="str">
            <v>LUCK01R147</v>
          </cell>
          <cell r="G3360" t="str">
            <v>RAMESHWAR DAS</v>
          </cell>
          <cell r="J3360" t="str">
            <v>Domestic</v>
          </cell>
          <cell r="L3360" t="str">
            <v>Non-Sugar</v>
          </cell>
          <cell r="M3360" t="str">
            <v>OEM</v>
          </cell>
          <cell r="P3360" t="str">
            <v>HO</v>
          </cell>
          <cell r="Q3360" t="str">
            <v>AVIRAL SHUKLA</v>
          </cell>
        </row>
        <row r="3361">
          <cell r="F3361" t="str">
            <v>DLHI01S583</v>
          </cell>
          <cell r="G3361" t="str">
            <v>SHIVAY PAPERTECH</v>
          </cell>
          <cell r="H3361" t="str">
            <v>25-26</v>
          </cell>
          <cell r="J3361" t="str">
            <v>Domestic</v>
          </cell>
          <cell r="K3361" t="str">
            <v>Paper</v>
          </cell>
          <cell r="L3361" t="str">
            <v>Non-Sugar</v>
          </cell>
          <cell r="M3361" t="str">
            <v>Trader</v>
          </cell>
          <cell r="P3361" t="str">
            <v>NI</v>
          </cell>
          <cell r="Q3361" t="str">
            <v>HIMANSHU KUSHWAHA</v>
          </cell>
        </row>
        <row r="3362">
          <cell r="F3362" t="str">
            <v>MORB01S585</v>
          </cell>
          <cell r="G3362" t="str">
            <v>SIMPOLO VITRIFIED PVT LTD</v>
          </cell>
          <cell r="J3362" t="str">
            <v>Domestic</v>
          </cell>
          <cell r="L3362" t="str">
            <v>Non-Sugar</v>
          </cell>
          <cell r="M3362" t="str">
            <v>OEM</v>
          </cell>
          <cell r="P3362" t="str">
            <v>HO</v>
          </cell>
          <cell r="Q3362" t="str">
            <v>AVIRAL SHUKLA</v>
          </cell>
        </row>
        <row r="3363">
          <cell r="F3363" t="str">
            <v>DIND01S586</v>
          </cell>
          <cell r="G3363" t="str">
            <v>SRI DINDIGUL OIL MILLS &amp; TRADERS</v>
          </cell>
          <cell r="J3363" t="str">
            <v>Domestic</v>
          </cell>
          <cell r="L3363" t="str">
            <v>Non-Sugar</v>
          </cell>
          <cell r="M3363" t="str">
            <v>OEM</v>
          </cell>
          <cell r="P3363" t="str">
            <v>SI-SIVA</v>
          </cell>
          <cell r="Q3363" t="str">
            <v>M SIVA</v>
          </cell>
        </row>
        <row r="3364">
          <cell r="F3364" t="str">
            <v>KUSH01S584</v>
          </cell>
          <cell r="G3364" t="str">
            <v>SRIJAN TRADERS</v>
          </cell>
          <cell r="H3364" t="str">
            <v>25-26</v>
          </cell>
          <cell r="J3364" t="str">
            <v>Domestic</v>
          </cell>
          <cell r="L3364" t="str">
            <v>Non-Sugar</v>
          </cell>
          <cell r="M3364" t="str">
            <v>Trader</v>
          </cell>
          <cell r="P3364" t="str">
            <v>NI</v>
          </cell>
          <cell r="Q3364" t="str">
            <v>AVIRAL SHUKLA</v>
          </cell>
        </row>
        <row r="3365">
          <cell r="F3365" t="str">
            <v>KANP01T218</v>
          </cell>
          <cell r="G3365" t="str">
            <v>TRADE WINGS</v>
          </cell>
          <cell r="J3365" t="str">
            <v>Domestic</v>
          </cell>
          <cell r="L3365" t="str">
            <v>Non-Sugar</v>
          </cell>
          <cell r="M3365" t="str">
            <v>OEM</v>
          </cell>
          <cell r="P3365" t="str">
            <v>HO</v>
          </cell>
          <cell r="Q3365" t="str">
            <v>AVIRAL SHUKLA</v>
          </cell>
        </row>
        <row r="3366">
          <cell r="F3366" t="str">
            <v>KANP01U074</v>
          </cell>
          <cell r="G3366" t="str">
            <v>UNIVERSAL ENTERPRISES</v>
          </cell>
          <cell r="J3366" t="str">
            <v>Domestic</v>
          </cell>
          <cell r="L3366" t="str">
            <v>Non-Sugar</v>
          </cell>
          <cell r="M3366" t="str">
            <v>OEM</v>
          </cell>
          <cell r="P3366" t="str">
            <v>HO</v>
          </cell>
          <cell r="Q3366" t="str">
            <v>AVIRAL SHUKLA</v>
          </cell>
        </row>
        <row r="3367">
          <cell r="F3367" t="str">
            <v>GUJA01W046</v>
          </cell>
          <cell r="G3367" t="str">
            <v>WELSPUN INDIA LTD</v>
          </cell>
          <cell r="J3367" t="str">
            <v>Domestic</v>
          </cell>
          <cell r="L3367" t="str">
            <v>Non-Sugar</v>
          </cell>
          <cell r="M3367" t="str">
            <v>OEM</v>
          </cell>
          <cell r="P3367" t="str">
            <v>HO</v>
          </cell>
          <cell r="Q3367" t="str">
            <v>AVIRAL SHUKLA</v>
          </cell>
        </row>
        <row r="3368">
          <cell r="F3368" t="str">
            <v>MUMB01E087</v>
          </cell>
          <cell r="G3368" t="str">
            <v>EKOM INTERNATIONAL</v>
          </cell>
          <cell r="J3368" t="str">
            <v>Domestic</v>
          </cell>
          <cell r="L3368" t="str">
            <v>Non-Sugar</v>
          </cell>
          <cell r="M3368" t="str">
            <v>End User</v>
          </cell>
          <cell r="P3368" t="str">
            <v>WI-SV</v>
          </cell>
          <cell r="Q3368" t="str">
            <v>SUDHIR</v>
          </cell>
        </row>
        <row r="3369">
          <cell r="F3369" t="str">
            <v>MUZF01S173</v>
          </cell>
          <cell r="G3369" t="str">
            <v>SIDDASHREE BUILDING SOLUTION</v>
          </cell>
          <cell r="H3369" t="str">
            <v>25-26</v>
          </cell>
          <cell r="J3369" t="str">
            <v>Domestic</v>
          </cell>
          <cell r="L3369" t="str">
            <v>Non-Sugar</v>
          </cell>
          <cell r="M3369" t="str">
            <v>OEM</v>
          </cell>
          <cell r="P3369" t="str">
            <v>AV</v>
          </cell>
          <cell r="Q3369" t="str">
            <v>AV</v>
          </cell>
          <cell r="R3369" t="str">
            <v>PD</v>
          </cell>
        </row>
        <row r="3370">
          <cell r="F3370" t="str">
            <v>GORA01S589</v>
          </cell>
          <cell r="G3370" t="str">
            <v>SHIVAM TRADERS</v>
          </cell>
          <cell r="H3370" t="str">
            <v>25-26</v>
          </cell>
          <cell r="J3370" t="str">
            <v>Domestic</v>
          </cell>
          <cell r="L3370" t="str">
            <v>Non-Sugar</v>
          </cell>
          <cell r="M3370" t="str">
            <v>Trader</v>
          </cell>
          <cell r="P3370" t="str">
            <v>NI</v>
          </cell>
          <cell r="Q3370" t="str">
            <v>AVIRAL SHUKLA</v>
          </cell>
        </row>
        <row r="3371">
          <cell r="F3371" t="str">
            <v>PUNE01O052</v>
          </cell>
          <cell r="G3371" t="str">
            <v>ONKAR SUGAR AND DISTILLERY POWER PRIVATE LIMITED UNIT-11 (formerly KARMYOGI SHANKARRAOJI PATIL SAHAKARI SAKHAR KARKHANA LTD)</v>
          </cell>
          <cell r="H3371">
            <v>2013</v>
          </cell>
          <cell r="I3371" t="str">
            <v>Onkar Group</v>
          </cell>
          <cell r="J3371" t="str">
            <v>Domestic</v>
          </cell>
          <cell r="K3371" t="str">
            <v>Sugar</v>
          </cell>
          <cell r="L3371" t="str">
            <v>Sugar</v>
          </cell>
          <cell r="M3371" t="str">
            <v>Group (Mills)</v>
          </cell>
          <cell r="N3371" t="str">
            <v>(5001-9000)</v>
          </cell>
          <cell r="O3371">
            <v>8000</v>
          </cell>
          <cell r="P3371" t="str">
            <v>AV</v>
          </cell>
          <cell r="Q3371" t="str">
            <v>AV</v>
          </cell>
          <cell r="R3371" t="str">
            <v>PD</v>
          </cell>
          <cell r="S3371" t="str">
            <v>https://maps.app.goo.gl/4KCVb47WdCLin98p7</v>
          </cell>
          <cell r="T3371" t="str">
            <v>Pune - 2</v>
          </cell>
          <cell r="U3371" t="str">
            <v>26-27</v>
          </cell>
          <cell r="V3371" t="str">
            <v>Apr</v>
          </cell>
          <cell r="W3371" t="str">
            <v>25-04-2026
16-07-2024
05-05-2023</v>
          </cell>
        </row>
        <row r="3372">
          <cell r="F3372" t="str">
            <v>UNNA01B193</v>
          </cell>
          <cell r="G3372" t="str">
            <v>BAJAJ KAGAJ LIMITED</v>
          </cell>
          <cell r="H3372" t="str">
            <v>25-26</v>
          </cell>
          <cell r="J3372" t="str">
            <v>Domestic</v>
          </cell>
          <cell r="K3372" t="str">
            <v>Paper</v>
          </cell>
          <cell r="L3372" t="str">
            <v>Non-Sugar</v>
          </cell>
          <cell r="M3372" t="str">
            <v>End User</v>
          </cell>
          <cell r="P3372" t="str">
            <v>NI</v>
          </cell>
          <cell r="Q3372" t="str">
            <v>AVIRAL SHUKLA</v>
          </cell>
        </row>
        <row r="3373">
          <cell r="F3373" t="str">
            <v>BANA01R156</v>
          </cell>
          <cell r="G3373" t="str">
            <v>RAJ AGRO INDUSTRIES</v>
          </cell>
          <cell r="H3373" t="str">
            <v>25-26</v>
          </cell>
          <cell r="J3373" t="str">
            <v>Domestic</v>
          </cell>
          <cell r="L3373" t="str">
            <v>Non-Sugar</v>
          </cell>
          <cell r="M3373" t="str">
            <v>End User</v>
          </cell>
          <cell r="P3373" t="str">
            <v>NI</v>
          </cell>
          <cell r="Q3373" t="str">
            <v>AVIRAL SHUKLA</v>
          </cell>
          <cell r="S3373" t="str">
            <v>NA</v>
          </cell>
        </row>
        <row r="3374">
          <cell r="F3374" t="str">
            <v>BHAR01T223</v>
          </cell>
          <cell r="G3374" t="str">
            <v>TURQUOISE BIO NATURAL ENERGY PRIVATE LIMITED.</v>
          </cell>
          <cell r="H3374" t="str">
            <v>25-26</v>
          </cell>
          <cell r="J3374" t="str">
            <v>Domestic</v>
          </cell>
          <cell r="L3374" t="str">
            <v>Non-Sugar</v>
          </cell>
          <cell r="M3374" t="str">
            <v>End User</v>
          </cell>
          <cell r="P3374" t="str">
            <v>NI</v>
          </cell>
          <cell r="Q3374" t="str">
            <v>AVIRAL SHUKLA</v>
          </cell>
        </row>
        <row r="3375">
          <cell r="F3375" t="str">
            <v>BENG01H099</v>
          </cell>
          <cell r="G3375" t="str">
            <v>HEMAGIRI SUGARS &amp; RENEWABLES PVT LTD</v>
          </cell>
          <cell r="H3375" t="str">
            <v>25-26</v>
          </cell>
          <cell r="J3375" t="str">
            <v>Domestic</v>
          </cell>
          <cell r="K3375" t="str">
            <v>Bio-Gas</v>
          </cell>
          <cell r="L3375" t="str">
            <v>Non-Sugar</v>
          </cell>
          <cell r="M3375" t="str">
            <v>End User</v>
          </cell>
          <cell r="P3375" t="str">
            <v>SI-GS</v>
          </cell>
          <cell r="Q3375" t="str">
            <v>SI-GS</v>
          </cell>
        </row>
        <row r="3376">
          <cell r="F3376" t="str">
            <v>SITM01R150</v>
          </cell>
          <cell r="G3376" t="str">
            <v>RAJESH KUMAR JAYSWAL (Baba baijunath Nepal)</v>
          </cell>
          <cell r="H3376" t="str">
            <v>25-26</v>
          </cell>
          <cell r="J3376" t="str">
            <v>Domestic</v>
          </cell>
          <cell r="K3376" t="str">
            <v>Sugar</v>
          </cell>
          <cell r="L3376" t="str">
            <v>Sugar</v>
          </cell>
          <cell r="M3376" t="str">
            <v>End User</v>
          </cell>
          <cell r="P3376" t="str">
            <v>VA</v>
          </cell>
          <cell r="Q3376" t="str">
            <v>VA</v>
          </cell>
        </row>
        <row r="3377">
          <cell r="F3377" t="str">
            <v>TANZ01P193</v>
          </cell>
          <cell r="G3377" t="str">
            <v>SWATI BHAVESH VED (Parabe Ltd same as Avoil)</v>
          </cell>
          <cell r="H3377" t="str">
            <v>25-26</v>
          </cell>
          <cell r="J3377" t="str">
            <v>Export</v>
          </cell>
          <cell r="L3377" t="str">
            <v>Non-Sugar</v>
          </cell>
          <cell r="M3377" t="str">
            <v>End User</v>
          </cell>
          <cell r="P3377" t="str">
            <v>NI</v>
          </cell>
          <cell r="Q3377" t="str">
            <v>AVIRAL SHUKLA</v>
          </cell>
        </row>
        <row r="3378">
          <cell r="F3378" t="str">
            <v>ALIG01A295</v>
          </cell>
          <cell r="G3378" t="str">
            <v>AANAND AGRO INDIA</v>
          </cell>
        </row>
        <row r="3379">
          <cell r="F3379" t="str">
            <v>AMRI01I115</v>
          </cell>
          <cell r="G3379" t="str">
            <v>IOL CHEMICALS &amp; PHARMACEUTICALS LIMITED</v>
          </cell>
        </row>
        <row r="3380">
          <cell r="F3380" t="str">
            <v>ARGB01S596</v>
          </cell>
          <cell r="G3380" t="str">
            <v>SU TANTRA EQUPMENTS PVT LTD</v>
          </cell>
        </row>
        <row r="3381">
          <cell r="F3381" t="str">
            <v>ASTL01L061</v>
          </cell>
          <cell r="G3381" t="str">
            <v>LUKE</v>
          </cell>
        </row>
        <row r="3382">
          <cell r="F3382" t="str">
            <v>BEED01O054</v>
          </cell>
          <cell r="G3382" t="str">
            <v>ONKAR SAKHAR KARKHANA PVT LTD UNIT NO -8</v>
          </cell>
        </row>
        <row r="3383">
          <cell r="F3383" t="str">
            <v>BELI01C128</v>
          </cell>
          <cell r="G3383" t="str">
            <v>CYMBIO PHARMA PVT LTD</v>
          </cell>
        </row>
        <row r="3384">
          <cell r="F3384" t="str">
            <v>BENG01D126</v>
          </cell>
          <cell r="G3384" t="str">
            <v>DB FINERY</v>
          </cell>
        </row>
        <row r="3385">
          <cell r="F3385" t="str">
            <v>BENG01F060</v>
          </cell>
          <cell r="G3385" t="str">
            <v>FARMVEDA</v>
          </cell>
        </row>
        <row r="3386">
          <cell r="F3386" t="str">
            <v>BENG01J093</v>
          </cell>
          <cell r="G3386" t="str">
            <v>JENNA HANDCRAFTS</v>
          </cell>
        </row>
        <row r="3387">
          <cell r="F3387" t="str">
            <v>BHID01R154</v>
          </cell>
          <cell r="G3387" t="str">
            <v>RADHEY ENGINEERING SOLUTIONS</v>
          </cell>
        </row>
        <row r="3388">
          <cell r="F3388" t="str">
            <v>BOKA01S597</v>
          </cell>
          <cell r="G3388" t="str">
            <v>SRI LAXMI SOAP</v>
          </cell>
        </row>
        <row r="3389">
          <cell r="F3389" t="str">
            <v>CHEN01A285</v>
          </cell>
          <cell r="G3389" t="str">
            <v>AISHWARYYA ORGANICS PVT LTD</v>
          </cell>
        </row>
        <row r="3390">
          <cell r="F3390" t="str">
            <v>CHEN01A293</v>
          </cell>
          <cell r="G3390" t="str">
            <v>ANDRITZ TECHNOLOGIES PRIVATE LIMITED</v>
          </cell>
        </row>
        <row r="3391">
          <cell r="F3391" t="str">
            <v>COIM01R151</v>
          </cell>
          <cell r="G3391" t="str">
            <v>ROYALE KITCHEN MACHINERIES</v>
          </cell>
        </row>
        <row r="3392">
          <cell r="F3392" t="str">
            <v>COIM01T220</v>
          </cell>
          <cell r="G3392" t="str">
            <v>T STANES AND COMPANY</v>
          </cell>
        </row>
        <row r="3393">
          <cell r="F3393" t="str">
            <v>DEHR01I114</v>
          </cell>
          <cell r="G3393" t="str">
            <v>IIT ROORKEE</v>
          </cell>
        </row>
        <row r="3394">
          <cell r="F3394" t="str">
            <v>DLHI01A294</v>
          </cell>
          <cell r="G3394" t="str">
            <v>AUTOMATION DEVICES</v>
          </cell>
        </row>
        <row r="3395">
          <cell r="F3395" t="str">
            <v>DLHI01F063</v>
          </cell>
          <cell r="G3395" t="str">
            <v>FSD ENTERPRISES</v>
          </cell>
        </row>
        <row r="3396">
          <cell r="F3396" t="str">
            <v>DLHI01G151</v>
          </cell>
          <cell r="G3396" t="str">
            <v>GOOD LUCK CHEMICAL WORKS</v>
          </cell>
        </row>
        <row r="3397">
          <cell r="F3397" t="str">
            <v>DLHI01H100</v>
          </cell>
          <cell r="G3397" t="str">
            <v>RUDRAM ENGINEERS</v>
          </cell>
        </row>
        <row r="3398">
          <cell r="F3398" t="str">
            <v>DLHI01S592</v>
          </cell>
          <cell r="G3398" t="str">
            <v>SOMU FILTRATION</v>
          </cell>
        </row>
        <row r="3399">
          <cell r="F3399" t="str">
            <v>DLHI01V117</v>
          </cell>
          <cell r="G3399" t="str">
            <v>VISHAL CERAMICS INDUSTRIES</v>
          </cell>
        </row>
        <row r="3400">
          <cell r="F3400" t="str">
            <v>DUBA01A283</v>
          </cell>
          <cell r="G3400" t="str">
            <v>AL-SHAMALI &amp; WARIS TRD CO LTD</v>
          </cell>
        </row>
        <row r="3401">
          <cell r="F3401" t="str">
            <v>DUBA01M232</v>
          </cell>
          <cell r="G3401" t="str">
            <v>MODY PUMPS (MIDDLE EAST) FZE</v>
          </cell>
        </row>
        <row r="3402">
          <cell r="F3402" t="str">
            <v>EGPT01S594</v>
          </cell>
          <cell r="G3402" t="str">
            <v>SHOTEC</v>
          </cell>
        </row>
        <row r="3403">
          <cell r="F3403" t="str">
            <v>GUJA01P186</v>
          </cell>
          <cell r="G3403" t="str">
            <v>PRAYOSHAM ENVIRONMENTAL ENGINEERS</v>
          </cell>
        </row>
        <row r="3404">
          <cell r="F3404" t="str">
            <v>HAPU01M233</v>
          </cell>
          <cell r="G3404" t="str">
            <v>M G ENTERPRISES</v>
          </cell>
        </row>
        <row r="3405">
          <cell r="F3405" t="str">
            <v>HYDE01D128</v>
          </cell>
          <cell r="G3405" t="str">
            <v>DELHI PUBLIC SCHOOL</v>
          </cell>
        </row>
        <row r="3406">
          <cell r="F3406" t="str">
            <v>HYDE01T221</v>
          </cell>
          <cell r="G3406" t="str">
            <v>TOTAL BUILDING SOLUTION PVT LTD</v>
          </cell>
        </row>
        <row r="3407">
          <cell r="F3407" t="str">
            <v>HYDE01T222</v>
          </cell>
          <cell r="G3407" t="str">
            <v>THREE F OIL PALM PVT LTD</v>
          </cell>
        </row>
        <row r="3408">
          <cell r="F3408" t="str">
            <v>INDR01C126</v>
          </cell>
          <cell r="G3408" t="str">
            <v>CCS GROUP</v>
          </cell>
        </row>
        <row r="3409">
          <cell r="F3409" t="str">
            <v>INDR01P189</v>
          </cell>
          <cell r="G3409" t="str">
            <v>PUMPS INDIA</v>
          </cell>
        </row>
        <row r="3410">
          <cell r="F3410" t="str">
            <v>JAKA01P188</v>
          </cell>
          <cell r="G3410" t="str">
            <v>PT MANDIRI RAYA TANGGUH</v>
          </cell>
        </row>
        <row r="3411">
          <cell r="F3411" t="str">
            <v>JAKA01P192</v>
          </cell>
          <cell r="G3411" t="str">
            <v>PT DJAJA LISTRIK</v>
          </cell>
        </row>
        <row r="3412">
          <cell r="F3412" t="str">
            <v>JANA01P191</v>
          </cell>
          <cell r="G3412" t="str">
            <v>PASHCHIMANCHAL SUGAR INDUSTRIES PVT LTD</v>
          </cell>
        </row>
        <row r="3413">
          <cell r="F3413" t="str">
            <v>JORA01Q007</v>
          </cell>
          <cell r="G3413" t="str">
            <v>QUALITY AND EXCELLENCE</v>
          </cell>
        </row>
        <row r="3414">
          <cell r="F3414" t="str">
            <v>KANP01A282</v>
          </cell>
          <cell r="G3414" t="str">
            <v>ADISSHRE ENERGIES</v>
          </cell>
        </row>
        <row r="3415">
          <cell r="F3415" t="str">
            <v>KENY01B194</v>
          </cell>
          <cell r="G3415" t="str">
            <v>BURHANI ENGINEERS LTD</v>
          </cell>
        </row>
        <row r="3416">
          <cell r="F3416" t="str">
            <v>KOLK01E088</v>
          </cell>
          <cell r="G3416" t="str">
            <v>EASTERN COALFIELDS LIMITED - WB</v>
          </cell>
        </row>
        <row r="3417">
          <cell r="F3417" t="str">
            <v>KOLK01I117</v>
          </cell>
          <cell r="G3417" t="str">
            <v>INTERNATIONAL INDUSTRIAL GASES LTD</v>
          </cell>
        </row>
        <row r="3418">
          <cell r="F3418" t="str">
            <v>KOTA01S588</v>
          </cell>
          <cell r="G3418" t="str">
            <v>SITEVI INFRA PROJECTS PVT LTD</v>
          </cell>
        </row>
        <row r="3419">
          <cell r="F3419" t="str">
            <v>LUCK01A278</v>
          </cell>
          <cell r="G3419" t="str">
            <v>AMAN ENVIRO ENGINEERING CONSULTANT</v>
          </cell>
        </row>
        <row r="3420">
          <cell r="F3420" t="str">
            <v>MELO01A281</v>
          </cell>
          <cell r="G3420" t="str">
            <v>ALTERNATIVE PUMPS &amp; PARTS</v>
          </cell>
        </row>
        <row r="3421">
          <cell r="F3421" t="str">
            <v>MERT01C127</v>
          </cell>
          <cell r="G3421" t="str">
            <v>CHAUDHARY BIO RESOURCES PRIVATE LIMITED</v>
          </cell>
        </row>
        <row r="3422">
          <cell r="F3422" t="str">
            <v>MERT01H101</v>
          </cell>
          <cell r="G3422" t="str">
            <v>HI TECH ENGINEERING</v>
          </cell>
        </row>
        <row r="3423">
          <cell r="F3423" t="str">
            <v>MUMB01A284</v>
          </cell>
          <cell r="G3423" t="str">
            <v>ANJOPLUS MACHINES</v>
          </cell>
        </row>
        <row r="3424">
          <cell r="F3424" t="str">
            <v>MUMB01A286</v>
          </cell>
          <cell r="G3424" t="str">
            <v>ALLANANSONS PVT LTD</v>
          </cell>
          <cell r="H3424" t="str">
            <v>-</v>
          </cell>
          <cell r="J3424" t="str">
            <v>Domestic</v>
          </cell>
          <cell r="L3424" t="str">
            <v>Non-Sugar</v>
          </cell>
          <cell r="P3424" t="str">
            <v>WI-SV</v>
          </cell>
          <cell r="Q3424" t="str">
            <v>SV</v>
          </cell>
          <cell r="S3424" t="str">
            <v>https://maps.app.goo.gl/qsK3mnsxft3keLRM8</v>
          </cell>
          <cell r="U3424" t="str">
            <v>26-27</v>
          </cell>
          <cell r="V3424" t="str">
            <v>May</v>
          </cell>
          <cell r="W3424">
            <v>46147</v>
          </cell>
        </row>
        <row r="3425">
          <cell r="F3425" t="str">
            <v>MUMB01L060</v>
          </cell>
          <cell r="G3425" t="str">
            <v>LEBEN LABORATORIES PRIVATE LIMITED</v>
          </cell>
        </row>
        <row r="3426">
          <cell r="F3426" t="str">
            <v>MUMB01R153</v>
          </cell>
          <cell r="G3426" t="str">
            <v>REMONDIS WORKING FOR THE FUTURE</v>
          </cell>
        </row>
        <row r="3427">
          <cell r="F3427" t="str">
            <v>MUMB01U075</v>
          </cell>
          <cell r="G3427" t="str">
            <v>UTKARSH AGROTECH INDUSTRIES</v>
          </cell>
        </row>
        <row r="3428">
          <cell r="F3428" t="str">
            <v>NAGP01R152</v>
          </cell>
          <cell r="G3428" t="str">
            <v>RAN CHEMICALS PVT LTD</v>
          </cell>
          <cell r="S3428" t="str">
            <v>https://maps.app.goo.gl/q1ntSYDwtUWEWn8n9</v>
          </cell>
          <cell r="U3428" t="str">
            <v>26-27</v>
          </cell>
          <cell r="V3428" t="str">
            <v>May</v>
          </cell>
          <cell r="W3428">
            <v>46158</v>
          </cell>
        </row>
        <row r="3429">
          <cell r="F3429" t="str">
            <v>NAGP01S590</v>
          </cell>
          <cell r="G3429" t="str">
            <v>SONA AGRO</v>
          </cell>
        </row>
        <row r="3430">
          <cell r="F3430" t="str">
            <v>NASK01P187</v>
          </cell>
          <cell r="G3430" t="str">
            <v>PALADIN PAINTS AND CHEMICALS PVT LTD</v>
          </cell>
        </row>
        <row r="3431">
          <cell r="F3431" t="str">
            <v>NEPL01D127</v>
          </cell>
          <cell r="G3431" t="str">
            <v>DURGA PULPS</v>
          </cell>
        </row>
        <row r="3432">
          <cell r="F3432" t="str">
            <v>NODA01R159</v>
          </cell>
          <cell r="G3432" t="str">
            <v>R&amp;S ENGINEERING</v>
          </cell>
        </row>
        <row r="3433">
          <cell r="F3433" t="str">
            <v>PATN01G153</v>
          </cell>
          <cell r="G3433" t="str">
            <v>GRAMUDYOG BHANDAR</v>
          </cell>
        </row>
        <row r="3434">
          <cell r="F3434" t="str">
            <v>PUNE01A291</v>
          </cell>
          <cell r="G3434" t="str">
            <v>ADITI MILK AND MILK PRODUCT</v>
          </cell>
        </row>
        <row r="3435">
          <cell r="F3435" t="str">
            <v>PUNE01F062</v>
          </cell>
          <cell r="G3435" t="str">
            <v>FORBES MARSHALL PVT LTD</v>
          </cell>
        </row>
        <row r="3436">
          <cell r="F3436" t="str">
            <v>PUNE01O053</v>
          </cell>
          <cell r="G3436" t="str">
            <v>OSPURO TECHNOLOGIES PVT LTD</v>
          </cell>
        </row>
        <row r="3437">
          <cell r="F3437" t="str">
            <v>PUNE01S591</v>
          </cell>
          <cell r="G3437" t="str">
            <v>SBS ENVIRO</v>
          </cell>
          <cell r="S3437" t="str">
            <v>https://maps.app.goo.gl/uuc67zLM2bmjCZjP6</v>
          </cell>
          <cell r="U3437" t="str">
            <v>26-27</v>
          </cell>
          <cell r="V3437" t="str">
            <v>May</v>
          </cell>
          <cell r="W3437">
            <v>46208</v>
          </cell>
        </row>
        <row r="3438">
          <cell r="F3438" t="str">
            <v>QUEZ01F061</v>
          </cell>
          <cell r="G3438" t="str">
            <v>FORTEC INTEGRATED SYSTEMS INC</v>
          </cell>
        </row>
        <row r="3439">
          <cell r="F3439" t="str">
            <v>RAIG01I116</v>
          </cell>
          <cell r="G3439" t="str">
            <v>I G PETROCHEMICALS LIMITED</v>
          </cell>
          <cell r="S3439" t="str">
            <v>https://maps.app.goo.gl/fZVfaVMqRrQ1HbJAA</v>
          </cell>
          <cell r="U3439" t="str">
            <v>26-27</v>
          </cell>
          <cell r="V3439" t="str">
            <v>May</v>
          </cell>
          <cell r="W3439">
            <v>46331</v>
          </cell>
        </row>
        <row r="3440">
          <cell r="F3440" t="str">
            <v>RAIP01D125</v>
          </cell>
          <cell r="G3440" t="str">
            <v>DHANPRIYA RESOURCES PVT LTD</v>
          </cell>
        </row>
        <row r="3441">
          <cell r="F3441" t="str">
            <v>RAIP01S593</v>
          </cell>
          <cell r="G3441" t="str">
            <v>SURYODAY WIRES</v>
          </cell>
        </row>
        <row r="3442">
          <cell r="F3442" t="str">
            <v>ROHT01L059</v>
          </cell>
          <cell r="G3442" t="str">
            <v>LAYCOCK ENGINEERS PVT LTD</v>
          </cell>
        </row>
        <row r="3443">
          <cell r="F3443" t="str">
            <v>SOLN01A287</v>
          </cell>
          <cell r="G3443" t="str">
            <v>AGGARWAL &amp; CO</v>
          </cell>
        </row>
        <row r="3444">
          <cell r="F3444" t="str">
            <v>SYRA01T219</v>
          </cell>
          <cell r="G3444" t="str">
            <v>THE SYRIAN OIL TRANSPORT</v>
          </cell>
        </row>
        <row r="3445">
          <cell r="F3445" t="str">
            <v>UDAM01K165</v>
          </cell>
          <cell r="G3445" t="str">
            <v>KHATEMA FIBRES LIMITED</v>
          </cell>
        </row>
        <row r="3446">
          <cell r="F3446" t="str">
            <v>VALS01K164</v>
          </cell>
          <cell r="G3446" t="str">
            <v>KESHAV NATURALS</v>
          </cell>
        </row>
        <row r="3447">
          <cell r="F3447" t="str">
            <v>VARA01A292</v>
          </cell>
          <cell r="G3447" t="str">
            <v>ASHOKA CATTLE &amp; POULTRY FEEDS (P) LTD</v>
          </cell>
        </row>
        <row r="3448">
          <cell r="F3448" t="str">
            <v>ZAMI01K166</v>
          </cell>
          <cell r="G3448" t="str">
            <v>KINGSWORTH GROUP</v>
          </cell>
          <cell r="J3448" t="str">
            <v>Export</v>
          </cell>
          <cell r="K3448" t="str">
            <v>Others</v>
          </cell>
          <cell r="L3448" t="str">
            <v>Non-Sugar</v>
          </cell>
          <cell r="M3448" t="str">
            <v>Trader</v>
          </cell>
          <cell r="P3448" t="str">
            <v>HO</v>
          </cell>
          <cell r="Q3448" t="str">
            <v>Aviral Shukla</v>
          </cell>
        </row>
        <row r="3449">
          <cell r="F3449" t="str">
            <v>KENY01W047</v>
          </cell>
          <cell r="G3449" t="str">
            <v>WEST KENYA SUGAR COMPANY LTD.-NAITIRI</v>
          </cell>
          <cell r="H3449" t="str">
            <v>25-26</v>
          </cell>
          <cell r="J3449" t="str">
            <v>Export</v>
          </cell>
          <cell r="K3449" t="str">
            <v>Sugar</v>
          </cell>
          <cell r="L3449" t="str">
            <v>Sugar</v>
          </cell>
          <cell r="M3449" t="str">
            <v>End User</v>
          </cell>
          <cell r="P3449" t="str">
            <v>NI</v>
          </cell>
          <cell r="Q3449" t="str">
            <v>AVIRAL SHUKLA</v>
          </cell>
        </row>
        <row r="3450">
          <cell r="F3450" t="str">
            <v>KOLK01A289</v>
          </cell>
          <cell r="G3450" t="str">
            <v>Anisha Agarwal</v>
          </cell>
          <cell r="H3450" t="str">
            <v>25-26</v>
          </cell>
          <cell r="J3450" t="str">
            <v>Domestic</v>
          </cell>
          <cell r="K3450" t="str">
            <v>Others</v>
          </cell>
          <cell r="L3450" t="str">
            <v>Non-Sugar</v>
          </cell>
          <cell r="M3450" t="str">
            <v>Trader</v>
          </cell>
          <cell r="P3450" t="str">
            <v>NI</v>
          </cell>
          <cell r="Q3450" t="str">
            <v>AVIRAL SHUKLA</v>
          </cell>
        </row>
        <row r="3451">
          <cell r="F3451" t="str">
            <v>GURG01I118</v>
          </cell>
          <cell r="G3451" t="str">
            <v>INNOTEC SOLUTIONS INDUSTRIAL PRIVATE LIMITED</v>
          </cell>
          <cell r="H3451" t="str">
            <v>25-26</v>
          </cell>
          <cell r="J3451" t="str">
            <v>Domestic</v>
          </cell>
          <cell r="K3451" t="str">
            <v>OTHERS</v>
          </cell>
          <cell r="L3451" t="str">
            <v>Non-Sugar</v>
          </cell>
          <cell r="M3451" t="str">
            <v>Trader</v>
          </cell>
          <cell r="P3451" t="str">
            <v>NI</v>
          </cell>
          <cell r="Q3451" t="str">
            <v>AVIRAL SHUKLA</v>
          </cell>
        </row>
        <row r="3452">
          <cell r="F3452" t="str">
            <v>MUMB01I112</v>
          </cell>
          <cell r="G3452" t="str">
            <v>ISGEC HEAVY ENGINEERING LIMITED -MUMBAI</v>
          </cell>
          <cell r="H3452" t="str">
            <v>25-26</v>
          </cell>
          <cell r="J3452" t="str">
            <v>Domestic</v>
          </cell>
          <cell r="K3452" t="str">
            <v>Sugar</v>
          </cell>
          <cell r="L3452" t="str">
            <v>Sugar</v>
          </cell>
          <cell r="M3452" t="str">
            <v>OEM</v>
          </cell>
          <cell r="P3452" t="str">
            <v>NI</v>
          </cell>
          <cell r="Q3452" t="str">
            <v>AVIRAL SHUKLA</v>
          </cell>
          <cell r="U3452" t="str">
            <v>26-27</v>
          </cell>
          <cell r="V3452" t="str">
            <v>Apr</v>
          </cell>
          <cell r="W3452">
            <v>46127</v>
          </cell>
        </row>
        <row r="3453">
          <cell r="F3453" t="str">
            <v>NAGP01N185</v>
          </cell>
          <cell r="G3453" t="str">
            <v>NNOWETA PERFORMANCE CHEMICALS PVT LIMITED</v>
          </cell>
          <cell r="H3453" t="str">
            <v>25-26</v>
          </cell>
          <cell r="J3453" t="str">
            <v>Domestic</v>
          </cell>
          <cell r="K3453" t="str">
            <v>CHEMICALS</v>
          </cell>
          <cell r="L3453" t="str">
            <v>Non-Sugar</v>
          </cell>
          <cell r="M3453" t="str">
            <v>End User</v>
          </cell>
          <cell r="P3453" t="str">
            <v>NI</v>
          </cell>
          <cell r="Q3453" t="str">
            <v>AVIRAL SHUKLA</v>
          </cell>
        </row>
        <row r="3454">
          <cell r="F3454" t="str">
            <v>PATN01K168</v>
          </cell>
          <cell r="G3454" t="str">
            <v>K.D. VENTURE</v>
          </cell>
          <cell r="H3454" t="str">
            <v>25-26</v>
          </cell>
          <cell r="J3454" t="str">
            <v>Domestic</v>
          </cell>
          <cell r="K3454" t="str">
            <v>PAPER</v>
          </cell>
          <cell r="L3454" t="str">
            <v>Non-Sugar</v>
          </cell>
          <cell r="M3454" t="str">
            <v>End User</v>
          </cell>
          <cell r="P3454" t="str">
            <v>NI</v>
          </cell>
          <cell r="Q3454" t="str">
            <v>AVIRAL SHUKLA</v>
          </cell>
        </row>
        <row r="3455">
          <cell r="F3455" t="str">
            <v>BARL01R161</v>
          </cell>
          <cell r="G3455" t="str">
            <v>Ramaa Shyama Papers And Energy Pvt Ltd (25-26)</v>
          </cell>
          <cell r="H3455" t="str">
            <v>25-26</v>
          </cell>
          <cell r="J3455" t="str">
            <v>Domestic</v>
          </cell>
          <cell r="K3455" t="str">
            <v>PAPER</v>
          </cell>
          <cell r="L3455" t="str">
            <v>Non-Sugar</v>
          </cell>
          <cell r="M3455" t="str">
            <v>End User</v>
          </cell>
          <cell r="P3455" t="str">
            <v>NI</v>
          </cell>
          <cell r="Q3455" t="str">
            <v>AVIRAL SHUKLA</v>
          </cell>
          <cell r="S3455" t="str">
            <v>https://share.google/CQckMTIEgkdvFXizn</v>
          </cell>
        </row>
        <row r="3456">
          <cell r="F3456" t="str">
            <v>UGAN01B190</v>
          </cell>
          <cell r="G3456" t="str">
            <v>BWENDERO SUGAR LIMITED</v>
          </cell>
          <cell r="H3456" t="str">
            <v>25-26</v>
          </cell>
          <cell r="J3456" t="str">
            <v>Export</v>
          </cell>
          <cell r="K3456" t="str">
            <v>Sugar</v>
          </cell>
          <cell r="L3456" t="str">
            <v>Sugar</v>
          </cell>
          <cell r="M3456" t="str">
            <v>End User</v>
          </cell>
          <cell r="P3456" t="str">
            <v>NI</v>
          </cell>
          <cell r="Q3456" t="str">
            <v>AVIRAL SHUKLA</v>
          </cell>
        </row>
        <row r="3457">
          <cell r="F3457" t="str">
            <v>VARA01R158</v>
          </cell>
          <cell r="G3457" t="str">
            <v>RAJ AGRO INDUSTRIES</v>
          </cell>
          <cell r="H3457" t="str">
            <v>25-26</v>
          </cell>
          <cell r="J3457" t="str">
            <v>Domestic</v>
          </cell>
          <cell r="K3457" t="str">
            <v>cattle feed</v>
          </cell>
          <cell r="L3457" t="str">
            <v>Non-Sugar</v>
          </cell>
          <cell r="M3457" t="str">
            <v>End User</v>
          </cell>
          <cell r="P3457" t="str">
            <v>NI</v>
          </cell>
          <cell r="Q3457" t="str">
            <v>AVIRAL SHUKLA</v>
          </cell>
        </row>
        <row r="3458">
          <cell r="F3458" t="str">
            <v>AERG01A299</v>
          </cell>
          <cell r="G3458" t="str">
            <v>ALL PUMPS</v>
          </cell>
        </row>
        <row r="3459">
          <cell r="F3459" t="str">
            <v>AHIL01K169</v>
          </cell>
          <cell r="G3459" t="str">
            <v>KADA SAHAKARI SAKHAR KARKHANA LTD</v>
          </cell>
        </row>
        <row r="3460">
          <cell r="F3460" t="str">
            <v>BADD01D130</v>
          </cell>
          <cell r="G3460" t="str">
            <v>DABUR INDIA LTD</v>
          </cell>
        </row>
        <row r="3461">
          <cell r="F3461" t="str">
            <v>BADD01Z007</v>
          </cell>
          <cell r="G3461" t="str">
            <v>ZENKINNS FOODS</v>
          </cell>
          <cell r="L3461" t="str">
            <v>Non-Sugar</v>
          </cell>
          <cell r="P3461" t="str">
            <v>NI</v>
          </cell>
          <cell r="Q3461" t="str">
            <v>Amit</v>
          </cell>
          <cell r="U3461" t="str">
            <v>26-27</v>
          </cell>
        </row>
        <row r="3462">
          <cell r="F3462" t="str">
            <v>BAGL01R160</v>
          </cell>
          <cell r="G3462" t="str">
            <v>R.B. SUGARS LIMITED</v>
          </cell>
        </row>
        <row r="3463">
          <cell r="F3463" t="str">
            <v>BANG01V120</v>
          </cell>
          <cell r="G3463" t="str">
            <v>V V G PAPER INDUSTRY PRIVATE LIMITED</v>
          </cell>
        </row>
        <row r="3464">
          <cell r="F3464" t="str">
            <v>BARA01A303</v>
          </cell>
          <cell r="G3464" t="str">
            <v>ANAND ENGINNERS</v>
          </cell>
        </row>
        <row r="3465">
          <cell r="F3465" t="str">
            <v>BELA01A297</v>
          </cell>
          <cell r="G3465" t="str">
            <v>ANGADI SUGAR AND POWER LIMITED</v>
          </cell>
        </row>
        <row r="3466">
          <cell r="F3466" t="str">
            <v>BELI01P190</v>
          </cell>
          <cell r="G3466" t="str">
            <v>PFIZER MANUFACTURING BELGIUM</v>
          </cell>
        </row>
        <row r="3467">
          <cell r="F3467" t="str">
            <v>BENG01C130</v>
          </cell>
          <cell r="G3467" t="str">
            <v>CSA ENGINEERING</v>
          </cell>
        </row>
        <row r="3468">
          <cell r="F3468" t="str">
            <v>BENG01C131</v>
          </cell>
          <cell r="G3468" t="str">
            <v>CERAMED ENGINEERS LIMITED</v>
          </cell>
        </row>
        <row r="3469">
          <cell r="F3469" t="str">
            <v>BENG01M238</v>
          </cell>
          <cell r="G3469" t="str">
            <v>MINERAL TECH PRO</v>
          </cell>
        </row>
        <row r="3470">
          <cell r="F3470" t="str">
            <v>BETU01W048</v>
          </cell>
          <cell r="G3470" t="str">
            <v>WESTERN COAL FIELDS LTD</v>
          </cell>
        </row>
        <row r="3471">
          <cell r="F3471" t="str">
            <v>BHAR01T224</v>
          </cell>
          <cell r="G3471" t="str">
            <v>TURQUOISE BIO NATURAL ENERGY PVT LTD.</v>
          </cell>
        </row>
        <row r="3472">
          <cell r="F3472" t="str">
            <v>BULD01E093</v>
          </cell>
          <cell r="G3472" t="str">
            <v>ECO BIOTECH</v>
          </cell>
        </row>
        <row r="3473">
          <cell r="F3473" t="str">
            <v>CHAN01S599</v>
          </cell>
          <cell r="G3473" t="str">
            <v>SUPER TECH PUMPS EQUIPMENT PVT LTD</v>
          </cell>
        </row>
        <row r="3474">
          <cell r="F3474" t="str">
            <v>DAHE01D134</v>
          </cell>
          <cell r="G3474" t="str">
            <v>DSM FERMENICH</v>
          </cell>
        </row>
        <row r="3475">
          <cell r="F3475" t="str">
            <v>DLHI01C129</v>
          </cell>
          <cell r="G3475" t="str">
            <v>CHAKR INNOVATION</v>
          </cell>
        </row>
        <row r="3476">
          <cell r="F3476" t="str">
            <v>DLHI01P196</v>
          </cell>
          <cell r="G3476" t="str">
            <v>PROCUREMENTS INDUSTRIAL SPARES</v>
          </cell>
        </row>
        <row r="3477">
          <cell r="F3477" t="str">
            <v>FAIZ01A302</v>
          </cell>
          <cell r="G3477" t="str">
            <v>ANAND ENGINEER'S (Same as Anand Biotech)</v>
          </cell>
          <cell r="H3477" t="str">
            <v>25-26</v>
          </cell>
          <cell r="J3477" t="str">
            <v>Domestic</v>
          </cell>
          <cell r="K3477" t="str">
            <v>Biogas</v>
          </cell>
          <cell r="L3477" t="str">
            <v>Non-Sugar</v>
          </cell>
          <cell r="M3477" t="str">
            <v>End User</v>
          </cell>
          <cell r="P3477" t="str">
            <v>NI</v>
          </cell>
          <cell r="Q3477" t="str">
            <v>AMIT SRIVASTAVA</v>
          </cell>
          <cell r="S3477" t="str">
            <v>https://maps.app.goo.gl/Utc1JgLQQMQi6Kt3A</v>
          </cell>
          <cell r="U3477" t="str">
            <v>26-27</v>
          </cell>
          <cell r="V3477" t="str">
            <v>may</v>
          </cell>
          <cell r="W3477" t="str">
            <v>23.05.2026</v>
          </cell>
        </row>
        <row r="3478">
          <cell r="F3478" t="str">
            <v>GHZB01M236</v>
          </cell>
          <cell r="G3478" t="str">
            <v>MAGNUM ENTERPRISES</v>
          </cell>
        </row>
        <row r="3479">
          <cell r="F3479" t="str">
            <v>GOND01A280</v>
          </cell>
          <cell r="G3479" t="str">
            <v>AXCHEM SOLUTIONS INDIA PVT LTD. GANGA PULP</v>
          </cell>
        </row>
        <row r="3480">
          <cell r="F3480" t="str">
            <v>GORA01K171</v>
          </cell>
          <cell r="G3480" t="str">
            <v>KEYAAN DISTILLERIES PVT. LTD.</v>
          </cell>
          <cell r="U3480" t="str">
            <v>26-27</v>
          </cell>
          <cell r="V3480" t="str">
            <v>May</v>
          </cell>
          <cell r="W3480">
            <v>46143</v>
          </cell>
        </row>
        <row r="3481">
          <cell r="F3481" t="str">
            <v>GUJA01G155</v>
          </cell>
          <cell r="G3481" t="str">
            <v>GISS PUMP SOLUTIONS</v>
          </cell>
        </row>
        <row r="3482">
          <cell r="F3482" t="str">
            <v>GUJA01G156</v>
          </cell>
          <cell r="G3482" t="str">
            <v>GEIST RESEARCH DIVISION OF Z-TECH INDIA LTD</v>
          </cell>
        </row>
        <row r="3483">
          <cell r="F3483" t="str">
            <v>GUJA01S602</v>
          </cell>
          <cell r="G3483" t="str">
            <v>SANDHYA ORGANIC CHEMICAL PVT LTD-4</v>
          </cell>
        </row>
        <row r="3484">
          <cell r="F3484" t="str">
            <v>GUJA01T225</v>
          </cell>
          <cell r="G3484" t="str">
            <v>TWENTY MICRONS NANO MINERALS LTD</v>
          </cell>
        </row>
        <row r="3485">
          <cell r="F3485" t="str">
            <v>GUWA01G158</v>
          </cell>
          <cell r="G3485" t="str">
            <v>GMFURURGUARYCOM</v>
          </cell>
        </row>
        <row r="3486">
          <cell r="F3486" t="str">
            <v>HARD01R149</v>
          </cell>
          <cell r="G3486" t="str">
            <v>RAI BAHADUR NARAIN SINGH SUGAR MILLS LTD.</v>
          </cell>
        </row>
        <row r="3487">
          <cell r="F3487" t="str">
            <v>HAVE01G152</v>
          </cell>
          <cell r="G3487" t="str">
            <v>GM SUGAR &amp; ENERGY LTD UNIT -II</v>
          </cell>
        </row>
        <row r="3488">
          <cell r="F3488" t="str">
            <v>HRDO01U077</v>
          </cell>
          <cell r="G3488" t="str">
            <v>UTM ENERGY PRIVATE LIMITED</v>
          </cell>
        </row>
        <row r="3489">
          <cell r="F3489" t="str">
            <v>INDR01R155</v>
          </cell>
          <cell r="G3489" t="str">
            <v>ROYAL ELECTROMECH</v>
          </cell>
        </row>
        <row r="3490">
          <cell r="F3490" t="str">
            <v>JAKA01P194</v>
          </cell>
          <cell r="G3490" t="str">
            <v>PT. GALATIAN INDUSTRIAL SYESTEM</v>
          </cell>
        </row>
        <row r="3491">
          <cell r="F3491" t="str">
            <v>JALA01A301</v>
          </cell>
          <cell r="G3491" t="str">
            <v>AXCHEM SOLUTIONS INDIA PVT LTD</v>
          </cell>
        </row>
        <row r="3492">
          <cell r="F3492" t="str">
            <v>KANP01A300</v>
          </cell>
          <cell r="G3492" t="str">
            <v>A.V. ENGINEERING</v>
          </cell>
        </row>
        <row r="3493">
          <cell r="F3493" t="str">
            <v>KANP01E094</v>
          </cell>
          <cell r="G3493" t="str">
            <v>ENVIRAD PROJECTS</v>
          </cell>
        </row>
        <row r="3494">
          <cell r="F3494" t="str">
            <v>KANP01H102</v>
          </cell>
          <cell r="G3494" t="str">
            <v>HINDUSTAN AERONAUTICS LIMITED - KANPUR</v>
          </cell>
        </row>
        <row r="3495">
          <cell r="F3495" t="str">
            <v>KANP01K163</v>
          </cell>
          <cell r="G3495" t="str">
            <v>KEDAR KAPILKUMAR CHAUDHARI</v>
          </cell>
        </row>
        <row r="3496">
          <cell r="F3496" t="str">
            <v>KOLH01H103</v>
          </cell>
          <cell r="G3496" t="str">
            <v>HINDUSTAN ALCOTECH PVT TLD</v>
          </cell>
          <cell r="H3496" t="str">
            <v>26-27</v>
          </cell>
          <cell r="J3496" t="str">
            <v>Domestic</v>
          </cell>
          <cell r="K3496" t="str">
            <v>ETP</v>
          </cell>
          <cell r="L3496" t="str">
            <v>Non-Sugar</v>
          </cell>
          <cell r="M3496" t="str">
            <v>OEM</v>
          </cell>
          <cell r="P3496" t="str">
            <v>MRK</v>
          </cell>
          <cell r="Q3496" t="str">
            <v>MRK</v>
          </cell>
          <cell r="R3496" t="str">
            <v>VG</v>
          </cell>
        </row>
        <row r="3497">
          <cell r="F3497" t="str">
            <v>KOLH01P198</v>
          </cell>
          <cell r="G3497" t="str">
            <v>PRATIK ENGINEERING &amp; FABRICATION WORKS</v>
          </cell>
        </row>
        <row r="3498">
          <cell r="F3498" t="str">
            <v>KRSH01S604</v>
          </cell>
          <cell r="G3498" t="str">
            <v>SUGEARTRONICS</v>
          </cell>
        </row>
        <row r="3499">
          <cell r="F3499" t="str">
            <v>KUSH01D123</v>
          </cell>
          <cell r="G3499" t="str">
            <v>DR P N RAI</v>
          </cell>
        </row>
        <row r="3500">
          <cell r="F3500" t="str">
            <v>LUCK01A288</v>
          </cell>
          <cell r="G3500" t="str">
            <v>ANAND BIOTECH PVT. LTD.</v>
          </cell>
        </row>
        <row r="3501">
          <cell r="F3501" t="str">
            <v>LUDH01V116</v>
          </cell>
          <cell r="G3501" t="str">
            <v>VIVA API LABS PVT LTD</v>
          </cell>
        </row>
        <row r="3502">
          <cell r="F3502" t="str">
            <v>MALA01W049</v>
          </cell>
          <cell r="G3502" t="str">
            <v>WI GREEN VENTURES LLP</v>
          </cell>
          <cell r="J3502" t="str">
            <v>Domestic</v>
          </cell>
          <cell r="K3502" t="str">
            <v>Biogas</v>
          </cell>
          <cell r="L3502" t="str">
            <v>Non-Sugar</v>
          </cell>
          <cell r="M3502" t="str">
            <v>End User</v>
          </cell>
          <cell r="P3502" t="str">
            <v>NI</v>
          </cell>
          <cell r="Q3502" t="str">
            <v>AVIRAL SHUKLA</v>
          </cell>
        </row>
        <row r="3503">
          <cell r="F3503" t="str">
            <v>MAND01M237</v>
          </cell>
          <cell r="G3503" t="str">
            <v>MYSURU SUGAR</v>
          </cell>
        </row>
        <row r="3504">
          <cell r="F3504" t="str">
            <v>MERT01H104</v>
          </cell>
          <cell r="G3504" t="str">
            <v>HI TECH ENGINNER'S</v>
          </cell>
        </row>
        <row r="3505">
          <cell r="F3505" t="str">
            <v>MUMB01B195</v>
          </cell>
          <cell r="G3505" t="str">
            <v>BULK MRO INDUSTRIAL SUPPLY PVT LTD</v>
          </cell>
        </row>
        <row r="3506">
          <cell r="F3506" t="str">
            <v>MUMB01B196</v>
          </cell>
          <cell r="G3506" t="str">
            <v>BTOBIG IMPEX PRIVATE LIMITED</v>
          </cell>
        </row>
        <row r="3507">
          <cell r="F3507" t="str">
            <v>MUMB01H105</v>
          </cell>
          <cell r="G3507" t="str">
            <v>HYPHEN EXPORTS</v>
          </cell>
        </row>
        <row r="3508">
          <cell r="F3508" t="str">
            <v>MUMB01N184</v>
          </cell>
          <cell r="G3508" t="str">
            <v>NITIN PATEL</v>
          </cell>
        </row>
        <row r="3509">
          <cell r="F3509" t="str">
            <v>NAGP01V119</v>
          </cell>
          <cell r="G3509" t="str">
            <v>VINEENGINEERS ENTERPRISES PVT LTD</v>
          </cell>
          <cell r="S3509" t="str">
            <v>https://maps.app.goo.gl/6BAA75kM34SggzDRA</v>
          </cell>
          <cell r="U3509" t="str">
            <v>26-27</v>
          </cell>
          <cell r="V3509" t="str">
            <v>May</v>
          </cell>
          <cell r="W3509" t="str">
            <v>16-05-2026</v>
          </cell>
        </row>
        <row r="3510">
          <cell r="F3510" t="str">
            <v>NANA01F014</v>
          </cell>
          <cell r="G3510" t="str">
            <v>FLY ASK</v>
          </cell>
        </row>
        <row r="3511">
          <cell r="F3511" t="str">
            <v>NASK01U078</v>
          </cell>
          <cell r="G3511" t="str">
            <v>UNITED SPIRITS LIMITED-NASHIK</v>
          </cell>
        </row>
        <row r="3512">
          <cell r="F3512" t="str">
            <v>NODA01E090</v>
          </cell>
          <cell r="G3512" t="str">
            <v>EVO MAGNITE (P) LTD</v>
          </cell>
        </row>
        <row r="3513">
          <cell r="F3513" t="str">
            <v>NODA01K167</v>
          </cell>
          <cell r="G3513" t="str">
            <v>KPO UZZALA</v>
          </cell>
        </row>
        <row r="3514">
          <cell r="F3514" t="str">
            <v>NODA01K170</v>
          </cell>
          <cell r="G3514" t="str">
            <v>KALPATARU PROJECT INTERNATIONAL LIMITED</v>
          </cell>
        </row>
        <row r="3515">
          <cell r="F3515" t="str">
            <v>NODA01N186</v>
          </cell>
          <cell r="G3515" t="str">
            <v>NANDINI AGRO</v>
          </cell>
          <cell r="H3515" t="str">
            <v>26-27</v>
          </cell>
          <cell r="J3515" t="str">
            <v>Domestic</v>
          </cell>
          <cell r="K3515" t="str">
            <v>cattle feed</v>
          </cell>
          <cell r="L3515" t="str">
            <v>Non-Sugar</v>
          </cell>
          <cell r="M3515" t="str">
            <v>End User</v>
          </cell>
          <cell r="P3515" t="str">
            <v>NI</v>
          </cell>
          <cell r="Q3515" t="str">
            <v>AMIT SRIVASTAVA</v>
          </cell>
        </row>
        <row r="3516">
          <cell r="F3516" t="str">
            <v>NODA01T226</v>
          </cell>
          <cell r="G3516" t="str">
            <v>TECHNO ECONOMICAL SOLUTIONS &amp; CONSTRUCTION PRIVATE LIMITED</v>
          </cell>
        </row>
        <row r="3517">
          <cell r="F3517" t="str">
            <v>OMAN01D129</v>
          </cell>
          <cell r="G3517" t="str">
            <v>DEVELOPMENT SERVICES</v>
          </cell>
        </row>
        <row r="3518">
          <cell r="F3518" t="str">
            <v>PANC01S267</v>
          </cell>
          <cell r="G3518" t="str">
            <v>S.R. PARYAVARAN ENGINEERS PVT LTD</v>
          </cell>
        </row>
        <row r="3519">
          <cell r="F3519" t="str">
            <v>POND01I119</v>
          </cell>
          <cell r="G3519" t="str">
            <v>INOVATIVA WASTE AID AND MANAGEMENT PVT. LTD.</v>
          </cell>
        </row>
        <row r="3520">
          <cell r="F3520" t="str">
            <v>PUNE01A290</v>
          </cell>
          <cell r="G3520" t="str">
            <v>AQUATECH SYSTEMS.</v>
          </cell>
        </row>
        <row r="3521">
          <cell r="F3521" t="str">
            <v>PUNE01A304</v>
          </cell>
          <cell r="G3521" t="str">
            <v>ABRAJ EQUIPMENTS PVT. LTD</v>
          </cell>
          <cell r="S3521" t="str">
            <v>https://maps.app.goo.gl/6DGKuowXXe6yaWyNA</v>
          </cell>
          <cell r="U3521" t="str">
            <v>26-27</v>
          </cell>
          <cell r="V3521" t="str">
            <v>april</v>
          </cell>
          <cell r="W3521" t="str">
            <v>28-04-2026</v>
          </cell>
        </row>
        <row r="3522">
          <cell r="F3522" t="str">
            <v>PUNE01E089</v>
          </cell>
          <cell r="G3522" t="str">
            <v>EPI SYSTEMS</v>
          </cell>
        </row>
        <row r="3523">
          <cell r="F3523" t="str">
            <v>PUNE01E092</v>
          </cell>
          <cell r="G3523" t="str">
            <v>ETHER ENTERPRISES</v>
          </cell>
        </row>
        <row r="3524">
          <cell r="F3524" t="str">
            <v>PUNE01G157</v>
          </cell>
          <cell r="G3524" t="str">
            <v>GREEN ELEPHANT ENGINEERING GROUP</v>
          </cell>
          <cell r="S3524" t="str">
            <v>https://maps.app.goo.gl/He1qbevSrnMD5NG19</v>
          </cell>
          <cell r="U3524" t="str">
            <v>26-27</v>
          </cell>
          <cell r="V3524" t="str">
            <v>april</v>
          </cell>
          <cell r="W3524" t="str">
            <v>27.04.26</v>
          </cell>
        </row>
        <row r="3525">
          <cell r="F3525" t="str">
            <v>PUNE01K172</v>
          </cell>
          <cell r="G3525" t="str">
            <v>KUSHWAHA INDUSTRIES PVT. LTD.</v>
          </cell>
        </row>
        <row r="3526">
          <cell r="F3526" t="str">
            <v>PUNE01M234</v>
          </cell>
          <cell r="G3526" t="str">
            <v>MEGA EPC PROJECT PVT LTD.</v>
          </cell>
        </row>
        <row r="3527">
          <cell r="F3527" t="str">
            <v>PUNE01M235</v>
          </cell>
          <cell r="G3527" t="str">
            <v>MITWAA KULFI</v>
          </cell>
        </row>
        <row r="3528">
          <cell r="F3528" t="str">
            <v>PUNE01M239</v>
          </cell>
          <cell r="G3528" t="str">
            <v>MANSI INDUSTRIES</v>
          </cell>
        </row>
        <row r="3529">
          <cell r="F3529" t="str">
            <v>PUNE01S317</v>
          </cell>
          <cell r="G3529" t="str">
            <v>SAI SHRUTI INDUSTRIES PVT LTD</v>
          </cell>
        </row>
        <row r="3530">
          <cell r="F3530" t="str">
            <v>PUNE01S595</v>
          </cell>
          <cell r="G3530" t="str">
            <v>SV ENGINEERING</v>
          </cell>
        </row>
        <row r="3531">
          <cell r="F3531" t="str">
            <v>PUNE01S598</v>
          </cell>
          <cell r="G3531" t="str">
            <v>SANJU SARASWAT</v>
          </cell>
        </row>
        <row r="3532">
          <cell r="F3532" t="str">
            <v>PUNE01S600</v>
          </cell>
          <cell r="G3532" t="str">
            <v>SHRESHA ENGINEERING</v>
          </cell>
        </row>
        <row r="3533">
          <cell r="F3533" t="str">
            <v>RAIP01E091</v>
          </cell>
          <cell r="G3533" t="str">
            <v>EARTHEMET RESOURCES PVT LTD</v>
          </cell>
        </row>
        <row r="3534">
          <cell r="F3534" t="str">
            <v>RAJK01P197</v>
          </cell>
          <cell r="G3534" t="str">
            <v>PBW BEARINGS PVT LTD</v>
          </cell>
        </row>
        <row r="3535">
          <cell r="F3535" t="str">
            <v>RAMA01R162</v>
          </cell>
          <cell r="G3535" t="str">
            <v>RAMAGUNDAM FERTILIZERS AND CHEMICALS LIMITED (RFCL)</v>
          </cell>
        </row>
        <row r="3536">
          <cell r="F3536" t="str">
            <v>RANI01A298</v>
          </cell>
          <cell r="G3536" t="str">
            <v>MAHA SHANK ENERGY LLP</v>
          </cell>
          <cell r="H3536" t="str">
            <v>26-27</v>
          </cell>
          <cell r="J3536" t="str">
            <v>Domestic</v>
          </cell>
          <cell r="K3536" t="str">
            <v>Bio-Gas</v>
          </cell>
          <cell r="L3536" t="str">
            <v>Non-Sugar</v>
          </cell>
          <cell r="M3536" t="str">
            <v>OEM</v>
          </cell>
          <cell r="P3536" t="str">
            <v>SI-GS</v>
          </cell>
        </row>
        <row r="3537">
          <cell r="F3537" t="str">
            <v>RANI01P195</v>
          </cell>
          <cell r="G3537" t="str">
            <v>PAN OLEO ENERGY LIMITED</v>
          </cell>
        </row>
        <row r="3538">
          <cell r="F3538" t="str">
            <v>SAMB01G154</v>
          </cell>
          <cell r="G3538" t="str">
            <v>GMP SYSTECH ENGINEERING PVT. LTD.</v>
          </cell>
          <cell r="H3538" t="str">
            <v>26-27</v>
          </cell>
          <cell r="M3538" t="str">
            <v>OEM</v>
          </cell>
          <cell r="P3538" t="str">
            <v>WI-SV</v>
          </cell>
          <cell r="Q3538" t="str">
            <v>SV</v>
          </cell>
        </row>
        <row r="3539">
          <cell r="F3539" t="str">
            <v>SANG01M230</v>
          </cell>
          <cell r="G3539" t="str">
            <v>MOHANRAO SHINDE SSK LTD</v>
          </cell>
        </row>
        <row r="3540">
          <cell r="F3540" t="str">
            <v>SANG01S603</v>
          </cell>
          <cell r="G3540" t="str">
            <v>SHRINIVASA CATTLE FEED</v>
          </cell>
          <cell r="H3540" t="str">
            <v>26-27</v>
          </cell>
          <cell r="J3540" t="str">
            <v>Domestic</v>
          </cell>
          <cell r="K3540" t="str">
            <v>CATTLE FEED</v>
          </cell>
          <cell r="L3540" t="str">
            <v>Non-Sugar</v>
          </cell>
          <cell r="M3540" t="str">
            <v>End User</v>
          </cell>
          <cell r="P3540" t="str">
            <v>MRK</v>
          </cell>
          <cell r="Q3540" t="str">
            <v>MRK</v>
          </cell>
          <cell r="R3540" t="str">
            <v>VG</v>
          </cell>
        </row>
        <row r="3541">
          <cell r="F3541" t="str">
            <v>SATA01A279</v>
          </cell>
          <cell r="G3541" t="str">
            <v>ATRIUM INNOVATIONS PVT LTD</v>
          </cell>
          <cell r="S3541" t="str">
            <v>https://maps.app.goo.gl/mJ1S9WvkV7x1Fq4f9</v>
          </cell>
          <cell r="U3541" t="str">
            <v>26-27</v>
          </cell>
          <cell r="V3541" t="str">
            <v>april</v>
          </cell>
          <cell r="W3541" t="str">
            <v>29-04-2026</v>
          </cell>
        </row>
        <row r="3542">
          <cell r="F3542" t="str">
            <v>SHAJ01U076</v>
          </cell>
          <cell r="G3542" t="str">
            <v>UNIMEC INDUSTRIAL EQUIPMENTS SUPPLIES &amp; SERVICES LLC</v>
          </cell>
        </row>
        <row r="3543">
          <cell r="F3543" t="str">
            <v>THAN01V118</v>
          </cell>
          <cell r="G3543" t="str">
            <v>VASHI INTEGRATED SOLUTIONS LIMITED</v>
          </cell>
          <cell r="H3543" t="str">
            <v>26-27</v>
          </cell>
          <cell r="J3543" t="str">
            <v>Domestic</v>
          </cell>
          <cell r="K3543" t="str">
            <v>Others</v>
          </cell>
          <cell r="L3543" t="str">
            <v>Non-Sugar</v>
          </cell>
          <cell r="M3543" t="str">
            <v>OEM</v>
          </cell>
          <cell r="P3543" t="str">
            <v>NI</v>
          </cell>
          <cell r="Q3543" t="str">
            <v>HIMANSHU KUSHWAHA</v>
          </cell>
        </row>
        <row r="3544">
          <cell r="F3544" t="str">
            <v>TRIC01A296</v>
          </cell>
          <cell r="G3544" t="str">
            <v>APT GLOBAL MARINE ENGINEERING</v>
          </cell>
        </row>
        <row r="3545">
          <cell r="F3545" t="str">
            <v>TUMA01A276</v>
          </cell>
          <cell r="G3545" t="str">
            <v>GRMOHITE ENERCON PRIVATE LIMITED</v>
          </cell>
        </row>
        <row r="3546">
          <cell r="F3546" t="str">
            <v>UDAM01G150</v>
          </cell>
          <cell r="G3546" t="str">
            <v>GTL REFINERY PRIVATE LIMITED</v>
          </cell>
        </row>
        <row r="3547">
          <cell r="F3547" t="str">
            <v>VADO01A305</v>
          </cell>
          <cell r="G3547" t="str">
            <v>AGARWAL TANKS AND ALLIED WORKS</v>
          </cell>
        </row>
        <row r="3548">
          <cell r="F3548" t="str">
            <v>VARA01R157</v>
          </cell>
          <cell r="G3548" t="str">
            <v>RAJ AGRO INDUSTRIS</v>
          </cell>
        </row>
        <row r="3549">
          <cell r="F3549" t="str">
            <v>BELG01I052</v>
          </cell>
          <cell r="G3549" t="str">
            <v>ISGEC HEAVY ENGINEERING LIMITED</v>
          </cell>
          <cell r="H3549" t="str">
            <v>22-23</v>
          </cell>
          <cell r="I3549" t="str">
            <v>-</v>
          </cell>
          <cell r="J3549" t="str">
            <v>Domestic</v>
          </cell>
          <cell r="K3549" t="str">
            <v>Sugar</v>
          </cell>
          <cell r="L3549" t="str">
            <v>Sugar</v>
          </cell>
          <cell r="M3549" t="str">
            <v>OEM</v>
          </cell>
          <cell r="O3549" t="str">
            <v>-</v>
          </cell>
          <cell r="P3549" t="str">
            <v>NI</v>
          </cell>
          <cell r="Q3549" t="str">
            <v>AVIRAL SHUKLA</v>
          </cell>
          <cell r="S3549" t="str">
            <v>NA</v>
          </cell>
          <cell r="T3549" t="str">
            <v>-</v>
          </cell>
          <cell r="U3549" t="str">
            <v>26-27</v>
          </cell>
          <cell r="V3549" t="str">
            <v>Apr</v>
          </cell>
          <cell r="W3549">
            <v>46127</v>
          </cell>
        </row>
        <row r="3550">
          <cell r="F3550" t="str">
            <v>AHME01S607</v>
          </cell>
          <cell r="G3550" t="str">
            <v>STEEL ART ENGINEERING (RELIANCE)</v>
          </cell>
          <cell r="H3550" t="str">
            <v>26-27</v>
          </cell>
          <cell r="I3550" t="str">
            <v>-</v>
          </cell>
          <cell r="J3550" t="str">
            <v>Domestic</v>
          </cell>
          <cell r="K3550" t="str">
            <v>CBG</v>
          </cell>
          <cell r="L3550" t="str">
            <v>Non-Sugar</v>
          </cell>
          <cell r="M3550" t="str">
            <v>OEM</v>
          </cell>
          <cell r="P3550" t="str">
            <v>WI-SV</v>
          </cell>
          <cell r="Q3550" t="str">
            <v>SV</v>
          </cell>
        </row>
      </sheetData>
      <sheetData sheetId="1"/>
      <sheetData sheetId="2"/>
      <sheetData sheetId="3"/>
      <sheetData sheetId="4"/>
      <sheetData sheetId="5">
        <row r="2">
          <cell r="B2" t="str">
            <v>Code</v>
          </cell>
          <cell r="C2" t="str">
            <v>CUSTNAME</v>
          </cell>
          <cell r="D2" t="str">
            <v>MMP</v>
          </cell>
          <cell r="E2" t="str">
            <v>PCP</v>
          </cell>
        </row>
        <row r="3">
          <cell r="B3" t="str">
            <v>NODA01I015</v>
          </cell>
          <cell r="C3" t="str">
            <v>ISGEC HEAVY ENGINEERING LTD.</v>
          </cell>
          <cell r="D3">
            <v>75</v>
          </cell>
          <cell r="E3">
            <v>452</v>
          </cell>
        </row>
        <row r="4">
          <cell r="B4" t="str">
            <v>DLHI01C018</v>
          </cell>
          <cell r="C4" t="str">
            <v>CHEMICAL SYSTEMS TECHNOLOGIES (INDIA) PVT. LTD.</v>
          </cell>
          <cell r="E4">
            <v>211</v>
          </cell>
        </row>
        <row r="5">
          <cell r="B5" t="str">
            <v>AHMD01I010</v>
          </cell>
          <cell r="C5" t="str">
            <v>INDIANA SUCRO-TECH (PUNE) PVT. LTD.</v>
          </cell>
          <cell r="D5">
            <v>10</v>
          </cell>
          <cell r="E5">
            <v>194</v>
          </cell>
        </row>
        <row r="6">
          <cell r="B6" t="str">
            <v>PUNE01S001</v>
          </cell>
          <cell r="C6" t="str">
            <v>S.S. ENGINEERS</v>
          </cell>
          <cell r="D6">
            <v>111</v>
          </cell>
          <cell r="E6">
            <v>178</v>
          </cell>
        </row>
        <row r="7">
          <cell r="B7" t="str">
            <v>MUDH01M052</v>
          </cell>
          <cell r="C7" t="str">
            <v>M. P. ENGINEERING WORKS</v>
          </cell>
          <cell r="D7">
            <v>12</v>
          </cell>
          <cell r="E7">
            <v>171</v>
          </cell>
        </row>
        <row r="8">
          <cell r="B8" t="str">
            <v>PUNE01M010</v>
          </cell>
          <cell r="C8" t="str">
            <v>MERU INDUSTRIES LLP</v>
          </cell>
          <cell r="D8">
            <v>89</v>
          </cell>
          <cell r="E8">
            <v>148</v>
          </cell>
        </row>
        <row r="9">
          <cell r="B9" t="str">
            <v>PANC01S267</v>
          </cell>
          <cell r="C9" t="str">
            <v>S.R. PARYAVARAN ENGINEERS PVT LTD</v>
          </cell>
          <cell r="E9">
            <v>126</v>
          </cell>
        </row>
        <row r="10">
          <cell r="B10" t="str">
            <v>ADDI01M029</v>
          </cell>
          <cell r="C10" t="str">
            <v>MESFIN INDUSTRIAL ENGINEERING PLC</v>
          </cell>
          <cell r="D10">
            <v>34</v>
          </cell>
          <cell r="E10">
            <v>124</v>
          </cell>
        </row>
        <row r="11">
          <cell r="B11" t="str">
            <v>PUNE01M013</v>
          </cell>
          <cell r="C11" t="str">
            <v>MOJJ ENGINEERING SYSTEMS LTD</v>
          </cell>
          <cell r="E11">
            <v>111</v>
          </cell>
        </row>
        <row r="12">
          <cell r="B12" t="str">
            <v>KANP01U025</v>
          </cell>
          <cell r="C12" t="str">
            <v>UY TRIENVIRO PVT LTD</v>
          </cell>
          <cell r="E12">
            <v>106</v>
          </cell>
        </row>
        <row r="13">
          <cell r="B13" t="str">
            <v>DHAN01T084</v>
          </cell>
          <cell r="C13" t="str">
            <v>THE GENERAL MANAGR (F) (MM)</v>
          </cell>
          <cell r="E13">
            <v>100</v>
          </cell>
        </row>
        <row r="14">
          <cell r="B14" t="str">
            <v>SOLP01S007</v>
          </cell>
          <cell r="C14" t="str">
            <v>SAISIDHA SUGAR EQUIPMENT &amp; ENGG. CO. PVT. LTD.</v>
          </cell>
          <cell r="D14">
            <v>40</v>
          </cell>
          <cell r="E14">
            <v>99</v>
          </cell>
        </row>
        <row r="15">
          <cell r="B15" t="str">
            <v>SOLN01S085</v>
          </cell>
          <cell r="C15" t="str">
            <v>SPRAY ENGINEERING DEVICES LIMITED</v>
          </cell>
          <cell r="D15">
            <v>2</v>
          </cell>
          <cell r="E15">
            <v>96</v>
          </cell>
        </row>
        <row r="16">
          <cell r="B16" t="str">
            <v>AHMD01S075</v>
          </cell>
          <cell r="C16" t="str">
            <v>SHRIJEE PROCESS ENGINEERING WORKS LTD</v>
          </cell>
          <cell r="D16">
            <v>49</v>
          </cell>
          <cell r="E16">
            <v>91</v>
          </cell>
        </row>
        <row r="17">
          <cell r="B17" t="str">
            <v>PUNE01E031</v>
          </cell>
          <cell r="C17" t="str">
            <v>EXCEL ENGINEERS AND CONSULTANTS</v>
          </cell>
          <cell r="E17">
            <v>91</v>
          </cell>
        </row>
        <row r="18">
          <cell r="B18" t="str">
            <v>CHEN01F009</v>
          </cell>
          <cell r="C18" t="str">
            <v>FIVES CAIL - KCP LIMITED</v>
          </cell>
          <cell r="D18">
            <v>39</v>
          </cell>
          <cell r="E18">
            <v>84</v>
          </cell>
        </row>
        <row r="19">
          <cell r="B19" t="str">
            <v>DLHI01G036</v>
          </cell>
          <cell r="C19" t="str">
            <v>GLOBAL CANESUGAR SERVICES PVT. LTD.</v>
          </cell>
          <cell r="E19">
            <v>79</v>
          </cell>
        </row>
        <row r="20">
          <cell r="B20" t="str">
            <v>PUNE01R055</v>
          </cell>
          <cell r="C20" t="str">
            <v>REGREEN EXCEL EPC INDIA PRIVATE LTD</v>
          </cell>
          <cell r="E20">
            <v>69</v>
          </cell>
        </row>
        <row r="21">
          <cell r="B21" t="str">
            <v>SAHA01U029</v>
          </cell>
          <cell r="C21" t="str">
            <v>UNIVERSAL HEAVY ENGINEERING CO</v>
          </cell>
          <cell r="E21">
            <v>62</v>
          </cell>
        </row>
        <row r="22">
          <cell r="B22" t="str">
            <v>DLHI01D018</v>
          </cell>
          <cell r="C22" t="str">
            <v>DIFTECH TECHNOLOGIES PVT. LTD.</v>
          </cell>
          <cell r="E22">
            <v>56</v>
          </cell>
        </row>
        <row r="23">
          <cell r="B23" t="str">
            <v>PUNE01R042</v>
          </cell>
          <cell r="C23" t="str">
            <v>REVA PROCESS TECHNOLOGIES</v>
          </cell>
          <cell r="E23">
            <v>55</v>
          </cell>
        </row>
        <row r="24">
          <cell r="B24" t="str">
            <v>SATA01N047</v>
          </cell>
          <cell r="C24" t="str">
            <v>SHRI DUTT INDIA PVT LTD</v>
          </cell>
          <cell r="E24">
            <v>55</v>
          </cell>
        </row>
        <row r="25">
          <cell r="B25" t="str">
            <v>BELG01I052</v>
          </cell>
          <cell r="C25" t="str">
            <v>ISGEC HEAVY ENGINEERING LIMITED</v>
          </cell>
          <cell r="E25">
            <v>54</v>
          </cell>
        </row>
        <row r="26">
          <cell r="B26" t="str">
            <v>PUNE01H005</v>
          </cell>
          <cell r="C26" t="str">
            <v>HI-TECH ENGINEERING CORPN.INDIA PVT. LTD.</v>
          </cell>
          <cell r="D26">
            <v>9</v>
          </cell>
          <cell r="E26">
            <v>54</v>
          </cell>
        </row>
        <row r="27">
          <cell r="B27" t="str">
            <v>BANG01V015</v>
          </cell>
          <cell r="C27" t="str">
            <v>VRL AUTOMATION ENGG. &amp; PROJECTS PVT. LTD.</v>
          </cell>
          <cell r="D27">
            <v>6</v>
          </cell>
          <cell r="E27">
            <v>45</v>
          </cell>
        </row>
        <row r="28">
          <cell r="B28" t="str">
            <v>DLHI01H045</v>
          </cell>
          <cell r="C28" t="str">
            <v>HI-TECH SWEET WATER TECH PVT LTD</v>
          </cell>
          <cell r="E28">
            <v>44</v>
          </cell>
        </row>
        <row r="29">
          <cell r="B29" t="str">
            <v>THAN01S080</v>
          </cell>
          <cell r="C29" t="str">
            <v>SITSON INDIA PVT. LTD</v>
          </cell>
          <cell r="D29">
            <v>34</v>
          </cell>
          <cell r="E29">
            <v>43</v>
          </cell>
        </row>
        <row r="30">
          <cell r="B30" t="str">
            <v>WSCH01H001</v>
          </cell>
          <cell r="C30" t="str">
            <v>HARINAGAR SUGAR MILLS LIMITED</v>
          </cell>
          <cell r="E30">
            <v>43</v>
          </cell>
        </row>
        <row r="31">
          <cell r="B31" t="str">
            <v>BELG01I054</v>
          </cell>
          <cell r="C31" t="str">
            <v>INDIAN CANE POWER LTD - UNIT ALAGAWADI</v>
          </cell>
          <cell r="E31">
            <v>42</v>
          </cell>
        </row>
        <row r="32">
          <cell r="B32" t="str">
            <v>AHMD01S115</v>
          </cell>
          <cell r="C32" t="str">
            <v>SUVIRON EQUIPMENTS PVT. LTD.</v>
          </cell>
          <cell r="E32">
            <v>40</v>
          </cell>
        </row>
        <row r="33">
          <cell r="B33" t="str">
            <v>PUNE01W021</v>
          </cell>
          <cell r="C33" t="str">
            <v>WTE INFRA PROJECTS P. LTD.</v>
          </cell>
          <cell r="E33">
            <v>40</v>
          </cell>
        </row>
        <row r="34">
          <cell r="B34" t="str">
            <v>KURU01T056</v>
          </cell>
          <cell r="C34" t="str">
            <v>THE SHAHABAD CO-OPERATIVE SUGAR MILLS LTD</v>
          </cell>
          <cell r="E34">
            <v>39</v>
          </cell>
        </row>
        <row r="35">
          <cell r="B35" t="str">
            <v>MUZF01T126</v>
          </cell>
          <cell r="C35" t="str">
            <v>TIKAULA SUGAR MILLS LTD</v>
          </cell>
          <cell r="E35">
            <v>39</v>
          </cell>
        </row>
        <row r="36">
          <cell r="B36" t="str">
            <v>SOLP01V014</v>
          </cell>
          <cell r="C36" t="str">
            <v>VITTHALRAO SHINDE SAH. SAKHAR KARKHANA LTD.</v>
          </cell>
          <cell r="D36">
            <v>1</v>
          </cell>
          <cell r="E36">
            <v>39</v>
          </cell>
        </row>
        <row r="37">
          <cell r="B37" t="str">
            <v>UDAM01K014</v>
          </cell>
          <cell r="C37" t="str">
            <v>KICHHA SUGAR COMPANY LTD</v>
          </cell>
          <cell r="D37">
            <v>1</v>
          </cell>
          <cell r="E37">
            <v>38</v>
          </cell>
        </row>
        <row r="38">
          <cell r="B38" t="str">
            <v>KAKA01W013</v>
          </cell>
          <cell r="C38" t="str">
            <v>WEST KENYA SUGAR COMPANY LIMITED</v>
          </cell>
          <cell r="D38">
            <v>6</v>
          </cell>
          <cell r="E38">
            <v>37</v>
          </cell>
        </row>
        <row r="39">
          <cell r="B39" t="str">
            <v>KOLH01S031</v>
          </cell>
          <cell r="C39" t="str">
            <v>SHRI CHHATRAPATI SHAHU SAHKARI SAKHAR KARKHANA LTD</v>
          </cell>
          <cell r="D39">
            <v>5</v>
          </cell>
          <cell r="E39">
            <v>36</v>
          </cell>
        </row>
        <row r="40">
          <cell r="B40" t="str">
            <v>PUNE01K029</v>
          </cell>
          <cell r="C40" t="str">
            <v>KBK CHEM-ENGINEERING PVT. LTD.</v>
          </cell>
          <cell r="E40">
            <v>36</v>
          </cell>
        </row>
        <row r="41">
          <cell r="B41" t="str">
            <v>PUNE01K128</v>
          </cell>
          <cell r="C41" t="str">
            <v>KRESTON INDUSTRIAL &amp; INFRA PROJECT LLP</v>
          </cell>
          <cell r="E41">
            <v>36</v>
          </cell>
        </row>
        <row r="42">
          <cell r="B42" t="str">
            <v>SITP01A087</v>
          </cell>
          <cell r="C42" t="str">
            <v>AVADH SUGAR &amp; ENERGY LTD.</v>
          </cell>
          <cell r="D42">
            <v>1</v>
          </cell>
          <cell r="E42">
            <v>36</v>
          </cell>
        </row>
        <row r="43">
          <cell r="B43" t="str">
            <v>BAGL01I003</v>
          </cell>
          <cell r="C43" t="str">
            <v>INDIAN CANE POWER LIMITED</v>
          </cell>
          <cell r="E43">
            <v>35</v>
          </cell>
        </row>
        <row r="44">
          <cell r="B44" t="str">
            <v>KOLH01S064</v>
          </cell>
          <cell r="C44" t="str">
            <v>SHRI GURUDATT SUGARS LIMITED</v>
          </cell>
          <cell r="E44">
            <v>35</v>
          </cell>
        </row>
        <row r="45">
          <cell r="B45" t="str">
            <v>NODA01U008</v>
          </cell>
          <cell r="C45" t="str">
            <v>UTTAM SUCROTECH INTERNATIONAL PVT. LTD.</v>
          </cell>
          <cell r="D45">
            <v>36</v>
          </cell>
          <cell r="E45">
            <v>34</v>
          </cell>
        </row>
        <row r="46">
          <cell r="B46" t="str">
            <v>GHZB01U005</v>
          </cell>
          <cell r="C46" t="str">
            <v>UTTAM INDUSTRIAL ENGG. PVT. LTD.</v>
          </cell>
          <cell r="D46">
            <v>6</v>
          </cell>
          <cell r="E46">
            <v>33</v>
          </cell>
        </row>
        <row r="47">
          <cell r="B47" t="str">
            <v>YAMN01I041</v>
          </cell>
          <cell r="C47" t="str">
            <v>ISGEC HEAVY ENGINEERING LIMITED</v>
          </cell>
          <cell r="E47">
            <v>33</v>
          </cell>
        </row>
        <row r="48">
          <cell r="B48" t="str">
            <v>BAHR01P006</v>
          </cell>
          <cell r="C48" t="str">
            <v>PARLE BISCUITS (P) LIMITED</v>
          </cell>
          <cell r="D48">
            <v>3</v>
          </cell>
          <cell r="E48">
            <v>32</v>
          </cell>
        </row>
        <row r="49">
          <cell r="B49" t="str">
            <v>PUNE01P061</v>
          </cell>
          <cell r="C49" t="str">
            <v>PROCIENT ENGINEERING PVT LTD</v>
          </cell>
          <cell r="E49">
            <v>32</v>
          </cell>
        </row>
        <row r="50">
          <cell r="B50" t="str">
            <v>AHMD01L022</v>
          </cell>
          <cell r="C50" t="str">
            <v>LUNAR ENGINEERINGS (NAGAR)</v>
          </cell>
          <cell r="D50">
            <v>12</v>
          </cell>
          <cell r="E50">
            <v>30</v>
          </cell>
        </row>
        <row r="51">
          <cell r="B51" t="str">
            <v>PATI01V010</v>
          </cell>
          <cell r="C51" t="str">
            <v>VISHAL PAPERTECH (INDIA) LTD.</v>
          </cell>
          <cell r="E51">
            <v>30</v>
          </cell>
        </row>
        <row r="52">
          <cell r="B52" t="str">
            <v>BAGL01S153</v>
          </cell>
          <cell r="C52" t="str">
            <v>SHRI SAI PRIYA SUGARS LTD.</v>
          </cell>
          <cell r="D52">
            <v>4</v>
          </cell>
          <cell r="E52">
            <v>29</v>
          </cell>
        </row>
        <row r="53">
          <cell r="B53" t="str">
            <v>BAHR01S079</v>
          </cell>
          <cell r="C53" t="str">
            <v>SIMBHAOLI SUGARS LTD- (UNIT-CHILWARIA)</v>
          </cell>
          <cell r="E53">
            <v>29</v>
          </cell>
        </row>
        <row r="54">
          <cell r="B54" t="str">
            <v>BAGL01M101</v>
          </cell>
          <cell r="C54" t="str">
            <v>MELLBRO SUGAR PRIVATE LIMITED</v>
          </cell>
          <cell r="E54">
            <v>28</v>
          </cell>
        </row>
        <row r="55">
          <cell r="B55" t="str">
            <v>BELG01L003</v>
          </cell>
          <cell r="C55" t="str">
            <v>LAILA SUGARS (P) LTD</v>
          </cell>
          <cell r="E55">
            <v>28</v>
          </cell>
        </row>
        <row r="56">
          <cell r="B56" t="str">
            <v>BELG01S043</v>
          </cell>
          <cell r="C56" t="str">
            <v>SHREE RENUKA SUGARS LTD. - ATHANI (C)</v>
          </cell>
          <cell r="E56">
            <v>28</v>
          </cell>
        </row>
        <row r="57">
          <cell r="B57" t="str">
            <v>GADA01V007</v>
          </cell>
          <cell r="C57" t="str">
            <v>VIJAYANAGAR SUGAR PRIVATE LTD.</v>
          </cell>
          <cell r="E57">
            <v>28</v>
          </cell>
        </row>
        <row r="58">
          <cell r="B58" t="str">
            <v>KHUR01T078</v>
          </cell>
          <cell r="C58" t="str">
            <v>TRIVENI ENGINEERING &amp; INDUSTRIES LTD.</v>
          </cell>
          <cell r="E58">
            <v>27</v>
          </cell>
        </row>
        <row r="59">
          <cell r="B59" t="str">
            <v>PUNE01M102</v>
          </cell>
          <cell r="C59" t="str">
            <v>MEGA EPC PROJECTS PVT LTD</v>
          </cell>
          <cell r="E59">
            <v>27</v>
          </cell>
        </row>
        <row r="60">
          <cell r="B60" t="str">
            <v>SATA01J036</v>
          </cell>
          <cell r="C60" t="str">
            <v>JARANDESHWAR SUGAR MILLS PVT LTD</v>
          </cell>
          <cell r="E60">
            <v>27</v>
          </cell>
        </row>
        <row r="61">
          <cell r="B61" t="str">
            <v>SATA01S537</v>
          </cell>
          <cell r="C61" t="str">
            <v>SATARA ENGINEERING PROJECTS &amp; EQUIPMENTS PVT LTD</v>
          </cell>
          <cell r="E61">
            <v>27</v>
          </cell>
        </row>
        <row r="62">
          <cell r="B62" t="str">
            <v>HOSN01N027</v>
          </cell>
          <cell r="C62" t="str">
            <v>NARMADA SUGARS PVT. LTD.</v>
          </cell>
          <cell r="E62">
            <v>26</v>
          </cell>
        </row>
        <row r="63">
          <cell r="B63" t="str">
            <v>PUNE01S550</v>
          </cell>
          <cell r="C63" t="str">
            <v>SAISIDHA ENGINEERING INDUSTRIES PVT LTD</v>
          </cell>
          <cell r="D63">
            <v>22</v>
          </cell>
          <cell r="E63">
            <v>26</v>
          </cell>
        </row>
        <row r="64">
          <cell r="B64" t="str">
            <v>PUNE01T066</v>
          </cell>
          <cell r="C64" t="str">
            <v>THYSSENKRUPP INDUSTRIES INDIA PVT. LTD</v>
          </cell>
          <cell r="D64">
            <v>12</v>
          </cell>
          <cell r="E64">
            <v>26</v>
          </cell>
        </row>
        <row r="65">
          <cell r="B65" t="str">
            <v>BAGA01T067</v>
          </cell>
          <cell r="C65" t="str">
            <v>TIRUPATI SUGARS LIMITED</v>
          </cell>
          <cell r="E65">
            <v>25</v>
          </cell>
        </row>
        <row r="66">
          <cell r="B66" t="str">
            <v>NARM01S038</v>
          </cell>
          <cell r="C66" t="str">
            <v>SHREE NARMADA KHAND UDYOG SAHAKARI MANDLI LTD.</v>
          </cell>
          <cell r="E66">
            <v>25</v>
          </cell>
        </row>
        <row r="67">
          <cell r="B67" t="str">
            <v>BALR01B044</v>
          </cell>
          <cell r="C67" t="str">
            <v>BALRAMPUR CHINI MILLS LTD. BALRAMPUR SUGAR</v>
          </cell>
          <cell r="E67">
            <v>24</v>
          </cell>
        </row>
        <row r="68">
          <cell r="B68" t="str">
            <v>BARW01S221</v>
          </cell>
          <cell r="C68" t="str">
            <v>SHREE DURGA KHANDSARI SUGAR MILLS</v>
          </cell>
          <cell r="E68">
            <v>24</v>
          </cell>
        </row>
        <row r="69">
          <cell r="B69" t="str">
            <v>BIJN01M076</v>
          </cell>
          <cell r="C69" t="str">
            <v>MOHIT PAPER MILLS LTD</v>
          </cell>
          <cell r="E69">
            <v>24</v>
          </cell>
        </row>
        <row r="70">
          <cell r="B70" t="str">
            <v>DLHI01Y009</v>
          </cell>
          <cell r="C70" t="str">
            <v>BLUE PLANET YASASU SOLUTIONS PVT. LTD.</v>
          </cell>
          <cell r="E70">
            <v>24</v>
          </cell>
        </row>
        <row r="71">
          <cell r="B71" t="str">
            <v>HRDO01D029</v>
          </cell>
          <cell r="C71" t="str">
            <v>DCM SHRIRAM LTD. RUPAPUR</v>
          </cell>
          <cell r="E71">
            <v>24</v>
          </cell>
        </row>
        <row r="72">
          <cell r="B72" t="str">
            <v>KOLH01S060</v>
          </cell>
          <cell r="C72" t="str">
            <v>DALMIA BHARAT SUGAR AND INDUSTRIES LTD.</v>
          </cell>
          <cell r="D72">
            <v>4</v>
          </cell>
          <cell r="E72">
            <v>24</v>
          </cell>
        </row>
        <row r="73">
          <cell r="B73" t="str">
            <v>NAGP01M095</v>
          </cell>
          <cell r="C73" t="str">
            <v>MM ENVIRO PROJECTS PRIVATE LIMITED</v>
          </cell>
          <cell r="E73">
            <v>24</v>
          </cell>
        </row>
        <row r="74">
          <cell r="B74" t="str">
            <v>SANG01N052</v>
          </cell>
          <cell r="C74" t="str">
            <v>DALMIA BHARAT SUGAR AND INDUSTRIES LTD</v>
          </cell>
          <cell r="D74">
            <v>2</v>
          </cell>
          <cell r="E74">
            <v>24</v>
          </cell>
        </row>
        <row r="75">
          <cell r="B75" t="str">
            <v>VIET01K065</v>
          </cell>
          <cell r="C75" t="str">
            <v>KON TUM SUGAR JOINT STOCK COMPANY</v>
          </cell>
          <cell r="D75">
            <v>4</v>
          </cell>
          <cell r="E75">
            <v>24</v>
          </cell>
        </row>
        <row r="76">
          <cell r="B76" t="str">
            <v>WSCH01H008</v>
          </cell>
          <cell r="C76" t="str">
            <v>HPCL BIOFUELS LTD. LAURIYA-845453</v>
          </cell>
          <cell r="D76">
            <v>2</v>
          </cell>
          <cell r="E76">
            <v>24</v>
          </cell>
        </row>
        <row r="77">
          <cell r="B77" t="str">
            <v>MUZF01T072</v>
          </cell>
          <cell r="C77" t="str">
            <v>TRIVENI ENGG.&amp; IND.LTD.(KHATAULI)</v>
          </cell>
          <cell r="D77">
            <v>3</v>
          </cell>
          <cell r="E77">
            <v>23</v>
          </cell>
        </row>
        <row r="78">
          <cell r="B78" t="str">
            <v>PUNE01S095</v>
          </cell>
          <cell r="C78" t="str">
            <v>SUCROTECH EQUIPMENTS</v>
          </cell>
          <cell r="D78">
            <v>9</v>
          </cell>
          <cell r="E78">
            <v>23</v>
          </cell>
        </row>
        <row r="79">
          <cell r="B79" t="str">
            <v>PUNE01U006</v>
          </cell>
          <cell r="C79" t="str">
            <v>ULKA INDUSTRIES PVT. LTD. UNIT II</v>
          </cell>
          <cell r="D79">
            <v>4</v>
          </cell>
          <cell r="E79">
            <v>23</v>
          </cell>
        </row>
        <row r="80">
          <cell r="B80" t="str">
            <v>SITP01D049</v>
          </cell>
          <cell r="C80" t="str">
            <v>DALMIA BHARAT SUGAR &amp; INDUSTRIES LTD-RAMGARH</v>
          </cell>
          <cell r="E80">
            <v>23</v>
          </cell>
        </row>
        <row r="81">
          <cell r="B81" t="str">
            <v>UGAN01K027</v>
          </cell>
          <cell r="C81" t="str">
            <v>KINYARA SUGAR LIMITED</v>
          </cell>
          <cell r="E81">
            <v>23</v>
          </cell>
        </row>
        <row r="82">
          <cell r="B82" t="str">
            <v>VIET01H042</v>
          </cell>
          <cell r="C82" t="str">
            <v>HUNG THINH LIMITED</v>
          </cell>
          <cell r="D82">
            <v>2</v>
          </cell>
          <cell r="E82">
            <v>23</v>
          </cell>
        </row>
        <row r="83">
          <cell r="B83" t="str">
            <v>WSCH01M066</v>
          </cell>
          <cell r="C83" t="str">
            <v>MAGADH SUGAR &amp; ENERGY LTD</v>
          </cell>
          <cell r="E83">
            <v>23</v>
          </cell>
        </row>
        <row r="84">
          <cell r="B84" t="str">
            <v>BARO01A034</v>
          </cell>
          <cell r="C84" t="str">
            <v>ASHRAY ENGINEERS</v>
          </cell>
          <cell r="E84">
            <v>22</v>
          </cell>
        </row>
        <row r="85">
          <cell r="B85" t="str">
            <v>BELA01S319</v>
          </cell>
          <cell r="C85" t="str">
            <v>SCON PROJECTS PVT. LTD.</v>
          </cell>
          <cell r="E85">
            <v>22</v>
          </cell>
        </row>
        <row r="86">
          <cell r="B86" t="str">
            <v>CHEN01E038</v>
          </cell>
          <cell r="C86" t="str">
            <v>EGES ENVIRO SOLUTIONS PRIVATE LIMITED</v>
          </cell>
          <cell r="E86">
            <v>22</v>
          </cell>
        </row>
        <row r="87">
          <cell r="B87" t="str">
            <v>DLHI01C005</v>
          </cell>
          <cell r="C87" t="str">
            <v>CHEMICAL SYSTEMS TECHNOLOGIES (I) PVT. LTD.</v>
          </cell>
          <cell r="E87">
            <v>22</v>
          </cell>
        </row>
        <row r="88">
          <cell r="B88" t="str">
            <v>GHZB01E061</v>
          </cell>
          <cell r="C88" t="str">
            <v>EUROINDUSTRIEL INTERNATIONAL PVT LTD</v>
          </cell>
          <cell r="E88">
            <v>22</v>
          </cell>
        </row>
        <row r="89">
          <cell r="B89" t="str">
            <v>GOND01B020</v>
          </cell>
          <cell r="C89" t="str">
            <v>BALRAMPUR CHINI MILLS LTD. BABHNAN</v>
          </cell>
          <cell r="E89">
            <v>22</v>
          </cell>
        </row>
        <row r="90">
          <cell r="B90" t="str">
            <v>PUNE01B027</v>
          </cell>
          <cell r="C90" t="str">
            <v>BARAMATI AGRO LIMITED</v>
          </cell>
          <cell r="E90">
            <v>22</v>
          </cell>
        </row>
        <row r="91">
          <cell r="B91" t="str">
            <v>BELG01V017</v>
          </cell>
          <cell r="C91" t="str">
            <v>VISHWARAJ SUGAR INDUSTRIES LTD.</v>
          </cell>
          <cell r="E91">
            <v>21</v>
          </cell>
        </row>
        <row r="92">
          <cell r="B92" t="str">
            <v>CALI01C060</v>
          </cell>
          <cell r="C92" t="str">
            <v>CONNEQTED TECH LLC</v>
          </cell>
          <cell r="E92">
            <v>21</v>
          </cell>
        </row>
        <row r="93">
          <cell r="B93" t="str">
            <v>GULB01S045</v>
          </cell>
          <cell r="C93" t="str">
            <v>SHREE RENUKA SUGARS LTD. (E)</v>
          </cell>
          <cell r="E93">
            <v>21</v>
          </cell>
        </row>
        <row r="94">
          <cell r="B94" t="str">
            <v>KASH01K084</v>
          </cell>
          <cell r="C94" t="str">
            <v>KATYAYINI PAPER MILLS PVT LTD</v>
          </cell>
          <cell r="E94">
            <v>21</v>
          </cell>
        </row>
        <row r="95">
          <cell r="B95" t="str">
            <v>PILI01B014</v>
          </cell>
          <cell r="C95" t="str">
            <v>BAJAJ HINDUSTHAN SUGAR LTD.(UB-033)</v>
          </cell>
          <cell r="E95">
            <v>21</v>
          </cell>
        </row>
        <row r="96">
          <cell r="B96" t="str">
            <v>SANR01M039</v>
          </cell>
          <cell r="C96" t="str">
            <v>MAGHAN PAPER MILLS PVT LTD</v>
          </cell>
          <cell r="E96">
            <v>21</v>
          </cell>
        </row>
        <row r="97">
          <cell r="B97" t="str">
            <v>VADO01K007</v>
          </cell>
          <cell r="C97" t="str">
            <v>KAVIN TECHNOLOGIES</v>
          </cell>
          <cell r="D97">
            <v>6</v>
          </cell>
          <cell r="E97">
            <v>21</v>
          </cell>
        </row>
        <row r="98">
          <cell r="B98" t="str">
            <v>AHMD01Y014</v>
          </cell>
          <cell r="C98" t="str">
            <v>YES ENTERPRISES</v>
          </cell>
          <cell r="E98">
            <v>20</v>
          </cell>
        </row>
        <row r="99">
          <cell r="B99" t="str">
            <v>CHIT01S004</v>
          </cell>
          <cell r="C99" t="str">
            <v>SNJ SUGARS &amp; PRODUCTS LIMITED</v>
          </cell>
          <cell r="E99">
            <v>20</v>
          </cell>
        </row>
        <row r="100">
          <cell r="B100" t="str">
            <v>DLHI01F018</v>
          </cell>
          <cell r="C100" t="str">
            <v>FLUID AIR SOLUTIONS</v>
          </cell>
          <cell r="E100">
            <v>20</v>
          </cell>
        </row>
        <row r="101">
          <cell r="B101" t="str">
            <v>GHZB01T057</v>
          </cell>
          <cell r="C101" t="str">
            <v>SIMBHAOLI SUGARS LIMITED (SUGAR DIV.)</v>
          </cell>
          <cell r="E101">
            <v>20</v>
          </cell>
        </row>
        <row r="102">
          <cell r="B102" t="str">
            <v>PUNE01U040</v>
          </cell>
          <cell r="C102" t="str">
            <v>UNIVERSAL FORCES INDUSTRIES PVT LTD</v>
          </cell>
          <cell r="E102">
            <v>20</v>
          </cell>
        </row>
        <row r="103">
          <cell r="B103" t="str">
            <v>SAHA01B013</v>
          </cell>
          <cell r="C103" t="str">
            <v>BAJAJ HINDUSTHAN SUGAR LTD.(UB-031)</v>
          </cell>
          <cell r="E103">
            <v>20</v>
          </cell>
        </row>
        <row r="104">
          <cell r="B104" t="str">
            <v>SAHJ01D052</v>
          </cell>
          <cell r="C104" t="str">
            <v>DALMIA BHARAT SUGAR &amp; INDUSTRIES LTD- NIGOHI</v>
          </cell>
          <cell r="E104">
            <v>20</v>
          </cell>
        </row>
        <row r="105">
          <cell r="B105" t="str">
            <v>JALN01K063</v>
          </cell>
          <cell r="C105" t="str">
            <v>KARMYOGI ANKUSHRAO TOPE SAMARTH SSK LTD -TIRTHPURI</v>
          </cell>
          <cell r="E105">
            <v>19</v>
          </cell>
        </row>
        <row r="106">
          <cell r="B106" t="str">
            <v>KANC01M005</v>
          </cell>
          <cell r="C106" t="str">
            <v>MAHAKALI SUGAR IND. PVT. LTD</v>
          </cell>
          <cell r="E106">
            <v>19</v>
          </cell>
        </row>
        <row r="107">
          <cell r="B107" t="str">
            <v>MUMB01J011</v>
          </cell>
          <cell r="C107" t="str">
            <v>JAYA IMPEX</v>
          </cell>
          <cell r="E107">
            <v>19</v>
          </cell>
        </row>
        <row r="108">
          <cell r="B108" t="str">
            <v>PUNE01A176</v>
          </cell>
          <cell r="C108" t="str">
            <v>ARYAN BOILERS PVT.LTD.</v>
          </cell>
          <cell r="E108">
            <v>19</v>
          </cell>
        </row>
        <row r="109">
          <cell r="B109" t="str">
            <v>RICH01C028</v>
          </cell>
          <cell r="C109" t="str">
            <v>COMPAGNIE SUCRIERE SENEGALAISE</v>
          </cell>
          <cell r="E109">
            <v>19</v>
          </cell>
        </row>
        <row r="110">
          <cell r="B110" t="str">
            <v>AGRA01S309</v>
          </cell>
          <cell r="C110" t="str">
            <v>SHRI RAM ENGINEERS</v>
          </cell>
          <cell r="E110">
            <v>18</v>
          </cell>
        </row>
        <row r="111">
          <cell r="B111" t="str">
            <v>BAGL01N087</v>
          </cell>
          <cell r="C111" t="str">
            <v>NAVAYUGA ENGINEERING COMPANY LTD</v>
          </cell>
          <cell r="E111">
            <v>18</v>
          </cell>
        </row>
        <row r="112">
          <cell r="B112" t="str">
            <v>BELG01S025</v>
          </cell>
          <cell r="C112" t="str">
            <v>SHIVSHAKTI SUGARS LIMITED RAIBAG</v>
          </cell>
          <cell r="E112">
            <v>18</v>
          </cell>
        </row>
        <row r="113">
          <cell r="B113" t="str">
            <v>BIJA01B063</v>
          </cell>
          <cell r="C113" t="str">
            <v>SHRI BALAJI SUGARS &amp; CHEMICALS PVT. LTD.</v>
          </cell>
          <cell r="E113">
            <v>18</v>
          </cell>
        </row>
        <row r="114">
          <cell r="B114" t="str">
            <v>KOLH01S183</v>
          </cell>
          <cell r="C114" t="str">
            <v>SHREE TATYASAHEB KORE WARANA SSK LTD.</v>
          </cell>
          <cell r="E114">
            <v>18</v>
          </cell>
        </row>
        <row r="115">
          <cell r="B115" t="str">
            <v>KOLH01V057</v>
          </cell>
          <cell r="C115" t="str">
            <v>VAIBHAV INDUSTRIES</v>
          </cell>
          <cell r="E115">
            <v>18</v>
          </cell>
        </row>
        <row r="116">
          <cell r="B116" t="str">
            <v>KOLK01G090</v>
          </cell>
          <cell r="C116" t="str">
            <v>GARDEN REACH SHIP BUILDERS &amp; ENG LTD</v>
          </cell>
          <cell r="E116">
            <v>18</v>
          </cell>
        </row>
        <row r="117">
          <cell r="B117" t="str">
            <v>MUMB01S236</v>
          </cell>
          <cell r="C117" t="str">
            <v>SHRIJEE PROCESS ENGINEER WORKS LIMITED</v>
          </cell>
          <cell r="D117">
            <v>16</v>
          </cell>
          <cell r="E117">
            <v>18</v>
          </cell>
        </row>
        <row r="118">
          <cell r="B118" t="str">
            <v>NANA01M062</v>
          </cell>
          <cell r="C118" t="str">
            <v>MUMIAS SUGAR COMPANY LTD (2021)</v>
          </cell>
          <cell r="E118">
            <v>18</v>
          </cell>
        </row>
        <row r="119">
          <cell r="B119" t="str">
            <v>NARS01S232</v>
          </cell>
          <cell r="C119" t="str">
            <v>SHAKTI SUGAR MILL PVT. LTD. NARSINGHPUR</v>
          </cell>
          <cell r="E119">
            <v>18</v>
          </cell>
        </row>
        <row r="120">
          <cell r="B120" t="str">
            <v>SAMA01N092</v>
          </cell>
          <cell r="C120" t="str">
            <v>NS3 PROJECTS</v>
          </cell>
          <cell r="E120">
            <v>18</v>
          </cell>
        </row>
        <row r="121">
          <cell r="B121" t="str">
            <v>SATA01Y003</v>
          </cell>
          <cell r="C121" t="str">
            <v>Y. M. KRISHNA S.S.K. LTD.</v>
          </cell>
          <cell r="E121">
            <v>18</v>
          </cell>
        </row>
        <row r="122">
          <cell r="B122" t="str">
            <v>SOLP01S100</v>
          </cell>
          <cell r="C122" t="str">
            <v>SHREE SIDDHESHWAR SAHAKARI SAKHAR KARKHANA LTD.</v>
          </cell>
          <cell r="E122">
            <v>18</v>
          </cell>
        </row>
        <row r="123">
          <cell r="B123" t="str">
            <v>TANZ01M108</v>
          </cell>
          <cell r="C123" t="str">
            <v>MTIBWA SUGAR ESTATES LIMITED</v>
          </cell>
          <cell r="E123">
            <v>18</v>
          </cell>
        </row>
        <row r="124">
          <cell r="B124" t="str">
            <v>BETU01N082</v>
          </cell>
          <cell r="C124" t="str">
            <v>N PUNJAB SUGARS PVT LTD</v>
          </cell>
          <cell r="D124">
            <v>8</v>
          </cell>
          <cell r="E124">
            <v>17</v>
          </cell>
        </row>
        <row r="125">
          <cell r="B125" t="str">
            <v>BETU01S230</v>
          </cell>
          <cell r="C125" t="str">
            <v>SHRIJEE SUGAR &amp; POWER (P) LTD</v>
          </cell>
          <cell r="E125">
            <v>17</v>
          </cell>
        </row>
        <row r="126">
          <cell r="B126" t="str">
            <v>JALG01S154</v>
          </cell>
          <cell r="C126" t="str">
            <v>SANT MUKTAI SUGAR &amp; ENERGY LTD.</v>
          </cell>
          <cell r="E126">
            <v>17</v>
          </cell>
        </row>
        <row r="127">
          <cell r="B127" t="str">
            <v>KUTC01S409</v>
          </cell>
          <cell r="C127" t="str">
            <v>SHRI DUTT INDIA PVT LTD</v>
          </cell>
          <cell r="E127">
            <v>17</v>
          </cell>
        </row>
        <row r="128">
          <cell r="B128" t="str">
            <v>MUZF01I018</v>
          </cell>
          <cell r="C128" t="str">
            <v>INDIAN POTASH LIMITED (V-014)</v>
          </cell>
          <cell r="D128">
            <v>4</v>
          </cell>
          <cell r="E128">
            <v>17</v>
          </cell>
        </row>
        <row r="129">
          <cell r="B129" t="str">
            <v>SOLP01J034</v>
          </cell>
          <cell r="C129" t="str">
            <v>JAI HIND SUGAR PVT LTD</v>
          </cell>
          <cell r="E129">
            <v>17</v>
          </cell>
        </row>
        <row r="130">
          <cell r="B130" t="str">
            <v>UDAM01J054</v>
          </cell>
          <cell r="C130" t="str">
            <v>JGN SUGAR &amp; BIOFUELS PVT LTD</v>
          </cell>
          <cell r="E130">
            <v>17</v>
          </cell>
        </row>
        <row r="131">
          <cell r="B131" t="str">
            <v>BAGH01S018</v>
          </cell>
          <cell r="C131" t="str">
            <v>SBEC SUGAR LIMITED</v>
          </cell>
          <cell r="D131">
            <v>1</v>
          </cell>
          <cell r="E131">
            <v>16</v>
          </cell>
        </row>
        <row r="132">
          <cell r="B132" t="str">
            <v>EROD01P014</v>
          </cell>
          <cell r="C132" t="str">
            <v>PONNI SUGARS (ERODE) LIMITED</v>
          </cell>
          <cell r="E132">
            <v>16</v>
          </cell>
        </row>
        <row r="133">
          <cell r="B133" t="str">
            <v>JANA01H031</v>
          </cell>
          <cell r="C133" t="str">
            <v>HIMALAYA SUGAR MILLS LIMITED</v>
          </cell>
          <cell r="E133">
            <v>16</v>
          </cell>
        </row>
        <row r="134">
          <cell r="B134" t="str">
            <v>KASH01P120</v>
          </cell>
          <cell r="C134" t="str">
            <v>PROLIFIC PAPERS PRIVATE LIMITED</v>
          </cell>
          <cell r="E134">
            <v>16</v>
          </cell>
        </row>
        <row r="135">
          <cell r="B135" t="str">
            <v>KHER01G009</v>
          </cell>
          <cell r="C135" t="str">
            <v>GOBIND SUGAR MILLS LTD.</v>
          </cell>
          <cell r="E135">
            <v>16</v>
          </cell>
        </row>
        <row r="136">
          <cell r="B136" t="str">
            <v>KUSH01I006</v>
          </cell>
          <cell r="C136" t="str">
            <v>INDIAN POTASH LIMITED(V-004)</v>
          </cell>
          <cell r="E136">
            <v>16</v>
          </cell>
        </row>
        <row r="137">
          <cell r="B137" t="str">
            <v>NODA01T121</v>
          </cell>
          <cell r="C137" t="str">
            <v>TUY HOA SUGAR CANE &amp; SUGAR JOINT STOCK COMPANY</v>
          </cell>
          <cell r="D137">
            <v>4</v>
          </cell>
          <cell r="E137">
            <v>16</v>
          </cell>
        </row>
        <row r="138">
          <cell r="B138" t="str">
            <v>SANG01G056</v>
          </cell>
          <cell r="C138" t="str">
            <v>GLOBAL CANESUGAR SERVICES PVT. LTD.</v>
          </cell>
          <cell r="E138">
            <v>16</v>
          </cell>
        </row>
        <row r="139">
          <cell r="B139" t="str">
            <v>SANG01K021</v>
          </cell>
          <cell r="C139" t="str">
            <v>KRANTIAGRANI DR.G.D.BAPU LAD S.S.K. LTD.</v>
          </cell>
          <cell r="E139">
            <v>16</v>
          </cell>
        </row>
        <row r="140">
          <cell r="B140" t="str">
            <v>SULT01K018</v>
          </cell>
          <cell r="C140" t="str">
            <v>KISAN SAHKARI CHINI MILLS LTD. (V-074)</v>
          </cell>
          <cell r="D140">
            <v>1</v>
          </cell>
          <cell r="E140">
            <v>16</v>
          </cell>
        </row>
        <row r="141">
          <cell r="B141" t="str">
            <v>AHMD01M119</v>
          </cell>
          <cell r="C141" t="str">
            <v>MEGA ENGINEERING.</v>
          </cell>
          <cell r="E141">
            <v>15</v>
          </cell>
        </row>
        <row r="142">
          <cell r="B142" t="str">
            <v>AHMD01S056</v>
          </cell>
          <cell r="C142" t="str">
            <v>SHREE AMBALIKA SUGAR PVT. LTD.</v>
          </cell>
          <cell r="E142">
            <v>15</v>
          </cell>
        </row>
        <row r="143">
          <cell r="B143" t="str">
            <v>AMBE01A049</v>
          </cell>
          <cell r="C143" t="str">
            <v>BALRAMPUR CHINI MILLS LTD. AKBARPUR</v>
          </cell>
          <cell r="E143">
            <v>15</v>
          </cell>
        </row>
        <row r="144">
          <cell r="B144" t="str">
            <v>BEED01N030</v>
          </cell>
          <cell r="C144" t="str">
            <v>NSL SUGAR LTD UNIT- III JAY MAHESH</v>
          </cell>
          <cell r="E144">
            <v>15</v>
          </cell>
        </row>
        <row r="145">
          <cell r="B145" t="str">
            <v>BELG01S023</v>
          </cell>
          <cell r="C145" t="str">
            <v>SHIRAGUPPI SUGAR WORKS LTD</v>
          </cell>
          <cell r="E145">
            <v>15</v>
          </cell>
        </row>
        <row r="146">
          <cell r="B146" t="str">
            <v>GULB01N024</v>
          </cell>
          <cell r="C146" t="str">
            <v>NSL SUGARS LTD. UNIT-II GULBARGA</v>
          </cell>
          <cell r="E146">
            <v>15</v>
          </cell>
        </row>
        <row r="147">
          <cell r="B147" t="str">
            <v>JALN01K064</v>
          </cell>
          <cell r="C147" t="str">
            <v>KARMYOGI ANKUSHRAO TOPE SAMARTH SSK LTD</v>
          </cell>
          <cell r="E147">
            <v>15</v>
          </cell>
        </row>
        <row r="148">
          <cell r="B148" t="str">
            <v>JHAN01B155</v>
          </cell>
          <cell r="C148" t="str">
            <v>BAIDYAPATH AYURVED LLP</v>
          </cell>
          <cell r="E148">
            <v>15</v>
          </cell>
        </row>
        <row r="149">
          <cell r="B149" t="str">
            <v>KISM01K044</v>
          </cell>
          <cell r="C149" t="str">
            <v>KIBOS SUGAR &amp; ALLIED INDUSTRIES LTD</v>
          </cell>
          <cell r="E149">
            <v>15</v>
          </cell>
        </row>
        <row r="150">
          <cell r="B150" t="str">
            <v>KOLH01P003</v>
          </cell>
          <cell r="C150" t="str">
            <v>PADMASHREE DR.D.Y.PATIL SAHAKARI SAKHAR KARKHNA LTD.</v>
          </cell>
          <cell r="E150">
            <v>15</v>
          </cell>
        </row>
        <row r="151">
          <cell r="B151" t="str">
            <v>KUSH01T074</v>
          </cell>
          <cell r="C151" t="str">
            <v>TRIVENI ENGG.&amp; INDUSTRIES LTD (UG126)</v>
          </cell>
          <cell r="E151">
            <v>15</v>
          </cell>
        </row>
        <row r="152">
          <cell r="B152" t="str">
            <v>MODI01M012</v>
          </cell>
          <cell r="C152" t="str">
            <v>MODI INDUSTRIES LTD.</v>
          </cell>
          <cell r="E152">
            <v>15</v>
          </cell>
        </row>
        <row r="153">
          <cell r="B153" t="str">
            <v>MUZF01B079</v>
          </cell>
          <cell r="C153" t="str">
            <v>BINDLAS DUPLEX LIMITED</v>
          </cell>
          <cell r="E153">
            <v>15</v>
          </cell>
        </row>
        <row r="154">
          <cell r="B154" t="str">
            <v>PANI01T051</v>
          </cell>
          <cell r="C154" t="str">
            <v>THE PANIPAT CO-OP. SUGAR MILLS LTD.</v>
          </cell>
          <cell r="E154">
            <v>15</v>
          </cell>
        </row>
        <row r="155">
          <cell r="B155" t="str">
            <v>PUNE01S050</v>
          </cell>
          <cell r="C155" t="str">
            <v>SHRI SOMESHWAR SAHAKARI SAKHAR KARKHANA LTD.</v>
          </cell>
          <cell r="D155">
            <v>1</v>
          </cell>
          <cell r="E155">
            <v>15</v>
          </cell>
        </row>
        <row r="156">
          <cell r="B156" t="str">
            <v>PUNE01U034</v>
          </cell>
          <cell r="C156" t="str">
            <v>UTTAMENERGY LIMITED</v>
          </cell>
          <cell r="D156">
            <v>6</v>
          </cell>
          <cell r="E156">
            <v>15</v>
          </cell>
        </row>
        <row r="157">
          <cell r="B157" t="str">
            <v>SAHJ01B015</v>
          </cell>
          <cell r="C157" t="str">
            <v>BAJAJ HINDUSTHAN SUGAR LTD.(UB-037)</v>
          </cell>
          <cell r="E157">
            <v>15</v>
          </cell>
        </row>
        <row r="158">
          <cell r="B158" t="str">
            <v>SATA01K008</v>
          </cell>
          <cell r="C158" t="str">
            <v>KAY BOUVET ENGINEERING LIMITED</v>
          </cell>
          <cell r="D158">
            <v>13</v>
          </cell>
          <cell r="E158">
            <v>15</v>
          </cell>
        </row>
        <row r="159">
          <cell r="B159" t="str">
            <v>BAGA01G011</v>
          </cell>
          <cell r="C159" t="str">
            <v>GODAVARI BIOREFINERIES LTD.</v>
          </cell>
          <cell r="E159">
            <v>14</v>
          </cell>
        </row>
        <row r="160">
          <cell r="B160" t="str">
            <v>KANP01K049</v>
          </cell>
          <cell r="C160" t="str">
            <v>KAMDHENU CATTLE FEEDS PVT LTD</v>
          </cell>
          <cell r="E160">
            <v>14</v>
          </cell>
        </row>
        <row r="161">
          <cell r="B161" t="str">
            <v>KHER01B005</v>
          </cell>
          <cell r="C161" t="str">
            <v>BAJAJ HINDUSTHAN SUGAR LTD (SUGAR DIVISION)</v>
          </cell>
          <cell r="E161">
            <v>14</v>
          </cell>
        </row>
        <row r="162">
          <cell r="B162" t="str">
            <v>KOLH01S203</v>
          </cell>
          <cell r="C162" t="str">
            <v>SHREE RENUKA SUGARS LTD. - PANCHGANGA (NS362B)</v>
          </cell>
          <cell r="E162">
            <v>14</v>
          </cell>
        </row>
        <row r="163">
          <cell r="B163" t="str">
            <v>NAGP01N032</v>
          </cell>
          <cell r="C163" t="str">
            <v>NB ENTREPRENEURS</v>
          </cell>
          <cell r="E163">
            <v>14</v>
          </cell>
        </row>
        <row r="164">
          <cell r="B164" t="str">
            <v>PERA01D012</v>
          </cell>
          <cell r="C164" t="str">
            <v>DHANALAKSHMI SRINIVASAN SUGARS PVT. LTD</v>
          </cell>
          <cell r="E164">
            <v>14</v>
          </cell>
        </row>
        <row r="165">
          <cell r="B165" t="str">
            <v>PERA01P011</v>
          </cell>
          <cell r="C165" t="str">
            <v>PERAMBALUR SUGAR MILLS LTD.</v>
          </cell>
          <cell r="E165">
            <v>14</v>
          </cell>
        </row>
        <row r="166">
          <cell r="B166" t="str">
            <v>PUNE01A106</v>
          </cell>
          <cell r="C166" t="str">
            <v>AQUATECH SYSTEMS</v>
          </cell>
          <cell r="E166">
            <v>14</v>
          </cell>
        </row>
        <row r="167">
          <cell r="B167" t="str">
            <v>PUNE01R019</v>
          </cell>
          <cell r="C167" t="str">
            <v>RUSHI ENGINEERING WORKS</v>
          </cell>
          <cell r="E167">
            <v>14</v>
          </cell>
        </row>
        <row r="168">
          <cell r="B168" t="str">
            <v>TAPI01S063</v>
          </cell>
          <cell r="C168" t="str">
            <v>SHREE GOVARDHAN SUGAR INDUSTRIES(KHANDSARI)</v>
          </cell>
          <cell r="E168">
            <v>14</v>
          </cell>
        </row>
        <row r="169">
          <cell r="B169" t="str">
            <v>BAGL01B002</v>
          </cell>
          <cell r="C169" t="str">
            <v>BADAMI SUGARS LIMITED</v>
          </cell>
          <cell r="E169">
            <v>13</v>
          </cell>
        </row>
        <row r="170">
          <cell r="B170" t="str">
            <v>BIJN01D035</v>
          </cell>
          <cell r="C170" t="str">
            <v>DWARIKESH SUGAR INDUSTRIES LTD.(UD-067A)</v>
          </cell>
          <cell r="E170">
            <v>13</v>
          </cell>
        </row>
        <row r="171">
          <cell r="B171" t="str">
            <v>GURD01C019</v>
          </cell>
          <cell r="C171" t="str">
            <v>CHADHA SUGARS AND INDUSTRIES PRIVATE LIMITED</v>
          </cell>
          <cell r="E171">
            <v>13</v>
          </cell>
        </row>
        <row r="172">
          <cell r="B172" t="str">
            <v>JAKA01P106</v>
          </cell>
          <cell r="C172" t="str">
            <v>PT. PEMUKASAKTI MANISINDAH</v>
          </cell>
          <cell r="E172">
            <v>13</v>
          </cell>
        </row>
        <row r="173">
          <cell r="B173" t="str">
            <v>KARN01G048</v>
          </cell>
          <cell r="C173" t="str">
            <v>GOODRICH FOODTECH LTD.</v>
          </cell>
          <cell r="E173">
            <v>13</v>
          </cell>
        </row>
        <row r="174">
          <cell r="B174" t="str">
            <v>KISM01K135</v>
          </cell>
          <cell r="C174" t="str">
            <v>KIBOS DISTILLERS LIMITED</v>
          </cell>
          <cell r="E174">
            <v>13</v>
          </cell>
        </row>
        <row r="175">
          <cell r="B175" t="str">
            <v>LAKM01Z003</v>
          </cell>
          <cell r="C175" t="str">
            <v>ZUARI INDUSTRIES LIMITED</v>
          </cell>
          <cell r="E175">
            <v>13</v>
          </cell>
        </row>
        <row r="176">
          <cell r="B176" t="str">
            <v>MUMB01I112</v>
          </cell>
          <cell r="C176" t="str">
            <v>ISGEC HEAVY ENGINEERING LIMITED -MUMBAI</v>
          </cell>
          <cell r="E176">
            <v>13</v>
          </cell>
        </row>
        <row r="177">
          <cell r="B177" t="str">
            <v>MUMB01M006</v>
          </cell>
          <cell r="C177" t="str">
            <v>MAIND INVESTMENT PVT. LTD</v>
          </cell>
          <cell r="D177">
            <v>2</v>
          </cell>
          <cell r="E177">
            <v>13</v>
          </cell>
        </row>
        <row r="178">
          <cell r="B178" t="str">
            <v>NANA01C041</v>
          </cell>
          <cell r="C178" t="str">
            <v>C A V P A</v>
          </cell>
          <cell r="E178">
            <v>13</v>
          </cell>
        </row>
        <row r="179">
          <cell r="B179" t="str">
            <v>NODA01F036</v>
          </cell>
          <cell r="C179" t="str">
            <v>THE FIJI SUGAR CORPORATION LTD</v>
          </cell>
          <cell r="D179">
            <v>2</v>
          </cell>
          <cell r="E179">
            <v>13</v>
          </cell>
        </row>
        <row r="180">
          <cell r="B180" t="str">
            <v>NUND01S159</v>
          </cell>
          <cell r="C180" t="str">
            <v>SHRIKRISHNA KHANDSARI SUGAR MILLS</v>
          </cell>
          <cell r="D180">
            <v>9</v>
          </cell>
          <cell r="E180">
            <v>13</v>
          </cell>
        </row>
        <row r="181">
          <cell r="B181" t="str">
            <v>PUNE01P015</v>
          </cell>
          <cell r="C181" t="str">
            <v>PRAJ INDUSTRIES LTD</v>
          </cell>
          <cell r="E181">
            <v>13</v>
          </cell>
        </row>
        <row r="182">
          <cell r="B182" t="str">
            <v>PUNE01S333</v>
          </cell>
          <cell r="C182" t="str">
            <v>SAI SHRUTI INDUSTRIES PVT LTD</v>
          </cell>
          <cell r="E182">
            <v>13</v>
          </cell>
        </row>
        <row r="183">
          <cell r="B183" t="str">
            <v>ROHT01T026</v>
          </cell>
          <cell r="C183" t="str">
            <v>THE HARYANA CO-OP. SUGAR MILLS LTD.</v>
          </cell>
          <cell r="D183">
            <v>2</v>
          </cell>
          <cell r="E183">
            <v>13</v>
          </cell>
        </row>
        <row r="184">
          <cell r="B184" t="str">
            <v>SAHJ01R043</v>
          </cell>
          <cell r="C184" t="str">
            <v>AVADH SUGAR &amp; ENERGY LTD.</v>
          </cell>
          <cell r="D184">
            <v>4</v>
          </cell>
          <cell r="E184">
            <v>13</v>
          </cell>
        </row>
        <row r="185">
          <cell r="B185" t="str">
            <v>SANG01S082</v>
          </cell>
          <cell r="C185" t="str">
            <v>DR. PATANGRAO KADAM SONHIRA SAHAKARI SAKHAR KARKHANA LTD</v>
          </cell>
          <cell r="E185">
            <v>13</v>
          </cell>
        </row>
        <row r="186">
          <cell r="B186" t="str">
            <v>SHAM01S233</v>
          </cell>
          <cell r="C186" t="str">
            <v>SIR SHADI LAL ENTERPRISES LIMITED</v>
          </cell>
          <cell r="D186">
            <v>4</v>
          </cell>
          <cell r="E186">
            <v>13</v>
          </cell>
        </row>
        <row r="187">
          <cell r="B187" t="str">
            <v>SOLP01J006</v>
          </cell>
          <cell r="C187" t="str">
            <v>JAKRAYA SUGAR LIMITED</v>
          </cell>
          <cell r="E187">
            <v>13</v>
          </cell>
        </row>
        <row r="188">
          <cell r="B188" t="str">
            <v>SURA01S280</v>
          </cell>
          <cell r="C188" t="str">
            <v>SHREE HARI IMPEX</v>
          </cell>
          <cell r="E188">
            <v>13</v>
          </cell>
        </row>
        <row r="189">
          <cell r="B189" t="str">
            <v>TRUL01T098</v>
          </cell>
          <cell r="C189" t="str">
            <v>TIRUTTANI CO-OP. SUGAR MILLS LTD</v>
          </cell>
          <cell r="E189">
            <v>13</v>
          </cell>
        </row>
        <row r="190">
          <cell r="B190" t="str">
            <v>VISH01A155</v>
          </cell>
          <cell r="C190" t="str">
            <v>AXCHEM SOLUTIONS INDIA PVT LTD</v>
          </cell>
          <cell r="E190">
            <v>13</v>
          </cell>
        </row>
        <row r="191">
          <cell r="B191" t="str">
            <v>BAGL01E023</v>
          </cell>
          <cell r="C191" t="str">
            <v>EID PARRY (INDIA) LIMITED</v>
          </cell>
          <cell r="E191">
            <v>12</v>
          </cell>
        </row>
        <row r="192">
          <cell r="B192" t="str">
            <v>BIJA01I009</v>
          </cell>
          <cell r="C192" t="str">
            <v>INDIAN SUGAR MANUFACTURING COMPANY LIMITED</v>
          </cell>
          <cell r="E192">
            <v>12</v>
          </cell>
        </row>
        <row r="193">
          <cell r="B193" t="str">
            <v>DHAK01G053</v>
          </cell>
          <cell r="C193" t="str">
            <v>GREEN GENESIS ENGINEERING LTD</v>
          </cell>
          <cell r="E193">
            <v>12</v>
          </cell>
        </row>
        <row r="194">
          <cell r="B194" t="str">
            <v>FAZI01T092</v>
          </cell>
          <cell r="C194" t="str">
            <v>THE FAZILKA CO-OP. SUGAR MILLS LTD</v>
          </cell>
          <cell r="E194">
            <v>12</v>
          </cell>
        </row>
        <row r="195">
          <cell r="B195" t="str">
            <v>GWAL01S252</v>
          </cell>
          <cell r="C195" t="str">
            <v>SSB ENGINEERING</v>
          </cell>
          <cell r="E195">
            <v>12</v>
          </cell>
        </row>
        <row r="196">
          <cell r="B196" t="str">
            <v>HOCH01T127</v>
          </cell>
          <cell r="C196" t="str">
            <v>TRA VINH SUGAR JOINT STOCK COMPANY</v>
          </cell>
          <cell r="D196">
            <v>6</v>
          </cell>
          <cell r="E196">
            <v>12</v>
          </cell>
        </row>
        <row r="197">
          <cell r="B197" t="str">
            <v>KANP01B161</v>
          </cell>
          <cell r="C197" t="str">
            <v>BGR ENERGY SYSTEMS LTD</v>
          </cell>
          <cell r="E197">
            <v>12</v>
          </cell>
        </row>
        <row r="198">
          <cell r="B198" t="str">
            <v>KANP01K043</v>
          </cell>
          <cell r="C198" t="str">
            <v>KAPILA KRISHI UDYOG LTD.</v>
          </cell>
          <cell r="E198">
            <v>12</v>
          </cell>
        </row>
        <row r="199">
          <cell r="B199" t="str">
            <v>LATU01S289</v>
          </cell>
          <cell r="C199" t="str">
            <v>SHREE SAIBABA SUGARS LTD. - SHIVANI</v>
          </cell>
          <cell r="E199">
            <v>12</v>
          </cell>
        </row>
        <row r="200">
          <cell r="B200" t="str">
            <v>MORA01R009</v>
          </cell>
          <cell r="C200" t="str">
            <v>RANA SUGARS LIMITED (UR347)</v>
          </cell>
          <cell r="E200">
            <v>12</v>
          </cell>
        </row>
        <row r="201">
          <cell r="B201" t="str">
            <v>PUNA01A091</v>
          </cell>
          <cell r="C201" t="str">
            <v>ALCO TECH ENGINEERING</v>
          </cell>
          <cell r="E201">
            <v>12</v>
          </cell>
        </row>
        <row r="202">
          <cell r="B202" t="str">
            <v>PUNE01F008</v>
          </cell>
          <cell r="C202" t="str">
            <v>FABTECH SUGARS LIMITED</v>
          </cell>
          <cell r="D202">
            <v>5</v>
          </cell>
          <cell r="E202">
            <v>12</v>
          </cell>
        </row>
        <row r="203">
          <cell r="B203" t="str">
            <v>PUNE01G122</v>
          </cell>
          <cell r="C203" t="str">
            <v>GUDAGUNTI SUGAR &amp; BIOENERGIES PVT LTD</v>
          </cell>
          <cell r="D203">
            <v>1</v>
          </cell>
          <cell r="E203">
            <v>12</v>
          </cell>
        </row>
        <row r="204">
          <cell r="B204" t="str">
            <v>RNCH01U032</v>
          </cell>
          <cell r="C204" t="str">
            <v>URANIUM CORPORATION OF INDIA LIMITED</v>
          </cell>
          <cell r="E204">
            <v>12</v>
          </cell>
        </row>
        <row r="205">
          <cell r="B205" t="str">
            <v>SANG01S117</v>
          </cell>
          <cell r="C205" t="str">
            <v>SADGURU SRI SRI SAKHAR KARKHANA LTD.</v>
          </cell>
          <cell r="E205">
            <v>12</v>
          </cell>
        </row>
        <row r="206">
          <cell r="B206" t="str">
            <v>SANG01S238</v>
          </cell>
          <cell r="C206" t="str">
            <v>SHRI DUTT INDIA PVT LTD</v>
          </cell>
          <cell r="E206">
            <v>12</v>
          </cell>
        </row>
        <row r="207">
          <cell r="B207" t="str">
            <v>SHAM01S176</v>
          </cell>
          <cell r="C207" t="str">
            <v>SUPERIOR FOOD GRAINS PVT. LTD.</v>
          </cell>
          <cell r="E207">
            <v>12</v>
          </cell>
        </row>
        <row r="208">
          <cell r="B208" t="str">
            <v>SURA01S036</v>
          </cell>
          <cell r="C208" t="str">
            <v>SHREE MADHI VIBHAG KHAND UDYOG SAHAKARI MANDLI LIMITED</v>
          </cell>
          <cell r="E208">
            <v>12</v>
          </cell>
        </row>
        <row r="209">
          <cell r="B209" t="str">
            <v>ARGB01P104</v>
          </cell>
          <cell r="C209" t="str">
            <v>PANCHAGANGA SUGAR &amp; POWER PVT LTD</v>
          </cell>
          <cell r="E209">
            <v>11</v>
          </cell>
        </row>
        <row r="210">
          <cell r="B210" t="str">
            <v>BALR01T079</v>
          </cell>
          <cell r="C210" t="str">
            <v>BALRAMPUR CHINI MILLS LIMITED TULSIPUR</v>
          </cell>
          <cell r="E210">
            <v>11</v>
          </cell>
        </row>
        <row r="211">
          <cell r="B211" t="str">
            <v>BARO01O002</v>
          </cell>
          <cell r="C211" t="str">
            <v>OIL GAS INDUSTRIES SERVICES</v>
          </cell>
          <cell r="D211">
            <v>5</v>
          </cell>
          <cell r="E211">
            <v>11</v>
          </cell>
        </row>
        <row r="212">
          <cell r="B212" t="str">
            <v>BETU01H044</v>
          </cell>
          <cell r="C212" t="str">
            <v>HANUMANT SUGAR PVT LTD</v>
          </cell>
          <cell r="D212">
            <v>2</v>
          </cell>
          <cell r="E212">
            <v>11</v>
          </cell>
        </row>
        <row r="213">
          <cell r="B213" t="str">
            <v>BIJN01B009</v>
          </cell>
          <cell r="C213" t="str">
            <v>BAJAJ HINDUSTHAN SUGAR LTD. (8S2)</v>
          </cell>
          <cell r="E213">
            <v>11</v>
          </cell>
        </row>
        <row r="214">
          <cell r="B214" t="str">
            <v>GHOS01K064</v>
          </cell>
          <cell r="C214" t="str">
            <v>KISAN SAHAKARI CHINI MILL LTD - GHOSI</v>
          </cell>
          <cell r="D214">
            <v>4</v>
          </cell>
          <cell r="E214">
            <v>11</v>
          </cell>
        </row>
        <row r="215">
          <cell r="B215" t="str">
            <v>HOSH01A001</v>
          </cell>
          <cell r="C215" t="str">
            <v>A. B. SUGARS LTD</v>
          </cell>
          <cell r="D215">
            <v>2</v>
          </cell>
          <cell r="E215">
            <v>11</v>
          </cell>
        </row>
        <row r="216">
          <cell r="B216" t="str">
            <v>JANA01P191</v>
          </cell>
          <cell r="C216" t="str">
            <v>PASHCHIMANCHAL SUGAR INDUSTRIES PVT LTD</v>
          </cell>
          <cell r="E216">
            <v>11</v>
          </cell>
        </row>
        <row r="217">
          <cell r="B217" t="str">
            <v>KAPI01S155</v>
          </cell>
          <cell r="C217" t="str">
            <v>SHREE MAHALAXMI SUGARS LTD.</v>
          </cell>
          <cell r="E217">
            <v>11</v>
          </cell>
        </row>
        <row r="218">
          <cell r="B218" t="str">
            <v>KARN01G045</v>
          </cell>
          <cell r="C218" t="str">
            <v>GOODRICH CEREALS</v>
          </cell>
          <cell r="E218">
            <v>11</v>
          </cell>
        </row>
        <row r="219">
          <cell r="B219" t="str">
            <v>KHER01B011</v>
          </cell>
          <cell r="C219" t="str">
            <v>BAJAJ HINDUSTHAN SUGAR LTD.(UB032)</v>
          </cell>
          <cell r="E219">
            <v>11</v>
          </cell>
        </row>
        <row r="220">
          <cell r="B220" t="str">
            <v>LATU01V045</v>
          </cell>
          <cell r="C220" t="str">
            <v>VILAS SAHAKARI SAHKHAR KARKHANA LTD UNIT-2</v>
          </cell>
          <cell r="D220">
            <v>1</v>
          </cell>
          <cell r="E220">
            <v>11</v>
          </cell>
        </row>
        <row r="221">
          <cell r="B221" t="str">
            <v>NAGP01V024</v>
          </cell>
          <cell r="C221" t="str">
            <v>VENKATESHWARA POWER PROJECT LTD.(UNIT-2)</v>
          </cell>
          <cell r="E221">
            <v>11</v>
          </cell>
        </row>
        <row r="222">
          <cell r="B222" t="str">
            <v>NARS01M034</v>
          </cell>
          <cell r="C222" t="str">
            <v>MAHAKAUSHAL SUGAR &amp; POWER IND. LTD.</v>
          </cell>
          <cell r="D222">
            <v>2</v>
          </cell>
          <cell r="E222">
            <v>11</v>
          </cell>
        </row>
        <row r="223">
          <cell r="B223" t="str">
            <v>PUNE01M179</v>
          </cell>
          <cell r="C223" t="str">
            <v>MOJJ ENGINEERING SYSTEMS LTD - UNIT -3</v>
          </cell>
          <cell r="E223">
            <v>11</v>
          </cell>
        </row>
        <row r="224">
          <cell r="B224" t="str">
            <v>PUNE01N007</v>
          </cell>
          <cell r="C224" t="str">
            <v>NATIONAL HEAVY ENGINEERING CO-OPERATIVE LIMITED</v>
          </cell>
          <cell r="D224">
            <v>7</v>
          </cell>
          <cell r="E224">
            <v>11</v>
          </cell>
        </row>
        <row r="225">
          <cell r="B225" t="str">
            <v>PUNE01S059</v>
          </cell>
          <cell r="C225" t="str">
            <v>SHRI CHHATRAPATI SAHAKARI SAKHAR KARKHANA LTD.</v>
          </cell>
          <cell r="E225">
            <v>11</v>
          </cell>
        </row>
        <row r="226">
          <cell r="B226" t="str">
            <v>SAHA01T119</v>
          </cell>
          <cell r="C226" t="str">
            <v>THE KISAN CO-OPERATIVE SUGAR FACTORY LTD</v>
          </cell>
          <cell r="D226">
            <v>1</v>
          </cell>
          <cell r="E226">
            <v>11</v>
          </cell>
        </row>
        <row r="227">
          <cell r="B227" t="str">
            <v>SAMP01K026</v>
          </cell>
          <cell r="C227" t="str">
            <v>KISAN SAH. CHINI MILLS LTD.</v>
          </cell>
          <cell r="D227">
            <v>3</v>
          </cell>
          <cell r="E227">
            <v>11</v>
          </cell>
        </row>
        <row r="228">
          <cell r="B228" t="str">
            <v>SITP01D053</v>
          </cell>
          <cell r="C228" t="str">
            <v>DALMIA BHARAT SUGAR &amp; INDUSTRIES LTD- JAWAHARPUR</v>
          </cell>
          <cell r="E228">
            <v>11</v>
          </cell>
        </row>
        <row r="229">
          <cell r="B229" t="str">
            <v>SRIK01P008</v>
          </cell>
          <cell r="C229" t="str">
            <v>EID PARRY INDIA LIMITED-(SANKILI)</v>
          </cell>
          <cell r="E229">
            <v>11</v>
          </cell>
        </row>
        <row r="230">
          <cell r="B230" t="str">
            <v>TANZ01K155</v>
          </cell>
          <cell r="C230" t="str">
            <v>KAGERA SUGAR LIMITED</v>
          </cell>
          <cell r="E230">
            <v>11</v>
          </cell>
        </row>
        <row r="231">
          <cell r="B231" t="str">
            <v>UGAN01H043</v>
          </cell>
          <cell r="C231" t="str">
            <v>HOIMA SUGARS LIMITED</v>
          </cell>
          <cell r="E231">
            <v>11</v>
          </cell>
        </row>
        <row r="232">
          <cell r="B232" t="str">
            <v>AHIL01S578</v>
          </cell>
          <cell r="C232" t="str">
            <v>SHRIJEE PROCESS ENGINEERING WORKS LTD-AHILYANAGAR</v>
          </cell>
          <cell r="E232">
            <v>10</v>
          </cell>
        </row>
        <row r="233">
          <cell r="B233" t="str">
            <v>AHMD01S229</v>
          </cell>
          <cell r="C233" t="str">
            <v>SHRIJEE HEAVY PROJECTS WORKS LTD</v>
          </cell>
          <cell r="E233">
            <v>10</v>
          </cell>
        </row>
        <row r="234">
          <cell r="B234" t="str">
            <v>AMRO01T117</v>
          </cell>
          <cell r="C234" t="str">
            <v>TRIVENI ENGINEERING &amp; INDUSTRIES LTD</v>
          </cell>
          <cell r="E234">
            <v>10</v>
          </cell>
        </row>
        <row r="235">
          <cell r="B235" t="str">
            <v>BAHR01S220</v>
          </cell>
          <cell r="C235" t="str">
            <v>SHRAVASTI KISAN SAHKARI CHINI MILLS LTD</v>
          </cell>
          <cell r="D235">
            <v>8</v>
          </cell>
          <cell r="E235">
            <v>10</v>
          </cell>
        </row>
        <row r="236">
          <cell r="B236" t="str">
            <v>BARW01M094</v>
          </cell>
          <cell r="C236" t="str">
            <v>MEKALSUTA SUGARS PVT LTD</v>
          </cell>
          <cell r="D236">
            <v>1</v>
          </cell>
          <cell r="E236">
            <v>10</v>
          </cell>
        </row>
        <row r="237">
          <cell r="B237" t="str">
            <v>BELG01G012</v>
          </cell>
          <cell r="C237" t="str">
            <v>GOKAK SUGARS LIMITED</v>
          </cell>
          <cell r="E237">
            <v>10</v>
          </cell>
        </row>
        <row r="238">
          <cell r="B238" t="str">
            <v>BELG01H040</v>
          </cell>
          <cell r="C238" t="str">
            <v>HERMES DISTILLERY PVT LTD</v>
          </cell>
          <cell r="E238">
            <v>10</v>
          </cell>
        </row>
        <row r="239">
          <cell r="B239" t="str">
            <v>BHAR01I105</v>
          </cell>
          <cell r="C239" t="str">
            <v>ISGEC HEAVY ENGINEERING LIMITED.</v>
          </cell>
          <cell r="E239">
            <v>10</v>
          </cell>
        </row>
        <row r="240">
          <cell r="B240" t="str">
            <v>ESCH01H007</v>
          </cell>
          <cell r="C240" t="str">
            <v>HPCL BIOFUELS LTD. SUGAULI-845456</v>
          </cell>
          <cell r="D240">
            <v>5</v>
          </cell>
          <cell r="E240">
            <v>10</v>
          </cell>
        </row>
        <row r="241">
          <cell r="B241" t="str">
            <v>FARR01T097</v>
          </cell>
          <cell r="C241" t="str">
            <v>THE KISAN SAHKARI CHINI MILLS LTD(V-067)</v>
          </cell>
          <cell r="D241">
            <v>8</v>
          </cell>
          <cell r="E241">
            <v>10</v>
          </cell>
        </row>
        <row r="242">
          <cell r="B242" t="str">
            <v>GOPA01V011</v>
          </cell>
          <cell r="C242" t="str">
            <v>VISHNU SUGAR MILLS LTD</v>
          </cell>
          <cell r="E242">
            <v>10</v>
          </cell>
        </row>
        <row r="243">
          <cell r="B243" t="str">
            <v>HOSA01R037</v>
          </cell>
          <cell r="C243" t="str">
            <v>RAMDEV SUGARS PVT LTD.</v>
          </cell>
          <cell r="E243">
            <v>10</v>
          </cell>
        </row>
        <row r="244">
          <cell r="B244" t="str">
            <v>JALA01T047</v>
          </cell>
          <cell r="C244" t="str">
            <v>THE NAWANSHAHR CO-OPERATIVE SUGAR MILLS LTD.</v>
          </cell>
          <cell r="E244">
            <v>10</v>
          </cell>
        </row>
        <row r="245">
          <cell r="B245" t="str">
            <v>KANC01B064</v>
          </cell>
          <cell r="C245" t="str">
            <v>BHAGESHWOR SUGAR &amp; CHEMICAL IND PVT LTD</v>
          </cell>
          <cell r="D245">
            <v>5</v>
          </cell>
          <cell r="E245">
            <v>10</v>
          </cell>
        </row>
        <row r="246">
          <cell r="B246" t="str">
            <v>KANP01K082</v>
          </cell>
          <cell r="C246" t="str">
            <v>KAPILA KRISHI UDYOG LIMITED</v>
          </cell>
          <cell r="E246">
            <v>10</v>
          </cell>
        </row>
        <row r="247">
          <cell r="B247" t="str">
            <v>KAPI01R060</v>
          </cell>
          <cell r="C247" t="str">
            <v>RELIANCE SUGAR &amp; CHEMICAL INDUSTRIES PVT LTD.</v>
          </cell>
          <cell r="E247">
            <v>10</v>
          </cell>
        </row>
        <row r="248">
          <cell r="B248" t="str">
            <v>KARN01G055</v>
          </cell>
          <cell r="C248" t="str">
            <v>GLOBAL CANE SUGAR SERVICES PVT LTD</v>
          </cell>
          <cell r="E248">
            <v>10</v>
          </cell>
        </row>
        <row r="249">
          <cell r="B249" t="str">
            <v>KOLH01S032</v>
          </cell>
          <cell r="C249" t="str">
            <v>SHREE DUDHGANGA VEDGANGA SSK LTD.</v>
          </cell>
          <cell r="E249">
            <v>10</v>
          </cell>
        </row>
        <row r="250">
          <cell r="B250" t="str">
            <v>KUTC01S044</v>
          </cell>
          <cell r="C250" t="str">
            <v>SHREE RENUKA SUGARS LTD. (K)</v>
          </cell>
          <cell r="E250">
            <v>10</v>
          </cell>
        </row>
        <row r="251">
          <cell r="B251" t="str">
            <v>MAND01N023</v>
          </cell>
          <cell r="C251" t="str">
            <v>NSL SUGARS LTD</v>
          </cell>
          <cell r="E251">
            <v>10</v>
          </cell>
        </row>
        <row r="252">
          <cell r="B252" t="str">
            <v>MORA01L023</v>
          </cell>
          <cell r="C252" t="str">
            <v>LAKSHMI JI SUGAR MILLS COMPANY LTD</v>
          </cell>
          <cell r="E252">
            <v>10</v>
          </cell>
        </row>
        <row r="253">
          <cell r="B253" t="str">
            <v>MORA01S152</v>
          </cell>
          <cell r="C253" t="str">
            <v>SHREE AJUDHIA SUGAR MILLS</v>
          </cell>
          <cell r="E253">
            <v>10</v>
          </cell>
        </row>
        <row r="254">
          <cell r="B254" t="str">
            <v>MUMB01A166</v>
          </cell>
          <cell r="C254" t="str">
            <v>ASHTALAXMI SUGAR ETHANOL AND ENERGY LIMITED</v>
          </cell>
          <cell r="D254">
            <v>2</v>
          </cell>
          <cell r="E254">
            <v>10</v>
          </cell>
        </row>
        <row r="255">
          <cell r="B255" t="str">
            <v>MUZF01B006</v>
          </cell>
          <cell r="C255" t="str">
            <v>BAJAJ HINDUSTHAN SUGAR LTD. (8S3)</v>
          </cell>
          <cell r="E255">
            <v>10</v>
          </cell>
        </row>
        <row r="256">
          <cell r="B256" t="str">
            <v>MUZF01B007</v>
          </cell>
          <cell r="C256" t="str">
            <v>BAJAJ HINDUSTHAN SUGAR LTD. (8S4)</v>
          </cell>
          <cell r="E256">
            <v>10</v>
          </cell>
        </row>
        <row r="257">
          <cell r="B257" t="str">
            <v>NANA01C030</v>
          </cell>
          <cell r="C257" t="str">
            <v>CDT CONSULTANT AND TECHNOLOGY TRANSFER CO.LTD</v>
          </cell>
          <cell r="D257">
            <v>4</v>
          </cell>
          <cell r="E257">
            <v>10</v>
          </cell>
        </row>
        <row r="258">
          <cell r="B258" t="str">
            <v>OSMA01D016</v>
          </cell>
          <cell r="C258" t="str">
            <v>DHARASHIV SAKHAR KARKHANA LTD.</v>
          </cell>
          <cell r="D258">
            <v>1</v>
          </cell>
          <cell r="E258">
            <v>10</v>
          </cell>
        </row>
        <row r="259">
          <cell r="B259" t="str">
            <v>PUNE01M068</v>
          </cell>
          <cell r="C259" t="str">
            <v>MOJJ ENGINEERING SYSTEMS LTD (UNIT-2)</v>
          </cell>
          <cell r="E259">
            <v>10</v>
          </cell>
        </row>
        <row r="260">
          <cell r="B260" t="str">
            <v>PUNE01S260</v>
          </cell>
          <cell r="C260" t="str">
            <v>SHRI SAMARTH ENGINEERING PVT LTD</v>
          </cell>
          <cell r="E260">
            <v>10</v>
          </cell>
        </row>
        <row r="261">
          <cell r="B261" t="str">
            <v>PUNE01V006</v>
          </cell>
          <cell r="C261" t="str">
            <v>VENKETESH KRUPPA SUGAR-MILLS LTD</v>
          </cell>
          <cell r="E261">
            <v>10</v>
          </cell>
        </row>
        <row r="262">
          <cell r="B262" t="str">
            <v>ROTH01S264</v>
          </cell>
          <cell r="C262" t="str">
            <v>SHREE BABA BAIJUNATH SUGAR &amp; CHEMICAL IND PVT LTD</v>
          </cell>
          <cell r="D262">
            <v>5</v>
          </cell>
          <cell r="E262">
            <v>10</v>
          </cell>
        </row>
        <row r="263">
          <cell r="B263" t="str">
            <v>SAHA01G063</v>
          </cell>
          <cell r="C263" t="str">
            <v>GITA PUMPS INDIA PVT LTD.</v>
          </cell>
          <cell r="E263">
            <v>10</v>
          </cell>
        </row>
        <row r="264">
          <cell r="B264" t="str">
            <v>SATA01J012</v>
          </cell>
          <cell r="C264" t="str">
            <v>JAYWANT SUGARS LIMITED</v>
          </cell>
          <cell r="E264">
            <v>10</v>
          </cell>
        </row>
        <row r="265">
          <cell r="B265" t="str">
            <v>SOLP01L008</v>
          </cell>
          <cell r="C265" t="str">
            <v>LOKMANGAL SUGAR ETHANOL &amp; CO-GENERATION IND LTD</v>
          </cell>
          <cell r="D265">
            <v>1</v>
          </cell>
          <cell r="E265">
            <v>10</v>
          </cell>
        </row>
        <row r="266">
          <cell r="B266" t="str">
            <v>SOLP01P146</v>
          </cell>
          <cell r="C266" t="str">
            <v>PARVATI ENGINEERS</v>
          </cell>
          <cell r="E266">
            <v>10</v>
          </cell>
        </row>
        <row r="267">
          <cell r="B267" t="str">
            <v>SURA01S049</v>
          </cell>
          <cell r="C267" t="str">
            <v>SHREE SAYAN VIBHAG SAHAKARI KHAND UDYOG MANDLI LTD</v>
          </cell>
          <cell r="D267">
            <v>1</v>
          </cell>
          <cell r="E267">
            <v>10</v>
          </cell>
        </row>
        <row r="268">
          <cell r="B268" t="str">
            <v>UNNA01R054</v>
          </cell>
          <cell r="C268" t="str">
            <v>RIMJHIM STAINLESS LIMITED</v>
          </cell>
          <cell r="E268">
            <v>10</v>
          </cell>
        </row>
        <row r="269">
          <cell r="B269" t="str">
            <v>AHMD01P004</v>
          </cell>
          <cell r="C269" t="str">
            <v>PADMASHRI DR.VITHALRAO VIKHE PATIL SAHAKARI SAKHAR-KARKHANA LTD.</v>
          </cell>
          <cell r="E269">
            <v>9</v>
          </cell>
        </row>
        <row r="270">
          <cell r="B270" t="str">
            <v>AHMD01S179</v>
          </cell>
          <cell r="C270" t="str">
            <v>SAHAKARMAHARSHI BHAUSAHEB THORAT SSK LTD</v>
          </cell>
          <cell r="E270">
            <v>9</v>
          </cell>
        </row>
        <row r="271">
          <cell r="B271" t="str">
            <v>ALIG01T132</v>
          </cell>
          <cell r="C271" t="str">
            <v>THE KISAN SAHKARI CHINI MILLS LTD-SATHA</v>
          </cell>
          <cell r="E271">
            <v>9</v>
          </cell>
        </row>
        <row r="272">
          <cell r="B272" t="str">
            <v>AMRI01P065</v>
          </cell>
          <cell r="C272" t="str">
            <v>PAPERTEX SPECIALITY CHEMICALS P. LTD.</v>
          </cell>
          <cell r="E272">
            <v>9</v>
          </cell>
        </row>
        <row r="273">
          <cell r="B273" t="str">
            <v>ARGB01B051</v>
          </cell>
          <cell r="C273" t="str">
            <v>BARAMATI AGRO LTD. UNIT-2</v>
          </cell>
          <cell r="D273">
            <v>3</v>
          </cell>
          <cell r="E273">
            <v>9</v>
          </cell>
        </row>
        <row r="274">
          <cell r="B274" t="str">
            <v>AZAM01E081</v>
          </cell>
          <cell r="C274" t="str">
            <v>EVERGREEN ENTERPRISES</v>
          </cell>
          <cell r="E274">
            <v>9</v>
          </cell>
        </row>
        <row r="275">
          <cell r="B275" t="str">
            <v>BAJP01T015</v>
          </cell>
          <cell r="C275" t="str">
            <v>THE BAZPUR CO-OPERATIVE SUGAR FACTORY LTD.</v>
          </cell>
          <cell r="D275">
            <v>5</v>
          </cell>
          <cell r="E275">
            <v>9</v>
          </cell>
        </row>
        <row r="276">
          <cell r="B276" t="str">
            <v>BARL01D079</v>
          </cell>
          <cell r="C276" t="str">
            <v>DHAMPUR BIO ORGANICS LTD UNIT - MEERGANJ</v>
          </cell>
          <cell r="D276">
            <v>1</v>
          </cell>
          <cell r="E276">
            <v>9</v>
          </cell>
        </row>
        <row r="277">
          <cell r="B277" t="str">
            <v>BIJN01B124</v>
          </cell>
          <cell r="C277" t="str">
            <v>BINDAL PAPERS MILLS LIMITED</v>
          </cell>
          <cell r="E277">
            <v>9</v>
          </cell>
        </row>
        <row r="278">
          <cell r="B278" t="str">
            <v>CHAM01B022</v>
          </cell>
          <cell r="C278" t="str">
            <v>BANNARI AMMAN SUGARS LTD. (Unit - III)</v>
          </cell>
          <cell r="E278">
            <v>9</v>
          </cell>
        </row>
        <row r="279">
          <cell r="B279" t="str">
            <v>CUDD01E010</v>
          </cell>
          <cell r="C279" t="str">
            <v>EID PARRY INDIA LIMITED-(NELLIKUPPAM)</v>
          </cell>
          <cell r="E279">
            <v>9</v>
          </cell>
        </row>
        <row r="280">
          <cell r="B280" t="str">
            <v>EGPT01P059</v>
          </cell>
          <cell r="C280" t="str">
            <v>PHAGA INDUSTRIES S.A.E.</v>
          </cell>
          <cell r="E280">
            <v>9</v>
          </cell>
        </row>
        <row r="281">
          <cell r="B281" t="str">
            <v>GOND01M035</v>
          </cell>
          <cell r="C281" t="str">
            <v>BALRAMPUR CHINI MILLS LTD. MANKAPUR</v>
          </cell>
          <cell r="E281">
            <v>9</v>
          </cell>
        </row>
        <row r="282">
          <cell r="B282" t="str">
            <v>HODE01Y007</v>
          </cell>
          <cell r="C282" t="str">
            <v>YEMEN COMPANY FOR SUGAR REFINING</v>
          </cell>
          <cell r="E282">
            <v>9</v>
          </cell>
        </row>
        <row r="283">
          <cell r="B283" t="str">
            <v>HRDO01G059</v>
          </cell>
          <cell r="C283" t="str">
            <v>G R INFRAPROJECTS LIMITED</v>
          </cell>
          <cell r="E283">
            <v>9</v>
          </cell>
        </row>
        <row r="284">
          <cell r="B284" t="str">
            <v>JALA01T042</v>
          </cell>
          <cell r="C284" t="str">
            <v>THE NAKODAR CO-OPERATIVE SUGAR MILLS LTD.</v>
          </cell>
          <cell r="E284">
            <v>9</v>
          </cell>
        </row>
        <row r="285">
          <cell r="B285" t="str">
            <v>LAKM01K031</v>
          </cell>
          <cell r="C285" t="str">
            <v>BALRAMPUR CHINI MILLS LTD. KUMBHI</v>
          </cell>
          <cell r="E285">
            <v>9</v>
          </cell>
        </row>
        <row r="286">
          <cell r="B286" t="str">
            <v>NARS01V019</v>
          </cell>
          <cell r="C286" t="str">
            <v>VANSHIKA SUGAR &amp; POWER INDUSTRIES LTD</v>
          </cell>
          <cell r="E286">
            <v>9</v>
          </cell>
        </row>
        <row r="287">
          <cell r="B287" t="str">
            <v>OSMA01D076</v>
          </cell>
          <cell r="C287" t="str">
            <v>DR. BABASAHEB AMBEDKAR SSK LTD.</v>
          </cell>
          <cell r="E287">
            <v>9</v>
          </cell>
        </row>
        <row r="288">
          <cell r="B288" t="str">
            <v>PARB01B061</v>
          </cell>
          <cell r="C288" t="str">
            <v>BALIRAJA SAKHAR KARKHANA LTD. KANADKHED</v>
          </cell>
          <cell r="E288">
            <v>9</v>
          </cell>
        </row>
        <row r="289">
          <cell r="B289" t="str">
            <v>PILI01N049</v>
          </cell>
          <cell r="C289" t="str">
            <v>NOVEL SUGAR LIMITED</v>
          </cell>
          <cell r="E289">
            <v>9</v>
          </cell>
        </row>
        <row r="290">
          <cell r="B290" t="str">
            <v>RAMP01C055</v>
          </cell>
          <cell r="C290" t="str">
            <v>CHADHA PAPERS LIMITED</v>
          </cell>
          <cell r="E290">
            <v>9</v>
          </cell>
        </row>
        <row r="291">
          <cell r="B291" t="str">
            <v>SAHA01T073</v>
          </cell>
          <cell r="C291" t="str">
            <v>TRIVENI ENGG.&amp; INDS.LTD.(DEOBAND)</v>
          </cell>
          <cell r="D291">
            <v>2</v>
          </cell>
          <cell r="E291">
            <v>9</v>
          </cell>
        </row>
        <row r="292">
          <cell r="B292" t="str">
            <v>SANG01B141</v>
          </cell>
          <cell r="C292" t="str">
            <v>BHARATI SUGAR &amp; FUELS PVT LTD NAGEWADI</v>
          </cell>
          <cell r="E292">
            <v>9</v>
          </cell>
        </row>
        <row r="293">
          <cell r="B293" t="str">
            <v>SOLP01D075</v>
          </cell>
          <cell r="C293" t="str">
            <v>DHARASHIV SAKHAR KARKHANA LTD.- SANCHALIT</v>
          </cell>
          <cell r="E293">
            <v>9</v>
          </cell>
        </row>
        <row r="294">
          <cell r="B294" t="str">
            <v>SOLP01I011</v>
          </cell>
          <cell r="C294" t="str">
            <v>INDRESHWAR SUGAR MILLS LTD</v>
          </cell>
          <cell r="E294">
            <v>9</v>
          </cell>
        </row>
        <row r="295">
          <cell r="B295" t="str">
            <v>SOLP01V043</v>
          </cell>
          <cell r="C295" t="str">
            <v>VITTHALRAO SHINDE SSK LTD UNIT-2</v>
          </cell>
          <cell r="D295">
            <v>1</v>
          </cell>
          <cell r="E295">
            <v>9</v>
          </cell>
        </row>
        <row r="296">
          <cell r="B296" t="str">
            <v>TAPI01S118</v>
          </cell>
          <cell r="C296" t="str">
            <v>SHREE VRUNDAVAN KHANDSARI UDYOG</v>
          </cell>
          <cell r="E296">
            <v>9</v>
          </cell>
        </row>
        <row r="297">
          <cell r="B297" t="str">
            <v>VILL01D015</v>
          </cell>
          <cell r="C297" t="str">
            <v>DHARANI SUGARS &amp; CHEMICALS LTD.</v>
          </cell>
          <cell r="E297">
            <v>9</v>
          </cell>
        </row>
        <row r="298">
          <cell r="B298" t="str">
            <v>AHME01B081</v>
          </cell>
          <cell r="C298" t="str">
            <v>BHAGYODAY COTSPIN LLP</v>
          </cell>
          <cell r="E298">
            <v>8</v>
          </cell>
        </row>
        <row r="299">
          <cell r="B299" t="str">
            <v>BANG01J049</v>
          </cell>
          <cell r="C299" t="str">
            <v>JAYADITYA SUGAR CONSULTANCY SERIVICES PVT LTD</v>
          </cell>
          <cell r="E299">
            <v>8</v>
          </cell>
        </row>
        <row r="300">
          <cell r="B300" t="str">
            <v>BARW01O003</v>
          </cell>
          <cell r="C300" t="str">
            <v>OLAM AGRO INDIA PVT. LTD.</v>
          </cell>
          <cell r="E300">
            <v>8</v>
          </cell>
        </row>
        <row r="301">
          <cell r="B301" t="str">
            <v>BELG01S047</v>
          </cell>
          <cell r="C301" t="str">
            <v>SHREE RENUKA SUGARS LTD. - RAIBAG (J)</v>
          </cell>
          <cell r="E301">
            <v>8</v>
          </cell>
        </row>
        <row r="302">
          <cell r="B302" t="str">
            <v>BELG01S062</v>
          </cell>
          <cell r="C302" t="str">
            <v>CHIDANAND BASAPRABHU SAHAKARI SAKKARE KARKHANA NIYAMIT</v>
          </cell>
          <cell r="E302">
            <v>8</v>
          </cell>
        </row>
        <row r="303">
          <cell r="B303" t="str">
            <v>BELL01M081</v>
          </cell>
          <cell r="C303" t="str">
            <v>MYLAR SUGAR LIMITED</v>
          </cell>
          <cell r="E303">
            <v>8</v>
          </cell>
        </row>
        <row r="304">
          <cell r="B304" t="str">
            <v>BIJA01S162</v>
          </cell>
          <cell r="C304" t="str">
            <v>SHREE BASAVESHWAR SUGARS LTD. NH-218</v>
          </cell>
          <cell r="E304">
            <v>8</v>
          </cell>
        </row>
        <row r="305">
          <cell r="B305" t="str">
            <v>BIJN01D034</v>
          </cell>
          <cell r="C305" t="str">
            <v>DWARIKESH SUGAR INDS. LTD. (AFZALGARH)</v>
          </cell>
          <cell r="E305">
            <v>8</v>
          </cell>
        </row>
        <row r="306">
          <cell r="B306" t="str">
            <v>BIJN01K066</v>
          </cell>
          <cell r="C306" t="str">
            <v>KISAN SAHKARI CHINI MILLS LTD - NAJIBABAD</v>
          </cell>
          <cell r="E306">
            <v>8</v>
          </cell>
        </row>
        <row r="307">
          <cell r="B307" t="str">
            <v>CHEN01X006</v>
          </cell>
          <cell r="C307" t="str">
            <v>X2 FUELS AND ENERGY PRIVATE LIMITED</v>
          </cell>
          <cell r="E307">
            <v>8</v>
          </cell>
        </row>
        <row r="308">
          <cell r="B308" t="str">
            <v>CHIT01P018</v>
          </cell>
          <cell r="C308" t="str">
            <v>NATEMS SUGAR PRIVATE LIMITED</v>
          </cell>
          <cell r="E308">
            <v>8</v>
          </cell>
        </row>
        <row r="309">
          <cell r="B309" t="str">
            <v>DEDH01D020</v>
          </cell>
          <cell r="C309" t="str">
            <v>DOIWALA SUGAR COMPANY LTD.</v>
          </cell>
          <cell r="D309">
            <v>1</v>
          </cell>
          <cell r="E309">
            <v>8</v>
          </cell>
        </row>
        <row r="310">
          <cell r="B310" t="str">
            <v>DHAK01A051</v>
          </cell>
          <cell r="C310" t="str">
            <v>ABDUL MONEM SUGAR REFINERY LTD</v>
          </cell>
          <cell r="E310">
            <v>8</v>
          </cell>
        </row>
        <row r="311">
          <cell r="B311" t="str">
            <v>DHAM01T021</v>
          </cell>
          <cell r="C311" t="str">
            <v>THE DHARMAPURI DISTRICT CO-OP. SUGAR MILLS LIMITED</v>
          </cell>
          <cell r="E311">
            <v>8</v>
          </cell>
        </row>
        <row r="312">
          <cell r="B312" t="str">
            <v>DHAR01M054</v>
          </cell>
          <cell r="C312" t="str">
            <v>MAAREWA SUGARS PVT. LTD.</v>
          </cell>
          <cell r="E312">
            <v>8</v>
          </cell>
        </row>
        <row r="313">
          <cell r="B313" t="str">
            <v>GOLA01N150</v>
          </cell>
          <cell r="C313" t="str">
            <v>NUMALIGARH REFINERY LIMITED-(NRL)</v>
          </cell>
          <cell r="E313">
            <v>8</v>
          </cell>
        </row>
        <row r="314">
          <cell r="B314" t="str">
            <v>HOSH01I008</v>
          </cell>
          <cell r="C314" t="str">
            <v>INDIAN SUCROSE LIMITED</v>
          </cell>
          <cell r="E314">
            <v>8</v>
          </cell>
        </row>
        <row r="315">
          <cell r="B315" t="str">
            <v>KANP01D078</v>
          </cell>
          <cell r="C315" t="str">
            <v>DAZZLING INDIA</v>
          </cell>
          <cell r="E315">
            <v>8</v>
          </cell>
        </row>
        <row r="316">
          <cell r="B316" t="str">
            <v>KASH01H089</v>
          </cell>
          <cell r="C316" t="str">
            <v>HEART TOUCH PAPER PVT.LTD.</v>
          </cell>
          <cell r="E316">
            <v>8</v>
          </cell>
        </row>
        <row r="317">
          <cell r="B317" t="str">
            <v>KHER01K080</v>
          </cell>
          <cell r="C317" t="str">
            <v>KIRYANDONGO SUGAR LTD</v>
          </cell>
          <cell r="D317">
            <v>2</v>
          </cell>
          <cell r="E317">
            <v>8</v>
          </cell>
        </row>
        <row r="318">
          <cell r="B318" t="str">
            <v>KOLH01K048</v>
          </cell>
          <cell r="C318" t="str">
            <v>KUMBHI KASARI SAHAKARI SAKHAR KARKHANA LTD.</v>
          </cell>
          <cell r="E318">
            <v>8</v>
          </cell>
        </row>
        <row r="319">
          <cell r="B319" t="str">
            <v>KOLH01S339</v>
          </cell>
          <cell r="C319" t="str">
            <v>SHREE ANNAPURNA SUGAR AND JAGGERY WORKS LIMITED</v>
          </cell>
          <cell r="E319">
            <v>8</v>
          </cell>
        </row>
        <row r="320">
          <cell r="B320" t="str">
            <v>KUSH01T062</v>
          </cell>
          <cell r="C320" t="str">
            <v>THE UNITED PROVINCES SUGAR - COMPANY LIMITED</v>
          </cell>
          <cell r="E320">
            <v>8</v>
          </cell>
        </row>
        <row r="321">
          <cell r="B321" t="str">
            <v>LAKM01B090</v>
          </cell>
          <cell r="C321" t="str">
            <v>BALRAMPUR CHINI MILLS LTD. GULARIA</v>
          </cell>
          <cell r="E321">
            <v>8</v>
          </cell>
        </row>
        <row r="322">
          <cell r="B322" t="str">
            <v>MERT01B008</v>
          </cell>
          <cell r="C322" t="str">
            <v>BAJAJ HINDUSTHAN SUGAR LTD. (KINAUNI)</v>
          </cell>
          <cell r="D322">
            <v>1</v>
          </cell>
          <cell r="E322">
            <v>8</v>
          </cell>
        </row>
        <row r="323">
          <cell r="B323" t="str">
            <v>MOHA01E007</v>
          </cell>
          <cell r="C323" t="str">
            <v>EVEREST SUGAR &amp; CHEMICALS IND. LTD.</v>
          </cell>
          <cell r="D323">
            <v>1</v>
          </cell>
          <cell r="E323">
            <v>8</v>
          </cell>
        </row>
        <row r="324">
          <cell r="B324" t="str">
            <v>MUZF01T068</v>
          </cell>
          <cell r="C324" t="str">
            <v>INDIAN POTASH LIMITED - 2I-18 (C)</v>
          </cell>
          <cell r="E324">
            <v>8</v>
          </cell>
        </row>
        <row r="325">
          <cell r="B325" t="str">
            <v>NADE01T138</v>
          </cell>
          <cell r="C325" t="str">
            <v>THE KISAN SAHKARI CHINI MILLS LTD (NADEHI)</v>
          </cell>
          <cell r="D325">
            <v>13</v>
          </cell>
          <cell r="E325">
            <v>8</v>
          </cell>
        </row>
        <row r="326">
          <cell r="B326" t="str">
            <v>NAVS01N055</v>
          </cell>
          <cell r="C326" t="str">
            <v>NARAN LALA PVT LTD.</v>
          </cell>
          <cell r="E326">
            <v>8</v>
          </cell>
        </row>
        <row r="327">
          <cell r="B327" t="str">
            <v>NODA01B147</v>
          </cell>
          <cell r="C327" t="str">
            <v>BAJAJ ENERGY LTD</v>
          </cell>
          <cell r="E327">
            <v>8</v>
          </cell>
        </row>
        <row r="328">
          <cell r="B328" t="str">
            <v>PARB01G001</v>
          </cell>
          <cell r="C328" t="str">
            <v>GANGAKHED SUGAR &amp; ENERGY LTD.</v>
          </cell>
          <cell r="E328">
            <v>8</v>
          </cell>
        </row>
        <row r="329">
          <cell r="B329" t="str">
            <v>PUNE01C049</v>
          </cell>
          <cell r="C329" t="str">
            <v>CEE DEE VACUUM EQUIPMENT PVT LTD</v>
          </cell>
          <cell r="E329">
            <v>8</v>
          </cell>
        </row>
        <row r="330">
          <cell r="B330" t="str">
            <v>PUNE01S324</v>
          </cell>
          <cell r="C330" t="str">
            <v>SHREE KURMDAS INDUSTRIES PVT LTD.</v>
          </cell>
          <cell r="E330">
            <v>8</v>
          </cell>
        </row>
        <row r="331">
          <cell r="B331" t="str">
            <v>RAMP01R018</v>
          </cell>
          <cell r="C331" t="str">
            <v>RUDRA-BILAS KISAN SAHKARI CHINI MILLS LTD.</v>
          </cell>
          <cell r="D331">
            <v>5</v>
          </cell>
          <cell r="E331">
            <v>8</v>
          </cell>
        </row>
        <row r="332">
          <cell r="B332" t="str">
            <v>ROPR01T040</v>
          </cell>
          <cell r="C332" t="str">
            <v>THE MORINDA CO-OP. SUGAR MILLS LIMITED</v>
          </cell>
          <cell r="D332">
            <v>1</v>
          </cell>
          <cell r="E332">
            <v>8</v>
          </cell>
        </row>
        <row r="333">
          <cell r="B333" t="str">
            <v>SANG01H009</v>
          </cell>
          <cell r="C333" t="str">
            <v>PADMABHUSHAN KRANTIVEER DR. NAGNATHANNA NAYAKAWADI</v>
          </cell>
          <cell r="E333">
            <v>8</v>
          </cell>
        </row>
        <row r="334">
          <cell r="B334" t="str">
            <v>SANG01S182</v>
          </cell>
          <cell r="C334" t="str">
            <v>SATTYAM ENGINEERS</v>
          </cell>
          <cell r="D334">
            <v>4</v>
          </cell>
          <cell r="E334">
            <v>8</v>
          </cell>
        </row>
        <row r="335">
          <cell r="B335" t="str">
            <v>SHAM01U015</v>
          </cell>
          <cell r="C335" t="str">
            <v>UPPER DOAB SUGAR MILLS</v>
          </cell>
          <cell r="E335">
            <v>8</v>
          </cell>
        </row>
        <row r="336">
          <cell r="B336" t="str">
            <v>SITM01R015</v>
          </cell>
          <cell r="C336" t="str">
            <v>RIGA SUGAR CO. LTD.</v>
          </cell>
          <cell r="E336">
            <v>8</v>
          </cell>
        </row>
        <row r="337">
          <cell r="B337" t="str">
            <v>SITP01T054</v>
          </cell>
          <cell r="C337" t="str">
            <v>THE SEKSARIA BISWAN SUGAR FACTORY LTD</v>
          </cell>
          <cell r="E337">
            <v>8</v>
          </cell>
        </row>
        <row r="338">
          <cell r="B338" t="str">
            <v>SOLP01B078</v>
          </cell>
          <cell r="C338" t="str">
            <v>BHAIRAVNATH SUGAR WORKS LTD (UNIT NO.7)</v>
          </cell>
          <cell r="E338">
            <v>8</v>
          </cell>
        </row>
        <row r="339">
          <cell r="B339" t="str">
            <v>SURA01S034</v>
          </cell>
          <cell r="C339" t="str">
            <v>SHREE KHEDUT SAHAKARI KHAND UDYOG MANDLI LTD.</v>
          </cell>
          <cell r="E339">
            <v>8</v>
          </cell>
        </row>
        <row r="340">
          <cell r="B340" t="str">
            <v>VELL01T060</v>
          </cell>
          <cell r="C340" t="str">
            <v>THE TIRUPATTUR CO-OPERATIVE SUGAR MILLS LTD</v>
          </cell>
          <cell r="E340">
            <v>8</v>
          </cell>
        </row>
        <row r="341">
          <cell r="B341" t="str">
            <v>VIET01M065</v>
          </cell>
          <cell r="C341" t="str">
            <v>MK SUGAR VIETNAM COMPANY LIMITED</v>
          </cell>
          <cell r="E341">
            <v>8</v>
          </cell>
        </row>
        <row r="342">
          <cell r="B342" t="str">
            <v>VISA01S124</v>
          </cell>
          <cell r="C342" t="str">
            <v>SRI VIJAYA VISAKHA MILK PRODUCERS COMPANY LTD.</v>
          </cell>
          <cell r="E342">
            <v>8</v>
          </cell>
        </row>
        <row r="343">
          <cell r="B343" t="str">
            <v>AMRI01T006</v>
          </cell>
          <cell r="C343" t="str">
            <v>THE AJNALA CO-OPERATIVE SUGAR MILLS LTD.</v>
          </cell>
          <cell r="E343">
            <v>7</v>
          </cell>
        </row>
        <row r="344">
          <cell r="B344" t="str">
            <v>AMRO01T088</v>
          </cell>
          <cell r="C344" t="str">
            <v>THE KISAN SAHKARI CHINI MILLS LTD.(V-066)</v>
          </cell>
          <cell r="E344">
            <v>7</v>
          </cell>
        </row>
        <row r="345">
          <cell r="B345" t="str">
            <v>ARGB01S312</v>
          </cell>
          <cell r="C345" t="str">
            <v>SHREE RENUKADEVI SHARD SSK LTD</v>
          </cell>
          <cell r="E345">
            <v>7</v>
          </cell>
        </row>
        <row r="346">
          <cell r="B346" t="str">
            <v>BALR01B019</v>
          </cell>
          <cell r="C346" t="str">
            <v>BALRAMPUR CHINI MILLS LTD. BALRAMPUR CHEMICAL</v>
          </cell>
          <cell r="E346">
            <v>7</v>
          </cell>
        </row>
        <row r="347">
          <cell r="B347" t="str">
            <v>BARL01K012</v>
          </cell>
          <cell r="C347" t="str">
            <v>KESAR ENTERPRISES LTD</v>
          </cell>
          <cell r="E347">
            <v>7</v>
          </cell>
        </row>
        <row r="348">
          <cell r="B348" t="str">
            <v>BELA01I080</v>
          </cell>
          <cell r="C348" t="str">
            <v>INAMDAR SUGAR LIMITED</v>
          </cell>
          <cell r="E348">
            <v>7</v>
          </cell>
        </row>
        <row r="349">
          <cell r="B349" t="str">
            <v>BELG01S066</v>
          </cell>
          <cell r="C349" t="str">
            <v>SHRI HIRANYAKESHI SAHAKARI SAKKARE KARKHANE NIYAMIT</v>
          </cell>
          <cell r="E349">
            <v>7</v>
          </cell>
        </row>
        <row r="350">
          <cell r="B350" t="str">
            <v>BETU01T137</v>
          </cell>
          <cell r="C350" t="str">
            <v>TAPTI AGRO INDUSTRIES</v>
          </cell>
          <cell r="D350">
            <v>1</v>
          </cell>
          <cell r="E350">
            <v>7</v>
          </cell>
        </row>
        <row r="351">
          <cell r="B351" t="str">
            <v>BHAR01S035</v>
          </cell>
          <cell r="C351" t="str">
            <v>SHREE KHEDUT SAHAKARI KHAND UDYOG MANDLI LTD.</v>
          </cell>
          <cell r="E351">
            <v>7</v>
          </cell>
        </row>
        <row r="352">
          <cell r="B352" t="str">
            <v>BIJA01J016</v>
          </cell>
          <cell r="C352" t="str">
            <v>JAMKHANDI SUGARS LTD. (UNIT-II)</v>
          </cell>
          <cell r="E352">
            <v>7</v>
          </cell>
        </row>
        <row r="353">
          <cell r="B353" t="str">
            <v>BURD01G018</v>
          </cell>
          <cell r="C353" t="str">
            <v>GENERAL MANAGER (F) I/C EASTERN COALFIELDS LIMITED</v>
          </cell>
          <cell r="E353">
            <v>7</v>
          </cell>
        </row>
        <row r="354">
          <cell r="B354" t="str">
            <v>BUSI01W038</v>
          </cell>
          <cell r="C354" t="str">
            <v>WEST KENYA SUGAR COMPANY LTD - OLEPITO</v>
          </cell>
          <cell r="D354">
            <v>4</v>
          </cell>
          <cell r="E354">
            <v>7</v>
          </cell>
        </row>
        <row r="355">
          <cell r="B355" t="str">
            <v>CHEN01C107</v>
          </cell>
          <cell r="C355" t="str">
            <v>CMR TOYOTSU ALUMINIUM INDIA PVT LTD</v>
          </cell>
          <cell r="E355">
            <v>7</v>
          </cell>
        </row>
        <row r="356">
          <cell r="B356" t="str">
            <v>DLHI01A061</v>
          </cell>
          <cell r="C356" t="str">
            <v>ABSOLUTE WATER PVT. LTD</v>
          </cell>
          <cell r="E356">
            <v>7</v>
          </cell>
        </row>
        <row r="357">
          <cell r="B357" t="str">
            <v>FARD01I075</v>
          </cell>
          <cell r="C357" t="str">
            <v>ISEPCONTROL</v>
          </cell>
          <cell r="E357">
            <v>7</v>
          </cell>
        </row>
        <row r="358">
          <cell r="B358" t="str">
            <v>FATE01N004</v>
          </cell>
          <cell r="C358" t="str">
            <v>NAHAR INDUSTRIAL ENTERPRISES LTD.</v>
          </cell>
          <cell r="E358">
            <v>7</v>
          </cell>
        </row>
        <row r="359">
          <cell r="B359" t="str">
            <v>GURD01T025</v>
          </cell>
          <cell r="C359" t="str">
            <v>THE GURDASPUR CO-OP. SUGAR MILLS LTD.</v>
          </cell>
          <cell r="E359">
            <v>7</v>
          </cell>
        </row>
        <row r="360">
          <cell r="B360" t="str">
            <v>JALA01T016</v>
          </cell>
          <cell r="C360" t="str">
            <v>THE BHOGPUR CO-OPERATIVE - SUGAR MILLS LTD</v>
          </cell>
          <cell r="E360">
            <v>7</v>
          </cell>
        </row>
        <row r="361">
          <cell r="B361" t="str">
            <v>JALN01S012</v>
          </cell>
          <cell r="C361" t="str">
            <v>SAMARTH SAHAKARI SAKHAR KARKHANA LTD</v>
          </cell>
          <cell r="E361">
            <v>7</v>
          </cell>
        </row>
        <row r="362">
          <cell r="B362" t="str">
            <v>KABR01K067</v>
          </cell>
          <cell r="C362" t="str">
            <v>KAPILA KRISHI UDYOG LTD</v>
          </cell>
          <cell r="E362">
            <v>7</v>
          </cell>
        </row>
        <row r="363">
          <cell r="B363" t="str">
            <v>KHER01B004</v>
          </cell>
          <cell r="C363" t="str">
            <v>BAJAJ HINDUSTAN SUGAR LTD. (PALIA SUGAR)</v>
          </cell>
          <cell r="E363">
            <v>7</v>
          </cell>
        </row>
        <row r="364">
          <cell r="B364" t="str">
            <v>KISM01K086</v>
          </cell>
          <cell r="C364" t="str">
            <v>KIBOS PAPER &amp; PACKAGING LTD</v>
          </cell>
          <cell r="E364">
            <v>7</v>
          </cell>
        </row>
        <row r="365">
          <cell r="B365" t="str">
            <v>KURI01B055</v>
          </cell>
          <cell r="C365" t="str">
            <v>BAGMATI KHANDSARI SUGAR MILLS PVT LTD</v>
          </cell>
          <cell r="E365">
            <v>7</v>
          </cell>
        </row>
        <row r="366">
          <cell r="B366" t="str">
            <v>KUSH01S225</v>
          </cell>
          <cell r="C366" t="str">
            <v>SHANKARA SHARKARA SANKUL</v>
          </cell>
          <cell r="E366">
            <v>7</v>
          </cell>
        </row>
        <row r="367">
          <cell r="B367" t="str">
            <v>MAHA01I005</v>
          </cell>
          <cell r="C367" t="str">
            <v>INDIAN POTASH LIMITED (V-015)</v>
          </cell>
          <cell r="E367">
            <v>7</v>
          </cell>
        </row>
        <row r="368">
          <cell r="B368" t="str">
            <v>MALE01N039</v>
          </cell>
          <cell r="C368" t="str">
            <v>NABHA PAPER MILLS PVT. LTD.</v>
          </cell>
          <cell r="E368">
            <v>7</v>
          </cell>
        </row>
        <row r="369">
          <cell r="B369" t="str">
            <v>MAND01S087</v>
          </cell>
          <cell r="C369" t="str">
            <v>SRI CHAMUNDESWARI SUGARS LTD.</v>
          </cell>
          <cell r="E369">
            <v>7</v>
          </cell>
        </row>
        <row r="370">
          <cell r="B370" t="str">
            <v>MERT01H101</v>
          </cell>
          <cell r="C370" t="str">
            <v>HI-TECH ENGINEERS</v>
          </cell>
          <cell r="E370">
            <v>7</v>
          </cell>
        </row>
        <row r="371">
          <cell r="B371" t="str">
            <v>MUMB01E028</v>
          </cell>
          <cell r="C371" t="str">
            <v>ELECTRO PRODUCTS</v>
          </cell>
          <cell r="D371">
            <v>6</v>
          </cell>
          <cell r="E371">
            <v>7</v>
          </cell>
        </row>
        <row r="372">
          <cell r="B372" t="str">
            <v>MUZF01D032</v>
          </cell>
          <cell r="C372" t="str">
            <v>DSM SUGAR MANSURPUR</v>
          </cell>
          <cell r="E372">
            <v>7</v>
          </cell>
        </row>
        <row r="373">
          <cell r="B373" t="str">
            <v>NIZA01G003</v>
          </cell>
          <cell r="C373" t="str">
            <v>GAYATRI SUGARS LTD. (KAMAREDDY UNIT)</v>
          </cell>
          <cell r="E373">
            <v>7</v>
          </cell>
        </row>
        <row r="374">
          <cell r="B374" t="str">
            <v>NUND01A036</v>
          </cell>
          <cell r="C374" t="str">
            <v>ASTORIA AGRO AND ALLIED INDUSTRIES PVT.LTD.</v>
          </cell>
          <cell r="E374">
            <v>7</v>
          </cell>
        </row>
        <row r="375">
          <cell r="B375" t="str">
            <v>PUNE01B085</v>
          </cell>
          <cell r="C375" t="str">
            <v>BARAMATI AGRO LTD - DISTILLERY</v>
          </cell>
          <cell r="E375">
            <v>7</v>
          </cell>
        </row>
        <row r="376">
          <cell r="B376" t="str">
            <v>PUNE01K090</v>
          </cell>
          <cell r="C376" t="str">
            <v>KUSHWAHA INDUSTRIES</v>
          </cell>
          <cell r="D376">
            <v>4</v>
          </cell>
          <cell r="E376">
            <v>7</v>
          </cell>
        </row>
        <row r="377">
          <cell r="B377" t="str">
            <v>PUNE01S137</v>
          </cell>
          <cell r="C377" t="str">
            <v>SHRADDHA ENERGY AND INFRAPROJECTS PVT LTD</v>
          </cell>
          <cell r="E377">
            <v>7</v>
          </cell>
        </row>
        <row r="378">
          <cell r="B378" t="str">
            <v>PUNE01S411</v>
          </cell>
          <cell r="C378" t="str">
            <v>SAISHRUTI INDUSTRIES PVT LTD</v>
          </cell>
          <cell r="D378">
            <v>6</v>
          </cell>
          <cell r="E378">
            <v>7</v>
          </cell>
        </row>
        <row r="379">
          <cell r="B379" t="str">
            <v>PUNE01T105</v>
          </cell>
          <cell r="C379" t="str">
            <v>TOMSA DESTIL INDIA PVT. LTD.</v>
          </cell>
          <cell r="E379">
            <v>7</v>
          </cell>
        </row>
        <row r="380">
          <cell r="B380" t="str">
            <v>RAMP01R011</v>
          </cell>
          <cell r="C380" t="str">
            <v>RANA SUGARS LIMITED (UR345)</v>
          </cell>
          <cell r="E380">
            <v>7</v>
          </cell>
        </row>
        <row r="381">
          <cell r="B381" t="str">
            <v>SATA01K069</v>
          </cell>
          <cell r="C381" t="str">
            <v>KHATAV MAN TALUKA AGRO PROCESSING LTD</v>
          </cell>
          <cell r="E381">
            <v>7</v>
          </cell>
        </row>
        <row r="382">
          <cell r="B382" t="str">
            <v>SATA01S076</v>
          </cell>
          <cell r="C382" t="str">
            <v>KALLAPPANNA AWADE JAWAHAR SHETKARI SSK LTD.</v>
          </cell>
          <cell r="E382">
            <v>7</v>
          </cell>
        </row>
        <row r="383">
          <cell r="B383" t="str">
            <v>SATA01S190</v>
          </cell>
          <cell r="C383" t="str">
            <v>SHARAYU AGRO INDUSTRIES LTD</v>
          </cell>
          <cell r="D383">
            <v>1</v>
          </cell>
          <cell r="E383">
            <v>7</v>
          </cell>
        </row>
        <row r="384">
          <cell r="B384" t="str">
            <v>SOLP01A119</v>
          </cell>
          <cell r="C384" t="str">
            <v>ASHTI SUGAR LIMITED</v>
          </cell>
          <cell r="D384">
            <v>1</v>
          </cell>
          <cell r="E384">
            <v>7</v>
          </cell>
        </row>
        <row r="385">
          <cell r="B385" t="str">
            <v>SOLP01L007</v>
          </cell>
          <cell r="C385" t="str">
            <v>LOKMANGAL AGRO INDUSTRIES LTD</v>
          </cell>
          <cell r="E385">
            <v>7</v>
          </cell>
        </row>
        <row r="386">
          <cell r="B386" t="str">
            <v>TANZ01B101</v>
          </cell>
          <cell r="C386" t="str">
            <v>BAGAMOYO SUGAR LIMITED</v>
          </cell>
          <cell r="D386">
            <v>2</v>
          </cell>
          <cell r="E386">
            <v>7</v>
          </cell>
        </row>
        <row r="387">
          <cell r="B387" t="str">
            <v>TAPI01S226</v>
          </cell>
          <cell r="C387" t="str">
            <v>SHREE KEDARESHWAR KHANDSARI UDYOG</v>
          </cell>
          <cell r="E387">
            <v>7</v>
          </cell>
        </row>
        <row r="388">
          <cell r="B388" t="str">
            <v>THAN01T004</v>
          </cell>
          <cell r="C388" t="str">
            <v>TECHNOCRAFT INDUSTRIES (INDIA) LTD.</v>
          </cell>
          <cell r="E388">
            <v>7</v>
          </cell>
        </row>
        <row r="389">
          <cell r="B389" t="str">
            <v>VIET01V027</v>
          </cell>
          <cell r="C389" t="str">
            <v>VU LE TECHNOLOGY CO LTD CLOSED</v>
          </cell>
          <cell r="E389">
            <v>7</v>
          </cell>
        </row>
        <row r="390">
          <cell r="B390" t="str">
            <v>VILL01T032</v>
          </cell>
          <cell r="C390" t="str">
            <v>THE KALLAKURICHI CO-OPERATIVE SUGAR MILLS LTD.</v>
          </cell>
          <cell r="D390">
            <v>1</v>
          </cell>
          <cell r="E390">
            <v>7</v>
          </cell>
        </row>
        <row r="391">
          <cell r="B391" t="str">
            <v>VILL01T033</v>
          </cell>
          <cell r="C391" t="str">
            <v>THE KALLAKURICHI II CO-OP. SUGAR MILLS LTD.</v>
          </cell>
          <cell r="D391">
            <v>1</v>
          </cell>
          <cell r="E391">
            <v>7</v>
          </cell>
        </row>
        <row r="392">
          <cell r="B392" t="str">
            <v>VISH01T019</v>
          </cell>
          <cell r="C392" t="str">
            <v>THE CHODAVARAM CO-OPERATIVE SUGARS LIMITED</v>
          </cell>
          <cell r="E392">
            <v>7</v>
          </cell>
        </row>
        <row r="393">
          <cell r="B393" t="str">
            <v>AHMD01D025</v>
          </cell>
          <cell r="C393" t="str">
            <v>DR.BABURAO BAPUJI TANPURE SAHAKARI SAKHAR KARKHANA LTD.</v>
          </cell>
          <cell r="E393">
            <v>6</v>
          </cell>
        </row>
        <row r="394">
          <cell r="B394" t="str">
            <v>BADA01D033</v>
          </cell>
          <cell r="C394" t="str">
            <v>DHAMPUR SUGAR MILLS LTD</v>
          </cell>
          <cell r="D394">
            <v>1</v>
          </cell>
          <cell r="E394">
            <v>6</v>
          </cell>
        </row>
        <row r="395">
          <cell r="B395" t="str">
            <v>BAGL01J007</v>
          </cell>
          <cell r="C395" t="str">
            <v>JAMKHANDI SUGARS LIMITED (UNIT - 1)</v>
          </cell>
          <cell r="E395">
            <v>6</v>
          </cell>
        </row>
        <row r="396">
          <cell r="B396" t="str">
            <v>BAHR01I004</v>
          </cell>
          <cell r="C396" t="str">
            <v>INDIAN POTASH LIMITED (V-011)</v>
          </cell>
          <cell r="E396">
            <v>6</v>
          </cell>
        </row>
        <row r="397">
          <cell r="B397" t="str">
            <v>BELG01B071</v>
          </cell>
          <cell r="C397" t="str">
            <v>BELGAUM SUGARS PVT LTD</v>
          </cell>
          <cell r="E397">
            <v>6</v>
          </cell>
        </row>
        <row r="398">
          <cell r="B398" t="str">
            <v>BELG01S051</v>
          </cell>
          <cell r="C398" t="str">
            <v>SHREE SOMESHWAR SAHAKARI SAKKARE KARKHANE NIYAMIT</v>
          </cell>
          <cell r="E398">
            <v>6</v>
          </cell>
        </row>
        <row r="399">
          <cell r="B399" t="str">
            <v>BELG01S065</v>
          </cell>
          <cell r="C399" t="str">
            <v>SHREE HALASIDHANATH SAHAKARI SAKHAR KARKHANA LTD.</v>
          </cell>
          <cell r="E399">
            <v>6</v>
          </cell>
        </row>
        <row r="400">
          <cell r="B400" t="str">
            <v>BELG01S276</v>
          </cell>
          <cell r="C400" t="str">
            <v>ASKINS BIOFUELS PVT LTD</v>
          </cell>
          <cell r="E400">
            <v>6</v>
          </cell>
        </row>
        <row r="401">
          <cell r="B401" t="str">
            <v>BHOP01S223</v>
          </cell>
          <cell r="C401" t="str">
            <v>SOM DISTILLERIES PRIVATE LTD.</v>
          </cell>
          <cell r="E401">
            <v>6</v>
          </cell>
        </row>
        <row r="402">
          <cell r="B402" t="str">
            <v>CHEN01A073</v>
          </cell>
          <cell r="C402" t="str">
            <v>AQUA DESIGNS INDIA PVT LTD</v>
          </cell>
          <cell r="E402">
            <v>6</v>
          </cell>
        </row>
        <row r="403">
          <cell r="B403" t="str">
            <v>DHAN01E060</v>
          </cell>
          <cell r="C403" t="str">
            <v>EAGLE INFRA INDIA LIMITED</v>
          </cell>
          <cell r="E403">
            <v>6</v>
          </cell>
        </row>
        <row r="404">
          <cell r="B404" t="str">
            <v>GUJA01P094</v>
          </cell>
          <cell r="C404" t="str">
            <v>PARAM KRAFT PAPER PVT LTD</v>
          </cell>
          <cell r="E404">
            <v>6</v>
          </cell>
        </row>
        <row r="405">
          <cell r="B405" t="str">
            <v>GURD01K034</v>
          </cell>
          <cell r="C405" t="str">
            <v>KOMAL STRAW BOARD &amp; MILL BOARD INDUSTRIES</v>
          </cell>
          <cell r="E405">
            <v>6</v>
          </cell>
        </row>
        <row r="406">
          <cell r="B406" t="str">
            <v>GUWA01I087</v>
          </cell>
          <cell r="C406" t="str">
            <v>INDIAN OIL CORPORATION LTD</v>
          </cell>
          <cell r="E406">
            <v>6</v>
          </cell>
        </row>
        <row r="407">
          <cell r="B407" t="str">
            <v>JPNG01W005</v>
          </cell>
          <cell r="C407" t="str">
            <v>WAVE INDUSTRIES PVT.LTD. (DHANAURA)</v>
          </cell>
          <cell r="E407">
            <v>6</v>
          </cell>
        </row>
        <row r="408">
          <cell r="B408" t="str">
            <v>KANP01J014</v>
          </cell>
          <cell r="C408" t="str">
            <v>JSR INDUSTRIES PVT LTD.</v>
          </cell>
          <cell r="E408">
            <v>6</v>
          </cell>
        </row>
        <row r="409">
          <cell r="B409" t="str">
            <v>KOLA01V005</v>
          </cell>
          <cell r="C409" t="str">
            <v>VENKATESHWARA POWER PROJECT LTD.</v>
          </cell>
          <cell r="E409">
            <v>6</v>
          </cell>
        </row>
        <row r="410">
          <cell r="B410" t="str">
            <v>LAKH01M178</v>
          </cell>
          <cell r="C410" t="str">
            <v>MAA SHARDA KHANDSARI UDYOG</v>
          </cell>
          <cell r="E410">
            <v>6</v>
          </cell>
        </row>
        <row r="411">
          <cell r="B411" t="str">
            <v>LATU01H034</v>
          </cell>
          <cell r="C411" t="str">
            <v>HANUMAN KHANDSARI SUGAR MILLS</v>
          </cell>
          <cell r="E411">
            <v>6</v>
          </cell>
        </row>
        <row r="412">
          <cell r="B412" t="str">
            <v>LATU01J017</v>
          </cell>
          <cell r="C412" t="str">
            <v>JAGRUTI SUGAR &amp; ALLIED INDUSTRIES LTD.</v>
          </cell>
          <cell r="E412">
            <v>6</v>
          </cell>
        </row>
        <row r="413">
          <cell r="B413" t="str">
            <v>LUDH01T017</v>
          </cell>
          <cell r="C413" t="str">
            <v>THE BUDHEWAL CO-OPERATIVE SUGAR MILLS LTD</v>
          </cell>
          <cell r="D413">
            <v>1</v>
          </cell>
          <cell r="E413">
            <v>6</v>
          </cell>
        </row>
        <row r="414">
          <cell r="B414" t="str">
            <v>MAJH01M073</v>
          </cell>
          <cell r="C414" t="str">
            <v>MAJHAULIA SUGAR INDUSTRIES PVT LTD</v>
          </cell>
          <cell r="E414">
            <v>6</v>
          </cell>
        </row>
        <row r="415">
          <cell r="B415" t="str">
            <v>MEDA01T070</v>
          </cell>
          <cell r="C415" t="str">
            <v>TRIDENT SUGARS LIMITED</v>
          </cell>
          <cell r="E415">
            <v>6</v>
          </cell>
        </row>
        <row r="416">
          <cell r="B416" t="str">
            <v>MORA01D081</v>
          </cell>
          <cell r="C416" t="str">
            <v>DHAMPUR BIO ORGANICS LTD - UNIT ASMOLI</v>
          </cell>
          <cell r="D416">
            <v>3</v>
          </cell>
          <cell r="E416">
            <v>6</v>
          </cell>
        </row>
        <row r="417">
          <cell r="B417" t="str">
            <v>MUHO01C034</v>
          </cell>
          <cell r="C417" t="str">
            <v>CHEMELIL SUGAR COMPANY 2025 LTD</v>
          </cell>
          <cell r="D417">
            <v>4</v>
          </cell>
          <cell r="E417">
            <v>6</v>
          </cell>
        </row>
        <row r="418">
          <cell r="B418" t="str">
            <v>MUMB01A101</v>
          </cell>
          <cell r="C418" t="str">
            <v>AMBICO FOUNDOCEAN GROUTING SERVICES PVT. LTD.</v>
          </cell>
          <cell r="E418">
            <v>6</v>
          </cell>
        </row>
        <row r="419">
          <cell r="B419" t="str">
            <v>MUMB01S517</v>
          </cell>
          <cell r="C419" t="str">
            <v>SKILL WELD PVT LTD</v>
          </cell>
          <cell r="E419">
            <v>6</v>
          </cell>
        </row>
        <row r="420">
          <cell r="B420" t="str">
            <v>NARS01A056</v>
          </cell>
          <cell r="C420" t="str">
            <v>AAKRITI SUGAR MILLS PVT. LTD.</v>
          </cell>
          <cell r="E420">
            <v>6</v>
          </cell>
        </row>
        <row r="421">
          <cell r="B421" t="str">
            <v>NARS01M219</v>
          </cell>
          <cell r="C421" t="str">
            <v>MAA VINDHYAWASINI SUGAR AND BIOFUELS PVT LTD</v>
          </cell>
          <cell r="E421">
            <v>6</v>
          </cell>
        </row>
        <row r="422">
          <cell r="B422" t="str">
            <v>OSMA01B063</v>
          </cell>
          <cell r="C422" t="str">
            <v>BHAIRAVNATH SUGAR WORKS LTD.(UNIT-1)</v>
          </cell>
          <cell r="D422">
            <v>1</v>
          </cell>
          <cell r="E422">
            <v>6</v>
          </cell>
        </row>
        <row r="423">
          <cell r="B423" t="str">
            <v>PARB01T088</v>
          </cell>
          <cell r="C423" t="str">
            <v>SHREE LAXMI NARSHINHA SUGAR LLP</v>
          </cell>
          <cell r="E423">
            <v>6</v>
          </cell>
        </row>
        <row r="424">
          <cell r="B424" t="str">
            <v>PATN01M102</v>
          </cell>
          <cell r="C424" t="str">
            <v>MATESHWARI PAPER MILL PVT LTD</v>
          </cell>
          <cell r="E424">
            <v>6</v>
          </cell>
        </row>
        <row r="425">
          <cell r="B425" t="str">
            <v>PUNE01D060</v>
          </cell>
          <cell r="C425" t="str">
            <v>DHAVAL DISTIL EVAP PRIVATE LIMITED</v>
          </cell>
          <cell r="E425">
            <v>6</v>
          </cell>
        </row>
        <row r="426">
          <cell r="B426" t="str">
            <v>PUNE01F012</v>
          </cell>
          <cell r="C426" t="str">
            <v>FABTECH PROJECTS &amp; ENGINEERS LIMITED</v>
          </cell>
          <cell r="D426">
            <v>8</v>
          </cell>
          <cell r="E426">
            <v>6</v>
          </cell>
        </row>
        <row r="427">
          <cell r="B427" t="str">
            <v>PUNE01M130</v>
          </cell>
          <cell r="C427" t="str">
            <v>MRN BHIMA SUGAR AND POWER PVT LTD</v>
          </cell>
          <cell r="E427">
            <v>6</v>
          </cell>
        </row>
        <row r="428">
          <cell r="B428" t="str">
            <v>PUNE01R071</v>
          </cell>
          <cell r="C428" t="str">
            <v>RAJ PROCESS EQUIPMENTS AND SYSTEMS PVT. LTD.</v>
          </cell>
          <cell r="E428">
            <v>6</v>
          </cell>
        </row>
        <row r="429">
          <cell r="B429" t="str">
            <v>PUNE01T187</v>
          </cell>
          <cell r="C429" t="str">
            <v>TKIL INDUSTRIES PVT LTD</v>
          </cell>
          <cell r="D429">
            <v>2</v>
          </cell>
          <cell r="E429">
            <v>6</v>
          </cell>
        </row>
        <row r="430">
          <cell r="B430" t="str">
            <v>RANI01B143</v>
          </cell>
          <cell r="C430" t="str">
            <v>BHARAT HEAVY ELECTRICALS LIMITED</v>
          </cell>
          <cell r="E430">
            <v>6</v>
          </cell>
        </row>
        <row r="431">
          <cell r="B431" t="str">
            <v>SOLP01V013</v>
          </cell>
          <cell r="C431" t="str">
            <v>VITTHAL CORPORATION LIMITED</v>
          </cell>
          <cell r="E431">
            <v>6</v>
          </cell>
        </row>
        <row r="432">
          <cell r="B432" t="str">
            <v>SUNS01E003</v>
          </cell>
          <cell r="C432" t="str">
            <v>EASTERN SUGAR MILLS LTD.</v>
          </cell>
          <cell r="E432">
            <v>6</v>
          </cell>
        </row>
        <row r="433">
          <cell r="B433" t="str">
            <v>SURA01G134</v>
          </cell>
          <cell r="C433" t="str">
            <v>GANGAA OORJA LLP</v>
          </cell>
          <cell r="E433">
            <v>6</v>
          </cell>
        </row>
        <row r="434">
          <cell r="B434" t="str">
            <v>THAN01J070</v>
          </cell>
          <cell r="C434" t="str">
            <v>JNK INDIA LIMITED</v>
          </cell>
          <cell r="E434">
            <v>6</v>
          </cell>
        </row>
        <row r="435">
          <cell r="B435" t="str">
            <v>TIRU01B024</v>
          </cell>
          <cell r="C435" t="str">
            <v>BANNARI AMMAN SUGARS LTD.(U4)</v>
          </cell>
          <cell r="E435">
            <v>6</v>
          </cell>
        </row>
        <row r="436">
          <cell r="B436" t="str">
            <v>UDAI01F015</v>
          </cell>
          <cell r="C436" t="str">
            <v>FRIENDS ENGINEERING WORKS</v>
          </cell>
          <cell r="E436">
            <v>6</v>
          </cell>
        </row>
        <row r="437">
          <cell r="B437" t="str">
            <v>WARA01S192</v>
          </cell>
          <cell r="C437" t="str">
            <v>SHREE TATYASAHAB KORE WARANA SSK LTD.</v>
          </cell>
          <cell r="E437">
            <v>6</v>
          </cell>
        </row>
        <row r="438">
          <cell r="B438" t="str">
            <v>AGRA01S443</v>
          </cell>
          <cell r="C438" t="str">
            <v>STP LIMITED</v>
          </cell>
          <cell r="E438">
            <v>5</v>
          </cell>
        </row>
        <row r="439">
          <cell r="B439" t="str">
            <v>AHMD01C024</v>
          </cell>
          <cell r="C439" t="str">
            <v>CRYSTAL ENGINEERS</v>
          </cell>
          <cell r="E439">
            <v>5</v>
          </cell>
        </row>
        <row r="440">
          <cell r="B440" t="str">
            <v>AHMD01M104</v>
          </cell>
          <cell r="C440" t="str">
            <v>MEGH DHANUSH ENTERPRISE</v>
          </cell>
          <cell r="D440">
            <v>5</v>
          </cell>
          <cell r="E440">
            <v>5</v>
          </cell>
        </row>
        <row r="441">
          <cell r="B441" t="str">
            <v>AHMD01S251</v>
          </cell>
          <cell r="C441" t="str">
            <v>SHREE KRANTI SUGAR AND POWER LTD</v>
          </cell>
          <cell r="E441">
            <v>5</v>
          </cell>
        </row>
        <row r="442">
          <cell r="B442" t="str">
            <v>BADA01Y001</v>
          </cell>
          <cell r="C442" t="str">
            <v>YADU SUGAR LIMITED</v>
          </cell>
          <cell r="E442">
            <v>5</v>
          </cell>
        </row>
        <row r="443">
          <cell r="B443" t="str">
            <v>BAGL01S067</v>
          </cell>
          <cell r="C443" t="str">
            <v>SHRI KEDARNATH SUGAR &amp; AGRO PRODUCTS LTD</v>
          </cell>
          <cell r="E443">
            <v>5</v>
          </cell>
        </row>
        <row r="444">
          <cell r="B444" t="str">
            <v>BARL01D061</v>
          </cell>
          <cell r="C444" t="str">
            <v>DWARIKESH SUGAR INDUSTRIES LIMITED</v>
          </cell>
          <cell r="E444">
            <v>5</v>
          </cell>
        </row>
        <row r="445">
          <cell r="B445" t="str">
            <v>BARL01D068</v>
          </cell>
          <cell r="C445" t="str">
            <v>DSM SUGAR MEERGANJ</v>
          </cell>
          <cell r="E445">
            <v>5</v>
          </cell>
        </row>
        <row r="446">
          <cell r="B446" t="str">
            <v>BHAR01F019</v>
          </cell>
          <cell r="C446" t="str">
            <v>FILATEX INDIA LIMITED</v>
          </cell>
          <cell r="E446">
            <v>5</v>
          </cell>
        </row>
        <row r="447">
          <cell r="B447" t="str">
            <v>BHAR01Y006</v>
          </cell>
          <cell r="C447" t="str">
            <v>YASHDEEP CHEMICALS (INDIA) PVT. LTD.</v>
          </cell>
          <cell r="E447">
            <v>5</v>
          </cell>
        </row>
        <row r="448">
          <cell r="B448" t="str">
            <v>BIJA01D019</v>
          </cell>
          <cell r="C448" t="str">
            <v>DNYANYOGI SHRI SHIVKUMAR SWAMIJI SUGARS LTD.</v>
          </cell>
          <cell r="E448">
            <v>5</v>
          </cell>
        </row>
        <row r="449">
          <cell r="B449" t="str">
            <v>CHAU01R042</v>
          </cell>
          <cell r="C449" t="str">
            <v>SHIVAM GRAMOUDYOG SANSTHAN</v>
          </cell>
          <cell r="E449">
            <v>5</v>
          </cell>
        </row>
        <row r="450">
          <cell r="B450" t="str">
            <v>CHEN01T179</v>
          </cell>
          <cell r="C450" t="str">
            <v>TUBE INVESTMENTS OF INDIA LTD</v>
          </cell>
          <cell r="E450">
            <v>5</v>
          </cell>
        </row>
        <row r="451">
          <cell r="B451" t="str">
            <v>CHIT01S096</v>
          </cell>
          <cell r="C451" t="str">
            <v>SUDALAGUNTA SUGARS LIMITED</v>
          </cell>
          <cell r="E451">
            <v>5</v>
          </cell>
        </row>
        <row r="452">
          <cell r="B452" t="str">
            <v>EROD01B023</v>
          </cell>
          <cell r="C452" t="str">
            <v>BANNARI AMMAN SUGARS LTD.(Distillery Division)</v>
          </cell>
          <cell r="E452">
            <v>5</v>
          </cell>
        </row>
        <row r="453">
          <cell r="B453" t="str">
            <v>FAIZ01K001</v>
          </cell>
          <cell r="C453" t="str">
            <v>K. M. SUGAR MILLS LTD</v>
          </cell>
          <cell r="E453">
            <v>5</v>
          </cell>
        </row>
        <row r="454">
          <cell r="B454" t="str">
            <v>GHZB01A108</v>
          </cell>
          <cell r="C454" t="str">
            <v>ASPIRE SOLUTION</v>
          </cell>
          <cell r="E454">
            <v>5</v>
          </cell>
        </row>
        <row r="455">
          <cell r="B455" t="str">
            <v>GOPA01B062</v>
          </cell>
          <cell r="C455" t="str">
            <v>MAGADH SUGAR &amp; ENERGY LTD</v>
          </cell>
          <cell r="E455">
            <v>5</v>
          </cell>
        </row>
        <row r="456">
          <cell r="B456" t="str">
            <v>GUJA01M140</v>
          </cell>
          <cell r="C456" t="str">
            <v>MAHALAXMI OIL MILL</v>
          </cell>
          <cell r="E456">
            <v>5</v>
          </cell>
        </row>
        <row r="457">
          <cell r="B457" t="str">
            <v>HRDO01D069</v>
          </cell>
          <cell r="C457" t="str">
            <v>DCM SHRIRAM LTD.</v>
          </cell>
          <cell r="E457">
            <v>5</v>
          </cell>
        </row>
        <row r="458">
          <cell r="B458" t="str">
            <v>KABI01S239</v>
          </cell>
          <cell r="C458" t="str">
            <v>SAI TRADERS</v>
          </cell>
          <cell r="E458">
            <v>5</v>
          </cell>
        </row>
        <row r="459">
          <cell r="B459" t="str">
            <v>KANP01A152</v>
          </cell>
          <cell r="C459" t="str">
            <v>ANANDESHWAR INDUSTRIES PVT. LTD.</v>
          </cell>
          <cell r="E459">
            <v>5</v>
          </cell>
        </row>
        <row r="460">
          <cell r="B460" t="str">
            <v>KHER01D026</v>
          </cell>
          <cell r="C460" t="str">
            <v>DCM SHRIRAM LTD. U-AJBAPUR</v>
          </cell>
          <cell r="E460">
            <v>5</v>
          </cell>
        </row>
        <row r="461">
          <cell r="B461" t="str">
            <v>KHMM01M003</v>
          </cell>
          <cell r="C461" t="str">
            <v>MADHUCON SUGAR AND POWER INDUSTRIES LIMITED</v>
          </cell>
          <cell r="E461">
            <v>5</v>
          </cell>
        </row>
        <row r="462">
          <cell r="B462" t="str">
            <v>KOLH01A098</v>
          </cell>
          <cell r="C462" t="str">
            <v>ATHARV INTERTRADE PVT LTD</v>
          </cell>
          <cell r="D462">
            <v>2</v>
          </cell>
          <cell r="E462">
            <v>5</v>
          </cell>
        </row>
        <row r="463">
          <cell r="B463" t="str">
            <v>KOLH01S105</v>
          </cell>
          <cell r="C463" t="str">
            <v>SHREE CHHATRAPATI SHAHU SSK LTD</v>
          </cell>
          <cell r="E463">
            <v>5</v>
          </cell>
        </row>
        <row r="464">
          <cell r="B464" t="str">
            <v>KOLH01S288</v>
          </cell>
          <cell r="C464" t="str">
            <v>SYNERGY TECHNOCRATS</v>
          </cell>
          <cell r="E464">
            <v>5</v>
          </cell>
        </row>
        <row r="465">
          <cell r="B465" t="str">
            <v>KOLK01F016</v>
          </cell>
          <cell r="C465" t="str">
            <v>VEDANTA TRANSFORMING ELEMENTS</v>
          </cell>
          <cell r="E465">
            <v>5</v>
          </cell>
        </row>
        <row r="466">
          <cell r="B466" t="str">
            <v>MORA01D082</v>
          </cell>
          <cell r="C466" t="str">
            <v>DHAMPUR BIO ORGANICS LIMITED (MANSURPUR)</v>
          </cell>
          <cell r="E466">
            <v>5</v>
          </cell>
        </row>
        <row r="467">
          <cell r="B467" t="str">
            <v>MUMB01H091</v>
          </cell>
          <cell r="C467" t="str">
            <v>HYDROSKILL INDIA PRIVATE LIMITED</v>
          </cell>
          <cell r="E467">
            <v>5</v>
          </cell>
        </row>
        <row r="468">
          <cell r="B468" t="str">
            <v>MUZF01T135</v>
          </cell>
          <cell r="C468" t="str">
            <v>TIKAULA DISTILLERY (UNIT OF TIKAULA SUGAR MILLS LTD)</v>
          </cell>
          <cell r="E468">
            <v>5</v>
          </cell>
        </row>
        <row r="469">
          <cell r="B469" t="str">
            <v>NDHI01S228</v>
          </cell>
          <cell r="C469" t="str">
            <v>SUKARI INDUSTRIES LTD</v>
          </cell>
          <cell r="E469">
            <v>5</v>
          </cell>
        </row>
        <row r="470">
          <cell r="B470" t="str">
            <v>NODA01C069</v>
          </cell>
          <cell r="C470" t="str">
            <v>CELLUTECH PHARMA PVT. LTD.</v>
          </cell>
          <cell r="E470">
            <v>5</v>
          </cell>
        </row>
        <row r="471">
          <cell r="B471" t="str">
            <v>NUND01A094</v>
          </cell>
          <cell r="C471" t="str">
            <v>AAYAN MULTITRADE LLP</v>
          </cell>
          <cell r="E471">
            <v>5</v>
          </cell>
        </row>
        <row r="472">
          <cell r="B472" t="str">
            <v>OSMA01B060</v>
          </cell>
          <cell r="C472" t="str">
            <v>BHAIRAVNATH SUGAR WORKS LIMITED</v>
          </cell>
          <cell r="E472">
            <v>5</v>
          </cell>
        </row>
        <row r="473">
          <cell r="B473" t="str">
            <v>OSMA01L011</v>
          </cell>
          <cell r="C473" t="str">
            <v>LOKMANGAL MAULI INDUSTRIES LIMITED</v>
          </cell>
          <cell r="E473">
            <v>5</v>
          </cell>
        </row>
        <row r="474">
          <cell r="B474" t="str">
            <v>OSMA01Q002</v>
          </cell>
          <cell r="C474" t="str">
            <v>QUINERGY INDUSTRIES LTD</v>
          </cell>
          <cell r="E474">
            <v>5</v>
          </cell>
        </row>
        <row r="475">
          <cell r="B475" t="str">
            <v>PARB01S112</v>
          </cell>
          <cell r="C475" t="str">
            <v>SHREE RENUKA SUGARS LTD. - PARBHANI (M)</v>
          </cell>
          <cell r="E475">
            <v>5</v>
          </cell>
        </row>
        <row r="476">
          <cell r="B476" t="str">
            <v>PARB01T142</v>
          </cell>
          <cell r="C476" t="str">
            <v>TWENTYONE SUGARS LTD - UNIT-2</v>
          </cell>
          <cell r="E476">
            <v>5</v>
          </cell>
        </row>
        <row r="477">
          <cell r="B477" t="str">
            <v>PUNE01C046</v>
          </cell>
          <cell r="C477" t="str">
            <v>CRYSTAL CLEAR WATER TECHNOLOGY</v>
          </cell>
          <cell r="E477">
            <v>5</v>
          </cell>
        </row>
        <row r="478">
          <cell r="B478" t="str">
            <v>PUNE01D004</v>
          </cell>
          <cell r="C478" t="str">
            <v>DAUND SUGAR PVT LTD.ALEGAON (KADAM VASTI)</v>
          </cell>
          <cell r="E478">
            <v>5</v>
          </cell>
        </row>
        <row r="479">
          <cell r="B479" t="str">
            <v>PUNE01I076</v>
          </cell>
          <cell r="C479" t="str">
            <v>INTERIS INDIA PVT. LTD.</v>
          </cell>
          <cell r="E479">
            <v>5</v>
          </cell>
        </row>
        <row r="480">
          <cell r="B480" t="str">
            <v>PUNE01J028</v>
          </cell>
          <cell r="C480" t="str">
            <v>JYOTI SUGAR ENGINEERING PVT LTD</v>
          </cell>
          <cell r="E480">
            <v>5</v>
          </cell>
        </row>
        <row r="481">
          <cell r="B481" t="str">
            <v>PUNE01J029</v>
          </cell>
          <cell r="C481" t="str">
            <v>JAI HIND SUGAR PVT LTD</v>
          </cell>
          <cell r="E481">
            <v>5</v>
          </cell>
        </row>
        <row r="482">
          <cell r="B482" t="str">
            <v>PUNE01K078</v>
          </cell>
          <cell r="C482" t="str">
            <v>KANHAIYYA AGRO</v>
          </cell>
          <cell r="E482">
            <v>5</v>
          </cell>
        </row>
        <row r="483">
          <cell r="B483" t="str">
            <v>PUNE01S331</v>
          </cell>
          <cell r="C483" t="str">
            <v>SSEPL TECHNO PVT LTD.</v>
          </cell>
          <cell r="E483">
            <v>5</v>
          </cell>
        </row>
        <row r="484">
          <cell r="B484" t="str">
            <v>SAHJ01T128</v>
          </cell>
          <cell r="C484" t="str">
            <v>THE KISAN SHAKARI CHINI MILLS LTD POWAYAN</v>
          </cell>
          <cell r="D484">
            <v>2</v>
          </cell>
          <cell r="E484">
            <v>5</v>
          </cell>
        </row>
        <row r="485">
          <cell r="B485" t="str">
            <v>SANG01Y013</v>
          </cell>
          <cell r="C485" t="str">
            <v>YASH CONVEYORS</v>
          </cell>
          <cell r="E485">
            <v>5</v>
          </cell>
        </row>
        <row r="486">
          <cell r="B486" t="str">
            <v>SATA01A025</v>
          </cell>
          <cell r="C486" t="str">
            <v>AJINKYATARA SSK LTD</v>
          </cell>
          <cell r="E486">
            <v>5</v>
          </cell>
        </row>
        <row r="487">
          <cell r="B487" t="str">
            <v>SEOH01A105</v>
          </cell>
          <cell r="C487" t="str">
            <v>AVADH SUGAR &amp; ENERGY LTD</v>
          </cell>
          <cell r="E487">
            <v>5</v>
          </cell>
        </row>
        <row r="488">
          <cell r="B488" t="str">
            <v>SOLN01S265</v>
          </cell>
          <cell r="C488" t="str">
            <v>S.R. PARYAVARAN ENGINEERS PVT LTD</v>
          </cell>
          <cell r="E488">
            <v>5</v>
          </cell>
        </row>
        <row r="489">
          <cell r="B489" t="str">
            <v>SOLP01S074</v>
          </cell>
          <cell r="C489" t="str">
            <v>SHRI VITTHAL SAHAKARI SAKHAR -KARKHANA LTD</v>
          </cell>
          <cell r="E489">
            <v>5</v>
          </cell>
        </row>
        <row r="490">
          <cell r="B490" t="str">
            <v>SOLP01S189</v>
          </cell>
          <cell r="C490" t="str">
            <v>SHIVRATNA UDYOG LTD (SHANKARRATNA SUGAR)</v>
          </cell>
          <cell r="E490">
            <v>5</v>
          </cell>
        </row>
        <row r="491">
          <cell r="B491" t="str">
            <v>SONI01U053</v>
          </cell>
          <cell r="C491" t="str">
            <v>UP ALUMS PVT LTD</v>
          </cell>
          <cell r="E491">
            <v>5</v>
          </cell>
        </row>
        <row r="492">
          <cell r="B492" t="str">
            <v>AHME01C077</v>
          </cell>
          <cell r="C492" t="str">
            <v>CLEANTECH WATER</v>
          </cell>
          <cell r="E492">
            <v>4</v>
          </cell>
        </row>
        <row r="493">
          <cell r="B493" t="str">
            <v>AJME01S263</v>
          </cell>
          <cell r="C493" t="str">
            <v>STONEX INDIA PVT LTD</v>
          </cell>
          <cell r="E493">
            <v>4</v>
          </cell>
        </row>
        <row r="494">
          <cell r="B494" t="str">
            <v>BAGA01B036</v>
          </cell>
          <cell r="C494" t="str">
            <v>BILAGI SUGAR MILL LTD. GIRISAGAR ROAD</v>
          </cell>
          <cell r="E494">
            <v>4</v>
          </cell>
        </row>
        <row r="495">
          <cell r="B495" t="str">
            <v>BAGL01N020</v>
          </cell>
          <cell r="C495" t="str">
            <v>NIRANI SUGARS LIMITED</v>
          </cell>
          <cell r="E495">
            <v>4</v>
          </cell>
        </row>
        <row r="496">
          <cell r="B496" t="str">
            <v>BAGL01S069</v>
          </cell>
          <cell r="C496" t="str">
            <v>SHRI PRABHULINGESHWAR SUGARS &amp; CHEM.LTD.</v>
          </cell>
          <cell r="E496">
            <v>4</v>
          </cell>
        </row>
        <row r="497">
          <cell r="B497" t="str">
            <v>BANA01R156</v>
          </cell>
          <cell r="C497" t="str">
            <v>RAJ AGRO INDUSTRIES</v>
          </cell>
          <cell r="E497">
            <v>4</v>
          </cell>
        </row>
        <row r="498">
          <cell r="B498" t="str">
            <v>BANP01A075</v>
          </cell>
          <cell r="C498" t="str">
            <v>ACTION ENGINEERING CO. LTD</v>
          </cell>
          <cell r="D498">
            <v>1</v>
          </cell>
          <cell r="E498">
            <v>4</v>
          </cell>
        </row>
        <row r="499">
          <cell r="B499" t="str">
            <v>BARL01O005</v>
          </cell>
          <cell r="C499" t="str">
            <v>OSWAL OVERSEAS LIMITED</v>
          </cell>
          <cell r="E499">
            <v>4</v>
          </cell>
        </row>
        <row r="500">
          <cell r="B500" t="str">
            <v>BATA01B099</v>
          </cell>
          <cell r="C500" t="str">
            <v>BUTTAR BIOFULELS PVT LTD</v>
          </cell>
          <cell r="E500">
            <v>4</v>
          </cell>
        </row>
        <row r="501">
          <cell r="B501" t="str">
            <v>BATA01T111</v>
          </cell>
          <cell r="C501" t="str">
            <v>THE BATALA CO-OP. SUGAR MILLS LTD.</v>
          </cell>
          <cell r="E501">
            <v>4</v>
          </cell>
        </row>
        <row r="502">
          <cell r="B502" t="str">
            <v>BELG01E026</v>
          </cell>
          <cell r="C502" t="str">
            <v>EID PARRY INDIA LIMITED-(RAMDURG)</v>
          </cell>
          <cell r="E502">
            <v>4</v>
          </cell>
        </row>
        <row r="503">
          <cell r="B503" t="str">
            <v>BELG01T113</v>
          </cell>
          <cell r="C503" t="str">
            <v>THE UGAR SUGAR WORKS LTD</v>
          </cell>
          <cell r="E503">
            <v>4</v>
          </cell>
        </row>
        <row r="504">
          <cell r="B504" t="str">
            <v>BELL01T027</v>
          </cell>
          <cell r="C504" t="str">
            <v>THE INDIA SUGARS &amp; REFINERIES LTD</v>
          </cell>
          <cell r="E504">
            <v>4</v>
          </cell>
        </row>
        <row r="505">
          <cell r="B505" t="str">
            <v>BIJN01M106</v>
          </cell>
          <cell r="C505" t="str">
            <v>MOHIT TISSUES PVT LTD</v>
          </cell>
          <cell r="E505">
            <v>4</v>
          </cell>
        </row>
        <row r="506">
          <cell r="B506" t="str">
            <v>BUDA01T151</v>
          </cell>
          <cell r="C506" t="str">
            <v>THE KISAN SAHKARI CHINI MILLS LTD - BUDAUN</v>
          </cell>
          <cell r="D506">
            <v>2</v>
          </cell>
          <cell r="E506">
            <v>4</v>
          </cell>
        </row>
        <row r="507">
          <cell r="B507" t="str">
            <v>BULA01T139</v>
          </cell>
          <cell r="C507" t="str">
            <v>THE KISAN SAHKARI CHINI MILLS LTD (V-076)</v>
          </cell>
          <cell r="D507">
            <v>4</v>
          </cell>
          <cell r="E507">
            <v>4</v>
          </cell>
        </row>
        <row r="508">
          <cell r="B508" t="str">
            <v>CHEN01P081</v>
          </cell>
          <cell r="C508" t="str">
            <v>PAQUES ENVIRONMENTAL TECHNOLOGY INDIA PVT LTD</v>
          </cell>
          <cell r="E508">
            <v>4</v>
          </cell>
        </row>
        <row r="509">
          <cell r="B509" t="str">
            <v>CHEN01S197</v>
          </cell>
          <cell r="C509" t="str">
            <v>SHRIJEE HEAVY PROJECTS WORKS LTD</v>
          </cell>
          <cell r="E509">
            <v>4</v>
          </cell>
        </row>
        <row r="510">
          <cell r="B510" t="str">
            <v>COIM01T007</v>
          </cell>
          <cell r="C510" t="str">
            <v>THE AMARAVATHI CO-OPERATIVE SUGAR MILLS LTD.</v>
          </cell>
          <cell r="E510">
            <v>4</v>
          </cell>
        </row>
        <row r="511">
          <cell r="B511" t="str">
            <v>CUDD01M001</v>
          </cell>
          <cell r="C511" t="str">
            <v>M.R.KRISHNAMURTHY CO-OPERATIVE SUGAR MILLS LTD</v>
          </cell>
          <cell r="E511">
            <v>4</v>
          </cell>
        </row>
        <row r="512">
          <cell r="B512" t="str">
            <v>DHAM01S094</v>
          </cell>
          <cell r="C512" t="str">
            <v>SUBRAMANIYA SIVA CO-OPERATIVE- SUGAR MILLS LTD.</v>
          </cell>
          <cell r="E512">
            <v>4</v>
          </cell>
        </row>
        <row r="513">
          <cell r="B513" t="str">
            <v>DHAN01M055</v>
          </cell>
          <cell r="C513" t="str">
            <v>MONNET ISPAT &amp; ENERGY LTD- PATHERDIH COAL</v>
          </cell>
          <cell r="E513">
            <v>4</v>
          </cell>
        </row>
        <row r="514">
          <cell r="B514" t="str">
            <v>DHAN01S299</v>
          </cell>
          <cell r="C514" t="str">
            <v>SHARMA REPAIRING SHOP</v>
          </cell>
          <cell r="E514">
            <v>4</v>
          </cell>
        </row>
        <row r="515">
          <cell r="B515" t="str">
            <v>DLHI01C083</v>
          </cell>
          <cell r="C515" t="str">
            <v>CMR GREEN TECHNOLOGIES LIMITED</v>
          </cell>
          <cell r="E515">
            <v>4</v>
          </cell>
        </row>
        <row r="516">
          <cell r="B516" t="str">
            <v>DUGG01S021</v>
          </cell>
          <cell r="C516" t="str">
            <v>SHAMANUR SUGARS LIMITED</v>
          </cell>
          <cell r="E516">
            <v>4</v>
          </cell>
        </row>
        <row r="517">
          <cell r="B517" t="str">
            <v>EROD01B025</v>
          </cell>
          <cell r="C517" t="str">
            <v>BANNARI AMMAN SUGARS LTD. (UNIT-I)</v>
          </cell>
          <cell r="E517">
            <v>4</v>
          </cell>
        </row>
        <row r="518">
          <cell r="B518" t="str">
            <v>FAIZ01K036</v>
          </cell>
          <cell r="C518" t="str">
            <v>K. M. SUGAR MILLS LTD. (DISTILLERY DIVISION)</v>
          </cell>
          <cell r="E518">
            <v>4</v>
          </cell>
        </row>
        <row r="519">
          <cell r="B519" t="str">
            <v>GHZB01G081</v>
          </cell>
          <cell r="C519" t="str">
            <v>G S ENGINEERING</v>
          </cell>
          <cell r="E519">
            <v>4</v>
          </cell>
        </row>
        <row r="520">
          <cell r="B520" t="str">
            <v>GHZB01S168</v>
          </cell>
          <cell r="C520" t="str">
            <v>SINTECH PRECISION PRODUCTS LTD.</v>
          </cell>
          <cell r="E520">
            <v>4</v>
          </cell>
        </row>
        <row r="521">
          <cell r="B521" t="str">
            <v>GHZB01T182</v>
          </cell>
          <cell r="C521" t="str">
            <v>THREE STAR ENGINEERING WORKS PVT LTD</v>
          </cell>
          <cell r="E521">
            <v>4</v>
          </cell>
        </row>
        <row r="522">
          <cell r="B522" t="str">
            <v>GUJA01N103</v>
          </cell>
          <cell r="C522" t="str">
            <v>NEOTECH PROJECTS PVT LTD</v>
          </cell>
          <cell r="E522">
            <v>4</v>
          </cell>
        </row>
        <row r="523">
          <cell r="B523" t="str">
            <v>GURG01G066</v>
          </cell>
          <cell r="C523" t="str">
            <v>GRACE GREEN INFRA PVT LTD</v>
          </cell>
          <cell r="E523">
            <v>4</v>
          </cell>
        </row>
        <row r="524">
          <cell r="B524" t="str">
            <v>GWAL01P055</v>
          </cell>
          <cell r="C524" t="str">
            <v>PARVATI SWEETNERS AND POWER LIMITED</v>
          </cell>
          <cell r="E524">
            <v>4</v>
          </cell>
        </row>
        <row r="525">
          <cell r="B525" t="str">
            <v>HALD01N095</v>
          </cell>
          <cell r="C525" t="str">
            <v>NORTHERN ANIMATED ANIMAL FEED (P) LTD</v>
          </cell>
          <cell r="E525">
            <v>4</v>
          </cell>
        </row>
        <row r="526">
          <cell r="B526" t="str">
            <v>HCWC01S215</v>
          </cell>
          <cell r="C526" t="str">
            <v>SON LA SUGAR CANE JOINT STOCK COMPANY</v>
          </cell>
          <cell r="D526">
            <v>4</v>
          </cell>
          <cell r="E526">
            <v>4</v>
          </cell>
        </row>
        <row r="527">
          <cell r="B527" t="str">
            <v>HYDE01S316</v>
          </cell>
          <cell r="C527" t="str">
            <v>SUZALKEM TECHNOLOGIES PVT. LTD.</v>
          </cell>
          <cell r="E527">
            <v>4</v>
          </cell>
        </row>
        <row r="528">
          <cell r="B528" t="str">
            <v>INDR01B117</v>
          </cell>
          <cell r="C528" t="str">
            <v>BHARAT FEEDS &amp; EXTRACTIONS LTD.</v>
          </cell>
          <cell r="E528">
            <v>4</v>
          </cell>
        </row>
        <row r="529">
          <cell r="B529" t="str">
            <v>INDR01S335</v>
          </cell>
          <cell r="C529" t="str">
            <v>SM FOOD ENGINEERING PVT LTD</v>
          </cell>
          <cell r="E529">
            <v>4</v>
          </cell>
        </row>
        <row r="530">
          <cell r="B530" t="str">
            <v>JAMK01B187</v>
          </cell>
          <cell r="C530" t="str">
            <v>BARAMATI AGRO LTD SUGAR UNIT 3</v>
          </cell>
          <cell r="E530">
            <v>4</v>
          </cell>
        </row>
        <row r="531">
          <cell r="B531" t="str">
            <v>KAKA01W012</v>
          </cell>
          <cell r="C531" t="str">
            <v>WEST KENYA SUGAR COMPANY LIMITED</v>
          </cell>
          <cell r="E531">
            <v>4</v>
          </cell>
        </row>
        <row r="532">
          <cell r="B532" t="str">
            <v>KANP01K074</v>
          </cell>
          <cell r="C532" t="str">
            <v>KATARIA EDIBLES LLP</v>
          </cell>
          <cell r="E532">
            <v>4</v>
          </cell>
        </row>
        <row r="533">
          <cell r="B533" t="str">
            <v>KANP01N077</v>
          </cell>
          <cell r="C533" t="str">
            <v>NATIONAL SUGAR INSTITUTE</v>
          </cell>
          <cell r="E533">
            <v>4</v>
          </cell>
        </row>
        <row r="534">
          <cell r="B534" t="str">
            <v>KARN01G026</v>
          </cell>
          <cell r="C534" t="str">
            <v>GOODRICH MALT</v>
          </cell>
          <cell r="E534">
            <v>4</v>
          </cell>
        </row>
        <row r="535">
          <cell r="B535" t="str">
            <v>KHAN01N009</v>
          </cell>
          <cell r="C535" t="str">
            <v>NAVALSINGH SAHAKARI SHAKKAR - KARKHANA MARYADIT</v>
          </cell>
          <cell r="D535">
            <v>1</v>
          </cell>
          <cell r="E535">
            <v>4</v>
          </cell>
        </row>
        <row r="536">
          <cell r="B536" t="str">
            <v>KOLH01G061</v>
          </cell>
          <cell r="C536" t="str">
            <v>GHODAWAT CONSUMER LIMITED (JAGGERY DIVISION)</v>
          </cell>
          <cell r="E536">
            <v>4</v>
          </cell>
        </row>
        <row r="537">
          <cell r="B537" t="str">
            <v>KOLH01S465</v>
          </cell>
          <cell r="C537" t="str">
            <v>SHRI DUTT INDIA PVT LTD - CHADCHAN</v>
          </cell>
          <cell r="E537">
            <v>4</v>
          </cell>
        </row>
        <row r="538">
          <cell r="B538" t="str">
            <v>KUSH01N017</v>
          </cell>
          <cell r="C538" t="str">
            <v>AVADH SUGAR &amp; ENERGY LTD</v>
          </cell>
          <cell r="E538">
            <v>4</v>
          </cell>
        </row>
        <row r="539">
          <cell r="B539" t="str">
            <v>LATU01M007</v>
          </cell>
          <cell r="C539" t="str">
            <v>VIKASRATNA VILASRAO DESHMUKH MANJARA -</v>
          </cell>
          <cell r="E539">
            <v>4</v>
          </cell>
        </row>
        <row r="540">
          <cell r="B540" t="str">
            <v>LATU01S469</v>
          </cell>
          <cell r="C540" t="str">
            <v>SHETKARI SAHKARI SAKHAR KARKHANA LTD</v>
          </cell>
          <cell r="E540">
            <v>4</v>
          </cell>
        </row>
        <row r="541">
          <cell r="B541" t="str">
            <v>LATU01V020</v>
          </cell>
          <cell r="C541" t="str">
            <v>VILAS SAHAKARI SAHKHAR KARKHANA LTD UNIT -1</v>
          </cell>
          <cell r="E541">
            <v>4</v>
          </cell>
        </row>
        <row r="542">
          <cell r="B542" t="str">
            <v>LUCK01M078</v>
          </cell>
          <cell r="C542" t="str">
            <v>MEGHDOOT GRAMODYOG SEWA SANSTHAN</v>
          </cell>
          <cell r="E542">
            <v>4</v>
          </cell>
        </row>
        <row r="543">
          <cell r="B543" t="str">
            <v>LUDH01K068</v>
          </cell>
          <cell r="C543" t="str">
            <v>KAPILA KRISHI UDYOUG LTD</v>
          </cell>
          <cell r="E543">
            <v>4</v>
          </cell>
        </row>
        <row r="544">
          <cell r="B544" t="str">
            <v>MADU01T046</v>
          </cell>
          <cell r="C544" t="str">
            <v>THE NATIONAL CO-OPERATIVE SUGAR MILLS LIMITED</v>
          </cell>
          <cell r="E544">
            <v>4</v>
          </cell>
        </row>
        <row r="545">
          <cell r="B545" t="str">
            <v>MERT01M037</v>
          </cell>
          <cell r="C545" t="str">
            <v>MAWANA SUGAR WORKS</v>
          </cell>
          <cell r="E545">
            <v>4</v>
          </cell>
        </row>
        <row r="546">
          <cell r="B546" t="str">
            <v>MUMB01R036</v>
          </cell>
          <cell r="C546" t="str">
            <v>ROHAN EXPORTS</v>
          </cell>
          <cell r="E546">
            <v>4</v>
          </cell>
        </row>
        <row r="547">
          <cell r="B547" t="str">
            <v>NAGP01A114</v>
          </cell>
          <cell r="C547" t="str">
            <v>ANKIT PULPS &amp; BOARDS PVT LTD</v>
          </cell>
          <cell r="E547">
            <v>4</v>
          </cell>
        </row>
        <row r="548">
          <cell r="B548" t="str">
            <v>NAGP01N094</v>
          </cell>
          <cell r="C548" t="str">
            <v>NB LABORATORIES PVT LTD</v>
          </cell>
          <cell r="E548">
            <v>4</v>
          </cell>
        </row>
        <row r="549">
          <cell r="B549" t="str">
            <v>NAGP01N143</v>
          </cell>
          <cell r="C549" t="str">
            <v>NNOWETA PERFORMANCE CHEMICALS PVT LTD</v>
          </cell>
          <cell r="E549">
            <v>4</v>
          </cell>
        </row>
        <row r="550">
          <cell r="B550" t="str">
            <v>NAMA01T052</v>
          </cell>
          <cell r="C550" t="str">
            <v>THE SALEM CO-OPERATIVE SUGAR MILLS LTD..</v>
          </cell>
          <cell r="D550">
            <v>1</v>
          </cell>
          <cell r="E550">
            <v>4</v>
          </cell>
        </row>
        <row r="551">
          <cell r="B551" t="str">
            <v>NAND01D077</v>
          </cell>
          <cell r="C551" t="str">
            <v>DVP DHARASHIV SAKHAR KARKHANA UNIT -3</v>
          </cell>
          <cell r="E551">
            <v>4</v>
          </cell>
        </row>
        <row r="552">
          <cell r="B552" t="str">
            <v>NASK01S272</v>
          </cell>
          <cell r="C552" t="str">
            <v>SHREENATH ENGINEERING</v>
          </cell>
          <cell r="E552">
            <v>4</v>
          </cell>
        </row>
        <row r="553">
          <cell r="B553" t="str">
            <v>OSMA01A097</v>
          </cell>
          <cell r="C553" t="str">
            <v>AAYAN MULTITRADE LLP</v>
          </cell>
          <cell r="E553">
            <v>4</v>
          </cell>
        </row>
        <row r="554">
          <cell r="B554" t="str">
            <v>OSMA01K039</v>
          </cell>
          <cell r="C554" t="str">
            <v>KANCHESHWAR SUGAR LTD GAT NO-155</v>
          </cell>
          <cell r="E554">
            <v>4</v>
          </cell>
        </row>
        <row r="555">
          <cell r="B555" t="str">
            <v>PALA01B079</v>
          </cell>
          <cell r="C555" t="str">
            <v>BANASKANTHA DISTRICT CO-OPERATIVE MILK PRODUCERS UNION LTD</v>
          </cell>
          <cell r="E555">
            <v>4</v>
          </cell>
        </row>
        <row r="556">
          <cell r="B556" t="str">
            <v>PANI01G020</v>
          </cell>
          <cell r="C556" t="str">
            <v>HARYANA ORGANICS</v>
          </cell>
          <cell r="E556">
            <v>4</v>
          </cell>
        </row>
        <row r="557">
          <cell r="B557" t="str">
            <v>PANI01S172</v>
          </cell>
          <cell r="C557" t="str">
            <v>SHREE LAXMI INTERNATIONAL</v>
          </cell>
          <cell r="E557">
            <v>4</v>
          </cell>
        </row>
        <row r="558">
          <cell r="B558" t="str">
            <v>PANI01S336</v>
          </cell>
          <cell r="C558" t="str">
            <v>S.D. ENGINEERING</v>
          </cell>
          <cell r="E558">
            <v>4</v>
          </cell>
        </row>
        <row r="559">
          <cell r="B559" t="str">
            <v>PHAG01G102</v>
          </cell>
          <cell r="C559" t="str">
            <v>GOLDEN SANDHAR MILLS LTD</v>
          </cell>
          <cell r="E559">
            <v>4</v>
          </cell>
        </row>
        <row r="560">
          <cell r="B560" t="str">
            <v>PHIL01P035</v>
          </cell>
          <cell r="C560" t="str">
            <v>PROFOOD INTERNATIONAL CORP.</v>
          </cell>
          <cell r="E560">
            <v>4</v>
          </cell>
        </row>
        <row r="561">
          <cell r="B561" t="str">
            <v>PUNE01A175</v>
          </cell>
          <cell r="C561" t="str">
            <v>ALCOTEX PVT LTD</v>
          </cell>
          <cell r="E561">
            <v>4</v>
          </cell>
        </row>
        <row r="562">
          <cell r="B562" t="str">
            <v>PUNE01I060</v>
          </cell>
          <cell r="C562" t="str">
            <v>ISTPPL SUCRO - TECH LLP</v>
          </cell>
          <cell r="E562">
            <v>4</v>
          </cell>
        </row>
        <row r="563">
          <cell r="B563" t="str">
            <v>PUNE01S054</v>
          </cell>
          <cell r="C563" t="str">
            <v>SHREENATH MHASKOBA SAKHAR KARKHANA LTD.</v>
          </cell>
          <cell r="E563">
            <v>4</v>
          </cell>
        </row>
        <row r="564">
          <cell r="B564" t="str">
            <v>PUNE01S254</v>
          </cell>
          <cell r="C564" t="str">
            <v>SHRI SANT TUKARAM SSK LTD</v>
          </cell>
          <cell r="E564">
            <v>4</v>
          </cell>
        </row>
        <row r="565">
          <cell r="B565" t="str">
            <v>PUNE01S543</v>
          </cell>
          <cell r="C565" t="str">
            <v>SSEPL TECHNO PRIVATE LTD.</v>
          </cell>
          <cell r="E565">
            <v>4</v>
          </cell>
        </row>
        <row r="566">
          <cell r="B566" t="str">
            <v>PUNE01T039</v>
          </cell>
          <cell r="C566" t="str">
            <v>THE MALEGAON SAHAKARI SAKHAR -KARKHANA LTD</v>
          </cell>
          <cell r="E566">
            <v>4</v>
          </cell>
        </row>
        <row r="567">
          <cell r="B567" t="str">
            <v>PUNE01U059</v>
          </cell>
          <cell r="C567" t="str">
            <v>UNIVERSAL FORCES INDUSTRIES</v>
          </cell>
          <cell r="E567">
            <v>4</v>
          </cell>
        </row>
        <row r="568">
          <cell r="B568" t="str">
            <v>PUNE01W017</v>
          </cell>
          <cell r="C568" t="str">
            <v>WALCHANDNAGAR INDUSTRIES LTD</v>
          </cell>
          <cell r="E568">
            <v>4</v>
          </cell>
        </row>
        <row r="569">
          <cell r="B569" t="str">
            <v>PUNE01Y005</v>
          </cell>
          <cell r="C569" t="str">
            <v>YEDESHWARI AGRO PRODUCT LTD</v>
          </cell>
          <cell r="D569">
            <v>2</v>
          </cell>
          <cell r="E569">
            <v>4</v>
          </cell>
        </row>
        <row r="570">
          <cell r="B570" t="str">
            <v>RAIG01G065</v>
          </cell>
          <cell r="C570" t="str">
            <v>GLOBE ENTERPRISES</v>
          </cell>
          <cell r="D570">
            <v>3</v>
          </cell>
          <cell r="E570">
            <v>4</v>
          </cell>
        </row>
        <row r="571">
          <cell r="B571" t="str">
            <v>RAMP01T075</v>
          </cell>
          <cell r="C571" t="str">
            <v>TRIVENI ENGINEERING &amp; INDUSTRIES LTD.</v>
          </cell>
          <cell r="D571">
            <v>2</v>
          </cell>
          <cell r="E571">
            <v>4</v>
          </cell>
        </row>
        <row r="572">
          <cell r="B572" t="str">
            <v>RANI01B153</v>
          </cell>
          <cell r="C572" t="str">
            <v>BHAVANI DISTILLERIES &amp; CHEMICALS LIMITED</v>
          </cell>
          <cell r="E572">
            <v>4</v>
          </cell>
        </row>
        <row r="573">
          <cell r="B573" t="str">
            <v>ROTH01S090</v>
          </cell>
          <cell r="C573" t="str">
            <v>SRI RAM SUGAR MILLS LTD.</v>
          </cell>
          <cell r="E573">
            <v>4</v>
          </cell>
        </row>
        <row r="574">
          <cell r="B574" t="str">
            <v>SAHJ01T036</v>
          </cell>
          <cell r="C574" t="str">
            <v>THE KISAN SAHKARI CHINI MILLS LTD. (V-075)</v>
          </cell>
          <cell r="D574">
            <v>1</v>
          </cell>
          <cell r="E574">
            <v>4</v>
          </cell>
        </row>
        <row r="575">
          <cell r="B575" t="str">
            <v>SOLP01M033</v>
          </cell>
          <cell r="C575" t="str">
            <v>MATOSHRI LAXMI SUGAR CO-GENERATION INDUSTRIES LTD.</v>
          </cell>
          <cell r="E575">
            <v>4</v>
          </cell>
        </row>
        <row r="576">
          <cell r="B576" t="str">
            <v>SOLP01S039</v>
          </cell>
          <cell r="C576" t="str">
            <v>SHREE PANDURANG SAHAKARI SAKHAR KARKHANA LTD.</v>
          </cell>
          <cell r="E576">
            <v>4</v>
          </cell>
        </row>
        <row r="577">
          <cell r="B577" t="str">
            <v>TAPI01C014</v>
          </cell>
          <cell r="C577" t="str">
            <v>COPER CO-OPERATIVE SUGAR LTD.</v>
          </cell>
          <cell r="E577">
            <v>4</v>
          </cell>
        </row>
        <row r="578">
          <cell r="B578" t="str">
            <v>TARN01R025</v>
          </cell>
          <cell r="C578" t="str">
            <v>RANA SUGAR LIMITED-DISTILLERY DIVISION</v>
          </cell>
          <cell r="E578">
            <v>4</v>
          </cell>
        </row>
        <row r="579">
          <cell r="B579" t="str">
            <v>TEXC01S109</v>
          </cell>
          <cell r="C579" t="str">
            <v>SUGAR TECHNOLOGY INTERNATIONAL LLC</v>
          </cell>
          <cell r="E579">
            <v>4</v>
          </cell>
        </row>
        <row r="580">
          <cell r="B580" t="str">
            <v>THNJ01A033</v>
          </cell>
          <cell r="C580" t="str">
            <v>ARIGNAR ANNA SUGAR MILLS</v>
          </cell>
          <cell r="E580">
            <v>4</v>
          </cell>
        </row>
        <row r="581">
          <cell r="B581" t="str">
            <v>TIRU01T018</v>
          </cell>
          <cell r="C581" t="str">
            <v>THE CHEYYAR CO-OPERATIVE SUGAR MILLS LTD</v>
          </cell>
          <cell r="E581">
            <v>4</v>
          </cell>
        </row>
        <row r="582">
          <cell r="B582" t="str">
            <v>WSCH01M116</v>
          </cell>
          <cell r="C582" t="str">
            <v>MAJHAULIA SUGAR INDUSTRIES</v>
          </cell>
          <cell r="E582">
            <v>4</v>
          </cell>
        </row>
        <row r="583">
          <cell r="B583" t="str">
            <v>WSCH01N018</v>
          </cell>
          <cell r="C583" t="str">
            <v>NEW SWADESHI SUGAR MILLS</v>
          </cell>
          <cell r="E583">
            <v>4</v>
          </cell>
        </row>
        <row r="584">
          <cell r="B584" t="str">
            <v>AHMD01E009</v>
          </cell>
          <cell r="C584" t="str">
            <v>EXTRACT ENGINEERING WORKS P LTD</v>
          </cell>
          <cell r="E584">
            <v>3</v>
          </cell>
        </row>
        <row r="585">
          <cell r="B585" t="str">
            <v>AHME01M202</v>
          </cell>
          <cell r="C585" t="str">
            <v>MYMIX BUILDPRO PRIVATE LIMITED</v>
          </cell>
          <cell r="E585">
            <v>3</v>
          </cell>
        </row>
        <row r="586">
          <cell r="B586" t="str">
            <v>AHME01S545</v>
          </cell>
          <cell r="C586" t="str">
            <v>STAR IMPEX</v>
          </cell>
          <cell r="E586">
            <v>3</v>
          </cell>
        </row>
        <row r="587">
          <cell r="B587" t="str">
            <v>AMBA01N006</v>
          </cell>
          <cell r="C587" t="str">
            <v>NARAINGARH SUGAR MILLS LTD</v>
          </cell>
          <cell r="E587">
            <v>3</v>
          </cell>
        </row>
        <row r="588">
          <cell r="B588" t="str">
            <v>ANAN01R014</v>
          </cell>
          <cell r="C588" t="str">
            <v>RAYMON PATEL GELATINE PVT.LTD.</v>
          </cell>
          <cell r="E588">
            <v>3</v>
          </cell>
        </row>
        <row r="589">
          <cell r="B589" t="str">
            <v>BAGH01T014</v>
          </cell>
          <cell r="C589" t="str">
            <v>THE BAGPAT CO-OPERATIVE SUGAR MILLS LTD.</v>
          </cell>
          <cell r="D589">
            <v>1</v>
          </cell>
          <cell r="E589">
            <v>3</v>
          </cell>
        </row>
        <row r="590">
          <cell r="B590" t="str">
            <v>BAGL01M080</v>
          </cell>
          <cell r="C590" t="str">
            <v>MRN CANE POWER (INDIA) LTD</v>
          </cell>
          <cell r="E590">
            <v>3</v>
          </cell>
        </row>
        <row r="591">
          <cell r="B591" t="str">
            <v>BAGL01R062</v>
          </cell>
          <cell r="C591" t="str">
            <v>RYATAR SAHAKARI SAKKARE KARAKHANE NIYAMIT</v>
          </cell>
          <cell r="E591">
            <v>3</v>
          </cell>
        </row>
        <row r="592">
          <cell r="B592" t="str">
            <v>BARL01T028</v>
          </cell>
          <cell r="C592" t="str">
            <v>THE INDIAN WOOD PRODUCTS CO. LTD.</v>
          </cell>
          <cell r="E592">
            <v>3</v>
          </cell>
        </row>
        <row r="593">
          <cell r="B593" t="str">
            <v>BHAB01S207</v>
          </cell>
          <cell r="C593" t="str">
            <v>SRI BEHARIJI CATTTLE FEED PVT LTD UNIT-2</v>
          </cell>
          <cell r="E593">
            <v>3</v>
          </cell>
        </row>
        <row r="594">
          <cell r="B594" t="str">
            <v>BHAR01T223</v>
          </cell>
          <cell r="C594" t="str">
            <v>TURQUOISE BIO NATURAL ENERGY PRIVATE LIMITED.</v>
          </cell>
          <cell r="E594">
            <v>3</v>
          </cell>
        </row>
        <row r="595">
          <cell r="B595" t="str">
            <v>BHEE01D048</v>
          </cell>
          <cell r="C595" t="str">
            <v>DSM SUGAR ASMOLI</v>
          </cell>
          <cell r="E595">
            <v>3</v>
          </cell>
        </row>
        <row r="596">
          <cell r="B596" t="str">
            <v>BHIA01C100</v>
          </cell>
          <cell r="C596" t="str">
            <v>CHEMIE PRODUCTS PVT LTD.</v>
          </cell>
          <cell r="E596">
            <v>3</v>
          </cell>
        </row>
        <row r="597">
          <cell r="B597" t="str">
            <v>BIJA01M027</v>
          </cell>
          <cell r="C597" t="str">
            <v>MANALI SUGARS LIMITED</v>
          </cell>
          <cell r="E597">
            <v>3</v>
          </cell>
        </row>
        <row r="598">
          <cell r="B598" t="str">
            <v>BIJA01T043</v>
          </cell>
          <cell r="C598" t="str">
            <v>THE NANDI SAHAKARI SAKKARE KARKHANE NIYAMIT</v>
          </cell>
          <cell r="E598">
            <v>3</v>
          </cell>
        </row>
        <row r="599">
          <cell r="B599" t="str">
            <v>BULA01A060</v>
          </cell>
          <cell r="C599" t="str">
            <v>ANAMIKA SUGAR MILLS PVT LTD</v>
          </cell>
          <cell r="D599">
            <v>1</v>
          </cell>
          <cell r="E599">
            <v>3</v>
          </cell>
        </row>
        <row r="600">
          <cell r="B600" t="str">
            <v>CHAN01S245</v>
          </cell>
          <cell r="C600" t="str">
            <v>SAMPURN AGRI VENTURES PVT LTD</v>
          </cell>
          <cell r="D600">
            <v>1</v>
          </cell>
          <cell r="E600">
            <v>3</v>
          </cell>
        </row>
        <row r="601">
          <cell r="B601" t="str">
            <v>CHEN01M082</v>
          </cell>
          <cell r="C601" t="str">
            <v>MOHAN BREWERIES AND DISTILLERIES LTD</v>
          </cell>
          <cell r="E601">
            <v>3</v>
          </cell>
        </row>
        <row r="602">
          <cell r="B602" t="str">
            <v>CHEN01S307</v>
          </cell>
          <cell r="C602" t="str">
            <v>SR ENGINEERING SOLUTIONS</v>
          </cell>
          <cell r="E602">
            <v>3</v>
          </cell>
        </row>
        <row r="603">
          <cell r="B603" t="str">
            <v>CHIT01B026</v>
          </cell>
          <cell r="C603" t="str">
            <v>BARAMATI AGRO LIMITED - FEEDMILL</v>
          </cell>
          <cell r="E603">
            <v>3</v>
          </cell>
        </row>
        <row r="604">
          <cell r="B604" t="str">
            <v>DEDH01H024</v>
          </cell>
          <cell r="C604" t="str">
            <v>HEMA LABORATORIES PVT. LTD.</v>
          </cell>
          <cell r="E604">
            <v>3</v>
          </cell>
        </row>
        <row r="605">
          <cell r="B605" t="str">
            <v>DLHI01A129</v>
          </cell>
          <cell r="C605" t="str">
            <v>ALLIANCE INDUSTRIAL PRODUCTS</v>
          </cell>
          <cell r="E605">
            <v>3</v>
          </cell>
        </row>
        <row r="606">
          <cell r="B606" t="str">
            <v>DLHI01U010</v>
          </cell>
          <cell r="C606" t="str">
            <v>UNIFLOW MARKETING</v>
          </cell>
          <cell r="E606">
            <v>3</v>
          </cell>
        </row>
        <row r="607">
          <cell r="B607" t="str">
            <v>GHZB01U013</v>
          </cell>
          <cell r="C607" t="str">
            <v>UNIFAB ENTERPRISES</v>
          </cell>
          <cell r="E607">
            <v>3</v>
          </cell>
        </row>
        <row r="608">
          <cell r="B608" t="str">
            <v>GOPA01S261</v>
          </cell>
          <cell r="C608" t="str">
            <v>SONA SATI ORGANICS PVT LTD</v>
          </cell>
          <cell r="E608">
            <v>3</v>
          </cell>
        </row>
        <row r="609">
          <cell r="B609" t="str">
            <v>GUJA01I099</v>
          </cell>
          <cell r="C609" t="str">
            <v>INDIAN POTASH LIMITED UNIT-VALSAD SUGAR</v>
          </cell>
          <cell r="E609">
            <v>3</v>
          </cell>
        </row>
        <row r="610">
          <cell r="B610" t="str">
            <v>GURG01K134</v>
          </cell>
          <cell r="C610" t="str">
            <v>KANWAL ENTERPRISES</v>
          </cell>
          <cell r="E610">
            <v>3</v>
          </cell>
        </row>
        <row r="611">
          <cell r="B611" t="str">
            <v>GUWA01W024</v>
          </cell>
          <cell r="C611" t="str">
            <v>WHITE GOLD SUGAR AGRO PRODUCTS</v>
          </cell>
          <cell r="E611">
            <v>3</v>
          </cell>
        </row>
        <row r="612">
          <cell r="B612" t="str">
            <v>GWAL01G068</v>
          </cell>
          <cell r="C612" t="str">
            <v>BAPUNA ALCOBREW PVT. LTD. (FORMERLY GWALIOR ALCOBREW PVT LTD</v>
          </cell>
          <cell r="E612">
            <v>3</v>
          </cell>
        </row>
        <row r="613">
          <cell r="B613" t="str">
            <v>HASS01S088</v>
          </cell>
          <cell r="C613" t="str">
            <v>SRI CHAMUNDESWARI SUGARS LTD.</v>
          </cell>
          <cell r="E613">
            <v>3</v>
          </cell>
        </row>
        <row r="614">
          <cell r="B614" t="str">
            <v>HAVE01G008</v>
          </cell>
          <cell r="C614" t="str">
            <v>GM SUGAR &amp; ENERGY LTD</v>
          </cell>
          <cell r="E614">
            <v>3</v>
          </cell>
        </row>
        <row r="615">
          <cell r="B615" t="str">
            <v>INDR01H047</v>
          </cell>
          <cell r="C615" t="str">
            <v>HINDUSTAN EQUIPMENTS PVT LTD</v>
          </cell>
          <cell r="E615">
            <v>3</v>
          </cell>
        </row>
        <row r="616">
          <cell r="B616" t="str">
            <v>KANE01T101</v>
          </cell>
          <cell r="C616" t="str">
            <v>THE MADURANTAKAM CO-OP. SUGAR MILLS LTD</v>
          </cell>
          <cell r="E616">
            <v>3</v>
          </cell>
        </row>
        <row r="617">
          <cell r="B617" t="str">
            <v>KANP01R041</v>
          </cell>
          <cell r="C617" t="str">
            <v>RIMJHIM ISPAT LTD</v>
          </cell>
          <cell r="E617">
            <v>3</v>
          </cell>
        </row>
        <row r="618">
          <cell r="B618" t="str">
            <v>KANP01S206</v>
          </cell>
          <cell r="C618" t="str">
            <v>SRI BEHARIJI CATTTLE FEED PVT LTD</v>
          </cell>
          <cell r="E618">
            <v>3</v>
          </cell>
        </row>
        <row r="619">
          <cell r="B619" t="str">
            <v>KANP01W022</v>
          </cell>
          <cell r="C619" t="str">
            <v>WATER SOLUTIONS</v>
          </cell>
          <cell r="E619">
            <v>3</v>
          </cell>
        </row>
        <row r="620">
          <cell r="B620" t="str">
            <v>KAPU01M084</v>
          </cell>
          <cell r="C620" t="str">
            <v>MARKFED CATTLE FEED &amp; ALLIED INDUSTRIES</v>
          </cell>
          <cell r="E620">
            <v>3</v>
          </cell>
        </row>
        <row r="621">
          <cell r="B621" t="str">
            <v>KARN01T035</v>
          </cell>
          <cell r="C621" t="str">
            <v>THE KARNAL CO-OPERATIVE SUGAR MILLS LTD</v>
          </cell>
          <cell r="E621">
            <v>3</v>
          </cell>
        </row>
        <row r="622">
          <cell r="B622" t="str">
            <v>KOLH01O009</v>
          </cell>
          <cell r="C622" t="str">
            <v>OM SUGARS LIMITRD</v>
          </cell>
          <cell r="E622">
            <v>3</v>
          </cell>
        </row>
        <row r="623">
          <cell r="B623" t="str">
            <v>KOLH01O011</v>
          </cell>
          <cell r="C623" t="str">
            <v>OLAM AGRO INDIA PVT LTD</v>
          </cell>
          <cell r="E623">
            <v>3</v>
          </cell>
        </row>
        <row r="624">
          <cell r="B624" t="str">
            <v>LAKM01S138</v>
          </cell>
          <cell r="C624" t="str">
            <v>SARJOO SAHKARI CHINI MILLS LIMITED</v>
          </cell>
          <cell r="D624">
            <v>7</v>
          </cell>
          <cell r="E624">
            <v>3</v>
          </cell>
        </row>
        <row r="625">
          <cell r="B625" t="str">
            <v>MAND01C016</v>
          </cell>
          <cell r="C625" t="str">
            <v>COROMANDEL SUGARS LIMITED</v>
          </cell>
          <cell r="E625">
            <v>3</v>
          </cell>
        </row>
        <row r="626">
          <cell r="B626" t="str">
            <v>MEHS01A243</v>
          </cell>
          <cell r="C626" t="str">
            <v>ADIDEV EXPORTS</v>
          </cell>
          <cell r="E626">
            <v>3</v>
          </cell>
        </row>
        <row r="627">
          <cell r="B627" t="str">
            <v>MERT01N005</v>
          </cell>
          <cell r="C627" t="str">
            <v>NANGLAMAL SUGAR COMPLEX</v>
          </cell>
          <cell r="E627">
            <v>3</v>
          </cell>
        </row>
        <row r="628">
          <cell r="B628" t="str">
            <v>MORA01D011</v>
          </cell>
          <cell r="C628" t="str">
            <v>DEWAN SUGARS LIMITED</v>
          </cell>
          <cell r="E628">
            <v>3</v>
          </cell>
        </row>
        <row r="629">
          <cell r="B629" t="str">
            <v>MORA01T076</v>
          </cell>
          <cell r="C629" t="str">
            <v>TRIVENI ENGINEERING &amp; INDUSTRIES LTD.</v>
          </cell>
          <cell r="E629">
            <v>3</v>
          </cell>
        </row>
        <row r="630">
          <cell r="B630" t="str">
            <v>MUMB01O022</v>
          </cell>
          <cell r="C630" t="str">
            <v>OMIOM CLEANTECH LLP</v>
          </cell>
          <cell r="E630">
            <v>3</v>
          </cell>
        </row>
        <row r="631">
          <cell r="B631" t="str">
            <v>MUMB01S283</v>
          </cell>
          <cell r="C631" t="str">
            <v>SHREYA CONSULTANCY</v>
          </cell>
          <cell r="E631">
            <v>3</v>
          </cell>
        </row>
        <row r="632">
          <cell r="B632" t="str">
            <v>MUZF01G139</v>
          </cell>
          <cell r="C632" t="str">
            <v>GREEN HOUSE BIO ENERGY PRIVATE LIMITED</v>
          </cell>
          <cell r="E632">
            <v>3</v>
          </cell>
        </row>
        <row r="633">
          <cell r="B633" t="str">
            <v>MYSR01B021</v>
          </cell>
          <cell r="C633" t="str">
            <v>BANNARI AMMAN SUGARS LIMITED (Unit - II)</v>
          </cell>
          <cell r="E633">
            <v>3</v>
          </cell>
        </row>
        <row r="634">
          <cell r="B634" t="str">
            <v>NAGA01N001</v>
          </cell>
          <cell r="C634" t="str">
            <v>N.P.K.R.RAMASAMY CO-OPERATIVE SUGAR MILLS LTD</v>
          </cell>
          <cell r="E634">
            <v>3</v>
          </cell>
        </row>
        <row r="635">
          <cell r="B635" t="str">
            <v>NAGP01M090</v>
          </cell>
          <cell r="C635" t="str">
            <v>MEGATAJ AGROVET PVT LTD</v>
          </cell>
          <cell r="E635">
            <v>3</v>
          </cell>
        </row>
        <row r="636">
          <cell r="B636" t="str">
            <v>NANE01K040</v>
          </cell>
          <cell r="C636" t="str">
            <v>KUNTURKAR SUGAR &amp; AGRO PVT LTD.</v>
          </cell>
          <cell r="E636">
            <v>3</v>
          </cell>
        </row>
        <row r="637">
          <cell r="B637" t="str">
            <v>NODA01C052</v>
          </cell>
          <cell r="C637" t="str">
            <v>CHEMICAL SYSTEMS</v>
          </cell>
          <cell r="E637">
            <v>3</v>
          </cell>
        </row>
        <row r="638">
          <cell r="B638" t="str">
            <v>OSMA01B052</v>
          </cell>
          <cell r="C638" t="str">
            <v>BHAIRAVNATH SHIVSHAKTI SAKHAR UDYOG</v>
          </cell>
          <cell r="E638">
            <v>3</v>
          </cell>
        </row>
        <row r="639">
          <cell r="B639" t="str">
            <v>OSMA01M184</v>
          </cell>
          <cell r="C639" t="str">
            <v>MANJRA SUGAR INDUSTRIES PRIVATE LTD</v>
          </cell>
          <cell r="E639">
            <v>3</v>
          </cell>
        </row>
        <row r="640">
          <cell r="B640" t="str">
            <v>OSMN01S557</v>
          </cell>
          <cell r="C640" t="str">
            <v>SSV COMMERICAL SERVICES AND INFRA PVT LTD</v>
          </cell>
          <cell r="D640">
            <v>12</v>
          </cell>
          <cell r="E640">
            <v>3</v>
          </cell>
        </row>
        <row r="641">
          <cell r="B641" t="str">
            <v>PILI01B038</v>
          </cell>
          <cell r="C641" t="str">
            <v>BISALPUR KISAN SAHAKARI CHINI MILLS LTD.</v>
          </cell>
          <cell r="D641">
            <v>1</v>
          </cell>
          <cell r="E641">
            <v>3</v>
          </cell>
        </row>
        <row r="642">
          <cell r="B642" t="str">
            <v>PUNE01B076</v>
          </cell>
          <cell r="C642" t="str">
            <v>BARAMATI AGRO LIMITED BARAMATI</v>
          </cell>
          <cell r="E642">
            <v>3</v>
          </cell>
        </row>
        <row r="643">
          <cell r="B643" t="str">
            <v>PUNE01K006</v>
          </cell>
          <cell r="C643" t="str">
            <v>KARMYOGI SHANKARRAOJI PATIL SSK KARKHANA LTD CLOSED</v>
          </cell>
          <cell r="E643">
            <v>3</v>
          </cell>
        </row>
        <row r="644">
          <cell r="B644" t="str">
            <v>PUNE01N019</v>
          </cell>
          <cell r="C644" t="str">
            <v>NIRA - BHIMA SAHAKARI SAKHAR -KARKHANA LTD</v>
          </cell>
          <cell r="E644">
            <v>3</v>
          </cell>
        </row>
        <row r="645">
          <cell r="B645" t="str">
            <v>PUNE01S278</v>
          </cell>
          <cell r="C645" t="str">
            <v>SHIVAJI SERVICE STATION (SUGAR UNIT)</v>
          </cell>
          <cell r="E645">
            <v>3</v>
          </cell>
        </row>
        <row r="646">
          <cell r="B646" t="str">
            <v>PUNE01S303</v>
          </cell>
          <cell r="C646" t="str">
            <v>SAMRUDDHA SUGAR ENGINEERS PVT. LTD.</v>
          </cell>
          <cell r="D646">
            <v>8</v>
          </cell>
          <cell r="E646">
            <v>3</v>
          </cell>
        </row>
        <row r="647">
          <cell r="B647" t="str">
            <v>SANG01M207</v>
          </cell>
          <cell r="C647" t="str">
            <v>SHREE MAHALAXMI BIO GREEN PVT. LTD.</v>
          </cell>
          <cell r="E647">
            <v>3</v>
          </cell>
        </row>
        <row r="648">
          <cell r="B648" t="str">
            <v>SANG01O051</v>
          </cell>
          <cell r="C648" t="str">
            <v>ONKAR SAKHAR KARKHANA PVT LTD UNIT-16</v>
          </cell>
          <cell r="E648">
            <v>3</v>
          </cell>
        </row>
        <row r="649">
          <cell r="B649" t="str">
            <v>SANG01P069</v>
          </cell>
          <cell r="C649" t="str">
            <v>PRAGATI ENGINEERING WORKS SHIROL</v>
          </cell>
          <cell r="E649">
            <v>3</v>
          </cell>
        </row>
        <row r="650">
          <cell r="B650" t="str">
            <v>SANG01R002</v>
          </cell>
          <cell r="C650" t="str">
            <v>RAJARAMBAPU PATIL SAHAKARI-SAKHAR KARKHANA LTD(Unit No.2 WATEGAON)</v>
          </cell>
          <cell r="E650">
            <v>3</v>
          </cell>
        </row>
        <row r="651">
          <cell r="B651" t="str">
            <v>SANG01U007</v>
          </cell>
          <cell r="C651" t="str">
            <v>UDAGIRI SUGAR &amp; POWER LTD.</v>
          </cell>
          <cell r="D651">
            <v>1</v>
          </cell>
          <cell r="E651">
            <v>3</v>
          </cell>
        </row>
        <row r="652">
          <cell r="B652" t="str">
            <v>SATH01K020</v>
          </cell>
          <cell r="C652" t="str">
            <v>KOTHARI SUGARS &amp;CHEMICALS LTD</v>
          </cell>
          <cell r="E652">
            <v>3</v>
          </cell>
        </row>
        <row r="653">
          <cell r="B653" t="str">
            <v>SHAM01M170</v>
          </cell>
          <cell r="C653" t="str">
            <v>MARUTI PAPERS PRIVATE LIMITED</v>
          </cell>
          <cell r="E653">
            <v>3</v>
          </cell>
        </row>
        <row r="654">
          <cell r="B654" t="str">
            <v>SIRM01M085</v>
          </cell>
          <cell r="C654" t="str">
            <v>METRO DECORATIVE PVT LTD</v>
          </cell>
          <cell r="E654">
            <v>3</v>
          </cell>
        </row>
        <row r="655">
          <cell r="B655" t="str">
            <v>SIRM01R052</v>
          </cell>
          <cell r="C655" t="str">
            <v>RUCHIRA PAPERS LIMITED</v>
          </cell>
          <cell r="E655">
            <v>3</v>
          </cell>
        </row>
        <row r="656">
          <cell r="B656" t="str">
            <v>SOLP01A104</v>
          </cell>
          <cell r="C656" t="str">
            <v>AUDAMBARRAOJI PATIL SAKHAR KARKHANA LTD</v>
          </cell>
          <cell r="E656">
            <v>3</v>
          </cell>
        </row>
        <row r="657">
          <cell r="B657" t="str">
            <v>SOLP01D093</v>
          </cell>
          <cell r="C657" t="str">
            <v>DARSHANA SOLVENT EXTACTION PVT LTD</v>
          </cell>
          <cell r="E657">
            <v>3</v>
          </cell>
        </row>
        <row r="658">
          <cell r="B658" t="str">
            <v>SOLP01U018</v>
          </cell>
          <cell r="C658" t="str">
            <v>UTOPIAN SUGARS LIMITED</v>
          </cell>
          <cell r="E658">
            <v>3</v>
          </cell>
        </row>
        <row r="659">
          <cell r="B659" t="str">
            <v>SURA01S146</v>
          </cell>
          <cell r="C659" t="str">
            <v>SHREE KANTHA VIBHAG SAHAKARI KHAND UDYOG MANDLI LTD.</v>
          </cell>
          <cell r="E659">
            <v>3</v>
          </cell>
        </row>
        <row r="660">
          <cell r="B660" t="str">
            <v>THAN01B192</v>
          </cell>
          <cell r="C660" t="str">
            <v>BMS INDUSTRIES PRIVATE LIMITED</v>
          </cell>
          <cell r="E660">
            <v>3</v>
          </cell>
        </row>
        <row r="661">
          <cell r="B661" t="str">
            <v>THAN01G117</v>
          </cell>
          <cell r="C661" t="str">
            <v>GOMA PROCESS TECHNOLOGIES PVT LTD</v>
          </cell>
          <cell r="E661">
            <v>3</v>
          </cell>
        </row>
        <row r="662">
          <cell r="B662" t="str">
            <v>THAN01T002</v>
          </cell>
          <cell r="C662" t="str">
            <v>TECHNOCRAFT INDUSTRIES (INDIA) LTD.</v>
          </cell>
          <cell r="E662">
            <v>3</v>
          </cell>
        </row>
        <row r="663">
          <cell r="B663" t="str">
            <v>UDAM01K083</v>
          </cell>
          <cell r="C663" t="str">
            <v>KATYAYINI TISSUES PVT LTD</v>
          </cell>
          <cell r="E663">
            <v>3</v>
          </cell>
        </row>
        <row r="664">
          <cell r="B664" t="str">
            <v>UGAN01M076</v>
          </cell>
          <cell r="C664" t="str">
            <v>MODERN DISTILLERS LTD</v>
          </cell>
          <cell r="E664">
            <v>3</v>
          </cell>
        </row>
        <row r="665">
          <cell r="B665" t="str">
            <v>VADO01S052</v>
          </cell>
          <cell r="C665" t="str">
            <v>SHREE VADODARA DISTRICT CO-OP.SUGARCANE -</v>
          </cell>
          <cell r="D665">
            <v>4</v>
          </cell>
          <cell r="E665">
            <v>3</v>
          </cell>
        </row>
        <row r="666">
          <cell r="B666" t="str">
            <v>VIJA01S212</v>
          </cell>
          <cell r="C666" t="str">
            <v>SHRI BHIMASHANKER S.S.K. NIYAMIT</v>
          </cell>
          <cell r="E666">
            <v>3</v>
          </cell>
        </row>
        <row r="667">
          <cell r="B667" t="str">
            <v>VILL01C006</v>
          </cell>
          <cell r="C667" t="str">
            <v>CHENGALRAYAN CO-OPERATIVE SUGAR MILLS LTD.</v>
          </cell>
          <cell r="E667">
            <v>3</v>
          </cell>
        </row>
        <row r="668">
          <cell r="B668" t="str">
            <v>VILL01R006</v>
          </cell>
          <cell r="C668" t="str">
            <v>RAJSHREE SUGARS &amp;CHEMICALS LTD (Unit-II)</v>
          </cell>
          <cell r="E668">
            <v>3</v>
          </cell>
        </row>
        <row r="669">
          <cell r="B669" t="str">
            <v>WEBU01B069</v>
          </cell>
          <cell r="C669" t="str">
            <v>BUTALI SUGAR MILLS LIMITED</v>
          </cell>
          <cell r="E669">
            <v>3</v>
          </cell>
        </row>
        <row r="670">
          <cell r="B670" t="str">
            <v>WSCH01N033</v>
          </cell>
          <cell r="C670" t="str">
            <v>NEW SWADESHI DISTILLERY</v>
          </cell>
          <cell r="E670">
            <v>3</v>
          </cell>
        </row>
        <row r="671">
          <cell r="B671" t="str">
            <v>YAMN01S015</v>
          </cell>
          <cell r="C671" t="str">
            <v>SARASWATI SUGAR MILLS LIMITED</v>
          </cell>
          <cell r="E671">
            <v>3</v>
          </cell>
        </row>
        <row r="672">
          <cell r="B672" t="str">
            <v>AGRA01T169</v>
          </cell>
          <cell r="C672" t="str">
            <v>TIRUPATI ENTERPRISES</v>
          </cell>
          <cell r="E672">
            <v>2</v>
          </cell>
        </row>
        <row r="673">
          <cell r="B673" t="str">
            <v>AHMD01A130</v>
          </cell>
          <cell r="C673" t="str">
            <v>ASHOK SAHAKARI SAKHAR KARKHANA LTD. ASHOKNAGAR</v>
          </cell>
          <cell r="E673">
            <v>2</v>
          </cell>
        </row>
        <row r="674">
          <cell r="B674" t="str">
            <v>AHMD01G010</v>
          </cell>
          <cell r="C674" t="str">
            <v>GODAVARI EQUIPMENTS PVT.LTD.</v>
          </cell>
          <cell r="E674">
            <v>2</v>
          </cell>
        </row>
        <row r="675">
          <cell r="B675" t="str">
            <v>AHMD01G021</v>
          </cell>
          <cell r="C675" t="str">
            <v>GANGAMAI INDUSTRIES AND CONSTRUCTIONS LTD.</v>
          </cell>
          <cell r="E675">
            <v>2</v>
          </cell>
        </row>
        <row r="676">
          <cell r="B676" t="str">
            <v>AHMD01I045</v>
          </cell>
          <cell r="C676" t="str">
            <v>INDIANA SUCRO TECH (PUNE) PVT LTD</v>
          </cell>
          <cell r="E676">
            <v>2</v>
          </cell>
        </row>
        <row r="677">
          <cell r="B677" t="str">
            <v>AHMD01M004</v>
          </cell>
          <cell r="C677" t="str">
            <v>MADHURYA CHEMICAL</v>
          </cell>
          <cell r="E677">
            <v>2</v>
          </cell>
        </row>
        <row r="678">
          <cell r="B678" t="str">
            <v>AHMD01N042</v>
          </cell>
          <cell r="C678" t="str">
            <v>N.R. FABRICATORS &amp; ERECTORS</v>
          </cell>
          <cell r="D678">
            <v>2</v>
          </cell>
          <cell r="E678">
            <v>2</v>
          </cell>
        </row>
        <row r="679">
          <cell r="B679" t="str">
            <v>AHMD01P021</v>
          </cell>
          <cell r="C679" t="str">
            <v>PRASAD SUGAR AND ALLIED AGRO PRODUCTS LTD. VAMBORI</v>
          </cell>
          <cell r="E679">
            <v>2</v>
          </cell>
        </row>
        <row r="680">
          <cell r="B680" t="str">
            <v>AHME01N051</v>
          </cell>
          <cell r="C680" t="str">
            <v>NIRMA LIMITED</v>
          </cell>
          <cell r="E680">
            <v>2</v>
          </cell>
        </row>
        <row r="681">
          <cell r="B681" t="str">
            <v>ALIG01W015</v>
          </cell>
          <cell r="C681" t="str">
            <v>WAVE DISTILLERIES &amp; BREWERIES LTD.</v>
          </cell>
          <cell r="E681">
            <v>2</v>
          </cell>
        </row>
        <row r="682">
          <cell r="B682" t="str">
            <v>ALWR01G020</v>
          </cell>
          <cell r="C682" t="str">
            <v>GLOBUS SPIRITS LTD. (NOT IN USE)</v>
          </cell>
          <cell r="E682">
            <v>2</v>
          </cell>
        </row>
        <row r="683">
          <cell r="B683" t="str">
            <v>AMRI01K103</v>
          </cell>
          <cell r="C683" t="str">
            <v>KHASA DISTILLERY CO.</v>
          </cell>
          <cell r="E683">
            <v>2</v>
          </cell>
        </row>
        <row r="684">
          <cell r="B684" t="str">
            <v>AMRI01R008</v>
          </cell>
          <cell r="C684" t="str">
            <v>RANA SUGARS LIMITED BUTTER SEVIYAN</v>
          </cell>
          <cell r="E684">
            <v>2</v>
          </cell>
        </row>
        <row r="685">
          <cell r="B685" t="str">
            <v>AMRI01S459</v>
          </cell>
          <cell r="C685" t="str">
            <v>S. R. PARYAVARAN ENGINEERS PVT LTD.</v>
          </cell>
          <cell r="E685">
            <v>2</v>
          </cell>
        </row>
        <row r="686">
          <cell r="B686" t="str">
            <v>AMRO01U035</v>
          </cell>
          <cell r="C686" t="str">
            <v>U.P. CO-OPERATIVE SUGAR FACTORIES FEDERATION LTD</v>
          </cell>
          <cell r="E686">
            <v>2</v>
          </cell>
        </row>
        <row r="687">
          <cell r="B687" t="str">
            <v>AMRO01W025</v>
          </cell>
          <cell r="C687" t="str">
            <v>WAVE INDUSTRIES PVT LTD. - (DISTILLERY DIV)</v>
          </cell>
          <cell r="E687">
            <v>2</v>
          </cell>
        </row>
        <row r="688">
          <cell r="B688" t="str">
            <v>BALR01B078</v>
          </cell>
          <cell r="C688" t="str">
            <v>BAJAJ HINDUSTHAN SUGAR LIMITED (UTRAULA)</v>
          </cell>
          <cell r="E688">
            <v>2</v>
          </cell>
        </row>
        <row r="689">
          <cell r="B689" t="str">
            <v>BARA01H021</v>
          </cell>
          <cell r="C689" t="str">
            <v>BALRAMPUR CHINI MILLS LTD. HAIDERGARH</v>
          </cell>
          <cell r="E689">
            <v>2</v>
          </cell>
        </row>
        <row r="690">
          <cell r="B690" t="str">
            <v>BARL01S431</v>
          </cell>
          <cell r="C690" t="str">
            <v>SHRI CHANCHALA FOODS INDIA PVT LTD</v>
          </cell>
          <cell r="E690">
            <v>2</v>
          </cell>
        </row>
        <row r="691">
          <cell r="B691" t="str">
            <v>BARL01T191</v>
          </cell>
          <cell r="C691" t="str">
            <v>TRIVATINATH SUGAR AND CHEMICALS PVT LTD</v>
          </cell>
          <cell r="E691">
            <v>2</v>
          </cell>
        </row>
        <row r="692">
          <cell r="B692" t="str">
            <v>BAST01B088</v>
          </cell>
          <cell r="C692" t="str">
            <v>BAJAJ HINDUSTHAN SUGAR LIMITED</v>
          </cell>
          <cell r="E692">
            <v>2</v>
          </cell>
        </row>
        <row r="693">
          <cell r="B693" t="str">
            <v>BATH01O012</v>
          </cell>
          <cell r="C693" t="str">
            <v>OM SONS MARKETING PVT LTD.</v>
          </cell>
          <cell r="E693">
            <v>2</v>
          </cell>
        </row>
        <row r="694">
          <cell r="B694" t="str">
            <v>BEED01C022</v>
          </cell>
          <cell r="C694" t="str">
            <v>CHHATRAPATI SAHAKARI SAKHAR KARKHANA LTD.</v>
          </cell>
          <cell r="E694">
            <v>2</v>
          </cell>
        </row>
        <row r="695">
          <cell r="B695" t="str">
            <v>BEED01S359</v>
          </cell>
          <cell r="C695" t="str">
            <v>SAIPRASAD NATURAL SUGAR PVT LTD</v>
          </cell>
          <cell r="E695">
            <v>2</v>
          </cell>
        </row>
        <row r="696">
          <cell r="B696" t="str">
            <v>BELA01S429</v>
          </cell>
          <cell r="C696" t="str">
            <v>SRI BASAVESHWARA SUGARS LTD</v>
          </cell>
          <cell r="E696">
            <v>2</v>
          </cell>
        </row>
        <row r="697">
          <cell r="B697" t="str">
            <v>BELG01K076</v>
          </cell>
          <cell r="C697" t="str">
            <v>KPR SUGAR AND APPARELS LIMITED</v>
          </cell>
          <cell r="E697">
            <v>2</v>
          </cell>
        </row>
        <row r="698">
          <cell r="B698" t="str">
            <v>BELG01P009</v>
          </cell>
          <cell r="C698" t="str">
            <v>PARRYS SUGAR INDUSTRIES LTD.-(RAMDURG)</v>
          </cell>
          <cell r="E698">
            <v>2</v>
          </cell>
        </row>
        <row r="699">
          <cell r="B699" t="str">
            <v>BELG01S237</v>
          </cell>
          <cell r="C699" t="str">
            <v>SHRI DHANALAXMI SAHAKARI SAKKARE KARKHANE NIYAMIT</v>
          </cell>
          <cell r="E699">
            <v>2</v>
          </cell>
        </row>
        <row r="700">
          <cell r="B700" t="str">
            <v>BELG01T023</v>
          </cell>
          <cell r="C700" t="str">
            <v>THE GHATAPRABHA SAHAKARI SAKKARE -</v>
          </cell>
          <cell r="E700">
            <v>2</v>
          </cell>
        </row>
        <row r="701">
          <cell r="B701" t="str">
            <v>BELL01N022</v>
          </cell>
          <cell r="C701" t="str">
            <v>NSL SUGARS (TUNGABHADRA) LTD</v>
          </cell>
          <cell r="E701">
            <v>2</v>
          </cell>
        </row>
        <row r="702">
          <cell r="B702" t="str">
            <v>BENG01B180</v>
          </cell>
          <cell r="C702" t="str">
            <v>BIOBUILD INFRA PRIVATE LIMITED</v>
          </cell>
          <cell r="E702">
            <v>2</v>
          </cell>
        </row>
        <row r="703">
          <cell r="B703" t="str">
            <v>BHAN01E033</v>
          </cell>
          <cell r="C703" t="str">
            <v>ECOBROWN PRODUCTS PVT LTD</v>
          </cell>
          <cell r="E703">
            <v>2</v>
          </cell>
        </row>
        <row r="704">
          <cell r="B704" t="str">
            <v>BHAR01N011</v>
          </cell>
          <cell r="C704" t="str">
            <v>NAVDEEP CHEMICALS PVT. LTD.</v>
          </cell>
          <cell r="E704">
            <v>2</v>
          </cell>
        </row>
        <row r="705">
          <cell r="B705" t="str">
            <v>BIDA01S191</v>
          </cell>
          <cell r="C705" t="str">
            <v>SPRAY ENGINEERING DEVICES LTD</v>
          </cell>
          <cell r="E705">
            <v>2</v>
          </cell>
        </row>
        <row r="706">
          <cell r="B706" t="str">
            <v>BIDA01T038</v>
          </cell>
          <cell r="C706" t="str">
            <v>THE MAHATMA GANDHI SAHAKAR SAKKARE KARKHANE NIYAMIT</v>
          </cell>
          <cell r="D706">
            <v>4</v>
          </cell>
          <cell r="E706">
            <v>2</v>
          </cell>
        </row>
        <row r="707">
          <cell r="B707" t="str">
            <v>BIJN01P001</v>
          </cell>
          <cell r="C707" t="str">
            <v>P B S FOODS (SUGAR) PVT. LTD</v>
          </cell>
          <cell r="E707">
            <v>2</v>
          </cell>
        </row>
        <row r="708">
          <cell r="B708" t="str">
            <v>CHEN01C036</v>
          </cell>
          <cell r="C708" t="str">
            <v>COROMANDEL PAINTS PVT. LTD. (UNIT -II)</v>
          </cell>
          <cell r="E708">
            <v>2</v>
          </cell>
        </row>
        <row r="709">
          <cell r="B709" t="str">
            <v>CHEN01K138</v>
          </cell>
          <cell r="C709" t="str">
            <v>KANKYO BERT PVT LTD</v>
          </cell>
          <cell r="E709">
            <v>2</v>
          </cell>
        </row>
        <row r="710">
          <cell r="B710" t="str">
            <v>CHEN01S472</v>
          </cell>
          <cell r="C710" t="str">
            <v>SNJ DISTILLERS PRIVATE LIMITED</v>
          </cell>
          <cell r="E710">
            <v>2</v>
          </cell>
        </row>
        <row r="711">
          <cell r="B711" t="str">
            <v>CHIT01K009</v>
          </cell>
          <cell r="C711" t="str">
            <v>KBD SUGARS &amp; DISTILLERIES LTD</v>
          </cell>
          <cell r="E711">
            <v>2</v>
          </cell>
        </row>
        <row r="712">
          <cell r="B712" t="str">
            <v>COIM01I030</v>
          </cell>
          <cell r="C712" t="str">
            <v>INGENIO PROVIDENCIA S.A.</v>
          </cell>
          <cell r="E712">
            <v>2</v>
          </cell>
        </row>
        <row r="713">
          <cell r="B713" t="str">
            <v>DAVA01I037</v>
          </cell>
          <cell r="C713" t="str">
            <v>INDIAN CANE POWER LIMITED</v>
          </cell>
          <cell r="E713">
            <v>2</v>
          </cell>
        </row>
        <row r="714">
          <cell r="B714" t="str">
            <v>DAVA01I094</v>
          </cell>
          <cell r="C714" t="str">
            <v>INDIAN CANE POWER LIMITEDUNIT-DNYANYOGI</v>
          </cell>
          <cell r="E714">
            <v>2</v>
          </cell>
        </row>
        <row r="715">
          <cell r="B715" t="str">
            <v>DHEN01I070</v>
          </cell>
          <cell r="C715" t="str">
            <v>INDIAN POTASH LIMITED - (V-033)</v>
          </cell>
          <cell r="E715">
            <v>2</v>
          </cell>
        </row>
        <row r="716">
          <cell r="B716" t="str">
            <v>DLHI01C042</v>
          </cell>
          <cell r="C716" t="str">
            <v>CHEMICAL SYSTEMS</v>
          </cell>
          <cell r="E716">
            <v>2</v>
          </cell>
        </row>
        <row r="717">
          <cell r="B717" t="str">
            <v>DLHI01D045</v>
          </cell>
          <cell r="C717" t="str">
            <v>SHRI DATTA SAKHAR KARKHANA (NOT IN USE)</v>
          </cell>
          <cell r="E717">
            <v>2</v>
          </cell>
        </row>
        <row r="718">
          <cell r="B718" t="str">
            <v>DLHI01I066</v>
          </cell>
          <cell r="C718" t="str">
            <v>INVENTIVE SUGAR AND ALLIED ENGINEERS</v>
          </cell>
          <cell r="E718">
            <v>2</v>
          </cell>
        </row>
        <row r="719">
          <cell r="B719" t="str">
            <v>EROD01S008</v>
          </cell>
          <cell r="C719" t="str">
            <v>SAKTHI SUGARS LIMITED</v>
          </cell>
          <cell r="E719">
            <v>2</v>
          </cell>
        </row>
        <row r="720">
          <cell r="B720" t="str">
            <v>GHZB01S386</v>
          </cell>
          <cell r="C720" t="str">
            <v>SUGARNPOWER PROJECTS PRIVATE LIMITED</v>
          </cell>
          <cell r="E720">
            <v>2</v>
          </cell>
        </row>
        <row r="721">
          <cell r="B721" t="str">
            <v>GHZB01T058</v>
          </cell>
          <cell r="C721" t="str">
            <v>SIMBHAOLI SUGAR MILLS LTD</v>
          </cell>
          <cell r="E721">
            <v>2</v>
          </cell>
        </row>
        <row r="722">
          <cell r="B722" t="str">
            <v>GOPA01S145</v>
          </cell>
          <cell r="C722" t="str">
            <v>SASA MUSA SUGAR WORKS LTD.</v>
          </cell>
          <cell r="E722">
            <v>2</v>
          </cell>
        </row>
        <row r="723">
          <cell r="B723" t="str">
            <v>GURD01T144</v>
          </cell>
          <cell r="C723" t="str">
            <v>THE GURDASPUR DISTRICT CO.OP. MILK PRODUCER UNION LTD</v>
          </cell>
          <cell r="E723">
            <v>2</v>
          </cell>
        </row>
        <row r="724">
          <cell r="B724" t="str">
            <v>GUWA01P118</v>
          </cell>
          <cell r="C724" t="str">
            <v>PURBANCHAL PAPER MILL LLP</v>
          </cell>
          <cell r="E724">
            <v>2</v>
          </cell>
        </row>
        <row r="725">
          <cell r="B725" t="str">
            <v>GWAL01N162</v>
          </cell>
          <cell r="C725" t="str">
            <v>NEWRYAN GLOBAL PRIVATE LIMITED</v>
          </cell>
          <cell r="E725">
            <v>2</v>
          </cell>
        </row>
        <row r="726">
          <cell r="B726" t="str">
            <v>HARD01U017</v>
          </cell>
          <cell r="C726" t="str">
            <v>UTTARA TECH AND CHEMICALS</v>
          </cell>
          <cell r="D726">
            <v>2</v>
          </cell>
          <cell r="E726">
            <v>2</v>
          </cell>
        </row>
        <row r="727">
          <cell r="B727" t="str">
            <v>HARI01L004</v>
          </cell>
          <cell r="C727" t="str">
            <v>LAKSHMI SUGAR MILLS CO. LTD</v>
          </cell>
          <cell r="E727">
            <v>2</v>
          </cell>
        </row>
        <row r="728">
          <cell r="B728" t="str">
            <v>HRDO01B003</v>
          </cell>
          <cell r="C728" t="str">
            <v>BHGAULI SUGAR</v>
          </cell>
          <cell r="E728">
            <v>2</v>
          </cell>
        </row>
        <row r="729">
          <cell r="B729" t="str">
            <v>HRDO01D027</v>
          </cell>
          <cell r="C729" t="str">
            <v>DCM SHRIRAM LIMITED</v>
          </cell>
          <cell r="E729">
            <v>2</v>
          </cell>
        </row>
        <row r="730">
          <cell r="B730" t="str">
            <v>HYDE01P064</v>
          </cell>
          <cell r="C730" t="str">
            <v>PENNAR INDUSTRIES LIMITED</v>
          </cell>
          <cell r="E730">
            <v>2</v>
          </cell>
        </row>
        <row r="731">
          <cell r="B731" t="str">
            <v>HYDE01S446</v>
          </cell>
          <cell r="C731" t="str">
            <v>SHRI CHIMMANLAL PAPER MILL</v>
          </cell>
          <cell r="E731">
            <v>2</v>
          </cell>
        </row>
        <row r="732">
          <cell r="B732" t="str">
            <v>INDR01A063</v>
          </cell>
          <cell r="C732" t="str">
            <v>ANAND PRODUCTS</v>
          </cell>
          <cell r="E732">
            <v>2</v>
          </cell>
        </row>
        <row r="733">
          <cell r="B733" t="str">
            <v>INDR01A245</v>
          </cell>
          <cell r="C733" t="str">
            <v>ASSOCIATED ALCOHOLS &amp; BREWERIES LTD</v>
          </cell>
          <cell r="E733">
            <v>2</v>
          </cell>
        </row>
        <row r="734">
          <cell r="B734" t="str">
            <v>JABA01R024</v>
          </cell>
          <cell r="C734" t="str">
            <v>REVAKRIPA SUGARS PRIVATE LIMITED</v>
          </cell>
          <cell r="E734">
            <v>2</v>
          </cell>
        </row>
        <row r="735">
          <cell r="B735" t="str">
            <v>JAGA01U036</v>
          </cell>
          <cell r="C735" t="str">
            <v>UNITED LOGISTICS</v>
          </cell>
          <cell r="E735">
            <v>2</v>
          </cell>
        </row>
        <row r="736">
          <cell r="B736" t="str">
            <v>JAKA01P105</v>
          </cell>
          <cell r="C736" t="str">
            <v>PT. PUTRA ANDALAN PERKASA</v>
          </cell>
          <cell r="E736">
            <v>2</v>
          </cell>
        </row>
        <row r="737">
          <cell r="B737" t="str">
            <v>JALN01B158</v>
          </cell>
          <cell r="C737" t="str">
            <v>BLUE SAPPHIRE FOOD PROCESSING PVT LTD</v>
          </cell>
          <cell r="E737">
            <v>2</v>
          </cell>
        </row>
        <row r="738">
          <cell r="B738" t="str">
            <v>JALN01S186</v>
          </cell>
          <cell r="C738" t="str">
            <v>SAMARTH S.S.K. LTD UNIT-2 (SUAGR)</v>
          </cell>
          <cell r="E738">
            <v>2</v>
          </cell>
        </row>
        <row r="739">
          <cell r="B739" t="str">
            <v>JASP01D107</v>
          </cell>
          <cell r="C739" t="str">
            <v>DEV KHAND CANE AGRO</v>
          </cell>
          <cell r="E739">
            <v>2</v>
          </cell>
        </row>
        <row r="740">
          <cell r="B740" t="str">
            <v>KABI01I046</v>
          </cell>
          <cell r="C740" t="str">
            <v>INDUSTRIAL PRODUCTS AND SERVICES</v>
          </cell>
          <cell r="D740">
            <v>1</v>
          </cell>
          <cell r="E740">
            <v>2</v>
          </cell>
        </row>
        <row r="741">
          <cell r="B741" t="str">
            <v>KABI01N099</v>
          </cell>
          <cell r="C741" t="str">
            <v>NKJ BIOFUEL PRIVATE LIMITED</v>
          </cell>
          <cell r="E741">
            <v>2</v>
          </cell>
        </row>
        <row r="742">
          <cell r="B742" t="str">
            <v>KAIT01T136</v>
          </cell>
          <cell r="C742" t="str">
            <v>THE KAITHAL COOPERATIVE SUGAR MILLS LTD</v>
          </cell>
          <cell r="E742">
            <v>2</v>
          </cell>
        </row>
        <row r="743">
          <cell r="B743" t="str">
            <v>KALA01I100</v>
          </cell>
          <cell r="C743" t="str">
            <v>INDIAN POTASH LTD.-DISTILLERY</v>
          </cell>
          <cell r="E743">
            <v>2</v>
          </cell>
        </row>
        <row r="744">
          <cell r="B744" t="str">
            <v>KANP01A144</v>
          </cell>
          <cell r="C744" t="str">
            <v>ALL TIME FOODS PVT LTD.</v>
          </cell>
          <cell r="E744">
            <v>2</v>
          </cell>
        </row>
        <row r="745">
          <cell r="B745" t="str">
            <v>KANP01G027</v>
          </cell>
          <cell r="C745" t="str">
            <v>GIRDHAR COLD STORAGE PVT. LTD.</v>
          </cell>
          <cell r="E745">
            <v>2</v>
          </cell>
        </row>
        <row r="746">
          <cell r="B746" t="str">
            <v>KANP01I035</v>
          </cell>
          <cell r="C746" t="str">
            <v>INNOVATIVE CREATIONS</v>
          </cell>
          <cell r="E746">
            <v>2</v>
          </cell>
        </row>
        <row r="747">
          <cell r="B747" t="str">
            <v>KANP01R056</v>
          </cell>
          <cell r="C747" t="str">
            <v>R D &amp; ASSOCIATES</v>
          </cell>
          <cell r="E747">
            <v>2</v>
          </cell>
        </row>
        <row r="748">
          <cell r="B748" t="str">
            <v>KHAR01J009</v>
          </cell>
          <cell r="C748" t="str">
            <v>JAWAHARLAL NEHRU SAHAKARI AGRICULTURAL PRODUCE PROCESS</v>
          </cell>
          <cell r="D748">
            <v>2</v>
          </cell>
          <cell r="E748">
            <v>2</v>
          </cell>
        </row>
        <row r="749">
          <cell r="B749" t="str">
            <v>KHUD01S234</v>
          </cell>
          <cell r="C749" t="str">
            <v>SHREE JAGANNATH SUPPLY CO.</v>
          </cell>
          <cell r="E749">
            <v>2</v>
          </cell>
        </row>
        <row r="750">
          <cell r="B750" t="str">
            <v>KISM01M214</v>
          </cell>
          <cell r="C750" t="str">
            <v>MOMBASA SUGAR REFINERY LIMITED</v>
          </cell>
          <cell r="E750">
            <v>2</v>
          </cell>
        </row>
        <row r="751">
          <cell r="B751" t="str">
            <v>KISM01S300</v>
          </cell>
          <cell r="C751" t="str">
            <v>SUCROTECH (K) LIMITED</v>
          </cell>
          <cell r="D751">
            <v>3</v>
          </cell>
          <cell r="E751">
            <v>2</v>
          </cell>
        </row>
        <row r="752">
          <cell r="B752" t="str">
            <v>KOLH01A092</v>
          </cell>
          <cell r="C752" t="str">
            <v>AJARA SHETKARI SAHAKARI KARKHANA</v>
          </cell>
          <cell r="E752">
            <v>2</v>
          </cell>
        </row>
        <row r="753">
          <cell r="B753" t="str">
            <v>KOLH01H003</v>
          </cell>
          <cell r="C753" t="str">
            <v>HEMARUS INDUSTRIES LIMITED</v>
          </cell>
          <cell r="E753">
            <v>2</v>
          </cell>
        </row>
        <row r="754">
          <cell r="B754" t="str">
            <v>KOLH01R022</v>
          </cell>
          <cell r="C754" t="str">
            <v>RAJSHREE SALES</v>
          </cell>
          <cell r="E754">
            <v>2</v>
          </cell>
        </row>
        <row r="755">
          <cell r="B755" t="str">
            <v>KOLH01S057</v>
          </cell>
          <cell r="C755" t="str">
            <v>SHREE BHOGAWATI SAHAKARI SAKHAR KARKHANA LTD</v>
          </cell>
          <cell r="E755">
            <v>2</v>
          </cell>
        </row>
        <row r="756">
          <cell r="B756" t="str">
            <v>KOLH01S141</v>
          </cell>
          <cell r="C756" t="str">
            <v>SAR SENAPATI SANTAJI GHORPADE SUGAR FY. LTD.</v>
          </cell>
          <cell r="E756">
            <v>2</v>
          </cell>
        </row>
        <row r="757">
          <cell r="B757" t="str">
            <v>KOLH01S235</v>
          </cell>
          <cell r="C757" t="str">
            <v>SIDDHI ENGINEERING</v>
          </cell>
          <cell r="E757">
            <v>2</v>
          </cell>
        </row>
        <row r="758">
          <cell r="B758" t="str">
            <v>KRSH01K010</v>
          </cell>
          <cell r="C758" t="str">
            <v>KCP SUGAR AND INDUSTRIES CORPORATION LIMITED</v>
          </cell>
          <cell r="E758">
            <v>2</v>
          </cell>
        </row>
        <row r="759">
          <cell r="B759" t="str">
            <v>KUSH01S304</v>
          </cell>
          <cell r="C759" t="str">
            <v>SHRIJEE ENTERPRISES</v>
          </cell>
          <cell r="E759">
            <v>2</v>
          </cell>
        </row>
        <row r="760">
          <cell r="B760" t="str">
            <v>LATU01T133</v>
          </cell>
          <cell r="C760" t="str">
            <v>TWENTY ONE SUGAR LIMITED</v>
          </cell>
          <cell r="E760">
            <v>2</v>
          </cell>
        </row>
        <row r="761">
          <cell r="B761" t="str">
            <v>LUCK01U037</v>
          </cell>
          <cell r="C761" t="str">
            <v>UTKARSH ELECTRICALS</v>
          </cell>
          <cell r="E761">
            <v>2</v>
          </cell>
        </row>
        <row r="762">
          <cell r="B762" t="str">
            <v>MADU01S009</v>
          </cell>
          <cell r="C762" t="str">
            <v>SAKTHI SUGARS LIMITED (362B)</v>
          </cell>
          <cell r="E762">
            <v>2</v>
          </cell>
        </row>
        <row r="763">
          <cell r="B763" t="str">
            <v>MAJH01J015</v>
          </cell>
          <cell r="C763" t="str">
            <v>JAY SHREE SUGAR MILL</v>
          </cell>
          <cell r="E763">
            <v>2</v>
          </cell>
        </row>
        <row r="764">
          <cell r="B764" t="str">
            <v>MAND01M097</v>
          </cell>
          <cell r="C764" t="str">
            <v>MRN CANE POWER AND BIOREFINERIES PVT LTD</v>
          </cell>
          <cell r="D764">
            <v>11</v>
          </cell>
          <cell r="E764">
            <v>2</v>
          </cell>
        </row>
        <row r="765">
          <cell r="B765" t="str">
            <v>MAND01N098</v>
          </cell>
          <cell r="C765" t="str">
            <v>NSL SUGARS LTD. KOPPA</v>
          </cell>
          <cell r="E765">
            <v>2</v>
          </cell>
        </row>
        <row r="766">
          <cell r="B766" t="str">
            <v>MERT01B049</v>
          </cell>
          <cell r="C766" t="str">
            <v>SIMPLEX ENGINEERS &amp; TRADERS</v>
          </cell>
          <cell r="E766">
            <v>2</v>
          </cell>
        </row>
        <row r="767">
          <cell r="B767" t="str">
            <v>MERT01D005</v>
          </cell>
          <cell r="C767" t="str">
            <v>DAURALA SUGAR WORKS</v>
          </cell>
          <cell r="E767">
            <v>2</v>
          </cell>
        </row>
        <row r="768">
          <cell r="B768" t="str">
            <v>MERT01S270</v>
          </cell>
          <cell r="C768" t="str">
            <v>SANGAL PAPERS LTD</v>
          </cell>
          <cell r="E768">
            <v>2</v>
          </cell>
        </row>
        <row r="769">
          <cell r="B769" t="str">
            <v>MERT01U024</v>
          </cell>
          <cell r="C769" t="str">
            <v>U P STATE SUGAR CORPORATION LTD</v>
          </cell>
          <cell r="D769">
            <v>5</v>
          </cell>
          <cell r="E769">
            <v>2</v>
          </cell>
        </row>
        <row r="770">
          <cell r="B770" t="str">
            <v>MOHL01P067</v>
          </cell>
          <cell r="C770" t="str">
            <v>PALEOCRYSTAL ENVIRO TECHOLOGIES (P) LTD</v>
          </cell>
          <cell r="E770">
            <v>2</v>
          </cell>
        </row>
        <row r="771">
          <cell r="B771" t="str">
            <v>MOHL01S184</v>
          </cell>
          <cell r="C771" t="str">
            <v>SHIVALIK PROJECTS</v>
          </cell>
          <cell r="E771">
            <v>2</v>
          </cell>
        </row>
        <row r="772">
          <cell r="B772" t="str">
            <v>MORA01K081</v>
          </cell>
          <cell r="C772" t="str">
            <v>KARIMGANJ BIOFUELS PVT LTD</v>
          </cell>
          <cell r="E772">
            <v>2</v>
          </cell>
        </row>
        <row r="773">
          <cell r="B773" t="str">
            <v>MUHO01A054</v>
          </cell>
          <cell r="C773" t="str">
            <v>AGRO CHEMICAL &amp; FOOD CO.LTD.</v>
          </cell>
          <cell r="E773">
            <v>2</v>
          </cell>
        </row>
        <row r="774">
          <cell r="B774" t="str">
            <v>MUMB01B029</v>
          </cell>
          <cell r="C774" t="str">
            <v>BEST EXPORTS CENTRE PVT. LTD.</v>
          </cell>
          <cell r="E774">
            <v>2</v>
          </cell>
        </row>
        <row r="775">
          <cell r="B775" t="str">
            <v>MUMB01C067</v>
          </cell>
          <cell r="C775" t="str">
            <v>CLEAN DROPS AQUA PVT LIMITED</v>
          </cell>
          <cell r="E775">
            <v>2</v>
          </cell>
        </row>
        <row r="776">
          <cell r="B776" t="str">
            <v>MUMB01E087</v>
          </cell>
          <cell r="C776" t="str">
            <v>EKOM INTERNATIONAL</v>
          </cell>
          <cell r="E776">
            <v>2</v>
          </cell>
        </row>
        <row r="777">
          <cell r="B777" t="str">
            <v>MUMB01N180</v>
          </cell>
          <cell r="C777" t="str">
            <v>NOVICE CORPORATION</v>
          </cell>
          <cell r="E777">
            <v>2</v>
          </cell>
        </row>
        <row r="778">
          <cell r="B778" t="str">
            <v>MUMB01S497</v>
          </cell>
          <cell r="C778" t="str">
            <v>SIMPLIFORGE 3-D CREATION PRIVATE LIMITED</v>
          </cell>
          <cell r="E778">
            <v>2</v>
          </cell>
        </row>
        <row r="779">
          <cell r="B779" t="str">
            <v>MUMB01W003</v>
          </cell>
          <cell r="C779" t="str">
            <v>WALCHANDNAGAR INDUSTRIES LTD. (EXPORT)</v>
          </cell>
          <cell r="E779">
            <v>2</v>
          </cell>
        </row>
        <row r="780">
          <cell r="B780" t="str">
            <v>MUZF01M212</v>
          </cell>
          <cell r="C780" t="str">
            <v>MOHRAJ GREENS PRIVATE LIMITED</v>
          </cell>
          <cell r="E780">
            <v>2</v>
          </cell>
        </row>
        <row r="781">
          <cell r="B781" t="str">
            <v>MUZF01S265</v>
          </cell>
          <cell r="C781" t="str">
            <v>SUYASH KRAFT &amp; PAPERS LTD.</v>
          </cell>
          <cell r="E781">
            <v>2</v>
          </cell>
        </row>
        <row r="782">
          <cell r="B782" t="str">
            <v>MUZF01S523</v>
          </cell>
          <cell r="C782" t="str">
            <v>SHRI VEER BALAJI PAPER MILLS</v>
          </cell>
          <cell r="E782">
            <v>2</v>
          </cell>
        </row>
        <row r="783">
          <cell r="B783" t="str">
            <v>MUZF01T134</v>
          </cell>
          <cell r="C783" t="str">
            <v>TIRUPATI BALAJI FIBRES LIMITED</v>
          </cell>
          <cell r="E783">
            <v>2</v>
          </cell>
        </row>
        <row r="784">
          <cell r="B784" t="str">
            <v>MYSR01C095</v>
          </cell>
          <cell r="C784" t="str">
            <v>CAUVERY BIO REFINERIES</v>
          </cell>
          <cell r="E784">
            <v>2</v>
          </cell>
        </row>
        <row r="785">
          <cell r="B785" t="str">
            <v>MYSR01M146</v>
          </cell>
          <cell r="C785" t="str">
            <v>MRN SREERAMA SUGAR &amp; POWER PVT. LTD. (UNIT-II)</v>
          </cell>
          <cell r="E785">
            <v>2</v>
          </cell>
        </row>
        <row r="786">
          <cell r="B786" t="str">
            <v>NANA01N056</v>
          </cell>
          <cell r="C786" t="str">
            <v>NZOIA SUGAR CO (2025) LTD</v>
          </cell>
          <cell r="E786">
            <v>2</v>
          </cell>
        </row>
        <row r="787">
          <cell r="B787" t="str">
            <v>NAND01K070</v>
          </cell>
          <cell r="C787" t="str">
            <v>KALANTRI ENGINEERING WORKS</v>
          </cell>
          <cell r="E787">
            <v>2</v>
          </cell>
        </row>
        <row r="788">
          <cell r="B788" t="str">
            <v>NASK01S494</v>
          </cell>
          <cell r="C788" t="str">
            <v>SECURITY PRINTING AND MINTING CORP. OF INDIA LIMITED</v>
          </cell>
          <cell r="E788">
            <v>2</v>
          </cell>
        </row>
        <row r="789">
          <cell r="B789" t="str">
            <v>NEPL01R131</v>
          </cell>
          <cell r="C789" t="str">
            <v>RAJAPUR SUGAR AND CHEMICAL INDUSTRIES PVT LTD</v>
          </cell>
          <cell r="E789">
            <v>2</v>
          </cell>
        </row>
        <row r="790">
          <cell r="B790" t="str">
            <v>NIZA01G004</v>
          </cell>
          <cell r="C790" t="str">
            <v>GAYATRI SUGARS LTD. (8S-5)</v>
          </cell>
          <cell r="D790">
            <v>6</v>
          </cell>
          <cell r="E790">
            <v>2</v>
          </cell>
        </row>
        <row r="791">
          <cell r="B791" t="str">
            <v>NODA01T131</v>
          </cell>
          <cell r="C791" t="str">
            <v>TECHSERVE CO. LTD</v>
          </cell>
          <cell r="D791">
            <v>22</v>
          </cell>
          <cell r="E791">
            <v>2</v>
          </cell>
        </row>
        <row r="792">
          <cell r="B792" t="str">
            <v>OSMA01R048</v>
          </cell>
          <cell r="C792" t="str">
            <v>RUPAMATA AGROTECH PVT LTD</v>
          </cell>
          <cell r="E792">
            <v>2</v>
          </cell>
        </row>
        <row r="793">
          <cell r="B793" t="str">
            <v>PALA01S412</v>
          </cell>
          <cell r="C793" t="str">
            <v>SHRI UMA CATTLE FEEDS (P) LTD</v>
          </cell>
          <cell r="E793">
            <v>2</v>
          </cell>
        </row>
        <row r="794">
          <cell r="B794" t="str">
            <v>PANC01I043</v>
          </cell>
          <cell r="C794" t="str">
            <v>ISHAN PARYAVARAN</v>
          </cell>
          <cell r="E794">
            <v>2</v>
          </cell>
        </row>
        <row r="795">
          <cell r="B795" t="str">
            <v>PANI01L026</v>
          </cell>
          <cell r="C795" t="str">
            <v>LIBERTY INDIA LTD</v>
          </cell>
          <cell r="E795">
            <v>2</v>
          </cell>
        </row>
        <row r="796">
          <cell r="B796" t="str">
            <v>PANI01R029</v>
          </cell>
          <cell r="C796" t="str">
            <v>RAJ OVERSEAS (UNIT - 1)</v>
          </cell>
          <cell r="E796">
            <v>2</v>
          </cell>
        </row>
        <row r="797">
          <cell r="B797" t="str">
            <v>PANI01S280</v>
          </cell>
          <cell r="C797" t="str">
            <v>SWASTIK ENTERPRISES</v>
          </cell>
          <cell r="E797">
            <v>2</v>
          </cell>
        </row>
        <row r="798">
          <cell r="B798" t="str">
            <v>PANI01S282</v>
          </cell>
          <cell r="C798" t="str">
            <v>SAMRAT ENGINEERING &amp; FABRICATION WORK</v>
          </cell>
          <cell r="E798">
            <v>2</v>
          </cell>
        </row>
        <row r="799">
          <cell r="B799" t="str">
            <v>PARB01G125</v>
          </cell>
          <cell r="C799" t="str">
            <v>G7 SUGAR LIMITED</v>
          </cell>
          <cell r="E799">
            <v>2</v>
          </cell>
        </row>
        <row r="800">
          <cell r="B800" t="str">
            <v>PARB01M022</v>
          </cell>
          <cell r="C800" t="str">
            <v>MAHARASTRA SHETKARI SUGAR LTD.</v>
          </cell>
          <cell r="E800">
            <v>2</v>
          </cell>
        </row>
        <row r="801">
          <cell r="B801" t="str">
            <v>PHAG01W001</v>
          </cell>
          <cell r="C801" t="str">
            <v>WAHID SANDHAR SUGARS LTD.</v>
          </cell>
          <cell r="E801">
            <v>2</v>
          </cell>
        </row>
        <row r="802">
          <cell r="B802" t="str">
            <v>PUNE01A182</v>
          </cell>
          <cell r="C802" t="str">
            <v>ATTAQUANT ENTERPRISES PVT.LTD.</v>
          </cell>
          <cell r="E802">
            <v>2</v>
          </cell>
        </row>
        <row r="803">
          <cell r="B803" t="str">
            <v>PUNE01A204</v>
          </cell>
          <cell r="C803" t="str">
            <v>ALCO - TECH ENGINEERING</v>
          </cell>
          <cell r="E803">
            <v>2</v>
          </cell>
        </row>
        <row r="804">
          <cell r="B804" t="str">
            <v>PUNE01C054</v>
          </cell>
          <cell r="C804" t="str">
            <v>CONSTRUCTIVE ENGINEERING</v>
          </cell>
          <cell r="E804">
            <v>2</v>
          </cell>
        </row>
        <row r="805">
          <cell r="B805" t="str">
            <v>PUNE01F027</v>
          </cell>
          <cell r="C805" t="str">
            <v>FLOWTECH ENGINEERS</v>
          </cell>
          <cell r="E805">
            <v>2</v>
          </cell>
        </row>
        <row r="806">
          <cell r="B806" t="str">
            <v>PUNE01F045</v>
          </cell>
          <cell r="C806" t="str">
            <v>FLUID FLOW ENGINEERS</v>
          </cell>
          <cell r="E806">
            <v>2</v>
          </cell>
        </row>
        <row r="807">
          <cell r="B807" t="str">
            <v>PUNE01G111</v>
          </cell>
          <cell r="C807" t="str">
            <v>GALAXY ENGINEERING</v>
          </cell>
          <cell r="E807">
            <v>2</v>
          </cell>
        </row>
        <row r="808">
          <cell r="B808" t="str">
            <v>PUNE01H067</v>
          </cell>
          <cell r="C808" t="str">
            <v>HALLMARK BOILERS PVT LTD</v>
          </cell>
          <cell r="E808">
            <v>2</v>
          </cell>
        </row>
        <row r="809">
          <cell r="B809" t="str">
            <v>PUNE01K072</v>
          </cell>
          <cell r="C809" t="str">
            <v>KELVION INDIA PRIVATE LIMITED</v>
          </cell>
          <cell r="E809">
            <v>2</v>
          </cell>
        </row>
        <row r="810">
          <cell r="B810" t="str">
            <v>PUNE01K125</v>
          </cell>
          <cell r="C810" t="str">
            <v>KUNJIR BIOENERGY INDIA LLP</v>
          </cell>
          <cell r="E810">
            <v>2</v>
          </cell>
        </row>
        <row r="811">
          <cell r="B811" t="str">
            <v>PUNE01P175</v>
          </cell>
          <cell r="C811" t="str">
            <v>PRAJ INDUSTRIES LIMITED</v>
          </cell>
          <cell r="E811">
            <v>2</v>
          </cell>
        </row>
        <row r="812">
          <cell r="B812" t="str">
            <v>PUNE01R047</v>
          </cell>
          <cell r="C812" t="str">
            <v>RPM EXIM PVT LTD.</v>
          </cell>
          <cell r="D812">
            <v>1</v>
          </cell>
          <cell r="E812">
            <v>2</v>
          </cell>
        </row>
        <row r="813">
          <cell r="B813" t="str">
            <v>PUNE01R059</v>
          </cell>
          <cell r="C813" t="str">
            <v>RONSA ENGINEERING SOLUTIONS PVT LTD</v>
          </cell>
          <cell r="E813">
            <v>2</v>
          </cell>
        </row>
        <row r="814">
          <cell r="B814" t="str">
            <v>PUNE01S073</v>
          </cell>
          <cell r="C814" t="str">
            <v>SHRI VIGHNAHAR SAHAKARI SAKHAR KARKHANA LTD.</v>
          </cell>
          <cell r="E814">
            <v>2</v>
          </cell>
        </row>
        <row r="815">
          <cell r="B815" t="str">
            <v>PUNE01S366</v>
          </cell>
          <cell r="C815" t="str">
            <v>SUGAR MAX ENGINEERING TECHNOLOGIES</v>
          </cell>
          <cell r="D815">
            <v>3</v>
          </cell>
          <cell r="E815">
            <v>2</v>
          </cell>
        </row>
        <row r="816">
          <cell r="B816" t="str">
            <v>PUNE01S417</v>
          </cell>
          <cell r="C816" t="str">
            <v>SUCROMAX ENGINEERING INDIA PVT LTD</v>
          </cell>
          <cell r="E816">
            <v>2</v>
          </cell>
        </row>
        <row r="817">
          <cell r="B817" t="str">
            <v>PUNE01S539</v>
          </cell>
          <cell r="C817" t="str">
            <v>SURYAMANGAL ENTERPRISES</v>
          </cell>
          <cell r="E817">
            <v>2</v>
          </cell>
        </row>
        <row r="818">
          <cell r="B818" t="str">
            <v>PUNE01T171</v>
          </cell>
          <cell r="C818" t="str">
            <v>TERRAVISTA SOLUTIONS PVT LTD</v>
          </cell>
          <cell r="E818">
            <v>2</v>
          </cell>
        </row>
        <row r="819">
          <cell r="B819" t="str">
            <v>RAIP01R088</v>
          </cell>
          <cell r="C819" t="str">
            <v>R.R.ISPAT (A UNIT OF GPIL) GALVA DIVISION</v>
          </cell>
          <cell r="E819">
            <v>2</v>
          </cell>
        </row>
        <row r="820">
          <cell r="B820" t="str">
            <v>SAHA01R091</v>
          </cell>
          <cell r="C820" t="str">
            <v>R.C.PAPER MACHINES</v>
          </cell>
          <cell r="E820">
            <v>2</v>
          </cell>
        </row>
        <row r="821">
          <cell r="B821" t="str">
            <v>SAHJ01S171</v>
          </cell>
          <cell r="C821" t="str">
            <v>SHAHJAHANPUR EDIBLES PVT LTD</v>
          </cell>
          <cell r="E821">
            <v>2</v>
          </cell>
        </row>
        <row r="822">
          <cell r="B822" t="str">
            <v>SANG01U069</v>
          </cell>
          <cell r="C822" t="str">
            <v>UDAY RESHELLERS &amp; CAST ALLOYS LLP</v>
          </cell>
          <cell r="E822">
            <v>2</v>
          </cell>
        </row>
        <row r="823">
          <cell r="B823" t="str">
            <v>SHAM01M113</v>
          </cell>
          <cell r="C823" t="str">
            <v>MARUTI PAPERS LTD</v>
          </cell>
          <cell r="E823">
            <v>2</v>
          </cell>
        </row>
        <row r="824">
          <cell r="B824" t="str">
            <v>SITP01T125</v>
          </cell>
          <cell r="C824" t="str">
            <v>THE KISAN SAHKARI CHINI MILLS LTD. (V-068)</v>
          </cell>
          <cell r="E824">
            <v>2</v>
          </cell>
        </row>
        <row r="825">
          <cell r="B825" t="str">
            <v>SOLP01B118</v>
          </cell>
          <cell r="C825" t="str">
            <v>BRIMA SAGAR MAHARASHTRA DISTILLERY</v>
          </cell>
          <cell r="E825">
            <v>2</v>
          </cell>
        </row>
        <row r="826">
          <cell r="B826" t="str">
            <v>SOLP01L053</v>
          </cell>
          <cell r="C826" t="str">
            <v>GEETANJALI SUGARS PRIVATE LIMITED</v>
          </cell>
          <cell r="E826">
            <v>2</v>
          </cell>
        </row>
        <row r="827">
          <cell r="B827" t="str">
            <v>SOLP01S121</v>
          </cell>
          <cell r="C827" t="str">
            <v>SITARAM MAHARAJ SAKHAR KARKHANA (KHARDI) LTD.</v>
          </cell>
          <cell r="E827">
            <v>2</v>
          </cell>
        </row>
        <row r="828">
          <cell r="B828" t="str">
            <v>SOLP01S296</v>
          </cell>
          <cell r="C828" t="str">
            <v>SAHAKAR SHIROMANI VASANTRAO KALE SSK LTD</v>
          </cell>
          <cell r="E828">
            <v>2</v>
          </cell>
        </row>
        <row r="829">
          <cell r="B829" t="str">
            <v>SOLP01V029</v>
          </cell>
          <cell r="C829" t="str">
            <v>VITTHAL REFINED SUGARS LTD</v>
          </cell>
          <cell r="D829">
            <v>1</v>
          </cell>
          <cell r="E829">
            <v>2</v>
          </cell>
        </row>
        <row r="830">
          <cell r="B830" t="str">
            <v>SONI01S255</v>
          </cell>
          <cell r="C830" t="str">
            <v>SURYA MUSHROOMS PVT LTD</v>
          </cell>
          <cell r="E830">
            <v>2</v>
          </cell>
        </row>
        <row r="831">
          <cell r="B831" t="str">
            <v>SONI01T102</v>
          </cell>
          <cell r="C831" t="str">
            <v>THE SONIPAT CO-OP. SUGAR MILLS LTD</v>
          </cell>
          <cell r="D831">
            <v>3</v>
          </cell>
          <cell r="E831">
            <v>2</v>
          </cell>
        </row>
        <row r="832">
          <cell r="B832" t="str">
            <v>SRIL01E032</v>
          </cell>
          <cell r="C832" t="str">
            <v>ETHIMALE PLANTATION (PVT) LTD</v>
          </cell>
          <cell r="D832">
            <v>1</v>
          </cell>
          <cell r="E832">
            <v>2</v>
          </cell>
        </row>
        <row r="833">
          <cell r="B833" t="str">
            <v>SURA01B150</v>
          </cell>
          <cell r="C833" t="str">
            <v>BALAR BIOTECHNOLOGIES PVT LTD</v>
          </cell>
          <cell r="E833">
            <v>2</v>
          </cell>
        </row>
        <row r="834">
          <cell r="B834" t="str">
            <v>SURA01M218</v>
          </cell>
          <cell r="C834" t="str">
            <v>MADHUR CORPORATION</v>
          </cell>
          <cell r="E834">
            <v>2</v>
          </cell>
        </row>
        <row r="835">
          <cell r="B835" t="str">
            <v>SURA01S030</v>
          </cell>
          <cell r="C835" t="str">
            <v>SHREE CHALTHAN VIBHAG KHAND UDYOG SAHAKARI MANDLI LTD.</v>
          </cell>
          <cell r="E835">
            <v>2</v>
          </cell>
        </row>
        <row r="836">
          <cell r="B836" t="str">
            <v>SURA01S033</v>
          </cell>
          <cell r="C836" t="str">
            <v>SHREE KAMREJ VIBHAG SAHAKARI KHAND UDYOG MANDLI LTD.</v>
          </cell>
          <cell r="E836">
            <v>2</v>
          </cell>
        </row>
        <row r="837">
          <cell r="B837" t="str">
            <v>SURA01S143</v>
          </cell>
          <cell r="C837" t="str">
            <v>SHREE MAHUVA PRADESH SAHAKARI KHAND UDYOG MANDLI LTD.</v>
          </cell>
          <cell r="E837">
            <v>2</v>
          </cell>
        </row>
        <row r="838">
          <cell r="B838" t="str">
            <v>SURA01S291</v>
          </cell>
          <cell r="C838" t="str">
            <v>SHREE UKAI PRADESH SAHAKARI KHAND UDYOG MANDLI LIMITED</v>
          </cell>
          <cell r="E838">
            <v>2</v>
          </cell>
        </row>
        <row r="839">
          <cell r="B839" t="str">
            <v>SURD01P028</v>
          </cell>
          <cell r="C839" t="str">
            <v>PT. INTERMULTICON KRISTAL SENTRA</v>
          </cell>
          <cell r="E839">
            <v>2</v>
          </cell>
        </row>
        <row r="840">
          <cell r="B840" t="str">
            <v>TAPI01K126</v>
          </cell>
          <cell r="C840" t="str">
            <v>KEDARESHWAR KHANDSARI UDYOG PVT LTD.</v>
          </cell>
          <cell r="E840">
            <v>2</v>
          </cell>
        </row>
        <row r="841">
          <cell r="B841" t="str">
            <v>THAN01A026</v>
          </cell>
          <cell r="C841" t="str">
            <v>AKRY ORGANICS PVT. LTD.</v>
          </cell>
          <cell r="E841">
            <v>2</v>
          </cell>
        </row>
        <row r="842">
          <cell r="B842" t="str">
            <v>UDUP01S561</v>
          </cell>
          <cell r="C842" t="str">
            <v>SPV ONEENERGY PRODUCTS PVT LTD</v>
          </cell>
          <cell r="E842">
            <v>2</v>
          </cell>
        </row>
        <row r="843">
          <cell r="B843" t="str">
            <v>UGAN01M071</v>
          </cell>
          <cell r="C843" t="str">
            <v>MUZURI INTERNATIONAL U LTD</v>
          </cell>
          <cell r="E843">
            <v>2</v>
          </cell>
        </row>
        <row r="844">
          <cell r="B844" t="str">
            <v>UJJA01G070</v>
          </cell>
          <cell r="C844" t="str">
            <v>GRASIM INDUSTRIES LIMITED</v>
          </cell>
          <cell r="E844">
            <v>2</v>
          </cell>
        </row>
        <row r="845">
          <cell r="B845" t="str">
            <v>UNNA01J021</v>
          </cell>
          <cell r="C845" t="str">
            <v>J.S. INTERNATIONAL (D.T.A. UNIT)</v>
          </cell>
          <cell r="E845">
            <v>2</v>
          </cell>
        </row>
        <row r="846">
          <cell r="B846" t="str">
            <v>UNNA01R116</v>
          </cell>
          <cell r="C846" t="str">
            <v>RIMJHIM ISPAT LIMITED</v>
          </cell>
          <cell r="E846">
            <v>2</v>
          </cell>
        </row>
        <row r="847">
          <cell r="B847" t="str">
            <v>VADO01E020</v>
          </cell>
          <cell r="C847" t="str">
            <v>EXCELL TRADING</v>
          </cell>
          <cell r="E847">
            <v>2</v>
          </cell>
        </row>
        <row r="848">
          <cell r="B848" t="str">
            <v>VELL01T063</v>
          </cell>
          <cell r="C848" t="str">
            <v>THE VELLORE CO-OPERATIVE SUGAR MILLS LTD</v>
          </cell>
          <cell r="E848">
            <v>2</v>
          </cell>
        </row>
        <row r="849">
          <cell r="B849" t="str">
            <v>VIET01N038</v>
          </cell>
          <cell r="C849" t="str">
            <v>NIVL JOINT STOCK COMPANY</v>
          </cell>
          <cell r="D849">
            <v>1</v>
          </cell>
          <cell r="E849">
            <v>2</v>
          </cell>
        </row>
        <row r="850">
          <cell r="B850" t="str">
            <v>VIRU01S099</v>
          </cell>
          <cell r="C850" t="str">
            <v>SHREE AMBIKA SUGARS LTD</v>
          </cell>
          <cell r="E850">
            <v>2</v>
          </cell>
        </row>
        <row r="851">
          <cell r="B851" t="str">
            <v>VIZI01S093</v>
          </cell>
          <cell r="C851" t="str">
            <v>SRI VIJAYARAMA GAJAPATHI CO-OP. SUGARS LTD.</v>
          </cell>
          <cell r="D851">
            <v>1</v>
          </cell>
          <cell r="E851">
            <v>2</v>
          </cell>
        </row>
        <row r="852">
          <cell r="B852" t="str">
            <v>VVIE01M043</v>
          </cell>
          <cell r="C852" t="str">
            <v>MF TRADING &amp; ENGINEERING CO LTD.</v>
          </cell>
          <cell r="E852">
            <v>2</v>
          </cell>
        </row>
        <row r="853">
          <cell r="B853" t="str">
            <v>YADG01C015</v>
          </cell>
          <cell r="C853" t="str">
            <v>CORE GREEN SUGAR AND FUELS PVT. LTD.</v>
          </cell>
          <cell r="E853">
            <v>2</v>
          </cell>
        </row>
        <row r="854">
          <cell r="B854" t="str">
            <v>YAMN01I042</v>
          </cell>
          <cell r="C854" t="str">
            <v>IMPECCABLE WATER TECH LLP</v>
          </cell>
          <cell r="E854">
            <v>2</v>
          </cell>
        </row>
        <row r="855">
          <cell r="B855" t="str">
            <v>AHMD01V021</v>
          </cell>
          <cell r="C855" t="str">
            <v>VARUN INDUSTRIES</v>
          </cell>
          <cell r="E855">
            <v>1</v>
          </cell>
        </row>
        <row r="856">
          <cell r="B856" t="str">
            <v>AHME01A070</v>
          </cell>
          <cell r="C856" t="str">
            <v>AM ENTERPRISE</v>
          </cell>
          <cell r="E856">
            <v>1</v>
          </cell>
        </row>
        <row r="857">
          <cell r="B857" t="str">
            <v>AHME01E014</v>
          </cell>
          <cell r="C857" t="str">
            <v>EROS MINEROCK PRODUCTS LLP</v>
          </cell>
          <cell r="E857">
            <v>1</v>
          </cell>
        </row>
        <row r="858">
          <cell r="B858" t="str">
            <v>AHME01F011</v>
          </cell>
          <cell r="C858" t="str">
            <v>FLARETECH</v>
          </cell>
          <cell r="E858">
            <v>1</v>
          </cell>
        </row>
        <row r="859">
          <cell r="B859" t="str">
            <v>AHME01G132</v>
          </cell>
          <cell r="C859" t="str">
            <v>GRAINSPAN NUTRIENTS PVT LTD.</v>
          </cell>
          <cell r="E859">
            <v>1</v>
          </cell>
        </row>
        <row r="860">
          <cell r="B860" t="str">
            <v>AHME01I019</v>
          </cell>
          <cell r="C860" t="str">
            <v>IONEX ENGINEERS</v>
          </cell>
          <cell r="E860">
            <v>1</v>
          </cell>
        </row>
        <row r="861">
          <cell r="B861" t="str">
            <v>AHME01I038</v>
          </cell>
          <cell r="C861" t="str">
            <v>IMAX ASSOCIATES</v>
          </cell>
          <cell r="E861">
            <v>1</v>
          </cell>
        </row>
        <row r="862">
          <cell r="B862" t="str">
            <v>AHME01K030</v>
          </cell>
          <cell r="C862" t="str">
            <v>K.G. CORPORATION</v>
          </cell>
          <cell r="E862">
            <v>1</v>
          </cell>
        </row>
        <row r="863">
          <cell r="B863" t="str">
            <v>AHME01N045</v>
          </cell>
          <cell r="C863" t="str">
            <v>NOBLES PAINTS INDUSTRIES</v>
          </cell>
          <cell r="E863">
            <v>1</v>
          </cell>
        </row>
        <row r="864">
          <cell r="B864" t="str">
            <v>ANKL01D112</v>
          </cell>
          <cell r="C864" t="str">
            <v>DECCAN FINE CHEMICALS (INDIA )PVT LTD</v>
          </cell>
          <cell r="E864">
            <v>1</v>
          </cell>
        </row>
        <row r="865">
          <cell r="B865" t="str">
            <v>ANKL01S134</v>
          </cell>
          <cell r="C865" t="str">
            <v>SHERLOCK INDUSTRIES</v>
          </cell>
          <cell r="E865">
            <v>1</v>
          </cell>
        </row>
        <row r="866">
          <cell r="B866" t="str">
            <v>ANKL01U031</v>
          </cell>
          <cell r="C866" t="str">
            <v>UNITY GYPTECH PRODUCTS</v>
          </cell>
          <cell r="E866">
            <v>1</v>
          </cell>
        </row>
        <row r="867">
          <cell r="B867" t="str">
            <v>ANKL01W040</v>
          </cell>
          <cell r="C867" t="str">
            <v>WALPLAST PRODUCTS PVT. LTD</v>
          </cell>
          <cell r="E867">
            <v>1</v>
          </cell>
        </row>
        <row r="868">
          <cell r="B868" t="str">
            <v>ARGB01G052</v>
          </cell>
          <cell r="C868" t="str">
            <v>GRAINOTCH INDUSTRIES LTD</v>
          </cell>
          <cell r="E868">
            <v>1</v>
          </cell>
        </row>
        <row r="869">
          <cell r="B869" t="str">
            <v>AYOD01V059</v>
          </cell>
          <cell r="C869" t="str">
            <v>VISHVAM PROJECTS &amp; SERVICES</v>
          </cell>
          <cell r="E869">
            <v>1</v>
          </cell>
        </row>
        <row r="870">
          <cell r="B870" t="str">
            <v>AYOD01Y011</v>
          </cell>
          <cell r="C870" t="str">
            <v>YASH PAKKA LIMITED</v>
          </cell>
          <cell r="E870">
            <v>1</v>
          </cell>
        </row>
        <row r="871">
          <cell r="B871" t="str">
            <v>AZAM01T110</v>
          </cell>
          <cell r="C871" t="str">
            <v>THE KISAN SAHAKARI CHINI MILLS LTD.</v>
          </cell>
          <cell r="E871">
            <v>1</v>
          </cell>
        </row>
        <row r="872">
          <cell r="B872" t="str">
            <v>BAGH01R045</v>
          </cell>
          <cell r="C872" t="str">
            <v>RAMALA SAHKARI CHINI MILLS LTD</v>
          </cell>
          <cell r="D872">
            <v>15</v>
          </cell>
          <cell r="E872">
            <v>1</v>
          </cell>
        </row>
        <row r="873">
          <cell r="B873" t="str">
            <v>BAGL01G017</v>
          </cell>
          <cell r="C873" t="str">
            <v>GEM SUGARS LIMITED</v>
          </cell>
          <cell r="E873">
            <v>1</v>
          </cell>
        </row>
        <row r="874">
          <cell r="B874" t="str">
            <v>BARL01K056</v>
          </cell>
          <cell r="C874" t="str">
            <v>THE KISAN SAHKARI CHINI MILLS LTD</v>
          </cell>
          <cell r="D874">
            <v>1</v>
          </cell>
          <cell r="E874">
            <v>1</v>
          </cell>
        </row>
        <row r="875">
          <cell r="B875" t="str">
            <v>BARL01R061</v>
          </cell>
          <cell r="C875" t="str">
            <v>RAMAA SHYAMA PAPERS PVT LTD</v>
          </cell>
          <cell r="E875">
            <v>1</v>
          </cell>
        </row>
        <row r="876">
          <cell r="B876" t="str">
            <v>BEED01G069</v>
          </cell>
          <cell r="C876" t="str">
            <v>GANGAMAULI SUGAR &amp; ALLIED INDUSTRIES PVT LTD</v>
          </cell>
          <cell r="E876">
            <v>1</v>
          </cell>
        </row>
        <row r="877">
          <cell r="B877" t="str">
            <v>BEED01U052</v>
          </cell>
          <cell r="C877" t="str">
            <v>U K FARMERS PRODUCER COMPANY LIMITED</v>
          </cell>
          <cell r="E877">
            <v>1</v>
          </cell>
        </row>
        <row r="878">
          <cell r="B878" t="str">
            <v>BELG01A118</v>
          </cell>
          <cell r="C878" t="str">
            <v>ARIHANT SUGAR INDUSTRIES LTD</v>
          </cell>
          <cell r="E878">
            <v>1</v>
          </cell>
        </row>
        <row r="879">
          <cell r="B879" t="str">
            <v>BELG01H002</v>
          </cell>
          <cell r="C879" t="str">
            <v>HATTARKI FEEDS</v>
          </cell>
          <cell r="E879">
            <v>1</v>
          </cell>
        </row>
        <row r="880">
          <cell r="B880" t="str">
            <v>BETU01P140</v>
          </cell>
          <cell r="C880" t="str">
            <v>PALIWAL BIO ENERGY PRIVATE LIMITED</v>
          </cell>
          <cell r="E880">
            <v>1</v>
          </cell>
        </row>
        <row r="881">
          <cell r="B881" t="str">
            <v>BHAR01S224</v>
          </cell>
          <cell r="C881" t="str">
            <v>SHREE GANESH KHAND UDYOG SAHAKARI MANDLI LTD</v>
          </cell>
          <cell r="E881">
            <v>1</v>
          </cell>
        </row>
        <row r="882">
          <cell r="B882" t="str">
            <v>BHIW01H086</v>
          </cell>
          <cell r="C882" t="str">
            <v>HARYANA NON WOVEN</v>
          </cell>
          <cell r="E882">
            <v>1</v>
          </cell>
        </row>
        <row r="883">
          <cell r="B883" t="str">
            <v>BHOP01B123</v>
          </cell>
          <cell r="C883" t="str">
            <v>BROKEN HILL MINIING COMPANY</v>
          </cell>
          <cell r="E883">
            <v>1</v>
          </cell>
        </row>
        <row r="884">
          <cell r="B884" t="str">
            <v>BIJA01K035</v>
          </cell>
          <cell r="C884" t="str">
            <v>KPR SUGAR MILL LIMITED.</v>
          </cell>
          <cell r="E884">
            <v>1</v>
          </cell>
        </row>
        <row r="885">
          <cell r="B885" t="str">
            <v>BIJN01D038</v>
          </cell>
          <cell r="C885" t="str">
            <v>DHAMPUR SUGAR MILLS LTD. (UT-381)</v>
          </cell>
          <cell r="E885">
            <v>1</v>
          </cell>
        </row>
        <row r="886">
          <cell r="B886" t="str">
            <v>BIJN01S269</v>
          </cell>
          <cell r="C886" t="str">
            <v>S. KUMAR TRANSPORT COMPANY</v>
          </cell>
          <cell r="E886">
            <v>1</v>
          </cell>
        </row>
        <row r="887">
          <cell r="B887" t="str">
            <v>BISN01S268</v>
          </cell>
          <cell r="C887" t="str">
            <v>SHREE BANKEY BEHARI LAL FLAVORS</v>
          </cell>
          <cell r="E887">
            <v>1</v>
          </cell>
        </row>
        <row r="888">
          <cell r="B888" t="str">
            <v>CHEN01R107</v>
          </cell>
          <cell r="C888" t="str">
            <v>RBS GROUP</v>
          </cell>
          <cell r="E888">
            <v>1</v>
          </cell>
        </row>
        <row r="889">
          <cell r="B889" t="str">
            <v>CHHO01S165</v>
          </cell>
          <cell r="C889" t="str">
            <v>SITARAM SUGARS &amp; ALLIED INDUSTRIES LTD.</v>
          </cell>
          <cell r="E889">
            <v>1</v>
          </cell>
        </row>
        <row r="890">
          <cell r="B890" t="str">
            <v>DAVA01D006</v>
          </cell>
          <cell r="C890" t="str">
            <v>DAVANGERE SUGAR COMPANY LTD.</v>
          </cell>
          <cell r="E890">
            <v>1</v>
          </cell>
        </row>
        <row r="891">
          <cell r="B891" t="str">
            <v>DEDH01R051</v>
          </cell>
          <cell r="C891" t="str">
            <v>RECRON ARMOUR PVT LTD</v>
          </cell>
          <cell r="E891">
            <v>1</v>
          </cell>
        </row>
        <row r="892">
          <cell r="B892" t="str">
            <v>DLHI01C038</v>
          </cell>
          <cell r="C892" t="str">
            <v>CIDER MILL INDIA PVT LTD</v>
          </cell>
          <cell r="E892">
            <v>1</v>
          </cell>
        </row>
        <row r="893">
          <cell r="B893" t="str">
            <v>DLHI01S583</v>
          </cell>
          <cell r="C893" t="str">
            <v>SHIVAAY PAPER TECH</v>
          </cell>
          <cell r="E893">
            <v>1</v>
          </cell>
        </row>
        <row r="894">
          <cell r="B894" t="str">
            <v>DMNA01K023</v>
          </cell>
          <cell r="C894" t="str">
            <v>KHEMANI DISTILLERIES LTD.</v>
          </cell>
          <cell r="E894">
            <v>1</v>
          </cell>
        </row>
        <row r="895">
          <cell r="B895" t="str">
            <v>EGPT01K041</v>
          </cell>
          <cell r="C895" t="str">
            <v>KIRLOSKAR BROTHERS (THAILAND) LTD</v>
          </cell>
          <cell r="E895">
            <v>1</v>
          </cell>
        </row>
        <row r="896">
          <cell r="B896" t="str">
            <v>ESGO01N008</v>
          </cell>
          <cell r="C896" t="str">
            <v>NAVA BHARAT VENTURES LTD.</v>
          </cell>
          <cell r="E896">
            <v>1</v>
          </cell>
        </row>
        <row r="897">
          <cell r="B897" t="str">
            <v>ESGO01S253</v>
          </cell>
          <cell r="C897" t="str">
            <v>SRI RAMADAS PAPER BOARDS PVT LTD</v>
          </cell>
          <cell r="E897">
            <v>1</v>
          </cell>
        </row>
        <row r="898">
          <cell r="B898" t="str">
            <v>GAND01S097</v>
          </cell>
          <cell r="C898" t="str">
            <v>SYNERGY AGRO-TECH PVT. LTD</v>
          </cell>
          <cell r="E898">
            <v>1</v>
          </cell>
        </row>
        <row r="899">
          <cell r="B899" t="str">
            <v>GORA01S589</v>
          </cell>
          <cell r="C899" t="str">
            <v>SHIVAM TRADERS</v>
          </cell>
          <cell r="E899">
            <v>1</v>
          </cell>
        </row>
        <row r="900">
          <cell r="B900" t="str">
            <v>GUJA01A192</v>
          </cell>
          <cell r="C900" t="str">
            <v>AHMEDABAD JILLA TAMAKU MFG. CO. OP. SOCIETY LTD</v>
          </cell>
          <cell r="E900">
            <v>1</v>
          </cell>
        </row>
        <row r="901">
          <cell r="B901" t="str">
            <v>GURD01C050</v>
          </cell>
          <cell r="C901" t="str">
            <v>CHADHA SUGAR &amp; INDUSTRIES PVT LTD (MBD)</v>
          </cell>
          <cell r="E901">
            <v>1</v>
          </cell>
        </row>
        <row r="902">
          <cell r="B902" t="str">
            <v>GURD01S285</v>
          </cell>
          <cell r="C902" t="str">
            <v>SANTOSH PROPERTIES PVT. LTD.</v>
          </cell>
          <cell r="E902">
            <v>1</v>
          </cell>
        </row>
        <row r="903">
          <cell r="B903" t="str">
            <v>GURG01H076</v>
          </cell>
          <cell r="C903" t="str">
            <v>HITEK NDT SERVICES</v>
          </cell>
          <cell r="E903">
            <v>1</v>
          </cell>
        </row>
        <row r="904">
          <cell r="B904" t="str">
            <v>HOCH01V103</v>
          </cell>
          <cell r="C904" t="str">
            <v>VU LE TECHNOLOGY CO. LTD</v>
          </cell>
          <cell r="E904">
            <v>1</v>
          </cell>
        </row>
        <row r="905">
          <cell r="B905" t="str">
            <v>HOSH01T080</v>
          </cell>
          <cell r="C905" t="str">
            <v>THE HOSHIARPUR DIST CO OP MILK PRODUCERSUNION LTD</v>
          </cell>
          <cell r="E905">
            <v>1</v>
          </cell>
        </row>
        <row r="906">
          <cell r="B906" t="str">
            <v>HYDE01R135</v>
          </cell>
          <cell r="C906" t="str">
            <v>R.S. PLUMBING WORKS</v>
          </cell>
          <cell r="E906">
            <v>1</v>
          </cell>
        </row>
        <row r="907">
          <cell r="B907" t="str">
            <v>JABA01J044</v>
          </cell>
          <cell r="C907" t="str">
            <v>JAIN MINES &amp; MINERALS (I) PVT. LTD.</v>
          </cell>
          <cell r="E907">
            <v>1</v>
          </cell>
        </row>
        <row r="908">
          <cell r="B908" t="str">
            <v>JAIP01H066</v>
          </cell>
          <cell r="C908" t="str">
            <v>HINDUSTAN COPPER LIMITED</v>
          </cell>
          <cell r="E908">
            <v>1</v>
          </cell>
        </row>
        <row r="909">
          <cell r="B909" t="str">
            <v>JAIP01S275</v>
          </cell>
          <cell r="C909" t="str">
            <v>SAVITA SCIENTIFIC &amp; PLASTIC PRODUCTS</v>
          </cell>
          <cell r="E909">
            <v>1</v>
          </cell>
        </row>
        <row r="910">
          <cell r="B910" t="str">
            <v>JALN01S013</v>
          </cell>
          <cell r="C910" t="str">
            <v>SAMRUDHI SUGARS LTD.</v>
          </cell>
          <cell r="E910">
            <v>1</v>
          </cell>
        </row>
        <row r="911">
          <cell r="B911" t="str">
            <v>JAMM01P071</v>
          </cell>
          <cell r="C911" t="str">
            <v>PREVEST DENPRO LIMITED</v>
          </cell>
          <cell r="E911">
            <v>1</v>
          </cell>
        </row>
        <row r="912">
          <cell r="B912" t="str">
            <v>KANP01G118</v>
          </cell>
          <cell r="C912" t="str">
            <v>SHUBHAM GOLDIEE MASALE PVT. LTD</v>
          </cell>
          <cell r="E912">
            <v>1</v>
          </cell>
        </row>
        <row r="913">
          <cell r="B913" t="str">
            <v>KANP01P100</v>
          </cell>
          <cell r="C913" t="str">
            <v>PLASTIC ENGINEERS &amp; FABRICATORS</v>
          </cell>
          <cell r="E913">
            <v>1</v>
          </cell>
        </row>
        <row r="914">
          <cell r="B914" t="str">
            <v>KANP01R096</v>
          </cell>
          <cell r="C914" t="str">
            <v>RAJ MILL STORE</v>
          </cell>
          <cell r="E914">
            <v>1</v>
          </cell>
        </row>
        <row r="915">
          <cell r="B915" t="str">
            <v>KANP01S279</v>
          </cell>
          <cell r="C915" t="str">
            <v>SARTHAK ENTERPRISES</v>
          </cell>
          <cell r="E915">
            <v>1</v>
          </cell>
        </row>
        <row r="916">
          <cell r="B916" t="str">
            <v>KANP01T124</v>
          </cell>
          <cell r="C916" t="str">
            <v>TASLEEM AHMED</v>
          </cell>
          <cell r="E916">
            <v>1</v>
          </cell>
        </row>
        <row r="917">
          <cell r="B917" t="str">
            <v>KANP01V096</v>
          </cell>
          <cell r="C917" t="str">
            <v>VARDHMAN INDUSTRIES</v>
          </cell>
          <cell r="E917">
            <v>1</v>
          </cell>
        </row>
        <row r="918">
          <cell r="B918" t="str">
            <v>KANP01Y015</v>
          </cell>
          <cell r="C918" t="str">
            <v>YASHASWI FISH MEAL &amp; OIL COMPANY</v>
          </cell>
          <cell r="E918">
            <v>1</v>
          </cell>
        </row>
        <row r="919">
          <cell r="B919" t="str">
            <v>KARN01G043</v>
          </cell>
          <cell r="C919" t="str">
            <v>GOODRICH AGROCHEM PVT LTD</v>
          </cell>
          <cell r="E919">
            <v>1</v>
          </cell>
        </row>
        <row r="920">
          <cell r="B920" t="str">
            <v>KARN01G138</v>
          </cell>
          <cell r="C920" t="str">
            <v>GOODRICH CEREALS LIMITED</v>
          </cell>
          <cell r="E920">
            <v>1</v>
          </cell>
        </row>
        <row r="921">
          <cell r="B921" t="str">
            <v>KASH01S111</v>
          </cell>
          <cell r="C921" t="str">
            <v>SPECTRA AGRO FOODS</v>
          </cell>
          <cell r="E921">
            <v>1</v>
          </cell>
        </row>
        <row r="922">
          <cell r="B922" t="str">
            <v>KASH01S286</v>
          </cell>
          <cell r="C922" t="str">
            <v>SIDHARTH PEPERS PVT. LTD.</v>
          </cell>
          <cell r="E922">
            <v>1</v>
          </cell>
        </row>
        <row r="923">
          <cell r="B923" t="str">
            <v>KHUR01J038</v>
          </cell>
          <cell r="C923" t="str">
            <v>J.S. CERAMICS</v>
          </cell>
          <cell r="E923">
            <v>1</v>
          </cell>
        </row>
        <row r="924">
          <cell r="B924" t="str">
            <v>KOLA01M036</v>
          </cell>
          <cell r="C924" t="str">
            <v>MAHADIK SUGAR &amp; AGRO PRODUCTS LTD. PANORI</v>
          </cell>
          <cell r="E924">
            <v>1</v>
          </cell>
        </row>
        <row r="925">
          <cell r="B925" t="str">
            <v>KOLH01S420</v>
          </cell>
          <cell r="C925" t="str">
            <v>SHARADA TECHNO SPECIALITIES PVT LTD</v>
          </cell>
          <cell r="E925">
            <v>1</v>
          </cell>
        </row>
        <row r="926">
          <cell r="B926" t="str">
            <v>KOLK01G058</v>
          </cell>
          <cell r="C926" t="str">
            <v>G. B. ENTERPRISES</v>
          </cell>
          <cell r="E926">
            <v>1</v>
          </cell>
        </row>
        <row r="927">
          <cell r="B927" t="str">
            <v>KOLK01S415</v>
          </cell>
          <cell r="C927" t="str">
            <v>SONIC THERMAL PVT LTD</v>
          </cell>
          <cell r="E927">
            <v>1</v>
          </cell>
        </row>
        <row r="928">
          <cell r="B928" t="str">
            <v>KOLK01S449</v>
          </cell>
          <cell r="C928" t="str">
            <v>SKP MERCHANTS PRIVATE LIMITED</v>
          </cell>
          <cell r="E928">
            <v>1</v>
          </cell>
        </row>
        <row r="929">
          <cell r="B929" t="str">
            <v>KOLK01S530</v>
          </cell>
          <cell r="C929" t="str">
            <v>SKIPPER LTD.</v>
          </cell>
          <cell r="E929">
            <v>1</v>
          </cell>
        </row>
        <row r="930">
          <cell r="B930" t="str">
            <v>KRSH01G057</v>
          </cell>
          <cell r="C930" t="str">
            <v>GREENPETAL BIO - SCIENCES</v>
          </cell>
          <cell r="E930">
            <v>1</v>
          </cell>
        </row>
        <row r="931">
          <cell r="B931" t="str">
            <v>KRSH01S257</v>
          </cell>
          <cell r="C931" t="str">
            <v>SRI SRINIVASA OIL MILL</v>
          </cell>
          <cell r="E931">
            <v>1</v>
          </cell>
        </row>
        <row r="932">
          <cell r="B932" t="str">
            <v>KUSH01S584</v>
          </cell>
          <cell r="C932" t="str">
            <v>SRIJAN TRADERS</v>
          </cell>
          <cell r="E932">
            <v>1</v>
          </cell>
        </row>
        <row r="933">
          <cell r="B933" t="str">
            <v>KUTC01K094</v>
          </cell>
          <cell r="C933" t="str">
            <v>KUTCH CHEMICAL INDUSTRIES LTD</v>
          </cell>
          <cell r="E933">
            <v>1</v>
          </cell>
        </row>
        <row r="934">
          <cell r="B934" t="str">
            <v>LAKM01S273</v>
          </cell>
          <cell r="C934" t="str">
            <v>SHIV PARVATI SUGAR INDUSTIES</v>
          </cell>
          <cell r="E934">
            <v>1</v>
          </cell>
        </row>
        <row r="935">
          <cell r="B935" t="str">
            <v>LATU01O034</v>
          </cell>
          <cell r="C935" t="str">
            <v>ONKAR SAKHAR KARKHANA PVT LTD. - UNIT -2</v>
          </cell>
          <cell r="E935">
            <v>1</v>
          </cell>
        </row>
        <row r="936">
          <cell r="B936" t="str">
            <v>LATU01V035</v>
          </cell>
          <cell r="C936" t="str">
            <v>VIKAS SAHAKARI SAKHAR KARKHANA LTD (UNIT -2)</v>
          </cell>
          <cell r="E936">
            <v>1</v>
          </cell>
        </row>
        <row r="937">
          <cell r="B937" t="str">
            <v>LUCK01A275</v>
          </cell>
          <cell r="C937" t="str">
            <v>ANAND BIOTECH PVT LTD</v>
          </cell>
          <cell r="E937">
            <v>1</v>
          </cell>
        </row>
        <row r="938">
          <cell r="B938" t="str">
            <v>LUCK01E034</v>
          </cell>
          <cell r="C938" t="str">
            <v>EVA EXOTICA PVT LTD</v>
          </cell>
          <cell r="E938">
            <v>1</v>
          </cell>
        </row>
        <row r="939">
          <cell r="B939" t="str">
            <v>LUCK01S281</v>
          </cell>
          <cell r="C939" t="str">
            <v>SHRAWASTHI AGROTECH PVT LTD</v>
          </cell>
          <cell r="E939">
            <v>1</v>
          </cell>
        </row>
        <row r="940">
          <cell r="B940" t="str">
            <v>MALE01V009</v>
          </cell>
          <cell r="C940" t="str">
            <v>VISHAL PAPER MILLS PVT. LTD.</v>
          </cell>
          <cell r="E940">
            <v>1</v>
          </cell>
        </row>
        <row r="941">
          <cell r="B941" t="str">
            <v>MEHS01K069</v>
          </cell>
          <cell r="C941" t="str">
            <v>KAMAL INDUSTRIES</v>
          </cell>
          <cell r="E941">
            <v>1</v>
          </cell>
        </row>
        <row r="942">
          <cell r="B942" t="str">
            <v>MOGA01C105</v>
          </cell>
          <cell r="C942" t="str">
            <v>CHADHA MILK PLANT</v>
          </cell>
          <cell r="E942">
            <v>1</v>
          </cell>
        </row>
        <row r="943">
          <cell r="B943" t="str">
            <v>MUMB01B093</v>
          </cell>
          <cell r="C943" t="str">
            <v>BLUE PLANET YASASU SOLUTIONS PVT LTD</v>
          </cell>
          <cell r="E943">
            <v>1</v>
          </cell>
        </row>
        <row r="944">
          <cell r="B944" t="str">
            <v>MUMB01S241</v>
          </cell>
          <cell r="C944" t="str">
            <v>SARDAR PATEL COLLEGE OF ENGG</v>
          </cell>
          <cell r="E944">
            <v>1</v>
          </cell>
        </row>
        <row r="945">
          <cell r="B945" t="str">
            <v>MUMB01U009</v>
          </cell>
          <cell r="C945" t="str">
            <v>UNION PUMPS COMPANY</v>
          </cell>
          <cell r="E945">
            <v>1</v>
          </cell>
        </row>
        <row r="946">
          <cell r="B946" t="str">
            <v>MUZF01A053</v>
          </cell>
          <cell r="C946" t="str">
            <v>TRIVENI ENGG &amp; INDUSTRIES LTD</v>
          </cell>
          <cell r="E946">
            <v>1</v>
          </cell>
        </row>
        <row r="947">
          <cell r="B947" t="str">
            <v>NADY01A076</v>
          </cell>
          <cell r="C947" t="str">
            <v>A.P. MARKFEED FEED MIXING PLANT</v>
          </cell>
          <cell r="E947">
            <v>1</v>
          </cell>
        </row>
        <row r="948">
          <cell r="B948" t="str">
            <v>NAGP01N185</v>
          </cell>
          <cell r="C948" t="str">
            <v>NNOWETA PERFORMANCE CHEMICALS PVT LIMITED</v>
          </cell>
          <cell r="E948">
            <v>1</v>
          </cell>
        </row>
        <row r="949">
          <cell r="B949" t="str">
            <v>NAGP01T141</v>
          </cell>
          <cell r="C949" t="str">
            <v>TRIMURTI FEEDS</v>
          </cell>
          <cell r="E949">
            <v>1</v>
          </cell>
        </row>
        <row r="950">
          <cell r="B950" t="str">
            <v>NAIN01C053</v>
          </cell>
          <cell r="C950" t="str">
            <v>CENTURY PULP &amp; PAPER</v>
          </cell>
          <cell r="E950">
            <v>1</v>
          </cell>
        </row>
        <row r="951">
          <cell r="B951" t="str">
            <v>NAND01V037</v>
          </cell>
          <cell r="C951" t="str">
            <v>V. P. K. AGRO FOOD PRODUCT PVT LTD</v>
          </cell>
          <cell r="E951">
            <v>1</v>
          </cell>
        </row>
        <row r="952">
          <cell r="B952" t="str">
            <v>NASK01I036</v>
          </cell>
          <cell r="C952" t="str">
            <v>INVEST ENGINEERING</v>
          </cell>
          <cell r="E952">
            <v>1</v>
          </cell>
        </row>
        <row r="953">
          <cell r="B953" t="str">
            <v>NELL01E005</v>
          </cell>
          <cell r="C953" t="str">
            <v>EMPEE SUGARS &amp; CHEMICALS LTD.</v>
          </cell>
          <cell r="D953">
            <v>2</v>
          </cell>
          <cell r="E953">
            <v>1</v>
          </cell>
        </row>
        <row r="954">
          <cell r="B954" t="str">
            <v>NELL01S188</v>
          </cell>
          <cell r="C954" t="str">
            <v>SUDALAGUNTA SUGARS LTD.</v>
          </cell>
          <cell r="E954">
            <v>1</v>
          </cell>
        </row>
        <row r="955">
          <cell r="B955" t="str">
            <v>NODA01S455</v>
          </cell>
          <cell r="C955" t="str">
            <v>SPSBIO-CHEM PRIVATE LIMITED</v>
          </cell>
          <cell r="E955">
            <v>1</v>
          </cell>
        </row>
        <row r="956">
          <cell r="B956" t="str">
            <v>NODA01S514</v>
          </cell>
          <cell r="C956" t="str">
            <v>SMARTBRAINS ENGINEERS AND TECHNOLOGIST PRIVATE LIMITED</v>
          </cell>
          <cell r="E956">
            <v>1</v>
          </cell>
        </row>
        <row r="957">
          <cell r="B957" t="str">
            <v>OSMA01A062</v>
          </cell>
          <cell r="C957" t="str">
            <v>AJAY POLYMERS &amp; ENGINEERS</v>
          </cell>
          <cell r="E957">
            <v>1</v>
          </cell>
        </row>
        <row r="958">
          <cell r="B958" t="str">
            <v>OSMA01A099</v>
          </cell>
          <cell r="C958" t="str">
            <v>ATUL SUGAR TECH PVT LTD</v>
          </cell>
          <cell r="E958">
            <v>1</v>
          </cell>
        </row>
        <row r="959">
          <cell r="B959" t="str">
            <v>PALA01B130</v>
          </cell>
          <cell r="C959" t="str">
            <v>BANASKANTHA DISTRICT CO-OP. MILK PRODUCERS' UNION LTD.</v>
          </cell>
          <cell r="E959">
            <v>1</v>
          </cell>
        </row>
        <row r="960">
          <cell r="B960" t="str">
            <v>PALA01S568</v>
          </cell>
          <cell r="C960" t="str">
            <v>SHRI GURU OIL INDUSTRIES</v>
          </cell>
          <cell r="E960">
            <v>1</v>
          </cell>
        </row>
        <row r="961">
          <cell r="B961" t="str">
            <v>PANA01A254</v>
          </cell>
          <cell r="C961" t="str">
            <v>ALCOGRAIN DISTILLERS PVT LTD</v>
          </cell>
          <cell r="E961">
            <v>1</v>
          </cell>
        </row>
        <row r="962">
          <cell r="B962" t="str">
            <v>PANI01F044</v>
          </cell>
          <cell r="C962" t="str">
            <v>FASH HOME INTERNATIONAL PVT LTD</v>
          </cell>
          <cell r="E962">
            <v>1</v>
          </cell>
        </row>
        <row r="963">
          <cell r="B963" t="str">
            <v>PANI01H046</v>
          </cell>
          <cell r="C963" t="str">
            <v>HOME FLOOR INTERNATIONAL</v>
          </cell>
          <cell r="E963">
            <v>1</v>
          </cell>
        </row>
        <row r="964">
          <cell r="B964" t="str">
            <v>PANI01S242</v>
          </cell>
          <cell r="C964" t="str">
            <v>SHREE LAXMI THREADS</v>
          </cell>
          <cell r="E964">
            <v>1</v>
          </cell>
        </row>
        <row r="965">
          <cell r="B965" t="str">
            <v>PATH01R056</v>
          </cell>
          <cell r="C965" t="str">
            <v>COL. RAVI PATHANIA</v>
          </cell>
          <cell r="E965">
            <v>1</v>
          </cell>
        </row>
        <row r="966">
          <cell r="B966" t="str">
            <v>PATN01U068</v>
          </cell>
          <cell r="C966" t="str">
            <v>UTKARSH BIO-PULSE</v>
          </cell>
          <cell r="E966">
            <v>1</v>
          </cell>
        </row>
        <row r="967">
          <cell r="B967" t="str">
            <v>PHIL01C031</v>
          </cell>
          <cell r="C967" t="str">
            <v>CRYSCOO TRADERS</v>
          </cell>
          <cell r="D967">
            <v>2</v>
          </cell>
          <cell r="E967">
            <v>1</v>
          </cell>
        </row>
        <row r="968">
          <cell r="B968" t="str">
            <v>PILI01L025</v>
          </cell>
          <cell r="C968" t="str">
            <v>L.H .SUGAR FACTORIES LIMITED (DISTILLERY DIV.)</v>
          </cell>
          <cell r="E968">
            <v>1</v>
          </cell>
        </row>
        <row r="969">
          <cell r="B969" t="str">
            <v>PUNE01A122</v>
          </cell>
          <cell r="C969" t="str">
            <v>ANVI AGRO</v>
          </cell>
          <cell r="E969">
            <v>1</v>
          </cell>
        </row>
        <row r="970">
          <cell r="B970" t="str">
            <v>PUNE01A200</v>
          </cell>
          <cell r="C970" t="str">
            <v>ATHANI SUGAR LIMITED-II (BAMBAWADE)</v>
          </cell>
          <cell r="E970">
            <v>1</v>
          </cell>
        </row>
        <row r="971">
          <cell r="B971" t="str">
            <v>PUNE01D063</v>
          </cell>
          <cell r="C971" t="str">
            <v>DEEPAK ENGINEERS</v>
          </cell>
          <cell r="E971">
            <v>1</v>
          </cell>
        </row>
        <row r="972">
          <cell r="B972" t="str">
            <v>PUNE01I014</v>
          </cell>
          <cell r="C972" t="str">
            <v>INTERPACK MACHINES PVT. LTD.</v>
          </cell>
          <cell r="E972">
            <v>1</v>
          </cell>
        </row>
        <row r="973">
          <cell r="B973" t="str">
            <v>PUNE01P016</v>
          </cell>
          <cell r="C973" t="str">
            <v>PRAVIN MASALEWALE</v>
          </cell>
          <cell r="E973">
            <v>1</v>
          </cell>
        </row>
        <row r="974">
          <cell r="B974" t="str">
            <v>PUNE01P052</v>
          </cell>
          <cell r="C974" t="str">
            <v>PARAG AGRO FOODS &amp; ALLIED PRODUCTS PVT LTD</v>
          </cell>
          <cell r="D974">
            <v>1</v>
          </cell>
          <cell r="E974">
            <v>1</v>
          </cell>
        </row>
        <row r="975">
          <cell r="B975" t="str">
            <v>PUNE01P142</v>
          </cell>
          <cell r="C975" t="str">
            <v>PROJEXEL PROCESS EQUIPMENTS PRIVATE LIMITED</v>
          </cell>
          <cell r="E975">
            <v>1</v>
          </cell>
        </row>
        <row r="976">
          <cell r="B976" t="str">
            <v>PUNE01S269</v>
          </cell>
          <cell r="C976" t="str">
            <v>SHRI BALKRISHNA GRIHA UDYOG</v>
          </cell>
          <cell r="E976">
            <v>1</v>
          </cell>
        </row>
        <row r="977">
          <cell r="B977" t="str">
            <v>PUNE01S302</v>
          </cell>
          <cell r="C977" t="str">
            <v>SONAI EATABLES INDIA PVT LTD</v>
          </cell>
          <cell r="E977">
            <v>1</v>
          </cell>
        </row>
        <row r="978">
          <cell r="B978" t="str">
            <v>RIYA01M079</v>
          </cell>
          <cell r="C978" t="str">
            <v>MIDDLE EAST FOOD SOLUTIONS COMPANY</v>
          </cell>
          <cell r="E978">
            <v>1</v>
          </cell>
        </row>
        <row r="979">
          <cell r="B979" t="str">
            <v>SAHA01H004</v>
          </cell>
          <cell r="C979" t="str">
            <v>HINDON FILTERS (P) LTD. (UNIT-II)</v>
          </cell>
          <cell r="E979">
            <v>1</v>
          </cell>
        </row>
        <row r="980">
          <cell r="B980" t="str">
            <v>SAHA01P013</v>
          </cell>
          <cell r="C980" t="str">
            <v>PILKHANI DISTILLERY &amp; CHEMICAL WORKS</v>
          </cell>
          <cell r="E980">
            <v>1</v>
          </cell>
        </row>
        <row r="981">
          <cell r="B981" t="str">
            <v>SAMB01C008</v>
          </cell>
          <cell r="C981" t="str">
            <v>CHHATRAPATI SAMBHAJI RAJE SAKHAR UDYOG LIMITED</v>
          </cell>
          <cell r="E981">
            <v>1</v>
          </cell>
        </row>
        <row r="982">
          <cell r="B982" t="str">
            <v>SANG01C010</v>
          </cell>
          <cell r="C982" t="str">
            <v>CHINCHWADE &amp; ASSOCIATES</v>
          </cell>
          <cell r="E982">
            <v>1</v>
          </cell>
        </row>
        <row r="983">
          <cell r="B983" t="str">
            <v>SANG01N179</v>
          </cell>
          <cell r="C983" t="str">
            <v>ND PATIL SUGARS PVT LTD</v>
          </cell>
          <cell r="E983">
            <v>1</v>
          </cell>
        </row>
        <row r="984">
          <cell r="B984" t="str">
            <v>SANG01R003</v>
          </cell>
          <cell r="C984" t="str">
            <v>RAJARAMBAPU PATIL SSK LTD.(UNIT-I RAJARAMNAGAR)</v>
          </cell>
          <cell r="E984">
            <v>1</v>
          </cell>
        </row>
        <row r="985">
          <cell r="B985" t="str">
            <v>SANG01S294</v>
          </cell>
          <cell r="C985" t="str">
            <v>SHRIPATI SUGAR &amp; POWER LTD</v>
          </cell>
          <cell r="E985">
            <v>1</v>
          </cell>
        </row>
        <row r="986">
          <cell r="B986" t="str">
            <v>SANG01S436</v>
          </cell>
          <cell r="C986" t="str">
            <v>SGZ &amp; SGA SUGARS(JV) LIMITED</v>
          </cell>
          <cell r="E986">
            <v>1</v>
          </cell>
        </row>
        <row r="987">
          <cell r="B987" t="str">
            <v>SATA01S161</v>
          </cell>
          <cell r="C987" t="str">
            <v>SWARAJ GREEN POWER AND FUEL LTD.</v>
          </cell>
          <cell r="E987">
            <v>1</v>
          </cell>
        </row>
        <row r="988">
          <cell r="B988" t="str">
            <v>SOLN01A116</v>
          </cell>
          <cell r="C988" t="str">
            <v>ANN FMCG PVT LTD</v>
          </cell>
          <cell r="E988">
            <v>1</v>
          </cell>
        </row>
        <row r="989">
          <cell r="B989" t="str">
            <v>SOLP01B057</v>
          </cell>
          <cell r="C989" t="str">
            <v>BHAIRAVNATH SUGAR WORKS LTD. (8S-20)</v>
          </cell>
          <cell r="D989">
            <v>1</v>
          </cell>
          <cell r="E989">
            <v>1</v>
          </cell>
        </row>
        <row r="990">
          <cell r="B990" t="str">
            <v>SOLP01B065</v>
          </cell>
          <cell r="C990" t="str">
            <v>BABANRAOJI SHINDE SUGAR &amp; ALLIED INDUSTRIES LTD</v>
          </cell>
          <cell r="E990">
            <v>1</v>
          </cell>
        </row>
        <row r="991">
          <cell r="B991" t="str">
            <v>SOLP01G033</v>
          </cell>
          <cell r="C991" t="str">
            <v>GOKUL SUGAR INDUSTRIES LTD.</v>
          </cell>
          <cell r="D991">
            <v>2</v>
          </cell>
          <cell r="E991">
            <v>1</v>
          </cell>
        </row>
        <row r="992">
          <cell r="B992" t="str">
            <v>SOLP01L009</v>
          </cell>
          <cell r="C992" t="str">
            <v>LOKNETE BABURAO PATIL AGRO INDUSTRIES LTD</v>
          </cell>
          <cell r="E992">
            <v>1</v>
          </cell>
        </row>
        <row r="993">
          <cell r="B993" t="str">
            <v>SOLP01O018</v>
          </cell>
          <cell r="C993" t="str">
            <v>ONKAR SAKHAR KARKHANA PVT LTD-UNIT1</v>
          </cell>
          <cell r="E993">
            <v>1</v>
          </cell>
        </row>
        <row r="994">
          <cell r="B994" t="str">
            <v>SOLP01S070</v>
          </cell>
          <cell r="C994" t="str">
            <v>SHRI SANT DAMAJI SAHAKARI SAKHAR KARKHANA LTD</v>
          </cell>
          <cell r="E994">
            <v>1</v>
          </cell>
        </row>
        <row r="995">
          <cell r="B995" t="str">
            <v>SRIL01S244</v>
          </cell>
          <cell r="C995" t="str">
            <v>SAVINDA ENTERPRISES PVT LTD</v>
          </cell>
          <cell r="E995">
            <v>1</v>
          </cell>
        </row>
        <row r="996">
          <cell r="B996" t="str">
            <v>SURA01A252</v>
          </cell>
          <cell r="C996" t="str">
            <v>ARCELOR MITTAL NIPPON STEEL INDIA PVT LTD</v>
          </cell>
          <cell r="E996">
            <v>1</v>
          </cell>
        </row>
        <row r="997">
          <cell r="B997" t="str">
            <v>SURD01C035</v>
          </cell>
          <cell r="C997" t="str">
            <v>CV KREASI NEGERI QQ</v>
          </cell>
          <cell r="D997">
            <v>2</v>
          </cell>
          <cell r="E997">
            <v>1</v>
          </cell>
        </row>
        <row r="998">
          <cell r="B998" t="str">
            <v>TAND01E030</v>
          </cell>
          <cell r="C998" t="str">
            <v>EDAC ENGINEERING LIMITED</v>
          </cell>
          <cell r="E998">
            <v>1</v>
          </cell>
        </row>
        <row r="999">
          <cell r="B999" t="str">
            <v>THAN01E006</v>
          </cell>
          <cell r="C999" t="str">
            <v>EVEREST PUMPS &amp; SYSTEMS</v>
          </cell>
          <cell r="E999">
            <v>1</v>
          </cell>
        </row>
        <row r="1000">
          <cell r="B1000" t="str">
            <v>THAN01F050</v>
          </cell>
          <cell r="C1000" t="str">
            <v>FERTIEQUIP ENGINEERS &amp; CONSULTANTS</v>
          </cell>
          <cell r="E1000">
            <v>1</v>
          </cell>
        </row>
        <row r="1001">
          <cell r="B1001" t="str">
            <v>THAN01T003</v>
          </cell>
          <cell r="C1001" t="str">
            <v>TECHNOCRAFT INDUSTRIES (INDIA) LTD.</v>
          </cell>
          <cell r="E1001">
            <v>1</v>
          </cell>
        </row>
        <row r="1002">
          <cell r="B1002" t="str">
            <v>UDUP01A043</v>
          </cell>
          <cell r="C1002" t="str">
            <v>AMUL ANIMAL FEEDS</v>
          </cell>
          <cell r="E1002">
            <v>1</v>
          </cell>
        </row>
        <row r="1003">
          <cell r="B1003" t="str">
            <v>UDUP01K079</v>
          </cell>
          <cell r="C1003" t="str">
            <v>KOMAL FEEDS</v>
          </cell>
          <cell r="E1003">
            <v>1</v>
          </cell>
        </row>
        <row r="1004">
          <cell r="B1004" t="str">
            <v>UNNA01B193</v>
          </cell>
          <cell r="C1004" t="str">
            <v>BAJAJ KAGAJ LIMITED</v>
          </cell>
          <cell r="E1004">
            <v>1</v>
          </cell>
        </row>
        <row r="1005">
          <cell r="B1005" t="str">
            <v>UNNA01D066</v>
          </cell>
          <cell r="C1005" t="str">
            <v>DWARIKA RICE MILL LTD.</v>
          </cell>
          <cell r="E1005">
            <v>1</v>
          </cell>
        </row>
        <row r="1006">
          <cell r="B1006" t="str">
            <v>VADO01P058</v>
          </cell>
          <cell r="C1006" t="str">
            <v>POWER MECH</v>
          </cell>
          <cell r="E1006">
            <v>1</v>
          </cell>
        </row>
        <row r="1007">
          <cell r="B1007" t="str">
            <v>VADO01P112</v>
          </cell>
          <cell r="C1007" t="str">
            <v>PARAGON MACHINES</v>
          </cell>
          <cell r="E1007">
            <v>1</v>
          </cell>
        </row>
        <row r="1008">
          <cell r="B1008" t="str">
            <v>VADO01V047</v>
          </cell>
          <cell r="C1008" t="str">
            <v>VOLUBIT LUBRICANTS INDUSTRIES</v>
          </cell>
          <cell r="E1008">
            <v>1</v>
          </cell>
        </row>
        <row r="1009">
          <cell r="B1009" t="str">
            <v>VARA01A103</v>
          </cell>
          <cell r="C1009" t="str">
            <v>AGRAWAL ENTERPRISES</v>
          </cell>
          <cell r="E1009">
            <v>1</v>
          </cell>
        </row>
        <row r="1010">
          <cell r="B1010" t="str">
            <v>VELL01T008</v>
          </cell>
          <cell r="C1010" t="str">
            <v>THE AMBUR CO-OPERATIVE SUGAR- MILLS LTD</v>
          </cell>
          <cell r="E1010">
            <v>1</v>
          </cell>
        </row>
        <row r="1011">
          <cell r="B1011" t="str">
            <v>VIJA01M100</v>
          </cell>
          <cell r="C1011" t="str">
            <v>MURUGAN TRADERS</v>
          </cell>
          <cell r="E1011">
            <v>1</v>
          </cell>
        </row>
        <row r="1012">
          <cell r="B1012" t="str">
            <v>VISH01T009</v>
          </cell>
          <cell r="C1012" t="str">
            <v>THE ANAKAPALLE V.V.RAMANA - CO-OPERATIVE SUGARS LTD.</v>
          </cell>
          <cell r="E1012">
            <v>1</v>
          </cell>
        </row>
        <row r="1013">
          <cell r="B1013" t="str">
            <v>VISH01T022</v>
          </cell>
          <cell r="C1013" t="str">
            <v>THE ETIKOPPAKA CO-OP.AGRICULTURAL &amp; INDL.SOCIETY LTD.</v>
          </cell>
          <cell r="E1013">
            <v>1</v>
          </cell>
        </row>
        <row r="1014">
          <cell r="B1014" t="str">
            <v>YAMN01G103</v>
          </cell>
          <cell r="C1014" t="str">
            <v>GANPATI ENTERPRISES</v>
          </cell>
          <cell r="E1014">
            <v>1</v>
          </cell>
        </row>
        <row r="1015">
          <cell r="B1015" t="str">
            <v>AHMD01S139</v>
          </cell>
          <cell r="C1015" t="str">
            <v>SAMARTH ENGINEERING WORKS</v>
          </cell>
          <cell r="D1015">
            <v>3</v>
          </cell>
        </row>
        <row r="1016">
          <cell r="B1016" t="str">
            <v>AHME01L013</v>
          </cell>
          <cell r="C1016" t="str">
            <v>LINK (INDIA) MACHINERY PVT. LTD.</v>
          </cell>
          <cell r="D1016">
            <v>4</v>
          </cell>
        </row>
        <row r="1017">
          <cell r="B1017" t="str">
            <v>BANK01S270</v>
          </cell>
          <cell r="C1017" t="str">
            <v>SUTECH ENGINEERING CO. LTD</v>
          </cell>
          <cell r="D1017">
            <v>9</v>
          </cell>
        </row>
        <row r="1018">
          <cell r="B1018" t="str">
            <v>BAST01U027</v>
          </cell>
          <cell r="C1018" t="str">
            <v>U.P. RAJYA CHINI AVAM GANNA VIKAS NIGAM LTD</v>
          </cell>
          <cell r="D1018">
            <v>2</v>
          </cell>
        </row>
        <row r="1019">
          <cell r="B1019" t="str">
            <v>BETU01A257</v>
          </cell>
          <cell r="C1019" t="str">
            <v>AMLA AGRO INDUSTRIES</v>
          </cell>
          <cell r="D1019">
            <v>1</v>
          </cell>
        </row>
        <row r="1020">
          <cell r="B1020" t="str">
            <v>DURG01D001</v>
          </cell>
          <cell r="C1020" t="str">
            <v>DANTESHWARI MAIYA SAHAKARI SHAKKAR -</v>
          </cell>
          <cell r="D1020">
            <v>2</v>
          </cell>
        </row>
        <row r="1021">
          <cell r="B1021" t="str">
            <v>GORA01U030</v>
          </cell>
          <cell r="C1021" t="str">
            <v>U.P. STATE SUGAR &amp; CANE DEVELOPMENT CORPN. LTD</v>
          </cell>
          <cell r="D1021">
            <v>3</v>
          </cell>
        </row>
        <row r="1022">
          <cell r="B1022" t="str">
            <v>GUNA01K022</v>
          </cell>
          <cell r="C1022" t="str">
            <v>KRISHAK SAHAKARI SHAKKAR KARKHANA MARYADIT</v>
          </cell>
          <cell r="D1022">
            <v>2</v>
          </cell>
        </row>
        <row r="1023">
          <cell r="B1023" t="str">
            <v>JAKA01P043</v>
          </cell>
          <cell r="C1023" t="str">
            <v>PT. DAYA ESA MULYA MANDIRI</v>
          </cell>
          <cell r="D1023">
            <v>1</v>
          </cell>
        </row>
        <row r="1024">
          <cell r="B1024" t="str">
            <v>JAKA01P063</v>
          </cell>
          <cell r="C1024" t="str">
            <v>PT. LIENETIC JAYA</v>
          </cell>
          <cell r="D1024">
            <v>1</v>
          </cell>
        </row>
        <row r="1025">
          <cell r="B1025" t="str">
            <v>JALN01S250</v>
          </cell>
          <cell r="C1025" t="str">
            <v>SHREE RAMESHWAR SAHAKARI SAKHAR KARKHANA LIMITED</v>
          </cell>
          <cell r="D1025">
            <v>2</v>
          </cell>
        </row>
        <row r="1026">
          <cell r="B1026" t="str">
            <v>JIND01T170</v>
          </cell>
          <cell r="C1026" t="str">
            <v>THE JIND COOP SUGAR MILLS LTD.</v>
          </cell>
          <cell r="D1026">
            <v>2</v>
          </cell>
        </row>
        <row r="1027">
          <cell r="B1027" t="str">
            <v>KISM01W019</v>
          </cell>
          <cell r="C1027" t="str">
            <v>WESTERN EMPORIUM (1975) LTD</v>
          </cell>
          <cell r="D1027">
            <v>4</v>
          </cell>
        </row>
        <row r="1028">
          <cell r="B1028" t="str">
            <v>MERT01S481</v>
          </cell>
          <cell r="C1028" t="str">
            <v>SHREE ULTRATECK SUGAR ENGG. CO.</v>
          </cell>
          <cell r="D1028">
            <v>1</v>
          </cell>
        </row>
        <row r="1029">
          <cell r="B1029" t="str">
            <v>MUMB01A032</v>
          </cell>
          <cell r="C1029" t="str">
            <v>ARIES EXPORT PVT. LTD.</v>
          </cell>
          <cell r="D1029">
            <v>2</v>
          </cell>
        </row>
        <row r="1030">
          <cell r="B1030" t="str">
            <v>MUMB01J026</v>
          </cell>
          <cell r="C1030" t="str">
            <v>JAINAM ENGINEERS</v>
          </cell>
          <cell r="D1030">
            <v>2</v>
          </cell>
        </row>
        <row r="1031">
          <cell r="B1031" t="str">
            <v>NANA01L015</v>
          </cell>
          <cell r="C1031" t="str">
            <v>LG PATSONS ENGINEERING PVT. LTD.</v>
          </cell>
          <cell r="D1031">
            <v>2</v>
          </cell>
        </row>
        <row r="1032">
          <cell r="B1032" t="str">
            <v>NAND01S544</v>
          </cell>
          <cell r="C1032" t="str">
            <v>SHRI SUBHASH SUGAR PVT LTD</v>
          </cell>
          <cell r="D1032">
            <v>1</v>
          </cell>
        </row>
        <row r="1033">
          <cell r="B1033" t="str">
            <v>NARS01K005</v>
          </cell>
          <cell r="C1033" t="str">
            <v>KARELI SUGAR MILL (P) LTD</v>
          </cell>
          <cell r="D1033">
            <v>2</v>
          </cell>
        </row>
        <row r="1034">
          <cell r="B1034" t="str">
            <v>SAHA01K028</v>
          </cell>
          <cell r="C1034" t="str">
            <v>KISAN SAHKARI CHINI MILLS LTD.- NANAUTA</v>
          </cell>
          <cell r="D1034">
            <v>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ona Rathour" id="{20B333D5-63A4-4D66-B552-FAFDDE2CB4EB}" userId="" providerId="google-sheets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29" dT="2026-02-18T12:18:44.00" personId="{20B333D5-63A4-4D66-B552-FAFDDE2CB4EB}" id="{F1B7DF99-5D9B-4B56-AEFF-5C899B0A8D8E}">
    <text>pump installed through Ulka</text>
  </threadedComment>
  <threadedComment ref="Q29" dT="2026-02-18T12:19:35.00" personId="{20B333D5-63A4-4D66-B552-FAFDDE2CB4EB}" id="{A0AB4B6A-9545-4C41-9F91-45D5DFDDD88B}">
    <text>pump supplied through Ulka</text>
  </threadedComment>
  <threadedComment ref="AO196" dT="2026-02-11T10:15:34.00" personId="{20B333D5-63A4-4D66-B552-FAFDDE2CB4EB}" id="{815BEC5F-075C-4543-9772-C4D0FFF22413}">
    <text>Raj plant system</text>
  </threadedComment>
  <threadedComment ref="E483" dT="2026-01-30T12:54:33.00" personId="{20B333D5-63A4-4D66-B552-FAFDDE2CB4EB}" id="{C5B5C2A8-E68A-427F-B5BD-3BE7C0EFED10}">
    <text>1000 TCD PLANT</text>
  </threadedComment>
  <threadedComment ref="AO483" dT="2026-01-30T12:53:48.00" personId="{20B333D5-63A4-4D66-B552-FAFDDE2CB4EB}" id="{840922F4-BDB8-4093-BE7D-F8BB82F66A33}">
    <text>PK PROCESS</text>
  </threadedComment>
  <threadedComment ref="E502" dT="2026-03-25T07:35:01.00" personId="{20B333D5-63A4-4D66-B552-FAFDDE2CB4EB}" id="{E840E4DA-ED45-4F2E-AAB4-5B77AE85BC4A}">
    <text>3 GEAR PUMPS ON MOLASSES</text>
  </threadedComment>
  <threadedComment ref="E609" dT="2026-03-25T07:27:20.00" personId="{20B333D5-63A4-4D66-B552-FAFDDE2CB4EB}" id="{5465C306-DA88-4C60-9D93-FFA94362AABF}">
    <text>8 GEAR PUMPS ON MOLASSES</text>
  </threadedComment>
  <threadedComment ref="AO881" dT="2026-03-25T07:22:52.00" personId="{20B333D5-63A4-4D66-B552-FAFDDE2CB4EB}" id="{33B23B59-D47E-499C-B5DB-902902F22CDF}">
    <text>MONO</text>
  </threadedComment>
  <threadedComment ref="AO882" dT="2026-03-25T07:13:39.00" personId="{20B333D5-63A4-4D66-B552-FAFDDE2CB4EB}" id="{82AD32C8-7039-44EC-ADE9-005699BFBA09}">
    <text>MONO MAKE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D05AA-1B9D-4806-95AC-99F35D91F068}">
  <dimension ref="A1:BQ1464"/>
  <sheetViews>
    <sheetView tabSelected="1" workbookViewId="0">
      <selection sqref="A1:XFD1048576"/>
    </sheetView>
  </sheetViews>
  <sheetFormatPr defaultColWidth="14.42578125" defaultRowHeight="15" outlineLevelCol="1" x14ac:dyDescent="0.25"/>
  <cols>
    <col min="1" max="1" width="13.7109375" customWidth="1" outlineLevel="1"/>
    <col min="2" max="3" width="10.42578125" customWidth="1" outlineLevel="1"/>
    <col min="4" max="4" width="13.7109375" customWidth="1" outlineLevel="1"/>
    <col min="5" max="5" width="41.140625" customWidth="1"/>
    <col min="6" max="6" width="50.42578125" bestFit="1" customWidth="1"/>
    <col min="7" max="8" width="9.140625" customWidth="1"/>
    <col min="9" max="9" width="10.140625" customWidth="1"/>
    <col min="10" max="10" width="9.140625" customWidth="1"/>
    <col min="11" max="11" width="9.85546875" customWidth="1" outlineLevel="1"/>
    <col min="12" max="25" width="9.140625" customWidth="1" outlineLevel="1"/>
    <col min="26" max="26" width="10.85546875" customWidth="1" outlineLevel="1"/>
    <col min="27" max="27" width="11.7109375" customWidth="1" outlineLevel="1"/>
    <col min="28" max="36" width="9.140625" customWidth="1" outlineLevel="1"/>
    <col min="37" max="37" width="12.42578125" customWidth="1" outlineLevel="1"/>
    <col min="38" max="52" width="9.140625" customWidth="1" outlineLevel="1"/>
    <col min="53" max="54" width="10.42578125" customWidth="1" outlineLevel="1"/>
    <col min="55" max="60" width="9.140625" customWidth="1" outlineLevel="1"/>
    <col min="61" max="63" width="9.7109375" customWidth="1"/>
    <col min="64" max="65" width="9.85546875" customWidth="1"/>
    <col min="66" max="69" width="10.7109375" customWidth="1"/>
  </cols>
  <sheetData>
    <row r="1" spans="1:69" x14ac:dyDescent="0.25">
      <c r="A1" s="1" t="s">
        <v>0</v>
      </c>
      <c r="B1" s="2"/>
      <c r="C1" s="2"/>
      <c r="D1" s="3">
        <f>SUM(I5:I470)</f>
        <v>3807</v>
      </c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6"/>
      <c r="BJ1" s="6"/>
      <c r="BK1" s="6"/>
      <c r="BL1" s="6"/>
      <c r="BM1" s="6"/>
      <c r="BN1" s="6"/>
      <c r="BO1" s="6"/>
      <c r="BP1" s="7"/>
      <c r="BQ1" s="6"/>
    </row>
    <row r="2" spans="1:69" x14ac:dyDescent="0.25">
      <c r="A2" s="8" t="s">
        <v>1</v>
      </c>
      <c r="B2" s="2"/>
      <c r="C2" s="2"/>
      <c r="D2" s="9">
        <f>SUM(J5:J1465)</f>
        <v>761</v>
      </c>
      <c r="E2" s="4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6"/>
      <c r="BJ2" s="6"/>
      <c r="BK2" s="6"/>
      <c r="BL2" s="6"/>
      <c r="BM2" s="6"/>
      <c r="BN2" s="6"/>
      <c r="BO2" s="6"/>
      <c r="BP2" s="7"/>
      <c r="BQ2" s="6"/>
    </row>
    <row r="3" spans="1:69" ht="15" customHeight="1" x14ac:dyDescent="0.25">
      <c r="A3" s="10">
        <v>1</v>
      </c>
      <c r="B3" s="10"/>
      <c r="C3" s="10">
        <v>2</v>
      </c>
      <c r="D3" s="10">
        <v>3</v>
      </c>
      <c r="E3" s="10">
        <v>4</v>
      </c>
      <c r="F3" s="10">
        <v>5</v>
      </c>
      <c r="G3" s="10">
        <v>6</v>
      </c>
      <c r="H3" s="10">
        <v>7</v>
      </c>
      <c r="I3" s="10">
        <v>8</v>
      </c>
      <c r="J3" s="10">
        <v>9</v>
      </c>
      <c r="K3" s="10">
        <v>10</v>
      </c>
      <c r="L3" s="10">
        <v>11</v>
      </c>
      <c r="M3" s="10">
        <v>12</v>
      </c>
      <c r="N3" s="10">
        <v>13</v>
      </c>
      <c r="O3" s="10">
        <v>14</v>
      </c>
      <c r="P3" s="10">
        <v>15</v>
      </c>
      <c r="Q3" s="10">
        <v>16</v>
      </c>
      <c r="R3" s="10">
        <v>17</v>
      </c>
      <c r="S3" s="10">
        <v>18</v>
      </c>
      <c r="T3" s="10">
        <v>19</v>
      </c>
      <c r="U3" s="10">
        <v>20</v>
      </c>
      <c r="V3" s="10">
        <v>21</v>
      </c>
      <c r="W3" s="10">
        <v>22</v>
      </c>
      <c r="X3" s="10">
        <v>23</v>
      </c>
      <c r="Y3" s="10">
        <v>24</v>
      </c>
      <c r="Z3" s="10">
        <v>25</v>
      </c>
      <c r="AA3" s="10">
        <v>26</v>
      </c>
      <c r="AB3" s="10">
        <v>27</v>
      </c>
      <c r="AC3" s="10">
        <v>28</v>
      </c>
      <c r="AD3" s="10">
        <v>29</v>
      </c>
      <c r="AE3" s="10">
        <v>30</v>
      </c>
      <c r="AF3" s="10">
        <v>31</v>
      </c>
      <c r="AG3" s="10">
        <v>32</v>
      </c>
      <c r="AH3" s="10">
        <v>33</v>
      </c>
      <c r="AI3" s="10">
        <v>34</v>
      </c>
      <c r="AJ3" s="10">
        <v>35</v>
      </c>
      <c r="AK3" s="10">
        <v>36</v>
      </c>
      <c r="AL3" s="10">
        <v>37</v>
      </c>
      <c r="AM3" s="10">
        <v>38</v>
      </c>
      <c r="AN3" s="10">
        <v>39</v>
      </c>
      <c r="AO3" s="10">
        <v>40</v>
      </c>
      <c r="AP3" s="10">
        <v>41</v>
      </c>
      <c r="AQ3" s="10">
        <v>42</v>
      </c>
      <c r="AR3" s="10">
        <v>43</v>
      </c>
      <c r="AS3" s="10">
        <v>44</v>
      </c>
      <c r="AT3" s="10">
        <v>45</v>
      </c>
      <c r="AU3" s="10">
        <v>46</v>
      </c>
      <c r="AV3" s="10">
        <v>47</v>
      </c>
      <c r="AW3" s="10">
        <v>48</v>
      </c>
      <c r="AX3" s="10">
        <v>49</v>
      </c>
      <c r="AY3" s="10">
        <v>50</v>
      </c>
      <c r="AZ3" s="10">
        <v>51</v>
      </c>
      <c r="BA3" s="10">
        <v>52</v>
      </c>
      <c r="BB3" s="10">
        <v>53</v>
      </c>
      <c r="BC3" s="10">
        <v>54</v>
      </c>
      <c r="BD3" s="10">
        <v>55</v>
      </c>
      <c r="BE3" s="10">
        <v>56</v>
      </c>
      <c r="BF3" s="10">
        <v>57</v>
      </c>
      <c r="BG3" s="10">
        <v>58</v>
      </c>
      <c r="BH3" s="10">
        <v>59</v>
      </c>
      <c r="BI3" s="10">
        <v>60</v>
      </c>
      <c r="BJ3" s="10">
        <v>61</v>
      </c>
      <c r="BK3" s="10">
        <v>62</v>
      </c>
      <c r="BL3" s="10">
        <v>63</v>
      </c>
      <c r="BM3" s="10">
        <v>64</v>
      </c>
      <c r="BN3" s="10">
        <v>65</v>
      </c>
      <c r="BO3" s="10">
        <v>66</v>
      </c>
      <c r="BP3" s="11"/>
      <c r="BQ3" s="10"/>
    </row>
    <row r="4" spans="1:69" ht="44.25" customHeight="1" x14ac:dyDescent="0.25">
      <c r="A4" s="12" t="s">
        <v>2</v>
      </c>
      <c r="B4" s="12" t="s">
        <v>3</v>
      </c>
      <c r="C4" s="12" t="s">
        <v>4</v>
      </c>
      <c r="D4" s="12" t="s">
        <v>5</v>
      </c>
      <c r="E4" s="13" t="s">
        <v>6</v>
      </c>
      <c r="F4" s="13" t="s">
        <v>7</v>
      </c>
      <c r="G4" s="13" t="s">
        <v>8</v>
      </c>
      <c r="H4" s="13" t="s">
        <v>9</v>
      </c>
      <c r="I4" s="13" t="s">
        <v>0</v>
      </c>
      <c r="J4" s="13" t="s">
        <v>1</v>
      </c>
      <c r="K4" s="13" t="s">
        <v>10</v>
      </c>
      <c r="L4" s="13" t="s">
        <v>11</v>
      </c>
      <c r="M4" s="13" t="s">
        <v>12</v>
      </c>
      <c r="N4" s="13" t="s">
        <v>13</v>
      </c>
      <c r="O4" s="13" t="s">
        <v>14</v>
      </c>
      <c r="P4" s="13" t="s">
        <v>15</v>
      </c>
      <c r="Q4" s="13" t="s">
        <v>16</v>
      </c>
      <c r="R4" s="13" t="s">
        <v>17</v>
      </c>
      <c r="S4" s="13" t="s">
        <v>18</v>
      </c>
      <c r="T4" s="13" t="s">
        <v>19</v>
      </c>
      <c r="U4" s="13" t="s">
        <v>20</v>
      </c>
      <c r="V4" s="13" t="s">
        <v>21</v>
      </c>
      <c r="W4" s="13" t="s">
        <v>22</v>
      </c>
      <c r="X4" s="13" t="s">
        <v>23</v>
      </c>
      <c r="Y4" s="13" t="s">
        <v>24</v>
      </c>
      <c r="Z4" s="13" t="s">
        <v>25</v>
      </c>
      <c r="AA4" s="13" t="s">
        <v>26</v>
      </c>
      <c r="AB4" s="13" t="s">
        <v>27</v>
      </c>
      <c r="AC4" s="13" t="s">
        <v>28</v>
      </c>
      <c r="AD4" s="13" t="s">
        <v>29</v>
      </c>
      <c r="AE4" s="13" t="s">
        <v>30</v>
      </c>
      <c r="AF4" s="13" t="s">
        <v>31</v>
      </c>
      <c r="AG4" s="13" t="s">
        <v>32</v>
      </c>
      <c r="AH4" s="13" t="s">
        <v>33</v>
      </c>
      <c r="AI4" s="13" t="s">
        <v>34</v>
      </c>
      <c r="AJ4" s="13" t="s">
        <v>35</v>
      </c>
      <c r="AK4" s="13" t="s">
        <v>36</v>
      </c>
      <c r="AL4" s="13" t="s">
        <v>37</v>
      </c>
      <c r="AM4" s="13" t="s">
        <v>38</v>
      </c>
      <c r="AN4" s="13" t="s">
        <v>39</v>
      </c>
      <c r="AO4" s="13" t="s">
        <v>40</v>
      </c>
      <c r="AP4" s="13" t="s">
        <v>41</v>
      </c>
      <c r="AQ4" s="13" t="s">
        <v>42</v>
      </c>
      <c r="AR4" s="13" t="s">
        <v>43</v>
      </c>
      <c r="AS4" s="13" t="s">
        <v>44</v>
      </c>
      <c r="AT4" s="13" t="s">
        <v>45</v>
      </c>
      <c r="AU4" s="13" t="s">
        <v>46</v>
      </c>
      <c r="AV4" s="13" t="s">
        <v>47</v>
      </c>
      <c r="AW4" s="13" t="s">
        <v>48</v>
      </c>
      <c r="AX4" s="13" t="s">
        <v>49</v>
      </c>
      <c r="AY4" s="13" t="s">
        <v>50</v>
      </c>
      <c r="AZ4" s="13" t="s">
        <v>51</v>
      </c>
      <c r="BA4" s="13" t="s">
        <v>52</v>
      </c>
      <c r="BB4" s="13" t="s">
        <v>53</v>
      </c>
      <c r="BC4" s="13" t="s">
        <v>54</v>
      </c>
      <c r="BD4" s="13" t="s">
        <v>55</v>
      </c>
      <c r="BE4" s="13" t="s">
        <v>56</v>
      </c>
      <c r="BF4" s="13" t="s">
        <v>57</v>
      </c>
      <c r="BG4" s="13" t="s">
        <v>58</v>
      </c>
      <c r="BH4" s="13" t="s">
        <v>59</v>
      </c>
      <c r="BI4" s="13" t="s">
        <v>60</v>
      </c>
      <c r="BJ4" s="13" t="s">
        <v>61</v>
      </c>
      <c r="BK4" s="13" t="s">
        <v>62</v>
      </c>
      <c r="BL4" s="13" t="s">
        <v>63</v>
      </c>
      <c r="BM4" s="13" t="s">
        <v>64</v>
      </c>
      <c r="BN4" s="13" t="s">
        <v>65</v>
      </c>
      <c r="BO4" s="13" t="s">
        <v>66</v>
      </c>
      <c r="BP4" s="14" t="s">
        <v>8</v>
      </c>
      <c r="BQ4" s="13" t="s">
        <v>9</v>
      </c>
    </row>
    <row r="5" spans="1:69" ht="30" x14ac:dyDescent="0.25">
      <c r="A5" s="15">
        <v>18</v>
      </c>
      <c r="B5" s="15" t="e">
        <f>VLOOKUP(A5,'[1]Master clients'!F2:W3454,17,0)</f>
        <v>#N/A</v>
      </c>
      <c r="C5" s="15" t="e">
        <f>VLOOKUP(A5,'[1]Master clients'!F2:P3454,11,0)</f>
        <v>#N/A</v>
      </c>
      <c r="D5" s="15" t="e">
        <f>VLOOKUP(A5,'[1]Master clients'!F:M,8,0)</f>
        <v>#N/A</v>
      </c>
      <c r="E5" s="16" t="s">
        <v>67</v>
      </c>
      <c r="F5" s="16" t="s">
        <v>68</v>
      </c>
      <c r="G5" s="17">
        <v>0</v>
      </c>
      <c r="H5" s="17">
        <v>0</v>
      </c>
      <c r="I5" s="18">
        <v>0</v>
      </c>
      <c r="J5" s="18">
        <v>0</v>
      </c>
      <c r="K5" s="17">
        <v>0</v>
      </c>
      <c r="L5" s="17">
        <v>0</v>
      </c>
      <c r="M5" s="17">
        <v>0</v>
      </c>
      <c r="N5" s="17">
        <v>0</v>
      </c>
      <c r="O5" s="19">
        <v>0</v>
      </c>
      <c r="P5" s="19">
        <v>0</v>
      </c>
      <c r="Q5" s="19">
        <v>5</v>
      </c>
      <c r="R5" s="19">
        <v>6</v>
      </c>
      <c r="S5" s="19">
        <v>0</v>
      </c>
      <c r="T5" s="19">
        <v>0</v>
      </c>
      <c r="U5" s="19">
        <v>0</v>
      </c>
      <c r="V5" s="19">
        <v>0</v>
      </c>
      <c r="W5" s="20">
        <v>0</v>
      </c>
      <c r="X5" s="20">
        <v>0</v>
      </c>
      <c r="Y5" s="19">
        <v>0</v>
      </c>
      <c r="Z5" s="19">
        <v>0</v>
      </c>
      <c r="AA5" s="19">
        <v>0</v>
      </c>
      <c r="AB5" s="19">
        <v>0</v>
      </c>
      <c r="AC5" s="19">
        <v>0</v>
      </c>
      <c r="AD5" s="19">
        <v>0</v>
      </c>
      <c r="AE5" s="19">
        <v>0</v>
      </c>
      <c r="AF5" s="19">
        <v>0</v>
      </c>
      <c r="AG5" s="19">
        <v>0</v>
      </c>
      <c r="AH5" s="19">
        <v>0</v>
      </c>
      <c r="AI5" s="20">
        <v>0</v>
      </c>
      <c r="AJ5" s="20">
        <v>0</v>
      </c>
      <c r="AK5" s="19">
        <v>0</v>
      </c>
      <c r="AL5" s="20">
        <v>0</v>
      </c>
      <c r="AM5" s="19">
        <v>0</v>
      </c>
      <c r="AN5" s="19">
        <v>0</v>
      </c>
      <c r="AO5" s="19">
        <v>0</v>
      </c>
      <c r="AP5" s="19">
        <v>0</v>
      </c>
      <c r="AQ5" s="19">
        <v>3</v>
      </c>
      <c r="AR5" s="19">
        <v>0</v>
      </c>
      <c r="AS5" s="19">
        <v>0</v>
      </c>
      <c r="AT5" s="19">
        <v>0</v>
      </c>
      <c r="AU5" s="19">
        <v>0</v>
      </c>
      <c r="AV5" s="19">
        <v>0</v>
      </c>
      <c r="AW5" s="20">
        <v>0</v>
      </c>
      <c r="AX5" s="20">
        <v>0</v>
      </c>
      <c r="AY5" s="20">
        <v>0</v>
      </c>
      <c r="AZ5" s="19">
        <v>0</v>
      </c>
      <c r="BA5" s="19">
        <v>0</v>
      </c>
      <c r="BB5" s="19">
        <v>0</v>
      </c>
      <c r="BC5" s="19">
        <v>0</v>
      </c>
      <c r="BD5" s="19">
        <v>0</v>
      </c>
      <c r="BE5" s="21"/>
      <c r="BF5" s="21"/>
      <c r="BG5" s="19">
        <v>0</v>
      </c>
      <c r="BH5" s="19">
        <v>0</v>
      </c>
      <c r="BI5" s="22">
        <f t="shared" ref="BI5:BI68" si="0">SUM(K5+L5+M5+P5+R5+T5+V5+W5+Y5+Z5+AB5+AC5+AE5+AG5+AH5+AI5+AJ5+AK5+AL5+AN5+AO5+AR5+AS5+AU5+AV5+AW5+AZ5+BA5+BB5+BC5+BE5+BG5)</f>
        <v>6</v>
      </c>
      <c r="BJ5" s="22">
        <f t="shared" ref="BJ5:BJ68" si="1">SUM(N5+O5+Q5+S5+U5+X5+AA5+AD5+AF5+AM5+AP5+AQ5+AT5+AX5+AY5+BD5+BF5+BH5)</f>
        <v>8</v>
      </c>
      <c r="BK5" s="22">
        <f t="shared" ref="BK5:BK68" si="2">SUM(I5:BH5)</f>
        <v>14</v>
      </c>
      <c r="BL5" s="22">
        <f t="shared" ref="BL5:BL7" si="3">SUM(I5+K5+L5+M5+P5+R5+T5+V5+W5+Y5+Z5+AB5+AC5+AE5+AG5+AH5+AI5+AJ5+AK5+AL5+AN5+AO5+AR5+AS5+AU5+AV5+AW5+AZ5+BA5+BB5+BC5+BG5)</f>
        <v>6</v>
      </c>
      <c r="BM5" s="22">
        <f t="shared" ref="BM5:BM68" si="4">SUM(J5+N5+O5+Q5+S5+U5+X5+AA5+AD5+AF5+AM5+AP5+AQ5+AT5+AX5+AY5+BD5+BH5)</f>
        <v>8</v>
      </c>
      <c r="BN5" s="23">
        <f t="shared" ref="BN5:BO20" si="5">I5/BL5</f>
        <v>0</v>
      </c>
      <c r="BO5" s="23">
        <f t="shared" si="5"/>
        <v>0</v>
      </c>
      <c r="BP5" s="7" t="e">
        <f>VLOOKUP(A5,[1]Sheet15!B:E,4,0)</f>
        <v>#N/A</v>
      </c>
      <c r="BQ5" s="7" t="e">
        <f>VLOOKUP(A5,[1]Sheet15!B:E,3,0)</f>
        <v>#N/A</v>
      </c>
    </row>
    <row r="6" spans="1:69" x14ac:dyDescent="0.25">
      <c r="A6" s="15">
        <v>21</v>
      </c>
      <c r="B6" s="15" t="e">
        <f>VLOOKUP(A6,'[1]Master clients'!F3:W3550,17,0)</f>
        <v>#N/A</v>
      </c>
      <c r="C6" s="15" t="e">
        <f>VLOOKUP(A6,'[1]Master clients'!F3:P3550,11,0)</f>
        <v>#N/A</v>
      </c>
      <c r="D6" s="15" t="e">
        <f>VLOOKUP(A6,'[1]Master clients'!F:M,8,0)</f>
        <v>#N/A</v>
      </c>
      <c r="E6" s="16" t="s">
        <v>69</v>
      </c>
      <c r="F6" s="16" t="s">
        <v>70</v>
      </c>
      <c r="G6" s="17">
        <v>0</v>
      </c>
      <c r="H6" s="17">
        <v>0</v>
      </c>
      <c r="I6" s="18">
        <v>0</v>
      </c>
      <c r="J6" s="18">
        <v>0</v>
      </c>
      <c r="K6" s="17">
        <v>2</v>
      </c>
      <c r="L6" s="17">
        <v>0</v>
      </c>
      <c r="M6" s="17">
        <v>0</v>
      </c>
      <c r="N6" s="17">
        <v>0</v>
      </c>
      <c r="O6" s="19">
        <v>0</v>
      </c>
      <c r="P6" s="19">
        <v>0</v>
      </c>
      <c r="Q6" s="19">
        <v>0</v>
      </c>
      <c r="R6" s="19">
        <v>0</v>
      </c>
      <c r="S6" s="19">
        <v>0</v>
      </c>
      <c r="T6" s="19">
        <v>0</v>
      </c>
      <c r="U6" s="19">
        <v>0</v>
      </c>
      <c r="V6" s="19">
        <v>0</v>
      </c>
      <c r="W6" s="20">
        <v>0</v>
      </c>
      <c r="X6" s="20">
        <v>0</v>
      </c>
      <c r="Y6" s="19">
        <v>0</v>
      </c>
      <c r="Z6" s="19">
        <v>0</v>
      </c>
      <c r="AA6" s="19">
        <v>0</v>
      </c>
      <c r="AB6" s="19">
        <v>0</v>
      </c>
      <c r="AC6" s="19">
        <v>0</v>
      </c>
      <c r="AD6" s="19">
        <v>0</v>
      </c>
      <c r="AE6" s="19">
        <v>0</v>
      </c>
      <c r="AF6" s="19">
        <v>0</v>
      </c>
      <c r="AG6" s="19">
        <v>0</v>
      </c>
      <c r="AH6" s="19">
        <v>0</v>
      </c>
      <c r="AI6" s="20">
        <v>0</v>
      </c>
      <c r="AJ6" s="20">
        <v>0</v>
      </c>
      <c r="AK6" s="19">
        <v>0</v>
      </c>
      <c r="AL6" s="20">
        <v>0</v>
      </c>
      <c r="AM6" s="19">
        <v>0</v>
      </c>
      <c r="AN6" s="19">
        <v>0</v>
      </c>
      <c r="AO6" s="19">
        <v>0</v>
      </c>
      <c r="AP6" s="19">
        <v>0</v>
      </c>
      <c r="AQ6" s="19">
        <v>0</v>
      </c>
      <c r="AR6" s="19">
        <v>0</v>
      </c>
      <c r="AS6" s="19">
        <v>0</v>
      </c>
      <c r="AT6" s="19">
        <v>0</v>
      </c>
      <c r="AU6" s="19">
        <v>0</v>
      </c>
      <c r="AV6" s="19">
        <v>0</v>
      </c>
      <c r="AW6" s="20">
        <v>0</v>
      </c>
      <c r="AX6" s="20">
        <v>0</v>
      </c>
      <c r="AY6" s="20">
        <v>0</v>
      </c>
      <c r="AZ6" s="19">
        <v>0</v>
      </c>
      <c r="BA6" s="19">
        <v>0</v>
      </c>
      <c r="BB6" s="19">
        <v>0</v>
      </c>
      <c r="BC6" s="19">
        <v>0</v>
      </c>
      <c r="BD6" s="19">
        <v>0</v>
      </c>
      <c r="BE6" s="21"/>
      <c r="BF6" s="21"/>
      <c r="BG6" s="19">
        <v>0</v>
      </c>
      <c r="BH6" s="19">
        <v>0</v>
      </c>
      <c r="BI6" s="22">
        <f t="shared" si="0"/>
        <v>2</v>
      </c>
      <c r="BJ6" s="22">
        <f t="shared" si="1"/>
        <v>0</v>
      </c>
      <c r="BK6" s="22">
        <f t="shared" si="2"/>
        <v>2</v>
      </c>
      <c r="BL6" s="22">
        <f t="shared" si="3"/>
        <v>2</v>
      </c>
      <c r="BM6" s="22">
        <f t="shared" si="4"/>
        <v>0</v>
      </c>
      <c r="BN6" s="23">
        <f t="shared" si="5"/>
        <v>0</v>
      </c>
      <c r="BO6" s="23" t="e">
        <f t="shared" si="5"/>
        <v>#DIV/0!</v>
      </c>
      <c r="BP6" s="7" t="e">
        <f>VLOOKUP(A6,[1]Sheet15!B:E,4,0)</f>
        <v>#N/A</v>
      </c>
      <c r="BQ6" s="7" t="e">
        <f>VLOOKUP(A6,[1]Sheet15!B:E,3,0)</f>
        <v>#N/A</v>
      </c>
    </row>
    <row r="7" spans="1:69" x14ac:dyDescent="0.25">
      <c r="A7" s="15">
        <v>25</v>
      </c>
      <c r="B7" s="15" t="e">
        <f>VLOOKUP(A7,'[1]Master clients'!F4:W3551,17,0)</f>
        <v>#N/A</v>
      </c>
      <c r="C7" s="15" t="e">
        <f>VLOOKUP(A7,'[1]Master clients'!F4:P3551,11,0)</f>
        <v>#N/A</v>
      </c>
      <c r="D7" s="15" t="e">
        <f>VLOOKUP(A7,'[1]Master clients'!F:M,8,0)</f>
        <v>#N/A</v>
      </c>
      <c r="E7" s="16" t="s">
        <v>71</v>
      </c>
      <c r="F7" s="16" t="s">
        <v>72</v>
      </c>
      <c r="G7" s="17">
        <v>0</v>
      </c>
      <c r="H7" s="17">
        <v>0</v>
      </c>
      <c r="I7" s="18">
        <v>0</v>
      </c>
      <c r="J7" s="18">
        <v>0</v>
      </c>
      <c r="K7" s="17">
        <v>0</v>
      </c>
      <c r="L7" s="17">
        <v>0</v>
      </c>
      <c r="M7" s="17">
        <v>0</v>
      </c>
      <c r="N7" s="17">
        <v>0</v>
      </c>
      <c r="O7" s="19">
        <v>0</v>
      </c>
      <c r="P7" s="19">
        <v>0</v>
      </c>
      <c r="Q7" s="19">
        <v>0</v>
      </c>
      <c r="R7" s="19">
        <v>0</v>
      </c>
      <c r="S7" s="19">
        <v>0</v>
      </c>
      <c r="T7" s="19">
        <v>0</v>
      </c>
      <c r="U7" s="19">
        <v>0</v>
      </c>
      <c r="V7" s="19">
        <v>0</v>
      </c>
      <c r="W7" s="20">
        <v>0</v>
      </c>
      <c r="X7" s="20">
        <v>0</v>
      </c>
      <c r="Y7" s="19">
        <v>0</v>
      </c>
      <c r="Z7" s="19">
        <v>0</v>
      </c>
      <c r="AA7" s="19">
        <v>0</v>
      </c>
      <c r="AB7" s="19">
        <v>0</v>
      </c>
      <c r="AC7" s="19">
        <v>0</v>
      </c>
      <c r="AD7" s="19">
        <v>0</v>
      </c>
      <c r="AE7" s="19">
        <v>0</v>
      </c>
      <c r="AF7" s="19">
        <v>0</v>
      </c>
      <c r="AG7" s="19">
        <v>0</v>
      </c>
      <c r="AH7" s="19">
        <v>0</v>
      </c>
      <c r="AI7" s="20">
        <v>0</v>
      </c>
      <c r="AJ7" s="20">
        <v>0</v>
      </c>
      <c r="AK7" s="19">
        <v>0</v>
      </c>
      <c r="AL7" s="20">
        <v>0</v>
      </c>
      <c r="AM7" s="19">
        <v>0</v>
      </c>
      <c r="AN7" s="19">
        <v>0</v>
      </c>
      <c r="AO7" s="19">
        <v>0</v>
      </c>
      <c r="AP7" s="19">
        <v>0</v>
      </c>
      <c r="AQ7" s="19">
        <v>0</v>
      </c>
      <c r="AR7" s="19">
        <v>0</v>
      </c>
      <c r="AS7" s="19">
        <v>8</v>
      </c>
      <c r="AT7" s="19">
        <v>0</v>
      </c>
      <c r="AU7" s="19">
        <v>0</v>
      </c>
      <c r="AV7" s="19">
        <v>0</v>
      </c>
      <c r="AW7" s="20">
        <v>0</v>
      </c>
      <c r="AX7" s="20">
        <v>0</v>
      </c>
      <c r="AY7" s="20">
        <v>0</v>
      </c>
      <c r="AZ7" s="19">
        <v>0</v>
      </c>
      <c r="BA7" s="19">
        <v>0</v>
      </c>
      <c r="BB7" s="19">
        <v>0</v>
      </c>
      <c r="BC7" s="19">
        <v>0</v>
      </c>
      <c r="BD7" s="19">
        <v>0</v>
      </c>
      <c r="BE7" s="21"/>
      <c r="BF7" s="21"/>
      <c r="BG7" s="19">
        <v>0</v>
      </c>
      <c r="BH7" s="19">
        <v>0</v>
      </c>
      <c r="BI7" s="22">
        <f t="shared" si="0"/>
        <v>8</v>
      </c>
      <c r="BJ7" s="22">
        <f t="shared" si="1"/>
        <v>0</v>
      </c>
      <c r="BK7" s="22">
        <f t="shared" si="2"/>
        <v>8</v>
      </c>
      <c r="BL7" s="22">
        <f t="shared" si="3"/>
        <v>8</v>
      </c>
      <c r="BM7" s="22">
        <f t="shared" si="4"/>
        <v>0</v>
      </c>
      <c r="BN7" s="23">
        <f t="shared" si="5"/>
        <v>0</v>
      </c>
      <c r="BO7" s="23" t="e">
        <f t="shared" si="5"/>
        <v>#DIV/0!</v>
      </c>
      <c r="BP7" s="7" t="e">
        <f>VLOOKUP(A7,[1]Sheet15!B:E,4,0)</f>
        <v>#N/A</v>
      </c>
      <c r="BQ7" s="7" t="e">
        <f>VLOOKUP(A7,[1]Sheet15!B:E,3,0)</f>
        <v>#N/A</v>
      </c>
    </row>
    <row r="8" spans="1:69" x14ac:dyDescent="0.25">
      <c r="A8" s="15">
        <v>28</v>
      </c>
      <c r="B8" s="15" t="e">
        <f>VLOOKUP(A8,'[1]Master clients'!F5:W3552,17,0)</f>
        <v>#N/A</v>
      </c>
      <c r="C8" s="15" t="e">
        <f>VLOOKUP(A8,'[1]Master clients'!F5:P3552,11,0)</f>
        <v>#N/A</v>
      </c>
      <c r="D8" s="15" t="e">
        <f>VLOOKUP(A8,'[1]Master clients'!F:M,8,0)</f>
        <v>#N/A</v>
      </c>
      <c r="E8" s="16" t="s">
        <v>73</v>
      </c>
      <c r="F8" s="16" t="s">
        <v>74</v>
      </c>
      <c r="G8" s="17">
        <v>0</v>
      </c>
      <c r="H8" s="17">
        <v>0</v>
      </c>
      <c r="I8" s="18">
        <v>0</v>
      </c>
      <c r="J8" s="18">
        <v>0</v>
      </c>
      <c r="K8" s="17">
        <v>0</v>
      </c>
      <c r="L8" s="17">
        <v>0</v>
      </c>
      <c r="M8" s="17">
        <v>0</v>
      </c>
      <c r="N8" s="17">
        <v>0</v>
      </c>
      <c r="O8" s="19">
        <v>0</v>
      </c>
      <c r="P8" s="19">
        <v>0</v>
      </c>
      <c r="Q8" s="19">
        <v>9</v>
      </c>
      <c r="R8" s="19">
        <v>14</v>
      </c>
      <c r="S8" s="19">
        <v>0</v>
      </c>
      <c r="T8" s="19">
        <v>0</v>
      </c>
      <c r="U8" s="19">
        <v>0</v>
      </c>
      <c r="V8" s="19">
        <v>0</v>
      </c>
      <c r="W8" s="20">
        <v>0</v>
      </c>
      <c r="X8" s="20">
        <v>0</v>
      </c>
      <c r="Y8" s="19">
        <v>0</v>
      </c>
      <c r="Z8" s="19">
        <v>0</v>
      </c>
      <c r="AA8" s="19">
        <v>0</v>
      </c>
      <c r="AB8" s="19">
        <v>0</v>
      </c>
      <c r="AC8" s="19">
        <v>0</v>
      </c>
      <c r="AD8" s="19">
        <v>0</v>
      </c>
      <c r="AE8" s="19">
        <v>0</v>
      </c>
      <c r="AF8" s="19">
        <v>0</v>
      </c>
      <c r="AG8" s="19">
        <v>0</v>
      </c>
      <c r="AH8" s="19">
        <v>0</v>
      </c>
      <c r="AI8" s="20">
        <v>0</v>
      </c>
      <c r="AJ8" s="20">
        <v>0</v>
      </c>
      <c r="AK8" s="19">
        <v>0</v>
      </c>
      <c r="AL8" s="20">
        <v>0</v>
      </c>
      <c r="AM8" s="19">
        <v>0</v>
      </c>
      <c r="AN8" s="19">
        <v>0</v>
      </c>
      <c r="AO8" s="19">
        <v>0</v>
      </c>
      <c r="AP8" s="19">
        <v>0</v>
      </c>
      <c r="AQ8" s="19">
        <v>0</v>
      </c>
      <c r="AR8" s="19">
        <v>0</v>
      </c>
      <c r="AS8" s="19">
        <v>0</v>
      </c>
      <c r="AT8" s="19">
        <v>0</v>
      </c>
      <c r="AU8" s="19">
        <v>0</v>
      </c>
      <c r="AV8" s="19">
        <v>0</v>
      </c>
      <c r="AW8" s="20">
        <v>0</v>
      </c>
      <c r="AX8" s="20">
        <v>0</v>
      </c>
      <c r="AY8" s="20">
        <v>0</v>
      </c>
      <c r="AZ8" s="19">
        <v>0</v>
      </c>
      <c r="BA8" s="19">
        <v>0</v>
      </c>
      <c r="BB8" s="19">
        <v>0</v>
      </c>
      <c r="BC8" s="19">
        <v>0</v>
      </c>
      <c r="BD8" s="19">
        <v>0</v>
      </c>
      <c r="BE8" s="21"/>
      <c r="BF8" s="21"/>
      <c r="BG8" s="19">
        <v>0</v>
      </c>
      <c r="BH8" s="19">
        <v>0</v>
      </c>
      <c r="BI8" s="22">
        <f t="shared" si="0"/>
        <v>14</v>
      </c>
      <c r="BJ8" s="22">
        <f t="shared" si="1"/>
        <v>9</v>
      </c>
      <c r="BK8" s="22">
        <f t="shared" si="2"/>
        <v>23</v>
      </c>
      <c r="BL8" s="22">
        <f t="shared" ref="BL8:BL11" si="6">SUM(I8+K8+L8+M8+P8+R8+T8+V8+W8+Y8+Z8+AB8+AC8+AE8+AG8+AH8+AI8+AJ8+AK8+AL8+AN8+AO8+AR8+AS8+AU8+AV8+AW8+AZ8+BA8+BB8+BC8+BG8+BE8)</f>
        <v>14</v>
      </c>
      <c r="BM8" s="22">
        <f t="shared" si="4"/>
        <v>9</v>
      </c>
      <c r="BN8" s="23">
        <f t="shared" si="5"/>
        <v>0</v>
      </c>
      <c r="BO8" s="23">
        <f t="shared" si="5"/>
        <v>0</v>
      </c>
      <c r="BP8" s="7" t="e">
        <f>VLOOKUP(A8,[1]Sheet15!B:E,4,0)</f>
        <v>#N/A</v>
      </c>
      <c r="BQ8" s="7" t="e">
        <f>VLOOKUP(A8,[1]Sheet15!B:E,3,0)</f>
        <v>#N/A</v>
      </c>
    </row>
    <row r="9" spans="1:69" ht="30" x14ac:dyDescent="0.25">
      <c r="A9" s="15">
        <v>32</v>
      </c>
      <c r="B9" s="15" t="e">
        <f>VLOOKUP(A9,'[1]Master clients'!F6:W3553,17,0)</f>
        <v>#N/A</v>
      </c>
      <c r="C9" s="15" t="e">
        <f>VLOOKUP(A9,'[1]Master clients'!F6:P3553,11,0)</f>
        <v>#N/A</v>
      </c>
      <c r="D9" s="15" t="e">
        <f>VLOOKUP(A9,'[1]Master clients'!F:M,8,0)</f>
        <v>#N/A</v>
      </c>
      <c r="E9" s="24" t="s">
        <v>75</v>
      </c>
      <c r="F9" s="25" t="s">
        <v>76</v>
      </c>
      <c r="G9" s="20">
        <v>0</v>
      </c>
      <c r="H9" s="20">
        <v>0</v>
      </c>
      <c r="I9" s="26">
        <v>0</v>
      </c>
      <c r="J9" s="26">
        <v>0</v>
      </c>
      <c r="K9" s="20">
        <v>0</v>
      </c>
      <c r="L9" s="20">
        <v>0</v>
      </c>
      <c r="M9" s="20">
        <v>0</v>
      </c>
      <c r="N9" s="20">
        <v>0</v>
      </c>
      <c r="O9" s="20">
        <v>0</v>
      </c>
      <c r="P9" s="20">
        <v>0</v>
      </c>
      <c r="Q9" s="20">
        <v>7</v>
      </c>
      <c r="R9" s="20">
        <v>14</v>
      </c>
      <c r="S9" s="20">
        <v>0</v>
      </c>
      <c r="T9" s="20">
        <v>0</v>
      </c>
      <c r="U9" s="20">
        <v>0</v>
      </c>
      <c r="V9" s="20">
        <v>0</v>
      </c>
      <c r="W9" s="20">
        <v>0</v>
      </c>
      <c r="X9" s="20">
        <v>0</v>
      </c>
      <c r="Y9" s="20">
        <v>0</v>
      </c>
      <c r="Z9" s="20">
        <v>0</v>
      </c>
      <c r="AA9" s="20">
        <v>0</v>
      </c>
      <c r="AB9" s="20">
        <v>0</v>
      </c>
      <c r="AC9" s="20">
        <v>0</v>
      </c>
      <c r="AD9" s="20">
        <v>0</v>
      </c>
      <c r="AE9" s="20">
        <v>0</v>
      </c>
      <c r="AF9" s="20">
        <v>0</v>
      </c>
      <c r="AG9" s="20">
        <v>0</v>
      </c>
      <c r="AH9" s="20">
        <v>0</v>
      </c>
      <c r="AI9" s="20">
        <v>0</v>
      </c>
      <c r="AJ9" s="20">
        <v>0</v>
      </c>
      <c r="AK9" s="20">
        <v>0</v>
      </c>
      <c r="AL9" s="20">
        <v>0</v>
      </c>
      <c r="AM9" s="20">
        <v>0</v>
      </c>
      <c r="AN9" s="20">
        <v>0</v>
      </c>
      <c r="AO9" s="20">
        <v>0</v>
      </c>
      <c r="AP9" s="20">
        <v>0</v>
      </c>
      <c r="AQ9" s="20">
        <v>0</v>
      </c>
      <c r="AR9" s="20">
        <v>0</v>
      </c>
      <c r="AS9" s="20">
        <v>0</v>
      </c>
      <c r="AT9" s="20">
        <v>0</v>
      </c>
      <c r="AU9" s="20">
        <v>0</v>
      </c>
      <c r="AV9" s="20">
        <v>0</v>
      </c>
      <c r="AW9" s="20">
        <v>0</v>
      </c>
      <c r="AX9" s="20">
        <v>0</v>
      </c>
      <c r="AY9" s="20">
        <v>0</v>
      </c>
      <c r="AZ9" s="20">
        <v>0</v>
      </c>
      <c r="BA9" s="20">
        <v>0</v>
      </c>
      <c r="BB9" s="27">
        <v>0</v>
      </c>
      <c r="BC9" s="20">
        <v>0</v>
      </c>
      <c r="BD9" s="20">
        <v>0</v>
      </c>
      <c r="BE9" s="21"/>
      <c r="BF9" s="21"/>
      <c r="BG9" s="20">
        <v>0</v>
      </c>
      <c r="BH9" s="20">
        <v>0</v>
      </c>
      <c r="BI9" s="22">
        <f t="shared" si="0"/>
        <v>14</v>
      </c>
      <c r="BJ9" s="22">
        <f t="shared" si="1"/>
        <v>7</v>
      </c>
      <c r="BK9" s="28">
        <f t="shared" si="2"/>
        <v>21</v>
      </c>
      <c r="BL9" s="22">
        <f t="shared" si="6"/>
        <v>14</v>
      </c>
      <c r="BM9" s="22">
        <f t="shared" si="4"/>
        <v>7</v>
      </c>
      <c r="BN9" s="23">
        <f t="shared" si="5"/>
        <v>0</v>
      </c>
      <c r="BO9" s="23">
        <f t="shared" si="5"/>
        <v>0</v>
      </c>
      <c r="BP9" s="7" t="e">
        <f>VLOOKUP(A9,[1]Sheet15!B:E,4,0)</f>
        <v>#N/A</v>
      </c>
      <c r="BQ9" s="7" t="e">
        <f>VLOOKUP(A9,[1]Sheet15!B:E,3,0)</f>
        <v>#N/A</v>
      </c>
    </row>
    <row r="10" spans="1:69" x14ac:dyDescent="0.25">
      <c r="A10" s="15">
        <v>33</v>
      </c>
      <c r="B10" s="15" t="e">
        <f>VLOOKUP(A10,'[1]Master clients'!F7:W3554,17,0)</f>
        <v>#N/A</v>
      </c>
      <c r="C10" s="15" t="e">
        <f>VLOOKUP(A10,'[1]Master clients'!F7:P3554,11,0)</f>
        <v>#N/A</v>
      </c>
      <c r="D10" s="15" t="e">
        <f>VLOOKUP(A10,'[1]Master clients'!F:M,8,0)</f>
        <v>#N/A</v>
      </c>
      <c r="E10" s="24" t="s">
        <v>77</v>
      </c>
      <c r="F10" s="25" t="s">
        <v>76</v>
      </c>
      <c r="G10" s="20">
        <v>0</v>
      </c>
      <c r="H10" s="20">
        <v>0</v>
      </c>
      <c r="I10" s="26">
        <v>0</v>
      </c>
      <c r="J10" s="26">
        <v>0</v>
      </c>
      <c r="K10" s="20">
        <v>1</v>
      </c>
      <c r="L10" s="20">
        <v>0</v>
      </c>
      <c r="M10" s="20">
        <v>0</v>
      </c>
      <c r="N10" s="20">
        <v>0</v>
      </c>
      <c r="O10" s="20">
        <v>0</v>
      </c>
      <c r="P10" s="20">
        <v>0</v>
      </c>
      <c r="Q10" s="20">
        <v>0</v>
      </c>
      <c r="R10" s="20">
        <v>0</v>
      </c>
      <c r="S10" s="20">
        <v>0</v>
      </c>
      <c r="T10" s="20">
        <v>0</v>
      </c>
      <c r="U10" s="20">
        <v>0</v>
      </c>
      <c r="V10" s="20">
        <v>0</v>
      </c>
      <c r="W10" s="20">
        <v>0</v>
      </c>
      <c r="X10" s="20">
        <v>0</v>
      </c>
      <c r="Y10" s="20">
        <v>0</v>
      </c>
      <c r="Z10" s="20">
        <v>0</v>
      </c>
      <c r="AA10" s="20">
        <v>0</v>
      </c>
      <c r="AB10" s="20">
        <v>0</v>
      </c>
      <c r="AC10" s="20">
        <v>0</v>
      </c>
      <c r="AD10" s="20">
        <v>0</v>
      </c>
      <c r="AE10" s="20">
        <v>0</v>
      </c>
      <c r="AF10" s="20">
        <v>0</v>
      </c>
      <c r="AG10" s="20">
        <v>0</v>
      </c>
      <c r="AH10" s="20">
        <v>0</v>
      </c>
      <c r="AI10" s="20">
        <v>0</v>
      </c>
      <c r="AJ10" s="20">
        <v>0</v>
      </c>
      <c r="AK10" s="20">
        <v>0</v>
      </c>
      <c r="AL10" s="20">
        <v>0</v>
      </c>
      <c r="AM10" s="20">
        <v>0</v>
      </c>
      <c r="AN10" s="20">
        <v>0</v>
      </c>
      <c r="AO10" s="20">
        <v>0</v>
      </c>
      <c r="AP10" s="20">
        <v>0</v>
      </c>
      <c r="AQ10" s="20">
        <v>0</v>
      </c>
      <c r="AR10" s="20">
        <v>0</v>
      </c>
      <c r="AS10" s="20">
        <v>0</v>
      </c>
      <c r="AT10" s="20">
        <v>0</v>
      </c>
      <c r="AU10" s="20">
        <v>0</v>
      </c>
      <c r="AV10" s="20">
        <v>0</v>
      </c>
      <c r="AW10" s="20">
        <v>0</v>
      </c>
      <c r="AX10" s="20">
        <v>0</v>
      </c>
      <c r="AY10" s="20">
        <v>0</v>
      </c>
      <c r="AZ10" s="20">
        <v>0</v>
      </c>
      <c r="BA10" s="20">
        <v>0</v>
      </c>
      <c r="BB10" s="27">
        <v>0</v>
      </c>
      <c r="BC10" s="20">
        <v>0</v>
      </c>
      <c r="BD10" s="20">
        <v>0</v>
      </c>
      <c r="BE10" s="21">
        <v>0</v>
      </c>
      <c r="BF10" s="21">
        <v>0</v>
      </c>
      <c r="BG10" s="20">
        <v>0</v>
      </c>
      <c r="BH10" s="20">
        <v>0</v>
      </c>
      <c r="BI10" s="22">
        <f t="shared" si="0"/>
        <v>1</v>
      </c>
      <c r="BJ10" s="22">
        <f t="shared" si="1"/>
        <v>0</v>
      </c>
      <c r="BK10" s="28">
        <f t="shared" si="2"/>
        <v>1</v>
      </c>
      <c r="BL10" s="22">
        <f t="shared" si="6"/>
        <v>1</v>
      </c>
      <c r="BM10" s="22">
        <f t="shared" si="4"/>
        <v>0</v>
      </c>
      <c r="BN10" s="23">
        <f t="shared" si="5"/>
        <v>0</v>
      </c>
      <c r="BO10" s="23" t="e">
        <f t="shared" si="5"/>
        <v>#DIV/0!</v>
      </c>
      <c r="BP10" s="7" t="e">
        <f>VLOOKUP(A10,[1]Sheet15!B:E,4,0)</f>
        <v>#N/A</v>
      </c>
      <c r="BQ10" s="7" t="e">
        <f>VLOOKUP(A10,[1]Sheet15!B:E,3,0)</f>
        <v>#N/A</v>
      </c>
    </row>
    <row r="11" spans="1:69" ht="45" x14ac:dyDescent="0.25">
      <c r="A11" s="15">
        <v>35</v>
      </c>
      <c r="B11" s="15" t="e">
        <f>VLOOKUP(A11,'[1]Master clients'!F8:W3555,17,0)</f>
        <v>#N/A</v>
      </c>
      <c r="C11" s="15" t="e">
        <f>VLOOKUP(A11,'[1]Master clients'!F8:P3555,11,0)</f>
        <v>#N/A</v>
      </c>
      <c r="D11" s="15" t="e">
        <f>VLOOKUP(A11,'[1]Master clients'!F:M,8,0)</f>
        <v>#N/A</v>
      </c>
      <c r="E11" s="16" t="s">
        <v>78</v>
      </c>
      <c r="F11" s="16" t="s">
        <v>79</v>
      </c>
      <c r="G11" s="17">
        <v>0</v>
      </c>
      <c r="H11" s="17">
        <v>0</v>
      </c>
      <c r="I11" s="18">
        <v>0</v>
      </c>
      <c r="J11" s="18">
        <v>0</v>
      </c>
      <c r="K11" s="17">
        <v>0</v>
      </c>
      <c r="L11" s="17">
        <v>0</v>
      </c>
      <c r="M11" s="17">
        <v>0</v>
      </c>
      <c r="N11" s="17">
        <v>0</v>
      </c>
      <c r="O11" s="19">
        <v>0</v>
      </c>
      <c r="P11" s="19">
        <v>0</v>
      </c>
      <c r="Q11" s="19">
        <v>0</v>
      </c>
      <c r="R11" s="19">
        <v>2</v>
      </c>
      <c r="S11" s="19">
        <v>0</v>
      </c>
      <c r="T11" s="19">
        <v>4</v>
      </c>
      <c r="U11" s="19">
        <v>0</v>
      </c>
      <c r="V11" s="19">
        <v>0</v>
      </c>
      <c r="W11" s="20">
        <v>0</v>
      </c>
      <c r="X11" s="20">
        <v>0</v>
      </c>
      <c r="Y11" s="19">
        <v>0</v>
      </c>
      <c r="Z11" s="19">
        <v>0</v>
      </c>
      <c r="AA11" s="19">
        <v>0</v>
      </c>
      <c r="AB11" s="19">
        <v>0</v>
      </c>
      <c r="AC11" s="19">
        <v>0</v>
      </c>
      <c r="AD11" s="19">
        <v>0</v>
      </c>
      <c r="AE11" s="19">
        <v>0</v>
      </c>
      <c r="AF11" s="19">
        <v>0</v>
      </c>
      <c r="AG11" s="19">
        <v>0</v>
      </c>
      <c r="AH11" s="19">
        <v>0</v>
      </c>
      <c r="AI11" s="20">
        <v>0</v>
      </c>
      <c r="AJ11" s="20">
        <v>0</v>
      </c>
      <c r="AK11" s="19">
        <v>0</v>
      </c>
      <c r="AL11" s="20">
        <v>0</v>
      </c>
      <c r="AM11" s="19">
        <v>0</v>
      </c>
      <c r="AN11" s="19">
        <v>0</v>
      </c>
      <c r="AO11" s="19">
        <v>0</v>
      </c>
      <c r="AP11" s="19">
        <v>0</v>
      </c>
      <c r="AQ11" s="19">
        <v>0</v>
      </c>
      <c r="AR11" s="19">
        <v>0</v>
      </c>
      <c r="AS11" s="19">
        <v>0</v>
      </c>
      <c r="AT11" s="19">
        <v>0</v>
      </c>
      <c r="AU11" s="19">
        <v>0</v>
      </c>
      <c r="AV11" s="19">
        <v>0</v>
      </c>
      <c r="AW11" s="20">
        <v>0</v>
      </c>
      <c r="AX11" s="20">
        <v>0</v>
      </c>
      <c r="AY11" s="20">
        <v>0</v>
      </c>
      <c r="AZ11" s="19">
        <v>0</v>
      </c>
      <c r="BA11" s="19">
        <v>0</v>
      </c>
      <c r="BB11" s="19">
        <v>0</v>
      </c>
      <c r="BC11" s="19">
        <v>0</v>
      </c>
      <c r="BD11" s="19">
        <v>0</v>
      </c>
      <c r="BE11" s="21"/>
      <c r="BF11" s="21"/>
      <c r="BG11" s="19">
        <v>0</v>
      </c>
      <c r="BH11" s="19">
        <v>0</v>
      </c>
      <c r="BI11" s="22">
        <f t="shared" si="0"/>
        <v>6</v>
      </c>
      <c r="BJ11" s="22">
        <f t="shared" si="1"/>
        <v>0</v>
      </c>
      <c r="BK11" s="22">
        <f t="shared" si="2"/>
        <v>6</v>
      </c>
      <c r="BL11" s="22">
        <f t="shared" si="6"/>
        <v>6</v>
      </c>
      <c r="BM11" s="22">
        <f t="shared" si="4"/>
        <v>0</v>
      </c>
      <c r="BN11" s="23">
        <f t="shared" si="5"/>
        <v>0</v>
      </c>
      <c r="BO11" s="23" t="e">
        <f t="shared" si="5"/>
        <v>#DIV/0!</v>
      </c>
      <c r="BP11" s="7" t="e">
        <f>VLOOKUP(A11,[1]Sheet15!B:E,4,0)</f>
        <v>#N/A</v>
      </c>
      <c r="BQ11" s="7" t="e">
        <f>VLOOKUP(A11,[1]Sheet15!B:E,3,0)</f>
        <v>#N/A</v>
      </c>
    </row>
    <row r="12" spans="1:69" x14ac:dyDescent="0.25">
      <c r="A12" s="15">
        <v>36</v>
      </c>
      <c r="B12" s="15" t="e">
        <f>VLOOKUP(A12,'[1]Master clients'!F9:W3556,17,0)</f>
        <v>#N/A</v>
      </c>
      <c r="C12" s="15" t="e">
        <f>VLOOKUP(A12,'[1]Master clients'!F9:P3556,11,0)</f>
        <v>#N/A</v>
      </c>
      <c r="D12" s="15" t="e">
        <f>VLOOKUP(A12,'[1]Master clients'!F:M,8,0)</f>
        <v>#N/A</v>
      </c>
      <c r="E12" s="16" t="s">
        <v>80</v>
      </c>
      <c r="F12" s="16" t="s">
        <v>79</v>
      </c>
      <c r="G12" s="17">
        <v>0</v>
      </c>
      <c r="H12" s="17">
        <v>0</v>
      </c>
      <c r="I12" s="18">
        <v>0</v>
      </c>
      <c r="J12" s="18">
        <v>0</v>
      </c>
      <c r="K12" s="17">
        <v>0</v>
      </c>
      <c r="L12" s="17">
        <v>0</v>
      </c>
      <c r="M12" s="17">
        <v>8</v>
      </c>
      <c r="N12" s="17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20">
        <v>0</v>
      </c>
      <c r="X12" s="20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  <c r="AG12" s="19">
        <v>0</v>
      </c>
      <c r="AH12" s="19">
        <v>0</v>
      </c>
      <c r="AI12" s="20">
        <v>0</v>
      </c>
      <c r="AJ12" s="20">
        <v>0</v>
      </c>
      <c r="AK12" s="19">
        <v>0</v>
      </c>
      <c r="AL12" s="20">
        <v>0</v>
      </c>
      <c r="AM12" s="19">
        <v>0</v>
      </c>
      <c r="AN12" s="19">
        <v>0</v>
      </c>
      <c r="AO12" s="19">
        <v>0</v>
      </c>
      <c r="AP12" s="19">
        <v>0</v>
      </c>
      <c r="AQ12" s="19">
        <v>0</v>
      </c>
      <c r="AR12" s="19">
        <v>0</v>
      </c>
      <c r="AS12" s="19">
        <v>0</v>
      </c>
      <c r="AT12" s="19">
        <v>0</v>
      </c>
      <c r="AU12" s="19">
        <v>2</v>
      </c>
      <c r="AV12" s="19">
        <v>0</v>
      </c>
      <c r="AW12" s="20">
        <v>0</v>
      </c>
      <c r="AX12" s="20">
        <v>0</v>
      </c>
      <c r="AY12" s="20">
        <v>0</v>
      </c>
      <c r="AZ12" s="19">
        <v>0</v>
      </c>
      <c r="BA12" s="19">
        <v>0</v>
      </c>
      <c r="BB12" s="19">
        <v>0</v>
      </c>
      <c r="BC12" s="19">
        <v>0</v>
      </c>
      <c r="BD12" s="19">
        <v>0</v>
      </c>
      <c r="BE12" s="21">
        <v>0</v>
      </c>
      <c r="BF12" s="21">
        <v>0</v>
      </c>
      <c r="BG12" s="19">
        <v>0</v>
      </c>
      <c r="BH12" s="19">
        <v>0</v>
      </c>
      <c r="BI12" s="22">
        <f t="shared" si="0"/>
        <v>10</v>
      </c>
      <c r="BJ12" s="22">
        <f t="shared" si="1"/>
        <v>0</v>
      </c>
      <c r="BK12" s="22">
        <f t="shared" si="2"/>
        <v>10</v>
      </c>
      <c r="BL12" s="22">
        <f t="shared" ref="BL12:BL17" si="7">SUM(I12+K12+L12+M12+P12+R12+T12+V12+W12+Y12+Z12+AB12+AC12+AE12+AG12+AH12+AI12+AJ12+AK12+AL12+AN12+AO12+AR12+AS12+AU12+AV12+AW12+AZ12+BA12+BB12+BC12+BG12)</f>
        <v>10</v>
      </c>
      <c r="BM12" s="22">
        <f t="shared" si="4"/>
        <v>0</v>
      </c>
      <c r="BN12" s="23">
        <f t="shared" si="5"/>
        <v>0</v>
      </c>
      <c r="BO12" s="23" t="e">
        <f t="shared" si="5"/>
        <v>#DIV/0!</v>
      </c>
      <c r="BP12" s="7" t="e">
        <f>VLOOKUP(A12,[1]Sheet15!B:E,4,0)</f>
        <v>#N/A</v>
      </c>
      <c r="BQ12" s="7" t="e">
        <f>VLOOKUP(A12,[1]Sheet15!B:E,3,0)</f>
        <v>#N/A</v>
      </c>
    </row>
    <row r="13" spans="1:69" ht="30" x14ac:dyDescent="0.25">
      <c r="A13" s="15">
        <v>37</v>
      </c>
      <c r="B13" s="15" t="e">
        <f>VLOOKUP(A13,'[1]Master clients'!F10:W3557,17,0)</f>
        <v>#N/A</v>
      </c>
      <c r="C13" s="15" t="e">
        <f>VLOOKUP(A13,'[1]Master clients'!F10:P3557,11,0)</f>
        <v>#N/A</v>
      </c>
      <c r="D13" s="15" t="e">
        <f>VLOOKUP(A13,'[1]Master clients'!F:M,8,0)</f>
        <v>#N/A</v>
      </c>
      <c r="E13" s="16" t="s">
        <v>81</v>
      </c>
      <c r="F13" s="16" t="s">
        <v>79</v>
      </c>
      <c r="G13" s="17">
        <v>0</v>
      </c>
      <c r="H13" s="17">
        <v>0</v>
      </c>
      <c r="I13" s="18">
        <v>0</v>
      </c>
      <c r="J13" s="18">
        <v>0</v>
      </c>
      <c r="K13" s="17">
        <v>0</v>
      </c>
      <c r="L13" s="17">
        <v>0</v>
      </c>
      <c r="M13" s="17">
        <v>2</v>
      </c>
      <c r="N13" s="17">
        <v>6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6</v>
      </c>
      <c r="U13" s="19">
        <v>0</v>
      </c>
      <c r="V13" s="19">
        <v>0</v>
      </c>
      <c r="W13" s="20">
        <v>0</v>
      </c>
      <c r="X13" s="20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  <c r="AG13" s="19">
        <v>0</v>
      </c>
      <c r="AH13" s="19">
        <v>0</v>
      </c>
      <c r="AI13" s="20">
        <v>0</v>
      </c>
      <c r="AJ13" s="20">
        <v>0</v>
      </c>
      <c r="AK13" s="19">
        <v>0</v>
      </c>
      <c r="AL13" s="20">
        <v>0</v>
      </c>
      <c r="AM13" s="19">
        <v>0</v>
      </c>
      <c r="AN13" s="19">
        <v>0</v>
      </c>
      <c r="AO13" s="19">
        <v>0</v>
      </c>
      <c r="AP13" s="19">
        <v>0</v>
      </c>
      <c r="AQ13" s="19">
        <v>0</v>
      </c>
      <c r="AR13" s="19">
        <v>0</v>
      </c>
      <c r="AS13" s="19">
        <v>0</v>
      </c>
      <c r="AT13" s="19">
        <v>0</v>
      </c>
      <c r="AU13" s="19">
        <v>0</v>
      </c>
      <c r="AV13" s="19">
        <v>0</v>
      </c>
      <c r="AW13" s="20">
        <v>0</v>
      </c>
      <c r="AX13" s="20">
        <v>0</v>
      </c>
      <c r="AY13" s="20">
        <v>0</v>
      </c>
      <c r="AZ13" s="19">
        <v>0</v>
      </c>
      <c r="BA13" s="19">
        <v>0</v>
      </c>
      <c r="BB13" s="19">
        <v>0</v>
      </c>
      <c r="BC13" s="19">
        <v>0</v>
      </c>
      <c r="BD13" s="19">
        <v>0</v>
      </c>
      <c r="BE13" s="21"/>
      <c r="BF13" s="21"/>
      <c r="BG13" s="19">
        <v>0</v>
      </c>
      <c r="BH13" s="19">
        <v>0</v>
      </c>
      <c r="BI13" s="22">
        <f t="shared" si="0"/>
        <v>8</v>
      </c>
      <c r="BJ13" s="22">
        <f t="shared" si="1"/>
        <v>6</v>
      </c>
      <c r="BK13" s="22">
        <f t="shared" si="2"/>
        <v>14</v>
      </c>
      <c r="BL13" s="22">
        <f t="shared" si="7"/>
        <v>8</v>
      </c>
      <c r="BM13" s="22">
        <f t="shared" si="4"/>
        <v>6</v>
      </c>
      <c r="BN13" s="23">
        <f t="shared" si="5"/>
        <v>0</v>
      </c>
      <c r="BO13" s="23">
        <f t="shared" si="5"/>
        <v>0</v>
      </c>
      <c r="BP13" s="7" t="e">
        <f>VLOOKUP(A13,[1]Sheet15!B:E,4,0)</f>
        <v>#N/A</v>
      </c>
      <c r="BQ13" s="7" t="e">
        <f>VLOOKUP(A13,[1]Sheet15!B:E,3,0)</f>
        <v>#N/A</v>
      </c>
    </row>
    <row r="14" spans="1:69" x14ac:dyDescent="0.25">
      <c r="A14" s="15">
        <v>38</v>
      </c>
      <c r="B14" s="15" t="e">
        <f>VLOOKUP(A14,'[1]Master clients'!F11:W3558,17,0)</f>
        <v>#N/A</v>
      </c>
      <c r="C14" s="15" t="e">
        <f>VLOOKUP(A14,'[1]Master clients'!F11:P3558,11,0)</f>
        <v>#N/A</v>
      </c>
      <c r="D14" s="15" t="e">
        <f>VLOOKUP(A14,'[1]Master clients'!F:M,8,0)</f>
        <v>#N/A</v>
      </c>
      <c r="E14" s="16" t="s">
        <v>82</v>
      </c>
      <c r="F14" s="16" t="s">
        <v>83</v>
      </c>
      <c r="G14" s="17">
        <v>0</v>
      </c>
      <c r="H14" s="17">
        <v>0</v>
      </c>
      <c r="I14" s="18">
        <v>0</v>
      </c>
      <c r="J14" s="18">
        <v>0</v>
      </c>
      <c r="K14" s="17">
        <v>0</v>
      </c>
      <c r="L14" s="17">
        <v>0</v>
      </c>
      <c r="M14" s="17">
        <v>0</v>
      </c>
      <c r="N14" s="17">
        <v>0</v>
      </c>
      <c r="O14" s="19">
        <v>0</v>
      </c>
      <c r="P14" s="19">
        <v>0</v>
      </c>
      <c r="Q14" s="19">
        <v>2</v>
      </c>
      <c r="R14" s="19">
        <v>7</v>
      </c>
      <c r="S14" s="19">
        <v>0</v>
      </c>
      <c r="T14" s="19">
        <v>0</v>
      </c>
      <c r="U14" s="19">
        <v>0</v>
      </c>
      <c r="V14" s="19">
        <v>0</v>
      </c>
      <c r="W14" s="20">
        <v>0</v>
      </c>
      <c r="X14" s="20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  <c r="AG14" s="19">
        <v>0</v>
      </c>
      <c r="AH14" s="19">
        <v>0</v>
      </c>
      <c r="AI14" s="20">
        <v>0</v>
      </c>
      <c r="AJ14" s="20">
        <v>0</v>
      </c>
      <c r="AK14" s="19">
        <v>0</v>
      </c>
      <c r="AL14" s="20">
        <v>0</v>
      </c>
      <c r="AM14" s="19">
        <v>0</v>
      </c>
      <c r="AN14" s="19">
        <v>0</v>
      </c>
      <c r="AO14" s="19">
        <v>0</v>
      </c>
      <c r="AP14" s="19">
        <v>0</v>
      </c>
      <c r="AQ14" s="19">
        <v>4</v>
      </c>
      <c r="AR14" s="19">
        <v>0</v>
      </c>
      <c r="AS14" s="19">
        <v>0</v>
      </c>
      <c r="AT14" s="19">
        <v>0</v>
      </c>
      <c r="AU14" s="19">
        <v>0</v>
      </c>
      <c r="AV14" s="19">
        <v>0</v>
      </c>
      <c r="AW14" s="20">
        <v>0</v>
      </c>
      <c r="AX14" s="20">
        <v>0</v>
      </c>
      <c r="AY14" s="20">
        <v>0</v>
      </c>
      <c r="AZ14" s="19">
        <v>0</v>
      </c>
      <c r="BA14" s="19">
        <v>0</v>
      </c>
      <c r="BB14" s="19">
        <v>0</v>
      </c>
      <c r="BC14" s="19">
        <v>0</v>
      </c>
      <c r="BD14" s="19">
        <v>0</v>
      </c>
      <c r="BE14" s="21"/>
      <c r="BF14" s="21"/>
      <c r="BG14" s="19">
        <v>0</v>
      </c>
      <c r="BH14" s="19">
        <v>0</v>
      </c>
      <c r="BI14" s="22">
        <f t="shared" si="0"/>
        <v>7</v>
      </c>
      <c r="BJ14" s="22">
        <f t="shared" si="1"/>
        <v>6</v>
      </c>
      <c r="BK14" s="22">
        <f t="shared" si="2"/>
        <v>13</v>
      </c>
      <c r="BL14" s="22">
        <f t="shared" si="7"/>
        <v>7</v>
      </c>
      <c r="BM14" s="22">
        <f t="shared" si="4"/>
        <v>6</v>
      </c>
      <c r="BN14" s="23">
        <f t="shared" si="5"/>
        <v>0</v>
      </c>
      <c r="BO14" s="23">
        <f t="shared" si="5"/>
        <v>0</v>
      </c>
      <c r="BP14" s="7" t="e">
        <f>VLOOKUP(A14,[1]Sheet15!B:E,4,0)</f>
        <v>#N/A</v>
      </c>
      <c r="BQ14" s="7" t="e">
        <f>VLOOKUP(A14,[1]Sheet15!B:E,3,0)</f>
        <v>#N/A</v>
      </c>
    </row>
    <row r="15" spans="1:69" ht="45" x14ac:dyDescent="0.25">
      <c r="A15" s="15">
        <v>69</v>
      </c>
      <c r="B15" s="15" t="e">
        <f>VLOOKUP(A15,'[1]Master clients'!F12:W3559,17,0)</f>
        <v>#N/A</v>
      </c>
      <c r="C15" s="15" t="e">
        <f>VLOOKUP(A15,'[1]Master clients'!F12:P3559,11,0)</f>
        <v>#N/A</v>
      </c>
      <c r="D15" s="15" t="e">
        <f>VLOOKUP(A15,'[1]Master clients'!F:M,8,0)</f>
        <v>#N/A</v>
      </c>
      <c r="E15" s="16" t="s">
        <v>84</v>
      </c>
      <c r="F15" s="16" t="s">
        <v>85</v>
      </c>
      <c r="G15" s="17">
        <v>0</v>
      </c>
      <c r="H15" s="17">
        <v>0</v>
      </c>
      <c r="I15" s="18">
        <v>0</v>
      </c>
      <c r="J15" s="18">
        <v>0</v>
      </c>
      <c r="K15" s="17">
        <v>0</v>
      </c>
      <c r="L15" s="17">
        <v>0</v>
      </c>
      <c r="M15" s="17">
        <v>0</v>
      </c>
      <c r="N15" s="17">
        <v>0</v>
      </c>
      <c r="O15" s="19">
        <v>0</v>
      </c>
      <c r="P15" s="19">
        <v>0</v>
      </c>
      <c r="Q15" s="19">
        <v>0</v>
      </c>
      <c r="R15" s="19">
        <v>12</v>
      </c>
      <c r="S15" s="19">
        <v>0</v>
      </c>
      <c r="T15" s="19">
        <v>0</v>
      </c>
      <c r="U15" s="19">
        <v>0</v>
      </c>
      <c r="V15" s="19">
        <v>0</v>
      </c>
      <c r="W15" s="20">
        <v>0</v>
      </c>
      <c r="X15" s="20">
        <v>0</v>
      </c>
      <c r="Y15" s="19">
        <v>0</v>
      </c>
      <c r="Z15" s="19">
        <v>0</v>
      </c>
      <c r="AA15" s="19">
        <v>6</v>
      </c>
      <c r="AB15" s="19">
        <v>0</v>
      </c>
      <c r="AC15" s="19">
        <v>0</v>
      </c>
      <c r="AD15" s="19">
        <v>0</v>
      </c>
      <c r="AE15" s="19">
        <v>0</v>
      </c>
      <c r="AF15" s="19">
        <v>0</v>
      </c>
      <c r="AG15" s="19">
        <v>0</v>
      </c>
      <c r="AH15" s="19">
        <v>0</v>
      </c>
      <c r="AI15" s="20">
        <v>0</v>
      </c>
      <c r="AJ15" s="20">
        <v>0</v>
      </c>
      <c r="AK15" s="19">
        <v>4</v>
      </c>
      <c r="AL15" s="20">
        <v>0</v>
      </c>
      <c r="AM15" s="19">
        <v>0</v>
      </c>
      <c r="AN15" s="19">
        <v>0</v>
      </c>
      <c r="AO15" s="19">
        <v>0</v>
      </c>
      <c r="AP15" s="19">
        <v>0</v>
      </c>
      <c r="AQ15" s="19">
        <v>0</v>
      </c>
      <c r="AR15" s="19">
        <v>0</v>
      </c>
      <c r="AS15" s="19">
        <v>8</v>
      </c>
      <c r="AT15" s="19">
        <v>0</v>
      </c>
      <c r="AU15" s="19">
        <v>0</v>
      </c>
      <c r="AV15" s="19">
        <v>0</v>
      </c>
      <c r="AW15" s="20">
        <v>0</v>
      </c>
      <c r="AX15" s="20">
        <v>0</v>
      </c>
      <c r="AY15" s="20">
        <v>0</v>
      </c>
      <c r="AZ15" s="19">
        <v>0</v>
      </c>
      <c r="BA15" s="19">
        <v>0</v>
      </c>
      <c r="BB15" s="19">
        <v>0</v>
      </c>
      <c r="BC15" s="19">
        <v>0</v>
      </c>
      <c r="BD15" s="19">
        <v>0</v>
      </c>
      <c r="BE15" s="21"/>
      <c r="BF15" s="21"/>
      <c r="BG15" s="19">
        <v>0</v>
      </c>
      <c r="BH15" s="19">
        <v>0</v>
      </c>
      <c r="BI15" s="22">
        <f t="shared" si="0"/>
        <v>24</v>
      </c>
      <c r="BJ15" s="22">
        <f t="shared" si="1"/>
        <v>6</v>
      </c>
      <c r="BK15" s="22">
        <f t="shared" si="2"/>
        <v>30</v>
      </c>
      <c r="BL15" s="22">
        <f t="shared" si="7"/>
        <v>24</v>
      </c>
      <c r="BM15" s="22">
        <f t="shared" si="4"/>
        <v>6</v>
      </c>
      <c r="BN15" s="23">
        <f t="shared" si="5"/>
        <v>0</v>
      </c>
      <c r="BO15" s="23">
        <f t="shared" si="5"/>
        <v>0</v>
      </c>
      <c r="BP15" s="7" t="e">
        <f>VLOOKUP(A15,[1]Sheet15!B:E,4,0)</f>
        <v>#N/A</v>
      </c>
      <c r="BQ15" s="7" t="e">
        <f>VLOOKUP(A15,[1]Sheet15!B:E,3,0)</f>
        <v>#N/A</v>
      </c>
    </row>
    <row r="16" spans="1:69" x14ac:dyDescent="0.25">
      <c r="A16" s="15">
        <v>72</v>
      </c>
      <c r="B16" s="15" t="e">
        <f>VLOOKUP(A16,'[1]Master clients'!F13:W3560,17,0)</f>
        <v>#N/A</v>
      </c>
      <c r="C16" s="15" t="e">
        <f>VLOOKUP(A16,'[1]Master clients'!F13:P3560,11,0)</f>
        <v>#N/A</v>
      </c>
      <c r="D16" s="15" t="e">
        <f>VLOOKUP(A16,'[1]Master clients'!F:M,8,0)</f>
        <v>#N/A</v>
      </c>
      <c r="E16" s="16" t="s">
        <v>86</v>
      </c>
      <c r="F16" s="16" t="s">
        <v>87</v>
      </c>
      <c r="G16" s="17">
        <v>0</v>
      </c>
      <c r="H16" s="17">
        <v>0</v>
      </c>
      <c r="I16" s="18">
        <v>0</v>
      </c>
      <c r="J16" s="18">
        <v>0</v>
      </c>
      <c r="K16" s="17">
        <v>0</v>
      </c>
      <c r="L16" s="17">
        <v>0</v>
      </c>
      <c r="M16" s="17">
        <v>0</v>
      </c>
      <c r="N16" s="17">
        <v>0</v>
      </c>
      <c r="O16" s="19">
        <v>0</v>
      </c>
      <c r="P16" s="19">
        <v>0</v>
      </c>
      <c r="Q16" s="19">
        <v>5</v>
      </c>
      <c r="R16" s="19">
        <v>9</v>
      </c>
      <c r="S16" s="19">
        <v>0</v>
      </c>
      <c r="T16" s="19">
        <v>0</v>
      </c>
      <c r="U16" s="19">
        <v>0</v>
      </c>
      <c r="V16" s="19">
        <v>0</v>
      </c>
      <c r="W16" s="20">
        <v>0</v>
      </c>
      <c r="X16" s="20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0</v>
      </c>
      <c r="AG16" s="19">
        <v>0</v>
      </c>
      <c r="AH16" s="19">
        <v>0</v>
      </c>
      <c r="AI16" s="20">
        <v>0</v>
      </c>
      <c r="AJ16" s="20">
        <v>0</v>
      </c>
      <c r="AK16" s="19">
        <v>0</v>
      </c>
      <c r="AL16" s="20">
        <v>0</v>
      </c>
      <c r="AM16" s="19">
        <v>0</v>
      </c>
      <c r="AN16" s="19">
        <v>0</v>
      </c>
      <c r="AO16" s="19">
        <v>0</v>
      </c>
      <c r="AP16" s="19">
        <v>0</v>
      </c>
      <c r="AQ16" s="19">
        <v>0</v>
      </c>
      <c r="AR16" s="19">
        <v>0</v>
      </c>
      <c r="AS16" s="19">
        <v>0</v>
      </c>
      <c r="AT16" s="19">
        <v>0</v>
      </c>
      <c r="AU16" s="19">
        <v>0</v>
      </c>
      <c r="AV16" s="19">
        <v>0</v>
      </c>
      <c r="AW16" s="20">
        <v>0</v>
      </c>
      <c r="AX16" s="20">
        <v>0</v>
      </c>
      <c r="AY16" s="20">
        <v>0</v>
      </c>
      <c r="AZ16" s="19">
        <v>0</v>
      </c>
      <c r="BA16" s="19">
        <v>0</v>
      </c>
      <c r="BB16" s="19">
        <v>0</v>
      </c>
      <c r="BC16" s="19">
        <v>0</v>
      </c>
      <c r="BD16" s="19">
        <v>0</v>
      </c>
      <c r="BE16" s="21"/>
      <c r="BF16" s="21"/>
      <c r="BG16" s="19">
        <v>0</v>
      </c>
      <c r="BH16" s="19">
        <v>0</v>
      </c>
      <c r="BI16" s="22">
        <f t="shared" si="0"/>
        <v>9</v>
      </c>
      <c r="BJ16" s="22">
        <f t="shared" si="1"/>
        <v>5</v>
      </c>
      <c r="BK16" s="22">
        <f t="shared" si="2"/>
        <v>14</v>
      </c>
      <c r="BL16" s="22">
        <f t="shared" si="7"/>
        <v>9</v>
      </c>
      <c r="BM16" s="22">
        <f t="shared" si="4"/>
        <v>5</v>
      </c>
      <c r="BN16" s="23">
        <f t="shared" si="5"/>
        <v>0</v>
      </c>
      <c r="BO16" s="23">
        <f t="shared" si="5"/>
        <v>0</v>
      </c>
      <c r="BP16" s="7" t="e">
        <f>VLOOKUP(A16,[1]Sheet15!B:E,4,0)</f>
        <v>#N/A</v>
      </c>
      <c r="BQ16" s="7" t="e">
        <f>VLOOKUP(A16,[1]Sheet15!B:E,3,0)</f>
        <v>#N/A</v>
      </c>
    </row>
    <row r="17" spans="1:69" ht="45" x14ac:dyDescent="0.25">
      <c r="A17" s="15">
        <v>98</v>
      </c>
      <c r="B17" s="15" t="e">
        <f>VLOOKUP(A17,'[1]Master clients'!F14:W3561,17,0)</f>
        <v>#N/A</v>
      </c>
      <c r="C17" s="15" t="e">
        <f>VLOOKUP(A17,'[1]Master clients'!F14:P3561,11,0)</f>
        <v>#N/A</v>
      </c>
      <c r="D17" s="15" t="e">
        <f>VLOOKUP(A17,'[1]Master clients'!F:M,8,0)</f>
        <v>#N/A</v>
      </c>
      <c r="E17" s="16" t="s">
        <v>88</v>
      </c>
      <c r="F17" s="16" t="s">
        <v>89</v>
      </c>
      <c r="G17" s="17">
        <v>0</v>
      </c>
      <c r="H17" s="17">
        <v>0</v>
      </c>
      <c r="I17" s="18">
        <v>0</v>
      </c>
      <c r="J17" s="18">
        <v>0</v>
      </c>
      <c r="K17" s="17">
        <v>0</v>
      </c>
      <c r="L17" s="17">
        <v>0</v>
      </c>
      <c r="M17" s="17">
        <v>0</v>
      </c>
      <c r="N17" s="17">
        <v>5</v>
      </c>
      <c r="O17" s="19">
        <v>0</v>
      </c>
      <c r="P17" s="19">
        <v>0</v>
      </c>
      <c r="Q17" s="19">
        <v>0</v>
      </c>
      <c r="R17" s="19">
        <v>2</v>
      </c>
      <c r="S17" s="19">
        <v>1</v>
      </c>
      <c r="T17" s="19">
        <v>0</v>
      </c>
      <c r="U17" s="19">
        <v>0</v>
      </c>
      <c r="V17" s="19">
        <v>0</v>
      </c>
      <c r="W17" s="20">
        <v>0</v>
      </c>
      <c r="X17" s="20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  <c r="AE17" s="19">
        <v>0</v>
      </c>
      <c r="AF17" s="19">
        <v>0</v>
      </c>
      <c r="AG17" s="19">
        <v>0</v>
      </c>
      <c r="AH17" s="19">
        <v>0</v>
      </c>
      <c r="AI17" s="20">
        <v>0</v>
      </c>
      <c r="AJ17" s="20">
        <v>0</v>
      </c>
      <c r="AK17" s="19">
        <v>0</v>
      </c>
      <c r="AL17" s="20">
        <v>0</v>
      </c>
      <c r="AM17" s="19">
        <v>0</v>
      </c>
      <c r="AN17" s="19">
        <v>0</v>
      </c>
      <c r="AO17" s="19">
        <v>0</v>
      </c>
      <c r="AP17" s="19">
        <v>0</v>
      </c>
      <c r="AQ17" s="19">
        <v>0</v>
      </c>
      <c r="AR17" s="19">
        <v>0</v>
      </c>
      <c r="AS17" s="19">
        <v>0</v>
      </c>
      <c r="AT17" s="19">
        <v>0</v>
      </c>
      <c r="AU17" s="19">
        <v>0</v>
      </c>
      <c r="AV17" s="19">
        <v>0</v>
      </c>
      <c r="AW17" s="20">
        <v>0</v>
      </c>
      <c r="AX17" s="20">
        <v>0</v>
      </c>
      <c r="AY17" s="20">
        <v>0</v>
      </c>
      <c r="AZ17" s="19">
        <v>0</v>
      </c>
      <c r="BA17" s="19">
        <v>0</v>
      </c>
      <c r="BB17" s="19">
        <v>0</v>
      </c>
      <c r="BC17" s="19">
        <v>0</v>
      </c>
      <c r="BD17" s="19">
        <v>0</v>
      </c>
      <c r="BE17" s="21"/>
      <c r="BF17" s="21"/>
      <c r="BG17" s="19">
        <v>0</v>
      </c>
      <c r="BH17" s="19">
        <v>0</v>
      </c>
      <c r="BI17" s="22">
        <f t="shared" si="0"/>
        <v>2</v>
      </c>
      <c r="BJ17" s="22">
        <f t="shared" si="1"/>
        <v>6</v>
      </c>
      <c r="BK17" s="22">
        <f t="shared" si="2"/>
        <v>8</v>
      </c>
      <c r="BL17" s="22">
        <f t="shared" si="7"/>
        <v>2</v>
      </c>
      <c r="BM17" s="22">
        <f t="shared" si="4"/>
        <v>6</v>
      </c>
      <c r="BN17" s="23">
        <f t="shared" si="5"/>
        <v>0</v>
      </c>
      <c r="BO17" s="23">
        <f t="shared" si="5"/>
        <v>0</v>
      </c>
      <c r="BP17" s="7" t="e">
        <f>VLOOKUP(A17,[1]Sheet15!B:E,4,0)</f>
        <v>#N/A</v>
      </c>
      <c r="BQ17" s="7" t="e">
        <f>VLOOKUP(A17,[1]Sheet15!B:E,3,0)</f>
        <v>#N/A</v>
      </c>
    </row>
    <row r="18" spans="1:69" x14ac:dyDescent="0.25">
      <c r="A18" s="15">
        <v>108</v>
      </c>
      <c r="B18" s="15" t="e">
        <f>VLOOKUP(A18,'[1]Master clients'!F15:W3562,17,0)</f>
        <v>#N/A</v>
      </c>
      <c r="C18" s="15" t="e">
        <f>VLOOKUP(A18,'[1]Master clients'!F15:P3562,11,0)</f>
        <v>#N/A</v>
      </c>
      <c r="D18" s="15" t="e">
        <f>VLOOKUP(A18,'[1]Master clients'!F:M,8,0)</f>
        <v>#N/A</v>
      </c>
      <c r="E18" s="16" t="s">
        <v>90</v>
      </c>
      <c r="F18" s="16" t="s">
        <v>87</v>
      </c>
      <c r="G18" s="17">
        <v>0</v>
      </c>
      <c r="H18" s="17">
        <v>0</v>
      </c>
      <c r="I18" s="18">
        <v>0</v>
      </c>
      <c r="J18" s="18">
        <v>0</v>
      </c>
      <c r="K18" s="17">
        <v>9</v>
      </c>
      <c r="L18" s="17">
        <v>0</v>
      </c>
      <c r="M18" s="17">
        <v>0</v>
      </c>
      <c r="N18" s="17">
        <v>1</v>
      </c>
      <c r="O18" s="19">
        <v>0</v>
      </c>
      <c r="P18" s="19">
        <v>0</v>
      </c>
      <c r="Q18" s="19">
        <v>4</v>
      </c>
      <c r="R18" s="19">
        <v>0</v>
      </c>
      <c r="S18" s="19">
        <v>0</v>
      </c>
      <c r="T18" s="19">
        <v>0</v>
      </c>
      <c r="U18" s="19">
        <v>0</v>
      </c>
      <c r="V18" s="19">
        <v>0</v>
      </c>
      <c r="W18" s="20">
        <v>0</v>
      </c>
      <c r="X18" s="20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9">
        <v>0</v>
      </c>
      <c r="AE18" s="19">
        <v>0</v>
      </c>
      <c r="AF18" s="19">
        <v>0</v>
      </c>
      <c r="AG18" s="19">
        <v>0</v>
      </c>
      <c r="AH18" s="19">
        <v>0</v>
      </c>
      <c r="AI18" s="20">
        <v>0</v>
      </c>
      <c r="AJ18" s="20">
        <v>0</v>
      </c>
      <c r="AK18" s="19">
        <v>0</v>
      </c>
      <c r="AL18" s="20">
        <v>0</v>
      </c>
      <c r="AM18" s="19">
        <v>0</v>
      </c>
      <c r="AN18" s="19">
        <v>0</v>
      </c>
      <c r="AO18" s="19">
        <v>0</v>
      </c>
      <c r="AP18" s="19">
        <v>0</v>
      </c>
      <c r="AQ18" s="19">
        <v>0</v>
      </c>
      <c r="AR18" s="19">
        <v>0</v>
      </c>
      <c r="AS18" s="19">
        <v>0</v>
      </c>
      <c r="AT18" s="19">
        <v>0</v>
      </c>
      <c r="AU18" s="19">
        <v>0</v>
      </c>
      <c r="AV18" s="19">
        <v>0</v>
      </c>
      <c r="AW18" s="20">
        <v>0</v>
      </c>
      <c r="AX18" s="20">
        <v>0</v>
      </c>
      <c r="AY18" s="20">
        <v>0</v>
      </c>
      <c r="AZ18" s="19">
        <v>0</v>
      </c>
      <c r="BA18" s="19">
        <v>0</v>
      </c>
      <c r="BB18" s="19">
        <v>0</v>
      </c>
      <c r="BC18" s="19">
        <v>0</v>
      </c>
      <c r="BD18" s="19">
        <v>0</v>
      </c>
      <c r="BE18" s="21"/>
      <c r="BF18" s="21"/>
      <c r="BG18" s="19">
        <v>0</v>
      </c>
      <c r="BH18" s="19">
        <v>0</v>
      </c>
      <c r="BI18" s="22">
        <f t="shared" si="0"/>
        <v>9</v>
      </c>
      <c r="BJ18" s="22">
        <f t="shared" si="1"/>
        <v>5</v>
      </c>
      <c r="BK18" s="22">
        <f t="shared" si="2"/>
        <v>14</v>
      </c>
      <c r="BL18" s="22">
        <f t="shared" ref="BL18:BL19" si="8">SUM(I18+K18+L18+M18+P18+R18+T18+V18+W18+Y18+Z18+AB18+AC18+AE18+AG18+AH18+AI18+AJ18+AK18+AL18+AN18+AO18+AR18+AS18+AU18+AV18+AW18+AZ18+BA18+BB18+BC18+BG18+BE18)</f>
        <v>9</v>
      </c>
      <c r="BM18" s="22">
        <f t="shared" si="4"/>
        <v>5</v>
      </c>
      <c r="BN18" s="23">
        <f t="shared" si="5"/>
        <v>0</v>
      </c>
      <c r="BO18" s="23">
        <f t="shared" si="5"/>
        <v>0</v>
      </c>
      <c r="BP18" s="7" t="e">
        <f>VLOOKUP(A18,[1]Sheet15!B:E,4,0)</f>
        <v>#N/A</v>
      </c>
      <c r="BQ18" s="7" t="e">
        <f>VLOOKUP(A18,[1]Sheet15!B:E,3,0)</f>
        <v>#N/A</v>
      </c>
    </row>
    <row r="19" spans="1:69" ht="45" x14ac:dyDescent="0.25">
      <c r="A19" s="15">
        <v>109</v>
      </c>
      <c r="B19" s="15" t="e">
        <f>VLOOKUP(A19,'[1]Master clients'!F16:W3563,17,0)</f>
        <v>#N/A</v>
      </c>
      <c r="C19" s="15" t="e">
        <f>VLOOKUP(A19,'[1]Master clients'!F16:P3563,11,0)</f>
        <v>#N/A</v>
      </c>
      <c r="D19" s="15" t="e">
        <f>VLOOKUP(A19,'[1]Master clients'!F:M,8,0)</f>
        <v>#N/A</v>
      </c>
      <c r="E19" s="16" t="s">
        <v>91</v>
      </c>
      <c r="F19" s="16" t="s">
        <v>92</v>
      </c>
      <c r="G19" s="17">
        <v>0</v>
      </c>
      <c r="H19" s="17">
        <v>0</v>
      </c>
      <c r="I19" s="18">
        <v>0</v>
      </c>
      <c r="J19" s="18">
        <v>0</v>
      </c>
      <c r="K19" s="17">
        <v>0</v>
      </c>
      <c r="L19" s="17">
        <v>0</v>
      </c>
      <c r="M19" s="17">
        <v>0</v>
      </c>
      <c r="N19" s="17">
        <v>0</v>
      </c>
      <c r="O19" s="19">
        <v>0</v>
      </c>
      <c r="P19" s="19">
        <v>0</v>
      </c>
      <c r="Q19" s="19">
        <v>4</v>
      </c>
      <c r="R19" s="19">
        <v>0</v>
      </c>
      <c r="S19" s="19">
        <v>0</v>
      </c>
      <c r="T19" s="19">
        <v>0</v>
      </c>
      <c r="U19" s="19">
        <v>0</v>
      </c>
      <c r="V19" s="19">
        <v>0</v>
      </c>
      <c r="W19" s="20">
        <v>0</v>
      </c>
      <c r="X19" s="20">
        <v>0</v>
      </c>
      <c r="Y19" s="19">
        <v>0</v>
      </c>
      <c r="Z19" s="19">
        <v>0</v>
      </c>
      <c r="AA19" s="19">
        <v>0</v>
      </c>
      <c r="AB19" s="19">
        <v>0</v>
      </c>
      <c r="AC19" s="19">
        <v>0</v>
      </c>
      <c r="AD19" s="19">
        <v>0</v>
      </c>
      <c r="AE19" s="19">
        <v>0</v>
      </c>
      <c r="AF19" s="19">
        <v>0</v>
      </c>
      <c r="AG19" s="19">
        <v>0</v>
      </c>
      <c r="AH19" s="19">
        <v>0</v>
      </c>
      <c r="AI19" s="20">
        <v>0</v>
      </c>
      <c r="AJ19" s="20">
        <v>0</v>
      </c>
      <c r="AK19" s="19">
        <v>0</v>
      </c>
      <c r="AL19" s="20">
        <v>0</v>
      </c>
      <c r="AM19" s="19">
        <v>0</v>
      </c>
      <c r="AN19" s="19">
        <v>0</v>
      </c>
      <c r="AO19" s="19">
        <v>0</v>
      </c>
      <c r="AP19" s="19">
        <v>0</v>
      </c>
      <c r="AQ19" s="19">
        <v>0</v>
      </c>
      <c r="AR19" s="19">
        <v>0</v>
      </c>
      <c r="AS19" s="19">
        <v>0</v>
      </c>
      <c r="AT19" s="19">
        <v>0</v>
      </c>
      <c r="AU19" s="19">
        <v>0</v>
      </c>
      <c r="AV19" s="19">
        <v>0</v>
      </c>
      <c r="AW19" s="20">
        <v>0</v>
      </c>
      <c r="AX19" s="20">
        <v>0</v>
      </c>
      <c r="AY19" s="20">
        <v>0</v>
      </c>
      <c r="AZ19" s="19">
        <v>11</v>
      </c>
      <c r="BA19" s="19">
        <v>0</v>
      </c>
      <c r="BB19" s="19">
        <v>0</v>
      </c>
      <c r="BC19" s="19">
        <v>0</v>
      </c>
      <c r="BD19" s="19">
        <v>0</v>
      </c>
      <c r="BE19" s="21"/>
      <c r="BF19" s="21"/>
      <c r="BG19" s="19">
        <v>0</v>
      </c>
      <c r="BH19" s="19">
        <v>0</v>
      </c>
      <c r="BI19" s="22">
        <f t="shared" si="0"/>
        <v>11</v>
      </c>
      <c r="BJ19" s="22">
        <f t="shared" si="1"/>
        <v>4</v>
      </c>
      <c r="BK19" s="22">
        <f t="shared" si="2"/>
        <v>15</v>
      </c>
      <c r="BL19" s="22">
        <f t="shared" si="8"/>
        <v>11</v>
      </c>
      <c r="BM19" s="22">
        <f t="shared" si="4"/>
        <v>4</v>
      </c>
      <c r="BN19" s="23">
        <f t="shared" si="5"/>
        <v>0</v>
      </c>
      <c r="BO19" s="23">
        <f t="shared" si="5"/>
        <v>0</v>
      </c>
      <c r="BP19" s="7" t="e">
        <f>VLOOKUP(A19,[1]Sheet15!B:E,4,0)</f>
        <v>#N/A</v>
      </c>
      <c r="BQ19" s="7" t="e">
        <f>VLOOKUP(A19,[1]Sheet15!B:E,3,0)</f>
        <v>#N/A</v>
      </c>
    </row>
    <row r="20" spans="1:69" ht="15.75" customHeight="1" x14ac:dyDescent="0.25">
      <c r="A20" s="15">
        <v>964</v>
      </c>
      <c r="B20" s="15" t="e">
        <f>VLOOKUP(A20,'[1]Master clients'!F17:W3564,17,0)</f>
        <v>#N/A</v>
      </c>
      <c r="C20" s="15" t="e">
        <f>VLOOKUP(A20,'[1]Master clients'!F17:P3564,11,0)</f>
        <v>#N/A</v>
      </c>
      <c r="D20" s="15" t="e">
        <f>VLOOKUP(A20,'[1]Master clients'!F:M,8,0)</f>
        <v>#N/A</v>
      </c>
      <c r="E20" s="16" t="s">
        <v>93</v>
      </c>
      <c r="F20" s="16" t="s">
        <v>94</v>
      </c>
      <c r="G20" s="17">
        <v>0</v>
      </c>
      <c r="H20" s="17">
        <v>0</v>
      </c>
      <c r="I20" s="18">
        <v>0</v>
      </c>
      <c r="J20" s="18">
        <v>0</v>
      </c>
      <c r="K20" s="17">
        <v>0</v>
      </c>
      <c r="L20" s="17">
        <v>0</v>
      </c>
      <c r="M20" s="17">
        <v>4</v>
      </c>
      <c r="N20" s="17">
        <v>2</v>
      </c>
      <c r="O20" s="19">
        <v>0</v>
      </c>
      <c r="P20" s="19">
        <v>2</v>
      </c>
      <c r="Q20" s="19">
        <v>8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20">
        <v>0</v>
      </c>
      <c r="X20" s="20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2</v>
      </c>
      <c r="AF20" s="19">
        <v>0</v>
      </c>
      <c r="AG20" s="19">
        <v>0</v>
      </c>
      <c r="AH20" s="19">
        <v>0</v>
      </c>
      <c r="AI20" s="20">
        <v>0</v>
      </c>
      <c r="AJ20" s="20">
        <v>0</v>
      </c>
      <c r="AK20" s="19">
        <v>0</v>
      </c>
      <c r="AL20" s="20">
        <v>0</v>
      </c>
      <c r="AM20" s="19">
        <v>0</v>
      </c>
      <c r="AN20" s="19">
        <v>0</v>
      </c>
      <c r="AO20" s="19">
        <v>0</v>
      </c>
      <c r="AP20" s="19">
        <v>0</v>
      </c>
      <c r="AQ20" s="19">
        <v>0</v>
      </c>
      <c r="AR20" s="19">
        <v>0</v>
      </c>
      <c r="AS20" s="19">
        <v>0</v>
      </c>
      <c r="AT20" s="19">
        <v>0</v>
      </c>
      <c r="AU20" s="19">
        <v>0</v>
      </c>
      <c r="AV20" s="19">
        <v>0</v>
      </c>
      <c r="AW20" s="20">
        <v>0</v>
      </c>
      <c r="AX20" s="20">
        <v>0</v>
      </c>
      <c r="AY20" s="20">
        <v>0</v>
      </c>
      <c r="AZ20" s="19">
        <v>0</v>
      </c>
      <c r="BA20" s="19">
        <v>0</v>
      </c>
      <c r="BB20" s="19">
        <v>0</v>
      </c>
      <c r="BC20" s="19">
        <v>0</v>
      </c>
      <c r="BD20" s="19">
        <v>0</v>
      </c>
      <c r="BE20" s="21"/>
      <c r="BF20" s="21"/>
      <c r="BG20" s="19">
        <v>0</v>
      </c>
      <c r="BH20" s="19">
        <v>0</v>
      </c>
      <c r="BI20" s="22">
        <f t="shared" si="0"/>
        <v>8</v>
      </c>
      <c r="BJ20" s="22">
        <f t="shared" si="1"/>
        <v>10</v>
      </c>
      <c r="BK20" s="22">
        <f t="shared" si="2"/>
        <v>18</v>
      </c>
      <c r="BL20" s="22">
        <f t="shared" ref="BL20:BL24" si="9">SUM(I20+K20+L20+M20+P20+R20+T20+V20+W20+Y20+Z20+AB20+AC20+AE20+AG20+AH20+AI20+AJ20+AK20+AL20+AN20+AO20+AR20+AS20+AU20+AV20+AW20+AZ20+BA20+BB20+BC20+BG20)</f>
        <v>8</v>
      </c>
      <c r="BM20" s="22">
        <f t="shared" si="4"/>
        <v>10</v>
      </c>
      <c r="BN20" s="23">
        <f t="shared" si="5"/>
        <v>0</v>
      </c>
      <c r="BO20" s="23">
        <f t="shared" si="5"/>
        <v>0</v>
      </c>
      <c r="BP20" s="7" t="e">
        <f>VLOOKUP(A20,[1]Sheet15!B:E,4,0)</f>
        <v>#N/A</v>
      </c>
      <c r="BQ20" s="7" t="e">
        <f>VLOOKUP(A20,[1]Sheet15!B:E,3,0)</f>
        <v>#N/A</v>
      </c>
    </row>
    <row r="21" spans="1:69" ht="15.75" customHeight="1" x14ac:dyDescent="0.25">
      <c r="A21" s="15">
        <v>1072</v>
      </c>
      <c r="B21" s="15" t="e">
        <f>VLOOKUP(A21,'[1]Master clients'!F18:W3565,17,0)</f>
        <v>#N/A</v>
      </c>
      <c r="C21" s="15" t="e">
        <f>VLOOKUP(A21,'[1]Master clients'!F18:P3565,11,0)</f>
        <v>#N/A</v>
      </c>
      <c r="D21" s="15" t="e">
        <f>VLOOKUP(A21,'[1]Master clients'!F:M,8,0)</f>
        <v>#N/A</v>
      </c>
      <c r="E21" s="16" t="s">
        <v>95</v>
      </c>
      <c r="F21" s="16" t="s">
        <v>96</v>
      </c>
      <c r="G21" s="17">
        <v>0</v>
      </c>
      <c r="H21" s="17">
        <v>0</v>
      </c>
      <c r="I21" s="18">
        <v>0</v>
      </c>
      <c r="J21" s="18">
        <v>0</v>
      </c>
      <c r="K21" s="17">
        <v>0</v>
      </c>
      <c r="L21" s="17">
        <v>0</v>
      </c>
      <c r="M21" s="17">
        <v>0</v>
      </c>
      <c r="N21" s="17">
        <v>0</v>
      </c>
      <c r="O21" s="19">
        <v>0</v>
      </c>
      <c r="P21" s="19">
        <v>0</v>
      </c>
      <c r="Q21" s="19">
        <v>9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20">
        <v>0</v>
      </c>
      <c r="X21" s="20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  <c r="AG21" s="19">
        <v>0</v>
      </c>
      <c r="AH21" s="19">
        <v>0</v>
      </c>
      <c r="AI21" s="20">
        <v>0</v>
      </c>
      <c r="AJ21" s="20">
        <v>0</v>
      </c>
      <c r="AK21" s="19">
        <v>0</v>
      </c>
      <c r="AL21" s="20">
        <v>0</v>
      </c>
      <c r="AM21" s="19">
        <v>0</v>
      </c>
      <c r="AN21" s="19">
        <v>0</v>
      </c>
      <c r="AO21" s="19">
        <v>0</v>
      </c>
      <c r="AP21" s="19">
        <v>0</v>
      </c>
      <c r="AQ21" s="19">
        <v>0</v>
      </c>
      <c r="AR21" s="19">
        <v>0</v>
      </c>
      <c r="AS21" s="19">
        <v>0</v>
      </c>
      <c r="AT21" s="19">
        <v>0</v>
      </c>
      <c r="AU21" s="19">
        <v>0</v>
      </c>
      <c r="AV21" s="19">
        <v>0</v>
      </c>
      <c r="AW21" s="20">
        <v>0</v>
      </c>
      <c r="AX21" s="20">
        <v>0</v>
      </c>
      <c r="AY21" s="20">
        <v>0</v>
      </c>
      <c r="AZ21" s="19">
        <v>0</v>
      </c>
      <c r="BA21" s="19">
        <v>0</v>
      </c>
      <c r="BB21" s="19">
        <v>0</v>
      </c>
      <c r="BC21" s="19">
        <v>0</v>
      </c>
      <c r="BD21" s="19">
        <v>0</v>
      </c>
      <c r="BE21" s="21">
        <v>14</v>
      </c>
      <c r="BF21" s="21">
        <v>0</v>
      </c>
      <c r="BG21" s="19">
        <v>0</v>
      </c>
      <c r="BH21" s="19">
        <v>0</v>
      </c>
      <c r="BI21" s="22">
        <f t="shared" si="0"/>
        <v>14</v>
      </c>
      <c r="BJ21" s="22">
        <f t="shared" si="1"/>
        <v>9</v>
      </c>
      <c r="BK21" s="22">
        <f t="shared" si="2"/>
        <v>23</v>
      </c>
      <c r="BL21" s="22">
        <f t="shared" si="9"/>
        <v>0</v>
      </c>
      <c r="BM21" s="22">
        <f t="shared" si="4"/>
        <v>9</v>
      </c>
      <c r="BN21" s="23" t="e">
        <f t="shared" ref="BN21:BO36" si="10">I21/BL21</f>
        <v>#DIV/0!</v>
      </c>
      <c r="BO21" s="23">
        <f t="shared" si="10"/>
        <v>0</v>
      </c>
      <c r="BP21" s="7" t="e">
        <f>VLOOKUP(A21,[1]Sheet15!B:E,4,0)</f>
        <v>#N/A</v>
      </c>
      <c r="BQ21" s="7" t="e">
        <f>VLOOKUP(A21,[1]Sheet15!B:E,3,0)</f>
        <v>#N/A</v>
      </c>
    </row>
    <row r="22" spans="1:69" ht="15.75" customHeight="1" x14ac:dyDescent="0.25">
      <c r="A22" s="15">
        <v>1074</v>
      </c>
      <c r="B22" s="15" t="e">
        <f>VLOOKUP(A22,'[1]Master clients'!F19:W3566,17,0)</f>
        <v>#N/A</v>
      </c>
      <c r="C22" s="15" t="e">
        <f>VLOOKUP(A22,'[1]Master clients'!F19:P3566,11,0)</f>
        <v>#N/A</v>
      </c>
      <c r="D22" s="15" t="e">
        <f>VLOOKUP(A22,'[1]Master clients'!F:M,8,0)</f>
        <v>#N/A</v>
      </c>
      <c r="E22" s="16" t="s">
        <v>97</v>
      </c>
      <c r="F22" s="16" t="s">
        <v>85</v>
      </c>
      <c r="G22" s="17">
        <v>0</v>
      </c>
      <c r="H22" s="17">
        <v>0</v>
      </c>
      <c r="I22" s="18">
        <v>0</v>
      </c>
      <c r="J22" s="18">
        <v>0</v>
      </c>
      <c r="K22" s="17">
        <v>0</v>
      </c>
      <c r="L22" s="17">
        <v>0</v>
      </c>
      <c r="M22" s="17">
        <v>0</v>
      </c>
      <c r="N22" s="17">
        <v>0</v>
      </c>
      <c r="O22" s="19">
        <v>0</v>
      </c>
      <c r="P22" s="19">
        <v>0</v>
      </c>
      <c r="Q22" s="19">
        <v>4</v>
      </c>
      <c r="R22" s="19">
        <v>0</v>
      </c>
      <c r="S22" s="19">
        <v>0</v>
      </c>
      <c r="T22" s="19">
        <v>12</v>
      </c>
      <c r="U22" s="19">
        <v>0</v>
      </c>
      <c r="V22" s="19">
        <v>0</v>
      </c>
      <c r="W22" s="20">
        <v>0</v>
      </c>
      <c r="X22" s="20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0</v>
      </c>
      <c r="AG22" s="19">
        <v>0</v>
      </c>
      <c r="AH22" s="19">
        <v>0</v>
      </c>
      <c r="AI22" s="20">
        <v>0</v>
      </c>
      <c r="AJ22" s="20">
        <v>0</v>
      </c>
      <c r="AK22" s="19">
        <v>0</v>
      </c>
      <c r="AL22" s="20">
        <v>0</v>
      </c>
      <c r="AM22" s="19">
        <v>0</v>
      </c>
      <c r="AN22" s="19">
        <v>0</v>
      </c>
      <c r="AO22" s="19">
        <v>0</v>
      </c>
      <c r="AP22" s="19">
        <v>0</v>
      </c>
      <c r="AQ22" s="19">
        <v>0</v>
      </c>
      <c r="AR22" s="19">
        <v>0</v>
      </c>
      <c r="AS22" s="19">
        <v>0</v>
      </c>
      <c r="AT22" s="19">
        <v>0</v>
      </c>
      <c r="AU22" s="19">
        <v>0</v>
      </c>
      <c r="AV22" s="19">
        <v>0</v>
      </c>
      <c r="AW22" s="20">
        <v>0</v>
      </c>
      <c r="AX22" s="20">
        <v>0</v>
      </c>
      <c r="AY22" s="20">
        <v>0</v>
      </c>
      <c r="AZ22" s="19">
        <v>0</v>
      </c>
      <c r="BA22" s="19">
        <v>0</v>
      </c>
      <c r="BB22" s="19">
        <v>0</v>
      </c>
      <c r="BC22" s="19">
        <v>0</v>
      </c>
      <c r="BD22" s="19">
        <v>0</v>
      </c>
      <c r="BE22" s="21"/>
      <c r="BF22" s="21"/>
      <c r="BG22" s="19">
        <v>0</v>
      </c>
      <c r="BH22" s="19">
        <v>0</v>
      </c>
      <c r="BI22" s="22">
        <f t="shared" si="0"/>
        <v>12</v>
      </c>
      <c r="BJ22" s="22">
        <f t="shared" si="1"/>
        <v>4</v>
      </c>
      <c r="BK22" s="22">
        <f t="shared" si="2"/>
        <v>16</v>
      </c>
      <c r="BL22" s="22">
        <f t="shared" si="9"/>
        <v>12</v>
      </c>
      <c r="BM22" s="22">
        <f t="shared" si="4"/>
        <v>4</v>
      </c>
      <c r="BN22" s="23">
        <f t="shared" si="10"/>
        <v>0</v>
      </c>
      <c r="BO22" s="23">
        <f t="shared" si="10"/>
        <v>0</v>
      </c>
      <c r="BP22" s="7" t="e">
        <f>VLOOKUP(A22,[1]Sheet15!B:E,4,0)</f>
        <v>#N/A</v>
      </c>
      <c r="BQ22" s="7" t="e">
        <f>VLOOKUP(A22,[1]Sheet15!B:E,3,0)</f>
        <v>#N/A</v>
      </c>
    </row>
    <row r="23" spans="1:69" ht="15.75" customHeight="1" x14ac:dyDescent="0.25">
      <c r="A23" s="15">
        <v>1075</v>
      </c>
      <c r="B23" s="15" t="e">
        <f>VLOOKUP(A23,'[1]Master clients'!F20:W3567,17,0)</f>
        <v>#N/A</v>
      </c>
      <c r="C23" s="15" t="e">
        <f>VLOOKUP(A23,'[1]Master clients'!F20:P3567,11,0)</f>
        <v>#N/A</v>
      </c>
      <c r="D23" s="15" t="e">
        <f>VLOOKUP(A23,'[1]Master clients'!F:M,8,0)</f>
        <v>#N/A</v>
      </c>
      <c r="E23" s="16" t="s">
        <v>98</v>
      </c>
      <c r="F23" s="16" t="s">
        <v>87</v>
      </c>
      <c r="G23" s="17">
        <v>2</v>
      </c>
      <c r="H23" s="17">
        <v>0</v>
      </c>
      <c r="I23" s="18">
        <v>2</v>
      </c>
      <c r="J23" s="18">
        <v>0</v>
      </c>
      <c r="K23" s="17">
        <v>8</v>
      </c>
      <c r="L23" s="17">
        <v>0</v>
      </c>
      <c r="M23" s="17">
        <v>0</v>
      </c>
      <c r="N23" s="17">
        <v>6</v>
      </c>
      <c r="O23" s="19">
        <v>0</v>
      </c>
      <c r="P23" s="19">
        <v>0</v>
      </c>
      <c r="Q23" s="19">
        <v>0</v>
      </c>
      <c r="R23" s="19">
        <v>7</v>
      </c>
      <c r="S23" s="19">
        <v>0</v>
      </c>
      <c r="T23" s="19">
        <v>0</v>
      </c>
      <c r="U23" s="19">
        <v>0</v>
      </c>
      <c r="V23" s="19">
        <v>0</v>
      </c>
      <c r="W23" s="20">
        <v>0</v>
      </c>
      <c r="X23" s="20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0</v>
      </c>
      <c r="AG23" s="19">
        <v>0</v>
      </c>
      <c r="AH23" s="19">
        <v>0</v>
      </c>
      <c r="AI23" s="20">
        <v>0</v>
      </c>
      <c r="AJ23" s="20">
        <v>0</v>
      </c>
      <c r="AK23" s="19">
        <v>0</v>
      </c>
      <c r="AL23" s="20">
        <v>0</v>
      </c>
      <c r="AM23" s="19">
        <v>0</v>
      </c>
      <c r="AN23" s="19">
        <v>0</v>
      </c>
      <c r="AO23" s="19">
        <v>0</v>
      </c>
      <c r="AP23" s="19">
        <v>0</v>
      </c>
      <c r="AQ23" s="19">
        <v>0</v>
      </c>
      <c r="AR23" s="19">
        <v>0</v>
      </c>
      <c r="AS23" s="19">
        <v>0</v>
      </c>
      <c r="AT23" s="19">
        <v>0</v>
      </c>
      <c r="AU23" s="19">
        <v>0</v>
      </c>
      <c r="AV23" s="19">
        <v>0</v>
      </c>
      <c r="AW23" s="20">
        <v>0</v>
      </c>
      <c r="AX23" s="20">
        <v>0</v>
      </c>
      <c r="AY23" s="20">
        <v>0</v>
      </c>
      <c r="AZ23" s="19">
        <v>0</v>
      </c>
      <c r="BA23" s="19">
        <v>0</v>
      </c>
      <c r="BB23" s="19">
        <v>0</v>
      </c>
      <c r="BC23" s="19">
        <v>0</v>
      </c>
      <c r="BD23" s="19">
        <v>0</v>
      </c>
      <c r="BE23" s="21"/>
      <c r="BF23" s="21"/>
      <c r="BG23" s="19">
        <v>0</v>
      </c>
      <c r="BH23" s="19">
        <v>0</v>
      </c>
      <c r="BI23" s="22">
        <f t="shared" si="0"/>
        <v>15</v>
      </c>
      <c r="BJ23" s="22">
        <f t="shared" si="1"/>
        <v>6</v>
      </c>
      <c r="BK23" s="22">
        <f t="shared" si="2"/>
        <v>23</v>
      </c>
      <c r="BL23" s="22">
        <f t="shared" si="9"/>
        <v>17</v>
      </c>
      <c r="BM23" s="22">
        <f t="shared" si="4"/>
        <v>6</v>
      </c>
      <c r="BN23" s="23">
        <f t="shared" si="10"/>
        <v>0.11764705882352941</v>
      </c>
      <c r="BO23" s="23">
        <f t="shared" si="10"/>
        <v>0</v>
      </c>
      <c r="BP23" s="7" t="e">
        <f>VLOOKUP(A23,[1]Sheet15!B:E,4,0)</f>
        <v>#N/A</v>
      </c>
      <c r="BQ23" s="7" t="e">
        <f>VLOOKUP(A23,[1]Sheet15!B:E,3,0)</f>
        <v>#N/A</v>
      </c>
    </row>
    <row r="24" spans="1:69" ht="15.75" customHeight="1" x14ac:dyDescent="0.25">
      <c r="A24" s="15">
        <v>1076</v>
      </c>
      <c r="B24" s="15" t="e">
        <f>VLOOKUP(A24,'[1]Master clients'!F21:W3568,17,0)</f>
        <v>#N/A</v>
      </c>
      <c r="C24" s="15" t="e">
        <f>VLOOKUP(A24,'[1]Master clients'!F21:P3568,11,0)</f>
        <v>#N/A</v>
      </c>
      <c r="D24" s="15" t="e">
        <f>VLOOKUP(A24,'[1]Master clients'!F:M,8,0)</f>
        <v>#N/A</v>
      </c>
      <c r="E24" s="16" t="s">
        <v>99</v>
      </c>
      <c r="F24" s="16" t="s">
        <v>100</v>
      </c>
      <c r="G24" s="17">
        <v>0</v>
      </c>
      <c r="H24" s="17">
        <v>0</v>
      </c>
      <c r="I24" s="18">
        <v>0</v>
      </c>
      <c r="J24" s="18">
        <v>0</v>
      </c>
      <c r="K24" s="17">
        <v>0</v>
      </c>
      <c r="L24" s="17">
        <v>0</v>
      </c>
      <c r="M24" s="17">
        <v>0</v>
      </c>
      <c r="N24" s="17">
        <v>0</v>
      </c>
      <c r="O24" s="19">
        <v>0</v>
      </c>
      <c r="P24" s="19">
        <v>0</v>
      </c>
      <c r="Q24" s="19">
        <v>6</v>
      </c>
      <c r="R24" s="19">
        <v>8</v>
      </c>
      <c r="S24" s="19">
        <v>0</v>
      </c>
      <c r="T24" s="19">
        <v>0</v>
      </c>
      <c r="U24" s="19">
        <v>0</v>
      </c>
      <c r="V24" s="19">
        <v>0</v>
      </c>
      <c r="W24" s="20">
        <v>0</v>
      </c>
      <c r="X24" s="20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19">
        <v>0</v>
      </c>
      <c r="AE24" s="19">
        <v>0</v>
      </c>
      <c r="AF24" s="19">
        <v>0</v>
      </c>
      <c r="AG24" s="19">
        <v>0</v>
      </c>
      <c r="AH24" s="19">
        <v>0</v>
      </c>
      <c r="AI24" s="20">
        <v>0</v>
      </c>
      <c r="AJ24" s="20">
        <v>0</v>
      </c>
      <c r="AK24" s="19">
        <v>0</v>
      </c>
      <c r="AL24" s="20">
        <v>0</v>
      </c>
      <c r="AM24" s="19">
        <v>0</v>
      </c>
      <c r="AN24" s="19">
        <v>0</v>
      </c>
      <c r="AO24" s="19">
        <v>0</v>
      </c>
      <c r="AP24" s="19">
        <v>0</v>
      </c>
      <c r="AQ24" s="19">
        <v>0</v>
      </c>
      <c r="AR24" s="19">
        <v>0</v>
      </c>
      <c r="AS24" s="19">
        <v>0</v>
      </c>
      <c r="AT24" s="19">
        <v>0</v>
      </c>
      <c r="AU24" s="19">
        <v>0</v>
      </c>
      <c r="AV24" s="19">
        <v>0</v>
      </c>
      <c r="AW24" s="20">
        <v>0</v>
      </c>
      <c r="AX24" s="20">
        <v>0</v>
      </c>
      <c r="AY24" s="20">
        <v>0</v>
      </c>
      <c r="AZ24" s="19">
        <v>0</v>
      </c>
      <c r="BA24" s="19">
        <v>0</v>
      </c>
      <c r="BB24" s="19">
        <v>0</v>
      </c>
      <c r="BC24" s="19">
        <v>0</v>
      </c>
      <c r="BD24" s="19">
        <v>0</v>
      </c>
      <c r="BE24" s="21"/>
      <c r="BF24" s="21"/>
      <c r="BG24" s="19">
        <v>0</v>
      </c>
      <c r="BH24" s="19">
        <v>0</v>
      </c>
      <c r="BI24" s="22">
        <f t="shared" si="0"/>
        <v>8</v>
      </c>
      <c r="BJ24" s="22">
        <f t="shared" si="1"/>
        <v>6</v>
      </c>
      <c r="BK24" s="22">
        <f t="shared" si="2"/>
        <v>14</v>
      </c>
      <c r="BL24" s="22">
        <f t="shared" si="9"/>
        <v>8</v>
      </c>
      <c r="BM24" s="22">
        <f t="shared" si="4"/>
        <v>6</v>
      </c>
      <c r="BN24" s="23">
        <f t="shared" si="10"/>
        <v>0</v>
      </c>
      <c r="BO24" s="23">
        <f t="shared" si="10"/>
        <v>0</v>
      </c>
      <c r="BP24" s="7" t="e">
        <f>VLOOKUP(A24,[1]Sheet15!B:E,4,0)</f>
        <v>#N/A</v>
      </c>
      <c r="BQ24" s="7" t="e">
        <f>VLOOKUP(A24,[1]Sheet15!B:E,3,0)</f>
        <v>#N/A</v>
      </c>
    </row>
    <row r="25" spans="1:69" ht="15.75" customHeight="1" x14ac:dyDescent="0.25">
      <c r="A25" s="15">
        <v>1197</v>
      </c>
      <c r="B25" s="15" t="e">
        <f>VLOOKUP(A25,'[1]Master clients'!F22:W3569,17,0)</f>
        <v>#N/A</v>
      </c>
      <c r="C25" s="15" t="e">
        <f>VLOOKUP(A25,'[1]Master clients'!F22:P3569,11,0)</f>
        <v>#N/A</v>
      </c>
      <c r="D25" s="15" t="e">
        <f>VLOOKUP(A25,'[1]Master clients'!F:M,8,0)</f>
        <v>#N/A</v>
      </c>
      <c r="E25" s="16" t="s">
        <v>101</v>
      </c>
      <c r="F25" s="29" t="s">
        <v>102</v>
      </c>
      <c r="G25" s="17">
        <v>0</v>
      </c>
      <c r="H25" s="17">
        <v>0</v>
      </c>
      <c r="I25" s="18">
        <v>0</v>
      </c>
      <c r="J25" s="18">
        <v>0</v>
      </c>
      <c r="K25" s="17">
        <v>0</v>
      </c>
      <c r="L25" s="17">
        <v>0</v>
      </c>
      <c r="M25" s="17">
        <v>0</v>
      </c>
      <c r="N25" s="17">
        <v>0</v>
      </c>
      <c r="O25" s="19">
        <v>0</v>
      </c>
      <c r="P25" s="19">
        <v>0</v>
      </c>
      <c r="Q25" s="19">
        <v>4</v>
      </c>
      <c r="R25" s="19">
        <v>12</v>
      </c>
      <c r="S25" s="19">
        <v>0</v>
      </c>
      <c r="T25" s="19">
        <v>0</v>
      </c>
      <c r="U25" s="19">
        <v>0</v>
      </c>
      <c r="V25" s="19">
        <v>0</v>
      </c>
      <c r="W25" s="20">
        <v>0</v>
      </c>
      <c r="X25" s="20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  <c r="AD25" s="19">
        <v>0</v>
      </c>
      <c r="AE25" s="19">
        <v>0</v>
      </c>
      <c r="AF25" s="19">
        <v>0</v>
      </c>
      <c r="AG25" s="19">
        <v>0</v>
      </c>
      <c r="AH25" s="19">
        <v>0</v>
      </c>
      <c r="AI25" s="20">
        <v>0</v>
      </c>
      <c r="AJ25" s="20">
        <v>0</v>
      </c>
      <c r="AK25" s="19">
        <v>0</v>
      </c>
      <c r="AL25" s="20">
        <v>0</v>
      </c>
      <c r="AM25" s="19">
        <v>0</v>
      </c>
      <c r="AN25" s="19">
        <v>0</v>
      </c>
      <c r="AO25" s="19">
        <v>0</v>
      </c>
      <c r="AP25" s="19">
        <v>0</v>
      </c>
      <c r="AQ25" s="19">
        <v>0</v>
      </c>
      <c r="AR25" s="19">
        <v>0</v>
      </c>
      <c r="AS25" s="19">
        <v>0</v>
      </c>
      <c r="AT25" s="19">
        <v>0</v>
      </c>
      <c r="AU25" s="19">
        <v>0</v>
      </c>
      <c r="AV25" s="19">
        <v>0</v>
      </c>
      <c r="AW25" s="20">
        <v>0</v>
      </c>
      <c r="AX25" s="20">
        <v>0</v>
      </c>
      <c r="AY25" s="20">
        <v>0</v>
      </c>
      <c r="AZ25" s="19">
        <v>0</v>
      </c>
      <c r="BA25" s="19">
        <v>0</v>
      </c>
      <c r="BB25" s="19">
        <v>0</v>
      </c>
      <c r="BC25" s="19">
        <v>0</v>
      </c>
      <c r="BD25" s="19">
        <v>0</v>
      </c>
      <c r="BE25" s="21"/>
      <c r="BF25" s="21"/>
      <c r="BG25" s="19">
        <v>0</v>
      </c>
      <c r="BH25" s="19">
        <v>0</v>
      </c>
      <c r="BI25" s="22">
        <f t="shared" si="0"/>
        <v>12</v>
      </c>
      <c r="BJ25" s="22">
        <f t="shared" si="1"/>
        <v>4</v>
      </c>
      <c r="BK25" s="22">
        <f t="shared" si="2"/>
        <v>16</v>
      </c>
      <c r="BL25" s="22">
        <f>SUM(I25+K25+L25+M25+P25+R25+T25+V25+W25+Y25+Z25+AB25+AC25+AE25+AG25+AH25+AI25+AJ25+AK25+AL25+AN25+AO25+AR25+AS25+AU25+AV25+AW25+AZ25+BA25+BB25+BC25+BG25+BE25)</f>
        <v>12</v>
      </c>
      <c r="BM25" s="22">
        <f t="shared" si="4"/>
        <v>4</v>
      </c>
      <c r="BN25" s="23">
        <f t="shared" si="10"/>
        <v>0</v>
      </c>
      <c r="BO25" s="23">
        <f t="shared" si="10"/>
        <v>0</v>
      </c>
      <c r="BP25" s="7" t="e">
        <f>VLOOKUP(A25,[1]Sheet15!B:E,4,0)</f>
        <v>#N/A</v>
      </c>
      <c r="BQ25" s="7" t="e">
        <f>VLOOKUP(A25,[1]Sheet15!B:E,3,0)</f>
        <v>#N/A</v>
      </c>
    </row>
    <row r="26" spans="1:69" ht="15.75" customHeight="1" x14ac:dyDescent="0.25">
      <c r="A26" s="15">
        <v>1207</v>
      </c>
      <c r="B26" s="15" t="e">
        <f>VLOOKUP(A26,'[1]Master clients'!F23:W3570,17,0)</f>
        <v>#N/A</v>
      </c>
      <c r="C26" s="15" t="e">
        <f>VLOOKUP(A26,'[1]Master clients'!F23:P3570,11,0)</f>
        <v>#N/A</v>
      </c>
      <c r="D26" s="15" t="e">
        <f>VLOOKUP(A26,'[1]Master clients'!F:M,8,0)</f>
        <v>#N/A</v>
      </c>
      <c r="E26" s="16" t="s">
        <v>103</v>
      </c>
      <c r="F26" s="16" t="s">
        <v>104</v>
      </c>
      <c r="G26" s="17">
        <v>0</v>
      </c>
      <c r="H26" s="17">
        <v>0</v>
      </c>
      <c r="I26" s="18">
        <v>0</v>
      </c>
      <c r="J26" s="18">
        <v>0</v>
      </c>
      <c r="K26" s="17">
        <v>0</v>
      </c>
      <c r="L26" s="17">
        <v>0</v>
      </c>
      <c r="M26" s="17">
        <v>0</v>
      </c>
      <c r="N26" s="17">
        <v>3</v>
      </c>
      <c r="O26" s="17">
        <v>0</v>
      </c>
      <c r="P26" s="19">
        <v>15</v>
      </c>
      <c r="Q26" s="19">
        <v>6</v>
      </c>
      <c r="R26" s="17">
        <v>0</v>
      </c>
      <c r="S26" s="17">
        <v>0</v>
      </c>
      <c r="T26" s="17">
        <v>0</v>
      </c>
      <c r="U26" s="17">
        <v>0</v>
      </c>
      <c r="V26" s="17">
        <v>0</v>
      </c>
      <c r="W26" s="20">
        <v>0</v>
      </c>
      <c r="X26" s="20">
        <v>0</v>
      </c>
      <c r="Y26" s="17">
        <v>0</v>
      </c>
      <c r="Z26" s="17">
        <v>0</v>
      </c>
      <c r="AA26" s="17">
        <v>0</v>
      </c>
      <c r="AB26" s="17">
        <v>0</v>
      </c>
      <c r="AC26" s="17">
        <v>0</v>
      </c>
      <c r="AD26" s="17">
        <v>0</v>
      </c>
      <c r="AE26" s="17">
        <v>0</v>
      </c>
      <c r="AF26" s="17">
        <v>0</v>
      </c>
      <c r="AG26" s="17">
        <v>0</v>
      </c>
      <c r="AH26" s="17">
        <v>0</v>
      </c>
      <c r="AI26" s="20">
        <v>0</v>
      </c>
      <c r="AJ26" s="20">
        <v>0</v>
      </c>
      <c r="AK26" s="17">
        <v>0</v>
      </c>
      <c r="AL26" s="20">
        <v>0</v>
      </c>
      <c r="AM26" s="17">
        <v>0</v>
      </c>
      <c r="AN26" s="17">
        <v>0</v>
      </c>
      <c r="AO26" s="17">
        <v>0</v>
      </c>
      <c r="AP26" s="17">
        <v>0</v>
      </c>
      <c r="AQ26" s="17">
        <v>0</v>
      </c>
      <c r="AR26" s="17">
        <v>0</v>
      </c>
      <c r="AS26" s="17">
        <v>0</v>
      </c>
      <c r="AT26" s="17">
        <v>0</v>
      </c>
      <c r="AU26" s="17">
        <v>0</v>
      </c>
      <c r="AV26" s="17">
        <v>0</v>
      </c>
      <c r="AW26" s="20">
        <v>0</v>
      </c>
      <c r="AX26" s="20">
        <v>0</v>
      </c>
      <c r="AY26" s="20">
        <v>0</v>
      </c>
      <c r="AZ26" s="17">
        <v>0</v>
      </c>
      <c r="BA26" s="17">
        <v>0</v>
      </c>
      <c r="BB26" s="17">
        <v>0</v>
      </c>
      <c r="BC26" s="17">
        <v>0</v>
      </c>
      <c r="BD26" s="17">
        <v>0</v>
      </c>
      <c r="BE26" s="30"/>
      <c r="BF26" s="30"/>
      <c r="BG26" s="17">
        <v>0</v>
      </c>
      <c r="BH26" s="17">
        <v>0</v>
      </c>
      <c r="BI26" s="22">
        <f t="shared" si="0"/>
        <v>15</v>
      </c>
      <c r="BJ26" s="22">
        <f t="shared" si="1"/>
        <v>9</v>
      </c>
      <c r="BK26" s="22">
        <f t="shared" si="2"/>
        <v>24</v>
      </c>
      <c r="BL26" s="22">
        <f>SUM(I26+K26+L26+M26+P26+R26+T26+V26+W26+Y26+Z26+AB26+AC26+AE26+AG26+AH26+AI26+AJ26+AK26+AL26+AN26+AO26+AR26+AS26+AU26+AV26+AW26+AZ26+BA26+BB26+BC26+BG26)</f>
        <v>15</v>
      </c>
      <c r="BM26" s="22">
        <f t="shared" si="4"/>
        <v>9</v>
      </c>
      <c r="BN26" s="23">
        <f t="shared" si="10"/>
        <v>0</v>
      </c>
      <c r="BO26" s="23">
        <f t="shared" si="10"/>
        <v>0</v>
      </c>
      <c r="BP26" s="7" t="e">
        <f>VLOOKUP(A26,[1]Sheet15!B:E,4,0)</f>
        <v>#N/A</v>
      </c>
      <c r="BQ26" s="7" t="e">
        <f>VLOOKUP(A26,[1]Sheet15!B:E,3,0)</f>
        <v>#N/A</v>
      </c>
    </row>
    <row r="27" spans="1:69" ht="27.75" customHeight="1" x14ac:dyDescent="0.25">
      <c r="A27" s="15" t="s">
        <v>105</v>
      </c>
      <c r="B27" s="15">
        <f>VLOOKUP(A27,'[1]Master clients'!F24:W3571,17,0)</f>
        <v>0</v>
      </c>
      <c r="C27" s="15" t="str">
        <f>VLOOKUP(A27,'[1]Master clients'!F24:P3571,11,0)</f>
        <v>NI</v>
      </c>
      <c r="D27" s="15" t="str">
        <f>VLOOKUP(A27,'[1]Master clients'!F:M,8,0)</f>
        <v>End User</v>
      </c>
      <c r="E27" s="16" t="s">
        <v>106</v>
      </c>
      <c r="F27" s="16" t="s">
        <v>107</v>
      </c>
      <c r="G27" s="17">
        <v>5</v>
      </c>
      <c r="H27" s="17"/>
      <c r="I27" s="31">
        <v>2</v>
      </c>
      <c r="J27" s="31">
        <v>0</v>
      </c>
      <c r="K27" s="17">
        <v>5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  <c r="AF27" s="17">
        <v>0</v>
      </c>
      <c r="AG27" s="17">
        <v>0</v>
      </c>
      <c r="AH27" s="17">
        <v>0</v>
      </c>
      <c r="AI27" s="17">
        <v>0</v>
      </c>
      <c r="AJ27" s="17">
        <v>0</v>
      </c>
      <c r="AK27" s="17">
        <v>4</v>
      </c>
      <c r="AL27" s="17">
        <v>0</v>
      </c>
      <c r="AM27" s="17">
        <v>0</v>
      </c>
      <c r="AN27" s="17">
        <v>0</v>
      </c>
      <c r="AO27" s="17">
        <v>0</v>
      </c>
      <c r="AP27" s="17">
        <v>0</v>
      </c>
      <c r="AQ27" s="17">
        <v>0</v>
      </c>
      <c r="AR27" s="17">
        <v>0</v>
      </c>
      <c r="AS27" s="17">
        <v>0</v>
      </c>
      <c r="AT27" s="17">
        <v>0</v>
      </c>
      <c r="AU27" s="17">
        <v>0</v>
      </c>
      <c r="AV27" s="17">
        <v>0</v>
      </c>
      <c r="AW27" s="17">
        <v>0</v>
      </c>
      <c r="AX27" s="17">
        <v>0</v>
      </c>
      <c r="AY27" s="17">
        <v>0</v>
      </c>
      <c r="AZ27" s="17">
        <v>0</v>
      </c>
      <c r="BA27" s="17">
        <v>0</v>
      </c>
      <c r="BB27" s="17">
        <v>0</v>
      </c>
      <c r="BC27" s="17">
        <v>0</v>
      </c>
      <c r="BD27" s="17">
        <v>0</v>
      </c>
      <c r="BE27" s="17">
        <v>0</v>
      </c>
      <c r="BF27" s="17">
        <v>0</v>
      </c>
      <c r="BG27" s="17">
        <v>0</v>
      </c>
      <c r="BH27" s="17">
        <v>0</v>
      </c>
      <c r="BI27" s="22">
        <f t="shared" si="0"/>
        <v>9</v>
      </c>
      <c r="BJ27" s="22">
        <f t="shared" si="1"/>
        <v>0</v>
      </c>
      <c r="BK27" s="22">
        <f t="shared" si="2"/>
        <v>11</v>
      </c>
      <c r="BL27" s="22">
        <f t="shared" ref="BL27:BL28" si="11">SUM(I27+K27+L27+M27+P27+R27+T27+V27+W27+Y27+Z27+AB27+AC27+AE27+AG27+AH27+AI27+AJ27+AK27+AL27+AN27+AO27+AR27+AS27+AU27+AV27+AW27+AZ27+BA27+BB27+BC27+BG27+BE27)</f>
        <v>11</v>
      </c>
      <c r="BM27" s="22">
        <f t="shared" si="4"/>
        <v>0</v>
      </c>
      <c r="BN27" s="23">
        <f t="shared" si="10"/>
        <v>0.18181818181818182</v>
      </c>
      <c r="BO27" s="23" t="e">
        <f t="shared" si="10"/>
        <v>#DIV/0!</v>
      </c>
      <c r="BP27" s="7">
        <f>VLOOKUP(A27,[1]Sheet15!B:E,4,0)</f>
        <v>5</v>
      </c>
      <c r="BQ27" s="7">
        <f>VLOOKUP(A27,[1]Sheet15!B:E,3,0)</f>
        <v>0</v>
      </c>
    </row>
    <row r="28" spans="1:69" ht="22.5" customHeight="1" x14ac:dyDescent="0.25">
      <c r="A28" s="15" t="s">
        <v>108</v>
      </c>
      <c r="B28" s="15">
        <f>VLOOKUP(A28,'[1]Master clients'!F25:W3572,17,0)</f>
        <v>0</v>
      </c>
      <c r="C28" s="15" t="str">
        <f>VLOOKUP(A28,'[1]Master clients'!F25:P3572,11,0)</f>
        <v>AV</v>
      </c>
      <c r="D28" s="15" t="str">
        <f>VLOOKUP(A28,'[1]Master clients'!F:M,8,0)</f>
        <v>End User</v>
      </c>
      <c r="E28" s="16" t="s">
        <v>109</v>
      </c>
      <c r="F28" s="16" t="s">
        <v>96</v>
      </c>
      <c r="G28" s="17">
        <v>2</v>
      </c>
      <c r="H28" s="17"/>
      <c r="I28" s="18">
        <v>2</v>
      </c>
      <c r="J28" s="26">
        <v>0</v>
      </c>
      <c r="K28" s="20">
        <v>0</v>
      </c>
      <c r="L28" s="20">
        <v>0</v>
      </c>
      <c r="M28" s="20">
        <v>0</v>
      </c>
      <c r="N28" s="17">
        <v>1</v>
      </c>
      <c r="O28" s="20">
        <v>0</v>
      </c>
      <c r="P28" s="19">
        <v>4</v>
      </c>
      <c r="Q28" s="19">
        <v>4</v>
      </c>
      <c r="R28" s="20">
        <v>0</v>
      </c>
      <c r="S28" s="20">
        <v>0</v>
      </c>
      <c r="T28" s="20">
        <v>0</v>
      </c>
      <c r="U28" s="20">
        <v>0</v>
      </c>
      <c r="V28" s="20">
        <v>0</v>
      </c>
      <c r="W28" s="20">
        <v>0</v>
      </c>
      <c r="X28" s="20">
        <v>0</v>
      </c>
      <c r="Y28" s="20">
        <v>0</v>
      </c>
      <c r="Z28" s="20">
        <v>0</v>
      </c>
      <c r="AA28" s="20">
        <v>0</v>
      </c>
      <c r="AB28" s="20">
        <v>0</v>
      </c>
      <c r="AC28" s="20">
        <v>0</v>
      </c>
      <c r="AD28" s="20">
        <v>0</v>
      </c>
      <c r="AE28" s="20">
        <v>0</v>
      </c>
      <c r="AF28" s="20">
        <v>0</v>
      </c>
      <c r="AG28" s="20">
        <v>0</v>
      </c>
      <c r="AH28" s="20">
        <v>0</v>
      </c>
      <c r="AI28" s="20">
        <v>0</v>
      </c>
      <c r="AJ28" s="20">
        <v>0</v>
      </c>
      <c r="AK28" s="20">
        <v>0</v>
      </c>
      <c r="AL28" s="20">
        <v>0</v>
      </c>
      <c r="AM28" s="20">
        <v>0</v>
      </c>
      <c r="AN28" s="20">
        <v>0</v>
      </c>
      <c r="AO28" s="20">
        <v>0</v>
      </c>
      <c r="AP28" s="20">
        <v>0</v>
      </c>
      <c r="AQ28" s="20">
        <v>0</v>
      </c>
      <c r="AR28" s="20">
        <v>0</v>
      </c>
      <c r="AS28" s="20">
        <v>0</v>
      </c>
      <c r="AT28" s="20">
        <v>0</v>
      </c>
      <c r="AU28" s="20">
        <v>0</v>
      </c>
      <c r="AV28" s="20">
        <v>0</v>
      </c>
      <c r="AW28" s="20">
        <v>0</v>
      </c>
      <c r="AX28" s="20">
        <v>0</v>
      </c>
      <c r="AY28" s="20">
        <v>0</v>
      </c>
      <c r="AZ28" s="20">
        <v>0</v>
      </c>
      <c r="BA28" s="20">
        <v>0</v>
      </c>
      <c r="BB28" s="20">
        <v>0</v>
      </c>
      <c r="BC28" s="20">
        <v>0</v>
      </c>
      <c r="BD28" s="20">
        <v>0</v>
      </c>
      <c r="BE28" s="21">
        <v>0</v>
      </c>
      <c r="BF28" s="21">
        <v>0</v>
      </c>
      <c r="BG28" s="20">
        <v>0</v>
      </c>
      <c r="BH28" s="20">
        <v>0</v>
      </c>
      <c r="BI28" s="22">
        <f t="shared" si="0"/>
        <v>4</v>
      </c>
      <c r="BJ28" s="22">
        <f t="shared" si="1"/>
        <v>5</v>
      </c>
      <c r="BK28" s="22">
        <f t="shared" si="2"/>
        <v>11</v>
      </c>
      <c r="BL28" s="22">
        <f t="shared" si="11"/>
        <v>6</v>
      </c>
      <c r="BM28" s="22">
        <f t="shared" si="4"/>
        <v>5</v>
      </c>
      <c r="BN28" s="23">
        <f t="shared" si="10"/>
        <v>0.33333333333333331</v>
      </c>
      <c r="BO28" s="23">
        <f t="shared" si="10"/>
        <v>0</v>
      </c>
      <c r="BP28" s="7">
        <f>VLOOKUP(A28,[1]Sheet15!B:E,4,0)</f>
        <v>2</v>
      </c>
      <c r="BQ28" s="7">
        <f>VLOOKUP(A28,[1]Sheet15!B:E,3,0)</f>
        <v>0</v>
      </c>
    </row>
    <row r="29" spans="1:69" ht="22.5" customHeight="1" x14ac:dyDescent="0.25">
      <c r="A29" s="15" t="s">
        <v>110</v>
      </c>
      <c r="B29" s="15">
        <f>VLOOKUP(A29,'[1]Master clients'!F26:W3573,17,0)</f>
        <v>0</v>
      </c>
      <c r="C29" s="15" t="str">
        <f>VLOOKUP(A29,'[1]Master clients'!F26:P3573,11,0)</f>
        <v>AV</v>
      </c>
      <c r="D29" s="15" t="str">
        <f>VLOOKUP(A29,'[1]Master clients'!F:M,8,0)</f>
        <v>End User</v>
      </c>
      <c r="E29" s="16" t="s">
        <v>111</v>
      </c>
      <c r="F29" s="16" t="s">
        <v>112</v>
      </c>
      <c r="G29" s="17">
        <v>2</v>
      </c>
      <c r="H29" s="17">
        <v>0</v>
      </c>
      <c r="I29" s="18">
        <v>2</v>
      </c>
      <c r="J29" s="18">
        <v>0</v>
      </c>
      <c r="K29" s="17">
        <v>0</v>
      </c>
      <c r="L29" s="17">
        <v>0</v>
      </c>
      <c r="M29" s="17">
        <v>0</v>
      </c>
      <c r="N29" s="17">
        <v>0</v>
      </c>
      <c r="O29" s="19">
        <v>0</v>
      </c>
      <c r="P29" s="19">
        <v>9</v>
      </c>
      <c r="Q29" s="19">
        <v>4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20">
        <v>0</v>
      </c>
      <c r="X29" s="20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  <c r="AG29" s="19">
        <v>0</v>
      </c>
      <c r="AH29" s="19">
        <v>0</v>
      </c>
      <c r="AI29" s="20">
        <v>0</v>
      </c>
      <c r="AJ29" s="20">
        <v>0</v>
      </c>
      <c r="AK29" s="19">
        <v>0</v>
      </c>
      <c r="AL29" s="20">
        <v>0</v>
      </c>
      <c r="AM29" s="19">
        <v>0</v>
      </c>
      <c r="AN29" s="19">
        <v>0</v>
      </c>
      <c r="AO29" s="19">
        <v>0</v>
      </c>
      <c r="AP29" s="19">
        <v>0</v>
      </c>
      <c r="AQ29" s="19">
        <v>0</v>
      </c>
      <c r="AR29" s="19">
        <v>0</v>
      </c>
      <c r="AS29" s="19">
        <v>0</v>
      </c>
      <c r="AT29" s="19">
        <v>0</v>
      </c>
      <c r="AU29" s="19">
        <v>0</v>
      </c>
      <c r="AV29" s="19">
        <v>0</v>
      </c>
      <c r="AW29" s="20">
        <v>0</v>
      </c>
      <c r="AX29" s="20">
        <v>0</v>
      </c>
      <c r="AY29" s="20">
        <v>0</v>
      </c>
      <c r="AZ29" s="19">
        <v>0</v>
      </c>
      <c r="BA29" s="19">
        <v>0</v>
      </c>
      <c r="BB29" s="19">
        <v>0</v>
      </c>
      <c r="BC29" s="19">
        <v>0</v>
      </c>
      <c r="BD29" s="19">
        <v>0</v>
      </c>
      <c r="BE29" s="21">
        <v>0</v>
      </c>
      <c r="BF29" s="21">
        <v>0</v>
      </c>
      <c r="BG29" s="19">
        <v>0</v>
      </c>
      <c r="BH29" s="19">
        <v>0</v>
      </c>
      <c r="BI29" s="22">
        <f t="shared" si="0"/>
        <v>9</v>
      </c>
      <c r="BJ29" s="22">
        <f t="shared" si="1"/>
        <v>4</v>
      </c>
      <c r="BK29" s="22">
        <f t="shared" si="2"/>
        <v>15</v>
      </c>
      <c r="BL29" s="22">
        <f t="shared" ref="BL29:BL30" si="12">SUM(I29+K29+L29+M29+P29+R29+T29+V29+W29+Y29+Z29+AB29+AC29+AE29+AG29+AH29+AI29+AJ29+AK29+AL29+AN29+AO29+AR29+AS29+AU29+AV29+AW29+AZ29+BA29+BB29+BC29+BG29)</f>
        <v>11</v>
      </c>
      <c r="BM29" s="22">
        <f t="shared" si="4"/>
        <v>4</v>
      </c>
      <c r="BN29" s="23">
        <f t="shared" si="10"/>
        <v>0.18181818181818182</v>
      </c>
      <c r="BO29" s="23">
        <f t="shared" si="10"/>
        <v>0</v>
      </c>
      <c r="BP29" s="7">
        <f>VLOOKUP(A29,[1]Sheet15!B:E,4,0)</f>
        <v>2</v>
      </c>
      <c r="BQ29" s="7">
        <f>VLOOKUP(A29,[1]Sheet15!B:E,3,0)</f>
        <v>0</v>
      </c>
    </row>
    <row r="30" spans="1:69" ht="22.5" customHeight="1" x14ac:dyDescent="0.25">
      <c r="A30" s="15" t="s">
        <v>113</v>
      </c>
      <c r="B30" s="15">
        <f>VLOOKUP(A30,'[1]Master clients'!F27:W3574,17,0)</f>
        <v>0</v>
      </c>
      <c r="C30" s="15" t="str">
        <f>VLOOKUP(A30,'[1]Master clients'!F27:P3574,11,0)</f>
        <v>AV</v>
      </c>
      <c r="D30" s="15" t="str">
        <f>VLOOKUP(A30,'[1]Master clients'!F:M,8,0)</f>
        <v>End User</v>
      </c>
      <c r="E30" s="16" t="s">
        <v>114</v>
      </c>
      <c r="F30" s="16" t="s">
        <v>96</v>
      </c>
      <c r="G30" s="17">
        <v>0</v>
      </c>
      <c r="H30" s="17">
        <v>14</v>
      </c>
      <c r="I30" s="18">
        <v>0</v>
      </c>
      <c r="J30" s="18">
        <v>14</v>
      </c>
      <c r="K30" s="17">
        <v>0</v>
      </c>
      <c r="L30" s="17">
        <v>0</v>
      </c>
      <c r="M30" s="17">
        <v>0</v>
      </c>
      <c r="N30" s="17">
        <v>0</v>
      </c>
      <c r="O30" s="19">
        <v>0</v>
      </c>
      <c r="P30" s="19">
        <v>0</v>
      </c>
      <c r="Q30" s="19">
        <v>12</v>
      </c>
      <c r="R30" s="19">
        <v>0</v>
      </c>
      <c r="S30" s="19">
        <v>0</v>
      </c>
      <c r="T30" s="19">
        <v>12</v>
      </c>
      <c r="U30" s="19">
        <v>0</v>
      </c>
      <c r="V30" s="19">
        <v>0</v>
      </c>
      <c r="W30" s="20">
        <v>0</v>
      </c>
      <c r="X30" s="20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0</v>
      </c>
      <c r="AF30" s="19">
        <v>0</v>
      </c>
      <c r="AG30" s="19">
        <v>0</v>
      </c>
      <c r="AH30" s="19">
        <v>0</v>
      </c>
      <c r="AI30" s="20">
        <v>0</v>
      </c>
      <c r="AJ30" s="20">
        <v>0</v>
      </c>
      <c r="AK30" s="19">
        <v>0</v>
      </c>
      <c r="AL30" s="20">
        <v>0</v>
      </c>
      <c r="AM30" s="19">
        <v>0</v>
      </c>
      <c r="AN30" s="19">
        <v>0</v>
      </c>
      <c r="AO30" s="19">
        <v>0</v>
      </c>
      <c r="AP30" s="19">
        <v>0</v>
      </c>
      <c r="AQ30" s="19">
        <v>0</v>
      </c>
      <c r="AR30" s="19">
        <v>0</v>
      </c>
      <c r="AS30" s="19">
        <v>0</v>
      </c>
      <c r="AT30" s="19">
        <v>0</v>
      </c>
      <c r="AU30" s="19">
        <v>0</v>
      </c>
      <c r="AV30" s="19">
        <v>0</v>
      </c>
      <c r="AW30" s="20">
        <v>0</v>
      </c>
      <c r="AX30" s="20">
        <v>0</v>
      </c>
      <c r="AY30" s="20">
        <v>0</v>
      </c>
      <c r="AZ30" s="19">
        <v>0</v>
      </c>
      <c r="BA30" s="19">
        <v>0</v>
      </c>
      <c r="BB30" s="19">
        <v>0</v>
      </c>
      <c r="BC30" s="19">
        <v>0</v>
      </c>
      <c r="BD30" s="19">
        <v>0</v>
      </c>
      <c r="BE30" s="21">
        <v>0</v>
      </c>
      <c r="BF30" s="21">
        <v>0</v>
      </c>
      <c r="BG30" s="19">
        <v>0</v>
      </c>
      <c r="BH30" s="19">
        <v>0</v>
      </c>
      <c r="BI30" s="22">
        <f t="shared" si="0"/>
        <v>12</v>
      </c>
      <c r="BJ30" s="22">
        <f t="shared" si="1"/>
        <v>12</v>
      </c>
      <c r="BK30" s="22">
        <f t="shared" si="2"/>
        <v>38</v>
      </c>
      <c r="BL30" s="22">
        <f t="shared" si="12"/>
        <v>12</v>
      </c>
      <c r="BM30" s="22">
        <f t="shared" si="4"/>
        <v>26</v>
      </c>
      <c r="BN30" s="23">
        <f t="shared" si="10"/>
        <v>0</v>
      </c>
      <c r="BO30" s="23">
        <f t="shared" si="10"/>
        <v>0.53846153846153844</v>
      </c>
      <c r="BP30" s="7" t="e">
        <f>VLOOKUP(A30,[1]Sheet15!B:E,4,0)</f>
        <v>#N/A</v>
      </c>
      <c r="BQ30" s="7" t="e">
        <f>VLOOKUP(A30,[1]Sheet15!B:E,3,0)</f>
        <v>#N/A</v>
      </c>
    </row>
    <row r="31" spans="1:69" ht="22.5" customHeight="1" x14ac:dyDescent="0.25">
      <c r="A31" s="15" t="s">
        <v>115</v>
      </c>
      <c r="B31" s="15">
        <f>VLOOKUP(A31,'[1]Master clients'!F28:W3575,17,0)</f>
        <v>0</v>
      </c>
      <c r="C31" s="15" t="str">
        <f>VLOOKUP(A31,'[1]Master clients'!F28:P3575,11,0)</f>
        <v>AV</v>
      </c>
      <c r="D31" s="15" t="str">
        <f>VLOOKUP(A31,'[1]Master clients'!F:M,8,0)</f>
        <v>End User</v>
      </c>
      <c r="E31" s="16" t="s">
        <v>116</v>
      </c>
      <c r="F31" s="16" t="s">
        <v>96</v>
      </c>
      <c r="G31" s="17"/>
      <c r="H31" s="17"/>
      <c r="I31" s="31">
        <v>0</v>
      </c>
      <c r="J31" s="31">
        <v>8</v>
      </c>
      <c r="K31" s="17">
        <v>10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  <c r="Y31" s="17">
        <v>0</v>
      </c>
      <c r="Z31" s="17">
        <v>0</v>
      </c>
      <c r="AA31" s="17">
        <v>0</v>
      </c>
      <c r="AB31" s="17">
        <v>0</v>
      </c>
      <c r="AC31" s="17">
        <v>0</v>
      </c>
      <c r="AD31" s="17">
        <v>0</v>
      </c>
      <c r="AE31" s="17">
        <v>0</v>
      </c>
      <c r="AF31" s="17">
        <v>0</v>
      </c>
      <c r="AG31" s="17">
        <v>0</v>
      </c>
      <c r="AH31" s="17">
        <v>0</v>
      </c>
      <c r="AI31" s="17">
        <v>0</v>
      </c>
      <c r="AJ31" s="17">
        <v>0</v>
      </c>
      <c r="AK31" s="17">
        <v>0</v>
      </c>
      <c r="AL31" s="17">
        <v>0</v>
      </c>
      <c r="AM31" s="17">
        <v>0</v>
      </c>
      <c r="AN31" s="17">
        <v>0</v>
      </c>
      <c r="AO31" s="17">
        <v>0</v>
      </c>
      <c r="AP31" s="17">
        <v>0</v>
      </c>
      <c r="AQ31" s="17">
        <v>0</v>
      </c>
      <c r="AR31" s="17">
        <v>0</v>
      </c>
      <c r="AS31" s="17">
        <v>0</v>
      </c>
      <c r="AT31" s="17">
        <v>0</v>
      </c>
      <c r="AU31" s="17">
        <v>0</v>
      </c>
      <c r="AV31" s="17">
        <v>0</v>
      </c>
      <c r="AW31" s="17">
        <v>0</v>
      </c>
      <c r="AX31" s="17">
        <v>0</v>
      </c>
      <c r="AY31" s="17">
        <v>0</v>
      </c>
      <c r="AZ31" s="17">
        <v>0</v>
      </c>
      <c r="BA31" s="17">
        <v>0</v>
      </c>
      <c r="BB31" s="17">
        <v>0</v>
      </c>
      <c r="BC31" s="17">
        <v>0</v>
      </c>
      <c r="BD31" s="17">
        <v>0</v>
      </c>
      <c r="BE31" s="17">
        <v>0</v>
      </c>
      <c r="BF31" s="17">
        <v>0</v>
      </c>
      <c r="BG31" s="17">
        <v>0</v>
      </c>
      <c r="BH31" s="17">
        <v>0</v>
      </c>
      <c r="BI31" s="22">
        <f t="shared" si="0"/>
        <v>10</v>
      </c>
      <c r="BJ31" s="22">
        <f t="shared" si="1"/>
        <v>0</v>
      </c>
      <c r="BK31" s="22">
        <f t="shared" si="2"/>
        <v>18</v>
      </c>
      <c r="BL31" s="22">
        <f t="shared" ref="BL31:BL32" si="13">SUM(I31+K31+L31+M31+P31+R31+T31+V31+W31+Y31+Z31+AB31+AC31+AE31+AG31+AH31+AI31+AJ31+AK31+AL31+AN31+AO31+AR31+AS31+AU31+AV31+AW31+AZ31+BA31+BB31+BC31+BG31+BE31)</f>
        <v>10</v>
      </c>
      <c r="BM31" s="22">
        <f t="shared" si="4"/>
        <v>8</v>
      </c>
      <c r="BN31" s="23">
        <f t="shared" si="10"/>
        <v>0</v>
      </c>
      <c r="BO31" s="23">
        <f t="shared" si="10"/>
        <v>1</v>
      </c>
      <c r="BP31" s="7" t="e">
        <f>VLOOKUP(A31,[1]Sheet15!B:E,4,0)</f>
        <v>#N/A</v>
      </c>
      <c r="BQ31" s="7" t="e">
        <f>VLOOKUP(A31,[1]Sheet15!B:E,3,0)</f>
        <v>#N/A</v>
      </c>
    </row>
    <row r="32" spans="1:69" ht="22.5" customHeight="1" x14ac:dyDescent="0.25">
      <c r="A32" s="15" t="s">
        <v>117</v>
      </c>
      <c r="B32" s="15">
        <f>VLOOKUP(A32,'[1]Master clients'!F29:W3576,17,0)</f>
        <v>0</v>
      </c>
      <c r="C32" s="15" t="str">
        <f>VLOOKUP(A32,'[1]Master clients'!F29:P3576,11,0)</f>
        <v>AV</v>
      </c>
      <c r="D32" s="15" t="str">
        <f>VLOOKUP(A32,'[1]Master clients'!F:M,8,0)</f>
        <v>End User</v>
      </c>
      <c r="E32" s="16" t="s">
        <v>118</v>
      </c>
      <c r="F32" s="16" t="s">
        <v>119</v>
      </c>
      <c r="G32" s="17">
        <v>0</v>
      </c>
      <c r="H32" s="17">
        <v>0</v>
      </c>
      <c r="I32" s="18">
        <v>8</v>
      </c>
      <c r="J32" s="18">
        <v>1</v>
      </c>
      <c r="K32" s="17">
        <v>0</v>
      </c>
      <c r="L32" s="17">
        <v>0</v>
      </c>
      <c r="M32" s="17">
        <v>0</v>
      </c>
      <c r="N32" s="17">
        <v>0</v>
      </c>
      <c r="O32" s="19">
        <v>0</v>
      </c>
      <c r="P32" s="19">
        <v>0</v>
      </c>
      <c r="Q32" s="19">
        <v>8</v>
      </c>
      <c r="R32" s="19">
        <v>0</v>
      </c>
      <c r="S32" s="19">
        <v>0</v>
      </c>
      <c r="T32" s="19">
        <v>0</v>
      </c>
      <c r="U32" s="19">
        <v>0</v>
      </c>
      <c r="V32" s="19">
        <v>6</v>
      </c>
      <c r="W32" s="20">
        <v>0</v>
      </c>
      <c r="X32" s="20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0</v>
      </c>
      <c r="AG32" s="19">
        <v>0</v>
      </c>
      <c r="AH32" s="19">
        <v>0</v>
      </c>
      <c r="AI32" s="20">
        <v>0</v>
      </c>
      <c r="AJ32" s="20">
        <v>0</v>
      </c>
      <c r="AK32" s="19">
        <v>0</v>
      </c>
      <c r="AL32" s="20">
        <v>0</v>
      </c>
      <c r="AM32" s="19">
        <v>0</v>
      </c>
      <c r="AN32" s="19">
        <v>0</v>
      </c>
      <c r="AO32" s="19">
        <v>0</v>
      </c>
      <c r="AP32" s="19">
        <v>0</v>
      </c>
      <c r="AQ32" s="19">
        <v>0</v>
      </c>
      <c r="AR32" s="19">
        <v>0</v>
      </c>
      <c r="AS32" s="19">
        <v>0</v>
      </c>
      <c r="AT32" s="19">
        <v>0</v>
      </c>
      <c r="AU32" s="19">
        <v>0</v>
      </c>
      <c r="AV32" s="19">
        <v>0</v>
      </c>
      <c r="AW32" s="20">
        <v>0</v>
      </c>
      <c r="AX32" s="20">
        <v>0</v>
      </c>
      <c r="AY32" s="20">
        <v>0</v>
      </c>
      <c r="AZ32" s="19">
        <v>0</v>
      </c>
      <c r="BA32" s="19">
        <v>0</v>
      </c>
      <c r="BB32" s="19">
        <v>0</v>
      </c>
      <c r="BC32" s="19">
        <v>0</v>
      </c>
      <c r="BD32" s="19">
        <v>0</v>
      </c>
      <c r="BE32" s="21">
        <v>0</v>
      </c>
      <c r="BF32" s="21">
        <v>0</v>
      </c>
      <c r="BG32" s="19">
        <v>0</v>
      </c>
      <c r="BH32" s="19">
        <v>0</v>
      </c>
      <c r="BI32" s="22">
        <f t="shared" si="0"/>
        <v>6</v>
      </c>
      <c r="BJ32" s="22">
        <f t="shared" si="1"/>
        <v>8</v>
      </c>
      <c r="BK32" s="22">
        <f t="shared" si="2"/>
        <v>23</v>
      </c>
      <c r="BL32" s="22">
        <f t="shared" si="13"/>
        <v>14</v>
      </c>
      <c r="BM32" s="22">
        <f t="shared" si="4"/>
        <v>9</v>
      </c>
      <c r="BN32" s="23">
        <f t="shared" si="10"/>
        <v>0.5714285714285714</v>
      </c>
      <c r="BO32" s="23">
        <f t="shared" si="10"/>
        <v>0.1111111111111111</v>
      </c>
      <c r="BP32" s="7" t="e">
        <f>VLOOKUP(A32,[1]Sheet15!B:E,4,0)</f>
        <v>#N/A</v>
      </c>
      <c r="BQ32" s="7" t="e">
        <f>VLOOKUP(A32,[1]Sheet15!B:E,3,0)</f>
        <v>#N/A</v>
      </c>
    </row>
    <row r="33" spans="1:69" ht="22.5" customHeight="1" x14ac:dyDescent="0.25">
      <c r="A33" s="15" t="s">
        <v>120</v>
      </c>
      <c r="B33" s="15">
        <f>VLOOKUP(A33,'[1]Master clients'!F30:W3577,17,0)</f>
        <v>0</v>
      </c>
      <c r="C33" s="15" t="str">
        <f>VLOOKUP(A33,'[1]Master clients'!F30:P3577,11,0)</f>
        <v>AV</v>
      </c>
      <c r="D33" s="15" t="str">
        <f>VLOOKUP(A33,'[1]Master clients'!F:M,8,0)</f>
        <v>End User</v>
      </c>
      <c r="E33" s="16" t="s">
        <v>121</v>
      </c>
      <c r="F33" s="16" t="s">
        <v>96</v>
      </c>
      <c r="G33" s="17">
        <v>2</v>
      </c>
      <c r="H33" s="17">
        <v>0</v>
      </c>
      <c r="I33" s="17">
        <v>2</v>
      </c>
      <c r="J33" s="31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  <c r="Y33" s="17">
        <v>0</v>
      </c>
      <c r="Z33" s="17">
        <v>0</v>
      </c>
      <c r="AA33" s="17">
        <v>0</v>
      </c>
      <c r="AB33" s="17">
        <v>0</v>
      </c>
      <c r="AC33" s="17">
        <v>0</v>
      </c>
      <c r="AD33" s="17">
        <v>0</v>
      </c>
      <c r="AE33" s="17">
        <v>0</v>
      </c>
      <c r="AF33" s="17">
        <v>0</v>
      </c>
      <c r="AG33" s="17">
        <v>0</v>
      </c>
      <c r="AH33" s="17">
        <v>0</v>
      </c>
      <c r="AI33" s="17">
        <v>0</v>
      </c>
      <c r="AJ33" s="17">
        <v>0</v>
      </c>
      <c r="AK33" s="17">
        <v>0</v>
      </c>
      <c r="AL33" s="17">
        <v>0</v>
      </c>
      <c r="AM33" s="17">
        <v>0</v>
      </c>
      <c r="AN33" s="17">
        <v>0</v>
      </c>
      <c r="AO33" s="17">
        <v>0</v>
      </c>
      <c r="AP33" s="17">
        <v>0</v>
      </c>
      <c r="AQ33" s="17">
        <v>0</v>
      </c>
      <c r="AR33" s="17">
        <v>0</v>
      </c>
      <c r="AS33" s="17">
        <v>0</v>
      </c>
      <c r="AT33" s="17">
        <v>0</v>
      </c>
      <c r="AU33" s="17">
        <v>0</v>
      </c>
      <c r="AV33" s="17">
        <v>0</v>
      </c>
      <c r="AW33" s="17">
        <v>0</v>
      </c>
      <c r="AX33" s="17">
        <v>0</v>
      </c>
      <c r="AY33" s="17">
        <v>0</v>
      </c>
      <c r="AZ33" s="17">
        <v>0</v>
      </c>
      <c r="BA33" s="17">
        <v>0</v>
      </c>
      <c r="BB33" s="17">
        <v>0</v>
      </c>
      <c r="BC33" s="17">
        <v>0</v>
      </c>
      <c r="BD33" s="17">
        <v>0</v>
      </c>
      <c r="BE33" s="17">
        <v>0</v>
      </c>
      <c r="BF33" s="17">
        <v>0</v>
      </c>
      <c r="BG33" s="17">
        <v>0</v>
      </c>
      <c r="BH33" s="17">
        <v>0</v>
      </c>
      <c r="BI33" s="22">
        <f t="shared" si="0"/>
        <v>0</v>
      </c>
      <c r="BJ33" s="22">
        <f t="shared" si="1"/>
        <v>0</v>
      </c>
      <c r="BK33" s="22">
        <f t="shared" si="2"/>
        <v>2</v>
      </c>
      <c r="BL33" s="22">
        <f>SUM(I33+K33+L33+M33+P33+R33+T33+V33+W33+Y33+Z33+AB33+AC33+AE33+AG33+AH33+AI33+AJ33+AK33+AL33+AN33+AO33+AR33+AS33+AU33+AV33+AW33+AZ33+BA33+BB33+BC33+BG33)</f>
        <v>2</v>
      </c>
      <c r="BM33" s="22">
        <f t="shared" si="4"/>
        <v>0</v>
      </c>
      <c r="BN33" s="23">
        <f t="shared" si="10"/>
        <v>1</v>
      </c>
      <c r="BO33" s="23" t="e">
        <f t="shared" si="10"/>
        <v>#DIV/0!</v>
      </c>
      <c r="BP33" s="7">
        <f>VLOOKUP(A33,[1]Sheet15!B:E,4,0)</f>
        <v>2</v>
      </c>
      <c r="BQ33" s="7">
        <f>VLOOKUP(A33,[1]Sheet15!B:E,3,0)</f>
        <v>0</v>
      </c>
    </row>
    <row r="34" spans="1:69" ht="22.5" customHeight="1" x14ac:dyDescent="0.25">
      <c r="A34" s="15" t="s">
        <v>122</v>
      </c>
      <c r="B34" s="15">
        <f>VLOOKUP(A34,'[1]Master clients'!F31:W3578,17,0)</f>
        <v>0</v>
      </c>
      <c r="C34" s="15" t="str">
        <f>VLOOKUP(A34,'[1]Master clients'!F31:P3578,11,0)</f>
        <v>AV</v>
      </c>
      <c r="D34" s="15" t="str">
        <f>VLOOKUP(A34,'[1]Master clients'!F:M,8,0)</f>
        <v>End User</v>
      </c>
      <c r="E34" s="16" t="s">
        <v>123</v>
      </c>
      <c r="F34" s="16" t="s">
        <v>124</v>
      </c>
      <c r="G34" s="17">
        <v>3</v>
      </c>
      <c r="H34" s="17">
        <v>0</v>
      </c>
      <c r="I34" s="18">
        <v>3</v>
      </c>
      <c r="J34" s="18">
        <v>0</v>
      </c>
      <c r="K34" s="17">
        <v>0</v>
      </c>
      <c r="L34" s="17">
        <v>0</v>
      </c>
      <c r="M34" s="17">
        <v>0</v>
      </c>
      <c r="N34" s="17">
        <v>1</v>
      </c>
      <c r="O34" s="19">
        <v>0</v>
      </c>
      <c r="P34" s="19">
        <v>0</v>
      </c>
      <c r="Q34" s="19">
        <v>5</v>
      </c>
      <c r="R34" s="19">
        <v>3</v>
      </c>
      <c r="S34" s="19">
        <v>0</v>
      </c>
      <c r="T34" s="19">
        <v>0</v>
      </c>
      <c r="U34" s="19">
        <v>0</v>
      </c>
      <c r="V34" s="19">
        <v>0</v>
      </c>
      <c r="W34" s="20">
        <v>0</v>
      </c>
      <c r="X34" s="20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0</v>
      </c>
      <c r="AH34" s="19">
        <v>0</v>
      </c>
      <c r="AI34" s="20">
        <v>0</v>
      </c>
      <c r="AJ34" s="20">
        <v>0</v>
      </c>
      <c r="AK34" s="19">
        <v>0</v>
      </c>
      <c r="AL34" s="20">
        <v>0</v>
      </c>
      <c r="AM34" s="19">
        <v>0</v>
      </c>
      <c r="AN34" s="19">
        <v>0</v>
      </c>
      <c r="AO34" s="19">
        <v>0</v>
      </c>
      <c r="AP34" s="19">
        <v>0</v>
      </c>
      <c r="AQ34" s="19">
        <v>0</v>
      </c>
      <c r="AR34" s="19">
        <v>0</v>
      </c>
      <c r="AS34" s="19">
        <v>0</v>
      </c>
      <c r="AT34" s="19">
        <v>0</v>
      </c>
      <c r="AU34" s="19">
        <v>0</v>
      </c>
      <c r="AV34" s="19">
        <v>0</v>
      </c>
      <c r="AW34" s="20">
        <v>0</v>
      </c>
      <c r="AX34" s="20">
        <v>0</v>
      </c>
      <c r="AY34" s="20">
        <v>0</v>
      </c>
      <c r="AZ34" s="19">
        <v>0</v>
      </c>
      <c r="BA34" s="19">
        <v>0</v>
      </c>
      <c r="BB34" s="19">
        <v>0</v>
      </c>
      <c r="BC34" s="19">
        <v>0</v>
      </c>
      <c r="BD34" s="19">
        <v>0</v>
      </c>
      <c r="BE34" s="21">
        <v>0</v>
      </c>
      <c r="BF34" s="21">
        <v>0</v>
      </c>
      <c r="BG34" s="19">
        <v>0</v>
      </c>
      <c r="BH34" s="19">
        <v>0</v>
      </c>
      <c r="BI34" s="22">
        <f t="shared" si="0"/>
        <v>3</v>
      </c>
      <c r="BJ34" s="22">
        <f t="shared" si="1"/>
        <v>6</v>
      </c>
      <c r="BK34" s="22">
        <f t="shared" si="2"/>
        <v>12</v>
      </c>
      <c r="BL34" s="22">
        <f t="shared" ref="BL34:BL68" si="14">SUM(I34+K34+L34+M34+P34+R34+T34+V34+W34+Y34+Z34+AB34+AC34+AE34+AG34+AH34+AI34+AJ34+AK34+AL34+AN34+AO34+AR34+AS34+AU34+AV34+AW34+AZ34+BA34+BB34+BC34+BG34+BE34)</f>
        <v>6</v>
      </c>
      <c r="BM34" s="22">
        <f t="shared" si="4"/>
        <v>6</v>
      </c>
      <c r="BN34" s="23">
        <f t="shared" si="10"/>
        <v>0.5</v>
      </c>
      <c r="BO34" s="23">
        <f t="shared" si="10"/>
        <v>0</v>
      </c>
      <c r="BP34" s="7" t="e">
        <f>VLOOKUP(A34,[1]Sheet15!B:E,4,0)</f>
        <v>#N/A</v>
      </c>
      <c r="BQ34" s="7" t="e">
        <f>VLOOKUP(A34,[1]Sheet15!B:E,3,0)</f>
        <v>#N/A</v>
      </c>
    </row>
    <row r="35" spans="1:69" ht="22.5" customHeight="1" x14ac:dyDescent="0.25">
      <c r="A35" s="15" t="s">
        <v>125</v>
      </c>
      <c r="B35" s="15">
        <f>VLOOKUP(A35,'[1]Master clients'!F32:W3579,17,0)</f>
        <v>0</v>
      </c>
      <c r="C35" s="15" t="str">
        <f>VLOOKUP(A35,'[1]Master clients'!F32:P3579,11,0)</f>
        <v>AV</v>
      </c>
      <c r="D35" s="15" t="str">
        <f>VLOOKUP(A35,'[1]Master clients'!F:M,8,0)</f>
        <v>End User</v>
      </c>
      <c r="E35" s="16" t="s">
        <v>126</v>
      </c>
      <c r="F35" s="16" t="s">
        <v>127</v>
      </c>
      <c r="G35" s="17">
        <v>18</v>
      </c>
      <c r="H35" s="17">
        <v>0</v>
      </c>
      <c r="I35" s="18">
        <v>24</v>
      </c>
      <c r="J35" s="18">
        <v>0</v>
      </c>
      <c r="K35" s="17">
        <v>0</v>
      </c>
      <c r="L35" s="17">
        <v>0</v>
      </c>
      <c r="M35" s="17">
        <v>0</v>
      </c>
      <c r="N35" s="17">
        <v>0</v>
      </c>
      <c r="O35" s="19">
        <v>0</v>
      </c>
      <c r="P35" s="19">
        <v>0</v>
      </c>
      <c r="Q35" s="19">
        <v>8</v>
      </c>
      <c r="R35" s="19">
        <v>0</v>
      </c>
      <c r="S35" s="19">
        <v>0</v>
      </c>
      <c r="T35" s="19">
        <v>0</v>
      </c>
      <c r="U35" s="19">
        <v>0</v>
      </c>
      <c r="V35" s="19">
        <v>0</v>
      </c>
      <c r="W35" s="20">
        <v>0</v>
      </c>
      <c r="X35" s="20">
        <v>0</v>
      </c>
      <c r="Y35" s="19">
        <v>0</v>
      </c>
      <c r="Z35" s="19">
        <v>0</v>
      </c>
      <c r="AA35" s="19">
        <v>2</v>
      </c>
      <c r="AB35" s="19">
        <v>0</v>
      </c>
      <c r="AC35" s="19">
        <v>0</v>
      </c>
      <c r="AD35" s="19">
        <v>0</v>
      </c>
      <c r="AE35" s="19">
        <v>0</v>
      </c>
      <c r="AF35" s="19">
        <v>0</v>
      </c>
      <c r="AG35" s="19">
        <v>0</v>
      </c>
      <c r="AH35" s="19">
        <v>0</v>
      </c>
      <c r="AI35" s="20">
        <v>0</v>
      </c>
      <c r="AJ35" s="20">
        <v>0</v>
      </c>
      <c r="AK35" s="19">
        <v>0</v>
      </c>
      <c r="AL35" s="20">
        <v>0</v>
      </c>
      <c r="AM35" s="19">
        <v>0</v>
      </c>
      <c r="AN35" s="19">
        <v>0</v>
      </c>
      <c r="AO35" s="19">
        <v>0</v>
      </c>
      <c r="AP35" s="19">
        <v>0</v>
      </c>
      <c r="AQ35" s="19">
        <v>0</v>
      </c>
      <c r="AR35" s="19">
        <v>0</v>
      </c>
      <c r="AS35" s="19">
        <v>0</v>
      </c>
      <c r="AT35" s="19">
        <v>0</v>
      </c>
      <c r="AU35" s="19">
        <v>0</v>
      </c>
      <c r="AV35" s="19">
        <v>0</v>
      </c>
      <c r="AW35" s="20">
        <v>0</v>
      </c>
      <c r="AX35" s="20">
        <v>0</v>
      </c>
      <c r="AY35" s="20">
        <v>0</v>
      </c>
      <c r="AZ35" s="19">
        <v>0</v>
      </c>
      <c r="BA35" s="19">
        <v>0</v>
      </c>
      <c r="BB35" s="19">
        <v>0</v>
      </c>
      <c r="BC35" s="19">
        <v>0</v>
      </c>
      <c r="BD35" s="19">
        <v>0</v>
      </c>
      <c r="BE35" s="21">
        <v>0</v>
      </c>
      <c r="BF35" s="21">
        <v>0</v>
      </c>
      <c r="BG35" s="19">
        <v>0</v>
      </c>
      <c r="BH35" s="19">
        <v>0</v>
      </c>
      <c r="BI35" s="22">
        <f t="shared" si="0"/>
        <v>0</v>
      </c>
      <c r="BJ35" s="22">
        <f t="shared" si="1"/>
        <v>10</v>
      </c>
      <c r="BK35" s="22">
        <f t="shared" si="2"/>
        <v>34</v>
      </c>
      <c r="BL35" s="22">
        <f t="shared" si="14"/>
        <v>24</v>
      </c>
      <c r="BM35" s="22">
        <f t="shared" si="4"/>
        <v>10</v>
      </c>
      <c r="BN35" s="23">
        <f t="shared" si="10"/>
        <v>1</v>
      </c>
      <c r="BO35" s="23">
        <f t="shared" si="10"/>
        <v>0</v>
      </c>
      <c r="BP35" s="7">
        <f>VLOOKUP(A35,[1]Sheet15!B:E,4,0)</f>
        <v>9</v>
      </c>
      <c r="BQ35" s="7">
        <f>VLOOKUP(A35,[1]Sheet15!B:E,3,0)</f>
        <v>0</v>
      </c>
    </row>
    <row r="36" spans="1:69" ht="22.5" customHeight="1" x14ac:dyDescent="0.25">
      <c r="A36" s="15" t="s">
        <v>128</v>
      </c>
      <c r="B36" s="15">
        <f>VLOOKUP(A36,'[1]Master clients'!F33:W3580,17,0)</f>
        <v>0</v>
      </c>
      <c r="C36" s="15" t="str">
        <f>VLOOKUP(A36,'[1]Master clients'!F33:P3580,11,0)</f>
        <v>AV</v>
      </c>
      <c r="D36" s="15" t="str">
        <f>VLOOKUP(A36,'[1]Master clients'!F:M,8,0)</f>
        <v>End User</v>
      </c>
      <c r="E36" s="16" t="s">
        <v>129</v>
      </c>
      <c r="F36" s="16" t="s">
        <v>96</v>
      </c>
      <c r="G36" s="17">
        <v>7</v>
      </c>
      <c r="H36" s="17">
        <v>0</v>
      </c>
      <c r="I36" s="18">
        <v>7</v>
      </c>
      <c r="J36" s="18">
        <v>0</v>
      </c>
      <c r="K36" s="17">
        <v>0</v>
      </c>
      <c r="L36" s="17">
        <v>0</v>
      </c>
      <c r="M36" s="17">
        <v>0</v>
      </c>
      <c r="N36" s="17">
        <v>0</v>
      </c>
      <c r="O36" s="19">
        <v>0</v>
      </c>
      <c r="P36" s="19">
        <v>5</v>
      </c>
      <c r="Q36" s="19">
        <v>8</v>
      </c>
      <c r="R36" s="19">
        <v>0</v>
      </c>
      <c r="S36" s="19">
        <v>0</v>
      </c>
      <c r="T36" s="19">
        <v>0</v>
      </c>
      <c r="U36" s="19">
        <v>0</v>
      </c>
      <c r="V36" s="19">
        <v>0</v>
      </c>
      <c r="W36" s="20">
        <v>0</v>
      </c>
      <c r="X36" s="20">
        <v>0</v>
      </c>
      <c r="Y36" s="19">
        <v>0</v>
      </c>
      <c r="Z36" s="19">
        <v>0</v>
      </c>
      <c r="AA36" s="19">
        <v>4</v>
      </c>
      <c r="AB36" s="19">
        <v>0</v>
      </c>
      <c r="AC36" s="19">
        <v>0</v>
      </c>
      <c r="AD36" s="19">
        <v>0</v>
      </c>
      <c r="AE36" s="19">
        <v>0</v>
      </c>
      <c r="AF36" s="19">
        <v>0</v>
      </c>
      <c r="AG36" s="19">
        <v>0</v>
      </c>
      <c r="AH36" s="19">
        <v>0</v>
      </c>
      <c r="AI36" s="20">
        <v>0</v>
      </c>
      <c r="AJ36" s="20">
        <v>0</v>
      </c>
      <c r="AK36" s="19">
        <v>0</v>
      </c>
      <c r="AL36" s="20">
        <v>0</v>
      </c>
      <c r="AM36" s="19">
        <v>0</v>
      </c>
      <c r="AN36" s="19">
        <v>0</v>
      </c>
      <c r="AO36" s="19">
        <v>0</v>
      </c>
      <c r="AP36" s="19">
        <v>0</v>
      </c>
      <c r="AQ36" s="19">
        <v>0</v>
      </c>
      <c r="AR36" s="19">
        <v>0</v>
      </c>
      <c r="AS36" s="19">
        <v>0</v>
      </c>
      <c r="AT36" s="19">
        <v>0</v>
      </c>
      <c r="AU36" s="19">
        <v>0</v>
      </c>
      <c r="AV36" s="19">
        <v>0</v>
      </c>
      <c r="AW36" s="20">
        <v>0</v>
      </c>
      <c r="AX36" s="20">
        <v>0</v>
      </c>
      <c r="AY36" s="20">
        <v>0</v>
      </c>
      <c r="AZ36" s="19">
        <v>0</v>
      </c>
      <c r="BA36" s="19">
        <v>0</v>
      </c>
      <c r="BB36" s="19">
        <v>0</v>
      </c>
      <c r="BC36" s="19">
        <v>0</v>
      </c>
      <c r="BD36" s="19">
        <v>0</v>
      </c>
      <c r="BE36" s="21">
        <v>0</v>
      </c>
      <c r="BF36" s="21">
        <v>0</v>
      </c>
      <c r="BG36" s="19">
        <v>0</v>
      </c>
      <c r="BH36" s="19">
        <v>0</v>
      </c>
      <c r="BI36" s="22">
        <f t="shared" si="0"/>
        <v>5</v>
      </c>
      <c r="BJ36" s="22">
        <f t="shared" si="1"/>
        <v>12</v>
      </c>
      <c r="BK36" s="22">
        <f t="shared" si="2"/>
        <v>24</v>
      </c>
      <c r="BL36" s="22">
        <f t="shared" si="14"/>
        <v>12</v>
      </c>
      <c r="BM36" s="22">
        <f t="shared" si="4"/>
        <v>12</v>
      </c>
      <c r="BN36" s="23">
        <f t="shared" si="10"/>
        <v>0.58333333333333337</v>
      </c>
      <c r="BO36" s="23">
        <f t="shared" si="10"/>
        <v>0</v>
      </c>
      <c r="BP36" s="7">
        <f>VLOOKUP(A36,[1]Sheet15!B:E,4,0)</f>
        <v>2</v>
      </c>
      <c r="BQ36" s="7">
        <f>VLOOKUP(A36,[1]Sheet15!B:E,3,0)</f>
        <v>0</v>
      </c>
    </row>
    <row r="37" spans="1:69" x14ac:dyDescent="0.25">
      <c r="A37" s="15" t="s">
        <v>130</v>
      </c>
      <c r="B37" s="15">
        <f>VLOOKUP(A37,'[1]Master clients'!F34:W3581,17,0)</f>
        <v>0</v>
      </c>
      <c r="C37" s="15" t="str">
        <f>VLOOKUP(A37,'[1]Master clients'!F34:P3581,11,0)</f>
        <v>AV</v>
      </c>
      <c r="D37" s="15" t="str">
        <f>VLOOKUP(A37,'[1]Master clients'!F:M,8,0)</f>
        <v>End User</v>
      </c>
      <c r="E37" s="16" t="s">
        <v>131</v>
      </c>
      <c r="F37" s="16" t="s">
        <v>96</v>
      </c>
      <c r="G37" s="17">
        <v>6</v>
      </c>
      <c r="H37" s="17">
        <v>0</v>
      </c>
      <c r="I37" s="18">
        <v>5</v>
      </c>
      <c r="J37" s="18">
        <v>0</v>
      </c>
      <c r="K37" s="17">
        <v>0</v>
      </c>
      <c r="L37" s="17">
        <v>0</v>
      </c>
      <c r="M37" s="17">
        <v>0</v>
      </c>
      <c r="N37" s="17">
        <v>4</v>
      </c>
      <c r="O37" s="19">
        <v>0</v>
      </c>
      <c r="P37" s="19">
        <v>0</v>
      </c>
      <c r="Q37" s="19">
        <v>0</v>
      </c>
      <c r="R37" s="19">
        <v>0</v>
      </c>
      <c r="S37" s="19">
        <v>0</v>
      </c>
      <c r="T37" s="19">
        <v>0</v>
      </c>
      <c r="U37" s="19">
        <v>0</v>
      </c>
      <c r="V37" s="19">
        <v>2</v>
      </c>
      <c r="W37" s="20">
        <v>0</v>
      </c>
      <c r="X37" s="20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  <c r="AF37" s="19">
        <v>0</v>
      </c>
      <c r="AG37" s="19">
        <v>0</v>
      </c>
      <c r="AH37" s="19">
        <v>0</v>
      </c>
      <c r="AI37" s="20">
        <v>0</v>
      </c>
      <c r="AJ37" s="20">
        <v>0</v>
      </c>
      <c r="AK37" s="19">
        <v>0</v>
      </c>
      <c r="AL37" s="20">
        <v>0</v>
      </c>
      <c r="AM37" s="19">
        <v>0</v>
      </c>
      <c r="AN37" s="19">
        <v>0</v>
      </c>
      <c r="AO37" s="19">
        <v>0</v>
      </c>
      <c r="AP37" s="19">
        <v>0</v>
      </c>
      <c r="AQ37" s="19">
        <v>0</v>
      </c>
      <c r="AR37" s="19">
        <v>0</v>
      </c>
      <c r="AS37" s="19">
        <v>4</v>
      </c>
      <c r="AT37" s="19">
        <v>0</v>
      </c>
      <c r="AU37" s="19">
        <v>0</v>
      </c>
      <c r="AV37" s="19">
        <v>0</v>
      </c>
      <c r="AW37" s="20">
        <v>0</v>
      </c>
      <c r="AX37" s="20">
        <v>0</v>
      </c>
      <c r="AY37" s="20">
        <v>0</v>
      </c>
      <c r="AZ37" s="19">
        <v>0</v>
      </c>
      <c r="BA37" s="19">
        <v>0</v>
      </c>
      <c r="BB37" s="19">
        <v>0</v>
      </c>
      <c r="BC37" s="19">
        <v>0</v>
      </c>
      <c r="BD37" s="19">
        <v>0</v>
      </c>
      <c r="BE37" s="21">
        <v>0</v>
      </c>
      <c r="BF37" s="21">
        <v>0</v>
      </c>
      <c r="BG37" s="19">
        <v>0</v>
      </c>
      <c r="BH37" s="19">
        <v>0</v>
      </c>
      <c r="BI37" s="22">
        <f t="shared" si="0"/>
        <v>6</v>
      </c>
      <c r="BJ37" s="22">
        <f t="shared" si="1"/>
        <v>4</v>
      </c>
      <c r="BK37" s="22">
        <f t="shared" si="2"/>
        <v>15</v>
      </c>
      <c r="BL37" s="22">
        <f t="shared" si="14"/>
        <v>11</v>
      </c>
      <c r="BM37" s="22">
        <f t="shared" si="4"/>
        <v>4</v>
      </c>
      <c r="BN37" s="23">
        <f t="shared" ref="BN37:BO52" si="15">I37/BL37</f>
        <v>0.45454545454545453</v>
      </c>
      <c r="BO37" s="23">
        <f t="shared" si="15"/>
        <v>0</v>
      </c>
      <c r="BP37" s="7" t="e">
        <f>VLOOKUP(A37,[1]Sheet15!B:E,4,0)</f>
        <v>#N/A</v>
      </c>
      <c r="BQ37" s="7" t="e">
        <f>VLOOKUP(A37,[1]Sheet15!B:E,3,0)</f>
        <v>#N/A</v>
      </c>
    </row>
    <row r="38" spans="1:69" ht="22.5" customHeight="1" x14ac:dyDescent="0.25">
      <c r="A38" s="15" t="s">
        <v>132</v>
      </c>
      <c r="B38" s="15">
        <f>VLOOKUP(A38,'[1]Master clients'!F35:W3582,17,0)</f>
        <v>0</v>
      </c>
      <c r="C38" s="15" t="str">
        <f>VLOOKUP(A38,'[1]Master clients'!F35:P3582,11,0)</f>
        <v>AV</v>
      </c>
      <c r="D38" s="15" t="str">
        <f>VLOOKUP(A38,'[1]Master clients'!F:M,8,0)</f>
        <v>Group (Mills)</v>
      </c>
      <c r="E38" s="16" t="s">
        <v>133</v>
      </c>
      <c r="F38" s="16" t="s">
        <v>134</v>
      </c>
      <c r="G38" s="17">
        <v>14</v>
      </c>
      <c r="H38" s="17">
        <v>0</v>
      </c>
      <c r="I38" s="18">
        <v>26</v>
      </c>
      <c r="J38" s="18">
        <v>0</v>
      </c>
      <c r="K38" s="17">
        <v>3</v>
      </c>
      <c r="L38" s="17">
        <v>0</v>
      </c>
      <c r="M38" s="17">
        <v>4</v>
      </c>
      <c r="N38" s="17">
        <v>10</v>
      </c>
      <c r="O38" s="19">
        <v>0</v>
      </c>
      <c r="P38" s="19">
        <v>14</v>
      </c>
      <c r="Q38" s="19">
        <v>13</v>
      </c>
      <c r="R38" s="19">
        <v>0</v>
      </c>
      <c r="S38" s="19">
        <v>0</v>
      </c>
      <c r="T38" s="19">
        <v>0</v>
      </c>
      <c r="U38" s="19">
        <v>0</v>
      </c>
      <c r="V38" s="19">
        <v>0</v>
      </c>
      <c r="W38" s="20">
        <v>0</v>
      </c>
      <c r="X38" s="20">
        <v>0</v>
      </c>
      <c r="Y38" s="19">
        <v>0</v>
      </c>
      <c r="Z38" s="19">
        <v>3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  <c r="AF38" s="19">
        <v>0</v>
      </c>
      <c r="AG38" s="19">
        <v>0</v>
      </c>
      <c r="AH38" s="19">
        <v>0</v>
      </c>
      <c r="AI38" s="20">
        <v>0</v>
      </c>
      <c r="AJ38" s="20">
        <v>0</v>
      </c>
      <c r="AK38" s="19">
        <v>2</v>
      </c>
      <c r="AL38" s="20">
        <v>0</v>
      </c>
      <c r="AM38" s="19">
        <v>0</v>
      </c>
      <c r="AN38" s="19">
        <v>0</v>
      </c>
      <c r="AO38" s="19">
        <v>0</v>
      </c>
      <c r="AP38" s="19">
        <v>0</v>
      </c>
      <c r="AQ38" s="19">
        <v>0</v>
      </c>
      <c r="AR38" s="19">
        <v>0</v>
      </c>
      <c r="AS38" s="19">
        <v>0</v>
      </c>
      <c r="AT38" s="19">
        <v>0</v>
      </c>
      <c r="AU38" s="19">
        <v>0</v>
      </c>
      <c r="AV38" s="19">
        <v>0</v>
      </c>
      <c r="AW38" s="20">
        <v>0</v>
      </c>
      <c r="AX38" s="20">
        <v>0</v>
      </c>
      <c r="AY38" s="20">
        <v>0</v>
      </c>
      <c r="AZ38" s="19">
        <v>0</v>
      </c>
      <c r="BA38" s="19">
        <v>0</v>
      </c>
      <c r="BB38" s="19">
        <v>0</v>
      </c>
      <c r="BC38" s="19">
        <v>0</v>
      </c>
      <c r="BD38" s="19">
        <v>0</v>
      </c>
      <c r="BE38" s="21">
        <v>0</v>
      </c>
      <c r="BF38" s="21">
        <v>0</v>
      </c>
      <c r="BG38" s="19">
        <v>0</v>
      </c>
      <c r="BH38" s="19">
        <v>0</v>
      </c>
      <c r="BI38" s="22">
        <f t="shared" si="0"/>
        <v>26</v>
      </c>
      <c r="BJ38" s="22">
        <f t="shared" si="1"/>
        <v>23</v>
      </c>
      <c r="BK38" s="22">
        <f t="shared" si="2"/>
        <v>75</v>
      </c>
      <c r="BL38" s="22">
        <f t="shared" si="14"/>
        <v>52</v>
      </c>
      <c r="BM38" s="22">
        <f t="shared" si="4"/>
        <v>23</v>
      </c>
      <c r="BN38" s="23">
        <f t="shared" si="15"/>
        <v>0.5</v>
      </c>
      <c r="BO38" s="23">
        <f t="shared" si="15"/>
        <v>0</v>
      </c>
      <c r="BP38" s="7">
        <f>VLOOKUP(A38,[1]Sheet15!B:E,4,0)</f>
        <v>15</v>
      </c>
      <c r="BQ38" s="7">
        <f>VLOOKUP(A38,[1]Sheet15!B:E,3,0)</f>
        <v>0</v>
      </c>
    </row>
    <row r="39" spans="1:69" ht="22.5" customHeight="1" x14ac:dyDescent="0.25">
      <c r="A39" s="15" t="s">
        <v>135</v>
      </c>
      <c r="B39" s="15">
        <f>VLOOKUP(A39,'[1]Master clients'!F36:W3583,17,0)</f>
        <v>0</v>
      </c>
      <c r="C39" s="15" t="str">
        <f>VLOOKUP(A39,'[1]Master clients'!F36:P3583,11,0)</f>
        <v>AV</v>
      </c>
      <c r="D39" s="15" t="str">
        <f>VLOOKUP(A39,'[1]Master clients'!F:M,8,0)</f>
        <v>End User</v>
      </c>
      <c r="E39" s="16" t="s">
        <v>136</v>
      </c>
      <c r="F39" s="16" t="s">
        <v>96</v>
      </c>
      <c r="G39" s="17">
        <v>0</v>
      </c>
      <c r="H39" s="17">
        <v>0</v>
      </c>
      <c r="I39" s="18">
        <v>21</v>
      </c>
      <c r="J39" s="18">
        <v>12</v>
      </c>
      <c r="K39" s="17">
        <v>0</v>
      </c>
      <c r="L39" s="17">
        <v>0</v>
      </c>
      <c r="M39" s="17">
        <v>0</v>
      </c>
      <c r="N39" s="17">
        <v>0</v>
      </c>
      <c r="O39" s="19">
        <v>0</v>
      </c>
      <c r="P39" s="19">
        <v>0</v>
      </c>
      <c r="Q39" s="19">
        <v>0</v>
      </c>
      <c r="R39" s="19">
        <v>0</v>
      </c>
      <c r="S39" s="19">
        <v>0</v>
      </c>
      <c r="T39" s="19">
        <v>0</v>
      </c>
      <c r="U39" s="19">
        <v>0</v>
      </c>
      <c r="V39" s="19">
        <v>0</v>
      </c>
      <c r="W39" s="20">
        <v>0</v>
      </c>
      <c r="X39" s="20">
        <v>0</v>
      </c>
      <c r="Y39" s="19">
        <v>0</v>
      </c>
      <c r="Z39" s="19">
        <v>0</v>
      </c>
      <c r="AA39" s="19">
        <v>0</v>
      </c>
      <c r="AB39" s="19">
        <v>0</v>
      </c>
      <c r="AC39" s="19">
        <v>0</v>
      </c>
      <c r="AD39" s="19">
        <v>0</v>
      </c>
      <c r="AE39" s="19">
        <v>0</v>
      </c>
      <c r="AF39" s="19">
        <v>0</v>
      </c>
      <c r="AG39" s="19">
        <v>0</v>
      </c>
      <c r="AH39" s="19">
        <v>0</v>
      </c>
      <c r="AI39" s="20">
        <v>0</v>
      </c>
      <c r="AJ39" s="20">
        <v>0</v>
      </c>
      <c r="AK39" s="19">
        <v>0</v>
      </c>
      <c r="AL39" s="20">
        <v>0</v>
      </c>
      <c r="AM39" s="19">
        <v>0</v>
      </c>
      <c r="AN39" s="19">
        <v>0</v>
      </c>
      <c r="AO39" s="19">
        <v>9</v>
      </c>
      <c r="AP39" s="19">
        <v>1</v>
      </c>
      <c r="AQ39" s="19">
        <v>0</v>
      </c>
      <c r="AR39" s="19">
        <v>0</v>
      </c>
      <c r="AS39" s="19">
        <v>0</v>
      </c>
      <c r="AT39" s="19">
        <v>0</v>
      </c>
      <c r="AU39" s="19">
        <v>0</v>
      </c>
      <c r="AV39" s="19">
        <v>0</v>
      </c>
      <c r="AW39" s="20">
        <v>0</v>
      </c>
      <c r="AX39" s="20">
        <v>0</v>
      </c>
      <c r="AY39" s="20">
        <v>0</v>
      </c>
      <c r="AZ39" s="19">
        <v>0</v>
      </c>
      <c r="BA39" s="19">
        <v>0</v>
      </c>
      <c r="BB39" s="19">
        <v>0</v>
      </c>
      <c r="BC39" s="19">
        <v>0</v>
      </c>
      <c r="BD39" s="19">
        <v>0</v>
      </c>
      <c r="BE39" s="21">
        <v>1</v>
      </c>
      <c r="BF39" s="21">
        <v>2</v>
      </c>
      <c r="BG39" s="19">
        <v>0</v>
      </c>
      <c r="BH39" s="19">
        <v>0</v>
      </c>
      <c r="BI39" s="22">
        <f t="shared" si="0"/>
        <v>10</v>
      </c>
      <c r="BJ39" s="22">
        <f t="shared" si="1"/>
        <v>3</v>
      </c>
      <c r="BK39" s="22">
        <f t="shared" si="2"/>
        <v>46</v>
      </c>
      <c r="BL39" s="22">
        <f t="shared" si="14"/>
        <v>31</v>
      </c>
      <c r="BM39" s="22">
        <f t="shared" si="4"/>
        <v>13</v>
      </c>
      <c r="BN39" s="23">
        <f t="shared" si="15"/>
        <v>0.67741935483870963</v>
      </c>
      <c r="BO39" s="23">
        <f t="shared" si="15"/>
        <v>0.92307692307692313</v>
      </c>
      <c r="BP39" s="7">
        <f>VLOOKUP(A39,[1]Sheet15!B:E,4,0)</f>
        <v>9</v>
      </c>
      <c r="BQ39" s="7">
        <f>VLOOKUP(A39,[1]Sheet15!B:E,3,0)</f>
        <v>0</v>
      </c>
    </row>
    <row r="40" spans="1:69" ht="22.5" customHeight="1" x14ac:dyDescent="0.25">
      <c r="A40" s="15" t="s">
        <v>137</v>
      </c>
      <c r="B40" s="15">
        <f>VLOOKUP(A40,'[1]Master clients'!F37:W3584,17,0)</f>
        <v>0</v>
      </c>
      <c r="C40" s="15" t="str">
        <f>VLOOKUP(A40,'[1]Master clients'!F37:P3584,11,0)</f>
        <v>AV</v>
      </c>
      <c r="D40" s="15" t="str">
        <f>VLOOKUP(A40,'[1]Master clients'!F:M,8,0)</f>
        <v>End User</v>
      </c>
      <c r="E40" s="16" t="s">
        <v>138</v>
      </c>
      <c r="F40" s="16" t="s">
        <v>96</v>
      </c>
      <c r="G40" s="17">
        <v>19</v>
      </c>
      <c r="H40" s="17">
        <v>6</v>
      </c>
      <c r="I40" s="18">
        <v>20</v>
      </c>
      <c r="J40" s="18">
        <v>6</v>
      </c>
      <c r="K40" s="17">
        <v>0</v>
      </c>
      <c r="L40" s="17">
        <v>0</v>
      </c>
      <c r="M40" s="17">
        <v>0</v>
      </c>
      <c r="N40" s="17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  <c r="U40" s="19">
        <v>0</v>
      </c>
      <c r="V40" s="19">
        <v>0</v>
      </c>
      <c r="W40" s="20">
        <v>0</v>
      </c>
      <c r="X40" s="20">
        <v>0</v>
      </c>
      <c r="Y40" s="19">
        <v>0</v>
      </c>
      <c r="Z40" s="19">
        <v>0</v>
      </c>
      <c r="AA40" s="19">
        <v>0</v>
      </c>
      <c r="AB40" s="19">
        <v>0</v>
      </c>
      <c r="AC40" s="19">
        <v>0</v>
      </c>
      <c r="AD40" s="19">
        <v>0</v>
      </c>
      <c r="AE40" s="19">
        <v>0</v>
      </c>
      <c r="AF40" s="19">
        <v>0</v>
      </c>
      <c r="AG40" s="19">
        <v>0</v>
      </c>
      <c r="AH40" s="19">
        <v>0</v>
      </c>
      <c r="AI40" s="20">
        <v>0</v>
      </c>
      <c r="AJ40" s="20">
        <v>0</v>
      </c>
      <c r="AK40" s="19">
        <v>0</v>
      </c>
      <c r="AL40" s="20">
        <v>0</v>
      </c>
      <c r="AM40" s="19">
        <v>0</v>
      </c>
      <c r="AN40" s="19">
        <v>0</v>
      </c>
      <c r="AO40" s="19">
        <v>9</v>
      </c>
      <c r="AP40" s="19">
        <v>0</v>
      </c>
      <c r="AQ40" s="19">
        <v>0</v>
      </c>
      <c r="AR40" s="19">
        <v>0</v>
      </c>
      <c r="AS40" s="19">
        <v>1</v>
      </c>
      <c r="AT40" s="19">
        <v>0</v>
      </c>
      <c r="AU40" s="19">
        <v>0</v>
      </c>
      <c r="AV40" s="19">
        <v>0</v>
      </c>
      <c r="AW40" s="20">
        <v>0</v>
      </c>
      <c r="AX40" s="20">
        <v>0</v>
      </c>
      <c r="AY40" s="20">
        <v>0</v>
      </c>
      <c r="AZ40" s="19">
        <v>0</v>
      </c>
      <c r="BA40" s="19">
        <v>0</v>
      </c>
      <c r="BB40" s="19">
        <v>0</v>
      </c>
      <c r="BC40" s="19">
        <v>0</v>
      </c>
      <c r="BD40" s="19">
        <v>0</v>
      </c>
      <c r="BE40" s="21">
        <v>0</v>
      </c>
      <c r="BF40" s="21">
        <v>0</v>
      </c>
      <c r="BG40" s="19">
        <v>0</v>
      </c>
      <c r="BH40" s="19">
        <v>0</v>
      </c>
      <c r="BI40" s="22">
        <f t="shared" si="0"/>
        <v>10</v>
      </c>
      <c r="BJ40" s="22">
        <f t="shared" si="1"/>
        <v>0</v>
      </c>
      <c r="BK40" s="22">
        <f t="shared" si="2"/>
        <v>36</v>
      </c>
      <c r="BL40" s="22">
        <f t="shared" si="14"/>
        <v>30</v>
      </c>
      <c r="BM40" s="22">
        <f t="shared" si="4"/>
        <v>6</v>
      </c>
      <c r="BN40" s="23">
        <f t="shared" si="15"/>
        <v>0.66666666666666663</v>
      </c>
      <c r="BO40" s="23">
        <f t="shared" si="15"/>
        <v>1</v>
      </c>
      <c r="BP40" s="7">
        <f>VLOOKUP(A40,[1]Sheet15!B:E,4,0)</f>
        <v>5</v>
      </c>
      <c r="BQ40" s="7">
        <f>VLOOKUP(A40,[1]Sheet15!B:E,3,0)</f>
        <v>0</v>
      </c>
    </row>
    <row r="41" spans="1:69" ht="22.5" customHeight="1" x14ac:dyDescent="0.25">
      <c r="A41" s="15" t="s">
        <v>139</v>
      </c>
      <c r="B41" s="15">
        <f>VLOOKUP(A41,'[1]Master clients'!F38:W3585,17,0)</f>
        <v>0</v>
      </c>
      <c r="C41" s="15" t="str">
        <f>VLOOKUP(A41,'[1]Master clients'!F38:P3585,11,0)</f>
        <v>AV</v>
      </c>
      <c r="D41" s="15" t="str">
        <f>VLOOKUP(A41,'[1]Master clients'!F:M,8,0)</f>
        <v>End User</v>
      </c>
      <c r="E41" s="16" t="s">
        <v>140</v>
      </c>
      <c r="F41" s="16" t="s">
        <v>141</v>
      </c>
      <c r="G41" s="17">
        <v>6</v>
      </c>
      <c r="H41" s="17">
        <v>0</v>
      </c>
      <c r="I41" s="18">
        <v>5</v>
      </c>
      <c r="J41" s="18">
        <v>0</v>
      </c>
      <c r="K41" s="17">
        <v>0</v>
      </c>
      <c r="L41" s="17">
        <v>0</v>
      </c>
      <c r="M41" s="17">
        <v>0</v>
      </c>
      <c r="N41" s="17">
        <v>0</v>
      </c>
      <c r="O41" s="19">
        <v>0</v>
      </c>
      <c r="P41" s="19">
        <v>2</v>
      </c>
      <c r="Q41" s="19">
        <v>16</v>
      </c>
      <c r="R41" s="19">
        <v>0</v>
      </c>
      <c r="S41" s="19">
        <v>0</v>
      </c>
      <c r="T41" s="19">
        <v>0</v>
      </c>
      <c r="U41" s="19">
        <v>0</v>
      </c>
      <c r="V41" s="19">
        <v>12</v>
      </c>
      <c r="W41" s="20">
        <v>0</v>
      </c>
      <c r="X41" s="20">
        <v>0</v>
      </c>
      <c r="Y41" s="19">
        <v>0</v>
      </c>
      <c r="Z41" s="19">
        <v>0</v>
      </c>
      <c r="AA41" s="19">
        <v>0</v>
      </c>
      <c r="AB41" s="19">
        <v>0</v>
      </c>
      <c r="AC41" s="19">
        <v>0</v>
      </c>
      <c r="AD41" s="19">
        <v>0</v>
      </c>
      <c r="AE41" s="19">
        <v>0</v>
      </c>
      <c r="AF41" s="19">
        <v>0</v>
      </c>
      <c r="AG41" s="19">
        <v>0</v>
      </c>
      <c r="AH41" s="19">
        <v>0</v>
      </c>
      <c r="AI41" s="20">
        <v>0</v>
      </c>
      <c r="AJ41" s="20">
        <v>0</v>
      </c>
      <c r="AK41" s="19">
        <v>0</v>
      </c>
      <c r="AL41" s="20">
        <v>0</v>
      </c>
      <c r="AM41" s="19">
        <v>0</v>
      </c>
      <c r="AN41" s="19">
        <v>0</v>
      </c>
      <c r="AO41" s="19">
        <v>0</v>
      </c>
      <c r="AP41" s="19">
        <v>0</v>
      </c>
      <c r="AQ41" s="19">
        <v>0</v>
      </c>
      <c r="AR41" s="19">
        <v>0</v>
      </c>
      <c r="AS41" s="19">
        <v>0</v>
      </c>
      <c r="AT41" s="19">
        <v>0</v>
      </c>
      <c r="AU41" s="19">
        <v>0</v>
      </c>
      <c r="AV41" s="19">
        <v>0</v>
      </c>
      <c r="AW41" s="20">
        <v>0</v>
      </c>
      <c r="AX41" s="20">
        <v>0</v>
      </c>
      <c r="AY41" s="20">
        <v>0</v>
      </c>
      <c r="AZ41" s="19">
        <v>0</v>
      </c>
      <c r="BA41" s="19">
        <v>0</v>
      </c>
      <c r="BB41" s="19">
        <v>0</v>
      </c>
      <c r="BC41" s="19">
        <v>0</v>
      </c>
      <c r="BD41" s="19">
        <v>0</v>
      </c>
      <c r="BE41" s="21">
        <v>0</v>
      </c>
      <c r="BF41" s="21">
        <v>0</v>
      </c>
      <c r="BG41" s="19">
        <v>0</v>
      </c>
      <c r="BH41" s="19">
        <v>0</v>
      </c>
      <c r="BI41" s="22">
        <f t="shared" si="0"/>
        <v>14</v>
      </c>
      <c r="BJ41" s="22">
        <f t="shared" si="1"/>
        <v>16</v>
      </c>
      <c r="BK41" s="22">
        <f t="shared" si="2"/>
        <v>35</v>
      </c>
      <c r="BL41" s="22">
        <f t="shared" si="14"/>
        <v>19</v>
      </c>
      <c r="BM41" s="22">
        <f t="shared" si="4"/>
        <v>16</v>
      </c>
      <c r="BN41" s="23">
        <f t="shared" si="15"/>
        <v>0.26315789473684209</v>
      </c>
      <c r="BO41" s="23">
        <f t="shared" si="15"/>
        <v>0</v>
      </c>
      <c r="BP41" s="7" t="e">
        <f>VLOOKUP(A41,[1]Sheet15!B:E,4,0)</f>
        <v>#N/A</v>
      </c>
      <c r="BQ41" s="7" t="e">
        <f>VLOOKUP(A41,[1]Sheet15!B:E,3,0)</f>
        <v>#N/A</v>
      </c>
    </row>
    <row r="42" spans="1:69" ht="22.5" customHeight="1" x14ac:dyDescent="0.25">
      <c r="A42" s="15" t="s">
        <v>142</v>
      </c>
      <c r="B42" s="15">
        <f>VLOOKUP(A42,'[1]Master clients'!F39:W3586,17,0)</f>
        <v>0</v>
      </c>
      <c r="C42" s="15" t="str">
        <f>VLOOKUP(A42,'[1]Master clients'!F39:P3586,11,0)</f>
        <v>AV</v>
      </c>
      <c r="D42" s="15" t="str">
        <f>VLOOKUP(A42,'[1]Master clients'!F:M,8,0)</f>
        <v>End User</v>
      </c>
      <c r="E42" s="16" t="s">
        <v>143</v>
      </c>
      <c r="F42" s="16" t="s">
        <v>144</v>
      </c>
      <c r="G42" s="17">
        <v>2</v>
      </c>
      <c r="H42" s="17">
        <v>0</v>
      </c>
      <c r="I42" s="18">
        <v>2</v>
      </c>
      <c r="J42" s="18">
        <v>0</v>
      </c>
      <c r="K42" s="17">
        <v>0</v>
      </c>
      <c r="L42" s="17">
        <v>5</v>
      </c>
      <c r="M42" s="17">
        <v>0</v>
      </c>
      <c r="N42" s="17">
        <v>0</v>
      </c>
      <c r="O42" s="19">
        <v>0</v>
      </c>
      <c r="P42" s="19">
        <v>0</v>
      </c>
      <c r="Q42" s="19">
        <v>2</v>
      </c>
      <c r="R42" s="19">
        <v>0</v>
      </c>
      <c r="S42" s="19">
        <v>0</v>
      </c>
      <c r="T42" s="19">
        <v>0</v>
      </c>
      <c r="U42" s="19">
        <v>0</v>
      </c>
      <c r="V42" s="19">
        <v>0</v>
      </c>
      <c r="W42" s="20">
        <v>0</v>
      </c>
      <c r="X42" s="20">
        <v>0</v>
      </c>
      <c r="Y42" s="19">
        <v>0</v>
      </c>
      <c r="Z42" s="19">
        <v>0</v>
      </c>
      <c r="AA42" s="19">
        <v>2</v>
      </c>
      <c r="AB42" s="19">
        <v>0</v>
      </c>
      <c r="AC42" s="19">
        <v>0</v>
      </c>
      <c r="AD42" s="19">
        <v>0</v>
      </c>
      <c r="AE42" s="19">
        <v>0</v>
      </c>
      <c r="AF42" s="19">
        <v>0</v>
      </c>
      <c r="AG42" s="19">
        <v>0</v>
      </c>
      <c r="AH42" s="19">
        <v>0</v>
      </c>
      <c r="AI42" s="20">
        <v>0</v>
      </c>
      <c r="AJ42" s="20">
        <v>0</v>
      </c>
      <c r="AK42" s="19">
        <v>0</v>
      </c>
      <c r="AL42" s="20">
        <v>0</v>
      </c>
      <c r="AM42" s="19">
        <v>0</v>
      </c>
      <c r="AN42" s="19">
        <v>0</v>
      </c>
      <c r="AO42" s="19">
        <v>0</v>
      </c>
      <c r="AP42" s="19">
        <v>0</v>
      </c>
      <c r="AQ42" s="19">
        <v>0</v>
      </c>
      <c r="AR42" s="19">
        <v>0</v>
      </c>
      <c r="AS42" s="19">
        <v>0</v>
      </c>
      <c r="AT42" s="19">
        <v>0</v>
      </c>
      <c r="AU42" s="19">
        <v>0</v>
      </c>
      <c r="AV42" s="19">
        <v>0</v>
      </c>
      <c r="AW42" s="20">
        <v>0</v>
      </c>
      <c r="AX42" s="20">
        <v>0</v>
      </c>
      <c r="AY42" s="20">
        <v>0</v>
      </c>
      <c r="AZ42" s="19">
        <v>0</v>
      </c>
      <c r="BA42" s="19">
        <v>0</v>
      </c>
      <c r="BB42" s="19">
        <v>0</v>
      </c>
      <c r="BC42" s="19">
        <v>0</v>
      </c>
      <c r="BD42" s="19">
        <v>0</v>
      </c>
      <c r="BE42" s="21">
        <v>0</v>
      </c>
      <c r="BF42" s="21">
        <v>0</v>
      </c>
      <c r="BG42" s="19">
        <v>0</v>
      </c>
      <c r="BH42" s="19">
        <v>0</v>
      </c>
      <c r="BI42" s="22">
        <f t="shared" si="0"/>
        <v>5</v>
      </c>
      <c r="BJ42" s="22">
        <f t="shared" si="1"/>
        <v>4</v>
      </c>
      <c r="BK42" s="22">
        <f t="shared" si="2"/>
        <v>11</v>
      </c>
      <c r="BL42" s="22">
        <f t="shared" si="14"/>
        <v>7</v>
      </c>
      <c r="BM42" s="22">
        <f t="shared" si="4"/>
        <v>4</v>
      </c>
      <c r="BN42" s="23">
        <f t="shared" si="15"/>
        <v>0.2857142857142857</v>
      </c>
      <c r="BO42" s="23">
        <f t="shared" si="15"/>
        <v>0</v>
      </c>
      <c r="BP42" s="7" t="e">
        <f>VLOOKUP(A42,[1]Sheet15!B:E,4,0)</f>
        <v>#N/A</v>
      </c>
      <c r="BQ42" s="7" t="e">
        <f>VLOOKUP(A42,[1]Sheet15!B:E,3,0)</f>
        <v>#N/A</v>
      </c>
    </row>
    <row r="43" spans="1:69" ht="45" x14ac:dyDescent="0.25">
      <c r="A43" s="15" t="s">
        <v>145</v>
      </c>
      <c r="B43" s="15">
        <f>VLOOKUP(A43,'[1]Master clients'!F40:W3587,17,0)</f>
        <v>0</v>
      </c>
      <c r="C43" s="15" t="str">
        <f>VLOOKUP(A43,'[1]Master clients'!F40:P3587,11,0)</f>
        <v>-</v>
      </c>
      <c r="D43" s="15">
        <f>VLOOKUP(A43,'[1]Master clients'!F:M,8,0)</f>
        <v>0</v>
      </c>
      <c r="E43" s="16" t="s">
        <v>116</v>
      </c>
      <c r="F43" s="16" t="s">
        <v>96</v>
      </c>
      <c r="G43" s="17">
        <v>4</v>
      </c>
      <c r="H43" s="17">
        <v>8</v>
      </c>
      <c r="I43" s="17">
        <v>4</v>
      </c>
      <c r="J43" s="18">
        <v>8</v>
      </c>
      <c r="K43" s="17">
        <v>10</v>
      </c>
      <c r="L43" s="17">
        <v>0</v>
      </c>
      <c r="M43" s="17">
        <v>0</v>
      </c>
      <c r="N43" s="17">
        <v>0</v>
      </c>
      <c r="O43" s="19">
        <v>0</v>
      </c>
      <c r="P43" s="19">
        <v>0</v>
      </c>
      <c r="Q43" s="19">
        <v>0</v>
      </c>
      <c r="R43" s="19">
        <v>0</v>
      </c>
      <c r="S43" s="19">
        <v>0</v>
      </c>
      <c r="T43" s="19">
        <v>0</v>
      </c>
      <c r="U43" s="19">
        <v>0</v>
      </c>
      <c r="V43" s="19">
        <v>0</v>
      </c>
      <c r="W43" s="20">
        <v>0</v>
      </c>
      <c r="X43" s="20">
        <v>0</v>
      </c>
      <c r="Y43" s="19">
        <v>0</v>
      </c>
      <c r="Z43" s="19">
        <v>0</v>
      </c>
      <c r="AA43" s="19">
        <v>0</v>
      </c>
      <c r="AB43" s="19">
        <v>0</v>
      </c>
      <c r="AC43" s="19">
        <v>0</v>
      </c>
      <c r="AD43" s="19">
        <v>0</v>
      </c>
      <c r="AE43" s="19">
        <v>0</v>
      </c>
      <c r="AF43" s="19">
        <v>0</v>
      </c>
      <c r="AG43" s="19">
        <v>0</v>
      </c>
      <c r="AH43" s="19">
        <v>0</v>
      </c>
      <c r="AI43" s="20">
        <v>0</v>
      </c>
      <c r="AJ43" s="20">
        <v>0</v>
      </c>
      <c r="AK43" s="19">
        <v>0</v>
      </c>
      <c r="AL43" s="20">
        <v>0</v>
      </c>
      <c r="AM43" s="19">
        <v>0</v>
      </c>
      <c r="AN43" s="19">
        <v>0</v>
      </c>
      <c r="AO43" s="19">
        <v>0</v>
      </c>
      <c r="AP43" s="19">
        <v>0</v>
      </c>
      <c r="AQ43" s="19">
        <v>0</v>
      </c>
      <c r="AR43" s="19">
        <v>0</v>
      </c>
      <c r="AS43" s="19">
        <v>0</v>
      </c>
      <c r="AT43" s="19">
        <v>0</v>
      </c>
      <c r="AU43" s="19">
        <v>0</v>
      </c>
      <c r="AV43" s="19">
        <v>0</v>
      </c>
      <c r="AW43" s="20">
        <v>0</v>
      </c>
      <c r="AX43" s="20">
        <v>0</v>
      </c>
      <c r="AY43" s="20">
        <v>0</v>
      </c>
      <c r="AZ43" s="19">
        <v>0</v>
      </c>
      <c r="BA43" s="19">
        <v>0</v>
      </c>
      <c r="BB43" s="19">
        <v>0</v>
      </c>
      <c r="BC43" s="19">
        <v>0</v>
      </c>
      <c r="BD43" s="19">
        <v>0</v>
      </c>
      <c r="BE43" s="21">
        <v>0</v>
      </c>
      <c r="BF43" s="21">
        <v>0</v>
      </c>
      <c r="BG43" s="19">
        <v>0</v>
      </c>
      <c r="BH43" s="19">
        <v>0</v>
      </c>
      <c r="BI43" s="22">
        <f t="shared" si="0"/>
        <v>10</v>
      </c>
      <c r="BJ43" s="22">
        <f t="shared" si="1"/>
        <v>0</v>
      </c>
      <c r="BK43" s="22">
        <f t="shared" si="2"/>
        <v>22</v>
      </c>
      <c r="BL43" s="22">
        <f t="shared" si="14"/>
        <v>14</v>
      </c>
      <c r="BM43" s="22">
        <f t="shared" si="4"/>
        <v>8</v>
      </c>
      <c r="BN43" s="23">
        <f t="shared" si="15"/>
        <v>0.2857142857142857</v>
      </c>
      <c r="BO43" s="23">
        <f t="shared" si="15"/>
        <v>1</v>
      </c>
      <c r="BP43" s="7" t="e">
        <f>VLOOKUP(A43,[1]Sheet15!B:E,4,0)</f>
        <v>#N/A</v>
      </c>
      <c r="BQ43" s="7" t="e">
        <f>VLOOKUP(A43,[1]Sheet15!B:E,3,0)</f>
        <v>#N/A</v>
      </c>
    </row>
    <row r="44" spans="1:69" ht="22.5" customHeight="1" x14ac:dyDescent="0.25">
      <c r="A44" s="15" t="s">
        <v>146</v>
      </c>
      <c r="B44" s="15">
        <f>VLOOKUP(A44,'[1]Master clients'!F41:W3588,17,0)</f>
        <v>0</v>
      </c>
      <c r="C44" s="15" t="str">
        <f>VLOOKUP(A44,'[1]Master clients'!F41:P3588,11,0)</f>
        <v>AV</v>
      </c>
      <c r="D44" s="15" t="str">
        <f>VLOOKUP(A44,'[1]Master clients'!F:M,8,0)</f>
        <v>End User</v>
      </c>
      <c r="E44" s="16" t="s">
        <v>147</v>
      </c>
      <c r="F44" s="16" t="s">
        <v>96</v>
      </c>
      <c r="G44" s="17">
        <v>9</v>
      </c>
      <c r="H44" s="17">
        <v>0</v>
      </c>
      <c r="I44" s="18">
        <v>1</v>
      </c>
      <c r="J44" s="18">
        <v>0</v>
      </c>
      <c r="K44" s="17">
        <v>0</v>
      </c>
      <c r="L44" s="17">
        <v>0</v>
      </c>
      <c r="M44" s="17">
        <v>0</v>
      </c>
      <c r="N44" s="17">
        <v>0</v>
      </c>
      <c r="O44" s="19">
        <v>2</v>
      </c>
      <c r="P44" s="19">
        <v>0</v>
      </c>
      <c r="Q44" s="19">
        <v>9</v>
      </c>
      <c r="R44" s="19">
        <v>0</v>
      </c>
      <c r="S44" s="19">
        <v>0</v>
      </c>
      <c r="T44" s="19">
        <v>0</v>
      </c>
      <c r="U44" s="19">
        <v>0</v>
      </c>
      <c r="V44" s="19">
        <v>3</v>
      </c>
      <c r="W44" s="20">
        <v>0</v>
      </c>
      <c r="X44" s="20">
        <v>0</v>
      </c>
      <c r="Y44" s="19">
        <v>0</v>
      </c>
      <c r="Z44" s="19">
        <v>0</v>
      </c>
      <c r="AA44" s="19">
        <v>0</v>
      </c>
      <c r="AB44" s="19">
        <v>0</v>
      </c>
      <c r="AC44" s="19">
        <v>0</v>
      </c>
      <c r="AD44" s="19">
        <v>0</v>
      </c>
      <c r="AE44" s="19">
        <v>0</v>
      </c>
      <c r="AF44" s="19">
        <v>0</v>
      </c>
      <c r="AG44" s="19">
        <v>0</v>
      </c>
      <c r="AH44" s="19">
        <v>0</v>
      </c>
      <c r="AI44" s="20">
        <v>0</v>
      </c>
      <c r="AJ44" s="20">
        <v>0</v>
      </c>
      <c r="AK44" s="19">
        <v>0</v>
      </c>
      <c r="AL44" s="20">
        <v>0</v>
      </c>
      <c r="AM44" s="19">
        <v>0</v>
      </c>
      <c r="AN44" s="19">
        <v>0</v>
      </c>
      <c r="AO44" s="19">
        <v>0</v>
      </c>
      <c r="AP44" s="19">
        <v>0</v>
      </c>
      <c r="AQ44" s="19">
        <v>0</v>
      </c>
      <c r="AR44" s="19">
        <v>0</v>
      </c>
      <c r="AS44" s="19">
        <v>0</v>
      </c>
      <c r="AT44" s="19">
        <v>0</v>
      </c>
      <c r="AU44" s="19">
        <v>0</v>
      </c>
      <c r="AV44" s="19">
        <v>0</v>
      </c>
      <c r="AW44" s="20">
        <v>0</v>
      </c>
      <c r="AX44" s="20">
        <v>0</v>
      </c>
      <c r="AY44" s="20">
        <v>0</v>
      </c>
      <c r="AZ44" s="19">
        <v>0</v>
      </c>
      <c r="BA44" s="19">
        <v>0</v>
      </c>
      <c r="BB44" s="19">
        <v>0</v>
      </c>
      <c r="BC44" s="19">
        <v>0</v>
      </c>
      <c r="BD44" s="19">
        <v>0</v>
      </c>
      <c r="BE44" s="21">
        <v>0</v>
      </c>
      <c r="BF44" s="21">
        <v>0</v>
      </c>
      <c r="BG44" s="19">
        <v>0</v>
      </c>
      <c r="BH44" s="19">
        <v>0</v>
      </c>
      <c r="BI44" s="22">
        <f t="shared" si="0"/>
        <v>3</v>
      </c>
      <c r="BJ44" s="22">
        <f t="shared" si="1"/>
        <v>11</v>
      </c>
      <c r="BK44" s="22">
        <f t="shared" si="2"/>
        <v>15</v>
      </c>
      <c r="BL44" s="22">
        <f t="shared" si="14"/>
        <v>4</v>
      </c>
      <c r="BM44" s="22">
        <f t="shared" si="4"/>
        <v>11</v>
      </c>
      <c r="BN44" s="23">
        <f t="shared" si="15"/>
        <v>0.25</v>
      </c>
      <c r="BO44" s="23">
        <f t="shared" si="15"/>
        <v>0</v>
      </c>
      <c r="BP44" s="7" t="e">
        <f>VLOOKUP(A44,[1]Sheet15!B:E,4,0)</f>
        <v>#N/A</v>
      </c>
      <c r="BQ44" s="7" t="e">
        <f>VLOOKUP(A44,[1]Sheet15!B:E,3,0)</f>
        <v>#N/A</v>
      </c>
    </row>
    <row r="45" spans="1:69" ht="22.5" customHeight="1" x14ac:dyDescent="0.25">
      <c r="A45" s="15" t="s">
        <v>148</v>
      </c>
      <c r="B45" s="15">
        <f>VLOOKUP(A45,'[1]Master clients'!F42:W3589,17,0)</f>
        <v>0</v>
      </c>
      <c r="C45" s="15" t="str">
        <f>VLOOKUP(A45,'[1]Master clients'!F42:P3589,11,0)</f>
        <v>AV</v>
      </c>
      <c r="D45" s="15" t="str">
        <f>VLOOKUP(A45,'[1]Master clients'!F:M,8,0)</f>
        <v>End User</v>
      </c>
      <c r="E45" s="16" t="s">
        <v>149</v>
      </c>
      <c r="F45" s="29" t="s">
        <v>96</v>
      </c>
      <c r="G45" s="17"/>
      <c r="H45" s="17"/>
      <c r="I45" s="18">
        <v>16</v>
      </c>
      <c r="J45" s="18">
        <v>7</v>
      </c>
      <c r="K45" s="17">
        <v>0</v>
      </c>
      <c r="L45" s="17">
        <v>0</v>
      </c>
      <c r="M45" s="17">
        <v>0</v>
      </c>
      <c r="N45" s="17">
        <v>0</v>
      </c>
      <c r="O45" s="19">
        <v>0</v>
      </c>
      <c r="P45" s="19">
        <v>0</v>
      </c>
      <c r="Q45" s="19">
        <v>4</v>
      </c>
      <c r="R45" s="19">
        <v>0</v>
      </c>
      <c r="S45" s="19">
        <v>0</v>
      </c>
      <c r="T45" s="19">
        <v>0</v>
      </c>
      <c r="U45" s="19">
        <v>0</v>
      </c>
      <c r="V45" s="19">
        <v>0</v>
      </c>
      <c r="W45" s="20">
        <v>0</v>
      </c>
      <c r="X45" s="20">
        <v>0</v>
      </c>
      <c r="Y45" s="19">
        <v>0</v>
      </c>
      <c r="Z45" s="19">
        <v>0</v>
      </c>
      <c r="AA45" s="19">
        <v>1</v>
      </c>
      <c r="AB45" s="19">
        <v>0</v>
      </c>
      <c r="AC45" s="19">
        <v>0</v>
      </c>
      <c r="AD45" s="19">
        <v>0</v>
      </c>
      <c r="AE45" s="19">
        <v>0</v>
      </c>
      <c r="AF45" s="19">
        <v>0</v>
      </c>
      <c r="AG45" s="19">
        <v>0</v>
      </c>
      <c r="AH45" s="19">
        <v>0</v>
      </c>
      <c r="AI45" s="20">
        <v>0</v>
      </c>
      <c r="AJ45" s="20">
        <v>0</v>
      </c>
      <c r="AK45" s="19">
        <v>0</v>
      </c>
      <c r="AL45" s="20">
        <v>0</v>
      </c>
      <c r="AM45" s="19">
        <v>0</v>
      </c>
      <c r="AN45" s="19">
        <v>0</v>
      </c>
      <c r="AO45" s="19">
        <v>0</v>
      </c>
      <c r="AP45" s="19">
        <v>0</v>
      </c>
      <c r="AQ45" s="19">
        <v>0</v>
      </c>
      <c r="AR45" s="19">
        <v>0</v>
      </c>
      <c r="AS45" s="19">
        <v>0</v>
      </c>
      <c r="AT45" s="19">
        <v>0</v>
      </c>
      <c r="AU45" s="19">
        <v>0</v>
      </c>
      <c r="AV45" s="19">
        <v>0</v>
      </c>
      <c r="AW45" s="20">
        <v>0</v>
      </c>
      <c r="AX45" s="20">
        <v>0</v>
      </c>
      <c r="AY45" s="20">
        <v>0</v>
      </c>
      <c r="AZ45" s="19">
        <v>0</v>
      </c>
      <c r="BA45" s="19">
        <v>0</v>
      </c>
      <c r="BB45" s="19">
        <v>0</v>
      </c>
      <c r="BC45" s="19">
        <v>0</v>
      </c>
      <c r="BD45" s="19">
        <v>0</v>
      </c>
      <c r="BE45" s="21">
        <v>0</v>
      </c>
      <c r="BF45" s="21">
        <v>0</v>
      </c>
      <c r="BG45" s="19">
        <v>0</v>
      </c>
      <c r="BH45" s="19">
        <v>0</v>
      </c>
      <c r="BI45" s="22">
        <f t="shared" si="0"/>
        <v>0</v>
      </c>
      <c r="BJ45" s="22">
        <f t="shared" si="1"/>
        <v>5</v>
      </c>
      <c r="BK45" s="22">
        <f t="shared" si="2"/>
        <v>28</v>
      </c>
      <c r="BL45" s="22">
        <f t="shared" si="14"/>
        <v>16</v>
      </c>
      <c r="BM45" s="22">
        <f t="shared" si="4"/>
        <v>12</v>
      </c>
      <c r="BN45" s="23">
        <f t="shared" si="15"/>
        <v>1</v>
      </c>
      <c r="BO45" s="23">
        <f t="shared" si="15"/>
        <v>0.58333333333333337</v>
      </c>
      <c r="BP45" s="7" t="e">
        <f>VLOOKUP(A45,[1]Sheet15!B:E,4,0)</f>
        <v>#N/A</v>
      </c>
      <c r="BQ45" s="7" t="e">
        <f>VLOOKUP(A45,[1]Sheet15!B:E,3,0)</f>
        <v>#N/A</v>
      </c>
    </row>
    <row r="46" spans="1:69" ht="22.5" customHeight="1" x14ac:dyDescent="0.25">
      <c r="A46" s="15" t="s">
        <v>150</v>
      </c>
      <c r="B46" s="15">
        <f>VLOOKUP(A46,'[1]Master clients'!F43:W3590,17,0)</f>
        <v>0</v>
      </c>
      <c r="C46" s="15" t="str">
        <f>VLOOKUP(A46,'[1]Master clients'!F43:P3590,11,0)</f>
        <v>NI</v>
      </c>
      <c r="D46" s="15" t="str">
        <f>VLOOKUP(A46,'[1]Master clients'!F:M,8,0)</f>
        <v>End User</v>
      </c>
      <c r="E46" s="16" t="s">
        <v>151</v>
      </c>
      <c r="F46" s="16" t="s">
        <v>152</v>
      </c>
      <c r="G46" s="17"/>
      <c r="H46" s="17"/>
      <c r="I46" s="18">
        <v>1</v>
      </c>
      <c r="J46" s="18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>
        <v>0</v>
      </c>
      <c r="Z46" s="17">
        <v>0</v>
      </c>
      <c r="AA46" s="17">
        <v>0</v>
      </c>
      <c r="AB46" s="17">
        <v>0</v>
      </c>
      <c r="AC46" s="17">
        <v>0</v>
      </c>
      <c r="AD46" s="17">
        <v>0</v>
      </c>
      <c r="AE46" s="17">
        <v>0</v>
      </c>
      <c r="AF46" s="17">
        <v>0</v>
      </c>
      <c r="AG46" s="17">
        <v>0</v>
      </c>
      <c r="AH46" s="17">
        <v>0</v>
      </c>
      <c r="AI46" s="17">
        <v>0</v>
      </c>
      <c r="AJ46" s="17">
        <v>0</v>
      </c>
      <c r="AK46" s="17">
        <v>0</v>
      </c>
      <c r="AL46" s="17">
        <v>0</v>
      </c>
      <c r="AM46" s="17">
        <v>0</v>
      </c>
      <c r="AN46" s="17">
        <v>0</v>
      </c>
      <c r="AO46" s="17">
        <v>1</v>
      </c>
      <c r="AP46" s="17">
        <v>0</v>
      </c>
      <c r="AQ46" s="17">
        <v>0</v>
      </c>
      <c r="AR46" s="17">
        <v>0</v>
      </c>
      <c r="AS46" s="17">
        <v>0</v>
      </c>
      <c r="AT46" s="17">
        <v>0</v>
      </c>
      <c r="AU46" s="17">
        <v>0</v>
      </c>
      <c r="AV46" s="17">
        <v>0</v>
      </c>
      <c r="AW46" s="17">
        <v>0</v>
      </c>
      <c r="AX46" s="17">
        <v>0</v>
      </c>
      <c r="AY46" s="17">
        <v>0</v>
      </c>
      <c r="AZ46" s="17">
        <v>0</v>
      </c>
      <c r="BA46" s="17">
        <v>0</v>
      </c>
      <c r="BB46" s="17">
        <v>0</v>
      </c>
      <c r="BC46" s="17">
        <v>0</v>
      </c>
      <c r="BD46" s="17">
        <v>0</v>
      </c>
      <c r="BE46" s="17">
        <v>0</v>
      </c>
      <c r="BF46" s="17">
        <v>0</v>
      </c>
      <c r="BG46" s="17">
        <v>0</v>
      </c>
      <c r="BH46" s="17">
        <v>0</v>
      </c>
      <c r="BI46" s="22">
        <f t="shared" si="0"/>
        <v>1</v>
      </c>
      <c r="BJ46" s="22">
        <f t="shared" si="1"/>
        <v>0</v>
      </c>
      <c r="BK46" s="22">
        <f t="shared" si="2"/>
        <v>2</v>
      </c>
      <c r="BL46" s="22">
        <f t="shared" si="14"/>
        <v>2</v>
      </c>
      <c r="BM46" s="22">
        <f t="shared" si="4"/>
        <v>0</v>
      </c>
      <c r="BN46" s="23">
        <f t="shared" si="15"/>
        <v>0.5</v>
      </c>
      <c r="BO46" s="23" t="e">
        <f t="shared" si="15"/>
        <v>#DIV/0!</v>
      </c>
      <c r="BP46" s="7" t="e">
        <f>VLOOKUP(A46,[1]Sheet15!B:E,4,0)</f>
        <v>#N/A</v>
      </c>
      <c r="BQ46" s="7" t="e">
        <f>VLOOKUP(A46,[1]Sheet15!B:E,3,0)</f>
        <v>#N/A</v>
      </c>
    </row>
    <row r="47" spans="1:69" ht="22.5" customHeight="1" x14ac:dyDescent="0.25">
      <c r="A47" s="15" t="s">
        <v>153</v>
      </c>
      <c r="B47" s="15">
        <f>VLOOKUP(A47,'[1]Master clients'!F44:W3591,17,0)</f>
        <v>0</v>
      </c>
      <c r="C47" s="15" t="str">
        <f>VLOOKUP(A47,'[1]Master clients'!F44:P3591,11,0)</f>
        <v>NI</v>
      </c>
      <c r="D47" s="15" t="str">
        <f>VLOOKUP(A47,'[1]Master clients'!F:M,8,0)</f>
        <v>End User</v>
      </c>
      <c r="E47" s="16" t="s">
        <v>154</v>
      </c>
      <c r="F47" s="16" t="s">
        <v>152</v>
      </c>
      <c r="G47" s="17"/>
      <c r="H47" s="17"/>
      <c r="I47" s="18">
        <v>4</v>
      </c>
      <c r="J47" s="18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7">
        <v>0</v>
      </c>
      <c r="AK47" s="17">
        <v>0</v>
      </c>
      <c r="AL47" s="17">
        <v>0</v>
      </c>
      <c r="AM47" s="17">
        <v>0</v>
      </c>
      <c r="AN47" s="17">
        <v>0</v>
      </c>
      <c r="AO47" s="17">
        <v>0</v>
      </c>
      <c r="AP47" s="17">
        <v>0</v>
      </c>
      <c r="AQ47" s="17">
        <v>0</v>
      </c>
      <c r="AR47" s="17">
        <v>0</v>
      </c>
      <c r="AS47" s="17">
        <v>0</v>
      </c>
      <c r="AT47" s="17">
        <v>0</v>
      </c>
      <c r="AU47" s="17">
        <v>0</v>
      </c>
      <c r="AV47" s="17">
        <v>0</v>
      </c>
      <c r="AW47" s="17">
        <v>0</v>
      </c>
      <c r="AX47" s="17">
        <v>0</v>
      </c>
      <c r="AY47" s="17">
        <v>0</v>
      </c>
      <c r="AZ47" s="17">
        <v>0</v>
      </c>
      <c r="BA47" s="17">
        <v>0</v>
      </c>
      <c r="BB47" s="17">
        <v>0</v>
      </c>
      <c r="BC47" s="17">
        <v>0</v>
      </c>
      <c r="BD47" s="17">
        <v>0</v>
      </c>
      <c r="BE47" s="17">
        <v>0</v>
      </c>
      <c r="BF47" s="17">
        <v>0</v>
      </c>
      <c r="BG47" s="17">
        <v>0</v>
      </c>
      <c r="BH47" s="17">
        <v>0</v>
      </c>
      <c r="BI47" s="22">
        <f t="shared" si="0"/>
        <v>0</v>
      </c>
      <c r="BJ47" s="22">
        <f t="shared" si="1"/>
        <v>0</v>
      </c>
      <c r="BK47" s="22">
        <f t="shared" si="2"/>
        <v>4</v>
      </c>
      <c r="BL47" s="22">
        <f t="shared" si="14"/>
        <v>4</v>
      </c>
      <c r="BM47" s="22">
        <f t="shared" si="4"/>
        <v>0</v>
      </c>
      <c r="BN47" s="23">
        <f t="shared" si="15"/>
        <v>1</v>
      </c>
      <c r="BO47" s="23" t="e">
        <f t="shared" si="15"/>
        <v>#DIV/0!</v>
      </c>
      <c r="BP47" s="7">
        <f>VLOOKUP(A47,[1]Sheet15!B:E,4,0)</f>
        <v>4</v>
      </c>
      <c r="BQ47" s="7">
        <f>VLOOKUP(A47,[1]Sheet15!B:E,3,0)</f>
        <v>0</v>
      </c>
    </row>
    <row r="48" spans="1:69" ht="22.5" customHeight="1" x14ac:dyDescent="0.25">
      <c r="A48" s="15" t="s">
        <v>155</v>
      </c>
      <c r="B48" s="15">
        <f>VLOOKUP(A48,'[1]Master clients'!F45:W3592,17,0)</f>
        <v>0</v>
      </c>
      <c r="C48" s="15" t="str">
        <f>VLOOKUP(A48,'[1]Master clients'!F45:P3592,11,0)</f>
        <v>NI</v>
      </c>
      <c r="D48" s="15" t="str">
        <f>VLOOKUP(A48,'[1]Master clients'!F:M,8,0)</f>
        <v>End User</v>
      </c>
      <c r="E48" s="16" t="s">
        <v>156</v>
      </c>
      <c r="F48" s="16" t="s">
        <v>152</v>
      </c>
      <c r="G48" s="17"/>
      <c r="H48" s="17"/>
      <c r="I48" s="31">
        <v>1</v>
      </c>
      <c r="J48" s="31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7">
        <v>0</v>
      </c>
      <c r="AK48" s="17">
        <v>0</v>
      </c>
      <c r="AL48" s="17">
        <v>0</v>
      </c>
      <c r="AM48" s="17">
        <v>0</v>
      </c>
      <c r="AN48" s="17">
        <v>0</v>
      </c>
      <c r="AO48" s="17">
        <v>0</v>
      </c>
      <c r="AP48" s="17">
        <v>0</v>
      </c>
      <c r="AQ48" s="17">
        <v>0</v>
      </c>
      <c r="AR48" s="17">
        <v>0</v>
      </c>
      <c r="AS48" s="17">
        <v>0</v>
      </c>
      <c r="AT48" s="17">
        <v>0</v>
      </c>
      <c r="AU48" s="17">
        <v>0</v>
      </c>
      <c r="AV48" s="17">
        <v>0</v>
      </c>
      <c r="AW48" s="17">
        <v>0</v>
      </c>
      <c r="AX48" s="17">
        <v>0</v>
      </c>
      <c r="AY48" s="17">
        <v>0</v>
      </c>
      <c r="AZ48" s="17">
        <v>0</v>
      </c>
      <c r="BA48" s="17">
        <v>0</v>
      </c>
      <c r="BB48" s="17">
        <v>0</v>
      </c>
      <c r="BC48" s="17">
        <v>0</v>
      </c>
      <c r="BD48" s="17">
        <v>0</v>
      </c>
      <c r="BE48" s="17">
        <v>0</v>
      </c>
      <c r="BF48" s="17">
        <v>0</v>
      </c>
      <c r="BG48" s="17">
        <v>0</v>
      </c>
      <c r="BH48" s="17">
        <v>0</v>
      </c>
      <c r="BI48" s="22">
        <f t="shared" si="0"/>
        <v>0</v>
      </c>
      <c r="BJ48" s="22">
        <f t="shared" si="1"/>
        <v>0</v>
      </c>
      <c r="BK48" s="22">
        <f t="shared" si="2"/>
        <v>1</v>
      </c>
      <c r="BL48" s="22">
        <f t="shared" si="14"/>
        <v>1</v>
      </c>
      <c r="BM48" s="22">
        <f t="shared" si="4"/>
        <v>0</v>
      </c>
      <c r="BN48" s="23">
        <f t="shared" si="15"/>
        <v>1</v>
      </c>
      <c r="BO48" s="23" t="e">
        <f t="shared" si="15"/>
        <v>#DIV/0!</v>
      </c>
      <c r="BP48" s="7">
        <f>VLOOKUP(A48,[1]Sheet15!B:E,4,0)</f>
        <v>1</v>
      </c>
      <c r="BQ48" s="7">
        <f>VLOOKUP(A48,[1]Sheet15!B:E,3,0)</f>
        <v>0</v>
      </c>
    </row>
    <row r="49" spans="1:69" ht="22.5" customHeight="1" x14ac:dyDescent="0.25">
      <c r="A49" s="15" t="s">
        <v>157</v>
      </c>
      <c r="B49" s="15">
        <f>VLOOKUP(A49,'[1]Master clients'!F46:W3593,17,0)</f>
        <v>0</v>
      </c>
      <c r="C49" s="15" t="str">
        <f>VLOOKUP(A49,'[1]Master clients'!F46:P3593,11,0)</f>
        <v>NI</v>
      </c>
      <c r="D49" s="15" t="str">
        <f>VLOOKUP(A49,'[1]Master clients'!F:M,8,0)</f>
        <v>End User</v>
      </c>
      <c r="E49" s="16" t="s">
        <v>158</v>
      </c>
      <c r="F49" s="16" t="s">
        <v>152</v>
      </c>
      <c r="G49" s="17"/>
      <c r="H49" s="17"/>
      <c r="I49" s="31">
        <v>8</v>
      </c>
      <c r="J49" s="31">
        <v>0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7">
        <v>0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7">
        <v>0</v>
      </c>
      <c r="Y49" s="17">
        <v>0</v>
      </c>
      <c r="Z49" s="17">
        <v>0</v>
      </c>
      <c r="AA49" s="17">
        <v>0</v>
      </c>
      <c r="AB49" s="17">
        <v>0</v>
      </c>
      <c r="AC49" s="17">
        <v>0</v>
      </c>
      <c r="AD49" s="17">
        <v>0</v>
      </c>
      <c r="AE49" s="17">
        <v>0</v>
      </c>
      <c r="AF49" s="17">
        <v>0</v>
      </c>
      <c r="AG49" s="17">
        <v>0</v>
      </c>
      <c r="AH49" s="17">
        <v>0</v>
      </c>
      <c r="AI49" s="17">
        <v>0</v>
      </c>
      <c r="AJ49" s="17">
        <v>0</v>
      </c>
      <c r="AK49" s="17">
        <v>0</v>
      </c>
      <c r="AL49" s="17">
        <v>0</v>
      </c>
      <c r="AM49" s="17">
        <v>0</v>
      </c>
      <c r="AN49" s="17">
        <v>0</v>
      </c>
      <c r="AO49" s="17">
        <v>0</v>
      </c>
      <c r="AP49" s="17">
        <v>0</v>
      </c>
      <c r="AQ49" s="17">
        <v>0</v>
      </c>
      <c r="AR49" s="17">
        <v>0</v>
      </c>
      <c r="AS49" s="17">
        <v>0</v>
      </c>
      <c r="AT49" s="17">
        <v>0</v>
      </c>
      <c r="AU49" s="17">
        <v>0</v>
      </c>
      <c r="AV49" s="17">
        <v>0</v>
      </c>
      <c r="AW49" s="17">
        <v>0</v>
      </c>
      <c r="AX49" s="17">
        <v>0</v>
      </c>
      <c r="AY49" s="17">
        <v>0</v>
      </c>
      <c r="AZ49" s="17">
        <v>0</v>
      </c>
      <c r="BA49" s="17">
        <v>0</v>
      </c>
      <c r="BB49" s="17">
        <v>0</v>
      </c>
      <c r="BC49" s="17">
        <v>0</v>
      </c>
      <c r="BD49" s="17">
        <v>0</v>
      </c>
      <c r="BE49" s="17">
        <v>0</v>
      </c>
      <c r="BF49" s="17">
        <v>0</v>
      </c>
      <c r="BG49" s="17">
        <v>0</v>
      </c>
      <c r="BH49" s="17">
        <v>0</v>
      </c>
      <c r="BI49" s="22">
        <f t="shared" si="0"/>
        <v>0</v>
      </c>
      <c r="BJ49" s="22">
        <f t="shared" si="1"/>
        <v>0</v>
      </c>
      <c r="BK49" s="22">
        <f t="shared" si="2"/>
        <v>8</v>
      </c>
      <c r="BL49" s="22">
        <f t="shared" si="14"/>
        <v>8</v>
      </c>
      <c r="BM49" s="22">
        <f t="shared" si="4"/>
        <v>0</v>
      </c>
      <c r="BN49" s="23">
        <f t="shared" si="15"/>
        <v>1</v>
      </c>
      <c r="BO49" s="23" t="e">
        <f t="shared" si="15"/>
        <v>#DIV/0!</v>
      </c>
      <c r="BP49" s="7">
        <f>VLOOKUP(A49,[1]Sheet15!B:E,4,0)</f>
        <v>3</v>
      </c>
      <c r="BQ49" s="7">
        <f>VLOOKUP(A49,[1]Sheet15!B:E,3,0)</f>
        <v>0</v>
      </c>
    </row>
    <row r="50" spans="1:69" ht="22.5" customHeight="1" x14ac:dyDescent="0.25">
      <c r="A50" s="15" t="s">
        <v>159</v>
      </c>
      <c r="B50" s="15">
        <f>VLOOKUP(A50,'[1]Master clients'!F47:W3594,17,0)</f>
        <v>0</v>
      </c>
      <c r="C50" s="15" t="str">
        <f>VLOOKUP(A50,'[1]Master clients'!F47:P3594,11,0)</f>
        <v>NI</v>
      </c>
      <c r="D50" s="15" t="str">
        <f>VLOOKUP(A50,'[1]Master clients'!F:M,8,0)</f>
        <v>End User</v>
      </c>
      <c r="E50" s="16" t="s">
        <v>160</v>
      </c>
      <c r="F50" s="16" t="s">
        <v>152</v>
      </c>
      <c r="G50" s="17"/>
      <c r="H50" s="17"/>
      <c r="I50" s="31">
        <v>0</v>
      </c>
      <c r="J50" s="31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7">
        <v>0</v>
      </c>
      <c r="Y50" s="17">
        <v>0</v>
      </c>
      <c r="Z50" s="17">
        <v>0</v>
      </c>
      <c r="AA50" s="17">
        <v>0</v>
      </c>
      <c r="AB50" s="17">
        <v>0</v>
      </c>
      <c r="AC50" s="17">
        <v>0</v>
      </c>
      <c r="AD50" s="17">
        <v>0</v>
      </c>
      <c r="AE50" s="17">
        <v>0</v>
      </c>
      <c r="AF50" s="17">
        <v>0</v>
      </c>
      <c r="AG50" s="17">
        <v>0</v>
      </c>
      <c r="AH50" s="17">
        <v>0</v>
      </c>
      <c r="AI50" s="17">
        <v>0</v>
      </c>
      <c r="AJ50" s="17">
        <v>0</v>
      </c>
      <c r="AK50" s="17">
        <v>0</v>
      </c>
      <c r="AL50" s="17">
        <v>0</v>
      </c>
      <c r="AM50" s="17">
        <v>0</v>
      </c>
      <c r="AN50" s="17">
        <v>0</v>
      </c>
      <c r="AO50" s="17">
        <v>0</v>
      </c>
      <c r="AP50" s="17">
        <v>0</v>
      </c>
      <c r="AQ50" s="17">
        <v>0</v>
      </c>
      <c r="AR50" s="17">
        <v>0</v>
      </c>
      <c r="AS50" s="17">
        <v>0</v>
      </c>
      <c r="AT50" s="17">
        <v>0</v>
      </c>
      <c r="AU50" s="17">
        <v>0</v>
      </c>
      <c r="AV50" s="17">
        <v>0</v>
      </c>
      <c r="AW50" s="17">
        <v>0</v>
      </c>
      <c r="AX50" s="17">
        <v>0</v>
      </c>
      <c r="AY50" s="17">
        <v>0</v>
      </c>
      <c r="AZ50" s="17">
        <v>0</v>
      </c>
      <c r="BA50" s="17">
        <v>0</v>
      </c>
      <c r="BB50" s="17">
        <v>0</v>
      </c>
      <c r="BC50" s="17">
        <v>0</v>
      </c>
      <c r="BD50" s="17">
        <v>0</v>
      </c>
      <c r="BE50" s="17">
        <v>0</v>
      </c>
      <c r="BF50" s="17">
        <v>0</v>
      </c>
      <c r="BG50" s="17">
        <v>0</v>
      </c>
      <c r="BH50" s="17">
        <v>0</v>
      </c>
      <c r="BI50" s="22">
        <f t="shared" si="0"/>
        <v>0</v>
      </c>
      <c r="BJ50" s="22">
        <f t="shared" si="1"/>
        <v>0</v>
      </c>
      <c r="BK50" s="22">
        <f t="shared" si="2"/>
        <v>0</v>
      </c>
      <c r="BL50" s="22">
        <f t="shared" si="14"/>
        <v>0</v>
      </c>
      <c r="BM50" s="22">
        <f t="shared" si="4"/>
        <v>0</v>
      </c>
      <c r="BN50" s="23" t="e">
        <f t="shared" si="15"/>
        <v>#DIV/0!</v>
      </c>
      <c r="BO50" s="23" t="e">
        <f t="shared" si="15"/>
        <v>#DIV/0!</v>
      </c>
      <c r="BP50" s="7" t="e">
        <f>VLOOKUP(A50,[1]Sheet15!B:E,4,0)</f>
        <v>#N/A</v>
      </c>
      <c r="BQ50" s="7" t="e">
        <f>VLOOKUP(A50,[1]Sheet15!B:E,3,0)</f>
        <v>#N/A</v>
      </c>
    </row>
    <row r="51" spans="1:69" ht="22.5" customHeight="1" x14ac:dyDescent="0.25">
      <c r="A51" s="15" t="s">
        <v>161</v>
      </c>
      <c r="B51" s="15">
        <f>VLOOKUP(A51,'[1]Master clients'!F48:W3595,17,0)</f>
        <v>0</v>
      </c>
      <c r="C51" s="15" t="str">
        <f>VLOOKUP(A51,'[1]Master clients'!F48:P3595,11,0)</f>
        <v>NI</v>
      </c>
      <c r="D51" s="15" t="str">
        <f>VLOOKUP(A51,'[1]Master clients'!F:M,8,0)</f>
        <v>End User</v>
      </c>
      <c r="E51" s="16" t="s">
        <v>162</v>
      </c>
      <c r="F51" s="16" t="s">
        <v>163</v>
      </c>
      <c r="G51" s="17"/>
      <c r="H51" s="17"/>
      <c r="I51" s="31">
        <v>4</v>
      </c>
      <c r="J51" s="31">
        <v>0</v>
      </c>
      <c r="K51" s="17">
        <v>4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7">
        <v>0</v>
      </c>
      <c r="AL51" s="17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>
        <v>0</v>
      </c>
      <c r="AS51" s="17">
        <v>0</v>
      </c>
      <c r="AT51" s="17">
        <v>0</v>
      </c>
      <c r="AU51" s="17">
        <v>0</v>
      </c>
      <c r="AV51" s="17">
        <v>0</v>
      </c>
      <c r="AW51" s="17">
        <v>0</v>
      </c>
      <c r="AX51" s="17">
        <v>0</v>
      </c>
      <c r="AY51" s="17">
        <v>0</v>
      </c>
      <c r="AZ51" s="17">
        <v>0</v>
      </c>
      <c r="BA51" s="17">
        <v>0</v>
      </c>
      <c r="BB51" s="17">
        <v>0</v>
      </c>
      <c r="BC51" s="17">
        <v>0</v>
      </c>
      <c r="BD51" s="17">
        <v>0</v>
      </c>
      <c r="BE51" s="17">
        <v>0</v>
      </c>
      <c r="BF51" s="17">
        <v>0</v>
      </c>
      <c r="BG51" s="17">
        <v>0</v>
      </c>
      <c r="BH51" s="17">
        <v>0</v>
      </c>
      <c r="BI51" s="22">
        <f t="shared" si="0"/>
        <v>4</v>
      </c>
      <c r="BJ51" s="22">
        <f t="shared" si="1"/>
        <v>0</v>
      </c>
      <c r="BK51" s="22">
        <f t="shared" si="2"/>
        <v>8</v>
      </c>
      <c r="BL51" s="22">
        <f t="shared" si="14"/>
        <v>8</v>
      </c>
      <c r="BM51" s="22">
        <f t="shared" si="4"/>
        <v>0</v>
      </c>
      <c r="BN51" s="23">
        <f t="shared" si="15"/>
        <v>0.5</v>
      </c>
      <c r="BO51" s="23" t="e">
        <f t="shared" si="15"/>
        <v>#DIV/0!</v>
      </c>
      <c r="BP51" s="7">
        <f>VLOOKUP(A51,[1]Sheet15!B:E,4,0)</f>
        <v>4</v>
      </c>
      <c r="BQ51" s="7">
        <f>VLOOKUP(A51,[1]Sheet15!B:E,3,0)</f>
        <v>0</v>
      </c>
    </row>
    <row r="52" spans="1:69" ht="22.5" customHeight="1" x14ac:dyDescent="0.25">
      <c r="A52" s="15" t="s">
        <v>164</v>
      </c>
      <c r="B52" s="15" t="str">
        <f>VLOOKUP(A52,'[1]Master clients'!F49:W3596,17,0)</f>
        <v>Feb</v>
      </c>
      <c r="C52" s="15" t="str">
        <f>VLOOKUP(A52,'[1]Master clients'!F49:P3596,11,0)</f>
        <v>NI</v>
      </c>
      <c r="D52" s="15" t="str">
        <f>VLOOKUP(A52,'[1]Master clients'!F:M,8,0)</f>
        <v>Group (Mills)</v>
      </c>
      <c r="E52" s="24" t="s">
        <v>165</v>
      </c>
      <c r="F52" s="25" t="s">
        <v>166</v>
      </c>
      <c r="G52" s="20">
        <v>0</v>
      </c>
      <c r="H52" s="20">
        <v>0</v>
      </c>
      <c r="I52" s="26">
        <v>4</v>
      </c>
      <c r="J52" s="26">
        <v>0</v>
      </c>
      <c r="K52" s="20">
        <v>0</v>
      </c>
      <c r="L52" s="20">
        <v>2</v>
      </c>
      <c r="M52" s="20">
        <v>0</v>
      </c>
      <c r="N52" s="20">
        <v>0</v>
      </c>
      <c r="O52" s="20">
        <v>0</v>
      </c>
      <c r="P52" s="20">
        <v>0</v>
      </c>
      <c r="Q52" s="20">
        <v>0</v>
      </c>
      <c r="R52" s="20">
        <v>0</v>
      </c>
      <c r="S52" s="20">
        <v>0</v>
      </c>
      <c r="T52" s="20">
        <v>0</v>
      </c>
      <c r="U52" s="20">
        <v>0</v>
      </c>
      <c r="V52" s="20">
        <v>0</v>
      </c>
      <c r="W52" s="20">
        <v>0</v>
      </c>
      <c r="X52" s="20">
        <v>0</v>
      </c>
      <c r="Y52" s="20">
        <v>0</v>
      </c>
      <c r="Z52" s="20">
        <v>0</v>
      </c>
      <c r="AA52" s="20">
        <v>0</v>
      </c>
      <c r="AB52" s="20">
        <v>0</v>
      </c>
      <c r="AC52" s="20">
        <v>0</v>
      </c>
      <c r="AD52" s="20">
        <v>0</v>
      </c>
      <c r="AE52" s="20">
        <v>0</v>
      </c>
      <c r="AF52" s="20">
        <v>0</v>
      </c>
      <c r="AG52" s="20">
        <v>0</v>
      </c>
      <c r="AH52" s="20">
        <v>0</v>
      </c>
      <c r="AI52" s="20">
        <v>0</v>
      </c>
      <c r="AJ52" s="20">
        <v>0</v>
      </c>
      <c r="AK52" s="20">
        <v>0</v>
      </c>
      <c r="AL52" s="20">
        <v>0</v>
      </c>
      <c r="AM52" s="20">
        <v>0</v>
      </c>
      <c r="AN52" s="20">
        <v>0</v>
      </c>
      <c r="AO52" s="20">
        <v>0</v>
      </c>
      <c r="AP52" s="20">
        <v>0</v>
      </c>
      <c r="AQ52" s="20">
        <v>0</v>
      </c>
      <c r="AR52" s="20">
        <v>0</v>
      </c>
      <c r="AS52" s="20">
        <v>0</v>
      </c>
      <c r="AT52" s="20">
        <v>0</v>
      </c>
      <c r="AU52" s="20">
        <v>0</v>
      </c>
      <c r="AV52" s="20">
        <v>0</v>
      </c>
      <c r="AW52" s="20">
        <v>0</v>
      </c>
      <c r="AX52" s="20">
        <v>0</v>
      </c>
      <c r="AY52" s="20">
        <v>0</v>
      </c>
      <c r="AZ52" s="20">
        <v>0</v>
      </c>
      <c r="BA52" s="20">
        <v>0</v>
      </c>
      <c r="BB52" s="27">
        <v>0</v>
      </c>
      <c r="BC52" s="20">
        <v>0</v>
      </c>
      <c r="BD52" s="20">
        <v>0</v>
      </c>
      <c r="BE52" s="21">
        <v>0</v>
      </c>
      <c r="BF52" s="21">
        <v>0</v>
      </c>
      <c r="BG52" s="20">
        <v>0</v>
      </c>
      <c r="BH52" s="20">
        <v>0</v>
      </c>
      <c r="BI52" s="22">
        <f t="shared" si="0"/>
        <v>2</v>
      </c>
      <c r="BJ52" s="22">
        <f t="shared" si="1"/>
        <v>0</v>
      </c>
      <c r="BK52" s="28">
        <f t="shared" si="2"/>
        <v>6</v>
      </c>
      <c r="BL52" s="22">
        <f t="shared" si="14"/>
        <v>6</v>
      </c>
      <c r="BM52" s="22">
        <f t="shared" si="4"/>
        <v>0</v>
      </c>
      <c r="BN52" s="23">
        <f t="shared" si="15"/>
        <v>0.66666666666666663</v>
      </c>
      <c r="BO52" s="23" t="e">
        <f t="shared" si="15"/>
        <v>#DIV/0!</v>
      </c>
      <c r="BP52" s="7">
        <f>VLOOKUP(A52,[1]Sheet15!B:E,4,0)</f>
        <v>2</v>
      </c>
      <c r="BQ52" s="7">
        <f>VLOOKUP(A52,[1]Sheet15!B:E,3,0)</f>
        <v>0</v>
      </c>
    </row>
    <row r="53" spans="1:69" ht="22.5" customHeight="1" x14ac:dyDescent="0.25">
      <c r="A53" s="15" t="s">
        <v>167</v>
      </c>
      <c r="B53" s="15" t="str">
        <f>VLOOKUP(A53,'[1]Master clients'!F50:W3597,17,0)</f>
        <v>Mar</v>
      </c>
      <c r="C53" s="15" t="str">
        <f>VLOOKUP(A53,'[1]Master clients'!F50:P3597,11,0)</f>
        <v>NI</v>
      </c>
      <c r="D53" s="15" t="str">
        <f>VLOOKUP(A53,'[1]Master clients'!F:M,8,0)</f>
        <v>End User</v>
      </c>
      <c r="E53" s="16" t="s">
        <v>168</v>
      </c>
      <c r="F53" s="16" t="s">
        <v>169</v>
      </c>
      <c r="G53" s="17"/>
      <c r="H53" s="17"/>
      <c r="I53" s="31">
        <v>13</v>
      </c>
      <c r="J53" s="31">
        <v>0</v>
      </c>
      <c r="K53" s="17">
        <v>0</v>
      </c>
      <c r="L53" s="17">
        <v>0</v>
      </c>
      <c r="M53" s="17">
        <v>0</v>
      </c>
      <c r="N53" s="17">
        <v>10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  <c r="AJ53" s="17">
        <v>0</v>
      </c>
      <c r="AK53" s="17">
        <v>0</v>
      </c>
      <c r="AL53" s="17">
        <v>0</v>
      </c>
      <c r="AM53" s="17">
        <v>0</v>
      </c>
      <c r="AN53" s="17">
        <v>0</v>
      </c>
      <c r="AO53" s="17">
        <v>0</v>
      </c>
      <c r="AP53" s="17">
        <v>0</v>
      </c>
      <c r="AQ53" s="17">
        <v>0</v>
      </c>
      <c r="AR53" s="17">
        <v>0</v>
      </c>
      <c r="AS53" s="17">
        <v>0</v>
      </c>
      <c r="AT53" s="17">
        <v>0</v>
      </c>
      <c r="AU53" s="17">
        <v>0</v>
      </c>
      <c r="AV53" s="17">
        <v>0</v>
      </c>
      <c r="AW53" s="17">
        <v>0</v>
      </c>
      <c r="AX53" s="17">
        <v>0</v>
      </c>
      <c r="AY53" s="17">
        <v>0</v>
      </c>
      <c r="AZ53" s="17">
        <v>0</v>
      </c>
      <c r="BA53" s="17">
        <v>0</v>
      </c>
      <c r="BB53" s="17">
        <v>0</v>
      </c>
      <c r="BC53" s="17">
        <v>0</v>
      </c>
      <c r="BD53" s="17">
        <v>0</v>
      </c>
      <c r="BE53" s="17">
        <v>0</v>
      </c>
      <c r="BF53" s="17">
        <v>0</v>
      </c>
      <c r="BG53" s="17">
        <v>0</v>
      </c>
      <c r="BH53" s="17">
        <v>0</v>
      </c>
      <c r="BI53" s="22">
        <f t="shared" si="0"/>
        <v>0</v>
      </c>
      <c r="BJ53" s="22">
        <f t="shared" si="1"/>
        <v>10</v>
      </c>
      <c r="BK53" s="22">
        <f t="shared" si="2"/>
        <v>23</v>
      </c>
      <c r="BL53" s="22">
        <f t="shared" si="14"/>
        <v>13</v>
      </c>
      <c r="BM53" s="22">
        <f t="shared" si="4"/>
        <v>10</v>
      </c>
      <c r="BN53" s="23">
        <f t="shared" ref="BN53:BO68" si="16">I53/BL53</f>
        <v>1</v>
      </c>
      <c r="BO53" s="23">
        <f t="shared" si="16"/>
        <v>0</v>
      </c>
      <c r="BP53" s="7">
        <f>VLOOKUP(A53,[1]Sheet15!B:E,4,0)</f>
        <v>3</v>
      </c>
      <c r="BQ53" s="7">
        <f>VLOOKUP(A53,[1]Sheet15!B:E,3,0)</f>
        <v>0</v>
      </c>
    </row>
    <row r="54" spans="1:69" ht="22.5" customHeight="1" x14ac:dyDescent="0.25">
      <c r="A54" s="15" t="s">
        <v>170</v>
      </c>
      <c r="B54" s="15">
        <f>VLOOKUP(A54,'[1]Master clients'!F51:W3598,17,0)</f>
        <v>0</v>
      </c>
      <c r="C54" s="15" t="str">
        <f>VLOOKUP(A54,'[1]Master clients'!F51:P3598,11,0)</f>
        <v>NI</v>
      </c>
      <c r="D54" s="15" t="str">
        <f>VLOOKUP(A54,'[1]Master clients'!F:M,8,0)</f>
        <v>Group (Mills)</v>
      </c>
      <c r="E54" s="24" t="s">
        <v>171</v>
      </c>
      <c r="F54" s="25" t="s">
        <v>172</v>
      </c>
      <c r="G54" s="20">
        <v>0</v>
      </c>
      <c r="H54" s="20">
        <v>0</v>
      </c>
      <c r="I54" s="26">
        <v>15</v>
      </c>
      <c r="J54" s="26">
        <v>0</v>
      </c>
      <c r="K54" s="20">
        <v>10</v>
      </c>
      <c r="L54" s="20">
        <v>0</v>
      </c>
      <c r="M54" s="20">
        <v>0</v>
      </c>
      <c r="N54" s="20">
        <v>0</v>
      </c>
      <c r="O54" s="20">
        <v>14</v>
      </c>
      <c r="P54" s="20">
        <v>0</v>
      </c>
      <c r="Q54" s="20">
        <v>2</v>
      </c>
      <c r="R54" s="20">
        <v>0</v>
      </c>
      <c r="S54" s="20">
        <v>0</v>
      </c>
      <c r="T54" s="20">
        <v>0</v>
      </c>
      <c r="U54" s="20">
        <v>0</v>
      </c>
      <c r="V54" s="20">
        <v>0</v>
      </c>
      <c r="W54" s="20">
        <v>0</v>
      </c>
      <c r="X54" s="20">
        <v>0</v>
      </c>
      <c r="Y54" s="20">
        <v>0</v>
      </c>
      <c r="Z54" s="20">
        <v>0</v>
      </c>
      <c r="AA54" s="20">
        <v>0</v>
      </c>
      <c r="AB54" s="20">
        <v>0</v>
      </c>
      <c r="AC54" s="20">
        <v>0</v>
      </c>
      <c r="AD54" s="20">
        <v>0</v>
      </c>
      <c r="AE54" s="20">
        <v>0</v>
      </c>
      <c r="AF54" s="20">
        <v>0</v>
      </c>
      <c r="AG54" s="20">
        <v>0</v>
      </c>
      <c r="AH54" s="20">
        <v>0</v>
      </c>
      <c r="AI54" s="20">
        <v>0</v>
      </c>
      <c r="AJ54" s="20">
        <v>0</v>
      </c>
      <c r="AK54" s="20">
        <v>0</v>
      </c>
      <c r="AL54" s="20">
        <v>0</v>
      </c>
      <c r="AM54" s="20">
        <v>0</v>
      </c>
      <c r="AN54" s="20">
        <v>0</v>
      </c>
      <c r="AO54" s="20">
        <v>0</v>
      </c>
      <c r="AP54" s="20">
        <v>0</v>
      </c>
      <c r="AQ54" s="20">
        <v>0</v>
      </c>
      <c r="AR54" s="20">
        <v>0</v>
      </c>
      <c r="AS54" s="20">
        <v>0</v>
      </c>
      <c r="AT54" s="20">
        <v>0</v>
      </c>
      <c r="AU54" s="20">
        <v>0</v>
      </c>
      <c r="AV54" s="20">
        <v>0</v>
      </c>
      <c r="AW54" s="20">
        <v>0</v>
      </c>
      <c r="AX54" s="20">
        <v>0</v>
      </c>
      <c r="AY54" s="20">
        <v>0</v>
      </c>
      <c r="AZ54" s="20">
        <v>0</v>
      </c>
      <c r="BA54" s="20">
        <v>0</v>
      </c>
      <c r="BB54" s="27">
        <v>0</v>
      </c>
      <c r="BC54" s="20">
        <v>0</v>
      </c>
      <c r="BD54" s="20">
        <v>0</v>
      </c>
      <c r="BE54" s="21">
        <v>0</v>
      </c>
      <c r="BF54" s="21">
        <v>0</v>
      </c>
      <c r="BG54" s="20">
        <v>0</v>
      </c>
      <c r="BH54" s="20">
        <v>0</v>
      </c>
      <c r="BI54" s="22">
        <f t="shared" si="0"/>
        <v>10</v>
      </c>
      <c r="BJ54" s="22">
        <f t="shared" si="1"/>
        <v>16</v>
      </c>
      <c r="BK54" s="28">
        <f t="shared" si="2"/>
        <v>41</v>
      </c>
      <c r="BL54" s="22">
        <f t="shared" si="14"/>
        <v>25</v>
      </c>
      <c r="BM54" s="22">
        <f t="shared" si="4"/>
        <v>16</v>
      </c>
      <c r="BN54" s="23">
        <f t="shared" si="16"/>
        <v>0.6</v>
      </c>
      <c r="BO54" s="23">
        <f t="shared" si="16"/>
        <v>0</v>
      </c>
      <c r="BP54" s="7">
        <f>VLOOKUP(A54,[1]Sheet15!B:E,4,0)</f>
        <v>15</v>
      </c>
      <c r="BQ54" s="7">
        <f>VLOOKUP(A54,[1]Sheet15!B:E,3,0)</f>
        <v>0</v>
      </c>
    </row>
    <row r="55" spans="1:69" ht="22.5" customHeight="1" x14ac:dyDescent="0.25">
      <c r="A55" s="15" t="s">
        <v>173</v>
      </c>
      <c r="B55" s="15">
        <f>VLOOKUP(A55,'[1]Master clients'!F52:W3599,17,0)</f>
        <v>0</v>
      </c>
      <c r="C55" s="15" t="str">
        <f>VLOOKUP(A55,'[1]Master clients'!F52:P3599,11,0)</f>
        <v>HO</v>
      </c>
      <c r="D55" s="15" t="str">
        <f>VLOOKUP(A55,'[1]Master clients'!F:M,8,0)</f>
        <v>End User</v>
      </c>
      <c r="E55" s="16" t="s">
        <v>174</v>
      </c>
      <c r="F55" s="16" t="s">
        <v>175</v>
      </c>
      <c r="G55" s="17"/>
      <c r="H55" s="17"/>
      <c r="I55" s="18">
        <v>0</v>
      </c>
      <c r="J55" s="18">
        <v>0</v>
      </c>
      <c r="K55" s="17">
        <v>0</v>
      </c>
      <c r="L55" s="20">
        <v>22</v>
      </c>
      <c r="M55" s="20">
        <v>0</v>
      </c>
      <c r="N55" s="20">
        <v>0</v>
      </c>
      <c r="O55" s="20">
        <v>0</v>
      </c>
      <c r="P55" s="20">
        <v>0</v>
      </c>
      <c r="Q55" s="19">
        <v>0</v>
      </c>
      <c r="R55" s="20">
        <v>0</v>
      </c>
      <c r="S55" s="20">
        <v>0</v>
      </c>
      <c r="T55" s="20">
        <v>0</v>
      </c>
      <c r="U55" s="20">
        <v>0</v>
      </c>
      <c r="V55" s="20">
        <v>0</v>
      </c>
      <c r="W55" s="20">
        <v>0</v>
      </c>
      <c r="X55" s="20">
        <v>0</v>
      </c>
      <c r="Y55" s="20">
        <v>0</v>
      </c>
      <c r="Z55" s="20">
        <v>0</v>
      </c>
      <c r="AA55" s="20">
        <v>0</v>
      </c>
      <c r="AB55" s="20">
        <v>0</v>
      </c>
      <c r="AC55" s="20">
        <v>0</v>
      </c>
      <c r="AD55" s="20">
        <v>0</v>
      </c>
      <c r="AE55" s="20">
        <v>0</v>
      </c>
      <c r="AF55" s="20">
        <v>0</v>
      </c>
      <c r="AG55" s="20">
        <v>0</v>
      </c>
      <c r="AH55" s="20">
        <v>0</v>
      </c>
      <c r="AI55" s="20">
        <v>0</v>
      </c>
      <c r="AJ55" s="20">
        <v>0</v>
      </c>
      <c r="AK55" s="20">
        <v>10</v>
      </c>
      <c r="AL55" s="20">
        <v>0</v>
      </c>
      <c r="AM55" s="20">
        <v>0</v>
      </c>
      <c r="AN55" s="20">
        <v>0</v>
      </c>
      <c r="AO55" s="20">
        <v>0</v>
      </c>
      <c r="AP55" s="20">
        <v>0</v>
      </c>
      <c r="AQ55" s="20">
        <v>0</v>
      </c>
      <c r="AR55" s="20">
        <v>0</v>
      </c>
      <c r="AS55" s="20">
        <v>0</v>
      </c>
      <c r="AT55" s="20">
        <v>0</v>
      </c>
      <c r="AU55" s="20">
        <v>0</v>
      </c>
      <c r="AV55" s="20">
        <v>0</v>
      </c>
      <c r="AW55" s="20">
        <v>0</v>
      </c>
      <c r="AX55" s="20">
        <v>0</v>
      </c>
      <c r="AY55" s="20">
        <v>0</v>
      </c>
      <c r="AZ55" s="20">
        <v>0</v>
      </c>
      <c r="BA55" s="20">
        <v>0</v>
      </c>
      <c r="BB55" s="20">
        <v>0</v>
      </c>
      <c r="BC55" s="20">
        <v>0</v>
      </c>
      <c r="BD55" s="20">
        <v>0</v>
      </c>
      <c r="BE55" s="20">
        <v>0</v>
      </c>
      <c r="BF55" s="20">
        <v>0</v>
      </c>
      <c r="BG55" s="20">
        <v>0</v>
      </c>
      <c r="BH55" s="20">
        <v>0</v>
      </c>
      <c r="BI55" s="22">
        <f t="shared" si="0"/>
        <v>32</v>
      </c>
      <c r="BJ55" s="22">
        <f t="shared" si="1"/>
        <v>0</v>
      </c>
      <c r="BK55" s="22">
        <f t="shared" si="2"/>
        <v>32</v>
      </c>
      <c r="BL55" s="22">
        <f t="shared" si="14"/>
        <v>32</v>
      </c>
      <c r="BM55" s="22">
        <f t="shared" si="4"/>
        <v>0</v>
      </c>
      <c r="BN55" s="23">
        <f t="shared" si="16"/>
        <v>0</v>
      </c>
      <c r="BO55" s="23" t="e">
        <f t="shared" si="16"/>
        <v>#DIV/0!</v>
      </c>
      <c r="BP55" s="7" t="e">
        <f>VLOOKUP(A55,[1]Sheet15!B:E,4,0)</f>
        <v>#N/A</v>
      </c>
      <c r="BQ55" s="7" t="e">
        <f>VLOOKUP(A55,[1]Sheet15!B:E,3,0)</f>
        <v>#N/A</v>
      </c>
    </row>
    <row r="56" spans="1:69" ht="22.5" customHeight="1" x14ac:dyDescent="0.25">
      <c r="A56" s="15" t="s">
        <v>176</v>
      </c>
      <c r="B56" s="15">
        <f>VLOOKUP(A56,'[1]Master clients'!F53:W3600,17,0)</f>
        <v>0</v>
      </c>
      <c r="C56" s="15" t="str">
        <f>VLOOKUP(A56,'[1]Master clients'!F53:P3600,11,0)</f>
        <v>NI</v>
      </c>
      <c r="D56" s="15" t="str">
        <f>VLOOKUP(A56,'[1]Master clients'!F:M,8,0)</f>
        <v>End User</v>
      </c>
      <c r="E56" s="16" t="s">
        <v>177</v>
      </c>
      <c r="F56" s="16" t="s">
        <v>175</v>
      </c>
      <c r="G56" s="17"/>
      <c r="H56" s="17"/>
      <c r="I56" s="31">
        <v>9</v>
      </c>
      <c r="J56" s="31">
        <v>0</v>
      </c>
      <c r="K56" s="17">
        <v>0</v>
      </c>
      <c r="L56" s="17">
        <v>0</v>
      </c>
      <c r="M56" s="17">
        <v>0</v>
      </c>
      <c r="N56" s="17">
        <v>0</v>
      </c>
      <c r="O56" s="17">
        <v>0</v>
      </c>
      <c r="P56" s="17">
        <v>0</v>
      </c>
      <c r="Q56" s="17">
        <v>0</v>
      </c>
      <c r="R56" s="17">
        <v>0</v>
      </c>
      <c r="S56" s="17">
        <v>0</v>
      </c>
      <c r="T56" s="17">
        <v>0</v>
      </c>
      <c r="U56" s="17">
        <v>0</v>
      </c>
      <c r="V56" s="17">
        <v>0</v>
      </c>
      <c r="W56" s="17">
        <v>0</v>
      </c>
      <c r="X56" s="17">
        <v>0</v>
      </c>
      <c r="Y56" s="17">
        <v>0</v>
      </c>
      <c r="Z56" s="17">
        <v>0</v>
      </c>
      <c r="AA56" s="17">
        <v>0</v>
      </c>
      <c r="AB56" s="17">
        <v>0</v>
      </c>
      <c r="AC56" s="17">
        <v>0</v>
      </c>
      <c r="AD56" s="17">
        <v>0</v>
      </c>
      <c r="AE56" s="17">
        <v>0</v>
      </c>
      <c r="AF56" s="17">
        <v>0</v>
      </c>
      <c r="AG56" s="17">
        <v>0</v>
      </c>
      <c r="AH56" s="17">
        <v>0</v>
      </c>
      <c r="AI56" s="17">
        <v>0</v>
      </c>
      <c r="AJ56" s="17">
        <v>0</v>
      </c>
      <c r="AK56" s="17">
        <v>0</v>
      </c>
      <c r="AL56" s="17">
        <v>0</v>
      </c>
      <c r="AM56" s="17">
        <v>0</v>
      </c>
      <c r="AN56" s="17">
        <v>0</v>
      </c>
      <c r="AO56" s="17">
        <v>0</v>
      </c>
      <c r="AP56" s="17">
        <v>0</v>
      </c>
      <c r="AQ56" s="17">
        <v>0</v>
      </c>
      <c r="AR56" s="17">
        <v>0</v>
      </c>
      <c r="AS56" s="17">
        <v>0</v>
      </c>
      <c r="AT56" s="17">
        <v>0</v>
      </c>
      <c r="AU56" s="17">
        <v>0</v>
      </c>
      <c r="AV56" s="17">
        <v>0</v>
      </c>
      <c r="AW56" s="17">
        <v>0</v>
      </c>
      <c r="AX56" s="17">
        <v>0</v>
      </c>
      <c r="AY56" s="17">
        <v>0</v>
      </c>
      <c r="AZ56" s="17">
        <v>0</v>
      </c>
      <c r="BA56" s="17">
        <v>0</v>
      </c>
      <c r="BB56" s="17">
        <v>0</v>
      </c>
      <c r="BC56" s="17">
        <v>0</v>
      </c>
      <c r="BD56" s="17">
        <v>0</v>
      </c>
      <c r="BE56" s="17">
        <v>0</v>
      </c>
      <c r="BF56" s="17">
        <v>0</v>
      </c>
      <c r="BG56" s="17">
        <v>0</v>
      </c>
      <c r="BH56" s="17">
        <v>0</v>
      </c>
      <c r="BI56" s="22">
        <f t="shared" si="0"/>
        <v>0</v>
      </c>
      <c r="BJ56" s="22">
        <f t="shared" si="1"/>
        <v>0</v>
      </c>
      <c r="BK56" s="22">
        <f t="shared" si="2"/>
        <v>9</v>
      </c>
      <c r="BL56" s="22">
        <f t="shared" si="14"/>
        <v>9</v>
      </c>
      <c r="BM56" s="22">
        <f t="shared" si="4"/>
        <v>0</v>
      </c>
      <c r="BN56" s="23">
        <f t="shared" si="16"/>
        <v>1</v>
      </c>
      <c r="BO56" s="23" t="e">
        <f t="shared" si="16"/>
        <v>#DIV/0!</v>
      </c>
      <c r="BP56" s="7">
        <f>VLOOKUP(A56,[1]Sheet15!B:E,4,0)</f>
        <v>9</v>
      </c>
      <c r="BQ56" s="7">
        <f>VLOOKUP(A56,[1]Sheet15!B:E,3,0)</f>
        <v>0</v>
      </c>
    </row>
    <row r="57" spans="1:69" ht="22.5" customHeight="1" x14ac:dyDescent="0.25">
      <c r="A57" s="15" t="s">
        <v>178</v>
      </c>
      <c r="B57" s="15">
        <f>VLOOKUP(A57,'[1]Master clients'!F54:W3601,17,0)</f>
        <v>0</v>
      </c>
      <c r="C57" s="15" t="str">
        <f>VLOOKUP(A57,'[1]Master clients'!F54:P3601,11,0)</f>
        <v>NI</v>
      </c>
      <c r="D57" s="15" t="str">
        <f>VLOOKUP(A57,'[1]Master clients'!F:M,8,0)</f>
        <v>Group (Mills)</v>
      </c>
      <c r="E57" s="24" t="s">
        <v>179</v>
      </c>
      <c r="F57" s="25" t="s">
        <v>175</v>
      </c>
      <c r="G57" s="20">
        <v>0</v>
      </c>
      <c r="H57" s="20">
        <v>0</v>
      </c>
      <c r="I57" s="26">
        <v>13</v>
      </c>
      <c r="J57" s="26">
        <v>0</v>
      </c>
      <c r="K57" s="20">
        <v>6</v>
      </c>
      <c r="L57" s="20">
        <v>4</v>
      </c>
      <c r="M57" s="20">
        <v>0</v>
      </c>
      <c r="N57" s="20">
        <v>6</v>
      </c>
      <c r="O57" s="20">
        <v>6</v>
      </c>
      <c r="P57" s="20">
        <v>0</v>
      </c>
      <c r="Q57" s="20">
        <v>0</v>
      </c>
      <c r="R57" s="20">
        <v>0</v>
      </c>
      <c r="S57" s="20">
        <v>0</v>
      </c>
      <c r="T57" s="20">
        <v>0</v>
      </c>
      <c r="U57" s="20">
        <v>0</v>
      </c>
      <c r="V57" s="20">
        <v>0</v>
      </c>
      <c r="W57" s="20">
        <v>0</v>
      </c>
      <c r="X57" s="20">
        <v>0</v>
      </c>
      <c r="Y57" s="20">
        <v>0</v>
      </c>
      <c r="Z57" s="20">
        <v>0</v>
      </c>
      <c r="AA57" s="20">
        <v>0</v>
      </c>
      <c r="AB57" s="20">
        <v>0</v>
      </c>
      <c r="AC57" s="20">
        <v>0</v>
      </c>
      <c r="AD57" s="20">
        <v>0</v>
      </c>
      <c r="AE57" s="20">
        <v>0</v>
      </c>
      <c r="AF57" s="20">
        <v>0</v>
      </c>
      <c r="AG57" s="20">
        <v>0</v>
      </c>
      <c r="AH57" s="20">
        <v>0</v>
      </c>
      <c r="AI57" s="20">
        <v>0</v>
      </c>
      <c r="AJ57" s="20">
        <v>0</v>
      </c>
      <c r="AK57" s="20">
        <v>0</v>
      </c>
      <c r="AL57" s="20">
        <v>0</v>
      </c>
      <c r="AM57" s="20">
        <v>0</v>
      </c>
      <c r="AN57" s="20">
        <v>0</v>
      </c>
      <c r="AO57" s="20">
        <v>0</v>
      </c>
      <c r="AP57" s="20">
        <v>0</v>
      </c>
      <c r="AQ57" s="20">
        <v>0</v>
      </c>
      <c r="AR57" s="20">
        <v>0</v>
      </c>
      <c r="AS57" s="20">
        <v>0</v>
      </c>
      <c r="AT57" s="20">
        <v>0</v>
      </c>
      <c r="AU57" s="20">
        <v>0</v>
      </c>
      <c r="AV57" s="20">
        <v>0</v>
      </c>
      <c r="AW57" s="20">
        <v>0</v>
      </c>
      <c r="AX57" s="20">
        <v>0</v>
      </c>
      <c r="AY57" s="20">
        <v>0</v>
      </c>
      <c r="AZ57" s="20">
        <v>0</v>
      </c>
      <c r="BA57" s="20">
        <v>0</v>
      </c>
      <c r="BB57" s="27">
        <v>0</v>
      </c>
      <c r="BC57" s="20">
        <v>0</v>
      </c>
      <c r="BD57" s="20">
        <v>0</v>
      </c>
      <c r="BE57" s="21">
        <v>0</v>
      </c>
      <c r="BF57" s="21">
        <v>0</v>
      </c>
      <c r="BG57" s="20">
        <v>0</v>
      </c>
      <c r="BH57" s="20">
        <v>0</v>
      </c>
      <c r="BI57" s="22">
        <f t="shared" si="0"/>
        <v>10</v>
      </c>
      <c r="BJ57" s="22">
        <f t="shared" si="1"/>
        <v>12</v>
      </c>
      <c r="BK57" s="28">
        <f t="shared" si="2"/>
        <v>35</v>
      </c>
      <c r="BL57" s="22">
        <f t="shared" si="14"/>
        <v>23</v>
      </c>
      <c r="BM57" s="22">
        <f t="shared" si="4"/>
        <v>12</v>
      </c>
      <c r="BN57" s="23">
        <f t="shared" si="16"/>
        <v>0.56521739130434778</v>
      </c>
      <c r="BO57" s="23">
        <f t="shared" si="16"/>
        <v>0</v>
      </c>
      <c r="BP57" s="7">
        <f>VLOOKUP(A57,[1]Sheet15!B:E,4,0)</f>
        <v>2</v>
      </c>
      <c r="BQ57" s="7">
        <f>VLOOKUP(A57,[1]Sheet15!B:E,3,0)</f>
        <v>0</v>
      </c>
    </row>
    <row r="58" spans="1:69" ht="22.5" customHeight="1" x14ac:dyDescent="0.25">
      <c r="A58" s="15" t="s">
        <v>180</v>
      </c>
      <c r="B58" s="15">
        <f>VLOOKUP(A58,'[1]Master clients'!F55:W3602,17,0)</f>
        <v>0</v>
      </c>
      <c r="C58" s="15" t="str">
        <f>VLOOKUP(A58,'[1]Master clients'!F55:P3602,11,0)</f>
        <v>NI</v>
      </c>
      <c r="D58" s="15" t="str">
        <f>VLOOKUP(A58,'[1]Master clients'!F:M,8,0)</f>
        <v>End User</v>
      </c>
      <c r="E58" s="16" t="s">
        <v>181</v>
      </c>
      <c r="F58" s="16" t="s">
        <v>175</v>
      </c>
      <c r="G58" s="17"/>
      <c r="H58" s="17"/>
      <c r="I58" s="31">
        <v>2</v>
      </c>
      <c r="J58" s="31">
        <v>0</v>
      </c>
      <c r="K58" s="17">
        <v>0</v>
      </c>
      <c r="L58" s="17">
        <v>0</v>
      </c>
      <c r="M58" s="17">
        <v>0</v>
      </c>
      <c r="N58" s="17">
        <v>0</v>
      </c>
      <c r="O58" s="17">
        <v>0</v>
      </c>
      <c r="P58" s="17">
        <v>0</v>
      </c>
      <c r="Q58" s="17">
        <v>0</v>
      </c>
      <c r="R58" s="17">
        <v>0</v>
      </c>
      <c r="S58" s="17">
        <v>0</v>
      </c>
      <c r="T58" s="17">
        <v>0</v>
      </c>
      <c r="U58" s="17">
        <v>0</v>
      </c>
      <c r="V58" s="17">
        <v>0</v>
      </c>
      <c r="W58" s="17">
        <v>0</v>
      </c>
      <c r="X58" s="17">
        <v>0</v>
      </c>
      <c r="Y58" s="17">
        <v>0</v>
      </c>
      <c r="Z58" s="17">
        <v>0</v>
      </c>
      <c r="AA58" s="17">
        <v>0</v>
      </c>
      <c r="AB58" s="17">
        <v>0</v>
      </c>
      <c r="AC58" s="17">
        <v>0</v>
      </c>
      <c r="AD58" s="17">
        <v>0</v>
      </c>
      <c r="AE58" s="17">
        <v>0</v>
      </c>
      <c r="AF58" s="17">
        <v>0</v>
      </c>
      <c r="AG58" s="17">
        <v>0</v>
      </c>
      <c r="AH58" s="17">
        <v>0</v>
      </c>
      <c r="AI58" s="17">
        <v>0</v>
      </c>
      <c r="AJ58" s="17">
        <v>0</v>
      </c>
      <c r="AK58" s="17">
        <v>0</v>
      </c>
      <c r="AL58" s="17">
        <v>0</v>
      </c>
      <c r="AM58" s="17">
        <v>0</v>
      </c>
      <c r="AN58" s="17">
        <v>0</v>
      </c>
      <c r="AO58" s="17">
        <v>0</v>
      </c>
      <c r="AP58" s="17">
        <v>0</v>
      </c>
      <c r="AQ58" s="17">
        <v>0</v>
      </c>
      <c r="AR58" s="17">
        <v>0</v>
      </c>
      <c r="AS58" s="17">
        <v>0</v>
      </c>
      <c r="AT58" s="17">
        <v>0</v>
      </c>
      <c r="AU58" s="17">
        <v>0</v>
      </c>
      <c r="AV58" s="17">
        <v>0</v>
      </c>
      <c r="AW58" s="17">
        <v>0</v>
      </c>
      <c r="AX58" s="17">
        <v>0</v>
      </c>
      <c r="AY58" s="17">
        <v>0</v>
      </c>
      <c r="AZ58" s="17">
        <v>0</v>
      </c>
      <c r="BA58" s="17">
        <v>0</v>
      </c>
      <c r="BB58" s="17">
        <v>0</v>
      </c>
      <c r="BC58" s="17">
        <v>0</v>
      </c>
      <c r="BD58" s="17">
        <v>0</v>
      </c>
      <c r="BE58" s="17">
        <v>0</v>
      </c>
      <c r="BF58" s="17">
        <v>0</v>
      </c>
      <c r="BG58" s="17">
        <v>0</v>
      </c>
      <c r="BH58" s="17">
        <v>0</v>
      </c>
      <c r="BI58" s="22">
        <f t="shared" si="0"/>
        <v>0</v>
      </c>
      <c r="BJ58" s="22">
        <f t="shared" si="1"/>
        <v>0</v>
      </c>
      <c r="BK58" s="22">
        <f t="shared" si="2"/>
        <v>2</v>
      </c>
      <c r="BL58" s="22">
        <f t="shared" si="14"/>
        <v>2</v>
      </c>
      <c r="BM58" s="22">
        <f t="shared" si="4"/>
        <v>0</v>
      </c>
      <c r="BN58" s="23">
        <f t="shared" si="16"/>
        <v>1</v>
      </c>
      <c r="BO58" s="23" t="e">
        <f t="shared" si="16"/>
        <v>#DIV/0!</v>
      </c>
      <c r="BP58" s="7">
        <f>VLOOKUP(A58,[1]Sheet15!B:E,4,0)</f>
        <v>2</v>
      </c>
      <c r="BQ58" s="7">
        <f>VLOOKUP(A58,[1]Sheet15!B:E,3,0)</f>
        <v>0</v>
      </c>
    </row>
    <row r="59" spans="1:69" ht="22.5" customHeight="1" x14ac:dyDescent="0.25">
      <c r="A59" s="15" t="s">
        <v>182</v>
      </c>
      <c r="B59" s="15">
        <f>VLOOKUP(A59,'[1]Master clients'!F56:W3603,17,0)</f>
        <v>0</v>
      </c>
      <c r="C59" s="15" t="str">
        <f>VLOOKUP(A59,'[1]Master clients'!F56:P3603,11,0)</f>
        <v>NI</v>
      </c>
      <c r="D59" s="15" t="str">
        <f>VLOOKUP(A59,'[1]Master clients'!F:M,8,0)</f>
        <v>End User</v>
      </c>
      <c r="E59" s="24" t="s">
        <v>183</v>
      </c>
      <c r="F59" s="25" t="s">
        <v>175</v>
      </c>
      <c r="G59" s="20">
        <v>0</v>
      </c>
      <c r="H59" s="20">
        <v>0</v>
      </c>
      <c r="I59" s="26">
        <v>10</v>
      </c>
      <c r="J59" s="26">
        <v>0</v>
      </c>
      <c r="K59" s="20">
        <v>0</v>
      </c>
      <c r="L59" s="20">
        <v>0</v>
      </c>
      <c r="M59" s="20">
        <v>0</v>
      </c>
      <c r="N59" s="20">
        <v>4</v>
      </c>
      <c r="O59" s="20">
        <v>0</v>
      </c>
      <c r="P59" s="20">
        <v>0</v>
      </c>
      <c r="Q59" s="20">
        <v>0</v>
      </c>
      <c r="R59" s="20">
        <v>0</v>
      </c>
      <c r="S59" s="20">
        <v>0</v>
      </c>
      <c r="T59" s="20">
        <v>0</v>
      </c>
      <c r="U59" s="20">
        <v>0</v>
      </c>
      <c r="V59" s="20">
        <v>0</v>
      </c>
      <c r="W59" s="20">
        <v>0</v>
      </c>
      <c r="X59" s="20">
        <v>4</v>
      </c>
      <c r="Y59" s="20">
        <v>0</v>
      </c>
      <c r="Z59" s="20">
        <v>0</v>
      </c>
      <c r="AA59" s="20">
        <v>0</v>
      </c>
      <c r="AB59" s="20">
        <v>0</v>
      </c>
      <c r="AC59" s="20">
        <v>0</v>
      </c>
      <c r="AD59" s="20">
        <v>0</v>
      </c>
      <c r="AE59" s="20">
        <v>0</v>
      </c>
      <c r="AF59" s="20">
        <v>0</v>
      </c>
      <c r="AG59" s="20">
        <v>0</v>
      </c>
      <c r="AH59" s="20">
        <v>0</v>
      </c>
      <c r="AI59" s="20">
        <v>0</v>
      </c>
      <c r="AJ59" s="20">
        <v>0</v>
      </c>
      <c r="AK59" s="20">
        <v>0</v>
      </c>
      <c r="AL59" s="20">
        <v>0</v>
      </c>
      <c r="AM59" s="20">
        <v>0</v>
      </c>
      <c r="AN59" s="20">
        <v>0</v>
      </c>
      <c r="AO59" s="20">
        <v>0</v>
      </c>
      <c r="AP59" s="20">
        <v>0</v>
      </c>
      <c r="AQ59" s="20">
        <v>0</v>
      </c>
      <c r="AR59" s="20">
        <v>0</v>
      </c>
      <c r="AS59" s="20">
        <v>0</v>
      </c>
      <c r="AT59" s="20">
        <v>0</v>
      </c>
      <c r="AU59" s="20">
        <v>0</v>
      </c>
      <c r="AV59" s="20">
        <v>0</v>
      </c>
      <c r="AW59" s="20">
        <v>0</v>
      </c>
      <c r="AX59" s="20">
        <v>0</v>
      </c>
      <c r="AY59" s="20">
        <v>0</v>
      </c>
      <c r="AZ59" s="20">
        <v>0</v>
      </c>
      <c r="BA59" s="20">
        <v>0</v>
      </c>
      <c r="BB59" s="27">
        <v>0</v>
      </c>
      <c r="BC59" s="20">
        <v>0</v>
      </c>
      <c r="BD59" s="20">
        <v>0</v>
      </c>
      <c r="BE59" s="21">
        <v>0</v>
      </c>
      <c r="BF59" s="21">
        <v>0</v>
      </c>
      <c r="BG59" s="20">
        <v>0</v>
      </c>
      <c r="BH59" s="20">
        <v>0</v>
      </c>
      <c r="BI59" s="22">
        <f t="shared" si="0"/>
        <v>0</v>
      </c>
      <c r="BJ59" s="22">
        <f t="shared" si="1"/>
        <v>8</v>
      </c>
      <c r="BK59" s="28">
        <f t="shared" si="2"/>
        <v>18</v>
      </c>
      <c r="BL59" s="22">
        <f t="shared" si="14"/>
        <v>10</v>
      </c>
      <c r="BM59" s="22">
        <f t="shared" si="4"/>
        <v>8</v>
      </c>
      <c r="BN59" s="23">
        <f t="shared" si="16"/>
        <v>1</v>
      </c>
      <c r="BO59" s="23">
        <f t="shared" si="16"/>
        <v>0</v>
      </c>
      <c r="BP59" s="7">
        <f>VLOOKUP(A59,[1]Sheet15!B:E,4,0)</f>
        <v>7</v>
      </c>
      <c r="BQ59" s="7">
        <f>VLOOKUP(A59,[1]Sheet15!B:E,3,0)</f>
        <v>0</v>
      </c>
    </row>
    <row r="60" spans="1:69" ht="22.5" customHeight="1" x14ac:dyDescent="0.25">
      <c r="A60" s="15" t="s">
        <v>184</v>
      </c>
      <c r="B60" s="15">
        <f>VLOOKUP(A60,'[1]Master clients'!F57:W3604,17,0)</f>
        <v>0</v>
      </c>
      <c r="C60" s="15" t="str">
        <f>VLOOKUP(A60,'[1]Master clients'!F57:P3604,11,0)</f>
        <v>NI</v>
      </c>
      <c r="D60" s="15" t="str">
        <f>VLOOKUP(A60,'[1]Master clients'!F:M,8,0)</f>
        <v>Group (Mills)</v>
      </c>
      <c r="E60" s="24" t="s">
        <v>185</v>
      </c>
      <c r="F60" s="25" t="s">
        <v>186</v>
      </c>
      <c r="G60" s="20">
        <v>0</v>
      </c>
      <c r="H60" s="20">
        <v>0</v>
      </c>
      <c r="I60" s="26">
        <v>7</v>
      </c>
      <c r="J60" s="26">
        <v>0</v>
      </c>
      <c r="K60" s="20">
        <v>0</v>
      </c>
      <c r="L60" s="20">
        <v>0</v>
      </c>
      <c r="M60" s="20">
        <v>0</v>
      </c>
      <c r="N60" s="20">
        <v>6</v>
      </c>
      <c r="O60" s="20">
        <v>0</v>
      </c>
      <c r="P60" s="20">
        <v>0</v>
      </c>
      <c r="Q60" s="20">
        <v>0</v>
      </c>
      <c r="R60" s="20">
        <v>0</v>
      </c>
      <c r="S60" s="20">
        <v>0</v>
      </c>
      <c r="T60" s="20">
        <v>4</v>
      </c>
      <c r="U60" s="20">
        <v>0</v>
      </c>
      <c r="V60" s="20">
        <v>0</v>
      </c>
      <c r="W60" s="20">
        <v>0</v>
      </c>
      <c r="X60" s="20">
        <v>0</v>
      </c>
      <c r="Y60" s="20">
        <v>0</v>
      </c>
      <c r="Z60" s="20">
        <v>0</v>
      </c>
      <c r="AA60" s="20">
        <v>0</v>
      </c>
      <c r="AB60" s="20">
        <v>0</v>
      </c>
      <c r="AC60" s="20">
        <v>0</v>
      </c>
      <c r="AD60" s="20">
        <v>0</v>
      </c>
      <c r="AE60" s="20">
        <v>0</v>
      </c>
      <c r="AF60" s="20">
        <v>0</v>
      </c>
      <c r="AG60" s="20">
        <v>0</v>
      </c>
      <c r="AH60" s="20">
        <v>0</v>
      </c>
      <c r="AI60" s="20">
        <v>0</v>
      </c>
      <c r="AJ60" s="20">
        <v>0</v>
      </c>
      <c r="AK60" s="20">
        <v>0</v>
      </c>
      <c r="AL60" s="20">
        <v>0</v>
      </c>
      <c r="AM60" s="20">
        <v>0</v>
      </c>
      <c r="AN60" s="20">
        <v>0</v>
      </c>
      <c r="AO60" s="20">
        <v>0</v>
      </c>
      <c r="AP60" s="20">
        <v>0</v>
      </c>
      <c r="AQ60" s="20">
        <v>0</v>
      </c>
      <c r="AR60" s="20">
        <v>0</v>
      </c>
      <c r="AS60" s="20">
        <v>0</v>
      </c>
      <c r="AT60" s="20">
        <v>0</v>
      </c>
      <c r="AU60" s="20">
        <v>0</v>
      </c>
      <c r="AV60" s="20">
        <v>0</v>
      </c>
      <c r="AW60" s="20">
        <v>0</v>
      </c>
      <c r="AX60" s="20">
        <v>0</v>
      </c>
      <c r="AY60" s="20">
        <v>0</v>
      </c>
      <c r="AZ60" s="20">
        <v>0</v>
      </c>
      <c r="BA60" s="20">
        <v>0</v>
      </c>
      <c r="BB60" s="27">
        <v>0</v>
      </c>
      <c r="BC60" s="20">
        <v>0</v>
      </c>
      <c r="BD60" s="20">
        <v>0</v>
      </c>
      <c r="BE60" s="21">
        <v>0</v>
      </c>
      <c r="BF60" s="21">
        <v>0</v>
      </c>
      <c r="BG60" s="20">
        <v>0</v>
      </c>
      <c r="BH60" s="20">
        <v>0</v>
      </c>
      <c r="BI60" s="22">
        <f t="shared" si="0"/>
        <v>4</v>
      </c>
      <c r="BJ60" s="22">
        <f t="shared" si="1"/>
        <v>6</v>
      </c>
      <c r="BK60" s="28">
        <f t="shared" si="2"/>
        <v>17</v>
      </c>
      <c r="BL60" s="22">
        <f t="shared" si="14"/>
        <v>11</v>
      </c>
      <c r="BM60" s="22">
        <f t="shared" si="4"/>
        <v>6</v>
      </c>
      <c r="BN60" s="23">
        <f t="shared" si="16"/>
        <v>0.63636363636363635</v>
      </c>
      <c r="BO60" s="23">
        <f t="shared" si="16"/>
        <v>0</v>
      </c>
      <c r="BP60" s="7">
        <f>VLOOKUP(A60,[1]Sheet15!B:E,4,0)</f>
        <v>7</v>
      </c>
      <c r="BQ60" s="7">
        <f>VLOOKUP(A60,[1]Sheet15!B:E,3,0)</f>
        <v>0</v>
      </c>
    </row>
    <row r="61" spans="1:69" ht="28.5" customHeight="1" x14ac:dyDescent="0.25">
      <c r="A61" s="15" t="s">
        <v>187</v>
      </c>
      <c r="B61" s="15" t="str">
        <f>VLOOKUP(A61,'[1]Master clients'!F58:W3605,17,0)</f>
        <v>Feb</v>
      </c>
      <c r="C61" s="15" t="str">
        <f>VLOOKUP(A61,'[1]Master clients'!F58:P3605,11,0)</f>
        <v>NI</v>
      </c>
      <c r="D61" s="15" t="str">
        <f>VLOOKUP(A61,'[1]Master clients'!F:M,8,0)</f>
        <v>Group (Mills)</v>
      </c>
      <c r="E61" s="24" t="s">
        <v>188</v>
      </c>
      <c r="F61" s="25" t="s">
        <v>186</v>
      </c>
      <c r="G61" s="20">
        <v>13</v>
      </c>
      <c r="H61" s="20">
        <v>0</v>
      </c>
      <c r="I61" s="26">
        <v>11</v>
      </c>
      <c r="J61" s="26">
        <v>0</v>
      </c>
      <c r="K61" s="20">
        <v>8</v>
      </c>
      <c r="L61" s="20">
        <v>0</v>
      </c>
      <c r="M61" s="20">
        <v>0</v>
      </c>
      <c r="N61" s="20">
        <v>0</v>
      </c>
      <c r="O61" s="20">
        <v>4</v>
      </c>
      <c r="P61" s="20">
        <v>0</v>
      </c>
      <c r="Q61" s="20">
        <v>5</v>
      </c>
      <c r="R61" s="20">
        <v>0</v>
      </c>
      <c r="S61" s="20">
        <v>0</v>
      </c>
      <c r="T61" s="20">
        <v>0</v>
      </c>
      <c r="U61" s="20">
        <v>0</v>
      </c>
      <c r="V61" s="20">
        <v>0</v>
      </c>
      <c r="W61" s="20">
        <v>0</v>
      </c>
      <c r="X61" s="20">
        <v>0</v>
      </c>
      <c r="Y61" s="20">
        <v>0</v>
      </c>
      <c r="Z61" s="20">
        <v>0</v>
      </c>
      <c r="AA61" s="20">
        <v>0</v>
      </c>
      <c r="AB61" s="20">
        <v>0</v>
      </c>
      <c r="AC61" s="20">
        <v>0</v>
      </c>
      <c r="AD61" s="20">
        <v>0</v>
      </c>
      <c r="AE61" s="20">
        <v>0</v>
      </c>
      <c r="AF61" s="20">
        <v>0</v>
      </c>
      <c r="AG61" s="20">
        <v>0</v>
      </c>
      <c r="AH61" s="20">
        <v>0</v>
      </c>
      <c r="AI61" s="20">
        <v>0</v>
      </c>
      <c r="AJ61" s="20">
        <v>0</v>
      </c>
      <c r="AK61" s="20">
        <v>0</v>
      </c>
      <c r="AL61" s="20">
        <v>0</v>
      </c>
      <c r="AM61" s="20">
        <v>0</v>
      </c>
      <c r="AN61" s="20">
        <v>0</v>
      </c>
      <c r="AO61" s="20">
        <v>0</v>
      </c>
      <c r="AP61" s="20">
        <v>0</v>
      </c>
      <c r="AQ61" s="20">
        <v>0</v>
      </c>
      <c r="AR61" s="20">
        <v>0</v>
      </c>
      <c r="AS61" s="20">
        <v>0</v>
      </c>
      <c r="AT61" s="20">
        <v>0</v>
      </c>
      <c r="AU61" s="20">
        <v>0</v>
      </c>
      <c r="AV61" s="20">
        <v>0</v>
      </c>
      <c r="AW61" s="20">
        <v>0</v>
      </c>
      <c r="AX61" s="20">
        <v>0</v>
      </c>
      <c r="AY61" s="20">
        <v>0</v>
      </c>
      <c r="AZ61" s="20">
        <v>0</v>
      </c>
      <c r="BA61" s="20">
        <v>0</v>
      </c>
      <c r="BB61" s="27">
        <v>0</v>
      </c>
      <c r="BC61" s="20">
        <v>0</v>
      </c>
      <c r="BD61" s="20">
        <v>0</v>
      </c>
      <c r="BE61" s="21">
        <v>0</v>
      </c>
      <c r="BF61" s="21">
        <v>0</v>
      </c>
      <c r="BG61" s="20">
        <v>0</v>
      </c>
      <c r="BH61" s="20">
        <v>0</v>
      </c>
      <c r="BI61" s="22">
        <f t="shared" si="0"/>
        <v>8</v>
      </c>
      <c r="BJ61" s="22">
        <f t="shared" si="1"/>
        <v>9</v>
      </c>
      <c r="BK61" s="28">
        <f t="shared" si="2"/>
        <v>28</v>
      </c>
      <c r="BL61" s="22">
        <f t="shared" si="14"/>
        <v>19</v>
      </c>
      <c r="BM61" s="22">
        <f t="shared" si="4"/>
        <v>9</v>
      </c>
      <c r="BN61" s="23">
        <f t="shared" si="16"/>
        <v>0.57894736842105265</v>
      </c>
      <c r="BO61" s="23">
        <f t="shared" si="16"/>
        <v>0</v>
      </c>
      <c r="BP61" s="7">
        <f>VLOOKUP(A61,[1]Sheet15!B:E,4,0)</f>
        <v>10</v>
      </c>
      <c r="BQ61" s="7">
        <f>VLOOKUP(A61,[1]Sheet15!B:E,3,0)</f>
        <v>0</v>
      </c>
    </row>
    <row r="62" spans="1:69" ht="22.5" customHeight="1" x14ac:dyDescent="0.25">
      <c r="A62" s="15" t="s">
        <v>189</v>
      </c>
      <c r="B62" s="15">
        <f>VLOOKUP(A62,'[1]Master clients'!F59:W3606,17,0)</f>
        <v>0</v>
      </c>
      <c r="C62" s="15" t="str">
        <f>VLOOKUP(A62,'[1]Master clients'!F59:P3606,11,0)</f>
        <v>HO</v>
      </c>
      <c r="D62" s="15" t="str">
        <f>VLOOKUP(A62,'[1]Master clients'!F:M,8,0)</f>
        <v>End User</v>
      </c>
      <c r="E62" s="24" t="s">
        <v>190</v>
      </c>
      <c r="F62" s="25" t="s">
        <v>186</v>
      </c>
      <c r="G62" s="20">
        <v>0</v>
      </c>
      <c r="H62" s="20">
        <v>0</v>
      </c>
      <c r="I62" s="26">
        <v>18</v>
      </c>
      <c r="J62" s="26">
        <v>6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>
        <v>0</v>
      </c>
      <c r="R62" s="20">
        <v>0</v>
      </c>
      <c r="S62" s="20">
        <v>0</v>
      </c>
      <c r="T62" s="20">
        <v>0</v>
      </c>
      <c r="U62" s="20">
        <v>0</v>
      </c>
      <c r="V62" s="20">
        <v>0</v>
      </c>
      <c r="W62" s="20">
        <v>0</v>
      </c>
      <c r="X62" s="20">
        <v>0</v>
      </c>
      <c r="Y62" s="20">
        <v>0</v>
      </c>
      <c r="Z62" s="20">
        <v>0</v>
      </c>
      <c r="AA62" s="20">
        <v>0</v>
      </c>
      <c r="AB62" s="20">
        <v>0</v>
      </c>
      <c r="AC62" s="20">
        <v>0</v>
      </c>
      <c r="AD62" s="20">
        <v>0</v>
      </c>
      <c r="AE62" s="20">
        <v>0</v>
      </c>
      <c r="AF62" s="20">
        <v>0</v>
      </c>
      <c r="AG62" s="20">
        <v>0</v>
      </c>
      <c r="AH62" s="20">
        <v>0</v>
      </c>
      <c r="AI62" s="20">
        <v>0</v>
      </c>
      <c r="AJ62" s="20">
        <v>0</v>
      </c>
      <c r="AK62" s="20">
        <v>0</v>
      </c>
      <c r="AL62" s="20">
        <v>0</v>
      </c>
      <c r="AM62" s="20">
        <v>0</v>
      </c>
      <c r="AN62" s="20">
        <v>0</v>
      </c>
      <c r="AO62" s="20">
        <v>0</v>
      </c>
      <c r="AP62" s="20">
        <v>0</v>
      </c>
      <c r="AQ62" s="20">
        <v>0</v>
      </c>
      <c r="AR62" s="20">
        <v>0</v>
      </c>
      <c r="AS62" s="20">
        <v>0</v>
      </c>
      <c r="AT62" s="20">
        <v>0</v>
      </c>
      <c r="AU62" s="20">
        <v>0</v>
      </c>
      <c r="AV62" s="20">
        <v>0</v>
      </c>
      <c r="AW62" s="20">
        <v>0</v>
      </c>
      <c r="AX62" s="20">
        <v>0</v>
      </c>
      <c r="AY62" s="20">
        <v>0</v>
      </c>
      <c r="AZ62" s="20">
        <v>0</v>
      </c>
      <c r="BA62" s="20">
        <v>0</v>
      </c>
      <c r="BB62" s="27">
        <v>0</v>
      </c>
      <c r="BC62" s="20">
        <v>0</v>
      </c>
      <c r="BD62" s="20">
        <v>0</v>
      </c>
      <c r="BE62" s="21">
        <v>0</v>
      </c>
      <c r="BF62" s="21">
        <v>0</v>
      </c>
      <c r="BG62" s="20">
        <v>0</v>
      </c>
      <c r="BH62" s="20">
        <v>0</v>
      </c>
      <c r="BI62" s="22">
        <f t="shared" si="0"/>
        <v>0</v>
      </c>
      <c r="BJ62" s="22">
        <f t="shared" si="1"/>
        <v>0</v>
      </c>
      <c r="BK62" s="28">
        <f t="shared" si="2"/>
        <v>24</v>
      </c>
      <c r="BL62" s="22">
        <f t="shared" si="14"/>
        <v>18</v>
      </c>
      <c r="BM62" s="22">
        <f t="shared" si="4"/>
        <v>6</v>
      </c>
      <c r="BN62" s="23">
        <f t="shared" si="16"/>
        <v>1</v>
      </c>
      <c r="BO62" s="23">
        <f t="shared" si="16"/>
        <v>1</v>
      </c>
      <c r="BP62" s="7">
        <f>VLOOKUP(A62,[1]Sheet15!B:E,4,0)</f>
        <v>2</v>
      </c>
      <c r="BQ62" s="7">
        <f>VLOOKUP(A62,[1]Sheet15!B:E,3,0)</f>
        <v>0</v>
      </c>
    </row>
    <row r="63" spans="1:69" ht="22.5" customHeight="1" x14ac:dyDescent="0.25">
      <c r="A63" s="15" t="s">
        <v>191</v>
      </c>
      <c r="B63" s="15">
        <f>VLOOKUP(A63,'[1]Master clients'!F60:W3607,17,0)</f>
        <v>0</v>
      </c>
      <c r="C63" s="15" t="str">
        <f>VLOOKUP(A63,'[1]Master clients'!F60:P3607,11,0)</f>
        <v>NI</v>
      </c>
      <c r="D63" s="15" t="str">
        <f>VLOOKUP(A63,'[1]Master clients'!F:M,8,0)</f>
        <v>Group (Mills)</v>
      </c>
      <c r="E63" s="24" t="s">
        <v>192</v>
      </c>
      <c r="F63" s="25" t="s">
        <v>186</v>
      </c>
      <c r="G63" s="20">
        <v>0</v>
      </c>
      <c r="H63" s="20">
        <v>0</v>
      </c>
      <c r="I63" s="26">
        <v>28</v>
      </c>
      <c r="J63" s="26">
        <v>0</v>
      </c>
      <c r="K63" s="20">
        <v>0</v>
      </c>
      <c r="L63" s="20">
        <v>0</v>
      </c>
      <c r="M63" s="20">
        <v>0</v>
      </c>
      <c r="N63" s="20">
        <v>8</v>
      </c>
      <c r="O63" s="20">
        <v>0</v>
      </c>
      <c r="P63" s="20">
        <v>0</v>
      </c>
      <c r="Q63" s="20">
        <v>0</v>
      </c>
      <c r="R63" s="20">
        <v>0</v>
      </c>
      <c r="S63" s="20">
        <v>0</v>
      </c>
      <c r="T63" s="20">
        <v>0</v>
      </c>
      <c r="U63" s="20">
        <v>0</v>
      </c>
      <c r="V63" s="20">
        <v>0</v>
      </c>
      <c r="W63" s="20">
        <v>0</v>
      </c>
      <c r="X63" s="20">
        <v>0</v>
      </c>
      <c r="Y63" s="20">
        <v>0</v>
      </c>
      <c r="Z63" s="20">
        <v>0</v>
      </c>
      <c r="AA63" s="20">
        <v>0</v>
      </c>
      <c r="AB63" s="20">
        <v>0</v>
      </c>
      <c r="AC63" s="20">
        <v>0</v>
      </c>
      <c r="AD63" s="20">
        <v>0</v>
      </c>
      <c r="AE63" s="20">
        <v>0</v>
      </c>
      <c r="AF63" s="20">
        <v>0</v>
      </c>
      <c r="AG63" s="20">
        <v>0</v>
      </c>
      <c r="AH63" s="20">
        <v>0</v>
      </c>
      <c r="AI63" s="20">
        <v>0</v>
      </c>
      <c r="AJ63" s="20">
        <v>0</v>
      </c>
      <c r="AK63" s="20">
        <v>0</v>
      </c>
      <c r="AL63" s="20">
        <v>0</v>
      </c>
      <c r="AM63" s="20">
        <v>0</v>
      </c>
      <c r="AN63" s="20">
        <v>0</v>
      </c>
      <c r="AO63" s="20">
        <v>0</v>
      </c>
      <c r="AP63" s="20">
        <v>0</v>
      </c>
      <c r="AQ63" s="20">
        <v>0</v>
      </c>
      <c r="AR63" s="20">
        <v>0</v>
      </c>
      <c r="AS63" s="20">
        <v>0</v>
      </c>
      <c r="AT63" s="20">
        <v>0</v>
      </c>
      <c r="AU63" s="20">
        <v>0</v>
      </c>
      <c r="AV63" s="20">
        <v>0</v>
      </c>
      <c r="AW63" s="20">
        <v>0</v>
      </c>
      <c r="AX63" s="20">
        <v>0</v>
      </c>
      <c r="AY63" s="20">
        <v>0</v>
      </c>
      <c r="AZ63" s="20">
        <v>0</v>
      </c>
      <c r="BA63" s="20">
        <v>0</v>
      </c>
      <c r="BB63" s="27">
        <v>0</v>
      </c>
      <c r="BC63" s="20">
        <v>0</v>
      </c>
      <c r="BD63" s="20">
        <v>0</v>
      </c>
      <c r="BE63" s="21">
        <v>0</v>
      </c>
      <c r="BF63" s="21">
        <v>0</v>
      </c>
      <c r="BG63" s="20">
        <v>0</v>
      </c>
      <c r="BH63" s="20">
        <v>0</v>
      </c>
      <c r="BI63" s="22">
        <f t="shared" si="0"/>
        <v>0</v>
      </c>
      <c r="BJ63" s="22">
        <f t="shared" si="1"/>
        <v>8</v>
      </c>
      <c r="BK63" s="28">
        <f t="shared" si="2"/>
        <v>36</v>
      </c>
      <c r="BL63" s="22">
        <f t="shared" si="14"/>
        <v>28</v>
      </c>
      <c r="BM63" s="22">
        <f t="shared" si="4"/>
        <v>8</v>
      </c>
      <c r="BN63" s="23">
        <f t="shared" si="16"/>
        <v>1</v>
      </c>
      <c r="BO63" s="23">
        <f t="shared" si="16"/>
        <v>0</v>
      </c>
      <c r="BP63" s="7">
        <f>VLOOKUP(A63,[1]Sheet15!B:E,4,0)</f>
        <v>2</v>
      </c>
      <c r="BQ63" s="7">
        <f>VLOOKUP(A63,[1]Sheet15!B:E,3,0)</f>
        <v>0</v>
      </c>
    </row>
    <row r="64" spans="1:69" ht="22.5" customHeight="1" x14ac:dyDescent="0.25">
      <c r="A64" s="15" t="s">
        <v>193</v>
      </c>
      <c r="B64" s="15">
        <f>VLOOKUP(A64,'[1]Master clients'!F61:W3608,17,0)</f>
        <v>0</v>
      </c>
      <c r="C64" s="15" t="str">
        <f>VLOOKUP(A64,'[1]Master clients'!F61:P3608,11,0)</f>
        <v>NI</v>
      </c>
      <c r="D64" s="15" t="str">
        <f>VLOOKUP(A64,'[1]Master clients'!F:M,8,0)</f>
        <v>End User</v>
      </c>
      <c r="E64" s="16" t="s">
        <v>194</v>
      </c>
      <c r="F64" s="16" t="s">
        <v>195</v>
      </c>
      <c r="G64" s="17"/>
      <c r="H64" s="17"/>
      <c r="I64" s="31">
        <v>3</v>
      </c>
      <c r="J64" s="31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  <c r="AE64" s="17">
        <v>0</v>
      </c>
      <c r="AF64" s="17">
        <v>0</v>
      </c>
      <c r="AG64" s="17">
        <v>0</v>
      </c>
      <c r="AH64" s="17">
        <v>0</v>
      </c>
      <c r="AI64" s="17">
        <v>0</v>
      </c>
      <c r="AJ64" s="17">
        <v>0</v>
      </c>
      <c r="AK64" s="17">
        <v>0</v>
      </c>
      <c r="AL64" s="17">
        <v>0</v>
      </c>
      <c r="AM64" s="17">
        <v>0</v>
      </c>
      <c r="AN64" s="17">
        <v>0</v>
      </c>
      <c r="AO64" s="17">
        <v>0</v>
      </c>
      <c r="AP64" s="17">
        <v>0</v>
      </c>
      <c r="AQ64" s="17">
        <v>0</v>
      </c>
      <c r="AR64" s="17">
        <v>0</v>
      </c>
      <c r="AS64" s="17">
        <v>0</v>
      </c>
      <c r="AT64" s="17">
        <v>0</v>
      </c>
      <c r="AU64" s="17">
        <v>0</v>
      </c>
      <c r="AV64" s="17">
        <v>0</v>
      </c>
      <c r="AW64" s="17">
        <v>0</v>
      </c>
      <c r="AX64" s="17">
        <v>0</v>
      </c>
      <c r="AY64" s="17">
        <v>0</v>
      </c>
      <c r="AZ64" s="17">
        <v>0</v>
      </c>
      <c r="BA64" s="17">
        <v>0</v>
      </c>
      <c r="BB64" s="17">
        <v>0</v>
      </c>
      <c r="BC64" s="17">
        <v>0</v>
      </c>
      <c r="BD64" s="17">
        <v>0</v>
      </c>
      <c r="BE64" s="17">
        <v>0</v>
      </c>
      <c r="BF64" s="17">
        <v>0</v>
      </c>
      <c r="BG64" s="17">
        <v>0</v>
      </c>
      <c r="BH64" s="17">
        <v>0</v>
      </c>
      <c r="BI64" s="22">
        <f t="shared" si="0"/>
        <v>0</v>
      </c>
      <c r="BJ64" s="22">
        <f t="shared" si="1"/>
        <v>0</v>
      </c>
      <c r="BK64" s="22">
        <f t="shared" si="2"/>
        <v>3</v>
      </c>
      <c r="BL64" s="22">
        <f t="shared" si="14"/>
        <v>3</v>
      </c>
      <c r="BM64" s="22">
        <f t="shared" si="4"/>
        <v>0</v>
      </c>
      <c r="BN64" s="23">
        <f t="shared" si="16"/>
        <v>1</v>
      </c>
      <c r="BO64" s="23" t="e">
        <f t="shared" si="16"/>
        <v>#DIV/0!</v>
      </c>
      <c r="BP64" s="7">
        <f>VLOOKUP(A64,[1]Sheet15!B:E,4,0)</f>
        <v>3</v>
      </c>
      <c r="BQ64" s="7">
        <f>VLOOKUP(A64,[1]Sheet15!B:E,3,0)</f>
        <v>0</v>
      </c>
    </row>
    <row r="65" spans="1:69" ht="22.5" customHeight="1" x14ac:dyDescent="0.25">
      <c r="A65" s="15" t="s">
        <v>196</v>
      </c>
      <c r="B65" s="15">
        <f>VLOOKUP(A65,'[1]Master clients'!F62:W3609,17,0)</f>
        <v>0</v>
      </c>
      <c r="C65" s="15" t="str">
        <f>VLOOKUP(A65,'[1]Master clients'!F62:P3609,11,0)</f>
        <v>VA</v>
      </c>
      <c r="D65" s="15" t="str">
        <f>VLOOKUP(A65,'[1]Master clients'!F:M,8,0)</f>
        <v>End User</v>
      </c>
      <c r="E65" s="16" t="s">
        <v>197</v>
      </c>
      <c r="F65" s="16" t="s">
        <v>198</v>
      </c>
      <c r="G65" s="17"/>
      <c r="H65" s="17"/>
      <c r="I65" s="31">
        <v>0</v>
      </c>
      <c r="J65" s="31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  <c r="AG65" s="17">
        <v>0</v>
      </c>
      <c r="AH65" s="17">
        <v>0</v>
      </c>
      <c r="AI65" s="17">
        <v>0</v>
      </c>
      <c r="AJ65" s="17">
        <v>0</v>
      </c>
      <c r="AK65" s="17">
        <v>0</v>
      </c>
      <c r="AL65" s="17">
        <v>0</v>
      </c>
      <c r="AM65" s="17">
        <v>0</v>
      </c>
      <c r="AN65" s="17">
        <v>0</v>
      </c>
      <c r="AO65" s="17">
        <v>0</v>
      </c>
      <c r="AP65" s="17">
        <v>0</v>
      </c>
      <c r="AQ65" s="17">
        <v>0</v>
      </c>
      <c r="AR65" s="17">
        <v>0</v>
      </c>
      <c r="AS65" s="17">
        <v>0</v>
      </c>
      <c r="AT65" s="17">
        <v>0</v>
      </c>
      <c r="AU65" s="17">
        <v>0</v>
      </c>
      <c r="AV65" s="17">
        <v>0</v>
      </c>
      <c r="AW65" s="17">
        <v>0</v>
      </c>
      <c r="AX65" s="17">
        <v>0</v>
      </c>
      <c r="AY65" s="17">
        <v>0</v>
      </c>
      <c r="AZ65" s="17">
        <v>0</v>
      </c>
      <c r="BA65" s="17">
        <v>0</v>
      </c>
      <c r="BB65" s="17">
        <v>0</v>
      </c>
      <c r="BC65" s="17">
        <v>0</v>
      </c>
      <c r="BD65" s="17">
        <v>0</v>
      </c>
      <c r="BE65" s="17">
        <v>0</v>
      </c>
      <c r="BF65" s="17">
        <v>0</v>
      </c>
      <c r="BG65" s="17">
        <v>0</v>
      </c>
      <c r="BH65" s="17">
        <v>0</v>
      </c>
      <c r="BI65" s="22">
        <f t="shared" si="0"/>
        <v>0</v>
      </c>
      <c r="BJ65" s="22">
        <f t="shared" si="1"/>
        <v>0</v>
      </c>
      <c r="BK65" s="22">
        <f t="shared" si="2"/>
        <v>0</v>
      </c>
      <c r="BL65" s="22">
        <f t="shared" si="14"/>
        <v>0</v>
      </c>
      <c r="BM65" s="22">
        <f t="shared" si="4"/>
        <v>0</v>
      </c>
      <c r="BN65" s="23" t="e">
        <f t="shared" si="16"/>
        <v>#DIV/0!</v>
      </c>
      <c r="BO65" s="23" t="e">
        <f t="shared" si="16"/>
        <v>#DIV/0!</v>
      </c>
      <c r="BP65" s="7" t="e">
        <f>VLOOKUP(A65,[1]Sheet15!B:E,4,0)</f>
        <v>#N/A</v>
      </c>
      <c r="BQ65" s="7" t="e">
        <f>VLOOKUP(A65,[1]Sheet15!B:E,3,0)</f>
        <v>#N/A</v>
      </c>
    </row>
    <row r="66" spans="1:69" ht="22.5" customHeight="1" x14ac:dyDescent="0.25">
      <c r="A66" s="15" t="s">
        <v>199</v>
      </c>
      <c r="B66" s="15">
        <f>VLOOKUP(A66,'[1]Master clients'!F63:W3610,17,0)</f>
        <v>0</v>
      </c>
      <c r="C66" s="15" t="str">
        <f>VLOOKUP(A66,'[1]Master clients'!F63:P3610,11,0)</f>
        <v>NI</v>
      </c>
      <c r="D66" s="15" t="str">
        <f>VLOOKUP(A66,'[1]Master clients'!F:M,8,0)</f>
        <v>End User</v>
      </c>
      <c r="E66" s="16" t="s">
        <v>200</v>
      </c>
      <c r="F66" s="16" t="s">
        <v>201</v>
      </c>
      <c r="G66" s="17"/>
      <c r="H66" s="17"/>
      <c r="I66" s="18">
        <v>1</v>
      </c>
      <c r="J66" s="18">
        <v>0</v>
      </c>
      <c r="K66" s="17">
        <v>0</v>
      </c>
      <c r="L66" s="17">
        <v>0</v>
      </c>
      <c r="M66" s="17">
        <v>0</v>
      </c>
      <c r="N66" s="17">
        <v>0</v>
      </c>
      <c r="O66" s="19">
        <v>0</v>
      </c>
      <c r="P66" s="19">
        <v>0</v>
      </c>
      <c r="Q66" s="19">
        <v>0</v>
      </c>
      <c r="R66" s="19">
        <v>0</v>
      </c>
      <c r="S66" s="19">
        <v>0</v>
      </c>
      <c r="T66" s="19">
        <v>0</v>
      </c>
      <c r="U66" s="19">
        <v>0</v>
      </c>
      <c r="V66" s="19">
        <v>0</v>
      </c>
      <c r="W66" s="19">
        <v>0</v>
      </c>
      <c r="X66" s="19">
        <v>0</v>
      </c>
      <c r="Y66" s="19">
        <v>0</v>
      </c>
      <c r="Z66" s="19">
        <v>0</v>
      </c>
      <c r="AA66" s="19">
        <v>0</v>
      </c>
      <c r="AB66" s="19">
        <v>0</v>
      </c>
      <c r="AC66" s="19">
        <v>0</v>
      </c>
      <c r="AD66" s="19">
        <v>0</v>
      </c>
      <c r="AE66" s="19">
        <v>0</v>
      </c>
      <c r="AF66" s="19">
        <v>0</v>
      </c>
      <c r="AG66" s="19">
        <v>0</v>
      </c>
      <c r="AH66" s="19">
        <v>0</v>
      </c>
      <c r="AI66" s="19">
        <v>0</v>
      </c>
      <c r="AJ66" s="19">
        <v>0</v>
      </c>
      <c r="AK66" s="19">
        <v>0</v>
      </c>
      <c r="AL66" s="19">
        <v>0</v>
      </c>
      <c r="AM66" s="19">
        <v>0</v>
      </c>
      <c r="AN66" s="19">
        <v>0</v>
      </c>
      <c r="AO66" s="19">
        <v>0</v>
      </c>
      <c r="AP66" s="19">
        <v>0</v>
      </c>
      <c r="AQ66" s="19">
        <v>0</v>
      </c>
      <c r="AR66" s="19">
        <v>0</v>
      </c>
      <c r="AS66" s="19">
        <v>0</v>
      </c>
      <c r="AT66" s="19">
        <v>0</v>
      </c>
      <c r="AU66" s="19">
        <v>0</v>
      </c>
      <c r="AV66" s="19">
        <v>0</v>
      </c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>
        <v>0</v>
      </c>
      <c r="BC66" s="19">
        <v>0</v>
      </c>
      <c r="BD66" s="19">
        <v>0</v>
      </c>
      <c r="BE66" s="19">
        <v>0</v>
      </c>
      <c r="BF66" s="19">
        <v>0</v>
      </c>
      <c r="BG66" s="19">
        <v>0</v>
      </c>
      <c r="BH66" s="19">
        <v>0</v>
      </c>
      <c r="BI66" s="22">
        <f t="shared" si="0"/>
        <v>0</v>
      </c>
      <c r="BJ66" s="22">
        <f t="shared" si="1"/>
        <v>0</v>
      </c>
      <c r="BK66" s="22">
        <f t="shared" si="2"/>
        <v>1</v>
      </c>
      <c r="BL66" s="22">
        <f t="shared" si="14"/>
        <v>1</v>
      </c>
      <c r="BM66" s="22">
        <f t="shared" si="4"/>
        <v>0</v>
      </c>
      <c r="BN66" s="23">
        <f t="shared" si="16"/>
        <v>1</v>
      </c>
      <c r="BO66" s="23" t="e">
        <f t="shared" si="16"/>
        <v>#DIV/0!</v>
      </c>
      <c r="BP66" s="7">
        <f>VLOOKUP(A66,[1]Sheet15!B:E,4,0)</f>
        <v>1</v>
      </c>
      <c r="BQ66" s="7">
        <f>VLOOKUP(A66,[1]Sheet15!B:E,3,0)</f>
        <v>0</v>
      </c>
    </row>
    <row r="67" spans="1:69" ht="22.5" customHeight="1" x14ac:dyDescent="0.25">
      <c r="A67" s="15" t="s">
        <v>202</v>
      </c>
      <c r="B67" s="15">
        <f>VLOOKUP(A67,'[1]Master clients'!F64:W3611,17,0)</f>
        <v>0</v>
      </c>
      <c r="C67" s="15" t="str">
        <f>VLOOKUP(A67,'[1]Master clients'!F64:P3611,11,0)</f>
        <v>AV</v>
      </c>
      <c r="D67" s="15" t="str">
        <f>VLOOKUP(A67,'[1]Master clients'!F:M,8,0)</f>
        <v>End User</v>
      </c>
      <c r="E67" s="16" t="s">
        <v>203</v>
      </c>
      <c r="F67" s="16" t="s">
        <v>79</v>
      </c>
      <c r="G67" s="17">
        <v>17</v>
      </c>
      <c r="H67" s="17">
        <v>3</v>
      </c>
      <c r="I67" s="18">
        <v>18</v>
      </c>
      <c r="J67" s="18">
        <v>3</v>
      </c>
      <c r="K67" s="17">
        <v>0</v>
      </c>
      <c r="L67" s="17">
        <v>0</v>
      </c>
      <c r="M67" s="17">
        <v>0</v>
      </c>
      <c r="N67" s="17">
        <v>0</v>
      </c>
      <c r="O67" s="19">
        <v>0</v>
      </c>
      <c r="P67" s="19">
        <v>4</v>
      </c>
      <c r="Q67" s="19">
        <v>0</v>
      </c>
      <c r="R67" s="19">
        <v>2</v>
      </c>
      <c r="S67" s="19">
        <v>0</v>
      </c>
      <c r="T67" s="19">
        <v>0</v>
      </c>
      <c r="U67" s="19">
        <v>0</v>
      </c>
      <c r="V67" s="19">
        <v>0</v>
      </c>
      <c r="W67" s="20">
        <v>0</v>
      </c>
      <c r="X67" s="20">
        <v>0</v>
      </c>
      <c r="Y67" s="19">
        <v>0</v>
      </c>
      <c r="Z67" s="19">
        <v>0</v>
      </c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>
        <v>0</v>
      </c>
      <c r="AI67" s="20">
        <v>0</v>
      </c>
      <c r="AJ67" s="20">
        <v>0</v>
      </c>
      <c r="AK67" s="19">
        <v>0</v>
      </c>
      <c r="AL67" s="20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>
        <v>0</v>
      </c>
      <c r="AS67" s="19">
        <v>0</v>
      </c>
      <c r="AT67" s="19">
        <v>0</v>
      </c>
      <c r="AU67" s="19">
        <v>0</v>
      </c>
      <c r="AV67" s="19">
        <v>0</v>
      </c>
      <c r="AW67" s="20">
        <v>0</v>
      </c>
      <c r="AX67" s="20">
        <v>0</v>
      </c>
      <c r="AY67" s="20">
        <v>0</v>
      </c>
      <c r="AZ67" s="19">
        <v>0</v>
      </c>
      <c r="BA67" s="19">
        <v>0</v>
      </c>
      <c r="BB67" s="19">
        <v>0</v>
      </c>
      <c r="BC67" s="19">
        <v>0</v>
      </c>
      <c r="BD67" s="19">
        <v>0</v>
      </c>
      <c r="BE67" s="21">
        <v>0</v>
      </c>
      <c r="BF67" s="21">
        <v>0</v>
      </c>
      <c r="BG67" s="19">
        <v>0</v>
      </c>
      <c r="BH67" s="19">
        <v>0</v>
      </c>
      <c r="BI67" s="22">
        <f t="shared" si="0"/>
        <v>6</v>
      </c>
      <c r="BJ67" s="22">
        <f t="shared" si="1"/>
        <v>0</v>
      </c>
      <c r="BK67" s="22">
        <f t="shared" si="2"/>
        <v>27</v>
      </c>
      <c r="BL67" s="22">
        <f t="shared" si="14"/>
        <v>24</v>
      </c>
      <c r="BM67" s="22">
        <f t="shared" si="4"/>
        <v>3</v>
      </c>
      <c r="BN67" s="23">
        <f t="shared" si="16"/>
        <v>0.75</v>
      </c>
      <c r="BO67" s="23">
        <f t="shared" si="16"/>
        <v>1</v>
      </c>
      <c r="BP67" s="7">
        <f>VLOOKUP(A67,[1]Sheet15!B:E,4,0)</f>
        <v>9</v>
      </c>
      <c r="BQ67" s="7">
        <f>VLOOKUP(A67,[1]Sheet15!B:E,3,0)</f>
        <v>3</v>
      </c>
    </row>
    <row r="68" spans="1:69" ht="22.5" customHeight="1" x14ac:dyDescent="0.25">
      <c r="A68" s="15" t="s">
        <v>204</v>
      </c>
      <c r="B68" s="15">
        <f>VLOOKUP(A68,'[1]Master clients'!F65:W3612,17,0)</f>
        <v>0</v>
      </c>
      <c r="C68" s="15" t="str">
        <f>VLOOKUP(A68,'[1]Master clients'!F65:P3612,11,0)</f>
        <v>AV</v>
      </c>
      <c r="D68" s="15" t="str">
        <f>VLOOKUP(A68,'[1]Master clients'!F:M,8,0)</f>
        <v>End User</v>
      </c>
      <c r="E68" s="16" t="s">
        <v>205</v>
      </c>
      <c r="F68" s="16" t="s">
        <v>79</v>
      </c>
      <c r="G68" s="17">
        <v>3</v>
      </c>
      <c r="H68" s="17">
        <v>0</v>
      </c>
      <c r="I68" s="18">
        <v>2</v>
      </c>
      <c r="J68" s="18">
        <v>0</v>
      </c>
      <c r="K68" s="17">
        <v>0</v>
      </c>
      <c r="L68" s="17">
        <v>0</v>
      </c>
      <c r="M68" s="17">
        <v>0</v>
      </c>
      <c r="N68" s="17">
        <v>1</v>
      </c>
      <c r="O68" s="19">
        <v>0</v>
      </c>
      <c r="P68" s="19">
        <v>0</v>
      </c>
      <c r="Q68" s="19">
        <v>1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20">
        <v>0</v>
      </c>
      <c r="X68" s="20">
        <v>0</v>
      </c>
      <c r="Y68" s="19">
        <v>0</v>
      </c>
      <c r="Z68" s="19">
        <v>0</v>
      </c>
      <c r="AA68" s="19">
        <v>0</v>
      </c>
      <c r="AB68" s="19">
        <v>0</v>
      </c>
      <c r="AC68" s="19">
        <v>10</v>
      </c>
      <c r="AD68" s="19">
        <v>0</v>
      </c>
      <c r="AE68" s="19">
        <v>0</v>
      </c>
      <c r="AF68" s="19">
        <v>0</v>
      </c>
      <c r="AG68" s="19">
        <v>0</v>
      </c>
      <c r="AH68" s="19">
        <v>0</v>
      </c>
      <c r="AI68" s="20">
        <v>0</v>
      </c>
      <c r="AJ68" s="20">
        <v>0</v>
      </c>
      <c r="AK68" s="19">
        <v>0</v>
      </c>
      <c r="AL68" s="20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>
        <v>0</v>
      </c>
      <c r="AS68" s="19">
        <v>0</v>
      </c>
      <c r="AT68" s="19">
        <v>0</v>
      </c>
      <c r="AU68" s="19">
        <v>0</v>
      </c>
      <c r="AV68" s="19">
        <v>0</v>
      </c>
      <c r="AW68" s="20">
        <v>0</v>
      </c>
      <c r="AX68" s="20">
        <v>0</v>
      </c>
      <c r="AY68" s="20">
        <v>0</v>
      </c>
      <c r="AZ68" s="19">
        <v>0</v>
      </c>
      <c r="BA68" s="19">
        <v>0</v>
      </c>
      <c r="BB68" s="19">
        <v>0</v>
      </c>
      <c r="BC68" s="19">
        <v>0</v>
      </c>
      <c r="BD68" s="19">
        <v>0</v>
      </c>
      <c r="BE68" s="21">
        <v>0</v>
      </c>
      <c r="BF68" s="21">
        <v>0</v>
      </c>
      <c r="BG68" s="19">
        <v>0</v>
      </c>
      <c r="BH68" s="19">
        <v>0</v>
      </c>
      <c r="BI68" s="22">
        <f t="shared" si="0"/>
        <v>10</v>
      </c>
      <c r="BJ68" s="22">
        <f t="shared" si="1"/>
        <v>2</v>
      </c>
      <c r="BK68" s="22">
        <f t="shared" si="2"/>
        <v>14</v>
      </c>
      <c r="BL68" s="22">
        <f t="shared" si="14"/>
        <v>12</v>
      </c>
      <c r="BM68" s="22">
        <f t="shared" si="4"/>
        <v>2</v>
      </c>
      <c r="BN68" s="23">
        <f t="shared" si="16"/>
        <v>0.16666666666666666</v>
      </c>
      <c r="BO68" s="23">
        <f t="shared" si="16"/>
        <v>0</v>
      </c>
      <c r="BP68" s="7" t="e">
        <f>VLOOKUP(A68,[1]Sheet15!B:E,4,0)</f>
        <v>#N/A</v>
      </c>
      <c r="BQ68" s="7" t="e">
        <f>VLOOKUP(A68,[1]Sheet15!B:E,3,0)</f>
        <v>#N/A</v>
      </c>
    </row>
    <row r="69" spans="1:69" ht="22.5" customHeight="1" x14ac:dyDescent="0.25">
      <c r="A69" s="15" t="s">
        <v>206</v>
      </c>
      <c r="B69" s="15">
        <f>VLOOKUP(A69,'[1]Master clients'!F66:W3613,17,0)</f>
        <v>0</v>
      </c>
      <c r="C69" s="15" t="str">
        <f>VLOOKUP(A69,'[1]Master clients'!F66:P3613,11,0)</f>
        <v>AV</v>
      </c>
      <c r="D69" s="15" t="str">
        <f>VLOOKUP(A69,'[1]Master clients'!F:M,8,0)</f>
        <v>End User</v>
      </c>
      <c r="E69" s="16" t="s">
        <v>207</v>
      </c>
      <c r="F69" s="16" t="s">
        <v>79</v>
      </c>
      <c r="G69" s="17"/>
      <c r="H69" s="17"/>
      <c r="I69" s="31">
        <v>11</v>
      </c>
      <c r="J69" s="31">
        <v>0</v>
      </c>
      <c r="K69" s="17">
        <v>0</v>
      </c>
      <c r="L69" s="17">
        <v>0</v>
      </c>
      <c r="M69" s="17">
        <v>0</v>
      </c>
      <c r="N69" s="17">
        <v>0</v>
      </c>
      <c r="O69" s="17">
        <v>0</v>
      </c>
      <c r="P69" s="17">
        <v>0</v>
      </c>
      <c r="Q69" s="17">
        <v>0</v>
      </c>
      <c r="R69" s="17">
        <v>0</v>
      </c>
      <c r="S69" s="17">
        <v>0</v>
      </c>
      <c r="T69" s="17">
        <v>0</v>
      </c>
      <c r="U69" s="17">
        <v>0</v>
      </c>
      <c r="V69" s="17">
        <v>0</v>
      </c>
      <c r="W69" s="17">
        <v>0</v>
      </c>
      <c r="X69" s="17">
        <v>0</v>
      </c>
      <c r="Y69" s="17">
        <v>0</v>
      </c>
      <c r="Z69" s="17">
        <v>0</v>
      </c>
      <c r="AA69" s="17">
        <v>0</v>
      </c>
      <c r="AB69" s="17">
        <v>0</v>
      </c>
      <c r="AC69" s="17">
        <v>0</v>
      </c>
      <c r="AD69" s="17">
        <v>0</v>
      </c>
      <c r="AE69" s="17">
        <v>0</v>
      </c>
      <c r="AF69" s="17">
        <v>0</v>
      </c>
      <c r="AG69" s="17">
        <v>0</v>
      </c>
      <c r="AH69" s="17">
        <v>0</v>
      </c>
      <c r="AI69" s="17">
        <v>0</v>
      </c>
      <c r="AJ69" s="17">
        <v>0</v>
      </c>
      <c r="AK69" s="17">
        <v>0</v>
      </c>
      <c r="AL69" s="17">
        <v>0</v>
      </c>
      <c r="AM69" s="17">
        <v>0</v>
      </c>
      <c r="AN69" s="17">
        <v>0</v>
      </c>
      <c r="AO69" s="17">
        <v>0</v>
      </c>
      <c r="AP69" s="17">
        <v>0</v>
      </c>
      <c r="AQ69" s="17">
        <v>0</v>
      </c>
      <c r="AR69" s="17">
        <v>0</v>
      </c>
      <c r="AS69" s="17">
        <v>0</v>
      </c>
      <c r="AT69" s="17">
        <v>0</v>
      </c>
      <c r="AU69" s="17">
        <v>0</v>
      </c>
      <c r="AV69" s="17">
        <v>0</v>
      </c>
      <c r="AW69" s="17">
        <v>0</v>
      </c>
      <c r="AX69" s="17">
        <v>0</v>
      </c>
      <c r="AY69" s="17">
        <v>0</v>
      </c>
      <c r="AZ69" s="17">
        <v>0</v>
      </c>
      <c r="BA69" s="17">
        <v>0</v>
      </c>
      <c r="BB69" s="17">
        <v>0</v>
      </c>
      <c r="BC69" s="17">
        <v>0</v>
      </c>
      <c r="BD69" s="17">
        <v>0</v>
      </c>
      <c r="BE69" s="17">
        <v>0</v>
      </c>
      <c r="BF69" s="17">
        <v>0</v>
      </c>
      <c r="BG69" s="17">
        <v>0</v>
      </c>
      <c r="BH69" s="17">
        <v>0</v>
      </c>
      <c r="BI69" s="22">
        <f>SUM(M69+N69+P69+R69+T69+W69+Z69+AC69+AE69+AL69+AO69+AP69+AS69+AW69+AX69+BC69+BE69+BG69)</f>
        <v>0</v>
      </c>
      <c r="BJ69" s="22">
        <f>SUM(H69:BG69)</f>
        <v>11</v>
      </c>
      <c r="BK69" s="22">
        <f>SUM(H69+J69+K69+L69+O69+Q69+S69+U69+V69+X69+Y69+AA69+AB69+AD69+AF69+AG69+AH69+AI69+AJ69+AK69+AM69+AN69+AQ69+AR69+AT69+AU69+AV69+AY69+AZ69+BA69+BB69+BF69+BD69)</f>
        <v>0</v>
      </c>
      <c r="BL69" s="22">
        <f t="shared" ref="BL69:BM84" si="17">SUM(I69+M69+N69+P69+R69+T69+W69+Z69+AC69+AE69+AL69+AO69+AP69+AS69+AW69+AX69+BC69+BG69)</f>
        <v>11</v>
      </c>
      <c r="BM69" s="22">
        <f t="shared" si="17"/>
        <v>0</v>
      </c>
      <c r="BN69" s="23">
        <f t="shared" ref="BN69:BO84" si="18">I69/BL69</f>
        <v>1</v>
      </c>
      <c r="BO69" s="23" t="e">
        <f t="shared" si="18"/>
        <v>#DIV/0!</v>
      </c>
      <c r="BP69" s="7">
        <f>VLOOKUP(A69,[1]Sheet15!B:E,4,0)</f>
        <v>11</v>
      </c>
      <c r="BQ69" s="7">
        <f>VLOOKUP(A69,[1]Sheet15!B:E,3,0)</f>
        <v>0</v>
      </c>
    </row>
    <row r="70" spans="1:69" ht="22.5" customHeight="1" x14ac:dyDescent="0.25">
      <c r="A70" s="15" t="s">
        <v>208</v>
      </c>
      <c r="B70" s="15">
        <f>VLOOKUP(A70,'[1]Master clients'!F67:W3614,17,0)</f>
        <v>0</v>
      </c>
      <c r="C70" s="15" t="str">
        <f>VLOOKUP(A70,'[1]Master clients'!F67:P3614,11,0)</f>
        <v>AV</v>
      </c>
      <c r="D70" s="15" t="str">
        <f>VLOOKUP(A70,'[1]Master clients'!F:M,8,0)</f>
        <v>End User</v>
      </c>
      <c r="E70" s="16" t="s">
        <v>209</v>
      </c>
      <c r="F70" s="16" t="s">
        <v>79</v>
      </c>
      <c r="G70" s="17"/>
      <c r="H70" s="17"/>
      <c r="I70" s="31">
        <v>2</v>
      </c>
      <c r="J70" s="31">
        <v>1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3</v>
      </c>
      <c r="R70" s="17">
        <v>10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  <c r="AE70" s="17">
        <v>0</v>
      </c>
      <c r="AF70" s="17">
        <v>0</v>
      </c>
      <c r="AG70" s="17">
        <v>0</v>
      </c>
      <c r="AH70" s="17">
        <v>0</v>
      </c>
      <c r="AI70" s="17">
        <v>0</v>
      </c>
      <c r="AJ70" s="17">
        <v>0</v>
      </c>
      <c r="AK70" s="17">
        <v>0</v>
      </c>
      <c r="AL70" s="17">
        <v>0</v>
      </c>
      <c r="AM70" s="17">
        <v>0</v>
      </c>
      <c r="AN70" s="17">
        <v>0</v>
      </c>
      <c r="AO70" s="17">
        <v>0</v>
      </c>
      <c r="AP70" s="17">
        <v>0</v>
      </c>
      <c r="AQ70" s="17">
        <v>0</v>
      </c>
      <c r="AR70" s="17">
        <v>0</v>
      </c>
      <c r="AS70" s="17">
        <v>0</v>
      </c>
      <c r="AT70" s="17">
        <v>0</v>
      </c>
      <c r="AU70" s="17">
        <v>0</v>
      </c>
      <c r="AV70" s="17">
        <v>0</v>
      </c>
      <c r="AW70" s="17">
        <v>0</v>
      </c>
      <c r="AX70" s="17">
        <v>0</v>
      </c>
      <c r="AY70" s="17">
        <v>0</v>
      </c>
      <c r="AZ70" s="17">
        <v>0</v>
      </c>
      <c r="BA70" s="17">
        <v>0</v>
      </c>
      <c r="BB70" s="17">
        <v>0</v>
      </c>
      <c r="BC70" s="17">
        <v>0</v>
      </c>
      <c r="BD70" s="17">
        <v>0</v>
      </c>
      <c r="BE70" s="17">
        <v>0</v>
      </c>
      <c r="BF70" s="17">
        <v>0</v>
      </c>
      <c r="BG70" s="17">
        <v>0</v>
      </c>
      <c r="BH70" s="17">
        <v>0</v>
      </c>
      <c r="BI70" s="22">
        <f t="shared" ref="BI70:BI170" si="19">SUM(K70+L70+M70+P70+R70+T70+V70+W70+Y70+Z70+AB70+AC70+AE70+AG70+AH70+AI70+AJ70+AK70+AL70+AN70+AO70+AR70+AS70+AU70+AV70+AW70+AZ70+BA70+BB70+BC70+BE70+BG70)</f>
        <v>10</v>
      </c>
      <c r="BJ70" s="22">
        <f t="shared" ref="BJ70:BJ170" si="20">SUM(N70+O70+Q70+S70+U70+X70+AA70+AD70+AF70+AM70+AP70+AQ70+AT70+AX70+AY70+BD70+BF70+BH70)</f>
        <v>3</v>
      </c>
      <c r="BK70" s="22">
        <f t="shared" ref="BK70:BK170" si="21">SUM(I70:BH70)</f>
        <v>16</v>
      </c>
      <c r="BL70" s="22">
        <f t="shared" ref="BL70:BL132" si="22">SUM(I70+K70+L70+M70+P70+R70+T70+V70+W70+Y70+Z70+AB70+AC70+AE70+AG70+AH70+AI70+AJ70+AK70+AL70+AN70+AO70+AR70+AS70+AU70+AV70+AW70+AZ70+BA70+BB70+BC70+BG70+BE70)</f>
        <v>12</v>
      </c>
      <c r="BM70" s="22">
        <f t="shared" si="17"/>
        <v>4</v>
      </c>
      <c r="BN70" s="23">
        <f t="shared" si="18"/>
        <v>0.16666666666666666</v>
      </c>
      <c r="BO70" s="23">
        <f t="shared" si="18"/>
        <v>0.25</v>
      </c>
      <c r="BP70" s="7" t="e">
        <f>VLOOKUP(A70,[1]Sheet15!B:E,4,0)</f>
        <v>#N/A</v>
      </c>
      <c r="BQ70" s="7" t="e">
        <f>VLOOKUP(A70,[1]Sheet15!B:E,3,0)</f>
        <v>#N/A</v>
      </c>
    </row>
    <row r="71" spans="1:69" ht="27.75" customHeight="1" x14ac:dyDescent="0.25">
      <c r="A71" s="15" t="s">
        <v>210</v>
      </c>
      <c r="B71" s="15">
        <f>VLOOKUP(A71,'[1]Master clients'!F68:W3615,17,0)</f>
        <v>0</v>
      </c>
      <c r="C71" s="15" t="str">
        <f>VLOOKUP(A71,'[1]Master clients'!F68:P3615,11,0)</f>
        <v>AV</v>
      </c>
      <c r="D71" s="15" t="str">
        <f>VLOOKUP(A71,'[1]Master clients'!F:M,8,0)</f>
        <v>End User</v>
      </c>
      <c r="E71" s="16" t="s">
        <v>211</v>
      </c>
      <c r="F71" s="16" t="s">
        <v>79</v>
      </c>
      <c r="G71" s="17">
        <v>6</v>
      </c>
      <c r="H71" s="17">
        <v>0</v>
      </c>
      <c r="I71" s="18">
        <v>7</v>
      </c>
      <c r="J71" s="18">
        <v>0</v>
      </c>
      <c r="K71" s="17">
        <v>0</v>
      </c>
      <c r="L71" s="17">
        <v>0</v>
      </c>
      <c r="M71" s="17">
        <v>0</v>
      </c>
      <c r="N71" s="17">
        <v>0</v>
      </c>
      <c r="O71" s="19">
        <v>0</v>
      </c>
      <c r="P71" s="19">
        <v>0</v>
      </c>
      <c r="Q71" s="19">
        <v>4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20">
        <v>0</v>
      </c>
      <c r="X71" s="20">
        <v>0</v>
      </c>
      <c r="Y71" s="19">
        <v>0</v>
      </c>
      <c r="Z71" s="19">
        <v>0</v>
      </c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>
        <v>0</v>
      </c>
      <c r="AI71" s="20">
        <v>0</v>
      </c>
      <c r="AJ71" s="20">
        <v>0</v>
      </c>
      <c r="AK71" s="19">
        <v>0</v>
      </c>
      <c r="AL71" s="20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>
        <v>0</v>
      </c>
      <c r="AS71" s="19">
        <v>0</v>
      </c>
      <c r="AT71" s="19">
        <v>0</v>
      </c>
      <c r="AU71" s="19">
        <v>0</v>
      </c>
      <c r="AV71" s="19">
        <v>0</v>
      </c>
      <c r="AW71" s="20">
        <v>0</v>
      </c>
      <c r="AX71" s="20">
        <v>0</v>
      </c>
      <c r="AY71" s="20">
        <v>0</v>
      </c>
      <c r="AZ71" s="19">
        <v>0</v>
      </c>
      <c r="BA71" s="19">
        <v>0</v>
      </c>
      <c r="BB71" s="19">
        <v>0</v>
      </c>
      <c r="BC71" s="19">
        <v>0</v>
      </c>
      <c r="BD71" s="19">
        <v>0</v>
      </c>
      <c r="BE71" s="21">
        <v>0</v>
      </c>
      <c r="BF71" s="21">
        <v>0</v>
      </c>
      <c r="BG71" s="19">
        <v>0</v>
      </c>
      <c r="BH71" s="19">
        <v>0</v>
      </c>
      <c r="BI71" s="22">
        <f t="shared" si="19"/>
        <v>0</v>
      </c>
      <c r="BJ71" s="22">
        <f t="shared" si="20"/>
        <v>4</v>
      </c>
      <c r="BK71" s="22">
        <f t="shared" si="21"/>
        <v>11</v>
      </c>
      <c r="BL71" s="22">
        <f t="shared" si="22"/>
        <v>7</v>
      </c>
      <c r="BM71" s="22">
        <f t="shared" si="17"/>
        <v>4</v>
      </c>
      <c r="BN71" s="23">
        <f t="shared" si="18"/>
        <v>1</v>
      </c>
      <c r="BO71" s="23">
        <f t="shared" si="18"/>
        <v>0</v>
      </c>
      <c r="BP71" s="7">
        <f>VLOOKUP(A71,[1]Sheet15!B:E,4,0)</f>
        <v>7</v>
      </c>
      <c r="BQ71" s="7">
        <f>VLOOKUP(A71,[1]Sheet15!B:E,3,0)</f>
        <v>0</v>
      </c>
    </row>
    <row r="72" spans="1:69" ht="22.5" customHeight="1" x14ac:dyDescent="0.25">
      <c r="A72" s="15" t="s">
        <v>212</v>
      </c>
      <c r="B72" s="15">
        <f>VLOOKUP(A72,'[1]Master clients'!F69:W3616,17,0)</f>
        <v>0</v>
      </c>
      <c r="C72" s="15" t="str">
        <f>VLOOKUP(A72,'[1]Master clients'!F69:P3616,11,0)</f>
        <v>AV</v>
      </c>
      <c r="D72" s="15" t="str">
        <f>VLOOKUP(A72,'[1]Master clients'!F:M,8,0)</f>
        <v>End User</v>
      </c>
      <c r="E72" s="16" t="s">
        <v>213</v>
      </c>
      <c r="F72" s="16" t="s">
        <v>79</v>
      </c>
      <c r="G72" s="17">
        <v>0</v>
      </c>
      <c r="H72" s="17">
        <v>0</v>
      </c>
      <c r="I72" s="18">
        <v>0</v>
      </c>
      <c r="J72" s="18">
        <v>0</v>
      </c>
      <c r="K72" s="17">
        <v>5</v>
      </c>
      <c r="L72" s="17">
        <v>0</v>
      </c>
      <c r="M72" s="17">
        <v>0</v>
      </c>
      <c r="N72" s="17">
        <v>0</v>
      </c>
      <c r="O72" s="19">
        <v>0</v>
      </c>
      <c r="P72" s="19">
        <v>0</v>
      </c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20">
        <v>0</v>
      </c>
      <c r="X72" s="20">
        <v>0</v>
      </c>
      <c r="Y72" s="19">
        <v>0</v>
      </c>
      <c r="Z72" s="19">
        <v>0</v>
      </c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>
        <v>0</v>
      </c>
      <c r="AI72" s="20">
        <v>0</v>
      </c>
      <c r="AJ72" s="20">
        <v>0</v>
      </c>
      <c r="AK72" s="19">
        <v>0</v>
      </c>
      <c r="AL72" s="20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>
        <v>0</v>
      </c>
      <c r="AS72" s="19">
        <v>0</v>
      </c>
      <c r="AT72" s="19">
        <v>0</v>
      </c>
      <c r="AU72" s="19">
        <v>0</v>
      </c>
      <c r="AV72" s="19">
        <v>0</v>
      </c>
      <c r="AW72" s="20">
        <v>0</v>
      </c>
      <c r="AX72" s="20">
        <v>0</v>
      </c>
      <c r="AY72" s="20">
        <v>0</v>
      </c>
      <c r="AZ72" s="19">
        <v>0</v>
      </c>
      <c r="BA72" s="19">
        <v>0</v>
      </c>
      <c r="BB72" s="19">
        <v>0</v>
      </c>
      <c r="BC72" s="19">
        <v>0</v>
      </c>
      <c r="BD72" s="19">
        <v>0</v>
      </c>
      <c r="BE72" s="21">
        <v>0</v>
      </c>
      <c r="BF72" s="21">
        <v>0</v>
      </c>
      <c r="BG72" s="19">
        <v>0</v>
      </c>
      <c r="BH72" s="19">
        <v>0</v>
      </c>
      <c r="BI72" s="22">
        <f t="shared" si="19"/>
        <v>5</v>
      </c>
      <c r="BJ72" s="22">
        <f t="shared" si="20"/>
        <v>0</v>
      </c>
      <c r="BK72" s="22">
        <f t="shared" si="21"/>
        <v>5</v>
      </c>
      <c r="BL72" s="22">
        <f t="shared" si="22"/>
        <v>5</v>
      </c>
      <c r="BM72" s="22">
        <f t="shared" si="17"/>
        <v>0</v>
      </c>
      <c r="BN72" s="23">
        <f t="shared" si="18"/>
        <v>0</v>
      </c>
      <c r="BO72" s="23" t="e">
        <f t="shared" si="18"/>
        <v>#DIV/0!</v>
      </c>
      <c r="BP72" s="7" t="e">
        <f>VLOOKUP(A72,[1]Sheet15!B:E,4,0)</f>
        <v>#N/A</v>
      </c>
      <c r="BQ72" s="7" t="e">
        <f>VLOOKUP(A72,[1]Sheet15!B:E,3,0)</f>
        <v>#N/A</v>
      </c>
    </row>
    <row r="73" spans="1:69" ht="22.5" customHeight="1" x14ac:dyDescent="0.25">
      <c r="A73" s="15" t="s">
        <v>214</v>
      </c>
      <c r="B73" s="15">
        <f>VLOOKUP(A73,'[1]Master clients'!F70:W3617,17,0)</f>
        <v>0</v>
      </c>
      <c r="C73" s="15" t="str">
        <f>VLOOKUP(A73,'[1]Master clients'!F70:P3617,11,0)</f>
        <v>NI</v>
      </c>
      <c r="D73" s="15" t="str">
        <f>VLOOKUP(A73,'[1]Master clients'!F:M,8,0)</f>
        <v>End User</v>
      </c>
      <c r="E73" s="24" t="s">
        <v>215</v>
      </c>
      <c r="F73" s="25" t="s">
        <v>216</v>
      </c>
      <c r="G73" s="20">
        <v>0</v>
      </c>
      <c r="H73" s="20">
        <v>0</v>
      </c>
      <c r="I73" s="26">
        <v>6</v>
      </c>
      <c r="J73" s="26">
        <v>8</v>
      </c>
      <c r="K73" s="20">
        <v>0</v>
      </c>
      <c r="L73" s="20">
        <v>3</v>
      </c>
      <c r="M73" s="20">
        <v>0</v>
      </c>
      <c r="N73" s="20">
        <v>0</v>
      </c>
      <c r="O73" s="20">
        <v>0</v>
      </c>
      <c r="P73" s="20">
        <v>0</v>
      </c>
      <c r="Q73" s="20">
        <v>0</v>
      </c>
      <c r="R73" s="20">
        <v>0</v>
      </c>
      <c r="S73" s="20">
        <v>0</v>
      </c>
      <c r="T73" s="20">
        <v>0</v>
      </c>
      <c r="U73" s="20">
        <v>0</v>
      </c>
      <c r="V73" s="20">
        <v>0</v>
      </c>
      <c r="W73" s="20">
        <v>0</v>
      </c>
      <c r="X73" s="20">
        <v>0</v>
      </c>
      <c r="Y73" s="20">
        <v>0</v>
      </c>
      <c r="Z73" s="20">
        <v>0</v>
      </c>
      <c r="AA73" s="20">
        <v>0</v>
      </c>
      <c r="AB73" s="20">
        <v>0</v>
      </c>
      <c r="AC73" s="20">
        <v>0</v>
      </c>
      <c r="AD73" s="20">
        <v>0</v>
      </c>
      <c r="AE73" s="20">
        <v>0</v>
      </c>
      <c r="AF73" s="20">
        <v>0</v>
      </c>
      <c r="AG73" s="20">
        <v>0</v>
      </c>
      <c r="AH73" s="20">
        <v>0</v>
      </c>
      <c r="AI73" s="20">
        <v>0</v>
      </c>
      <c r="AJ73" s="20">
        <v>0</v>
      </c>
      <c r="AK73" s="20">
        <v>0</v>
      </c>
      <c r="AL73" s="20">
        <v>0</v>
      </c>
      <c r="AM73" s="20">
        <v>0</v>
      </c>
      <c r="AN73" s="20">
        <v>0</v>
      </c>
      <c r="AO73" s="20">
        <v>0</v>
      </c>
      <c r="AP73" s="20">
        <v>0</v>
      </c>
      <c r="AQ73" s="20">
        <v>0</v>
      </c>
      <c r="AR73" s="20">
        <v>0</v>
      </c>
      <c r="AS73" s="20">
        <v>0</v>
      </c>
      <c r="AT73" s="20">
        <v>0</v>
      </c>
      <c r="AU73" s="20">
        <v>0</v>
      </c>
      <c r="AV73" s="20">
        <v>0</v>
      </c>
      <c r="AW73" s="20">
        <v>0</v>
      </c>
      <c r="AX73" s="20">
        <v>0</v>
      </c>
      <c r="AY73" s="20">
        <v>0</v>
      </c>
      <c r="AZ73" s="20">
        <v>0</v>
      </c>
      <c r="BA73" s="20">
        <v>0</v>
      </c>
      <c r="BB73" s="27">
        <v>0</v>
      </c>
      <c r="BC73" s="20">
        <v>0</v>
      </c>
      <c r="BD73" s="20">
        <v>0</v>
      </c>
      <c r="BE73" s="21">
        <v>0</v>
      </c>
      <c r="BF73" s="21">
        <v>0</v>
      </c>
      <c r="BG73" s="20">
        <v>0</v>
      </c>
      <c r="BH73" s="20">
        <v>0</v>
      </c>
      <c r="BI73" s="22">
        <f t="shared" si="19"/>
        <v>3</v>
      </c>
      <c r="BJ73" s="22">
        <f t="shared" si="20"/>
        <v>0</v>
      </c>
      <c r="BK73" s="28">
        <f t="shared" si="21"/>
        <v>17</v>
      </c>
      <c r="BL73" s="22">
        <f t="shared" si="22"/>
        <v>9</v>
      </c>
      <c r="BM73" s="22">
        <f t="shared" si="17"/>
        <v>8</v>
      </c>
      <c r="BN73" s="23">
        <f t="shared" si="18"/>
        <v>0.66666666666666663</v>
      </c>
      <c r="BO73" s="23">
        <f t="shared" si="18"/>
        <v>1</v>
      </c>
      <c r="BP73" s="7" t="e">
        <f>VLOOKUP(A73,[1]Sheet15!B:E,4,0)</f>
        <v>#N/A</v>
      </c>
      <c r="BQ73" s="7" t="e">
        <f>VLOOKUP(A73,[1]Sheet15!B:E,3,0)</f>
        <v>#N/A</v>
      </c>
    </row>
    <row r="74" spans="1:69" ht="30" customHeight="1" x14ac:dyDescent="0.25">
      <c r="A74" s="15" t="s">
        <v>217</v>
      </c>
      <c r="B74" s="15">
        <f>VLOOKUP(A74,'[1]Master clients'!F71:W3618,17,0)</f>
        <v>0</v>
      </c>
      <c r="C74" s="15" t="str">
        <f>VLOOKUP(A74,'[1]Master clients'!F71:P3618,11,0)</f>
        <v>NI</v>
      </c>
      <c r="D74" s="15" t="str">
        <f>VLOOKUP(A74,'[1]Master clients'!F:M,8,0)</f>
        <v>End User</v>
      </c>
      <c r="E74" s="24" t="s">
        <v>218</v>
      </c>
      <c r="F74" s="25" t="s">
        <v>219</v>
      </c>
      <c r="G74" s="20"/>
      <c r="H74" s="20"/>
      <c r="I74" s="26">
        <v>1</v>
      </c>
      <c r="J74" s="26">
        <v>0</v>
      </c>
      <c r="K74" s="20">
        <v>0</v>
      </c>
      <c r="L74" s="20">
        <v>0</v>
      </c>
      <c r="M74" s="20">
        <v>0</v>
      </c>
      <c r="N74" s="20">
        <v>0</v>
      </c>
      <c r="O74" s="20">
        <v>0</v>
      </c>
      <c r="P74" s="20">
        <v>0</v>
      </c>
      <c r="Q74" s="20">
        <v>0</v>
      </c>
      <c r="R74" s="20">
        <v>0</v>
      </c>
      <c r="S74" s="20">
        <v>0</v>
      </c>
      <c r="T74" s="20">
        <v>0</v>
      </c>
      <c r="U74" s="20">
        <v>0</v>
      </c>
      <c r="V74" s="20">
        <v>0</v>
      </c>
      <c r="W74" s="20">
        <v>0</v>
      </c>
      <c r="X74" s="20">
        <v>0</v>
      </c>
      <c r="Y74" s="20">
        <v>0</v>
      </c>
      <c r="Z74" s="20">
        <v>0</v>
      </c>
      <c r="AA74" s="20">
        <v>0</v>
      </c>
      <c r="AB74" s="20">
        <v>0</v>
      </c>
      <c r="AC74" s="20">
        <v>0</v>
      </c>
      <c r="AD74" s="20">
        <v>0</v>
      </c>
      <c r="AE74" s="20">
        <v>0</v>
      </c>
      <c r="AF74" s="20">
        <v>0</v>
      </c>
      <c r="AG74" s="20">
        <v>0</v>
      </c>
      <c r="AH74" s="20">
        <v>0</v>
      </c>
      <c r="AI74" s="20">
        <v>0</v>
      </c>
      <c r="AJ74" s="20">
        <v>0</v>
      </c>
      <c r="AK74" s="20">
        <v>0</v>
      </c>
      <c r="AL74" s="20">
        <v>0</v>
      </c>
      <c r="AM74" s="20">
        <v>0</v>
      </c>
      <c r="AN74" s="20">
        <v>0</v>
      </c>
      <c r="AO74" s="20">
        <v>0</v>
      </c>
      <c r="AP74" s="20">
        <v>0</v>
      </c>
      <c r="AQ74" s="20">
        <v>0</v>
      </c>
      <c r="AR74" s="20">
        <v>0</v>
      </c>
      <c r="AS74" s="20">
        <v>0</v>
      </c>
      <c r="AT74" s="20">
        <v>0</v>
      </c>
      <c r="AU74" s="20">
        <v>0</v>
      </c>
      <c r="AV74" s="20">
        <v>0</v>
      </c>
      <c r="AW74" s="20">
        <v>0</v>
      </c>
      <c r="AX74" s="20">
        <v>0</v>
      </c>
      <c r="AY74" s="20">
        <v>0</v>
      </c>
      <c r="AZ74" s="20">
        <v>0</v>
      </c>
      <c r="BA74" s="20">
        <v>0</v>
      </c>
      <c r="BB74" s="27">
        <v>0</v>
      </c>
      <c r="BC74" s="20">
        <v>0</v>
      </c>
      <c r="BD74" s="20">
        <v>0</v>
      </c>
      <c r="BE74" s="21">
        <v>0</v>
      </c>
      <c r="BF74" s="21">
        <v>0</v>
      </c>
      <c r="BG74" s="20">
        <v>0</v>
      </c>
      <c r="BH74" s="20">
        <v>0</v>
      </c>
      <c r="BI74" s="22">
        <f t="shared" si="19"/>
        <v>0</v>
      </c>
      <c r="BJ74" s="22">
        <f t="shared" si="20"/>
        <v>0</v>
      </c>
      <c r="BK74" s="28">
        <f t="shared" si="21"/>
        <v>1</v>
      </c>
      <c r="BL74" s="22">
        <f t="shared" si="22"/>
        <v>1</v>
      </c>
      <c r="BM74" s="22">
        <f t="shared" si="17"/>
        <v>0</v>
      </c>
      <c r="BN74" s="23">
        <f t="shared" si="18"/>
        <v>1</v>
      </c>
      <c r="BO74" s="23" t="e">
        <f t="shared" si="18"/>
        <v>#DIV/0!</v>
      </c>
      <c r="BP74" s="7">
        <f>VLOOKUP(A74,[1]Sheet15!B:E,4,0)</f>
        <v>1</v>
      </c>
      <c r="BQ74" s="7">
        <f>VLOOKUP(A74,[1]Sheet15!B:E,3,0)</f>
        <v>0</v>
      </c>
    </row>
    <row r="75" spans="1:69" ht="22.5" customHeight="1" x14ac:dyDescent="0.25">
      <c r="A75" s="15" t="s">
        <v>220</v>
      </c>
      <c r="B75" s="15">
        <f>VLOOKUP(A75,'[1]Master clients'!F72:W3619,17,0)</f>
        <v>0</v>
      </c>
      <c r="C75" s="15" t="str">
        <f>VLOOKUP(A75,'[1]Master clients'!F72:P3619,11,0)</f>
        <v>NI</v>
      </c>
      <c r="D75" s="15" t="str">
        <f>VLOOKUP(A75,'[1]Master clients'!F:M,8,0)</f>
        <v>End User</v>
      </c>
      <c r="E75" s="24" t="s">
        <v>221</v>
      </c>
      <c r="F75" s="25" t="s">
        <v>219</v>
      </c>
      <c r="G75" s="20">
        <v>0</v>
      </c>
      <c r="H75" s="20">
        <v>0</v>
      </c>
      <c r="I75" s="26">
        <v>1</v>
      </c>
      <c r="J75" s="26">
        <v>0</v>
      </c>
      <c r="K75" s="20">
        <v>0</v>
      </c>
      <c r="L75" s="20">
        <v>2</v>
      </c>
      <c r="M75" s="20">
        <v>0</v>
      </c>
      <c r="N75" s="20">
        <v>0</v>
      </c>
      <c r="O75" s="20">
        <v>0</v>
      </c>
      <c r="P75" s="20">
        <v>0</v>
      </c>
      <c r="Q75" s="20">
        <v>0</v>
      </c>
      <c r="R75" s="20">
        <v>0</v>
      </c>
      <c r="S75" s="20">
        <v>0</v>
      </c>
      <c r="T75" s="20">
        <v>0</v>
      </c>
      <c r="U75" s="20">
        <v>0</v>
      </c>
      <c r="V75" s="20">
        <v>0</v>
      </c>
      <c r="W75" s="20">
        <v>0</v>
      </c>
      <c r="X75" s="20">
        <v>0</v>
      </c>
      <c r="Y75" s="20">
        <v>0</v>
      </c>
      <c r="Z75" s="20">
        <v>0</v>
      </c>
      <c r="AA75" s="20">
        <v>0</v>
      </c>
      <c r="AB75" s="20">
        <v>0</v>
      </c>
      <c r="AC75" s="20">
        <v>0</v>
      </c>
      <c r="AD75" s="20">
        <v>0</v>
      </c>
      <c r="AE75" s="20">
        <v>0</v>
      </c>
      <c r="AF75" s="20">
        <v>0</v>
      </c>
      <c r="AG75" s="20">
        <v>0</v>
      </c>
      <c r="AH75" s="20">
        <v>0</v>
      </c>
      <c r="AI75" s="20">
        <v>0</v>
      </c>
      <c r="AJ75" s="20">
        <v>0</v>
      </c>
      <c r="AK75" s="20">
        <v>0</v>
      </c>
      <c r="AL75" s="20">
        <v>0</v>
      </c>
      <c r="AM75" s="20">
        <v>0</v>
      </c>
      <c r="AN75" s="20">
        <v>0</v>
      </c>
      <c r="AO75" s="20">
        <v>0</v>
      </c>
      <c r="AP75" s="20">
        <v>0</v>
      </c>
      <c r="AQ75" s="20">
        <v>0</v>
      </c>
      <c r="AR75" s="20">
        <v>0</v>
      </c>
      <c r="AS75" s="20">
        <v>0</v>
      </c>
      <c r="AT75" s="20">
        <v>0</v>
      </c>
      <c r="AU75" s="20">
        <v>0</v>
      </c>
      <c r="AV75" s="20">
        <v>0</v>
      </c>
      <c r="AW75" s="20">
        <v>0</v>
      </c>
      <c r="AX75" s="20">
        <v>0</v>
      </c>
      <c r="AY75" s="20">
        <v>0</v>
      </c>
      <c r="AZ75" s="20">
        <v>0</v>
      </c>
      <c r="BA75" s="20">
        <v>0</v>
      </c>
      <c r="BB75" s="27">
        <v>0</v>
      </c>
      <c r="BC75" s="20">
        <v>0</v>
      </c>
      <c r="BD75" s="20">
        <v>0</v>
      </c>
      <c r="BE75" s="21">
        <v>0</v>
      </c>
      <c r="BF75" s="21">
        <v>0</v>
      </c>
      <c r="BG75" s="20">
        <v>0</v>
      </c>
      <c r="BH75" s="20">
        <v>0</v>
      </c>
      <c r="BI75" s="22">
        <f t="shared" si="19"/>
        <v>2</v>
      </c>
      <c r="BJ75" s="22">
        <f t="shared" si="20"/>
        <v>0</v>
      </c>
      <c r="BK75" s="28">
        <f t="shared" si="21"/>
        <v>3</v>
      </c>
      <c r="BL75" s="22">
        <f t="shared" si="22"/>
        <v>3</v>
      </c>
      <c r="BM75" s="22">
        <f t="shared" si="17"/>
        <v>0</v>
      </c>
      <c r="BN75" s="23">
        <f t="shared" si="18"/>
        <v>0.33333333333333331</v>
      </c>
      <c r="BO75" s="23" t="e">
        <f t="shared" si="18"/>
        <v>#DIV/0!</v>
      </c>
      <c r="BP75" s="7">
        <f>VLOOKUP(A75,[1]Sheet15!B:E,4,0)</f>
        <v>1</v>
      </c>
      <c r="BQ75" s="7">
        <f>VLOOKUP(A75,[1]Sheet15!B:E,3,0)</f>
        <v>0</v>
      </c>
    </row>
    <row r="76" spans="1:69" ht="22.5" customHeight="1" x14ac:dyDescent="0.25">
      <c r="A76" s="15" t="s">
        <v>222</v>
      </c>
      <c r="B76" s="15">
        <f>VLOOKUP(A76,'[1]Master clients'!F73:W3620,17,0)</f>
        <v>0</v>
      </c>
      <c r="C76" s="15" t="str">
        <f>VLOOKUP(A76,'[1]Master clients'!F73:P3620,11,0)</f>
        <v>NI</v>
      </c>
      <c r="D76" s="15" t="str">
        <f>VLOOKUP(A76,'[1]Master clients'!F:M,8,0)</f>
        <v>End User</v>
      </c>
      <c r="E76" s="16" t="s">
        <v>223</v>
      </c>
      <c r="F76" s="16" t="s">
        <v>224</v>
      </c>
      <c r="G76" s="17"/>
      <c r="H76" s="17"/>
      <c r="I76" s="31">
        <v>9</v>
      </c>
      <c r="J76" s="31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  <c r="AE76" s="17">
        <v>0</v>
      </c>
      <c r="AF76" s="17">
        <v>0</v>
      </c>
      <c r="AG76" s="17">
        <v>0</v>
      </c>
      <c r="AH76" s="17">
        <v>0</v>
      </c>
      <c r="AI76" s="17">
        <v>0</v>
      </c>
      <c r="AJ76" s="17">
        <v>0</v>
      </c>
      <c r="AK76" s="17">
        <v>0</v>
      </c>
      <c r="AL76" s="17">
        <v>0</v>
      </c>
      <c r="AM76" s="17">
        <v>0</v>
      </c>
      <c r="AN76" s="17">
        <v>0</v>
      </c>
      <c r="AO76" s="17">
        <v>0</v>
      </c>
      <c r="AP76" s="17">
        <v>0</v>
      </c>
      <c r="AQ76" s="17">
        <v>0</v>
      </c>
      <c r="AR76" s="17">
        <v>0</v>
      </c>
      <c r="AS76" s="17">
        <v>0</v>
      </c>
      <c r="AT76" s="17">
        <v>0</v>
      </c>
      <c r="AU76" s="17">
        <v>0</v>
      </c>
      <c r="AV76" s="17">
        <v>0</v>
      </c>
      <c r="AW76" s="17">
        <v>0</v>
      </c>
      <c r="AX76" s="17">
        <v>0</v>
      </c>
      <c r="AY76" s="17">
        <v>0</v>
      </c>
      <c r="AZ76" s="17">
        <v>0</v>
      </c>
      <c r="BA76" s="17">
        <v>0</v>
      </c>
      <c r="BB76" s="17">
        <v>0</v>
      </c>
      <c r="BC76" s="17">
        <v>0</v>
      </c>
      <c r="BD76" s="17">
        <v>0</v>
      </c>
      <c r="BE76" s="17">
        <v>0</v>
      </c>
      <c r="BF76" s="17">
        <v>0</v>
      </c>
      <c r="BG76" s="17">
        <v>0</v>
      </c>
      <c r="BH76" s="17">
        <v>0</v>
      </c>
      <c r="BI76" s="22">
        <f t="shared" si="19"/>
        <v>0</v>
      </c>
      <c r="BJ76" s="22">
        <f t="shared" si="20"/>
        <v>0</v>
      </c>
      <c r="BK76" s="22">
        <f t="shared" si="21"/>
        <v>9</v>
      </c>
      <c r="BL76" s="22">
        <f t="shared" si="22"/>
        <v>9</v>
      </c>
      <c r="BM76" s="22">
        <f t="shared" si="17"/>
        <v>0</v>
      </c>
      <c r="BN76" s="23">
        <f t="shared" si="18"/>
        <v>1</v>
      </c>
      <c r="BO76" s="23" t="e">
        <f t="shared" si="18"/>
        <v>#DIV/0!</v>
      </c>
      <c r="BP76" s="7">
        <f>VLOOKUP(A76,[1]Sheet15!B:E,4,0)</f>
        <v>9</v>
      </c>
      <c r="BQ76" s="7">
        <f>VLOOKUP(A76,[1]Sheet15!B:E,3,0)</f>
        <v>0</v>
      </c>
    </row>
    <row r="77" spans="1:69" ht="22.5" customHeight="1" x14ac:dyDescent="0.25">
      <c r="A77" s="15" t="s">
        <v>225</v>
      </c>
      <c r="B77" s="15">
        <f>VLOOKUP(A77,'[1]Master clients'!F74:W3621,17,0)</f>
        <v>0</v>
      </c>
      <c r="C77" s="15" t="str">
        <f>VLOOKUP(A77,'[1]Master clients'!F74:P3621,11,0)</f>
        <v>NI</v>
      </c>
      <c r="D77" s="15" t="str">
        <f>VLOOKUP(A77,'[1]Master clients'!F:M,8,0)</f>
        <v>Group (Mills)</v>
      </c>
      <c r="E77" s="24" t="s">
        <v>226</v>
      </c>
      <c r="F77" s="25" t="s">
        <v>224</v>
      </c>
      <c r="G77" s="20">
        <v>0</v>
      </c>
      <c r="H77" s="20">
        <v>0</v>
      </c>
      <c r="I77" s="26">
        <v>21</v>
      </c>
      <c r="J77" s="26">
        <v>0</v>
      </c>
      <c r="K77" s="20">
        <v>0</v>
      </c>
      <c r="L77" s="20">
        <v>0</v>
      </c>
      <c r="M77" s="20">
        <v>0</v>
      </c>
      <c r="N77" s="20">
        <v>0</v>
      </c>
      <c r="O77" s="20">
        <v>0</v>
      </c>
      <c r="P77" s="20">
        <v>0</v>
      </c>
      <c r="Q77" s="20">
        <v>14</v>
      </c>
      <c r="R77" s="20">
        <v>0</v>
      </c>
      <c r="S77" s="20">
        <v>0</v>
      </c>
      <c r="T77" s="20">
        <v>0</v>
      </c>
      <c r="U77" s="20">
        <v>0</v>
      </c>
      <c r="V77" s="20">
        <v>0</v>
      </c>
      <c r="W77" s="20">
        <v>0</v>
      </c>
      <c r="X77" s="20">
        <v>0</v>
      </c>
      <c r="Y77" s="20">
        <v>0</v>
      </c>
      <c r="Z77" s="20">
        <v>0</v>
      </c>
      <c r="AA77" s="20">
        <v>0</v>
      </c>
      <c r="AB77" s="20">
        <v>0</v>
      </c>
      <c r="AC77" s="20">
        <v>0</v>
      </c>
      <c r="AD77" s="20">
        <v>0</v>
      </c>
      <c r="AE77" s="20">
        <v>0</v>
      </c>
      <c r="AF77" s="20">
        <v>0</v>
      </c>
      <c r="AG77" s="20">
        <v>0</v>
      </c>
      <c r="AH77" s="20">
        <v>0</v>
      </c>
      <c r="AI77" s="20">
        <v>0</v>
      </c>
      <c r="AJ77" s="20">
        <v>0</v>
      </c>
      <c r="AK77" s="20">
        <v>0</v>
      </c>
      <c r="AL77" s="20">
        <v>0</v>
      </c>
      <c r="AM77" s="20">
        <v>0</v>
      </c>
      <c r="AN77" s="20">
        <v>0</v>
      </c>
      <c r="AO77" s="20">
        <v>0</v>
      </c>
      <c r="AP77" s="20">
        <v>0</v>
      </c>
      <c r="AQ77" s="20">
        <v>0</v>
      </c>
      <c r="AR77" s="20">
        <v>0</v>
      </c>
      <c r="AS77" s="20">
        <v>0</v>
      </c>
      <c r="AT77" s="20">
        <v>0</v>
      </c>
      <c r="AU77" s="20">
        <v>0</v>
      </c>
      <c r="AV77" s="20">
        <v>0</v>
      </c>
      <c r="AW77" s="20">
        <v>0</v>
      </c>
      <c r="AX77" s="20">
        <v>0</v>
      </c>
      <c r="AY77" s="20">
        <v>0</v>
      </c>
      <c r="AZ77" s="20">
        <v>0</v>
      </c>
      <c r="BA77" s="20">
        <v>0</v>
      </c>
      <c r="BB77" s="27">
        <v>0</v>
      </c>
      <c r="BC77" s="20">
        <v>0</v>
      </c>
      <c r="BD77" s="20">
        <v>0</v>
      </c>
      <c r="BE77" s="21">
        <v>0</v>
      </c>
      <c r="BF77" s="21">
        <v>0</v>
      </c>
      <c r="BG77" s="20">
        <v>0</v>
      </c>
      <c r="BH77" s="20">
        <v>0</v>
      </c>
      <c r="BI77" s="22">
        <f t="shared" si="19"/>
        <v>0</v>
      </c>
      <c r="BJ77" s="22">
        <f t="shared" si="20"/>
        <v>14</v>
      </c>
      <c r="BK77" s="28">
        <f t="shared" si="21"/>
        <v>35</v>
      </c>
      <c r="BL77" s="22">
        <f t="shared" si="22"/>
        <v>21</v>
      </c>
      <c r="BM77" s="22">
        <f t="shared" si="17"/>
        <v>14</v>
      </c>
      <c r="BN77" s="23">
        <f t="shared" si="18"/>
        <v>1</v>
      </c>
      <c r="BO77" s="23">
        <f t="shared" si="18"/>
        <v>0</v>
      </c>
      <c r="BP77" s="7">
        <f>VLOOKUP(A77,[1]Sheet15!B:E,4,0)</f>
        <v>1</v>
      </c>
      <c r="BQ77" s="7">
        <f>VLOOKUP(A77,[1]Sheet15!B:E,3,0)</f>
        <v>0</v>
      </c>
    </row>
    <row r="78" spans="1:69" ht="22.5" customHeight="1" x14ac:dyDescent="0.25">
      <c r="A78" s="32" t="s">
        <v>227</v>
      </c>
      <c r="B78" s="15" t="str">
        <f>VLOOKUP(A78,'[1]Master clients'!F75:W3622,17,0)</f>
        <v>Feb</v>
      </c>
      <c r="C78" s="15" t="str">
        <f>VLOOKUP(A78,'[1]Master clients'!F75:P3622,11,0)</f>
        <v>NI</v>
      </c>
      <c r="D78" s="15" t="str">
        <f>VLOOKUP(A78,'[1]Master clients'!F:M,8,0)</f>
        <v>Group (Mills)</v>
      </c>
      <c r="E78" s="33" t="s">
        <v>228</v>
      </c>
      <c r="F78" s="25" t="s">
        <v>229</v>
      </c>
      <c r="G78" s="20">
        <v>0</v>
      </c>
      <c r="H78" s="20">
        <v>0</v>
      </c>
      <c r="I78" s="26">
        <v>17</v>
      </c>
      <c r="J78" s="26">
        <v>5</v>
      </c>
      <c r="K78" s="20">
        <v>6</v>
      </c>
      <c r="L78" s="20">
        <v>0</v>
      </c>
      <c r="M78" s="20">
        <v>0</v>
      </c>
      <c r="N78" s="20">
        <v>0</v>
      </c>
      <c r="O78" s="20">
        <v>5</v>
      </c>
      <c r="P78" s="20">
        <v>0</v>
      </c>
      <c r="Q78" s="20">
        <v>4</v>
      </c>
      <c r="R78" s="20">
        <v>0</v>
      </c>
      <c r="S78" s="20">
        <v>0</v>
      </c>
      <c r="T78" s="20">
        <v>0</v>
      </c>
      <c r="U78" s="20">
        <v>0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D78" s="20">
        <v>0</v>
      </c>
      <c r="AE78" s="20">
        <v>0</v>
      </c>
      <c r="AF78" s="20">
        <v>0</v>
      </c>
      <c r="AG78" s="20">
        <v>0</v>
      </c>
      <c r="AH78" s="20">
        <v>0</v>
      </c>
      <c r="AI78" s="20">
        <v>0</v>
      </c>
      <c r="AJ78" s="20">
        <v>0</v>
      </c>
      <c r="AK78" s="20">
        <v>0</v>
      </c>
      <c r="AL78" s="20">
        <v>0</v>
      </c>
      <c r="AM78" s="20">
        <v>0</v>
      </c>
      <c r="AN78" s="20">
        <v>0</v>
      </c>
      <c r="AO78" s="20">
        <v>0</v>
      </c>
      <c r="AP78" s="20">
        <v>0</v>
      </c>
      <c r="AQ78" s="20">
        <v>0</v>
      </c>
      <c r="AR78" s="20">
        <v>0</v>
      </c>
      <c r="AS78" s="20">
        <v>0</v>
      </c>
      <c r="AT78" s="20">
        <v>0</v>
      </c>
      <c r="AU78" s="20">
        <v>0</v>
      </c>
      <c r="AV78" s="20">
        <v>0</v>
      </c>
      <c r="AW78" s="20">
        <v>0</v>
      </c>
      <c r="AX78" s="20">
        <v>0</v>
      </c>
      <c r="AY78" s="20">
        <v>0</v>
      </c>
      <c r="AZ78" s="20">
        <v>0</v>
      </c>
      <c r="BA78" s="20">
        <v>0</v>
      </c>
      <c r="BB78" s="27">
        <v>0</v>
      </c>
      <c r="BC78" s="20">
        <v>0</v>
      </c>
      <c r="BD78" s="20">
        <v>0</v>
      </c>
      <c r="BE78" s="21">
        <v>0</v>
      </c>
      <c r="BF78" s="21">
        <v>0</v>
      </c>
      <c r="BG78" s="20">
        <v>0</v>
      </c>
      <c r="BH78" s="20">
        <v>0</v>
      </c>
      <c r="BI78" s="22">
        <f t="shared" si="19"/>
        <v>6</v>
      </c>
      <c r="BJ78" s="22">
        <f t="shared" si="20"/>
        <v>9</v>
      </c>
      <c r="BK78" s="28">
        <f t="shared" si="21"/>
        <v>37</v>
      </c>
      <c r="BL78" s="22">
        <f t="shared" si="22"/>
        <v>23</v>
      </c>
      <c r="BM78" s="22">
        <f t="shared" si="17"/>
        <v>14</v>
      </c>
      <c r="BN78" s="23">
        <f t="shared" si="18"/>
        <v>0.73913043478260865</v>
      </c>
      <c r="BO78" s="23">
        <f t="shared" si="18"/>
        <v>0.35714285714285715</v>
      </c>
      <c r="BP78" s="7">
        <f>VLOOKUP(A78,[1]Sheet15!B:E,4,0)</f>
        <v>6</v>
      </c>
      <c r="BQ78" s="7">
        <f>VLOOKUP(A78,[1]Sheet15!B:E,3,0)</f>
        <v>1</v>
      </c>
    </row>
    <row r="79" spans="1:69" ht="22.5" customHeight="1" x14ac:dyDescent="0.25">
      <c r="A79" s="15" t="s">
        <v>230</v>
      </c>
      <c r="B79" s="15">
        <f>VLOOKUP(A79,'[1]Master clients'!F76:W3623,17,0)</f>
        <v>0</v>
      </c>
      <c r="C79" s="15" t="str">
        <f>VLOOKUP(A79,'[1]Master clients'!F76:P3623,11,0)</f>
        <v>NI</v>
      </c>
      <c r="D79" s="15" t="str">
        <f>VLOOKUP(A79,'[1]Master clients'!F:M,8,0)</f>
        <v>End User</v>
      </c>
      <c r="E79" s="24" t="s">
        <v>231</v>
      </c>
      <c r="F79" s="25" t="s">
        <v>229</v>
      </c>
      <c r="G79" s="20">
        <v>0</v>
      </c>
      <c r="H79" s="20">
        <v>0</v>
      </c>
      <c r="I79" s="26">
        <v>12</v>
      </c>
      <c r="J79" s="26">
        <v>0</v>
      </c>
      <c r="K79" s="20">
        <v>0</v>
      </c>
      <c r="L79" s="20">
        <v>0</v>
      </c>
      <c r="M79" s="20">
        <v>0</v>
      </c>
      <c r="N79" s="20">
        <v>0</v>
      </c>
      <c r="O79" s="20">
        <v>9</v>
      </c>
      <c r="P79" s="20">
        <v>0</v>
      </c>
      <c r="Q79" s="20">
        <v>0</v>
      </c>
      <c r="R79" s="20">
        <v>0</v>
      </c>
      <c r="S79" s="20">
        <v>0</v>
      </c>
      <c r="T79" s="20">
        <v>12</v>
      </c>
      <c r="U79" s="20">
        <v>0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20">
        <v>0</v>
      </c>
      <c r="AD79" s="20">
        <v>0</v>
      </c>
      <c r="AE79" s="20">
        <v>0</v>
      </c>
      <c r="AF79" s="20">
        <v>0</v>
      </c>
      <c r="AG79" s="20">
        <v>0</v>
      </c>
      <c r="AH79" s="20">
        <v>0</v>
      </c>
      <c r="AI79" s="20">
        <v>0</v>
      </c>
      <c r="AJ79" s="20">
        <v>0</v>
      </c>
      <c r="AK79" s="20">
        <v>0</v>
      </c>
      <c r="AL79" s="20">
        <v>0</v>
      </c>
      <c r="AM79" s="20">
        <v>0</v>
      </c>
      <c r="AN79" s="20">
        <v>0</v>
      </c>
      <c r="AO79" s="20">
        <v>0</v>
      </c>
      <c r="AP79" s="20">
        <v>0</v>
      </c>
      <c r="AQ79" s="20">
        <v>0</v>
      </c>
      <c r="AR79" s="20">
        <v>0</v>
      </c>
      <c r="AS79" s="20">
        <v>0</v>
      </c>
      <c r="AT79" s="20">
        <v>0</v>
      </c>
      <c r="AU79" s="20">
        <v>0</v>
      </c>
      <c r="AV79" s="20">
        <v>0</v>
      </c>
      <c r="AW79" s="20">
        <v>0</v>
      </c>
      <c r="AX79" s="20">
        <v>0</v>
      </c>
      <c r="AY79" s="20">
        <v>0</v>
      </c>
      <c r="AZ79" s="20">
        <v>0</v>
      </c>
      <c r="BA79" s="20">
        <v>0</v>
      </c>
      <c r="BB79" s="27">
        <v>0</v>
      </c>
      <c r="BC79" s="20">
        <v>0</v>
      </c>
      <c r="BD79" s="20">
        <v>0</v>
      </c>
      <c r="BE79" s="21">
        <v>0</v>
      </c>
      <c r="BF79" s="21">
        <v>0</v>
      </c>
      <c r="BG79" s="20">
        <v>0</v>
      </c>
      <c r="BH79" s="20">
        <v>0</v>
      </c>
      <c r="BI79" s="22">
        <f t="shared" si="19"/>
        <v>12</v>
      </c>
      <c r="BJ79" s="22">
        <f t="shared" si="20"/>
        <v>9</v>
      </c>
      <c r="BK79" s="28">
        <f t="shared" si="21"/>
        <v>33</v>
      </c>
      <c r="BL79" s="22">
        <f t="shared" si="22"/>
        <v>24</v>
      </c>
      <c r="BM79" s="22">
        <f t="shared" si="17"/>
        <v>9</v>
      </c>
      <c r="BN79" s="23">
        <f t="shared" si="18"/>
        <v>0.5</v>
      </c>
      <c r="BO79" s="23">
        <f t="shared" si="18"/>
        <v>0</v>
      </c>
      <c r="BP79" s="7">
        <f>VLOOKUP(A79,[1]Sheet15!B:E,4,0)</f>
        <v>5</v>
      </c>
      <c r="BQ79" s="7">
        <f>VLOOKUP(A79,[1]Sheet15!B:E,3,0)</f>
        <v>0</v>
      </c>
    </row>
    <row r="80" spans="1:69" ht="22.5" customHeight="1" x14ac:dyDescent="0.25">
      <c r="A80" s="15" t="s">
        <v>232</v>
      </c>
      <c r="B80" s="15" t="str">
        <f>VLOOKUP(A80,'[1]Master clients'!F77:W3624,17,0)</f>
        <v>May</v>
      </c>
      <c r="C80" s="15" t="str">
        <f>VLOOKUP(A80,'[1]Master clients'!F77:P3624,11,0)</f>
        <v>AV</v>
      </c>
      <c r="D80" s="15" t="str">
        <f>VLOOKUP(A80,'[1]Master clients'!F:M,8,0)</f>
        <v>End User</v>
      </c>
      <c r="E80" s="16" t="s">
        <v>233</v>
      </c>
      <c r="F80" s="16" t="s">
        <v>234</v>
      </c>
      <c r="G80" s="17">
        <v>10</v>
      </c>
      <c r="H80" s="17">
        <v>0</v>
      </c>
      <c r="I80" s="18">
        <v>10</v>
      </c>
      <c r="J80" s="18">
        <v>0</v>
      </c>
      <c r="K80" s="17">
        <v>12</v>
      </c>
      <c r="L80" s="17">
        <v>0</v>
      </c>
      <c r="M80" s="17">
        <v>0</v>
      </c>
      <c r="N80" s="17">
        <v>2</v>
      </c>
      <c r="O80" s="19">
        <v>0</v>
      </c>
      <c r="P80" s="19">
        <v>0</v>
      </c>
      <c r="Q80" s="19">
        <v>17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20">
        <v>0</v>
      </c>
      <c r="X80" s="20">
        <v>0</v>
      </c>
      <c r="Y80" s="19">
        <v>0</v>
      </c>
      <c r="Z80" s="19">
        <v>0</v>
      </c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>
        <v>0</v>
      </c>
      <c r="AI80" s="20">
        <v>0</v>
      </c>
      <c r="AJ80" s="20">
        <v>0</v>
      </c>
      <c r="AK80" s="19">
        <v>0</v>
      </c>
      <c r="AL80" s="20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>
        <v>0</v>
      </c>
      <c r="AS80" s="19">
        <v>0</v>
      </c>
      <c r="AT80" s="19">
        <v>0</v>
      </c>
      <c r="AU80" s="19">
        <v>0</v>
      </c>
      <c r="AV80" s="19">
        <v>0</v>
      </c>
      <c r="AW80" s="20">
        <v>0</v>
      </c>
      <c r="AX80" s="20">
        <v>0</v>
      </c>
      <c r="AY80" s="20">
        <v>0</v>
      </c>
      <c r="AZ80" s="19">
        <v>0</v>
      </c>
      <c r="BA80" s="19">
        <v>0</v>
      </c>
      <c r="BB80" s="19">
        <v>0</v>
      </c>
      <c r="BC80" s="19">
        <v>0</v>
      </c>
      <c r="BD80" s="19">
        <v>0</v>
      </c>
      <c r="BE80" s="21">
        <v>0</v>
      </c>
      <c r="BF80" s="21">
        <v>0</v>
      </c>
      <c r="BG80" s="19">
        <v>0</v>
      </c>
      <c r="BH80" s="19">
        <v>0</v>
      </c>
      <c r="BI80" s="22">
        <f t="shared" si="19"/>
        <v>12</v>
      </c>
      <c r="BJ80" s="22">
        <f t="shared" si="20"/>
        <v>19</v>
      </c>
      <c r="BK80" s="22">
        <f t="shared" si="21"/>
        <v>41</v>
      </c>
      <c r="BL80" s="22">
        <f t="shared" si="22"/>
        <v>22</v>
      </c>
      <c r="BM80" s="22">
        <f t="shared" si="17"/>
        <v>19</v>
      </c>
      <c r="BN80" s="23">
        <f t="shared" si="18"/>
        <v>0.45454545454545453</v>
      </c>
      <c r="BO80" s="23">
        <f t="shared" si="18"/>
        <v>0</v>
      </c>
      <c r="BP80" s="7">
        <f>VLOOKUP(A80,[1]Sheet15!B:E,4,0)</f>
        <v>4</v>
      </c>
      <c r="BQ80" s="7">
        <f>VLOOKUP(A80,[1]Sheet15!B:E,3,0)</f>
        <v>0</v>
      </c>
    </row>
    <row r="81" spans="1:69" ht="22.5" customHeight="1" x14ac:dyDescent="0.25">
      <c r="A81" s="15" t="s">
        <v>235</v>
      </c>
      <c r="B81" s="15">
        <f>VLOOKUP(A81,'[1]Master clients'!F78:W3625,17,0)</f>
        <v>0</v>
      </c>
      <c r="C81" s="15" t="str">
        <f>VLOOKUP(A81,'[1]Master clients'!F78:P3625,11,0)</f>
        <v>AV</v>
      </c>
      <c r="D81" s="15" t="str">
        <f>VLOOKUP(A81,'[1]Master clients'!F:M,8,0)</f>
        <v>End User</v>
      </c>
      <c r="E81" s="16" t="s">
        <v>236</v>
      </c>
      <c r="F81" s="16" t="s">
        <v>237</v>
      </c>
      <c r="G81" s="17">
        <v>27</v>
      </c>
      <c r="H81" s="17">
        <v>0</v>
      </c>
      <c r="I81" s="18">
        <v>22</v>
      </c>
      <c r="J81" s="18">
        <v>0</v>
      </c>
      <c r="K81" s="17">
        <v>10</v>
      </c>
      <c r="L81" s="17">
        <v>0</v>
      </c>
      <c r="M81" s="17">
        <v>0</v>
      </c>
      <c r="N81" s="17">
        <v>0</v>
      </c>
      <c r="O81" s="19">
        <v>0</v>
      </c>
      <c r="P81" s="19">
        <v>0</v>
      </c>
      <c r="Q81" s="19">
        <v>28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20">
        <v>0</v>
      </c>
      <c r="X81" s="20">
        <v>0</v>
      </c>
      <c r="Y81" s="19">
        <v>0</v>
      </c>
      <c r="Z81" s="19">
        <v>0</v>
      </c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>
        <v>0</v>
      </c>
      <c r="AI81" s="20">
        <v>0</v>
      </c>
      <c r="AJ81" s="20">
        <v>0</v>
      </c>
      <c r="AK81" s="19">
        <v>4</v>
      </c>
      <c r="AL81" s="20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>
        <v>0</v>
      </c>
      <c r="AS81" s="19">
        <v>0</v>
      </c>
      <c r="AT81" s="19">
        <v>0</v>
      </c>
      <c r="AU81" s="19">
        <v>0</v>
      </c>
      <c r="AV81" s="19">
        <v>0</v>
      </c>
      <c r="AW81" s="20">
        <v>0</v>
      </c>
      <c r="AX81" s="20">
        <v>0</v>
      </c>
      <c r="AY81" s="20">
        <v>0</v>
      </c>
      <c r="AZ81" s="19">
        <v>0</v>
      </c>
      <c r="BA81" s="19">
        <v>0</v>
      </c>
      <c r="BB81" s="19">
        <v>0</v>
      </c>
      <c r="BC81" s="19">
        <v>0</v>
      </c>
      <c r="BD81" s="19">
        <v>0</v>
      </c>
      <c r="BE81" s="21">
        <v>0</v>
      </c>
      <c r="BF81" s="21">
        <v>0</v>
      </c>
      <c r="BG81" s="19">
        <v>0</v>
      </c>
      <c r="BH81" s="19">
        <v>0</v>
      </c>
      <c r="BI81" s="22">
        <f t="shared" si="19"/>
        <v>14</v>
      </c>
      <c r="BJ81" s="22">
        <f t="shared" si="20"/>
        <v>28</v>
      </c>
      <c r="BK81" s="22">
        <f t="shared" si="21"/>
        <v>64</v>
      </c>
      <c r="BL81" s="22">
        <f t="shared" si="22"/>
        <v>36</v>
      </c>
      <c r="BM81" s="22">
        <f t="shared" si="17"/>
        <v>28</v>
      </c>
      <c r="BN81" s="23">
        <f t="shared" si="18"/>
        <v>0.61111111111111116</v>
      </c>
      <c r="BO81" s="23">
        <f t="shared" si="18"/>
        <v>0</v>
      </c>
      <c r="BP81" s="7">
        <f>VLOOKUP(A81,[1]Sheet15!B:E,4,0)</f>
        <v>14</v>
      </c>
      <c r="BQ81" s="7">
        <f>VLOOKUP(A81,[1]Sheet15!B:E,3,0)</f>
        <v>0</v>
      </c>
    </row>
    <row r="82" spans="1:69" ht="22.5" customHeight="1" x14ac:dyDescent="0.25">
      <c r="A82" s="15" t="s">
        <v>238</v>
      </c>
      <c r="B82" s="15" t="str">
        <f>VLOOKUP(A82,'[1]Master clients'!F79:W3626,17,0)</f>
        <v>May</v>
      </c>
      <c r="C82" s="15" t="str">
        <f>VLOOKUP(A82,'[1]Master clients'!F79:P3626,11,0)</f>
        <v>NI</v>
      </c>
      <c r="D82" s="15" t="str">
        <f>VLOOKUP(A82,'[1]Master clients'!F:M,8,0)</f>
        <v>End User</v>
      </c>
      <c r="E82" s="24" t="s">
        <v>239</v>
      </c>
      <c r="F82" s="25" t="s">
        <v>240</v>
      </c>
      <c r="G82" s="20">
        <v>0</v>
      </c>
      <c r="H82" s="20">
        <v>0</v>
      </c>
      <c r="I82" s="26">
        <v>28</v>
      </c>
      <c r="J82" s="26">
        <v>0</v>
      </c>
      <c r="K82" s="20">
        <v>0</v>
      </c>
      <c r="L82" s="20">
        <v>4</v>
      </c>
      <c r="M82" s="20">
        <v>0</v>
      </c>
      <c r="N82" s="20">
        <v>0</v>
      </c>
      <c r="O82" s="20">
        <v>6</v>
      </c>
      <c r="P82" s="20">
        <v>0</v>
      </c>
      <c r="Q82" s="20">
        <v>4</v>
      </c>
      <c r="R82" s="20">
        <v>4</v>
      </c>
      <c r="S82" s="20">
        <v>0</v>
      </c>
      <c r="T82" s="20">
        <v>0</v>
      </c>
      <c r="U82" s="20">
        <v>0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  <c r="AC82" s="20">
        <v>0</v>
      </c>
      <c r="AD82" s="20">
        <v>0</v>
      </c>
      <c r="AE82" s="20">
        <v>0</v>
      </c>
      <c r="AF82" s="20">
        <v>0</v>
      </c>
      <c r="AG82" s="20">
        <v>0</v>
      </c>
      <c r="AH82" s="20">
        <v>0</v>
      </c>
      <c r="AI82" s="20">
        <v>0</v>
      </c>
      <c r="AJ82" s="20">
        <v>0</v>
      </c>
      <c r="AK82" s="20">
        <v>0</v>
      </c>
      <c r="AL82" s="20">
        <v>0</v>
      </c>
      <c r="AM82" s="20">
        <v>0</v>
      </c>
      <c r="AN82" s="20">
        <v>0</v>
      </c>
      <c r="AO82" s="20">
        <v>0</v>
      </c>
      <c r="AP82" s="20">
        <v>0</v>
      </c>
      <c r="AQ82" s="20">
        <v>0</v>
      </c>
      <c r="AR82" s="20">
        <v>0</v>
      </c>
      <c r="AS82" s="20">
        <v>0</v>
      </c>
      <c r="AT82" s="20">
        <v>0</v>
      </c>
      <c r="AU82" s="20">
        <v>0</v>
      </c>
      <c r="AV82" s="20">
        <v>0</v>
      </c>
      <c r="AW82" s="20">
        <v>0</v>
      </c>
      <c r="AX82" s="20">
        <v>0</v>
      </c>
      <c r="AY82" s="20">
        <v>0</v>
      </c>
      <c r="AZ82" s="20">
        <v>0</v>
      </c>
      <c r="BA82" s="20">
        <v>0</v>
      </c>
      <c r="BB82" s="27">
        <v>0</v>
      </c>
      <c r="BC82" s="20">
        <v>0</v>
      </c>
      <c r="BD82" s="20">
        <v>0</v>
      </c>
      <c r="BE82" s="21">
        <v>0</v>
      </c>
      <c r="BF82" s="21">
        <v>0</v>
      </c>
      <c r="BG82" s="20">
        <v>0</v>
      </c>
      <c r="BH82" s="20">
        <v>0</v>
      </c>
      <c r="BI82" s="22">
        <f t="shared" si="19"/>
        <v>8</v>
      </c>
      <c r="BJ82" s="22">
        <f t="shared" si="20"/>
        <v>10</v>
      </c>
      <c r="BK82" s="28">
        <f t="shared" si="21"/>
        <v>46</v>
      </c>
      <c r="BL82" s="22">
        <f t="shared" si="22"/>
        <v>36</v>
      </c>
      <c r="BM82" s="22">
        <f t="shared" si="17"/>
        <v>10</v>
      </c>
      <c r="BN82" s="23">
        <f t="shared" si="18"/>
        <v>0.77777777777777779</v>
      </c>
      <c r="BO82" s="23">
        <f t="shared" si="18"/>
        <v>0</v>
      </c>
      <c r="BP82" s="7">
        <f>VLOOKUP(A82,[1]Sheet15!B:E,4,0)</f>
        <v>25</v>
      </c>
      <c r="BQ82" s="7">
        <f>VLOOKUP(A82,[1]Sheet15!B:E,3,0)</f>
        <v>0</v>
      </c>
    </row>
    <row r="83" spans="1:69" ht="22.5" customHeight="1" x14ac:dyDescent="0.25">
      <c r="A83" s="15" t="s">
        <v>241</v>
      </c>
      <c r="B83" s="15" t="str">
        <f>VLOOKUP(A83,'[1]Master clients'!F80:W3627,17,0)</f>
        <v>Mar</v>
      </c>
      <c r="C83" s="15" t="str">
        <f>VLOOKUP(A83,'[1]Master clients'!F80:P3627,11,0)</f>
        <v>NI</v>
      </c>
      <c r="D83" s="15" t="str">
        <f>VLOOKUP(A83,'[1]Master clients'!F:M,8,0)</f>
        <v>Group (Mills)</v>
      </c>
      <c r="E83" s="24" t="s">
        <v>242</v>
      </c>
      <c r="F83" s="25" t="s">
        <v>243</v>
      </c>
      <c r="G83" s="20">
        <v>0</v>
      </c>
      <c r="H83" s="20">
        <v>0</v>
      </c>
      <c r="I83" s="26">
        <v>20</v>
      </c>
      <c r="J83" s="26">
        <v>16</v>
      </c>
      <c r="K83" s="20">
        <v>0</v>
      </c>
      <c r="L83" s="20">
        <v>0</v>
      </c>
      <c r="M83" s="20">
        <v>0</v>
      </c>
      <c r="N83" s="20">
        <v>0</v>
      </c>
      <c r="O83" s="20">
        <v>0</v>
      </c>
      <c r="P83" s="20">
        <v>0</v>
      </c>
      <c r="Q83" s="20">
        <v>0</v>
      </c>
      <c r="R83" s="20">
        <v>0</v>
      </c>
      <c r="S83" s="20">
        <v>0</v>
      </c>
      <c r="T83" s="20">
        <v>0</v>
      </c>
      <c r="U83" s="20">
        <v>0</v>
      </c>
      <c r="V83" s="20">
        <v>0</v>
      </c>
      <c r="W83" s="20">
        <v>0</v>
      </c>
      <c r="X83" s="20">
        <v>0</v>
      </c>
      <c r="Y83" s="20">
        <v>0</v>
      </c>
      <c r="Z83" s="20">
        <v>0</v>
      </c>
      <c r="AA83" s="20">
        <v>0</v>
      </c>
      <c r="AB83" s="20">
        <v>0</v>
      </c>
      <c r="AC83" s="20">
        <v>0</v>
      </c>
      <c r="AD83" s="20">
        <v>0</v>
      </c>
      <c r="AE83" s="20">
        <v>0</v>
      </c>
      <c r="AF83" s="20">
        <v>0</v>
      </c>
      <c r="AG83" s="20">
        <v>0</v>
      </c>
      <c r="AH83" s="20">
        <v>0</v>
      </c>
      <c r="AI83" s="20">
        <v>0</v>
      </c>
      <c r="AJ83" s="20">
        <v>0</v>
      </c>
      <c r="AK83" s="20">
        <v>0</v>
      </c>
      <c r="AL83" s="20">
        <v>0</v>
      </c>
      <c r="AM83" s="20">
        <v>0</v>
      </c>
      <c r="AN83" s="20">
        <v>0</v>
      </c>
      <c r="AO83" s="20">
        <v>0</v>
      </c>
      <c r="AP83" s="20">
        <v>0</v>
      </c>
      <c r="AQ83" s="20">
        <v>0</v>
      </c>
      <c r="AR83" s="20">
        <v>0</v>
      </c>
      <c r="AS83" s="20">
        <v>0</v>
      </c>
      <c r="AT83" s="20">
        <v>0</v>
      </c>
      <c r="AU83" s="20">
        <v>0</v>
      </c>
      <c r="AV83" s="20">
        <v>0</v>
      </c>
      <c r="AW83" s="20">
        <v>0</v>
      </c>
      <c r="AX83" s="20">
        <v>0</v>
      </c>
      <c r="AY83" s="20">
        <v>0</v>
      </c>
      <c r="AZ83" s="20">
        <v>0</v>
      </c>
      <c r="BA83" s="20">
        <v>0</v>
      </c>
      <c r="BB83" s="27">
        <v>0</v>
      </c>
      <c r="BC83" s="20">
        <v>0</v>
      </c>
      <c r="BD83" s="20">
        <v>0</v>
      </c>
      <c r="BE83" s="21">
        <v>0</v>
      </c>
      <c r="BF83" s="21">
        <v>0</v>
      </c>
      <c r="BG83" s="20">
        <v>0</v>
      </c>
      <c r="BH83" s="20">
        <v>0</v>
      </c>
      <c r="BI83" s="22">
        <f t="shared" si="19"/>
        <v>0</v>
      </c>
      <c r="BJ83" s="22">
        <f t="shared" si="20"/>
        <v>0</v>
      </c>
      <c r="BK83" s="28">
        <f t="shared" si="21"/>
        <v>36</v>
      </c>
      <c r="BL83" s="22">
        <f t="shared" si="22"/>
        <v>20</v>
      </c>
      <c r="BM83" s="22">
        <f t="shared" si="17"/>
        <v>16</v>
      </c>
      <c r="BN83" s="23">
        <f t="shared" si="18"/>
        <v>1</v>
      </c>
      <c r="BO83" s="23">
        <f t="shared" si="18"/>
        <v>1</v>
      </c>
      <c r="BP83" s="7">
        <f>VLOOKUP(A83,[1]Sheet15!B:E,4,0)</f>
        <v>1</v>
      </c>
      <c r="BQ83" s="7">
        <f>VLOOKUP(A83,[1]Sheet15!B:E,3,0)</f>
        <v>15</v>
      </c>
    </row>
    <row r="84" spans="1:69" ht="22.5" customHeight="1" x14ac:dyDescent="0.25">
      <c r="A84" s="15" t="s">
        <v>244</v>
      </c>
      <c r="B84" s="15" t="str">
        <f>VLOOKUP(A84,'[1]Master clients'!F81:W3628,17,0)</f>
        <v>Mar</v>
      </c>
      <c r="C84" s="15" t="str">
        <f>VLOOKUP(A84,'[1]Master clients'!F81:P3628,11,0)</f>
        <v>NI</v>
      </c>
      <c r="D84" s="15" t="str">
        <f>VLOOKUP(A84,'[1]Master clients'!F:M,8,0)</f>
        <v>Group (Mills)</v>
      </c>
      <c r="E84" s="24" t="s">
        <v>245</v>
      </c>
      <c r="F84" s="25" t="s">
        <v>243</v>
      </c>
      <c r="G84" s="20">
        <v>0</v>
      </c>
      <c r="H84" s="20">
        <v>1</v>
      </c>
      <c r="I84" s="26">
        <v>25</v>
      </c>
      <c r="J84" s="26">
        <v>1</v>
      </c>
      <c r="K84" s="20">
        <v>0</v>
      </c>
      <c r="L84" s="20">
        <v>2</v>
      </c>
      <c r="M84" s="20">
        <v>0</v>
      </c>
      <c r="N84" s="20">
        <v>6</v>
      </c>
      <c r="O84" s="20">
        <v>8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0">
        <v>0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20">
        <v>0</v>
      </c>
      <c r="AG84" s="20">
        <v>0</v>
      </c>
      <c r="AH84" s="20">
        <v>0</v>
      </c>
      <c r="AI84" s="20">
        <v>0</v>
      </c>
      <c r="AJ84" s="20">
        <v>0</v>
      </c>
      <c r="AK84" s="20">
        <v>0</v>
      </c>
      <c r="AL84" s="20">
        <v>0</v>
      </c>
      <c r="AM84" s="20">
        <v>0</v>
      </c>
      <c r="AN84" s="20">
        <v>0</v>
      </c>
      <c r="AO84" s="20">
        <v>0</v>
      </c>
      <c r="AP84" s="20">
        <v>0</v>
      </c>
      <c r="AQ84" s="20">
        <v>0</v>
      </c>
      <c r="AR84" s="20">
        <v>0</v>
      </c>
      <c r="AS84" s="20">
        <v>0</v>
      </c>
      <c r="AT84" s="20">
        <v>0</v>
      </c>
      <c r="AU84" s="20">
        <v>0</v>
      </c>
      <c r="AV84" s="20">
        <v>0</v>
      </c>
      <c r="AW84" s="20">
        <v>0</v>
      </c>
      <c r="AX84" s="20">
        <v>0</v>
      </c>
      <c r="AY84" s="20">
        <v>0</v>
      </c>
      <c r="AZ84" s="20">
        <v>0</v>
      </c>
      <c r="BA84" s="20">
        <v>0</v>
      </c>
      <c r="BB84" s="27">
        <v>0</v>
      </c>
      <c r="BC84" s="20">
        <v>0</v>
      </c>
      <c r="BD84" s="20">
        <v>0</v>
      </c>
      <c r="BE84" s="21">
        <v>0</v>
      </c>
      <c r="BF84" s="21">
        <v>0</v>
      </c>
      <c r="BG84" s="20">
        <v>0</v>
      </c>
      <c r="BH84" s="20">
        <v>0</v>
      </c>
      <c r="BI84" s="22">
        <f t="shared" si="19"/>
        <v>2</v>
      </c>
      <c r="BJ84" s="22">
        <f t="shared" si="20"/>
        <v>14</v>
      </c>
      <c r="BK84" s="28">
        <f t="shared" si="21"/>
        <v>42</v>
      </c>
      <c r="BL84" s="22">
        <f t="shared" si="22"/>
        <v>27</v>
      </c>
      <c r="BM84" s="22">
        <f t="shared" si="17"/>
        <v>15</v>
      </c>
      <c r="BN84" s="23">
        <f t="shared" si="18"/>
        <v>0.92592592592592593</v>
      </c>
      <c r="BO84" s="23">
        <f t="shared" si="18"/>
        <v>6.6666666666666666E-2</v>
      </c>
      <c r="BP84" s="7">
        <f>VLOOKUP(A84,[1]Sheet15!B:E,4,0)</f>
        <v>16</v>
      </c>
      <c r="BQ84" s="7">
        <f>VLOOKUP(A84,[1]Sheet15!B:E,3,0)</f>
        <v>1</v>
      </c>
    </row>
    <row r="85" spans="1:69" ht="22.5" customHeight="1" x14ac:dyDescent="0.25">
      <c r="A85" s="15" t="s">
        <v>246</v>
      </c>
      <c r="B85" s="15">
        <f>VLOOKUP(A85,'[1]Master clients'!F82:W3629,17,0)</f>
        <v>0</v>
      </c>
      <c r="C85" s="15" t="str">
        <f>VLOOKUP(A85,'[1]Master clients'!F82:P3629,11,0)</f>
        <v>NI</v>
      </c>
      <c r="D85" s="15" t="str">
        <f>VLOOKUP(A85,'[1]Master clients'!F:M,8,0)</f>
        <v>End User</v>
      </c>
      <c r="E85" s="16" t="s">
        <v>247</v>
      </c>
      <c r="F85" s="16" t="s">
        <v>243</v>
      </c>
      <c r="G85" s="17"/>
      <c r="H85" s="17">
        <v>1</v>
      </c>
      <c r="I85" s="31">
        <v>3</v>
      </c>
      <c r="J85" s="31">
        <v>1</v>
      </c>
      <c r="K85" s="17">
        <v>0</v>
      </c>
      <c r="L85" s="17">
        <v>0</v>
      </c>
      <c r="M85" s="17">
        <v>0</v>
      </c>
      <c r="N85" s="17">
        <v>0</v>
      </c>
      <c r="O85" s="17">
        <v>0</v>
      </c>
      <c r="P85" s="17">
        <v>0</v>
      </c>
      <c r="Q85" s="17">
        <v>0</v>
      </c>
      <c r="R85" s="17">
        <v>0</v>
      </c>
      <c r="S85" s="17">
        <v>0</v>
      </c>
      <c r="T85" s="17">
        <v>0</v>
      </c>
      <c r="U85" s="17">
        <v>0</v>
      </c>
      <c r="V85" s="17">
        <v>0</v>
      </c>
      <c r="W85" s="17">
        <v>0</v>
      </c>
      <c r="X85" s="17">
        <v>0</v>
      </c>
      <c r="Y85" s="17">
        <v>0</v>
      </c>
      <c r="Z85" s="17">
        <v>0</v>
      </c>
      <c r="AA85" s="17">
        <v>0</v>
      </c>
      <c r="AB85" s="17">
        <v>0</v>
      </c>
      <c r="AC85" s="17">
        <v>0</v>
      </c>
      <c r="AD85" s="17">
        <v>0</v>
      </c>
      <c r="AE85" s="17">
        <v>0</v>
      </c>
      <c r="AF85" s="17">
        <v>0</v>
      </c>
      <c r="AG85" s="17">
        <v>0</v>
      </c>
      <c r="AH85" s="17">
        <v>0</v>
      </c>
      <c r="AI85" s="17">
        <v>0</v>
      </c>
      <c r="AJ85" s="17">
        <v>0</v>
      </c>
      <c r="AK85" s="17">
        <v>0</v>
      </c>
      <c r="AL85" s="17">
        <v>0</v>
      </c>
      <c r="AM85" s="17">
        <v>0</v>
      </c>
      <c r="AN85" s="17">
        <v>0</v>
      </c>
      <c r="AO85" s="17">
        <v>0</v>
      </c>
      <c r="AP85" s="17">
        <v>0</v>
      </c>
      <c r="AQ85" s="17">
        <v>0</v>
      </c>
      <c r="AR85" s="17">
        <v>0</v>
      </c>
      <c r="AS85" s="17">
        <v>0</v>
      </c>
      <c r="AT85" s="17">
        <v>0</v>
      </c>
      <c r="AU85" s="17">
        <v>0</v>
      </c>
      <c r="AV85" s="17">
        <v>0</v>
      </c>
      <c r="AW85" s="17">
        <v>0</v>
      </c>
      <c r="AX85" s="17">
        <v>0</v>
      </c>
      <c r="AY85" s="17">
        <v>0</v>
      </c>
      <c r="AZ85" s="17">
        <v>0</v>
      </c>
      <c r="BA85" s="17">
        <v>0</v>
      </c>
      <c r="BB85" s="17">
        <v>0</v>
      </c>
      <c r="BC85" s="17">
        <v>0</v>
      </c>
      <c r="BD85" s="17">
        <v>0</v>
      </c>
      <c r="BE85" s="17">
        <v>0</v>
      </c>
      <c r="BF85" s="17">
        <v>0</v>
      </c>
      <c r="BG85" s="17">
        <v>0</v>
      </c>
      <c r="BH85" s="17">
        <v>0</v>
      </c>
      <c r="BI85" s="22">
        <f t="shared" si="19"/>
        <v>0</v>
      </c>
      <c r="BJ85" s="22">
        <f t="shared" si="20"/>
        <v>0</v>
      </c>
      <c r="BK85" s="22">
        <f t="shared" si="21"/>
        <v>4</v>
      </c>
      <c r="BL85" s="22">
        <f t="shared" si="22"/>
        <v>3</v>
      </c>
      <c r="BM85" s="22">
        <f t="shared" ref="BM85:BM185" si="23">SUM(J85+N85+O85+Q85+S85+U85+X85+AA85+AD85+AF85+AM85+AP85+AQ85+AT85+AX85+AY85+BD85+BH85)</f>
        <v>1</v>
      </c>
      <c r="BN85" s="23">
        <f t="shared" ref="BN85:BO100" si="24">I85/BL85</f>
        <v>1</v>
      </c>
      <c r="BO85" s="23">
        <f t="shared" si="24"/>
        <v>1</v>
      </c>
      <c r="BP85" s="7">
        <f>VLOOKUP(A85,[1]Sheet15!B:E,4,0)</f>
        <v>3</v>
      </c>
      <c r="BQ85" s="7">
        <f>VLOOKUP(A85,[1]Sheet15!B:E,3,0)</f>
        <v>1</v>
      </c>
    </row>
    <row r="86" spans="1:69" ht="22.5" customHeight="1" x14ac:dyDescent="0.25">
      <c r="A86" s="15" t="s">
        <v>248</v>
      </c>
      <c r="B86" s="15">
        <f>VLOOKUP(A86,'[1]Master clients'!F83:W3630,17,0)</f>
        <v>0</v>
      </c>
      <c r="C86" s="15" t="str">
        <f>VLOOKUP(A86,'[1]Master clients'!F83:P3630,11,0)</f>
        <v>AV</v>
      </c>
      <c r="D86" s="15" t="str">
        <f>VLOOKUP(A86,'[1]Master clients'!F:M,8,0)</f>
        <v>End User</v>
      </c>
      <c r="E86" s="16" t="s">
        <v>249</v>
      </c>
      <c r="F86" s="16" t="s">
        <v>250</v>
      </c>
      <c r="G86" s="17">
        <v>14</v>
      </c>
      <c r="H86" s="17">
        <v>0</v>
      </c>
      <c r="I86" s="18">
        <v>10</v>
      </c>
      <c r="J86" s="18">
        <v>3</v>
      </c>
      <c r="K86" s="17">
        <v>0</v>
      </c>
      <c r="L86" s="17">
        <v>0</v>
      </c>
      <c r="M86" s="17">
        <v>0</v>
      </c>
      <c r="N86" s="17">
        <v>0</v>
      </c>
      <c r="O86" s="19">
        <v>0</v>
      </c>
      <c r="P86" s="19">
        <v>0</v>
      </c>
      <c r="Q86" s="19">
        <v>1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20">
        <v>0</v>
      </c>
      <c r="X86" s="20">
        <v>0</v>
      </c>
      <c r="Y86" s="19">
        <v>0</v>
      </c>
      <c r="Z86" s="19">
        <v>0</v>
      </c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>
        <v>0</v>
      </c>
      <c r="AI86" s="20">
        <v>0</v>
      </c>
      <c r="AJ86" s="20">
        <v>0</v>
      </c>
      <c r="AK86" s="19">
        <v>0</v>
      </c>
      <c r="AL86" s="20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>
        <v>0</v>
      </c>
      <c r="AS86" s="19">
        <v>0</v>
      </c>
      <c r="AT86" s="19">
        <v>0</v>
      </c>
      <c r="AU86" s="19">
        <v>0</v>
      </c>
      <c r="AV86" s="19">
        <v>0</v>
      </c>
      <c r="AW86" s="20">
        <v>0</v>
      </c>
      <c r="AX86" s="20">
        <v>0</v>
      </c>
      <c r="AY86" s="20">
        <v>0</v>
      </c>
      <c r="AZ86" s="19">
        <v>0</v>
      </c>
      <c r="BA86" s="19">
        <v>0</v>
      </c>
      <c r="BB86" s="19">
        <v>0</v>
      </c>
      <c r="BC86" s="19">
        <v>0</v>
      </c>
      <c r="BD86" s="19">
        <v>0</v>
      </c>
      <c r="BE86" s="21">
        <v>0</v>
      </c>
      <c r="BF86" s="21">
        <v>0</v>
      </c>
      <c r="BG86" s="19">
        <v>0</v>
      </c>
      <c r="BH86" s="19">
        <v>0</v>
      </c>
      <c r="BI86" s="22">
        <f t="shared" si="19"/>
        <v>0</v>
      </c>
      <c r="BJ86" s="22">
        <f t="shared" si="20"/>
        <v>1</v>
      </c>
      <c r="BK86" s="22">
        <f t="shared" si="21"/>
        <v>14</v>
      </c>
      <c r="BL86" s="22">
        <f t="shared" si="22"/>
        <v>10</v>
      </c>
      <c r="BM86" s="22">
        <f t="shared" si="23"/>
        <v>4</v>
      </c>
      <c r="BN86" s="23">
        <f t="shared" si="24"/>
        <v>1</v>
      </c>
      <c r="BO86" s="23">
        <f t="shared" si="24"/>
        <v>0.75</v>
      </c>
      <c r="BP86" s="7">
        <f>VLOOKUP(A86,[1]Sheet15!B:E,4,0)</f>
        <v>13</v>
      </c>
      <c r="BQ86" s="7">
        <f>VLOOKUP(A86,[1]Sheet15!B:E,3,0)</f>
        <v>0</v>
      </c>
    </row>
    <row r="87" spans="1:69" ht="22.5" customHeight="1" x14ac:dyDescent="0.25">
      <c r="A87" s="15" t="s">
        <v>251</v>
      </c>
      <c r="B87" s="15">
        <f>VLOOKUP(A87,'[1]Master clients'!F84:W3631,17,0)</f>
        <v>0</v>
      </c>
      <c r="C87" s="15" t="str">
        <f>VLOOKUP(A87,'[1]Master clients'!F84:P3631,11,0)</f>
        <v>AV</v>
      </c>
      <c r="D87" s="15" t="str">
        <f>VLOOKUP(A87,'[1]Master clients'!F:M,8,0)</f>
        <v>Group (Mills)</v>
      </c>
      <c r="E87" s="16" t="s">
        <v>252</v>
      </c>
      <c r="F87" s="16" t="s">
        <v>253</v>
      </c>
      <c r="G87" s="17">
        <v>7</v>
      </c>
      <c r="H87" s="17">
        <v>0</v>
      </c>
      <c r="I87" s="18">
        <v>8</v>
      </c>
      <c r="J87" s="18">
        <v>1</v>
      </c>
      <c r="K87" s="17">
        <v>8</v>
      </c>
      <c r="L87" s="17">
        <v>0</v>
      </c>
      <c r="M87" s="17">
        <v>1</v>
      </c>
      <c r="N87" s="17">
        <v>0</v>
      </c>
      <c r="O87" s="19">
        <v>0</v>
      </c>
      <c r="P87" s="19">
        <v>0</v>
      </c>
      <c r="Q87" s="19">
        <v>3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20">
        <v>0</v>
      </c>
      <c r="X87" s="20">
        <v>0</v>
      </c>
      <c r="Y87" s="19">
        <v>0</v>
      </c>
      <c r="Z87" s="19">
        <v>0</v>
      </c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4</v>
      </c>
      <c r="AH87" s="19">
        <v>0</v>
      </c>
      <c r="AI87" s="20">
        <v>0</v>
      </c>
      <c r="AJ87" s="20">
        <v>0</v>
      </c>
      <c r="AK87" s="19">
        <v>0</v>
      </c>
      <c r="AL87" s="20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>
        <v>0</v>
      </c>
      <c r="AS87" s="19">
        <v>0</v>
      </c>
      <c r="AT87" s="19">
        <v>0</v>
      </c>
      <c r="AU87" s="19">
        <v>0</v>
      </c>
      <c r="AV87" s="19">
        <v>0</v>
      </c>
      <c r="AW87" s="20">
        <v>0</v>
      </c>
      <c r="AX87" s="20">
        <v>0</v>
      </c>
      <c r="AY87" s="20">
        <v>0</v>
      </c>
      <c r="AZ87" s="19">
        <v>0</v>
      </c>
      <c r="BA87" s="19">
        <v>3</v>
      </c>
      <c r="BB87" s="19">
        <v>0</v>
      </c>
      <c r="BC87" s="19">
        <v>0</v>
      </c>
      <c r="BD87" s="19">
        <v>0</v>
      </c>
      <c r="BE87" s="21">
        <v>0</v>
      </c>
      <c r="BF87" s="21">
        <v>0</v>
      </c>
      <c r="BG87" s="19">
        <v>0</v>
      </c>
      <c r="BH87" s="19">
        <v>0</v>
      </c>
      <c r="BI87" s="22">
        <f t="shared" si="19"/>
        <v>16</v>
      </c>
      <c r="BJ87" s="22">
        <f t="shared" si="20"/>
        <v>3</v>
      </c>
      <c r="BK87" s="22">
        <f t="shared" si="21"/>
        <v>28</v>
      </c>
      <c r="BL87" s="22">
        <f t="shared" si="22"/>
        <v>24</v>
      </c>
      <c r="BM87" s="22">
        <f t="shared" si="23"/>
        <v>4</v>
      </c>
      <c r="BN87" s="23">
        <f t="shared" si="24"/>
        <v>0.33333333333333331</v>
      </c>
      <c r="BO87" s="23">
        <f t="shared" si="24"/>
        <v>0.25</v>
      </c>
      <c r="BP87" s="7">
        <f>VLOOKUP(A87,[1]Sheet15!B:E,4,0)</f>
        <v>12</v>
      </c>
      <c r="BQ87" s="7">
        <f>VLOOKUP(A87,[1]Sheet15!B:E,3,0)</f>
        <v>0</v>
      </c>
    </row>
    <row r="88" spans="1:69" ht="22.5" customHeight="1" x14ac:dyDescent="0.25">
      <c r="A88" s="15" t="s">
        <v>254</v>
      </c>
      <c r="B88" s="15">
        <f>VLOOKUP(A88,'[1]Master clients'!F85:W3632,17,0)</f>
        <v>0</v>
      </c>
      <c r="C88" s="15" t="str">
        <f>VLOOKUP(A88,'[1]Master clients'!F85:P3632,11,0)</f>
        <v>AV</v>
      </c>
      <c r="D88" s="15" t="str">
        <f>VLOOKUP(A88,'[1]Master clients'!F:M,8,0)</f>
        <v>End User</v>
      </c>
      <c r="E88" s="16" t="s">
        <v>255</v>
      </c>
      <c r="F88" s="16" t="s">
        <v>256</v>
      </c>
      <c r="G88" s="17">
        <v>18</v>
      </c>
      <c r="H88" s="17">
        <v>0</v>
      </c>
      <c r="I88" s="18">
        <v>10</v>
      </c>
      <c r="J88" s="18">
        <v>0</v>
      </c>
      <c r="K88" s="17">
        <v>0</v>
      </c>
      <c r="L88" s="17">
        <v>0</v>
      </c>
      <c r="M88" s="17">
        <v>0</v>
      </c>
      <c r="N88" s="17">
        <v>2</v>
      </c>
      <c r="O88" s="19">
        <v>0</v>
      </c>
      <c r="P88" s="19">
        <v>8</v>
      </c>
      <c r="Q88" s="19">
        <v>4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20">
        <v>0</v>
      </c>
      <c r="X88" s="20">
        <v>0</v>
      </c>
      <c r="Y88" s="19">
        <v>0</v>
      </c>
      <c r="Z88" s="19">
        <v>0</v>
      </c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>
        <v>0</v>
      </c>
      <c r="AI88" s="20">
        <v>0</v>
      </c>
      <c r="AJ88" s="20">
        <v>0</v>
      </c>
      <c r="AK88" s="19">
        <v>0</v>
      </c>
      <c r="AL88" s="20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>
        <v>0</v>
      </c>
      <c r="AS88" s="19">
        <v>0</v>
      </c>
      <c r="AT88" s="19">
        <v>0</v>
      </c>
      <c r="AU88" s="19">
        <v>1</v>
      </c>
      <c r="AV88" s="19">
        <v>0</v>
      </c>
      <c r="AW88" s="20">
        <v>0</v>
      </c>
      <c r="AX88" s="20">
        <v>0</v>
      </c>
      <c r="AY88" s="20">
        <v>0</v>
      </c>
      <c r="AZ88" s="19">
        <v>0</v>
      </c>
      <c r="BA88" s="19">
        <v>0</v>
      </c>
      <c r="BB88" s="19">
        <v>1</v>
      </c>
      <c r="BC88" s="19">
        <v>0</v>
      </c>
      <c r="BD88" s="19">
        <v>0</v>
      </c>
      <c r="BE88" s="21">
        <v>0</v>
      </c>
      <c r="BF88" s="21">
        <v>0</v>
      </c>
      <c r="BG88" s="19">
        <v>0</v>
      </c>
      <c r="BH88" s="19">
        <v>0</v>
      </c>
      <c r="BI88" s="22">
        <f t="shared" si="19"/>
        <v>10</v>
      </c>
      <c r="BJ88" s="22">
        <f t="shared" si="20"/>
        <v>6</v>
      </c>
      <c r="BK88" s="22">
        <f t="shared" si="21"/>
        <v>26</v>
      </c>
      <c r="BL88" s="22">
        <f t="shared" si="22"/>
        <v>20</v>
      </c>
      <c r="BM88" s="22">
        <f t="shared" si="23"/>
        <v>6</v>
      </c>
      <c r="BN88" s="23">
        <f t="shared" si="24"/>
        <v>0.5</v>
      </c>
      <c r="BO88" s="23">
        <f t="shared" si="24"/>
        <v>0</v>
      </c>
      <c r="BP88" s="7">
        <f>VLOOKUP(A88,[1]Sheet15!B:E,4,0)</f>
        <v>1</v>
      </c>
      <c r="BQ88" s="7">
        <f>VLOOKUP(A88,[1]Sheet15!B:E,3,0)</f>
        <v>0</v>
      </c>
    </row>
    <row r="89" spans="1:69" ht="22.5" customHeight="1" x14ac:dyDescent="0.25">
      <c r="A89" s="15" t="s">
        <v>257</v>
      </c>
      <c r="B89" s="15">
        <f>VLOOKUP(A89,'[1]Master clients'!F86:W3633,17,0)</f>
        <v>0</v>
      </c>
      <c r="C89" s="15" t="str">
        <f>VLOOKUP(A89,'[1]Master clients'!F86:P3633,11,0)</f>
        <v>MRK</v>
      </c>
      <c r="D89" s="15" t="str">
        <f>VLOOKUP(A89,'[1]Master clients'!F:M,8,0)</f>
        <v>Group (Mills)</v>
      </c>
      <c r="E89" s="16" t="s">
        <v>258</v>
      </c>
      <c r="F89" s="16" t="s">
        <v>259</v>
      </c>
      <c r="G89" s="17">
        <v>22</v>
      </c>
      <c r="H89" s="17">
        <v>9</v>
      </c>
      <c r="I89" s="18">
        <v>27</v>
      </c>
      <c r="J89" s="18">
        <v>3</v>
      </c>
      <c r="K89" s="17">
        <v>0</v>
      </c>
      <c r="L89" s="17">
        <v>0</v>
      </c>
      <c r="M89" s="17">
        <v>0</v>
      </c>
      <c r="N89" s="17">
        <v>0</v>
      </c>
      <c r="O89" s="19">
        <v>0</v>
      </c>
      <c r="P89" s="19">
        <v>1</v>
      </c>
      <c r="Q89" s="19">
        <v>6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20">
        <v>0</v>
      </c>
      <c r="X89" s="20">
        <v>0</v>
      </c>
      <c r="Y89" s="19">
        <v>0</v>
      </c>
      <c r="Z89" s="19">
        <v>0</v>
      </c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>
        <v>0</v>
      </c>
      <c r="AI89" s="20">
        <v>0</v>
      </c>
      <c r="AJ89" s="20">
        <v>0</v>
      </c>
      <c r="AK89" s="19">
        <v>0</v>
      </c>
      <c r="AL89" s="20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>
        <v>0</v>
      </c>
      <c r="AS89" s="19">
        <v>0</v>
      </c>
      <c r="AT89" s="19">
        <v>0</v>
      </c>
      <c r="AU89" s="19">
        <v>0</v>
      </c>
      <c r="AV89" s="19">
        <v>0</v>
      </c>
      <c r="AW89" s="20">
        <v>0</v>
      </c>
      <c r="AX89" s="20">
        <v>0</v>
      </c>
      <c r="AY89" s="20">
        <v>0</v>
      </c>
      <c r="AZ89" s="19">
        <v>0</v>
      </c>
      <c r="BA89" s="19">
        <v>0</v>
      </c>
      <c r="BB89" s="19">
        <v>0</v>
      </c>
      <c r="BC89" s="19">
        <v>0</v>
      </c>
      <c r="BD89" s="19">
        <v>0</v>
      </c>
      <c r="BE89" s="21">
        <v>0</v>
      </c>
      <c r="BF89" s="21">
        <v>0</v>
      </c>
      <c r="BG89" s="19">
        <v>0</v>
      </c>
      <c r="BH89" s="19">
        <v>0</v>
      </c>
      <c r="BI89" s="22">
        <f t="shared" si="19"/>
        <v>1</v>
      </c>
      <c r="BJ89" s="22">
        <f t="shared" si="20"/>
        <v>6</v>
      </c>
      <c r="BK89" s="22">
        <f t="shared" si="21"/>
        <v>37</v>
      </c>
      <c r="BL89" s="22">
        <f t="shared" si="22"/>
        <v>28</v>
      </c>
      <c r="BM89" s="22">
        <f t="shared" si="23"/>
        <v>9</v>
      </c>
      <c r="BN89" s="23">
        <f t="shared" si="24"/>
        <v>0.9642857142857143</v>
      </c>
      <c r="BO89" s="23">
        <f t="shared" si="24"/>
        <v>0.33333333333333331</v>
      </c>
      <c r="BP89" s="7">
        <f>VLOOKUP(A89,[1]Sheet15!B:E,4,0)</f>
        <v>35</v>
      </c>
      <c r="BQ89" s="7">
        <f>VLOOKUP(A89,[1]Sheet15!B:E,3,0)</f>
        <v>0</v>
      </c>
    </row>
    <row r="90" spans="1:69" ht="22.5" customHeight="1" x14ac:dyDescent="0.25">
      <c r="A90" s="15" t="s">
        <v>260</v>
      </c>
      <c r="B90" s="15" t="str">
        <f>VLOOKUP(A90,'[1]Master clients'!F87:W3634,17,0)</f>
        <v>May</v>
      </c>
      <c r="C90" s="15" t="str">
        <f>VLOOKUP(A90,'[1]Master clients'!F87:P3634,11,0)</f>
        <v>AV</v>
      </c>
      <c r="D90" s="15" t="str">
        <f>VLOOKUP(A90,'[1]Master clients'!F:M,8,0)</f>
        <v>End User</v>
      </c>
      <c r="E90" s="16" t="s">
        <v>261</v>
      </c>
      <c r="F90" s="16" t="s">
        <v>262</v>
      </c>
      <c r="G90" s="17">
        <v>28</v>
      </c>
      <c r="H90" s="17">
        <v>0</v>
      </c>
      <c r="I90" s="18">
        <v>14</v>
      </c>
      <c r="J90" s="18">
        <v>0</v>
      </c>
      <c r="K90" s="17">
        <v>10</v>
      </c>
      <c r="L90" s="17">
        <v>0</v>
      </c>
      <c r="M90" s="17">
        <v>0</v>
      </c>
      <c r="N90" s="17">
        <v>0</v>
      </c>
      <c r="O90" s="19">
        <v>0</v>
      </c>
      <c r="P90" s="19">
        <v>0</v>
      </c>
      <c r="Q90" s="19">
        <v>9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20">
        <v>0</v>
      </c>
      <c r="X90" s="20">
        <v>0</v>
      </c>
      <c r="Y90" s="19">
        <v>0</v>
      </c>
      <c r="Z90" s="19">
        <v>0</v>
      </c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>
        <v>0</v>
      </c>
      <c r="AI90" s="20">
        <v>0</v>
      </c>
      <c r="AJ90" s="20">
        <v>0</v>
      </c>
      <c r="AK90" s="19">
        <v>0</v>
      </c>
      <c r="AL90" s="20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>
        <v>0</v>
      </c>
      <c r="AS90" s="19">
        <v>0</v>
      </c>
      <c r="AT90" s="19">
        <v>0</v>
      </c>
      <c r="AU90" s="19">
        <v>0</v>
      </c>
      <c r="AV90" s="19">
        <v>0</v>
      </c>
      <c r="AW90" s="20">
        <v>0</v>
      </c>
      <c r="AX90" s="20">
        <v>0</v>
      </c>
      <c r="AY90" s="20">
        <v>0</v>
      </c>
      <c r="AZ90" s="19">
        <v>0</v>
      </c>
      <c r="BA90" s="19">
        <v>0</v>
      </c>
      <c r="BB90" s="19">
        <v>0</v>
      </c>
      <c r="BC90" s="19">
        <v>0</v>
      </c>
      <c r="BD90" s="19">
        <v>0</v>
      </c>
      <c r="BE90" s="21">
        <v>0</v>
      </c>
      <c r="BF90" s="21">
        <v>0</v>
      </c>
      <c r="BG90" s="19">
        <v>0</v>
      </c>
      <c r="BH90" s="19">
        <v>0</v>
      </c>
      <c r="BI90" s="22">
        <f t="shared" si="19"/>
        <v>10</v>
      </c>
      <c r="BJ90" s="22">
        <f t="shared" si="20"/>
        <v>9</v>
      </c>
      <c r="BK90" s="22">
        <f t="shared" si="21"/>
        <v>33</v>
      </c>
      <c r="BL90" s="22">
        <f t="shared" si="22"/>
        <v>24</v>
      </c>
      <c r="BM90" s="22">
        <f t="shared" si="23"/>
        <v>9</v>
      </c>
      <c r="BN90" s="23">
        <f t="shared" si="24"/>
        <v>0.58333333333333337</v>
      </c>
      <c r="BO90" s="23">
        <f t="shared" si="24"/>
        <v>0</v>
      </c>
      <c r="BP90" s="7">
        <f>VLOOKUP(A90,[1]Sheet15!B:E,4,0)</f>
        <v>6</v>
      </c>
      <c r="BQ90" s="7">
        <f>VLOOKUP(A90,[1]Sheet15!B:E,3,0)</f>
        <v>0</v>
      </c>
    </row>
    <row r="91" spans="1:69" ht="22.5" customHeight="1" x14ac:dyDescent="0.25">
      <c r="A91" s="15" t="s">
        <v>263</v>
      </c>
      <c r="B91" s="15">
        <f>VLOOKUP(A91,'[1]Master clients'!F88:W3635,17,0)</f>
        <v>0</v>
      </c>
      <c r="C91" s="15" t="str">
        <f>VLOOKUP(A91,'[1]Master clients'!F88:P3635,11,0)</f>
        <v>AV</v>
      </c>
      <c r="D91" s="15" t="str">
        <f>VLOOKUP(A91,'[1]Master clients'!F:M,8,0)</f>
        <v>End User</v>
      </c>
      <c r="E91" s="16" t="s">
        <v>264</v>
      </c>
      <c r="F91" s="16" t="s">
        <v>265</v>
      </c>
      <c r="G91" s="17">
        <v>74</v>
      </c>
      <c r="H91" s="17">
        <v>0</v>
      </c>
      <c r="I91" s="18">
        <v>29</v>
      </c>
      <c r="J91" s="18">
        <v>14</v>
      </c>
      <c r="K91" s="17">
        <v>0</v>
      </c>
      <c r="L91" s="17">
        <v>0</v>
      </c>
      <c r="M91" s="17">
        <v>0</v>
      </c>
      <c r="N91" s="17">
        <v>0</v>
      </c>
      <c r="O91" s="19">
        <v>0</v>
      </c>
      <c r="P91" s="19">
        <v>0</v>
      </c>
      <c r="Q91" s="19">
        <v>9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20">
        <v>0</v>
      </c>
      <c r="X91" s="20">
        <v>0</v>
      </c>
      <c r="Y91" s="19">
        <v>0</v>
      </c>
      <c r="Z91" s="19">
        <v>0</v>
      </c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>
        <v>0</v>
      </c>
      <c r="AI91" s="20">
        <v>0</v>
      </c>
      <c r="AJ91" s="20">
        <v>0</v>
      </c>
      <c r="AK91" s="19">
        <v>0</v>
      </c>
      <c r="AL91" s="20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>
        <v>0</v>
      </c>
      <c r="AS91" s="19">
        <v>0</v>
      </c>
      <c r="AT91" s="19">
        <v>0</v>
      </c>
      <c r="AU91" s="19">
        <v>0</v>
      </c>
      <c r="AV91" s="19">
        <v>0</v>
      </c>
      <c r="AW91" s="20">
        <v>0</v>
      </c>
      <c r="AX91" s="20">
        <v>0</v>
      </c>
      <c r="AY91" s="20">
        <v>0</v>
      </c>
      <c r="AZ91" s="19">
        <v>0</v>
      </c>
      <c r="BA91" s="19">
        <v>0</v>
      </c>
      <c r="BB91" s="19">
        <v>0</v>
      </c>
      <c r="BC91" s="19">
        <v>0</v>
      </c>
      <c r="BD91" s="19">
        <v>0</v>
      </c>
      <c r="BE91" s="21">
        <v>0</v>
      </c>
      <c r="BF91" s="21">
        <v>0</v>
      </c>
      <c r="BG91" s="19">
        <v>0</v>
      </c>
      <c r="BH91" s="19">
        <v>0</v>
      </c>
      <c r="BI91" s="22">
        <f t="shared" si="19"/>
        <v>0</v>
      </c>
      <c r="BJ91" s="22">
        <f t="shared" si="20"/>
        <v>9</v>
      </c>
      <c r="BK91" s="22">
        <f t="shared" si="21"/>
        <v>52</v>
      </c>
      <c r="BL91" s="22">
        <f t="shared" si="22"/>
        <v>29</v>
      </c>
      <c r="BM91" s="22">
        <f t="shared" si="23"/>
        <v>23</v>
      </c>
      <c r="BN91" s="23">
        <f t="shared" si="24"/>
        <v>1</v>
      </c>
      <c r="BO91" s="23">
        <f t="shared" si="24"/>
        <v>0.60869565217391308</v>
      </c>
      <c r="BP91" s="7">
        <f>VLOOKUP(A91,[1]Sheet15!B:E,4,0)</f>
        <v>3</v>
      </c>
      <c r="BQ91" s="7">
        <f>VLOOKUP(A91,[1]Sheet15!B:E,3,0)</f>
        <v>0</v>
      </c>
    </row>
    <row r="92" spans="1:69" ht="22.5" customHeight="1" x14ac:dyDescent="0.25">
      <c r="A92" s="15" t="s">
        <v>266</v>
      </c>
      <c r="B92" s="15">
        <f>VLOOKUP(A92,'[1]Master clients'!F89:W3636,17,0)</f>
        <v>0</v>
      </c>
      <c r="C92" s="15" t="str">
        <f>VLOOKUP(A92,'[1]Master clients'!F89:P3636,11,0)</f>
        <v>AV</v>
      </c>
      <c r="D92" s="15" t="str">
        <f>VLOOKUP(A92,'[1]Master clients'!F:M,8,0)</f>
        <v>End User</v>
      </c>
      <c r="E92" s="16" t="s">
        <v>267</v>
      </c>
      <c r="F92" s="16" t="s">
        <v>268</v>
      </c>
      <c r="G92" s="17">
        <v>31</v>
      </c>
      <c r="H92" s="17">
        <v>0</v>
      </c>
      <c r="I92" s="18">
        <v>30</v>
      </c>
      <c r="J92" s="18">
        <v>0</v>
      </c>
      <c r="K92" s="17">
        <v>0</v>
      </c>
      <c r="L92" s="17">
        <v>0</v>
      </c>
      <c r="M92" s="17">
        <v>0</v>
      </c>
      <c r="N92" s="17">
        <v>0</v>
      </c>
      <c r="O92" s="19">
        <v>0</v>
      </c>
      <c r="P92" s="19">
        <v>0</v>
      </c>
      <c r="Q92" s="19">
        <v>10</v>
      </c>
      <c r="R92" s="19">
        <v>0</v>
      </c>
      <c r="S92" s="19">
        <v>0</v>
      </c>
      <c r="T92" s="19">
        <v>0</v>
      </c>
      <c r="U92" s="19">
        <v>0</v>
      </c>
      <c r="V92" s="19">
        <v>0</v>
      </c>
      <c r="W92" s="20">
        <v>0</v>
      </c>
      <c r="X92" s="20">
        <v>0</v>
      </c>
      <c r="Y92" s="19">
        <v>0</v>
      </c>
      <c r="Z92" s="19">
        <v>0</v>
      </c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>
        <v>0</v>
      </c>
      <c r="AI92" s="20">
        <v>0</v>
      </c>
      <c r="AJ92" s="20">
        <v>0</v>
      </c>
      <c r="AK92" s="19">
        <v>0</v>
      </c>
      <c r="AL92" s="20">
        <v>0</v>
      </c>
      <c r="AM92" s="19">
        <v>0</v>
      </c>
      <c r="AN92" s="19">
        <v>0</v>
      </c>
      <c r="AO92" s="19">
        <v>0</v>
      </c>
      <c r="AP92" s="19">
        <v>0</v>
      </c>
      <c r="AQ92" s="19">
        <v>0</v>
      </c>
      <c r="AR92" s="19">
        <v>0</v>
      </c>
      <c r="AS92" s="19">
        <v>0</v>
      </c>
      <c r="AT92" s="19">
        <v>0</v>
      </c>
      <c r="AU92" s="19">
        <v>0</v>
      </c>
      <c r="AV92" s="19">
        <v>0</v>
      </c>
      <c r="AW92" s="20">
        <v>0</v>
      </c>
      <c r="AX92" s="20">
        <v>0</v>
      </c>
      <c r="AY92" s="20">
        <v>0</v>
      </c>
      <c r="AZ92" s="19">
        <v>0</v>
      </c>
      <c r="BA92" s="19">
        <v>0</v>
      </c>
      <c r="BB92" s="19">
        <v>0</v>
      </c>
      <c r="BC92" s="19">
        <v>0</v>
      </c>
      <c r="BD92" s="19">
        <v>0</v>
      </c>
      <c r="BE92" s="21">
        <v>0</v>
      </c>
      <c r="BF92" s="21">
        <v>0</v>
      </c>
      <c r="BG92" s="19">
        <v>0</v>
      </c>
      <c r="BH92" s="19">
        <v>0</v>
      </c>
      <c r="BI92" s="22">
        <f t="shared" si="19"/>
        <v>0</v>
      </c>
      <c r="BJ92" s="22">
        <f t="shared" si="20"/>
        <v>10</v>
      </c>
      <c r="BK92" s="22">
        <f t="shared" si="21"/>
        <v>40</v>
      </c>
      <c r="BL92" s="22">
        <f t="shared" si="22"/>
        <v>30</v>
      </c>
      <c r="BM92" s="22">
        <f t="shared" si="23"/>
        <v>10</v>
      </c>
      <c r="BN92" s="23">
        <f t="shared" si="24"/>
        <v>1</v>
      </c>
      <c r="BO92" s="23">
        <f t="shared" si="24"/>
        <v>0</v>
      </c>
      <c r="BP92" s="7">
        <f>VLOOKUP(A92,[1]Sheet15!B:E,4,0)</f>
        <v>28</v>
      </c>
      <c r="BQ92" s="7">
        <f>VLOOKUP(A92,[1]Sheet15!B:E,3,0)</f>
        <v>0</v>
      </c>
    </row>
    <row r="93" spans="1:69" ht="22.5" customHeight="1" x14ac:dyDescent="0.25">
      <c r="A93" s="15" t="s">
        <v>269</v>
      </c>
      <c r="B93" s="15">
        <f>VLOOKUP(A93,'[1]Master clients'!F90:W3637,17,0)</f>
        <v>0</v>
      </c>
      <c r="C93" s="15" t="str">
        <f>VLOOKUP(A93,'[1]Master clients'!F90:P3637,11,0)</f>
        <v>-</v>
      </c>
      <c r="D93" s="15" t="str">
        <f>VLOOKUP(A93,'[1]Master clients'!F:M,8,0)</f>
        <v>End User</v>
      </c>
      <c r="E93" s="16" t="s">
        <v>270</v>
      </c>
      <c r="F93" s="16" t="s">
        <v>271</v>
      </c>
      <c r="G93" s="17">
        <v>20</v>
      </c>
      <c r="H93" s="17">
        <v>0</v>
      </c>
      <c r="I93" s="18">
        <v>11</v>
      </c>
      <c r="J93" s="18">
        <v>0</v>
      </c>
      <c r="K93" s="17">
        <v>8</v>
      </c>
      <c r="L93" s="17">
        <v>0</v>
      </c>
      <c r="M93" s="17">
        <v>0</v>
      </c>
      <c r="N93" s="17">
        <v>0</v>
      </c>
      <c r="O93" s="19">
        <v>0</v>
      </c>
      <c r="P93" s="19">
        <v>0</v>
      </c>
      <c r="Q93" s="19">
        <v>21</v>
      </c>
      <c r="R93" s="19">
        <v>24</v>
      </c>
      <c r="S93" s="19">
        <v>0</v>
      </c>
      <c r="T93" s="19">
        <v>0</v>
      </c>
      <c r="U93" s="19">
        <v>0</v>
      </c>
      <c r="V93" s="19">
        <v>0</v>
      </c>
      <c r="W93" s="20">
        <v>0</v>
      </c>
      <c r="X93" s="20">
        <v>0</v>
      </c>
      <c r="Y93" s="19">
        <v>0</v>
      </c>
      <c r="Z93" s="19">
        <v>0</v>
      </c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>
        <v>0</v>
      </c>
      <c r="AI93" s="20">
        <v>0</v>
      </c>
      <c r="AJ93" s="20">
        <v>0</v>
      </c>
      <c r="AK93" s="19">
        <v>0</v>
      </c>
      <c r="AL93" s="20">
        <v>0</v>
      </c>
      <c r="AM93" s="19">
        <v>0</v>
      </c>
      <c r="AN93" s="19">
        <v>0</v>
      </c>
      <c r="AO93" s="19">
        <v>0</v>
      </c>
      <c r="AP93" s="19">
        <v>0</v>
      </c>
      <c r="AQ93" s="19">
        <v>0</v>
      </c>
      <c r="AR93" s="19">
        <v>0</v>
      </c>
      <c r="AS93" s="19">
        <v>0</v>
      </c>
      <c r="AT93" s="19">
        <v>0</v>
      </c>
      <c r="AU93" s="19">
        <v>0</v>
      </c>
      <c r="AV93" s="19">
        <v>0</v>
      </c>
      <c r="AW93" s="20">
        <v>0</v>
      </c>
      <c r="AX93" s="20">
        <v>0</v>
      </c>
      <c r="AY93" s="20">
        <v>0</v>
      </c>
      <c r="AZ93" s="19">
        <v>0</v>
      </c>
      <c r="BA93" s="19">
        <v>0</v>
      </c>
      <c r="BB93" s="19">
        <v>0</v>
      </c>
      <c r="BC93" s="19">
        <v>0</v>
      </c>
      <c r="BD93" s="19">
        <v>0</v>
      </c>
      <c r="BE93" s="21">
        <v>0</v>
      </c>
      <c r="BF93" s="21">
        <v>0</v>
      </c>
      <c r="BG93" s="19">
        <v>0</v>
      </c>
      <c r="BH93" s="19">
        <v>0</v>
      </c>
      <c r="BI93" s="22">
        <f t="shared" si="19"/>
        <v>32</v>
      </c>
      <c r="BJ93" s="22">
        <f t="shared" si="20"/>
        <v>21</v>
      </c>
      <c r="BK93" s="22">
        <f t="shared" si="21"/>
        <v>64</v>
      </c>
      <c r="BL93" s="22">
        <f t="shared" si="22"/>
        <v>43</v>
      </c>
      <c r="BM93" s="22">
        <f t="shared" si="23"/>
        <v>21</v>
      </c>
      <c r="BN93" s="23">
        <f t="shared" si="24"/>
        <v>0.2558139534883721</v>
      </c>
      <c r="BO93" s="23">
        <f t="shared" si="24"/>
        <v>0</v>
      </c>
      <c r="BP93" s="7">
        <f>VLOOKUP(A93,[1]Sheet15!B:E,4,0)</f>
        <v>4</v>
      </c>
      <c r="BQ93" s="7">
        <f>VLOOKUP(A93,[1]Sheet15!B:E,3,0)</f>
        <v>0</v>
      </c>
    </row>
    <row r="94" spans="1:69" ht="22.5" customHeight="1" x14ac:dyDescent="0.25">
      <c r="A94" s="15" t="s">
        <v>272</v>
      </c>
      <c r="B94" s="15">
        <f>VLOOKUP(A94,'[1]Master clients'!F91:W3638,17,0)</f>
        <v>0</v>
      </c>
      <c r="C94" s="15" t="str">
        <f>VLOOKUP(A94,'[1]Master clients'!F91:P3638,11,0)</f>
        <v>AV</v>
      </c>
      <c r="D94" s="15" t="str">
        <f>VLOOKUP(A94,'[1]Master clients'!F:M,8,0)</f>
        <v>Group (Mills)</v>
      </c>
      <c r="E94" s="16" t="s">
        <v>273</v>
      </c>
      <c r="F94" s="34" t="s">
        <v>274</v>
      </c>
      <c r="G94" s="17"/>
      <c r="H94" s="17"/>
      <c r="I94" s="31">
        <v>0</v>
      </c>
      <c r="J94" s="31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  <c r="AE94" s="17">
        <v>0</v>
      </c>
      <c r="AF94" s="17">
        <v>0</v>
      </c>
      <c r="AG94" s="17">
        <v>0</v>
      </c>
      <c r="AH94" s="17">
        <v>0</v>
      </c>
      <c r="AI94" s="17">
        <v>0</v>
      </c>
      <c r="AJ94" s="17">
        <v>0</v>
      </c>
      <c r="AK94" s="17">
        <v>0</v>
      </c>
      <c r="AL94" s="17">
        <v>0</v>
      </c>
      <c r="AM94" s="17">
        <v>0</v>
      </c>
      <c r="AN94" s="17">
        <v>0</v>
      </c>
      <c r="AO94" s="17">
        <v>0</v>
      </c>
      <c r="AP94" s="17">
        <v>0</v>
      </c>
      <c r="AQ94" s="17">
        <v>0</v>
      </c>
      <c r="AR94" s="17">
        <v>0</v>
      </c>
      <c r="AS94" s="17">
        <v>0</v>
      </c>
      <c r="AT94" s="17">
        <v>0</v>
      </c>
      <c r="AU94" s="17">
        <v>0</v>
      </c>
      <c r="AV94" s="17">
        <v>0</v>
      </c>
      <c r="AW94" s="17">
        <v>0</v>
      </c>
      <c r="AX94" s="17">
        <v>0</v>
      </c>
      <c r="AY94" s="17">
        <v>0</v>
      </c>
      <c r="AZ94" s="17">
        <v>0</v>
      </c>
      <c r="BA94" s="17">
        <v>0</v>
      </c>
      <c r="BB94" s="17">
        <v>0</v>
      </c>
      <c r="BC94" s="17">
        <v>0</v>
      </c>
      <c r="BD94" s="17">
        <v>0</v>
      </c>
      <c r="BE94" s="17">
        <v>0</v>
      </c>
      <c r="BF94" s="17">
        <v>0</v>
      </c>
      <c r="BG94" s="17">
        <v>0</v>
      </c>
      <c r="BH94" s="17">
        <v>0</v>
      </c>
      <c r="BI94" s="22">
        <f t="shared" si="19"/>
        <v>0</v>
      </c>
      <c r="BJ94" s="22">
        <f t="shared" si="20"/>
        <v>0</v>
      </c>
      <c r="BK94" s="22">
        <f t="shared" si="21"/>
        <v>0</v>
      </c>
      <c r="BL94" s="22">
        <f t="shared" si="22"/>
        <v>0</v>
      </c>
      <c r="BM94" s="22">
        <f t="shared" si="23"/>
        <v>0</v>
      </c>
      <c r="BN94" s="23" t="e">
        <f t="shared" si="24"/>
        <v>#DIV/0!</v>
      </c>
      <c r="BO94" s="23" t="e">
        <f t="shared" si="24"/>
        <v>#DIV/0!</v>
      </c>
      <c r="BP94" s="7" t="e">
        <f>VLOOKUP(A94,[1]Sheet15!B:E,4,0)</f>
        <v>#N/A</v>
      </c>
      <c r="BQ94" s="7" t="e">
        <f>VLOOKUP(A94,[1]Sheet15!B:E,3,0)</f>
        <v>#N/A</v>
      </c>
    </row>
    <row r="95" spans="1:69" ht="22.5" customHeight="1" x14ac:dyDescent="0.25">
      <c r="A95" s="15" t="s">
        <v>275</v>
      </c>
      <c r="B95" s="15">
        <f>VLOOKUP(A95,'[1]Master clients'!F92:W3639,17,0)</f>
        <v>0</v>
      </c>
      <c r="C95" s="15" t="str">
        <f>VLOOKUP(A95,'[1]Master clients'!F92:P3639,11,0)</f>
        <v>AV</v>
      </c>
      <c r="D95" s="15" t="str">
        <f>VLOOKUP(A95,'[1]Master clients'!F:M,8,0)</f>
        <v>Group (Mills)</v>
      </c>
      <c r="E95" s="16" t="s">
        <v>276</v>
      </c>
      <c r="F95" s="16" t="s">
        <v>274</v>
      </c>
      <c r="G95" s="17"/>
      <c r="H95" s="17"/>
      <c r="I95" s="31">
        <v>0</v>
      </c>
      <c r="J95" s="31">
        <v>0</v>
      </c>
      <c r="K95" s="17">
        <v>0</v>
      </c>
      <c r="L95" s="17">
        <v>0</v>
      </c>
      <c r="M95" s="17">
        <v>0</v>
      </c>
      <c r="N95" s="17">
        <v>0</v>
      </c>
      <c r="O95" s="17">
        <v>0</v>
      </c>
      <c r="P95" s="17">
        <v>0</v>
      </c>
      <c r="Q95" s="17">
        <v>0</v>
      </c>
      <c r="R95" s="17">
        <v>0</v>
      </c>
      <c r="S95" s="17">
        <v>0</v>
      </c>
      <c r="T95" s="17">
        <v>0</v>
      </c>
      <c r="U95" s="17">
        <v>0</v>
      </c>
      <c r="V95" s="17">
        <v>0</v>
      </c>
      <c r="W95" s="17">
        <v>0</v>
      </c>
      <c r="X95" s="17">
        <v>0</v>
      </c>
      <c r="Y95" s="17">
        <v>0</v>
      </c>
      <c r="Z95" s="17">
        <v>0</v>
      </c>
      <c r="AA95" s="17">
        <v>0</v>
      </c>
      <c r="AB95" s="17">
        <v>0</v>
      </c>
      <c r="AC95" s="17">
        <v>0</v>
      </c>
      <c r="AD95" s="17">
        <v>0</v>
      </c>
      <c r="AE95" s="17">
        <v>0</v>
      </c>
      <c r="AF95" s="17">
        <v>0</v>
      </c>
      <c r="AG95" s="17">
        <v>0</v>
      </c>
      <c r="AH95" s="17">
        <v>0</v>
      </c>
      <c r="AI95" s="17">
        <v>0</v>
      </c>
      <c r="AJ95" s="17">
        <v>0</v>
      </c>
      <c r="AK95" s="17">
        <v>0</v>
      </c>
      <c r="AL95" s="17">
        <v>0</v>
      </c>
      <c r="AM95" s="17">
        <v>0</v>
      </c>
      <c r="AN95" s="17">
        <v>0</v>
      </c>
      <c r="AO95" s="17">
        <v>0</v>
      </c>
      <c r="AP95" s="17">
        <v>0</v>
      </c>
      <c r="AQ95" s="17">
        <v>0</v>
      </c>
      <c r="AR95" s="17">
        <v>0</v>
      </c>
      <c r="AS95" s="17">
        <v>0</v>
      </c>
      <c r="AT95" s="17">
        <v>0</v>
      </c>
      <c r="AU95" s="17">
        <v>0</v>
      </c>
      <c r="AV95" s="17">
        <v>0</v>
      </c>
      <c r="AW95" s="17">
        <v>0</v>
      </c>
      <c r="AX95" s="17">
        <v>0</v>
      </c>
      <c r="AY95" s="17">
        <v>0</v>
      </c>
      <c r="AZ95" s="17">
        <v>0</v>
      </c>
      <c r="BA95" s="17">
        <v>0</v>
      </c>
      <c r="BB95" s="17">
        <v>0</v>
      </c>
      <c r="BC95" s="17">
        <v>0</v>
      </c>
      <c r="BD95" s="17">
        <v>0</v>
      </c>
      <c r="BE95" s="17">
        <v>0</v>
      </c>
      <c r="BF95" s="17">
        <v>0</v>
      </c>
      <c r="BG95" s="17">
        <v>0</v>
      </c>
      <c r="BH95" s="17">
        <v>0</v>
      </c>
      <c r="BI95" s="22">
        <f t="shared" si="19"/>
        <v>0</v>
      </c>
      <c r="BJ95" s="22">
        <f t="shared" si="20"/>
        <v>0</v>
      </c>
      <c r="BK95" s="22">
        <f t="shared" si="21"/>
        <v>0</v>
      </c>
      <c r="BL95" s="22">
        <f t="shared" si="22"/>
        <v>0</v>
      </c>
      <c r="BM95" s="22">
        <f t="shared" si="23"/>
        <v>0</v>
      </c>
      <c r="BN95" s="23" t="e">
        <f t="shared" si="24"/>
        <v>#DIV/0!</v>
      </c>
      <c r="BO95" s="23" t="e">
        <f t="shared" si="24"/>
        <v>#DIV/0!</v>
      </c>
      <c r="BP95" s="7" t="e">
        <f>VLOOKUP(A95,[1]Sheet15!B:E,4,0)</f>
        <v>#N/A</v>
      </c>
      <c r="BQ95" s="7" t="e">
        <f>VLOOKUP(A95,[1]Sheet15!B:E,3,0)</f>
        <v>#N/A</v>
      </c>
    </row>
    <row r="96" spans="1:69" ht="22.5" customHeight="1" x14ac:dyDescent="0.25">
      <c r="A96" s="15" t="s">
        <v>277</v>
      </c>
      <c r="B96" s="15">
        <f>VLOOKUP(A96,'[1]Master clients'!F93:W3640,17,0)</f>
        <v>0</v>
      </c>
      <c r="C96" s="15" t="str">
        <f>VLOOKUP(A96,'[1]Master clients'!F93:P3640,11,0)</f>
        <v>AV</v>
      </c>
      <c r="D96" s="15" t="str">
        <f>VLOOKUP(A96,'[1]Master clients'!F:M,8,0)</f>
        <v>End User</v>
      </c>
      <c r="E96" s="16" t="s">
        <v>278</v>
      </c>
      <c r="F96" s="16" t="s">
        <v>279</v>
      </c>
      <c r="G96" s="17">
        <v>5</v>
      </c>
      <c r="H96" s="17">
        <v>0</v>
      </c>
      <c r="I96" s="18">
        <v>6</v>
      </c>
      <c r="J96" s="18">
        <v>0</v>
      </c>
      <c r="K96" s="17">
        <v>0</v>
      </c>
      <c r="L96" s="17">
        <v>0</v>
      </c>
      <c r="M96" s="17">
        <v>0</v>
      </c>
      <c r="N96" s="17">
        <v>8</v>
      </c>
      <c r="O96" s="19">
        <v>0</v>
      </c>
      <c r="P96" s="19">
        <v>0</v>
      </c>
      <c r="Q96" s="19">
        <v>1</v>
      </c>
      <c r="R96" s="19">
        <v>0</v>
      </c>
      <c r="S96" s="19">
        <v>0</v>
      </c>
      <c r="T96" s="19">
        <v>0</v>
      </c>
      <c r="U96" s="19">
        <v>0</v>
      </c>
      <c r="V96" s="19">
        <v>0</v>
      </c>
      <c r="W96" s="20">
        <v>0</v>
      </c>
      <c r="X96" s="20">
        <v>0</v>
      </c>
      <c r="Y96" s="19">
        <v>0</v>
      </c>
      <c r="Z96" s="19">
        <v>0</v>
      </c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>
        <v>0</v>
      </c>
      <c r="AI96" s="20">
        <v>0</v>
      </c>
      <c r="AJ96" s="20">
        <v>0</v>
      </c>
      <c r="AK96" s="19">
        <v>0</v>
      </c>
      <c r="AL96" s="20">
        <v>0</v>
      </c>
      <c r="AM96" s="19">
        <v>3</v>
      </c>
      <c r="AN96" s="19">
        <v>0</v>
      </c>
      <c r="AO96" s="19">
        <v>0</v>
      </c>
      <c r="AP96" s="19">
        <v>0</v>
      </c>
      <c r="AQ96" s="19">
        <v>0</v>
      </c>
      <c r="AR96" s="19">
        <v>0</v>
      </c>
      <c r="AS96" s="19">
        <v>0</v>
      </c>
      <c r="AT96" s="19">
        <v>0</v>
      </c>
      <c r="AU96" s="19">
        <v>0</v>
      </c>
      <c r="AV96" s="19">
        <v>0</v>
      </c>
      <c r="AW96" s="20">
        <v>0</v>
      </c>
      <c r="AX96" s="20">
        <v>0</v>
      </c>
      <c r="AY96" s="20">
        <v>0</v>
      </c>
      <c r="AZ96" s="19">
        <v>0</v>
      </c>
      <c r="BA96" s="19">
        <v>0</v>
      </c>
      <c r="BB96" s="19">
        <v>0</v>
      </c>
      <c r="BC96" s="19">
        <v>0</v>
      </c>
      <c r="BD96" s="19">
        <v>0</v>
      </c>
      <c r="BE96" s="21">
        <v>0</v>
      </c>
      <c r="BF96" s="21">
        <v>0</v>
      </c>
      <c r="BG96" s="19">
        <v>0</v>
      </c>
      <c r="BH96" s="19">
        <v>0</v>
      </c>
      <c r="BI96" s="22">
        <f t="shared" si="19"/>
        <v>0</v>
      </c>
      <c r="BJ96" s="22">
        <f t="shared" si="20"/>
        <v>12</v>
      </c>
      <c r="BK96" s="22">
        <f t="shared" si="21"/>
        <v>18</v>
      </c>
      <c r="BL96" s="22">
        <f t="shared" si="22"/>
        <v>6</v>
      </c>
      <c r="BM96" s="22">
        <f t="shared" si="23"/>
        <v>12</v>
      </c>
      <c r="BN96" s="23">
        <f t="shared" si="24"/>
        <v>1</v>
      </c>
      <c r="BO96" s="23">
        <f t="shared" si="24"/>
        <v>0</v>
      </c>
      <c r="BP96" s="7">
        <f>VLOOKUP(A96,[1]Sheet15!B:E,4,0)</f>
        <v>3</v>
      </c>
      <c r="BQ96" s="7">
        <f>VLOOKUP(A96,[1]Sheet15!B:E,3,0)</f>
        <v>0</v>
      </c>
    </row>
    <row r="97" spans="1:69" ht="22.5" customHeight="1" x14ac:dyDescent="0.25">
      <c r="A97" s="15" t="s">
        <v>280</v>
      </c>
      <c r="B97" s="15">
        <f>VLOOKUP(A97,'[1]Master clients'!F94:W3641,17,0)</f>
        <v>0</v>
      </c>
      <c r="C97" s="15" t="str">
        <f>VLOOKUP(A97,'[1]Master clients'!F94:P3641,11,0)</f>
        <v>AV</v>
      </c>
      <c r="D97" s="15" t="str">
        <f>VLOOKUP(A97,'[1]Master clients'!F:M,8,0)</f>
        <v>End User</v>
      </c>
      <c r="E97" s="16" t="s">
        <v>281</v>
      </c>
      <c r="F97" s="16" t="s">
        <v>282</v>
      </c>
      <c r="G97" s="17">
        <v>14</v>
      </c>
      <c r="H97" s="17">
        <v>0</v>
      </c>
      <c r="I97" s="18">
        <v>11</v>
      </c>
      <c r="J97" s="18">
        <v>3</v>
      </c>
      <c r="K97" s="17">
        <v>0</v>
      </c>
      <c r="L97" s="17">
        <v>0</v>
      </c>
      <c r="M97" s="17">
        <v>0</v>
      </c>
      <c r="N97" s="17">
        <v>0</v>
      </c>
      <c r="O97" s="19">
        <v>0</v>
      </c>
      <c r="P97" s="19">
        <v>0</v>
      </c>
      <c r="Q97" s="19">
        <v>8</v>
      </c>
      <c r="R97" s="19">
        <v>0</v>
      </c>
      <c r="S97" s="19">
        <v>0</v>
      </c>
      <c r="T97" s="19">
        <v>0</v>
      </c>
      <c r="U97" s="19">
        <v>0</v>
      </c>
      <c r="V97" s="19">
        <v>0</v>
      </c>
      <c r="W97" s="20">
        <v>0</v>
      </c>
      <c r="X97" s="20">
        <v>0</v>
      </c>
      <c r="Y97" s="19">
        <v>0</v>
      </c>
      <c r="Z97" s="19">
        <v>0</v>
      </c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>
        <v>0</v>
      </c>
      <c r="AI97" s="20">
        <v>0</v>
      </c>
      <c r="AJ97" s="20">
        <v>0</v>
      </c>
      <c r="AK97" s="19">
        <v>0</v>
      </c>
      <c r="AL97" s="20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>
        <v>0</v>
      </c>
      <c r="AS97" s="19">
        <v>0</v>
      </c>
      <c r="AT97" s="19">
        <v>0</v>
      </c>
      <c r="AU97" s="19">
        <v>0</v>
      </c>
      <c r="AV97" s="19">
        <v>0</v>
      </c>
      <c r="AW97" s="20">
        <v>0</v>
      </c>
      <c r="AX97" s="20">
        <v>0</v>
      </c>
      <c r="AY97" s="20">
        <v>0</v>
      </c>
      <c r="AZ97" s="19">
        <v>0</v>
      </c>
      <c r="BA97" s="19">
        <v>0</v>
      </c>
      <c r="BB97" s="19">
        <v>0</v>
      </c>
      <c r="BC97" s="19">
        <v>0</v>
      </c>
      <c r="BD97" s="19">
        <v>0</v>
      </c>
      <c r="BE97" s="21">
        <v>0</v>
      </c>
      <c r="BF97" s="21">
        <v>0</v>
      </c>
      <c r="BG97" s="19">
        <v>0</v>
      </c>
      <c r="BH97" s="19">
        <v>0</v>
      </c>
      <c r="BI97" s="22">
        <f t="shared" si="19"/>
        <v>0</v>
      </c>
      <c r="BJ97" s="22">
        <f t="shared" si="20"/>
        <v>8</v>
      </c>
      <c r="BK97" s="22">
        <f t="shared" si="21"/>
        <v>22</v>
      </c>
      <c r="BL97" s="22">
        <f t="shared" si="22"/>
        <v>11</v>
      </c>
      <c r="BM97" s="22">
        <f t="shared" si="23"/>
        <v>11</v>
      </c>
      <c r="BN97" s="23">
        <f t="shared" si="24"/>
        <v>1</v>
      </c>
      <c r="BO97" s="23">
        <f t="shared" si="24"/>
        <v>0.27272727272727271</v>
      </c>
      <c r="BP97" s="7">
        <f>VLOOKUP(A97,[1]Sheet15!B:E,4,0)</f>
        <v>5</v>
      </c>
      <c r="BQ97" s="7">
        <f>VLOOKUP(A97,[1]Sheet15!B:E,3,0)</f>
        <v>0</v>
      </c>
    </row>
    <row r="98" spans="1:69" ht="22.5" customHeight="1" x14ac:dyDescent="0.25">
      <c r="A98" s="15" t="s">
        <v>283</v>
      </c>
      <c r="B98" s="15" t="str">
        <f>VLOOKUP(A98,'[1]Master clients'!F95:W3642,17,0)</f>
        <v>May</v>
      </c>
      <c r="C98" s="15" t="str">
        <f>VLOOKUP(A98,'[1]Master clients'!F95:P3642,11,0)</f>
        <v>AV</v>
      </c>
      <c r="D98" s="15" t="str">
        <f>VLOOKUP(A98,'[1]Master clients'!F:M,8,0)</f>
        <v>End User</v>
      </c>
      <c r="E98" s="16" t="s">
        <v>284</v>
      </c>
      <c r="F98" s="16" t="s">
        <v>285</v>
      </c>
      <c r="G98" s="17">
        <v>14</v>
      </c>
      <c r="H98" s="17">
        <v>0</v>
      </c>
      <c r="I98" s="18">
        <v>6</v>
      </c>
      <c r="J98" s="18">
        <v>0</v>
      </c>
      <c r="K98" s="17">
        <v>0</v>
      </c>
      <c r="L98" s="17">
        <v>0</v>
      </c>
      <c r="M98" s="17">
        <v>2</v>
      </c>
      <c r="N98" s="17">
        <v>0</v>
      </c>
      <c r="O98" s="19">
        <v>1</v>
      </c>
      <c r="P98" s="19">
        <v>0</v>
      </c>
      <c r="Q98" s="19">
        <v>13</v>
      </c>
      <c r="R98" s="19">
        <v>7</v>
      </c>
      <c r="S98" s="19">
        <v>0</v>
      </c>
      <c r="T98" s="19">
        <v>0</v>
      </c>
      <c r="U98" s="19">
        <v>0</v>
      </c>
      <c r="V98" s="19">
        <v>0</v>
      </c>
      <c r="W98" s="20">
        <v>0</v>
      </c>
      <c r="X98" s="20">
        <v>0</v>
      </c>
      <c r="Y98" s="19">
        <v>0</v>
      </c>
      <c r="Z98" s="19">
        <v>0</v>
      </c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>
        <v>0</v>
      </c>
      <c r="AI98" s="20">
        <v>0</v>
      </c>
      <c r="AJ98" s="20">
        <v>0</v>
      </c>
      <c r="AK98" s="19">
        <v>0</v>
      </c>
      <c r="AL98" s="20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>
        <v>0</v>
      </c>
      <c r="AS98" s="19">
        <v>0</v>
      </c>
      <c r="AT98" s="19">
        <v>0</v>
      </c>
      <c r="AU98" s="19">
        <v>0</v>
      </c>
      <c r="AV98" s="19">
        <v>0</v>
      </c>
      <c r="AW98" s="20">
        <v>0</v>
      </c>
      <c r="AX98" s="20">
        <v>0</v>
      </c>
      <c r="AY98" s="20">
        <v>0</v>
      </c>
      <c r="AZ98" s="19">
        <v>0</v>
      </c>
      <c r="BA98" s="19">
        <v>0</v>
      </c>
      <c r="BB98" s="19">
        <v>0</v>
      </c>
      <c r="BC98" s="19">
        <v>0</v>
      </c>
      <c r="BD98" s="19">
        <v>0</v>
      </c>
      <c r="BE98" s="21">
        <v>0</v>
      </c>
      <c r="BF98" s="21">
        <v>0</v>
      </c>
      <c r="BG98" s="19">
        <v>0</v>
      </c>
      <c r="BH98" s="19">
        <v>0</v>
      </c>
      <c r="BI98" s="22">
        <f t="shared" si="19"/>
        <v>9</v>
      </c>
      <c r="BJ98" s="22">
        <f t="shared" si="20"/>
        <v>14</v>
      </c>
      <c r="BK98" s="22">
        <f t="shared" si="21"/>
        <v>29</v>
      </c>
      <c r="BL98" s="22">
        <f t="shared" si="22"/>
        <v>15</v>
      </c>
      <c r="BM98" s="22">
        <f t="shared" si="23"/>
        <v>14</v>
      </c>
      <c r="BN98" s="23">
        <f t="shared" si="24"/>
        <v>0.4</v>
      </c>
      <c r="BO98" s="23">
        <f t="shared" si="24"/>
        <v>0</v>
      </c>
      <c r="BP98" s="7">
        <f>VLOOKUP(A98,[1]Sheet15!B:E,4,0)</f>
        <v>4</v>
      </c>
      <c r="BQ98" s="7">
        <f>VLOOKUP(A98,[1]Sheet15!B:E,3,0)</f>
        <v>0</v>
      </c>
    </row>
    <row r="99" spans="1:69" ht="22.5" customHeight="1" x14ac:dyDescent="0.25">
      <c r="A99" s="15" t="s">
        <v>286</v>
      </c>
      <c r="B99" s="15">
        <f>VLOOKUP(A99,'[1]Master clients'!F96:W3643,17,0)</f>
        <v>0</v>
      </c>
      <c r="C99" s="15" t="str">
        <f>VLOOKUP(A99,'[1]Master clients'!F96:P3643,11,0)</f>
        <v>AV</v>
      </c>
      <c r="D99" s="15" t="str">
        <f>VLOOKUP(A99,'[1]Master clients'!F:M,8,0)</f>
        <v>End User</v>
      </c>
      <c r="E99" s="16" t="s">
        <v>287</v>
      </c>
      <c r="F99" s="16" t="s">
        <v>285</v>
      </c>
      <c r="G99" s="17">
        <v>2</v>
      </c>
      <c r="H99" s="17">
        <v>0</v>
      </c>
      <c r="I99" s="18">
        <v>2</v>
      </c>
      <c r="J99" s="18">
        <v>0</v>
      </c>
      <c r="K99" s="17">
        <v>2</v>
      </c>
      <c r="L99" s="17">
        <v>0</v>
      </c>
      <c r="M99" s="17">
        <v>0</v>
      </c>
      <c r="N99" s="17">
        <v>0</v>
      </c>
      <c r="O99" s="19">
        <v>0</v>
      </c>
      <c r="P99" s="19">
        <v>0</v>
      </c>
      <c r="Q99" s="19">
        <v>0</v>
      </c>
      <c r="R99" s="19">
        <v>0</v>
      </c>
      <c r="S99" s="19">
        <v>0</v>
      </c>
      <c r="T99" s="19">
        <v>0</v>
      </c>
      <c r="U99" s="19">
        <v>0</v>
      </c>
      <c r="V99" s="19">
        <v>0</v>
      </c>
      <c r="W99" s="20">
        <v>0</v>
      </c>
      <c r="X99" s="20">
        <v>0</v>
      </c>
      <c r="Y99" s="19">
        <v>0</v>
      </c>
      <c r="Z99" s="19">
        <v>0</v>
      </c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>
        <v>0</v>
      </c>
      <c r="AI99" s="20">
        <v>0</v>
      </c>
      <c r="AJ99" s="20">
        <v>0</v>
      </c>
      <c r="AK99" s="19">
        <v>0</v>
      </c>
      <c r="AL99" s="20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>
        <v>0</v>
      </c>
      <c r="AS99" s="19">
        <v>0</v>
      </c>
      <c r="AT99" s="19">
        <v>0</v>
      </c>
      <c r="AU99" s="19">
        <v>0</v>
      </c>
      <c r="AV99" s="19">
        <v>2</v>
      </c>
      <c r="AW99" s="20">
        <v>0</v>
      </c>
      <c r="AX99" s="20">
        <v>0</v>
      </c>
      <c r="AY99" s="20">
        <v>0</v>
      </c>
      <c r="AZ99" s="19">
        <v>0</v>
      </c>
      <c r="BA99" s="19">
        <v>0</v>
      </c>
      <c r="BB99" s="19">
        <v>0</v>
      </c>
      <c r="BC99" s="19">
        <v>0</v>
      </c>
      <c r="BD99" s="19">
        <v>0</v>
      </c>
      <c r="BE99" s="21">
        <v>0</v>
      </c>
      <c r="BF99" s="21">
        <v>0</v>
      </c>
      <c r="BG99" s="19">
        <v>0</v>
      </c>
      <c r="BH99" s="19">
        <v>0</v>
      </c>
      <c r="BI99" s="22">
        <f t="shared" si="19"/>
        <v>4</v>
      </c>
      <c r="BJ99" s="22">
        <f t="shared" si="20"/>
        <v>0</v>
      </c>
      <c r="BK99" s="22">
        <f t="shared" si="21"/>
        <v>6</v>
      </c>
      <c r="BL99" s="22">
        <f t="shared" si="22"/>
        <v>6</v>
      </c>
      <c r="BM99" s="22">
        <f t="shared" si="23"/>
        <v>0</v>
      </c>
      <c r="BN99" s="23">
        <f t="shared" si="24"/>
        <v>0.33333333333333331</v>
      </c>
      <c r="BO99" s="23" t="e">
        <f t="shared" si="24"/>
        <v>#DIV/0!</v>
      </c>
      <c r="BP99" s="7" t="e">
        <f>VLOOKUP(A99,[1]Sheet15!B:E,4,0)</f>
        <v>#N/A</v>
      </c>
      <c r="BQ99" s="7" t="e">
        <f>VLOOKUP(A99,[1]Sheet15!B:E,3,0)</f>
        <v>#N/A</v>
      </c>
    </row>
    <row r="100" spans="1:69" ht="22.5" customHeight="1" x14ac:dyDescent="0.25">
      <c r="A100" s="15" t="s">
        <v>288</v>
      </c>
      <c r="B100" s="15">
        <f>VLOOKUP(A100,'[1]Master clients'!F97:W3644,17,0)</f>
        <v>0</v>
      </c>
      <c r="C100" s="15" t="str">
        <f>VLOOKUP(A100,'[1]Master clients'!F97:P3644,11,0)</f>
        <v>AV</v>
      </c>
      <c r="D100" s="15" t="str">
        <f>VLOOKUP(A100,'[1]Master clients'!F:M,8,0)</f>
        <v>Group (Mills)</v>
      </c>
      <c r="E100" s="16" t="s">
        <v>289</v>
      </c>
      <c r="F100" s="16" t="s">
        <v>274</v>
      </c>
      <c r="G100" s="17">
        <v>0</v>
      </c>
      <c r="H100" s="17">
        <v>0</v>
      </c>
      <c r="I100" s="18">
        <v>4</v>
      </c>
      <c r="J100" s="18">
        <v>0</v>
      </c>
      <c r="K100" s="17">
        <v>6</v>
      </c>
      <c r="L100" s="17">
        <v>0</v>
      </c>
      <c r="M100" s="17">
        <v>0</v>
      </c>
      <c r="N100" s="17">
        <v>0</v>
      </c>
      <c r="O100" s="19">
        <v>0</v>
      </c>
      <c r="P100" s="19">
        <v>0</v>
      </c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20">
        <v>0</v>
      </c>
      <c r="X100" s="20">
        <v>0</v>
      </c>
      <c r="Y100" s="19">
        <v>0</v>
      </c>
      <c r="Z100" s="19">
        <v>0</v>
      </c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>
        <v>0</v>
      </c>
      <c r="AI100" s="20">
        <v>0</v>
      </c>
      <c r="AJ100" s="20">
        <v>0</v>
      </c>
      <c r="AK100" s="19">
        <v>0</v>
      </c>
      <c r="AL100" s="20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>
        <v>0</v>
      </c>
      <c r="AS100" s="19">
        <v>0</v>
      </c>
      <c r="AT100" s="19">
        <v>0</v>
      </c>
      <c r="AU100" s="19">
        <v>0</v>
      </c>
      <c r="AV100" s="19">
        <v>0</v>
      </c>
      <c r="AW100" s="20">
        <v>0</v>
      </c>
      <c r="AX100" s="20">
        <v>0</v>
      </c>
      <c r="AY100" s="20">
        <v>0</v>
      </c>
      <c r="AZ100" s="19">
        <v>0</v>
      </c>
      <c r="BA100" s="19">
        <v>0</v>
      </c>
      <c r="BB100" s="19">
        <v>0</v>
      </c>
      <c r="BC100" s="19">
        <v>0</v>
      </c>
      <c r="BD100" s="19">
        <v>0</v>
      </c>
      <c r="BE100" s="21">
        <v>0</v>
      </c>
      <c r="BF100" s="21">
        <v>0</v>
      </c>
      <c r="BG100" s="19">
        <v>0</v>
      </c>
      <c r="BH100" s="19">
        <v>0</v>
      </c>
      <c r="BI100" s="22">
        <f t="shared" si="19"/>
        <v>6</v>
      </c>
      <c r="BJ100" s="22">
        <f t="shared" si="20"/>
        <v>0</v>
      </c>
      <c r="BK100" s="22">
        <f t="shared" si="21"/>
        <v>10</v>
      </c>
      <c r="BL100" s="22">
        <f t="shared" si="22"/>
        <v>10</v>
      </c>
      <c r="BM100" s="22">
        <f t="shared" si="23"/>
        <v>0</v>
      </c>
      <c r="BN100" s="23">
        <f t="shared" si="24"/>
        <v>0.4</v>
      </c>
      <c r="BO100" s="23" t="e">
        <f t="shared" si="24"/>
        <v>#DIV/0!</v>
      </c>
      <c r="BP100" s="7" t="e">
        <f>VLOOKUP(A100,[1]Sheet15!B:E,4,0)</f>
        <v>#N/A</v>
      </c>
      <c r="BQ100" s="7" t="e">
        <f>VLOOKUP(A100,[1]Sheet15!B:E,3,0)</f>
        <v>#N/A</v>
      </c>
    </row>
    <row r="101" spans="1:69" ht="22.5" customHeight="1" x14ac:dyDescent="0.25">
      <c r="A101" s="15" t="s">
        <v>290</v>
      </c>
      <c r="B101" s="15">
        <f>VLOOKUP(A101,'[1]Master clients'!F98:W3645,17,0)</f>
        <v>0</v>
      </c>
      <c r="C101" s="15" t="str">
        <f>VLOOKUP(A101,'[1]Master clients'!F98:P3645,11,0)</f>
        <v>AV</v>
      </c>
      <c r="D101" s="15" t="str">
        <f>VLOOKUP(A101,'[1]Master clients'!F:M,8,0)</f>
        <v>Group (Mills)</v>
      </c>
      <c r="E101" s="16" t="s">
        <v>291</v>
      </c>
      <c r="F101" s="16" t="s">
        <v>274</v>
      </c>
      <c r="G101" s="17"/>
      <c r="H101" s="17"/>
      <c r="I101" s="31">
        <v>0</v>
      </c>
      <c r="J101" s="31">
        <v>0</v>
      </c>
      <c r="K101" s="17">
        <v>0</v>
      </c>
      <c r="L101" s="17">
        <v>0</v>
      </c>
      <c r="M101" s="17">
        <v>0</v>
      </c>
      <c r="N101" s="17">
        <v>0</v>
      </c>
      <c r="O101" s="17">
        <v>0</v>
      </c>
      <c r="P101" s="17">
        <v>0</v>
      </c>
      <c r="Q101" s="17">
        <v>0</v>
      </c>
      <c r="R101" s="17">
        <v>0</v>
      </c>
      <c r="S101" s="17">
        <v>0</v>
      </c>
      <c r="T101" s="17">
        <v>0</v>
      </c>
      <c r="U101" s="17">
        <v>0</v>
      </c>
      <c r="V101" s="17">
        <v>0</v>
      </c>
      <c r="W101" s="17">
        <v>0</v>
      </c>
      <c r="X101" s="17">
        <v>0</v>
      </c>
      <c r="Y101" s="17">
        <v>0</v>
      </c>
      <c r="Z101" s="17">
        <v>0</v>
      </c>
      <c r="AA101" s="17">
        <v>0</v>
      </c>
      <c r="AB101" s="17">
        <v>0</v>
      </c>
      <c r="AC101" s="17">
        <v>0</v>
      </c>
      <c r="AD101" s="17">
        <v>0</v>
      </c>
      <c r="AE101" s="17">
        <v>0</v>
      </c>
      <c r="AF101" s="17">
        <v>0</v>
      </c>
      <c r="AG101" s="17">
        <v>0</v>
      </c>
      <c r="AH101" s="17">
        <v>0</v>
      </c>
      <c r="AI101" s="17">
        <v>0</v>
      </c>
      <c r="AJ101" s="17">
        <v>0</v>
      </c>
      <c r="AK101" s="17">
        <v>0</v>
      </c>
      <c r="AL101" s="17">
        <v>0</v>
      </c>
      <c r="AM101" s="17">
        <v>0</v>
      </c>
      <c r="AN101" s="17">
        <v>0</v>
      </c>
      <c r="AO101" s="17">
        <v>0</v>
      </c>
      <c r="AP101" s="17">
        <v>0</v>
      </c>
      <c r="AQ101" s="17">
        <v>0</v>
      </c>
      <c r="AR101" s="17">
        <v>0</v>
      </c>
      <c r="AS101" s="17">
        <v>0</v>
      </c>
      <c r="AT101" s="17">
        <v>0</v>
      </c>
      <c r="AU101" s="17">
        <v>0</v>
      </c>
      <c r="AV101" s="17">
        <v>0</v>
      </c>
      <c r="AW101" s="17">
        <v>0</v>
      </c>
      <c r="AX101" s="17">
        <v>0</v>
      </c>
      <c r="AY101" s="17">
        <v>0</v>
      </c>
      <c r="AZ101" s="17">
        <v>0</v>
      </c>
      <c r="BA101" s="17">
        <v>0</v>
      </c>
      <c r="BB101" s="17">
        <v>0</v>
      </c>
      <c r="BC101" s="17">
        <v>0</v>
      </c>
      <c r="BD101" s="17">
        <v>0</v>
      </c>
      <c r="BE101" s="17">
        <v>0</v>
      </c>
      <c r="BF101" s="17">
        <v>0</v>
      </c>
      <c r="BG101" s="17">
        <v>0</v>
      </c>
      <c r="BH101" s="17">
        <v>0</v>
      </c>
      <c r="BI101" s="22">
        <f t="shared" si="19"/>
        <v>0</v>
      </c>
      <c r="BJ101" s="22">
        <f t="shared" si="20"/>
        <v>0</v>
      </c>
      <c r="BK101" s="22">
        <f t="shared" si="21"/>
        <v>0</v>
      </c>
      <c r="BL101" s="22">
        <f t="shared" si="22"/>
        <v>0</v>
      </c>
      <c r="BM101" s="22">
        <f t="shared" si="23"/>
        <v>0</v>
      </c>
      <c r="BN101" s="23" t="e">
        <f t="shared" ref="BN101:BO116" si="25">I101/BL101</f>
        <v>#DIV/0!</v>
      </c>
      <c r="BO101" s="23" t="e">
        <f t="shared" si="25"/>
        <v>#DIV/0!</v>
      </c>
      <c r="BP101" s="7" t="e">
        <f>VLOOKUP(A101,[1]Sheet15!B:E,4,0)</f>
        <v>#N/A</v>
      </c>
      <c r="BQ101" s="7" t="e">
        <f>VLOOKUP(A101,[1]Sheet15!B:E,3,0)</f>
        <v>#N/A</v>
      </c>
    </row>
    <row r="102" spans="1:69" ht="22.5" customHeight="1" x14ac:dyDescent="0.25">
      <c r="A102" s="15" t="s">
        <v>292</v>
      </c>
      <c r="B102" s="15">
        <f>VLOOKUP(A102,'[1]Master clients'!F99:W3646,17,0)</f>
        <v>0</v>
      </c>
      <c r="C102" s="15" t="str">
        <f>VLOOKUP(A102,'[1]Master clients'!F99:P3646,11,0)</f>
        <v>NI</v>
      </c>
      <c r="D102" s="15" t="str">
        <f>VLOOKUP(A102,'[1]Master clients'!F:M,8,0)</f>
        <v>Group (Mills)</v>
      </c>
      <c r="E102" s="24" t="s">
        <v>293</v>
      </c>
      <c r="F102" s="25" t="s">
        <v>294</v>
      </c>
      <c r="G102" s="20">
        <v>0</v>
      </c>
      <c r="H102" s="20">
        <v>0</v>
      </c>
      <c r="I102" s="26">
        <v>10</v>
      </c>
      <c r="J102" s="26">
        <v>0</v>
      </c>
      <c r="K102" s="20">
        <v>0</v>
      </c>
      <c r="L102" s="20">
        <v>0</v>
      </c>
      <c r="M102" s="20">
        <v>0</v>
      </c>
      <c r="N102" s="20">
        <v>8</v>
      </c>
      <c r="O102" s="20">
        <v>0</v>
      </c>
      <c r="P102" s="20">
        <v>0</v>
      </c>
      <c r="Q102" s="20">
        <v>0</v>
      </c>
      <c r="R102" s="20">
        <v>0</v>
      </c>
      <c r="S102" s="20">
        <v>0</v>
      </c>
      <c r="T102" s="20">
        <v>0</v>
      </c>
      <c r="U102" s="20">
        <v>0</v>
      </c>
      <c r="V102" s="20">
        <v>0</v>
      </c>
      <c r="W102" s="20">
        <v>0</v>
      </c>
      <c r="X102" s="20">
        <v>0</v>
      </c>
      <c r="Y102" s="20">
        <v>0</v>
      </c>
      <c r="Z102" s="20">
        <v>0</v>
      </c>
      <c r="AA102" s="20">
        <v>0</v>
      </c>
      <c r="AB102" s="20">
        <v>0</v>
      </c>
      <c r="AC102" s="20">
        <v>0</v>
      </c>
      <c r="AD102" s="20">
        <v>0</v>
      </c>
      <c r="AE102" s="20">
        <v>0</v>
      </c>
      <c r="AF102" s="20">
        <v>0</v>
      </c>
      <c r="AG102" s="20">
        <v>0</v>
      </c>
      <c r="AH102" s="20">
        <v>0</v>
      </c>
      <c r="AI102" s="20">
        <v>0</v>
      </c>
      <c r="AJ102" s="20">
        <v>0</v>
      </c>
      <c r="AK102" s="20">
        <v>0</v>
      </c>
      <c r="AL102" s="20">
        <v>0</v>
      </c>
      <c r="AM102" s="20">
        <v>0</v>
      </c>
      <c r="AN102" s="20">
        <v>0</v>
      </c>
      <c r="AO102" s="20">
        <v>0</v>
      </c>
      <c r="AP102" s="20">
        <v>0</v>
      </c>
      <c r="AQ102" s="20">
        <v>0</v>
      </c>
      <c r="AR102" s="20">
        <v>0</v>
      </c>
      <c r="AS102" s="20">
        <v>0</v>
      </c>
      <c r="AT102" s="20">
        <v>0</v>
      </c>
      <c r="AU102" s="20">
        <v>0</v>
      </c>
      <c r="AV102" s="20">
        <v>0</v>
      </c>
      <c r="AW102" s="20">
        <v>0</v>
      </c>
      <c r="AX102" s="20">
        <v>0</v>
      </c>
      <c r="AY102" s="20">
        <v>0</v>
      </c>
      <c r="AZ102" s="20">
        <v>0</v>
      </c>
      <c r="BA102" s="20">
        <v>0</v>
      </c>
      <c r="BB102" s="27">
        <v>0</v>
      </c>
      <c r="BC102" s="20">
        <v>0</v>
      </c>
      <c r="BD102" s="20">
        <v>0</v>
      </c>
      <c r="BE102" s="21">
        <v>0</v>
      </c>
      <c r="BF102" s="21">
        <v>0</v>
      </c>
      <c r="BG102" s="20">
        <v>0</v>
      </c>
      <c r="BH102" s="20">
        <v>0</v>
      </c>
      <c r="BI102" s="22">
        <f t="shared" si="19"/>
        <v>0</v>
      </c>
      <c r="BJ102" s="22">
        <f t="shared" si="20"/>
        <v>8</v>
      </c>
      <c r="BK102" s="28">
        <f t="shared" si="21"/>
        <v>18</v>
      </c>
      <c r="BL102" s="22">
        <f t="shared" si="22"/>
        <v>10</v>
      </c>
      <c r="BM102" s="22">
        <f t="shared" si="23"/>
        <v>8</v>
      </c>
      <c r="BN102" s="23">
        <f t="shared" si="25"/>
        <v>1</v>
      </c>
      <c r="BO102" s="23">
        <f t="shared" si="25"/>
        <v>0</v>
      </c>
      <c r="BP102" s="7">
        <f>VLOOKUP(A102,[1]Sheet15!B:E,4,0)</f>
        <v>6</v>
      </c>
      <c r="BQ102" s="7">
        <f>VLOOKUP(A102,[1]Sheet15!B:E,3,0)</f>
        <v>0</v>
      </c>
    </row>
    <row r="103" spans="1:69" ht="22.5" customHeight="1" x14ac:dyDescent="0.25">
      <c r="A103" s="15" t="s">
        <v>295</v>
      </c>
      <c r="B103" s="15" t="str">
        <f>VLOOKUP(A103,'[1]Master clients'!F100:W3647,17,0)</f>
        <v>May</v>
      </c>
      <c r="C103" s="15" t="str">
        <f>VLOOKUP(A103,'[1]Master clients'!F100:P3647,11,0)</f>
        <v>NI</v>
      </c>
      <c r="D103" s="15" t="str">
        <f>VLOOKUP(A103,'[1]Master clients'!F:M,8,0)</f>
        <v>End User</v>
      </c>
      <c r="E103" s="24" t="s">
        <v>296</v>
      </c>
      <c r="F103" s="25" t="s">
        <v>294</v>
      </c>
      <c r="G103" s="20">
        <v>0</v>
      </c>
      <c r="H103" s="20">
        <v>0</v>
      </c>
      <c r="I103" s="26">
        <v>29</v>
      </c>
      <c r="J103" s="26">
        <v>4</v>
      </c>
      <c r="K103" s="20">
        <v>6</v>
      </c>
      <c r="L103" s="20">
        <v>0</v>
      </c>
      <c r="M103" s="20">
        <v>0</v>
      </c>
      <c r="N103" s="20">
        <v>4</v>
      </c>
      <c r="O103" s="20">
        <v>0</v>
      </c>
      <c r="P103" s="20">
        <v>0</v>
      </c>
      <c r="Q103" s="20">
        <v>0</v>
      </c>
      <c r="R103" s="20">
        <v>0</v>
      </c>
      <c r="S103" s="20">
        <v>0</v>
      </c>
      <c r="T103" s="20">
        <v>0</v>
      </c>
      <c r="U103" s="20">
        <v>0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D103" s="20">
        <v>0</v>
      </c>
      <c r="AE103" s="20">
        <v>0</v>
      </c>
      <c r="AF103" s="20">
        <v>0</v>
      </c>
      <c r="AG103" s="20">
        <v>0</v>
      </c>
      <c r="AH103" s="20">
        <v>0</v>
      </c>
      <c r="AI103" s="20">
        <v>0</v>
      </c>
      <c r="AJ103" s="20">
        <v>0</v>
      </c>
      <c r="AK103" s="20">
        <v>0</v>
      </c>
      <c r="AL103" s="20">
        <v>0</v>
      </c>
      <c r="AM103" s="20">
        <v>0</v>
      </c>
      <c r="AN103" s="20">
        <v>0</v>
      </c>
      <c r="AO103" s="20">
        <v>0</v>
      </c>
      <c r="AP103" s="20">
        <v>0</v>
      </c>
      <c r="AQ103" s="20">
        <v>0</v>
      </c>
      <c r="AR103" s="20">
        <v>0</v>
      </c>
      <c r="AS103" s="20">
        <v>0</v>
      </c>
      <c r="AT103" s="20">
        <v>0</v>
      </c>
      <c r="AU103" s="20">
        <v>0</v>
      </c>
      <c r="AV103" s="20">
        <v>0</v>
      </c>
      <c r="AW103" s="20">
        <v>0</v>
      </c>
      <c r="AX103" s="20">
        <v>0</v>
      </c>
      <c r="AY103" s="20">
        <v>0</v>
      </c>
      <c r="AZ103" s="20">
        <v>0</v>
      </c>
      <c r="BA103" s="20">
        <v>0</v>
      </c>
      <c r="BB103" s="27">
        <v>0</v>
      </c>
      <c r="BC103" s="20">
        <v>0</v>
      </c>
      <c r="BD103" s="20">
        <v>0</v>
      </c>
      <c r="BE103" s="21">
        <v>0</v>
      </c>
      <c r="BF103" s="21">
        <v>0</v>
      </c>
      <c r="BG103" s="20">
        <v>0</v>
      </c>
      <c r="BH103" s="20">
        <v>0</v>
      </c>
      <c r="BI103" s="22">
        <f t="shared" si="19"/>
        <v>6</v>
      </c>
      <c r="BJ103" s="22">
        <f t="shared" si="20"/>
        <v>4</v>
      </c>
      <c r="BK103" s="28">
        <f t="shared" si="21"/>
        <v>43</v>
      </c>
      <c r="BL103" s="22">
        <f t="shared" si="22"/>
        <v>35</v>
      </c>
      <c r="BM103" s="22">
        <f t="shared" si="23"/>
        <v>8</v>
      </c>
      <c r="BN103" s="23">
        <f t="shared" si="25"/>
        <v>0.82857142857142863</v>
      </c>
      <c r="BO103" s="23">
        <f t="shared" si="25"/>
        <v>0.5</v>
      </c>
      <c r="BP103" s="7">
        <f>VLOOKUP(A103,[1]Sheet15!B:E,4,0)</f>
        <v>32</v>
      </c>
      <c r="BQ103" s="7">
        <f>VLOOKUP(A103,[1]Sheet15!B:E,3,0)</f>
        <v>3</v>
      </c>
    </row>
    <row r="104" spans="1:69" ht="22.5" customHeight="1" x14ac:dyDescent="0.25">
      <c r="A104" s="15" t="s">
        <v>297</v>
      </c>
      <c r="B104" s="15">
        <f>VLOOKUP(A104,'[1]Master clients'!F101:W3648,17,0)</f>
        <v>0</v>
      </c>
      <c r="C104" s="15" t="str">
        <f>VLOOKUP(A104,'[1]Master clients'!F101:P3648,11,0)</f>
        <v>NI</v>
      </c>
      <c r="D104" s="15" t="str">
        <f>VLOOKUP(A104,'[1]Master clients'!F:M,8,0)</f>
        <v>End User</v>
      </c>
      <c r="E104" s="16" t="s">
        <v>298</v>
      </c>
      <c r="F104" s="16" t="s">
        <v>294</v>
      </c>
      <c r="G104" s="17"/>
      <c r="H104" s="17"/>
      <c r="I104" s="18">
        <v>16</v>
      </c>
      <c r="J104" s="18">
        <v>3</v>
      </c>
      <c r="K104" s="17">
        <v>0</v>
      </c>
      <c r="L104" s="17">
        <v>0</v>
      </c>
      <c r="M104" s="17">
        <v>0</v>
      </c>
      <c r="N104" s="17">
        <v>6</v>
      </c>
      <c r="O104" s="17">
        <v>0</v>
      </c>
      <c r="P104" s="17">
        <v>0</v>
      </c>
      <c r="Q104" s="17">
        <v>0</v>
      </c>
      <c r="R104" s="17">
        <v>0</v>
      </c>
      <c r="S104" s="17">
        <v>0</v>
      </c>
      <c r="T104" s="17">
        <v>0</v>
      </c>
      <c r="U104" s="17">
        <v>0</v>
      </c>
      <c r="V104" s="17">
        <v>0</v>
      </c>
      <c r="W104" s="17">
        <v>0</v>
      </c>
      <c r="X104" s="17">
        <v>0</v>
      </c>
      <c r="Y104" s="17">
        <v>0</v>
      </c>
      <c r="Z104" s="17">
        <v>0</v>
      </c>
      <c r="AA104" s="17">
        <v>0</v>
      </c>
      <c r="AB104" s="17">
        <v>0</v>
      </c>
      <c r="AC104" s="17">
        <v>0</v>
      </c>
      <c r="AD104" s="17">
        <v>0</v>
      </c>
      <c r="AE104" s="17">
        <v>0</v>
      </c>
      <c r="AF104" s="17">
        <v>0</v>
      </c>
      <c r="AG104" s="17">
        <v>0</v>
      </c>
      <c r="AH104" s="17">
        <v>0</v>
      </c>
      <c r="AI104" s="17">
        <v>0</v>
      </c>
      <c r="AJ104" s="17">
        <v>0</v>
      </c>
      <c r="AK104" s="17">
        <v>0</v>
      </c>
      <c r="AL104" s="17">
        <v>0</v>
      </c>
      <c r="AM104" s="17">
        <v>0</v>
      </c>
      <c r="AN104" s="17">
        <v>0</v>
      </c>
      <c r="AO104" s="17">
        <v>0</v>
      </c>
      <c r="AP104" s="17">
        <v>0</v>
      </c>
      <c r="AQ104" s="17">
        <v>0</v>
      </c>
      <c r="AR104" s="17">
        <v>0</v>
      </c>
      <c r="AS104" s="17">
        <v>0</v>
      </c>
      <c r="AT104" s="17">
        <v>0</v>
      </c>
      <c r="AU104" s="17">
        <v>0</v>
      </c>
      <c r="AV104" s="17">
        <v>0</v>
      </c>
      <c r="AW104" s="17">
        <v>0</v>
      </c>
      <c r="AX104" s="17">
        <v>0</v>
      </c>
      <c r="AY104" s="17">
        <v>0</v>
      </c>
      <c r="AZ104" s="17">
        <v>0</v>
      </c>
      <c r="BA104" s="17">
        <v>0</v>
      </c>
      <c r="BB104" s="17">
        <v>0</v>
      </c>
      <c r="BC104" s="17">
        <v>0</v>
      </c>
      <c r="BD104" s="17">
        <v>0</v>
      </c>
      <c r="BE104" s="17">
        <v>0</v>
      </c>
      <c r="BF104" s="17">
        <v>0</v>
      </c>
      <c r="BG104" s="17">
        <v>0</v>
      </c>
      <c r="BH104" s="17">
        <v>0</v>
      </c>
      <c r="BI104" s="22">
        <f t="shared" si="19"/>
        <v>0</v>
      </c>
      <c r="BJ104" s="22">
        <f t="shared" si="20"/>
        <v>6</v>
      </c>
      <c r="BK104" s="22">
        <f t="shared" si="21"/>
        <v>25</v>
      </c>
      <c r="BL104" s="22">
        <f t="shared" si="22"/>
        <v>16</v>
      </c>
      <c r="BM104" s="22">
        <f t="shared" si="23"/>
        <v>9</v>
      </c>
      <c r="BN104" s="23">
        <f t="shared" si="25"/>
        <v>1</v>
      </c>
      <c r="BO104" s="23">
        <f t="shared" si="25"/>
        <v>0.33333333333333331</v>
      </c>
      <c r="BP104" s="7">
        <f>VLOOKUP(A104,[1]Sheet15!B:E,4,0)</f>
        <v>10</v>
      </c>
      <c r="BQ104" s="7">
        <f>VLOOKUP(A104,[1]Sheet15!B:E,3,0)</f>
        <v>8</v>
      </c>
    </row>
    <row r="105" spans="1:69" ht="22.5" customHeight="1" x14ac:dyDescent="0.25">
      <c r="A105" s="15" t="s">
        <v>299</v>
      </c>
      <c r="B105" s="15">
        <f>VLOOKUP(A105,'[1]Master clients'!F102:W3649,17,0)</f>
        <v>0</v>
      </c>
      <c r="C105" s="15" t="str">
        <f>VLOOKUP(A105,'[1]Master clients'!F102:P3649,11,0)</f>
        <v>HO</v>
      </c>
      <c r="D105" s="15" t="str">
        <f>VLOOKUP(A105,'[1]Master clients'!F:M,8,0)</f>
        <v>End User</v>
      </c>
      <c r="E105" s="24" t="s">
        <v>300</v>
      </c>
      <c r="F105" s="25" t="s">
        <v>294</v>
      </c>
      <c r="G105" s="20">
        <v>0</v>
      </c>
      <c r="H105" s="20">
        <v>0</v>
      </c>
      <c r="I105" s="26">
        <v>22</v>
      </c>
      <c r="J105" s="26">
        <v>0</v>
      </c>
      <c r="K105" s="20">
        <v>4</v>
      </c>
      <c r="L105" s="20">
        <v>0</v>
      </c>
      <c r="M105" s="20">
        <v>0</v>
      </c>
      <c r="N105" s="20">
        <v>12</v>
      </c>
      <c r="O105" s="20">
        <v>0</v>
      </c>
      <c r="P105" s="20">
        <v>0</v>
      </c>
      <c r="Q105" s="20">
        <v>0</v>
      </c>
      <c r="R105" s="20">
        <v>0</v>
      </c>
      <c r="S105" s="20">
        <v>0</v>
      </c>
      <c r="T105" s="20">
        <v>0</v>
      </c>
      <c r="U105" s="20">
        <v>0</v>
      </c>
      <c r="V105" s="20">
        <v>0</v>
      </c>
      <c r="W105" s="20">
        <v>0</v>
      </c>
      <c r="X105" s="20">
        <v>0</v>
      </c>
      <c r="Y105" s="20">
        <v>0</v>
      </c>
      <c r="Z105" s="20">
        <v>0</v>
      </c>
      <c r="AA105" s="20">
        <v>0</v>
      </c>
      <c r="AB105" s="20">
        <v>0</v>
      </c>
      <c r="AC105" s="20">
        <v>0</v>
      </c>
      <c r="AD105" s="20">
        <v>0</v>
      </c>
      <c r="AE105" s="20">
        <v>0</v>
      </c>
      <c r="AF105" s="20">
        <v>0</v>
      </c>
      <c r="AG105" s="20">
        <v>0</v>
      </c>
      <c r="AH105" s="20">
        <v>0</v>
      </c>
      <c r="AI105" s="20">
        <v>0</v>
      </c>
      <c r="AJ105" s="20">
        <v>0</v>
      </c>
      <c r="AK105" s="20">
        <v>0</v>
      </c>
      <c r="AL105" s="20">
        <v>0</v>
      </c>
      <c r="AM105" s="20">
        <v>0</v>
      </c>
      <c r="AN105" s="20">
        <v>0</v>
      </c>
      <c r="AO105" s="20">
        <v>0</v>
      </c>
      <c r="AP105" s="20">
        <v>0</v>
      </c>
      <c r="AQ105" s="20">
        <v>0</v>
      </c>
      <c r="AR105" s="20">
        <v>0</v>
      </c>
      <c r="AS105" s="20">
        <v>0</v>
      </c>
      <c r="AT105" s="20">
        <v>0</v>
      </c>
      <c r="AU105" s="20">
        <v>0</v>
      </c>
      <c r="AV105" s="20">
        <v>0</v>
      </c>
      <c r="AW105" s="20">
        <v>0</v>
      </c>
      <c r="AX105" s="20">
        <v>0</v>
      </c>
      <c r="AY105" s="20">
        <v>0</v>
      </c>
      <c r="AZ105" s="20">
        <v>0</v>
      </c>
      <c r="BA105" s="20">
        <v>0</v>
      </c>
      <c r="BB105" s="27">
        <v>0</v>
      </c>
      <c r="BC105" s="20">
        <v>0</v>
      </c>
      <c r="BD105" s="20">
        <v>0</v>
      </c>
      <c r="BE105" s="21">
        <v>0</v>
      </c>
      <c r="BF105" s="21">
        <v>0</v>
      </c>
      <c r="BG105" s="20">
        <v>0</v>
      </c>
      <c r="BH105" s="20">
        <v>0</v>
      </c>
      <c r="BI105" s="22">
        <f t="shared" si="19"/>
        <v>4</v>
      </c>
      <c r="BJ105" s="22">
        <f t="shared" si="20"/>
        <v>12</v>
      </c>
      <c r="BK105" s="28">
        <f t="shared" si="21"/>
        <v>38</v>
      </c>
      <c r="BL105" s="22">
        <f t="shared" si="22"/>
        <v>26</v>
      </c>
      <c r="BM105" s="22">
        <f t="shared" si="23"/>
        <v>12</v>
      </c>
      <c r="BN105" s="23">
        <f t="shared" si="25"/>
        <v>0.84615384615384615</v>
      </c>
      <c r="BO105" s="23">
        <f t="shared" si="25"/>
        <v>0</v>
      </c>
      <c r="BP105" s="7" t="e">
        <f>VLOOKUP(A105,[1]Sheet15!B:E,4,0)</f>
        <v>#N/A</v>
      </c>
      <c r="BQ105" s="7" t="e">
        <f>VLOOKUP(A105,[1]Sheet15!B:E,3,0)</f>
        <v>#N/A</v>
      </c>
    </row>
    <row r="106" spans="1:69" ht="22.5" customHeight="1" x14ac:dyDescent="0.25">
      <c r="A106" s="15" t="s">
        <v>301</v>
      </c>
      <c r="B106" s="15">
        <f>VLOOKUP(A106,'[1]Master clients'!F103:W3650,17,0)</f>
        <v>0</v>
      </c>
      <c r="C106" s="15" t="str">
        <f>VLOOKUP(A106,'[1]Master clients'!F103:P3650,11,0)</f>
        <v>NI</v>
      </c>
      <c r="D106" s="15" t="str">
        <f>VLOOKUP(A106,'[1]Master clients'!F:M,8,0)</f>
        <v>End User</v>
      </c>
      <c r="E106" s="24" t="s">
        <v>302</v>
      </c>
      <c r="F106" s="25" t="s">
        <v>303</v>
      </c>
      <c r="G106" s="20">
        <v>0</v>
      </c>
      <c r="H106" s="20">
        <v>0</v>
      </c>
      <c r="I106" s="26">
        <v>14</v>
      </c>
      <c r="J106" s="26">
        <v>1</v>
      </c>
      <c r="K106" s="20">
        <v>0</v>
      </c>
      <c r="L106" s="20">
        <v>0</v>
      </c>
      <c r="M106" s="20">
        <v>0</v>
      </c>
      <c r="N106" s="20">
        <v>7</v>
      </c>
      <c r="O106" s="20">
        <v>0</v>
      </c>
      <c r="P106" s="20">
        <v>0</v>
      </c>
      <c r="Q106" s="20">
        <v>0</v>
      </c>
      <c r="R106" s="20">
        <v>0</v>
      </c>
      <c r="S106" s="20">
        <v>0</v>
      </c>
      <c r="T106" s="20">
        <v>0</v>
      </c>
      <c r="U106" s="20">
        <v>0</v>
      </c>
      <c r="V106" s="20">
        <v>0</v>
      </c>
      <c r="W106" s="20">
        <v>0</v>
      </c>
      <c r="X106" s="20">
        <v>0</v>
      </c>
      <c r="Y106" s="20">
        <v>0</v>
      </c>
      <c r="Z106" s="20">
        <v>0</v>
      </c>
      <c r="AA106" s="20">
        <v>0</v>
      </c>
      <c r="AB106" s="20">
        <v>0</v>
      </c>
      <c r="AC106" s="20">
        <v>0</v>
      </c>
      <c r="AD106" s="20">
        <v>0</v>
      </c>
      <c r="AE106" s="20">
        <v>0</v>
      </c>
      <c r="AF106" s="20">
        <v>0</v>
      </c>
      <c r="AG106" s="20">
        <v>0</v>
      </c>
      <c r="AH106" s="20">
        <v>0</v>
      </c>
      <c r="AI106" s="20">
        <v>0</v>
      </c>
      <c r="AJ106" s="20">
        <v>0</v>
      </c>
      <c r="AK106" s="20">
        <v>0</v>
      </c>
      <c r="AL106" s="20">
        <v>0</v>
      </c>
      <c r="AM106" s="20">
        <v>0</v>
      </c>
      <c r="AN106" s="20">
        <v>0</v>
      </c>
      <c r="AO106" s="20">
        <v>0</v>
      </c>
      <c r="AP106" s="20">
        <v>0</v>
      </c>
      <c r="AQ106" s="20">
        <v>0</v>
      </c>
      <c r="AR106" s="20">
        <v>0</v>
      </c>
      <c r="AS106" s="20">
        <v>0</v>
      </c>
      <c r="AT106" s="20">
        <v>0</v>
      </c>
      <c r="AU106" s="20">
        <v>0</v>
      </c>
      <c r="AV106" s="20">
        <v>0</v>
      </c>
      <c r="AW106" s="20">
        <v>0</v>
      </c>
      <c r="AX106" s="20">
        <v>0</v>
      </c>
      <c r="AY106" s="20">
        <v>0</v>
      </c>
      <c r="AZ106" s="20">
        <v>0</v>
      </c>
      <c r="BA106" s="20">
        <v>0</v>
      </c>
      <c r="BB106" s="27">
        <v>0</v>
      </c>
      <c r="BC106" s="20">
        <v>0</v>
      </c>
      <c r="BD106" s="20">
        <v>0</v>
      </c>
      <c r="BE106" s="21">
        <v>0</v>
      </c>
      <c r="BF106" s="21">
        <v>0</v>
      </c>
      <c r="BG106" s="20">
        <v>0</v>
      </c>
      <c r="BH106" s="20">
        <v>0</v>
      </c>
      <c r="BI106" s="22">
        <f t="shared" si="19"/>
        <v>0</v>
      </c>
      <c r="BJ106" s="22">
        <f t="shared" si="20"/>
        <v>7</v>
      </c>
      <c r="BK106" s="28">
        <f t="shared" si="21"/>
        <v>22</v>
      </c>
      <c r="BL106" s="22">
        <f t="shared" si="22"/>
        <v>14</v>
      </c>
      <c r="BM106" s="22">
        <f t="shared" si="23"/>
        <v>8</v>
      </c>
      <c r="BN106" s="23">
        <f t="shared" si="25"/>
        <v>1</v>
      </c>
      <c r="BO106" s="23">
        <f t="shared" si="25"/>
        <v>0.125</v>
      </c>
      <c r="BP106" s="7">
        <f>VLOOKUP(A106,[1]Sheet15!B:E,4,0)</f>
        <v>9</v>
      </c>
      <c r="BQ106" s="7">
        <f>VLOOKUP(A106,[1]Sheet15!B:E,3,0)</f>
        <v>5</v>
      </c>
    </row>
    <row r="107" spans="1:69" ht="22.5" customHeight="1" x14ac:dyDescent="0.25">
      <c r="A107" s="15" t="s">
        <v>304</v>
      </c>
      <c r="B107" s="15" t="e">
        <f>VLOOKUP(A107,'[1]Master clients'!F104:W3651,17,0)</f>
        <v>#N/A</v>
      </c>
      <c r="C107" s="15" t="e">
        <f>VLOOKUP(A107,'[1]Master clients'!F104:P3651,11,0)</f>
        <v>#N/A</v>
      </c>
      <c r="D107" s="15" t="str">
        <f>VLOOKUP(A107,'[1]Master clients'!F:M,8,0)</f>
        <v>Group (Mills)</v>
      </c>
      <c r="E107" s="16" t="s">
        <v>305</v>
      </c>
      <c r="F107" s="16" t="s">
        <v>306</v>
      </c>
      <c r="G107" s="17"/>
      <c r="H107" s="17"/>
      <c r="I107" s="18">
        <v>7</v>
      </c>
      <c r="J107" s="18">
        <v>0</v>
      </c>
      <c r="K107" s="17">
        <v>0</v>
      </c>
      <c r="L107" s="17">
        <v>0</v>
      </c>
      <c r="M107" s="17">
        <v>0</v>
      </c>
      <c r="N107" s="17">
        <v>0</v>
      </c>
      <c r="O107" s="17">
        <v>0</v>
      </c>
      <c r="P107" s="17">
        <v>0</v>
      </c>
      <c r="Q107" s="17">
        <v>0</v>
      </c>
      <c r="R107" s="17">
        <v>0</v>
      </c>
      <c r="S107" s="17">
        <v>0</v>
      </c>
      <c r="T107" s="17">
        <v>0</v>
      </c>
      <c r="U107" s="17">
        <v>0</v>
      </c>
      <c r="V107" s="17">
        <v>0</v>
      </c>
      <c r="W107" s="17">
        <v>0</v>
      </c>
      <c r="X107" s="17">
        <v>0</v>
      </c>
      <c r="Y107" s="17">
        <v>0</v>
      </c>
      <c r="Z107" s="17">
        <v>0</v>
      </c>
      <c r="AA107" s="17">
        <v>0</v>
      </c>
      <c r="AB107" s="17">
        <v>0</v>
      </c>
      <c r="AC107" s="17">
        <v>0</v>
      </c>
      <c r="AD107" s="17">
        <v>0</v>
      </c>
      <c r="AE107" s="17">
        <v>0</v>
      </c>
      <c r="AF107" s="17">
        <v>0</v>
      </c>
      <c r="AG107" s="17">
        <v>0</v>
      </c>
      <c r="AH107" s="17">
        <v>0</v>
      </c>
      <c r="AI107" s="17">
        <v>0</v>
      </c>
      <c r="AJ107" s="17">
        <v>0</v>
      </c>
      <c r="AK107" s="17">
        <v>0</v>
      </c>
      <c r="AL107" s="17">
        <v>0</v>
      </c>
      <c r="AM107" s="17">
        <v>0</v>
      </c>
      <c r="AN107" s="17">
        <v>0</v>
      </c>
      <c r="AO107" s="17">
        <v>0</v>
      </c>
      <c r="AP107" s="17">
        <v>0</v>
      </c>
      <c r="AQ107" s="17">
        <v>0</v>
      </c>
      <c r="AR107" s="17">
        <v>0</v>
      </c>
      <c r="AS107" s="17">
        <v>0</v>
      </c>
      <c r="AT107" s="17">
        <v>0</v>
      </c>
      <c r="AU107" s="17">
        <v>0</v>
      </c>
      <c r="AV107" s="17">
        <v>0</v>
      </c>
      <c r="AW107" s="17">
        <v>0</v>
      </c>
      <c r="AX107" s="17">
        <v>0</v>
      </c>
      <c r="AY107" s="17">
        <v>0</v>
      </c>
      <c r="AZ107" s="17">
        <v>0</v>
      </c>
      <c r="BA107" s="17">
        <v>0</v>
      </c>
      <c r="BB107" s="17">
        <v>0</v>
      </c>
      <c r="BC107" s="17">
        <v>0</v>
      </c>
      <c r="BD107" s="17">
        <v>0</v>
      </c>
      <c r="BE107" s="17">
        <v>0</v>
      </c>
      <c r="BF107" s="17">
        <v>0</v>
      </c>
      <c r="BG107" s="17">
        <v>0</v>
      </c>
      <c r="BH107" s="17">
        <v>0</v>
      </c>
      <c r="BI107" s="22">
        <f t="shared" si="19"/>
        <v>0</v>
      </c>
      <c r="BJ107" s="22">
        <f t="shared" si="20"/>
        <v>0</v>
      </c>
      <c r="BK107" s="22">
        <f t="shared" si="21"/>
        <v>7</v>
      </c>
      <c r="BL107" s="22">
        <f t="shared" si="22"/>
        <v>7</v>
      </c>
      <c r="BM107" s="22">
        <f t="shared" si="23"/>
        <v>0</v>
      </c>
      <c r="BN107" s="23">
        <f t="shared" si="25"/>
        <v>1</v>
      </c>
      <c r="BO107" s="23" t="e">
        <f t="shared" si="25"/>
        <v>#DIV/0!</v>
      </c>
      <c r="BP107" s="7">
        <f>VLOOKUP(A107,[1]Sheet15!B:E,4,0)</f>
        <v>7</v>
      </c>
      <c r="BQ107" s="7">
        <f>VLOOKUP(A107,[1]Sheet15!B:E,3,0)</f>
        <v>0</v>
      </c>
    </row>
    <row r="108" spans="1:69" ht="30" x14ac:dyDescent="0.25">
      <c r="A108" s="15" t="s">
        <v>307</v>
      </c>
      <c r="B108" s="15" t="e">
        <f>VLOOKUP(A108,'[1]Master clients'!F105:W3652,17,0)</f>
        <v>#N/A</v>
      </c>
      <c r="C108" s="15" t="e">
        <f>VLOOKUP(A108,'[1]Master clients'!F105:P3652,11,0)</f>
        <v>#N/A</v>
      </c>
      <c r="D108" s="15" t="str">
        <f>VLOOKUP(A108,'[1]Master clients'!F:M,8,0)</f>
        <v>Group (Mills)</v>
      </c>
      <c r="E108" s="24" t="s">
        <v>308</v>
      </c>
      <c r="F108" s="25" t="s">
        <v>306</v>
      </c>
      <c r="G108" s="20">
        <v>0</v>
      </c>
      <c r="H108" s="20">
        <v>0</v>
      </c>
      <c r="I108" s="26">
        <v>18</v>
      </c>
      <c r="J108" s="26">
        <v>0</v>
      </c>
      <c r="K108" s="20">
        <v>10</v>
      </c>
      <c r="L108" s="20">
        <v>0</v>
      </c>
      <c r="M108" s="20">
        <v>0</v>
      </c>
      <c r="N108" s="20">
        <v>9</v>
      </c>
      <c r="O108" s="20">
        <v>0</v>
      </c>
      <c r="P108" s="20">
        <v>0</v>
      </c>
      <c r="Q108" s="20">
        <v>5</v>
      </c>
      <c r="R108" s="20">
        <v>0</v>
      </c>
      <c r="S108" s="20">
        <v>0</v>
      </c>
      <c r="T108" s="20">
        <v>0</v>
      </c>
      <c r="U108" s="20">
        <v>0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0</v>
      </c>
      <c r="AC108" s="20">
        <v>0</v>
      </c>
      <c r="AD108" s="20">
        <v>0</v>
      </c>
      <c r="AE108" s="20">
        <v>0</v>
      </c>
      <c r="AF108" s="20">
        <v>0</v>
      </c>
      <c r="AG108" s="20">
        <v>0</v>
      </c>
      <c r="AH108" s="20">
        <v>0</v>
      </c>
      <c r="AI108" s="20">
        <v>0</v>
      </c>
      <c r="AJ108" s="20">
        <v>0</v>
      </c>
      <c r="AK108" s="20">
        <v>0</v>
      </c>
      <c r="AL108" s="20">
        <v>0</v>
      </c>
      <c r="AM108" s="20">
        <v>0</v>
      </c>
      <c r="AN108" s="20">
        <v>0</v>
      </c>
      <c r="AO108" s="20">
        <v>0</v>
      </c>
      <c r="AP108" s="20">
        <v>0</v>
      </c>
      <c r="AQ108" s="20">
        <v>0</v>
      </c>
      <c r="AR108" s="20">
        <v>0</v>
      </c>
      <c r="AS108" s="20">
        <v>0</v>
      </c>
      <c r="AT108" s="20">
        <v>0</v>
      </c>
      <c r="AU108" s="19">
        <v>0</v>
      </c>
      <c r="AV108" s="20">
        <v>0</v>
      </c>
      <c r="AW108" s="20">
        <v>0</v>
      </c>
      <c r="AX108" s="20">
        <v>0</v>
      </c>
      <c r="AY108" s="20">
        <v>0</v>
      </c>
      <c r="AZ108" s="20">
        <v>0</v>
      </c>
      <c r="BA108" s="19">
        <v>0</v>
      </c>
      <c r="BB108" s="27">
        <v>0</v>
      </c>
      <c r="BC108" s="19">
        <v>0</v>
      </c>
      <c r="BD108" s="19">
        <v>0</v>
      </c>
      <c r="BE108" s="21">
        <v>0</v>
      </c>
      <c r="BF108" s="21">
        <v>0</v>
      </c>
      <c r="BG108" s="19">
        <v>0</v>
      </c>
      <c r="BH108" s="19">
        <v>0</v>
      </c>
      <c r="BI108" s="22">
        <f t="shared" si="19"/>
        <v>10</v>
      </c>
      <c r="BJ108" s="22">
        <f t="shared" si="20"/>
        <v>14</v>
      </c>
      <c r="BK108" s="28">
        <f t="shared" si="21"/>
        <v>42</v>
      </c>
      <c r="BL108" s="22">
        <f t="shared" si="22"/>
        <v>28</v>
      </c>
      <c r="BM108" s="22">
        <f t="shared" si="23"/>
        <v>14</v>
      </c>
      <c r="BN108" s="23">
        <f t="shared" si="25"/>
        <v>0.6428571428571429</v>
      </c>
      <c r="BO108" s="23">
        <f t="shared" si="25"/>
        <v>0</v>
      </c>
      <c r="BP108" s="7">
        <f>VLOOKUP(A108,[1]Sheet15!B:E,4,0)</f>
        <v>24</v>
      </c>
      <c r="BQ108" s="7">
        <f>VLOOKUP(A108,[1]Sheet15!B:E,3,0)</f>
        <v>0</v>
      </c>
    </row>
    <row r="109" spans="1:69" ht="22.5" customHeight="1" x14ac:dyDescent="0.25">
      <c r="A109" s="15" t="s">
        <v>309</v>
      </c>
      <c r="B109" s="15" t="e">
        <f>VLOOKUP(A109,'[1]Master clients'!F106:W3653,17,0)</f>
        <v>#N/A</v>
      </c>
      <c r="C109" s="15" t="e">
        <f>VLOOKUP(A109,'[1]Master clients'!F106:P3653,11,0)</f>
        <v>#N/A</v>
      </c>
      <c r="D109" s="15" t="str">
        <f>VLOOKUP(A109,'[1]Master clients'!F:M,8,0)</f>
        <v>Group (Mills)</v>
      </c>
      <c r="E109" s="24" t="s">
        <v>310</v>
      </c>
      <c r="F109" s="25" t="s">
        <v>306</v>
      </c>
      <c r="G109" s="20">
        <v>0</v>
      </c>
      <c r="H109" s="20">
        <v>0</v>
      </c>
      <c r="I109" s="26">
        <v>2</v>
      </c>
      <c r="J109" s="26">
        <v>0</v>
      </c>
      <c r="K109" s="20">
        <v>16</v>
      </c>
      <c r="L109" s="20">
        <v>0</v>
      </c>
      <c r="M109" s="20">
        <v>0</v>
      </c>
      <c r="N109" s="20">
        <v>0</v>
      </c>
      <c r="O109" s="20">
        <v>14</v>
      </c>
      <c r="P109" s="20">
        <v>0</v>
      </c>
      <c r="Q109" s="20">
        <v>0</v>
      </c>
      <c r="R109" s="20">
        <v>0</v>
      </c>
      <c r="S109" s="20">
        <v>0</v>
      </c>
      <c r="T109" s="20">
        <v>0</v>
      </c>
      <c r="U109" s="20">
        <v>0</v>
      </c>
      <c r="V109" s="20">
        <v>0</v>
      </c>
      <c r="W109" s="20">
        <v>0</v>
      </c>
      <c r="X109" s="20">
        <v>0</v>
      </c>
      <c r="Y109" s="20">
        <v>0</v>
      </c>
      <c r="Z109" s="20">
        <v>0</v>
      </c>
      <c r="AA109" s="20">
        <v>0</v>
      </c>
      <c r="AB109" s="20">
        <v>0</v>
      </c>
      <c r="AC109" s="20">
        <v>0</v>
      </c>
      <c r="AD109" s="20">
        <v>0</v>
      </c>
      <c r="AE109" s="20">
        <v>0</v>
      </c>
      <c r="AF109" s="20">
        <v>0</v>
      </c>
      <c r="AG109" s="20">
        <v>0</v>
      </c>
      <c r="AH109" s="20">
        <v>0</v>
      </c>
      <c r="AI109" s="20">
        <v>0</v>
      </c>
      <c r="AJ109" s="20">
        <v>0</v>
      </c>
      <c r="AK109" s="20">
        <v>0</v>
      </c>
      <c r="AL109" s="20">
        <v>0</v>
      </c>
      <c r="AM109" s="20">
        <v>0</v>
      </c>
      <c r="AN109" s="20">
        <v>0</v>
      </c>
      <c r="AO109" s="20">
        <v>0</v>
      </c>
      <c r="AP109" s="20">
        <v>0</v>
      </c>
      <c r="AQ109" s="20">
        <v>0</v>
      </c>
      <c r="AR109" s="20">
        <v>0</v>
      </c>
      <c r="AS109" s="20">
        <v>0</v>
      </c>
      <c r="AT109" s="20">
        <v>0</v>
      </c>
      <c r="AU109" s="19">
        <v>0</v>
      </c>
      <c r="AV109" s="20">
        <v>0</v>
      </c>
      <c r="AW109" s="20">
        <v>0</v>
      </c>
      <c r="AX109" s="20">
        <v>0</v>
      </c>
      <c r="AY109" s="20">
        <v>0</v>
      </c>
      <c r="AZ109" s="20">
        <v>0</v>
      </c>
      <c r="BA109" s="19">
        <v>0</v>
      </c>
      <c r="BB109" s="27">
        <v>0</v>
      </c>
      <c r="BC109" s="19">
        <v>0</v>
      </c>
      <c r="BD109" s="19">
        <v>0</v>
      </c>
      <c r="BE109" s="21">
        <v>0</v>
      </c>
      <c r="BF109" s="21">
        <v>0</v>
      </c>
      <c r="BG109" s="19">
        <v>0</v>
      </c>
      <c r="BH109" s="19">
        <v>0</v>
      </c>
      <c r="BI109" s="22">
        <f t="shared" si="19"/>
        <v>16</v>
      </c>
      <c r="BJ109" s="22">
        <f t="shared" si="20"/>
        <v>14</v>
      </c>
      <c r="BK109" s="28">
        <f t="shared" si="21"/>
        <v>32</v>
      </c>
      <c r="BL109" s="22">
        <f t="shared" si="22"/>
        <v>18</v>
      </c>
      <c r="BM109" s="22">
        <f t="shared" si="23"/>
        <v>14</v>
      </c>
      <c r="BN109" s="23">
        <f t="shared" si="25"/>
        <v>0.1111111111111111</v>
      </c>
      <c r="BO109" s="23">
        <f t="shared" si="25"/>
        <v>0</v>
      </c>
      <c r="BP109" s="7">
        <f>VLOOKUP(A109,[1]Sheet15!B:E,4,0)</f>
        <v>2</v>
      </c>
      <c r="BQ109" s="7">
        <f>VLOOKUP(A109,[1]Sheet15!B:E,3,0)</f>
        <v>0</v>
      </c>
    </row>
    <row r="110" spans="1:69" ht="22.5" customHeight="1" x14ac:dyDescent="0.25">
      <c r="A110" s="15" t="s">
        <v>311</v>
      </c>
      <c r="B110" s="15" t="e">
        <f>VLOOKUP(A110,'[1]Master clients'!F107:W3654,17,0)</f>
        <v>#N/A</v>
      </c>
      <c r="C110" s="15" t="e">
        <f>VLOOKUP(A110,'[1]Master clients'!F107:P3654,11,0)</f>
        <v>#N/A</v>
      </c>
      <c r="D110" s="15" t="str">
        <f>VLOOKUP(A110,'[1]Master clients'!F:M,8,0)</f>
        <v>Group (Mills)</v>
      </c>
      <c r="E110" s="24" t="s">
        <v>312</v>
      </c>
      <c r="F110" s="25" t="s">
        <v>306</v>
      </c>
      <c r="G110" s="20">
        <v>0</v>
      </c>
      <c r="H110" s="20">
        <v>0</v>
      </c>
      <c r="I110" s="26">
        <v>12</v>
      </c>
      <c r="J110" s="26">
        <v>0</v>
      </c>
      <c r="K110" s="20">
        <v>6</v>
      </c>
      <c r="L110" s="20">
        <v>0</v>
      </c>
      <c r="M110" s="20">
        <v>0</v>
      </c>
      <c r="N110" s="20">
        <v>8</v>
      </c>
      <c r="O110" s="20">
        <v>0</v>
      </c>
      <c r="P110" s="20">
        <v>0</v>
      </c>
      <c r="Q110" s="20">
        <v>0</v>
      </c>
      <c r="R110" s="20">
        <v>0</v>
      </c>
      <c r="S110" s="20">
        <v>0</v>
      </c>
      <c r="T110" s="20">
        <v>0</v>
      </c>
      <c r="U110" s="20">
        <v>0</v>
      </c>
      <c r="V110" s="20">
        <v>0</v>
      </c>
      <c r="W110" s="20">
        <v>0</v>
      </c>
      <c r="X110" s="20">
        <v>0</v>
      </c>
      <c r="Y110" s="20">
        <v>0</v>
      </c>
      <c r="Z110" s="20">
        <v>0</v>
      </c>
      <c r="AA110" s="20">
        <v>0</v>
      </c>
      <c r="AB110" s="20">
        <v>0</v>
      </c>
      <c r="AC110" s="20">
        <v>0</v>
      </c>
      <c r="AD110" s="20">
        <v>0</v>
      </c>
      <c r="AE110" s="20">
        <v>0</v>
      </c>
      <c r="AF110" s="20">
        <v>0</v>
      </c>
      <c r="AG110" s="20">
        <v>0</v>
      </c>
      <c r="AH110" s="20">
        <v>0</v>
      </c>
      <c r="AI110" s="20">
        <v>0</v>
      </c>
      <c r="AJ110" s="20">
        <v>0</v>
      </c>
      <c r="AK110" s="20">
        <v>0</v>
      </c>
      <c r="AL110" s="20">
        <v>0</v>
      </c>
      <c r="AM110" s="20">
        <v>0</v>
      </c>
      <c r="AN110" s="20">
        <v>0</v>
      </c>
      <c r="AO110" s="20">
        <v>0</v>
      </c>
      <c r="AP110" s="20">
        <v>0</v>
      </c>
      <c r="AQ110" s="20">
        <v>0</v>
      </c>
      <c r="AR110" s="20">
        <v>0</v>
      </c>
      <c r="AS110" s="20">
        <v>0</v>
      </c>
      <c r="AT110" s="20">
        <v>0</v>
      </c>
      <c r="AU110" s="19">
        <v>0</v>
      </c>
      <c r="AV110" s="20">
        <v>0</v>
      </c>
      <c r="AW110" s="20">
        <v>0</v>
      </c>
      <c r="AX110" s="20">
        <v>0</v>
      </c>
      <c r="AY110" s="20">
        <v>0</v>
      </c>
      <c r="AZ110" s="20">
        <v>0</v>
      </c>
      <c r="BA110" s="19">
        <v>0</v>
      </c>
      <c r="BB110" s="27">
        <v>0</v>
      </c>
      <c r="BC110" s="19">
        <v>0</v>
      </c>
      <c r="BD110" s="19">
        <v>0</v>
      </c>
      <c r="BE110" s="21">
        <v>0</v>
      </c>
      <c r="BF110" s="21">
        <v>0</v>
      </c>
      <c r="BG110" s="19">
        <v>0</v>
      </c>
      <c r="BH110" s="19">
        <v>0</v>
      </c>
      <c r="BI110" s="22">
        <f t="shared" si="19"/>
        <v>6</v>
      </c>
      <c r="BJ110" s="22">
        <f t="shared" si="20"/>
        <v>8</v>
      </c>
      <c r="BK110" s="28">
        <f t="shared" si="21"/>
        <v>26</v>
      </c>
      <c r="BL110" s="22">
        <f t="shared" si="22"/>
        <v>18</v>
      </c>
      <c r="BM110" s="22">
        <f t="shared" si="23"/>
        <v>8</v>
      </c>
      <c r="BN110" s="23">
        <f t="shared" si="25"/>
        <v>0.66666666666666663</v>
      </c>
      <c r="BO110" s="23">
        <f t="shared" si="25"/>
        <v>0</v>
      </c>
      <c r="BP110" s="7">
        <f>VLOOKUP(A110,[1]Sheet15!B:E,4,0)</f>
        <v>11</v>
      </c>
      <c r="BQ110" s="7">
        <f>VLOOKUP(A110,[1]Sheet15!B:E,3,0)</f>
        <v>0</v>
      </c>
    </row>
    <row r="111" spans="1:69" ht="22.5" customHeight="1" x14ac:dyDescent="0.25">
      <c r="A111" s="15" t="s">
        <v>313</v>
      </c>
      <c r="B111" s="15">
        <f>VLOOKUP(A111,'[1]Master clients'!F108:W3655,17,0)</f>
        <v>0</v>
      </c>
      <c r="C111" s="15" t="str">
        <f>VLOOKUP(A111,'[1]Master clients'!F108:P3655,11,0)</f>
        <v>NI</v>
      </c>
      <c r="D111" s="15" t="str">
        <f>VLOOKUP(A111,'[1]Master clients'!F:M,8,0)</f>
        <v>End User</v>
      </c>
      <c r="E111" s="16" t="s">
        <v>314</v>
      </c>
      <c r="F111" s="16" t="s">
        <v>315</v>
      </c>
      <c r="G111" s="17"/>
      <c r="H111" s="17"/>
      <c r="I111" s="18">
        <v>0</v>
      </c>
      <c r="J111" s="18">
        <v>0</v>
      </c>
      <c r="K111" s="17">
        <v>0</v>
      </c>
      <c r="L111" s="17">
        <v>0</v>
      </c>
      <c r="M111" s="17">
        <v>0</v>
      </c>
      <c r="N111" s="17">
        <v>0</v>
      </c>
      <c r="O111" s="17">
        <v>0</v>
      </c>
      <c r="P111" s="17">
        <v>0</v>
      </c>
      <c r="Q111" s="17">
        <v>0</v>
      </c>
      <c r="R111" s="17">
        <v>0</v>
      </c>
      <c r="S111" s="17">
        <v>0</v>
      </c>
      <c r="T111" s="17">
        <v>0</v>
      </c>
      <c r="U111" s="17">
        <v>0</v>
      </c>
      <c r="V111" s="17">
        <v>0</v>
      </c>
      <c r="W111" s="17">
        <v>0</v>
      </c>
      <c r="X111" s="17">
        <v>0</v>
      </c>
      <c r="Y111" s="17">
        <v>0</v>
      </c>
      <c r="Z111" s="17">
        <v>0</v>
      </c>
      <c r="AA111" s="17">
        <v>0</v>
      </c>
      <c r="AB111" s="17">
        <v>0</v>
      </c>
      <c r="AC111" s="17">
        <v>0</v>
      </c>
      <c r="AD111" s="17">
        <v>0</v>
      </c>
      <c r="AE111" s="17">
        <v>0</v>
      </c>
      <c r="AF111" s="17">
        <v>0</v>
      </c>
      <c r="AG111" s="17">
        <v>0</v>
      </c>
      <c r="AH111" s="17">
        <v>0</v>
      </c>
      <c r="AI111" s="17">
        <v>0</v>
      </c>
      <c r="AJ111" s="17">
        <v>0</v>
      </c>
      <c r="AK111" s="17">
        <v>0</v>
      </c>
      <c r="AL111" s="17">
        <v>0</v>
      </c>
      <c r="AM111" s="17">
        <v>0</v>
      </c>
      <c r="AN111" s="17">
        <v>0</v>
      </c>
      <c r="AO111" s="17">
        <v>0</v>
      </c>
      <c r="AP111" s="17">
        <v>0</v>
      </c>
      <c r="AQ111" s="17">
        <v>0</v>
      </c>
      <c r="AR111" s="17">
        <v>0</v>
      </c>
      <c r="AS111" s="17">
        <v>0</v>
      </c>
      <c r="AT111" s="17">
        <v>0</v>
      </c>
      <c r="AU111" s="17">
        <v>0</v>
      </c>
      <c r="AV111" s="17">
        <v>0</v>
      </c>
      <c r="AW111" s="17">
        <v>0</v>
      </c>
      <c r="AX111" s="17">
        <v>0</v>
      </c>
      <c r="AY111" s="17">
        <v>0</v>
      </c>
      <c r="AZ111" s="17">
        <v>0</v>
      </c>
      <c r="BA111" s="17">
        <v>0</v>
      </c>
      <c r="BB111" s="17">
        <v>0</v>
      </c>
      <c r="BC111" s="17">
        <v>0</v>
      </c>
      <c r="BD111" s="17">
        <v>0</v>
      </c>
      <c r="BE111" s="17">
        <v>0</v>
      </c>
      <c r="BF111" s="17">
        <v>0</v>
      </c>
      <c r="BG111" s="17">
        <v>0</v>
      </c>
      <c r="BH111" s="17">
        <v>0</v>
      </c>
      <c r="BI111" s="22">
        <f t="shared" si="19"/>
        <v>0</v>
      </c>
      <c r="BJ111" s="22">
        <f t="shared" si="20"/>
        <v>0</v>
      </c>
      <c r="BK111" s="22">
        <f t="shared" si="21"/>
        <v>0</v>
      </c>
      <c r="BL111" s="22">
        <f t="shared" si="22"/>
        <v>0</v>
      </c>
      <c r="BM111" s="22">
        <f t="shared" si="23"/>
        <v>0</v>
      </c>
      <c r="BN111" s="23" t="e">
        <f t="shared" si="25"/>
        <v>#DIV/0!</v>
      </c>
      <c r="BO111" s="23" t="e">
        <f t="shared" si="25"/>
        <v>#DIV/0!</v>
      </c>
      <c r="BP111" s="7" t="e">
        <f>VLOOKUP(A111,[1]Sheet15!B:E,4,0)</f>
        <v>#N/A</v>
      </c>
      <c r="BQ111" s="7" t="e">
        <f>VLOOKUP(A111,[1]Sheet15!B:E,3,0)</f>
        <v>#N/A</v>
      </c>
    </row>
    <row r="112" spans="1:69" ht="22.5" customHeight="1" x14ac:dyDescent="0.25">
      <c r="A112" s="15" t="s">
        <v>316</v>
      </c>
      <c r="B112" s="15" t="e">
        <f>VLOOKUP(A112,'[1]Master clients'!F109:W3656,17,0)</f>
        <v>#N/A</v>
      </c>
      <c r="C112" s="15" t="e">
        <f>VLOOKUP(A112,'[1]Master clients'!F109:P3656,11,0)</f>
        <v>#N/A</v>
      </c>
      <c r="D112" s="15" t="str">
        <f>VLOOKUP(A112,'[1]Master clients'!F:M,8,0)</f>
        <v>Group (Mills)</v>
      </c>
      <c r="E112" s="24" t="s">
        <v>317</v>
      </c>
      <c r="F112" s="25" t="s">
        <v>318</v>
      </c>
      <c r="G112" s="20">
        <v>0</v>
      </c>
      <c r="H112" s="20">
        <v>0</v>
      </c>
      <c r="I112" s="26">
        <v>1</v>
      </c>
      <c r="J112" s="26">
        <v>0</v>
      </c>
      <c r="K112" s="20">
        <v>0</v>
      </c>
      <c r="L112" s="20">
        <v>21</v>
      </c>
      <c r="M112" s="20">
        <v>0</v>
      </c>
      <c r="N112" s="20">
        <v>12</v>
      </c>
      <c r="O112" s="20">
        <v>0</v>
      </c>
      <c r="P112" s="20">
        <v>0</v>
      </c>
      <c r="Q112" s="20">
        <v>0</v>
      </c>
      <c r="R112" s="20">
        <v>0</v>
      </c>
      <c r="S112" s="20">
        <v>0</v>
      </c>
      <c r="T112" s="20">
        <v>0</v>
      </c>
      <c r="U112" s="20">
        <v>0</v>
      </c>
      <c r="V112" s="20">
        <v>4</v>
      </c>
      <c r="W112" s="20">
        <v>0</v>
      </c>
      <c r="X112" s="20">
        <v>0</v>
      </c>
      <c r="Y112" s="20">
        <v>0</v>
      </c>
      <c r="Z112" s="20">
        <v>0</v>
      </c>
      <c r="AA112" s="20">
        <v>0</v>
      </c>
      <c r="AB112" s="20">
        <v>0</v>
      </c>
      <c r="AC112" s="20">
        <v>0</v>
      </c>
      <c r="AD112" s="20">
        <v>0</v>
      </c>
      <c r="AE112" s="20">
        <v>0</v>
      </c>
      <c r="AF112" s="20">
        <v>0</v>
      </c>
      <c r="AG112" s="20">
        <v>0</v>
      </c>
      <c r="AH112" s="20">
        <v>0</v>
      </c>
      <c r="AI112" s="20">
        <v>0</v>
      </c>
      <c r="AJ112" s="20">
        <v>0</v>
      </c>
      <c r="AK112" s="20">
        <v>0</v>
      </c>
      <c r="AL112" s="20">
        <v>0</v>
      </c>
      <c r="AM112" s="20">
        <v>0</v>
      </c>
      <c r="AN112" s="20">
        <v>0</v>
      </c>
      <c r="AO112" s="20">
        <v>0</v>
      </c>
      <c r="AP112" s="20">
        <v>0</v>
      </c>
      <c r="AQ112" s="20">
        <v>0</v>
      </c>
      <c r="AR112" s="20">
        <v>0</v>
      </c>
      <c r="AS112" s="20">
        <v>0</v>
      </c>
      <c r="AT112" s="20">
        <v>0</v>
      </c>
      <c r="AU112" s="19">
        <v>0</v>
      </c>
      <c r="AV112" s="20">
        <v>0</v>
      </c>
      <c r="AW112" s="20">
        <v>0</v>
      </c>
      <c r="AX112" s="20">
        <v>0</v>
      </c>
      <c r="AY112" s="20">
        <v>0</v>
      </c>
      <c r="AZ112" s="20">
        <v>0</v>
      </c>
      <c r="BA112" s="19">
        <v>0</v>
      </c>
      <c r="BB112" s="27">
        <v>0</v>
      </c>
      <c r="BC112" s="19">
        <v>0</v>
      </c>
      <c r="BD112" s="19">
        <v>0</v>
      </c>
      <c r="BE112" s="21">
        <v>0</v>
      </c>
      <c r="BF112" s="21">
        <v>0</v>
      </c>
      <c r="BG112" s="19">
        <v>0</v>
      </c>
      <c r="BH112" s="19">
        <v>0</v>
      </c>
      <c r="BI112" s="22">
        <f t="shared" si="19"/>
        <v>25</v>
      </c>
      <c r="BJ112" s="22">
        <f t="shared" si="20"/>
        <v>12</v>
      </c>
      <c r="BK112" s="28">
        <f t="shared" si="21"/>
        <v>38</v>
      </c>
      <c r="BL112" s="22">
        <f t="shared" si="22"/>
        <v>26</v>
      </c>
      <c r="BM112" s="22">
        <f t="shared" si="23"/>
        <v>12</v>
      </c>
      <c r="BN112" s="23">
        <f t="shared" si="25"/>
        <v>3.8461538461538464E-2</v>
      </c>
      <c r="BO112" s="23">
        <f t="shared" si="25"/>
        <v>0</v>
      </c>
      <c r="BP112" s="7">
        <f>VLOOKUP(A112,[1]Sheet15!B:E,4,0)</f>
        <v>2</v>
      </c>
      <c r="BQ112" s="7">
        <f>VLOOKUP(A112,[1]Sheet15!B:E,3,0)</f>
        <v>0</v>
      </c>
    </row>
    <row r="113" spans="1:69" ht="22.5" customHeight="1" x14ac:dyDescent="0.25">
      <c r="A113" s="15" t="s">
        <v>319</v>
      </c>
      <c r="B113" s="15">
        <f>VLOOKUP(A113,'[1]Master clients'!F110:W3657,17,0)</f>
        <v>0</v>
      </c>
      <c r="C113" s="15" t="str">
        <f>VLOOKUP(A113,'[1]Master clients'!F110:P3657,11,0)</f>
        <v>NI</v>
      </c>
      <c r="D113" s="15" t="str">
        <f>VLOOKUP(A113,'[1]Master clients'!F:M,8,0)</f>
        <v>End User</v>
      </c>
      <c r="E113" s="34" t="s">
        <v>320</v>
      </c>
      <c r="F113" s="34" t="s">
        <v>321</v>
      </c>
      <c r="G113" s="17"/>
      <c r="H113" s="17"/>
      <c r="I113" s="31">
        <v>0</v>
      </c>
      <c r="J113" s="31">
        <v>0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7">
        <v>0</v>
      </c>
      <c r="Q113" s="17">
        <v>0</v>
      </c>
      <c r="R113" s="17">
        <v>0</v>
      </c>
      <c r="S113" s="17">
        <v>0</v>
      </c>
      <c r="T113" s="17">
        <v>0</v>
      </c>
      <c r="U113" s="17">
        <v>0</v>
      </c>
      <c r="V113" s="17">
        <v>0</v>
      </c>
      <c r="W113" s="17">
        <v>0</v>
      </c>
      <c r="X113" s="17">
        <v>0</v>
      </c>
      <c r="Y113" s="17">
        <v>0</v>
      </c>
      <c r="Z113" s="17">
        <v>0</v>
      </c>
      <c r="AA113" s="17">
        <v>0</v>
      </c>
      <c r="AB113" s="17">
        <v>0</v>
      </c>
      <c r="AC113" s="17">
        <v>0</v>
      </c>
      <c r="AD113" s="17">
        <v>0</v>
      </c>
      <c r="AE113" s="17">
        <v>0</v>
      </c>
      <c r="AF113" s="17">
        <v>0</v>
      </c>
      <c r="AG113" s="17">
        <v>0</v>
      </c>
      <c r="AH113" s="17">
        <v>0</v>
      </c>
      <c r="AI113" s="17">
        <v>0</v>
      </c>
      <c r="AJ113" s="17">
        <v>0</v>
      </c>
      <c r="AK113" s="17">
        <v>0</v>
      </c>
      <c r="AL113" s="17">
        <v>0</v>
      </c>
      <c r="AM113" s="17">
        <v>0</v>
      </c>
      <c r="AN113" s="17">
        <v>0</v>
      </c>
      <c r="AO113" s="17">
        <v>0</v>
      </c>
      <c r="AP113" s="17">
        <v>0</v>
      </c>
      <c r="AQ113" s="17">
        <v>0</v>
      </c>
      <c r="AR113" s="17">
        <v>0</v>
      </c>
      <c r="AS113" s="17">
        <v>0</v>
      </c>
      <c r="AT113" s="17">
        <v>0</v>
      </c>
      <c r="AU113" s="17">
        <v>0</v>
      </c>
      <c r="AV113" s="17">
        <v>0</v>
      </c>
      <c r="AW113" s="17">
        <v>0</v>
      </c>
      <c r="AX113" s="17">
        <v>0</v>
      </c>
      <c r="AY113" s="17">
        <v>0</v>
      </c>
      <c r="AZ113" s="17">
        <v>0</v>
      </c>
      <c r="BA113" s="17">
        <v>0</v>
      </c>
      <c r="BB113" s="17">
        <v>0</v>
      </c>
      <c r="BC113" s="17">
        <v>0</v>
      </c>
      <c r="BD113" s="17">
        <v>0</v>
      </c>
      <c r="BE113" s="17">
        <v>0</v>
      </c>
      <c r="BF113" s="17">
        <v>0</v>
      </c>
      <c r="BG113" s="17">
        <v>0</v>
      </c>
      <c r="BH113" s="17">
        <v>0</v>
      </c>
      <c r="BI113" s="22">
        <f t="shared" si="19"/>
        <v>0</v>
      </c>
      <c r="BJ113" s="22">
        <f t="shared" si="20"/>
        <v>0</v>
      </c>
      <c r="BK113" s="22">
        <f t="shared" si="21"/>
        <v>0</v>
      </c>
      <c r="BL113" s="22">
        <f t="shared" si="22"/>
        <v>0</v>
      </c>
      <c r="BM113" s="22">
        <f t="shared" si="23"/>
        <v>0</v>
      </c>
      <c r="BN113" s="23" t="e">
        <f t="shared" si="25"/>
        <v>#DIV/0!</v>
      </c>
      <c r="BO113" s="23" t="e">
        <f t="shared" si="25"/>
        <v>#DIV/0!</v>
      </c>
      <c r="BP113" s="7" t="e">
        <f>VLOOKUP(A113,[1]Sheet15!B:E,4,0)</f>
        <v>#N/A</v>
      </c>
      <c r="BQ113" s="7" t="e">
        <f>VLOOKUP(A113,[1]Sheet15!B:E,3,0)</f>
        <v>#N/A</v>
      </c>
    </row>
    <row r="114" spans="1:69" ht="22.5" customHeight="1" x14ac:dyDescent="0.25">
      <c r="A114" s="15" t="s">
        <v>322</v>
      </c>
      <c r="B114" s="15">
        <f>VLOOKUP(A114,'[1]Master clients'!F111:W3658,17,0)</f>
        <v>0</v>
      </c>
      <c r="C114" s="15" t="str">
        <f>VLOOKUP(A114,'[1]Master clients'!F111:P3658,11,0)</f>
        <v>NI</v>
      </c>
      <c r="D114" s="15" t="str">
        <f>VLOOKUP(A114,'[1]Master clients'!F:M,8,0)</f>
        <v>Group (Mills)</v>
      </c>
      <c r="E114" s="24" t="s">
        <v>323</v>
      </c>
      <c r="F114" s="25" t="s">
        <v>324</v>
      </c>
      <c r="G114" s="20">
        <v>0</v>
      </c>
      <c r="H114" s="20">
        <v>0</v>
      </c>
      <c r="I114" s="26">
        <v>5</v>
      </c>
      <c r="J114" s="26">
        <v>0</v>
      </c>
      <c r="K114" s="20">
        <v>15</v>
      </c>
      <c r="L114" s="20">
        <v>0</v>
      </c>
      <c r="M114" s="20">
        <v>0</v>
      </c>
      <c r="N114" s="20">
        <v>0</v>
      </c>
      <c r="O114" s="20">
        <v>14</v>
      </c>
      <c r="P114" s="20">
        <v>0</v>
      </c>
      <c r="Q114" s="20">
        <v>0</v>
      </c>
      <c r="R114" s="20">
        <v>0</v>
      </c>
      <c r="S114" s="20">
        <v>0</v>
      </c>
      <c r="T114" s="20">
        <v>0</v>
      </c>
      <c r="U114" s="20">
        <v>0</v>
      </c>
      <c r="V114" s="20">
        <v>0</v>
      </c>
      <c r="W114" s="20">
        <v>0</v>
      </c>
      <c r="X114" s="20">
        <v>0</v>
      </c>
      <c r="Y114" s="20">
        <v>0</v>
      </c>
      <c r="Z114" s="20">
        <v>0</v>
      </c>
      <c r="AA114" s="20">
        <v>0</v>
      </c>
      <c r="AB114" s="20">
        <v>0</v>
      </c>
      <c r="AC114" s="20">
        <v>0</v>
      </c>
      <c r="AD114" s="20">
        <v>0</v>
      </c>
      <c r="AE114" s="20">
        <v>0</v>
      </c>
      <c r="AF114" s="20">
        <v>0</v>
      </c>
      <c r="AG114" s="20">
        <v>0</v>
      </c>
      <c r="AH114" s="20">
        <v>0</v>
      </c>
      <c r="AI114" s="20">
        <v>0</v>
      </c>
      <c r="AJ114" s="20">
        <v>0</v>
      </c>
      <c r="AK114" s="20">
        <v>0</v>
      </c>
      <c r="AL114" s="20">
        <v>0</v>
      </c>
      <c r="AM114" s="20">
        <v>0</v>
      </c>
      <c r="AN114" s="20">
        <v>0</v>
      </c>
      <c r="AO114" s="20">
        <v>0</v>
      </c>
      <c r="AP114" s="20">
        <v>0</v>
      </c>
      <c r="AQ114" s="20">
        <v>0</v>
      </c>
      <c r="AR114" s="20">
        <v>0</v>
      </c>
      <c r="AS114" s="20">
        <v>0</v>
      </c>
      <c r="AT114" s="20">
        <v>0</v>
      </c>
      <c r="AU114" s="20">
        <v>0</v>
      </c>
      <c r="AV114" s="20">
        <v>0</v>
      </c>
      <c r="AW114" s="20">
        <v>0</v>
      </c>
      <c r="AX114" s="20">
        <v>0</v>
      </c>
      <c r="AY114" s="20">
        <v>0</v>
      </c>
      <c r="AZ114" s="20">
        <v>0</v>
      </c>
      <c r="BA114" s="20">
        <v>0</v>
      </c>
      <c r="BB114" s="27">
        <v>0</v>
      </c>
      <c r="BC114" s="20">
        <v>0</v>
      </c>
      <c r="BD114" s="20">
        <v>0</v>
      </c>
      <c r="BE114" s="21">
        <v>0</v>
      </c>
      <c r="BF114" s="21">
        <v>0</v>
      </c>
      <c r="BG114" s="20">
        <v>0</v>
      </c>
      <c r="BH114" s="20">
        <v>0</v>
      </c>
      <c r="BI114" s="22">
        <f t="shared" si="19"/>
        <v>15</v>
      </c>
      <c r="BJ114" s="22">
        <f t="shared" si="20"/>
        <v>14</v>
      </c>
      <c r="BK114" s="28">
        <f t="shared" si="21"/>
        <v>34</v>
      </c>
      <c r="BL114" s="22">
        <f t="shared" si="22"/>
        <v>20</v>
      </c>
      <c r="BM114" s="22">
        <f t="shared" si="23"/>
        <v>14</v>
      </c>
      <c r="BN114" s="23">
        <f t="shared" si="25"/>
        <v>0.25</v>
      </c>
      <c r="BO114" s="23">
        <f t="shared" si="25"/>
        <v>0</v>
      </c>
      <c r="BP114" s="7">
        <f>VLOOKUP(A114,[1]Sheet15!B:E,4,0)</f>
        <v>5</v>
      </c>
      <c r="BQ114" s="7">
        <f>VLOOKUP(A114,[1]Sheet15!B:E,3,0)</f>
        <v>0</v>
      </c>
    </row>
    <row r="115" spans="1:69" ht="22.5" customHeight="1" x14ac:dyDescent="0.25">
      <c r="A115" s="15" t="s">
        <v>325</v>
      </c>
      <c r="B115" s="15">
        <f>VLOOKUP(A115,'[1]Master clients'!F112:W3659,17,0)</f>
        <v>0</v>
      </c>
      <c r="C115" s="15" t="str">
        <f>VLOOKUP(A115,'[1]Master clients'!F112:P3659,11,0)</f>
        <v>NI</v>
      </c>
      <c r="D115" s="15" t="str">
        <f>VLOOKUP(A115,'[1]Master clients'!F:M,8,0)</f>
        <v>Group (Mills)</v>
      </c>
      <c r="E115" s="24" t="s">
        <v>326</v>
      </c>
      <c r="F115" s="25" t="s">
        <v>324</v>
      </c>
      <c r="G115" s="20">
        <v>0</v>
      </c>
      <c r="H115" s="20">
        <v>0</v>
      </c>
      <c r="I115" s="26">
        <v>15</v>
      </c>
      <c r="J115" s="26">
        <v>1</v>
      </c>
      <c r="K115" s="20">
        <v>4</v>
      </c>
      <c r="L115" s="20">
        <v>0</v>
      </c>
      <c r="M115" s="20">
        <v>0</v>
      </c>
      <c r="N115" s="20">
        <v>8</v>
      </c>
      <c r="O115" s="20">
        <v>0</v>
      </c>
      <c r="P115" s="20">
        <v>0</v>
      </c>
      <c r="Q115" s="20">
        <v>2</v>
      </c>
      <c r="R115" s="20">
        <v>0</v>
      </c>
      <c r="S115" s="20">
        <v>0</v>
      </c>
      <c r="T115" s="20">
        <v>0</v>
      </c>
      <c r="U115" s="20">
        <v>0</v>
      </c>
      <c r="V115" s="20">
        <v>0</v>
      </c>
      <c r="W115" s="20">
        <v>0</v>
      </c>
      <c r="X115" s="20">
        <v>0</v>
      </c>
      <c r="Y115" s="20">
        <v>0</v>
      </c>
      <c r="Z115" s="20">
        <v>0</v>
      </c>
      <c r="AA115" s="20">
        <v>0</v>
      </c>
      <c r="AB115" s="20">
        <v>0</v>
      </c>
      <c r="AC115" s="20">
        <v>0</v>
      </c>
      <c r="AD115" s="20">
        <v>0</v>
      </c>
      <c r="AE115" s="20">
        <v>0</v>
      </c>
      <c r="AF115" s="20">
        <v>0</v>
      </c>
      <c r="AG115" s="20">
        <v>0</v>
      </c>
      <c r="AH115" s="20">
        <v>0</v>
      </c>
      <c r="AI115" s="20">
        <v>0</v>
      </c>
      <c r="AJ115" s="20">
        <v>0</v>
      </c>
      <c r="AK115" s="20">
        <v>0</v>
      </c>
      <c r="AL115" s="20">
        <v>0</v>
      </c>
      <c r="AM115" s="20">
        <v>0</v>
      </c>
      <c r="AN115" s="20">
        <v>0</v>
      </c>
      <c r="AO115" s="20">
        <v>0</v>
      </c>
      <c r="AP115" s="20">
        <v>0</v>
      </c>
      <c r="AQ115" s="20">
        <v>0</v>
      </c>
      <c r="AR115" s="20">
        <v>0</v>
      </c>
      <c r="AS115" s="20">
        <v>0</v>
      </c>
      <c r="AT115" s="20">
        <v>0</v>
      </c>
      <c r="AU115" s="20">
        <v>0</v>
      </c>
      <c r="AV115" s="20">
        <v>0</v>
      </c>
      <c r="AW115" s="20">
        <v>0</v>
      </c>
      <c r="AX115" s="20">
        <v>0</v>
      </c>
      <c r="AY115" s="20">
        <v>0</v>
      </c>
      <c r="AZ115" s="20">
        <v>0</v>
      </c>
      <c r="BA115" s="20">
        <v>0</v>
      </c>
      <c r="BB115" s="27">
        <v>0</v>
      </c>
      <c r="BC115" s="20">
        <v>0</v>
      </c>
      <c r="BD115" s="20">
        <v>0</v>
      </c>
      <c r="BE115" s="21">
        <v>0</v>
      </c>
      <c r="BF115" s="21">
        <v>0</v>
      </c>
      <c r="BG115" s="20">
        <v>0</v>
      </c>
      <c r="BH115" s="20">
        <v>0</v>
      </c>
      <c r="BI115" s="22">
        <f t="shared" si="19"/>
        <v>4</v>
      </c>
      <c r="BJ115" s="22">
        <f t="shared" si="20"/>
        <v>10</v>
      </c>
      <c r="BK115" s="28">
        <f t="shared" si="21"/>
        <v>30</v>
      </c>
      <c r="BL115" s="22">
        <f t="shared" si="22"/>
        <v>19</v>
      </c>
      <c r="BM115" s="22">
        <f t="shared" si="23"/>
        <v>11</v>
      </c>
      <c r="BN115" s="23">
        <f t="shared" si="25"/>
        <v>0.78947368421052633</v>
      </c>
      <c r="BO115" s="23">
        <f t="shared" si="25"/>
        <v>9.0909090909090912E-2</v>
      </c>
      <c r="BP115" s="7">
        <f>VLOOKUP(A115,[1]Sheet15!B:E,4,0)</f>
        <v>9</v>
      </c>
      <c r="BQ115" s="7">
        <f>VLOOKUP(A115,[1]Sheet15!B:E,3,0)</f>
        <v>1</v>
      </c>
    </row>
    <row r="116" spans="1:69" ht="22.5" customHeight="1" x14ac:dyDescent="0.25">
      <c r="A116" s="15" t="s">
        <v>327</v>
      </c>
      <c r="B116" s="15">
        <f>VLOOKUP(A116,'[1]Master clients'!F113:W3660,17,0)</f>
        <v>0</v>
      </c>
      <c r="C116" s="15" t="str">
        <f>VLOOKUP(A116,'[1]Master clients'!F113:P3660,11,0)</f>
        <v>NI</v>
      </c>
      <c r="D116" s="15" t="str">
        <f>VLOOKUP(A116,'[1]Master clients'!F:M,8,0)</f>
        <v>End User</v>
      </c>
      <c r="E116" s="24" t="s">
        <v>328</v>
      </c>
      <c r="F116" s="25" t="s">
        <v>324</v>
      </c>
      <c r="G116" s="20">
        <v>0</v>
      </c>
      <c r="H116" s="20">
        <v>19</v>
      </c>
      <c r="I116" s="26">
        <v>16</v>
      </c>
      <c r="J116" s="20">
        <v>19</v>
      </c>
      <c r="K116" s="20">
        <v>6</v>
      </c>
      <c r="L116" s="20">
        <v>2</v>
      </c>
      <c r="M116" s="20">
        <v>0</v>
      </c>
      <c r="N116" s="20">
        <v>0</v>
      </c>
      <c r="O116" s="20">
        <v>8</v>
      </c>
      <c r="P116" s="20">
        <v>0</v>
      </c>
      <c r="Q116" s="20">
        <v>2</v>
      </c>
      <c r="R116" s="20">
        <v>0</v>
      </c>
      <c r="S116" s="20">
        <v>0</v>
      </c>
      <c r="T116" s="20">
        <v>0</v>
      </c>
      <c r="U116" s="20">
        <v>1</v>
      </c>
      <c r="V116" s="20">
        <v>0</v>
      </c>
      <c r="W116" s="20">
        <v>0</v>
      </c>
      <c r="X116" s="20">
        <v>0</v>
      </c>
      <c r="Y116" s="20">
        <v>0</v>
      </c>
      <c r="Z116" s="20">
        <v>0</v>
      </c>
      <c r="AA116" s="20">
        <v>0</v>
      </c>
      <c r="AB116" s="20">
        <v>0</v>
      </c>
      <c r="AC116" s="20">
        <v>0</v>
      </c>
      <c r="AD116" s="20">
        <v>0</v>
      </c>
      <c r="AE116" s="20">
        <v>0</v>
      </c>
      <c r="AF116" s="20">
        <v>0</v>
      </c>
      <c r="AG116" s="20">
        <v>0</v>
      </c>
      <c r="AH116" s="20">
        <v>0</v>
      </c>
      <c r="AI116" s="20">
        <v>0</v>
      </c>
      <c r="AJ116" s="20">
        <v>0</v>
      </c>
      <c r="AK116" s="20">
        <v>0</v>
      </c>
      <c r="AL116" s="20">
        <v>0</v>
      </c>
      <c r="AM116" s="20">
        <v>0</v>
      </c>
      <c r="AN116" s="20">
        <v>0</v>
      </c>
      <c r="AO116" s="20">
        <v>0</v>
      </c>
      <c r="AP116" s="20">
        <v>0</v>
      </c>
      <c r="AQ116" s="20">
        <v>0</v>
      </c>
      <c r="AR116" s="20">
        <v>0</v>
      </c>
      <c r="AS116" s="20">
        <v>0</v>
      </c>
      <c r="AT116" s="20">
        <v>0</v>
      </c>
      <c r="AU116" s="20">
        <v>0</v>
      </c>
      <c r="AV116" s="20">
        <v>0</v>
      </c>
      <c r="AW116" s="20">
        <v>0</v>
      </c>
      <c r="AX116" s="20">
        <v>0</v>
      </c>
      <c r="AY116" s="20">
        <v>0</v>
      </c>
      <c r="AZ116" s="20">
        <v>0</v>
      </c>
      <c r="BA116" s="20">
        <v>0</v>
      </c>
      <c r="BB116" s="27">
        <v>0</v>
      </c>
      <c r="BC116" s="20">
        <v>0</v>
      </c>
      <c r="BD116" s="20">
        <v>0</v>
      </c>
      <c r="BE116" s="21">
        <v>0</v>
      </c>
      <c r="BF116" s="21">
        <v>0</v>
      </c>
      <c r="BG116" s="20">
        <v>0</v>
      </c>
      <c r="BH116" s="20">
        <v>0</v>
      </c>
      <c r="BI116" s="22">
        <f t="shared" si="19"/>
        <v>8</v>
      </c>
      <c r="BJ116" s="22">
        <f t="shared" si="20"/>
        <v>11</v>
      </c>
      <c r="BK116" s="28">
        <f t="shared" si="21"/>
        <v>54</v>
      </c>
      <c r="BL116" s="22">
        <f t="shared" si="22"/>
        <v>24</v>
      </c>
      <c r="BM116" s="22">
        <f t="shared" si="23"/>
        <v>30</v>
      </c>
      <c r="BN116" s="23">
        <f t="shared" si="25"/>
        <v>0.66666666666666663</v>
      </c>
      <c r="BO116" s="23">
        <f t="shared" si="25"/>
        <v>0.6333333333333333</v>
      </c>
      <c r="BP116" s="7">
        <f>VLOOKUP(A116,[1]Sheet15!B:E,4,0)</f>
        <v>7</v>
      </c>
      <c r="BQ116" s="7">
        <f>VLOOKUP(A116,[1]Sheet15!B:E,3,0)</f>
        <v>0</v>
      </c>
    </row>
    <row r="117" spans="1:69" ht="22.5" customHeight="1" x14ac:dyDescent="0.25">
      <c r="A117" s="15" t="s">
        <v>329</v>
      </c>
      <c r="B117" s="15">
        <f>VLOOKUP(A117,'[1]Master clients'!F114:W3661,17,0)</f>
        <v>0</v>
      </c>
      <c r="C117" s="15" t="str">
        <f>VLOOKUP(A117,'[1]Master clients'!F114:P3661,11,0)</f>
        <v>NI</v>
      </c>
      <c r="D117" s="15" t="str">
        <f>VLOOKUP(A117,'[1]Master clients'!F:M,8,0)</f>
        <v>End User</v>
      </c>
      <c r="E117" s="16" t="s">
        <v>330</v>
      </c>
      <c r="F117" s="16" t="s">
        <v>331</v>
      </c>
      <c r="G117" s="17"/>
      <c r="H117" s="17">
        <v>1</v>
      </c>
      <c r="I117" s="31">
        <v>1</v>
      </c>
      <c r="J117" s="31">
        <v>1</v>
      </c>
      <c r="K117" s="17">
        <v>0</v>
      </c>
      <c r="L117" s="17">
        <v>0</v>
      </c>
      <c r="M117" s="17">
        <v>0</v>
      </c>
      <c r="N117" s="17">
        <v>0</v>
      </c>
      <c r="O117" s="17">
        <v>0</v>
      </c>
      <c r="P117" s="17">
        <v>0</v>
      </c>
      <c r="Q117" s="17">
        <v>0</v>
      </c>
      <c r="R117" s="17">
        <v>0</v>
      </c>
      <c r="S117" s="17">
        <v>0</v>
      </c>
      <c r="T117" s="17">
        <v>0</v>
      </c>
      <c r="U117" s="17">
        <v>0</v>
      </c>
      <c r="V117" s="17">
        <v>0</v>
      </c>
      <c r="W117" s="17">
        <v>0</v>
      </c>
      <c r="X117" s="17">
        <v>0</v>
      </c>
      <c r="Y117" s="17">
        <v>0</v>
      </c>
      <c r="Z117" s="17">
        <v>0</v>
      </c>
      <c r="AA117" s="17">
        <v>0</v>
      </c>
      <c r="AB117" s="17">
        <v>0</v>
      </c>
      <c r="AC117" s="17">
        <v>0</v>
      </c>
      <c r="AD117" s="17">
        <v>0</v>
      </c>
      <c r="AE117" s="17">
        <v>0</v>
      </c>
      <c r="AF117" s="17">
        <v>0</v>
      </c>
      <c r="AG117" s="17">
        <v>0</v>
      </c>
      <c r="AH117" s="17">
        <v>0</v>
      </c>
      <c r="AI117" s="17">
        <v>0</v>
      </c>
      <c r="AJ117" s="17">
        <v>0</v>
      </c>
      <c r="AK117" s="17">
        <v>0</v>
      </c>
      <c r="AL117" s="17">
        <v>0</v>
      </c>
      <c r="AM117" s="17">
        <v>0</v>
      </c>
      <c r="AN117" s="17">
        <v>0</v>
      </c>
      <c r="AO117" s="17">
        <v>0</v>
      </c>
      <c r="AP117" s="17">
        <v>0</v>
      </c>
      <c r="AQ117" s="17">
        <v>0</v>
      </c>
      <c r="AR117" s="17">
        <v>0</v>
      </c>
      <c r="AS117" s="17">
        <v>0</v>
      </c>
      <c r="AT117" s="17">
        <v>0</v>
      </c>
      <c r="AU117" s="17">
        <v>0</v>
      </c>
      <c r="AV117" s="17">
        <v>0</v>
      </c>
      <c r="AW117" s="17">
        <v>0</v>
      </c>
      <c r="AX117" s="17">
        <v>0</v>
      </c>
      <c r="AY117" s="17">
        <v>0</v>
      </c>
      <c r="AZ117" s="17">
        <v>0</v>
      </c>
      <c r="BA117" s="17">
        <v>0</v>
      </c>
      <c r="BB117" s="17">
        <v>0</v>
      </c>
      <c r="BC117" s="17">
        <v>0</v>
      </c>
      <c r="BD117" s="17">
        <v>0</v>
      </c>
      <c r="BE117" s="17">
        <v>0</v>
      </c>
      <c r="BF117" s="17">
        <v>0</v>
      </c>
      <c r="BG117" s="17">
        <v>0</v>
      </c>
      <c r="BH117" s="17">
        <v>0</v>
      </c>
      <c r="BI117" s="22">
        <f t="shared" si="19"/>
        <v>0</v>
      </c>
      <c r="BJ117" s="22">
        <f t="shared" si="20"/>
        <v>0</v>
      </c>
      <c r="BK117" s="22">
        <f t="shared" si="21"/>
        <v>2</v>
      </c>
      <c r="BL117" s="22">
        <f t="shared" si="22"/>
        <v>1</v>
      </c>
      <c r="BM117" s="22">
        <f t="shared" si="23"/>
        <v>1</v>
      </c>
      <c r="BN117" s="23">
        <f t="shared" ref="BN117:BO132" si="26">I117/BL117</f>
        <v>1</v>
      </c>
      <c r="BO117" s="23">
        <f t="shared" si="26"/>
        <v>1</v>
      </c>
      <c r="BP117" s="7">
        <f>VLOOKUP(A117,[1]Sheet15!B:E,4,0)</f>
        <v>1</v>
      </c>
      <c r="BQ117" s="7">
        <f>VLOOKUP(A117,[1]Sheet15!B:E,3,0)</f>
        <v>1</v>
      </c>
    </row>
    <row r="118" spans="1:69" ht="22.5" customHeight="1" x14ac:dyDescent="0.25">
      <c r="A118" s="15" t="s">
        <v>332</v>
      </c>
      <c r="B118" s="15">
        <f>VLOOKUP(A118,'[1]Master clients'!F115:W3662,17,0)</f>
        <v>0</v>
      </c>
      <c r="C118" s="15" t="str">
        <f>VLOOKUP(A118,'[1]Master clients'!F115:P3662,11,0)</f>
        <v>NI</v>
      </c>
      <c r="D118" s="15" t="str">
        <f>VLOOKUP(A118,'[1]Master clients'!F:M,8,0)</f>
        <v>End User</v>
      </c>
      <c r="E118" s="16" t="s">
        <v>333</v>
      </c>
      <c r="F118" s="16" t="s">
        <v>331</v>
      </c>
      <c r="G118" s="17"/>
      <c r="H118" s="17"/>
      <c r="I118" s="31">
        <v>4</v>
      </c>
      <c r="J118" s="31">
        <v>0</v>
      </c>
      <c r="K118" s="17">
        <v>0</v>
      </c>
      <c r="L118" s="17">
        <v>0</v>
      </c>
      <c r="M118" s="17">
        <v>0</v>
      </c>
      <c r="N118" s="17">
        <v>0</v>
      </c>
      <c r="O118" s="17">
        <v>0</v>
      </c>
      <c r="P118" s="17">
        <v>0</v>
      </c>
      <c r="Q118" s="17">
        <v>0</v>
      </c>
      <c r="R118" s="17">
        <v>0</v>
      </c>
      <c r="S118" s="17">
        <v>0</v>
      </c>
      <c r="T118" s="17">
        <v>0</v>
      </c>
      <c r="U118" s="17">
        <v>0</v>
      </c>
      <c r="V118" s="17">
        <v>0</v>
      </c>
      <c r="W118" s="17">
        <v>0</v>
      </c>
      <c r="X118" s="17">
        <v>0</v>
      </c>
      <c r="Y118" s="17">
        <v>0</v>
      </c>
      <c r="Z118" s="17">
        <v>0</v>
      </c>
      <c r="AA118" s="17">
        <v>0</v>
      </c>
      <c r="AB118" s="17">
        <v>0</v>
      </c>
      <c r="AC118" s="17">
        <v>0</v>
      </c>
      <c r="AD118" s="17">
        <v>0</v>
      </c>
      <c r="AE118" s="17">
        <v>0</v>
      </c>
      <c r="AF118" s="17">
        <v>0</v>
      </c>
      <c r="AG118" s="17">
        <v>0</v>
      </c>
      <c r="AH118" s="17">
        <v>0</v>
      </c>
      <c r="AI118" s="17">
        <v>0</v>
      </c>
      <c r="AJ118" s="17">
        <v>0</v>
      </c>
      <c r="AK118" s="17">
        <v>0</v>
      </c>
      <c r="AL118" s="17">
        <v>0</v>
      </c>
      <c r="AM118" s="17">
        <v>0</v>
      </c>
      <c r="AN118" s="17">
        <v>0</v>
      </c>
      <c r="AO118" s="17">
        <v>0</v>
      </c>
      <c r="AP118" s="17">
        <v>0</v>
      </c>
      <c r="AQ118" s="17">
        <v>0</v>
      </c>
      <c r="AR118" s="17">
        <v>0</v>
      </c>
      <c r="AS118" s="17">
        <v>0</v>
      </c>
      <c r="AT118" s="17">
        <v>0</v>
      </c>
      <c r="AU118" s="17">
        <v>0</v>
      </c>
      <c r="AV118" s="17">
        <v>0</v>
      </c>
      <c r="AW118" s="17">
        <v>0</v>
      </c>
      <c r="AX118" s="17">
        <v>0</v>
      </c>
      <c r="AY118" s="17">
        <v>0</v>
      </c>
      <c r="AZ118" s="17">
        <v>0</v>
      </c>
      <c r="BA118" s="17">
        <v>0</v>
      </c>
      <c r="BB118" s="17">
        <v>0</v>
      </c>
      <c r="BC118" s="17">
        <v>0</v>
      </c>
      <c r="BD118" s="17">
        <v>0</v>
      </c>
      <c r="BE118" s="17">
        <v>0</v>
      </c>
      <c r="BF118" s="17">
        <v>0</v>
      </c>
      <c r="BG118" s="17">
        <v>0</v>
      </c>
      <c r="BH118" s="17">
        <v>0</v>
      </c>
      <c r="BI118" s="22">
        <f t="shared" si="19"/>
        <v>0</v>
      </c>
      <c r="BJ118" s="22">
        <f t="shared" si="20"/>
        <v>0</v>
      </c>
      <c r="BK118" s="22">
        <f t="shared" si="21"/>
        <v>4</v>
      </c>
      <c r="BL118" s="22">
        <f t="shared" si="22"/>
        <v>4</v>
      </c>
      <c r="BM118" s="22">
        <f t="shared" si="23"/>
        <v>0</v>
      </c>
      <c r="BN118" s="23">
        <f t="shared" si="26"/>
        <v>1</v>
      </c>
      <c r="BO118" s="23" t="e">
        <f t="shared" si="26"/>
        <v>#DIV/0!</v>
      </c>
      <c r="BP118" s="7">
        <f>VLOOKUP(A118,[1]Sheet15!B:E,4,0)</f>
        <v>4</v>
      </c>
      <c r="BQ118" s="7">
        <f>VLOOKUP(A118,[1]Sheet15!B:E,3,0)</f>
        <v>0</v>
      </c>
    </row>
    <row r="119" spans="1:69" ht="22.5" customHeight="1" x14ac:dyDescent="0.25">
      <c r="A119" s="15" t="s">
        <v>334</v>
      </c>
      <c r="B119" s="15">
        <f>VLOOKUP(A119,'[1]Master clients'!F116:W3663,17,0)</f>
        <v>0</v>
      </c>
      <c r="C119" s="15" t="str">
        <f>VLOOKUP(A119,'[1]Master clients'!F116:P3663,11,0)</f>
        <v>NI</v>
      </c>
      <c r="D119" s="15" t="str">
        <f>VLOOKUP(A119,'[1]Master clients'!F:M,8,0)</f>
        <v>End User</v>
      </c>
      <c r="E119" s="16" t="s">
        <v>335</v>
      </c>
      <c r="F119" s="16" t="s">
        <v>331</v>
      </c>
      <c r="G119" s="17"/>
      <c r="H119" s="17"/>
      <c r="I119" s="31">
        <v>1</v>
      </c>
      <c r="J119" s="31">
        <v>0</v>
      </c>
      <c r="K119" s="17">
        <v>0</v>
      </c>
      <c r="L119" s="17">
        <v>0</v>
      </c>
      <c r="M119" s="17">
        <v>0</v>
      </c>
      <c r="N119" s="17">
        <v>0</v>
      </c>
      <c r="O119" s="17">
        <v>0</v>
      </c>
      <c r="P119" s="17">
        <v>0</v>
      </c>
      <c r="Q119" s="17">
        <v>0</v>
      </c>
      <c r="R119" s="17">
        <v>0</v>
      </c>
      <c r="S119" s="17">
        <v>0</v>
      </c>
      <c r="T119" s="17">
        <v>0</v>
      </c>
      <c r="U119" s="17">
        <v>0</v>
      </c>
      <c r="V119" s="17">
        <v>0</v>
      </c>
      <c r="W119" s="17">
        <v>0</v>
      </c>
      <c r="X119" s="17">
        <v>0</v>
      </c>
      <c r="Y119" s="17">
        <v>0</v>
      </c>
      <c r="Z119" s="17">
        <v>0</v>
      </c>
      <c r="AA119" s="17">
        <v>0</v>
      </c>
      <c r="AB119" s="17">
        <v>0</v>
      </c>
      <c r="AC119" s="17">
        <v>0</v>
      </c>
      <c r="AD119" s="17">
        <v>0</v>
      </c>
      <c r="AE119" s="17">
        <v>0</v>
      </c>
      <c r="AF119" s="17">
        <v>0</v>
      </c>
      <c r="AG119" s="17">
        <v>0</v>
      </c>
      <c r="AH119" s="17">
        <v>0</v>
      </c>
      <c r="AI119" s="17">
        <v>0</v>
      </c>
      <c r="AJ119" s="17">
        <v>0</v>
      </c>
      <c r="AK119" s="17">
        <v>0</v>
      </c>
      <c r="AL119" s="17">
        <v>0</v>
      </c>
      <c r="AM119" s="17">
        <v>0</v>
      </c>
      <c r="AN119" s="17">
        <v>0</v>
      </c>
      <c r="AO119" s="17">
        <v>0</v>
      </c>
      <c r="AP119" s="17">
        <v>0</v>
      </c>
      <c r="AQ119" s="17">
        <v>0</v>
      </c>
      <c r="AR119" s="17">
        <v>0</v>
      </c>
      <c r="AS119" s="17">
        <v>0</v>
      </c>
      <c r="AT119" s="17">
        <v>0</v>
      </c>
      <c r="AU119" s="17">
        <v>0</v>
      </c>
      <c r="AV119" s="17">
        <v>0</v>
      </c>
      <c r="AW119" s="17">
        <v>0</v>
      </c>
      <c r="AX119" s="17">
        <v>0</v>
      </c>
      <c r="AY119" s="17">
        <v>0</v>
      </c>
      <c r="AZ119" s="17">
        <v>0</v>
      </c>
      <c r="BA119" s="17">
        <v>0</v>
      </c>
      <c r="BB119" s="17">
        <v>0</v>
      </c>
      <c r="BC119" s="17">
        <v>0</v>
      </c>
      <c r="BD119" s="17">
        <v>0</v>
      </c>
      <c r="BE119" s="17">
        <v>0</v>
      </c>
      <c r="BF119" s="17">
        <v>0</v>
      </c>
      <c r="BG119" s="17">
        <v>0</v>
      </c>
      <c r="BH119" s="17">
        <v>0</v>
      </c>
      <c r="BI119" s="22">
        <f t="shared" si="19"/>
        <v>0</v>
      </c>
      <c r="BJ119" s="22">
        <f t="shared" si="20"/>
        <v>0</v>
      </c>
      <c r="BK119" s="22">
        <f t="shared" si="21"/>
        <v>1</v>
      </c>
      <c r="BL119" s="22">
        <f t="shared" si="22"/>
        <v>1</v>
      </c>
      <c r="BM119" s="22">
        <f t="shared" si="23"/>
        <v>0</v>
      </c>
      <c r="BN119" s="23">
        <f t="shared" si="26"/>
        <v>1</v>
      </c>
      <c r="BO119" s="23" t="e">
        <f t="shared" si="26"/>
        <v>#DIV/0!</v>
      </c>
      <c r="BP119" s="7" t="e">
        <f>VLOOKUP(A119,[1]Sheet15!B:E,4,0)</f>
        <v>#N/A</v>
      </c>
      <c r="BQ119" s="7" t="e">
        <f>VLOOKUP(A119,[1]Sheet15!B:E,3,0)</f>
        <v>#N/A</v>
      </c>
    </row>
    <row r="120" spans="1:69" ht="22.5" customHeight="1" x14ac:dyDescent="0.25">
      <c r="A120" s="15" t="s">
        <v>336</v>
      </c>
      <c r="B120" s="35">
        <f>VLOOKUP(A120,'[1]Master clients'!F913:W4460,17,0)</f>
        <v>0</v>
      </c>
      <c r="C120" s="15" t="str">
        <f>VLOOKUP(A120,'[1]Master clients'!F913:P4460,11,0)</f>
        <v>-</v>
      </c>
      <c r="D120" s="15">
        <f>VLOOKUP(A120,'[1]Master clients'!F:M,8,0)</f>
        <v>0</v>
      </c>
      <c r="E120" s="16" t="s">
        <v>337</v>
      </c>
      <c r="F120" s="29" t="s">
        <v>331</v>
      </c>
      <c r="G120" s="20"/>
      <c r="H120" s="20"/>
      <c r="I120" s="18">
        <v>0</v>
      </c>
      <c r="J120" s="18">
        <v>0</v>
      </c>
      <c r="K120" s="20">
        <v>10</v>
      </c>
      <c r="L120" s="20">
        <v>0</v>
      </c>
      <c r="M120" s="20">
        <v>0</v>
      </c>
      <c r="N120" s="20">
        <v>0</v>
      </c>
      <c r="O120" s="20">
        <v>0</v>
      </c>
      <c r="P120" s="20">
        <v>0</v>
      </c>
      <c r="Q120" s="20">
        <v>0</v>
      </c>
      <c r="R120" s="20">
        <v>0</v>
      </c>
      <c r="S120" s="20">
        <v>0</v>
      </c>
      <c r="T120" s="20">
        <v>0</v>
      </c>
      <c r="U120" s="20">
        <v>0</v>
      </c>
      <c r="V120" s="20">
        <v>0</v>
      </c>
      <c r="W120" s="20">
        <v>0</v>
      </c>
      <c r="X120" s="20">
        <v>0</v>
      </c>
      <c r="Y120" s="20">
        <v>0</v>
      </c>
      <c r="Z120" s="20">
        <v>0</v>
      </c>
      <c r="AA120" s="20">
        <v>0</v>
      </c>
      <c r="AB120" s="20">
        <v>0</v>
      </c>
      <c r="AC120" s="20">
        <v>0</v>
      </c>
      <c r="AD120" s="20">
        <v>0</v>
      </c>
      <c r="AE120" s="20">
        <v>0</v>
      </c>
      <c r="AF120" s="20">
        <v>0</v>
      </c>
      <c r="AG120" s="20">
        <v>0</v>
      </c>
      <c r="AH120" s="20">
        <v>0</v>
      </c>
      <c r="AI120" s="20">
        <v>0</v>
      </c>
      <c r="AJ120" s="20">
        <v>0</v>
      </c>
      <c r="AK120" s="20">
        <v>0</v>
      </c>
      <c r="AL120" s="20">
        <v>0</v>
      </c>
      <c r="AM120" s="20">
        <v>0</v>
      </c>
      <c r="AN120" s="20">
        <v>0</v>
      </c>
      <c r="AO120" s="20">
        <v>0</v>
      </c>
      <c r="AP120" s="20">
        <v>0</v>
      </c>
      <c r="AQ120" s="20">
        <v>0</v>
      </c>
      <c r="AR120" s="20">
        <v>0</v>
      </c>
      <c r="AS120" s="20">
        <v>0</v>
      </c>
      <c r="AT120" s="20">
        <v>0</v>
      </c>
      <c r="AU120" s="20">
        <v>0</v>
      </c>
      <c r="AV120" s="20">
        <v>0</v>
      </c>
      <c r="AW120" s="20">
        <v>0</v>
      </c>
      <c r="AX120" s="20">
        <v>0</v>
      </c>
      <c r="AY120" s="20">
        <v>0</v>
      </c>
      <c r="AZ120" s="20">
        <v>0</v>
      </c>
      <c r="BA120" s="20">
        <v>0</v>
      </c>
      <c r="BB120" s="20">
        <v>0</v>
      </c>
      <c r="BC120" s="20">
        <v>0</v>
      </c>
      <c r="BD120" s="20">
        <v>0</v>
      </c>
      <c r="BE120" s="20">
        <v>0</v>
      </c>
      <c r="BF120" s="20">
        <v>0</v>
      </c>
      <c r="BG120" s="20">
        <v>0</v>
      </c>
      <c r="BH120" s="20">
        <v>0</v>
      </c>
      <c r="BI120" s="22">
        <f t="shared" si="19"/>
        <v>10</v>
      </c>
      <c r="BJ120" s="22">
        <f t="shared" si="20"/>
        <v>0</v>
      </c>
      <c r="BK120" s="22">
        <f t="shared" si="21"/>
        <v>10</v>
      </c>
      <c r="BL120" s="22">
        <f t="shared" si="22"/>
        <v>10</v>
      </c>
      <c r="BM120" s="22">
        <f t="shared" si="23"/>
        <v>0</v>
      </c>
      <c r="BN120" s="23">
        <f t="shared" si="26"/>
        <v>0</v>
      </c>
      <c r="BO120" s="23" t="e">
        <f t="shared" si="26"/>
        <v>#DIV/0!</v>
      </c>
      <c r="BP120" s="7" t="e">
        <f>VLOOKUP(A120,[1]Sheet15!B:E,4,0)</f>
        <v>#N/A</v>
      </c>
      <c r="BQ120" s="7" t="e">
        <f>VLOOKUP(A120,[1]Sheet15!B:E,3,0)</f>
        <v>#N/A</v>
      </c>
    </row>
    <row r="121" spans="1:69" ht="22.5" customHeight="1" x14ac:dyDescent="0.25">
      <c r="A121" s="15" t="s">
        <v>338</v>
      </c>
      <c r="B121" s="15">
        <f>VLOOKUP(A121,'[1]Master clients'!F117:W3664,17,0)</f>
        <v>0</v>
      </c>
      <c r="C121" s="15" t="str">
        <f>VLOOKUP(A121,'[1]Master clients'!F117:P3664,11,0)</f>
        <v>NI</v>
      </c>
      <c r="D121" s="15" t="str">
        <f>VLOOKUP(A121,'[1]Master clients'!F:M,8,0)</f>
        <v>End User</v>
      </c>
      <c r="E121" s="16" t="s">
        <v>339</v>
      </c>
      <c r="F121" s="16" t="s">
        <v>331</v>
      </c>
      <c r="G121" s="17"/>
      <c r="H121" s="17"/>
      <c r="I121" s="31">
        <v>0</v>
      </c>
      <c r="J121" s="31">
        <v>0</v>
      </c>
      <c r="K121" s="17">
        <v>0</v>
      </c>
      <c r="L121" s="17">
        <v>0</v>
      </c>
      <c r="M121" s="17">
        <v>0</v>
      </c>
      <c r="N121" s="17">
        <v>0</v>
      </c>
      <c r="O121" s="17">
        <v>0</v>
      </c>
      <c r="P121" s="17">
        <v>0</v>
      </c>
      <c r="Q121" s="17">
        <v>0</v>
      </c>
      <c r="R121" s="17">
        <v>0</v>
      </c>
      <c r="S121" s="17">
        <v>0</v>
      </c>
      <c r="T121" s="17">
        <v>0</v>
      </c>
      <c r="U121" s="17">
        <v>0</v>
      </c>
      <c r="V121" s="17">
        <v>0</v>
      </c>
      <c r="W121" s="17">
        <v>0</v>
      </c>
      <c r="X121" s="17">
        <v>0</v>
      </c>
      <c r="Y121" s="17">
        <v>0</v>
      </c>
      <c r="Z121" s="17">
        <v>0</v>
      </c>
      <c r="AA121" s="17">
        <v>0</v>
      </c>
      <c r="AB121" s="17">
        <v>0</v>
      </c>
      <c r="AC121" s="17">
        <v>0</v>
      </c>
      <c r="AD121" s="17">
        <v>0</v>
      </c>
      <c r="AE121" s="17">
        <v>0</v>
      </c>
      <c r="AF121" s="17">
        <v>0</v>
      </c>
      <c r="AG121" s="17">
        <v>0</v>
      </c>
      <c r="AH121" s="17">
        <v>0</v>
      </c>
      <c r="AI121" s="17">
        <v>0</v>
      </c>
      <c r="AJ121" s="17">
        <v>0</v>
      </c>
      <c r="AK121" s="17">
        <v>0</v>
      </c>
      <c r="AL121" s="17">
        <v>0</v>
      </c>
      <c r="AM121" s="17">
        <v>0</v>
      </c>
      <c r="AN121" s="17">
        <v>0</v>
      </c>
      <c r="AO121" s="17">
        <v>0</v>
      </c>
      <c r="AP121" s="17">
        <v>0</v>
      </c>
      <c r="AQ121" s="17">
        <v>0</v>
      </c>
      <c r="AR121" s="17">
        <v>0</v>
      </c>
      <c r="AS121" s="17">
        <v>0</v>
      </c>
      <c r="AT121" s="17">
        <v>0</v>
      </c>
      <c r="AU121" s="17">
        <v>0</v>
      </c>
      <c r="AV121" s="17">
        <v>0</v>
      </c>
      <c r="AW121" s="17">
        <v>0</v>
      </c>
      <c r="AX121" s="17">
        <v>0</v>
      </c>
      <c r="AY121" s="17">
        <v>0</v>
      </c>
      <c r="AZ121" s="17">
        <v>0</v>
      </c>
      <c r="BA121" s="17">
        <v>0</v>
      </c>
      <c r="BB121" s="17">
        <v>0</v>
      </c>
      <c r="BC121" s="17">
        <v>0</v>
      </c>
      <c r="BD121" s="17">
        <v>0</v>
      </c>
      <c r="BE121" s="17">
        <v>0</v>
      </c>
      <c r="BF121" s="17">
        <v>0</v>
      </c>
      <c r="BG121" s="17">
        <v>0</v>
      </c>
      <c r="BH121" s="17">
        <v>0</v>
      </c>
      <c r="BI121" s="22">
        <f t="shared" si="19"/>
        <v>0</v>
      </c>
      <c r="BJ121" s="22">
        <f t="shared" si="20"/>
        <v>0</v>
      </c>
      <c r="BK121" s="22">
        <f t="shared" si="21"/>
        <v>0</v>
      </c>
      <c r="BL121" s="22">
        <f t="shared" si="22"/>
        <v>0</v>
      </c>
      <c r="BM121" s="22">
        <f t="shared" si="23"/>
        <v>0</v>
      </c>
      <c r="BN121" s="23" t="e">
        <f t="shared" si="26"/>
        <v>#DIV/0!</v>
      </c>
      <c r="BO121" s="23" t="e">
        <f t="shared" si="26"/>
        <v>#DIV/0!</v>
      </c>
      <c r="BP121" s="7" t="e">
        <f>VLOOKUP(A121,[1]Sheet15!B:E,4,0)</f>
        <v>#N/A</v>
      </c>
      <c r="BQ121" s="7" t="e">
        <f>VLOOKUP(A121,[1]Sheet15!B:E,3,0)</f>
        <v>#N/A</v>
      </c>
    </row>
    <row r="122" spans="1:69" ht="22.5" customHeight="1" x14ac:dyDescent="0.25">
      <c r="A122" s="15" t="s">
        <v>340</v>
      </c>
      <c r="B122" s="15">
        <f>VLOOKUP(A122,'[1]Master clients'!F118:W3665,17,0)</f>
        <v>0</v>
      </c>
      <c r="C122" s="15" t="str">
        <f>VLOOKUP(A122,'[1]Master clients'!F118:P3665,11,0)</f>
        <v>NI</v>
      </c>
      <c r="D122" s="15" t="str">
        <f>VLOOKUP(A122,'[1]Master clients'!F:M,8,0)</f>
        <v>End User</v>
      </c>
      <c r="E122" s="16" t="s">
        <v>341</v>
      </c>
      <c r="F122" s="16" t="s">
        <v>331</v>
      </c>
      <c r="G122" s="17"/>
      <c r="H122" s="17"/>
      <c r="I122" s="31">
        <v>2</v>
      </c>
      <c r="J122" s="31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  <c r="AE122" s="17">
        <v>0</v>
      </c>
      <c r="AF122" s="17">
        <v>0</v>
      </c>
      <c r="AG122" s="17">
        <v>0</v>
      </c>
      <c r="AH122" s="17">
        <v>0</v>
      </c>
      <c r="AI122" s="17">
        <v>0</v>
      </c>
      <c r="AJ122" s="17">
        <v>0</v>
      </c>
      <c r="AK122" s="17">
        <v>0</v>
      </c>
      <c r="AL122" s="17">
        <v>0</v>
      </c>
      <c r="AM122" s="17">
        <v>0</v>
      </c>
      <c r="AN122" s="17">
        <v>0</v>
      </c>
      <c r="AO122" s="17">
        <v>0</v>
      </c>
      <c r="AP122" s="17">
        <v>0</v>
      </c>
      <c r="AQ122" s="17">
        <v>0</v>
      </c>
      <c r="AR122" s="17">
        <v>0</v>
      </c>
      <c r="AS122" s="17">
        <v>0</v>
      </c>
      <c r="AT122" s="17">
        <v>0</v>
      </c>
      <c r="AU122" s="17">
        <v>0</v>
      </c>
      <c r="AV122" s="17">
        <v>0</v>
      </c>
      <c r="AW122" s="17">
        <v>0</v>
      </c>
      <c r="AX122" s="17">
        <v>0</v>
      </c>
      <c r="AY122" s="17">
        <v>0</v>
      </c>
      <c r="AZ122" s="17">
        <v>0</v>
      </c>
      <c r="BA122" s="17">
        <v>0</v>
      </c>
      <c r="BB122" s="17">
        <v>0</v>
      </c>
      <c r="BC122" s="17">
        <v>0</v>
      </c>
      <c r="BD122" s="17">
        <v>0</v>
      </c>
      <c r="BE122" s="17">
        <v>0</v>
      </c>
      <c r="BF122" s="17">
        <v>0</v>
      </c>
      <c r="BG122" s="17">
        <v>0</v>
      </c>
      <c r="BH122" s="17">
        <v>0</v>
      </c>
      <c r="BI122" s="22">
        <f t="shared" si="19"/>
        <v>0</v>
      </c>
      <c r="BJ122" s="22">
        <f t="shared" si="20"/>
        <v>0</v>
      </c>
      <c r="BK122" s="22">
        <f t="shared" si="21"/>
        <v>2</v>
      </c>
      <c r="BL122" s="22">
        <f t="shared" si="22"/>
        <v>2</v>
      </c>
      <c r="BM122" s="22">
        <f t="shared" si="23"/>
        <v>0</v>
      </c>
      <c r="BN122" s="23">
        <f t="shared" si="26"/>
        <v>1</v>
      </c>
      <c r="BO122" s="23" t="e">
        <f t="shared" si="26"/>
        <v>#DIV/0!</v>
      </c>
      <c r="BP122" s="7">
        <f>VLOOKUP(A122,[1]Sheet15!B:E,4,0)</f>
        <v>2</v>
      </c>
      <c r="BQ122" s="7">
        <f>VLOOKUP(A122,[1]Sheet15!B:E,3,0)</f>
        <v>0</v>
      </c>
    </row>
    <row r="123" spans="1:69" ht="22.5" customHeight="1" x14ac:dyDescent="0.25">
      <c r="A123" s="15" t="s">
        <v>342</v>
      </c>
      <c r="B123" s="15">
        <f>VLOOKUP(A123,'[1]Master clients'!F119:W3666,17,0)</f>
        <v>0</v>
      </c>
      <c r="C123" s="15" t="str">
        <f>VLOOKUP(A123,'[1]Master clients'!F119:P3666,11,0)</f>
        <v>NI</v>
      </c>
      <c r="D123" s="15" t="str">
        <f>VLOOKUP(A123,'[1]Master clients'!F:M,8,0)</f>
        <v>End User</v>
      </c>
      <c r="E123" s="16" t="s">
        <v>343</v>
      </c>
      <c r="F123" s="16" t="s">
        <v>331</v>
      </c>
      <c r="G123" s="17"/>
      <c r="H123" s="17"/>
      <c r="I123" s="31">
        <v>3</v>
      </c>
      <c r="J123" s="31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  <c r="AE123" s="17">
        <v>0</v>
      </c>
      <c r="AF123" s="17">
        <v>0</v>
      </c>
      <c r="AG123" s="17">
        <v>0</v>
      </c>
      <c r="AH123" s="17">
        <v>0</v>
      </c>
      <c r="AI123" s="17">
        <v>0</v>
      </c>
      <c r="AJ123" s="17">
        <v>0</v>
      </c>
      <c r="AK123" s="17">
        <v>0</v>
      </c>
      <c r="AL123" s="17">
        <v>0</v>
      </c>
      <c r="AM123" s="17">
        <v>0</v>
      </c>
      <c r="AN123" s="17">
        <v>0</v>
      </c>
      <c r="AO123" s="17">
        <v>0</v>
      </c>
      <c r="AP123" s="17">
        <v>0</v>
      </c>
      <c r="AQ123" s="17">
        <v>0</v>
      </c>
      <c r="AR123" s="17">
        <v>0</v>
      </c>
      <c r="AS123" s="17">
        <v>0</v>
      </c>
      <c r="AT123" s="17">
        <v>0</v>
      </c>
      <c r="AU123" s="17">
        <v>0</v>
      </c>
      <c r="AV123" s="17">
        <v>0</v>
      </c>
      <c r="AW123" s="17">
        <v>0</v>
      </c>
      <c r="AX123" s="17">
        <v>0</v>
      </c>
      <c r="AY123" s="17">
        <v>0</v>
      </c>
      <c r="AZ123" s="17">
        <v>0</v>
      </c>
      <c r="BA123" s="17">
        <v>0</v>
      </c>
      <c r="BB123" s="17">
        <v>0</v>
      </c>
      <c r="BC123" s="17">
        <v>0</v>
      </c>
      <c r="BD123" s="17">
        <v>0</v>
      </c>
      <c r="BE123" s="17">
        <v>0</v>
      </c>
      <c r="BF123" s="17">
        <v>0</v>
      </c>
      <c r="BG123" s="17">
        <v>0</v>
      </c>
      <c r="BH123" s="17">
        <v>0</v>
      </c>
      <c r="BI123" s="22">
        <f t="shared" si="19"/>
        <v>0</v>
      </c>
      <c r="BJ123" s="22">
        <f t="shared" si="20"/>
        <v>0</v>
      </c>
      <c r="BK123" s="22">
        <f t="shared" si="21"/>
        <v>3</v>
      </c>
      <c r="BL123" s="22">
        <f t="shared" si="22"/>
        <v>3</v>
      </c>
      <c r="BM123" s="22">
        <f t="shared" si="23"/>
        <v>0</v>
      </c>
      <c r="BN123" s="23">
        <f t="shared" si="26"/>
        <v>1</v>
      </c>
      <c r="BO123" s="23" t="e">
        <f t="shared" si="26"/>
        <v>#DIV/0!</v>
      </c>
      <c r="BP123" s="7">
        <f>VLOOKUP(A123,[1]Sheet15!B:E,4,0)</f>
        <v>3</v>
      </c>
      <c r="BQ123" s="7">
        <f>VLOOKUP(A123,[1]Sheet15!B:E,3,0)</f>
        <v>0</v>
      </c>
    </row>
    <row r="124" spans="1:69" ht="22.5" customHeight="1" x14ac:dyDescent="0.25">
      <c r="A124" s="15" t="s">
        <v>344</v>
      </c>
      <c r="B124" s="15">
        <f>VLOOKUP(A124,'[1]Master clients'!F120:W3667,17,0)</f>
        <v>0</v>
      </c>
      <c r="C124" s="15" t="str">
        <f>VLOOKUP(A124,'[1]Master clients'!F120:P3667,11,0)</f>
        <v>NI</v>
      </c>
      <c r="D124" s="15" t="str">
        <f>VLOOKUP(A124,'[1]Master clients'!F:M,8,0)</f>
        <v>End User</v>
      </c>
      <c r="E124" s="16" t="s">
        <v>345</v>
      </c>
      <c r="F124" s="16" t="s">
        <v>331</v>
      </c>
      <c r="G124" s="17"/>
      <c r="H124" s="17"/>
      <c r="I124" s="31">
        <v>2</v>
      </c>
      <c r="J124" s="31">
        <v>0</v>
      </c>
      <c r="K124" s="17">
        <v>0</v>
      </c>
      <c r="L124" s="17">
        <v>0</v>
      </c>
      <c r="M124" s="17">
        <v>0</v>
      </c>
      <c r="N124" s="17">
        <v>0</v>
      </c>
      <c r="O124" s="17">
        <v>0</v>
      </c>
      <c r="P124" s="17">
        <v>0</v>
      </c>
      <c r="Q124" s="17">
        <v>0</v>
      </c>
      <c r="R124" s="17">
        <v>0</v>
      </c>
      <c r="S124" s="17">
        <v>0</v>
      </c>
      <c r="T124" s="17">
        <v>0</v>
      </c>
      <c r="U124" s="17">
        <v>0</v>
      </c>
      <c r="V124" s="17">
        <v>0</v>
      </c>
      <c r="W124" s="17">
        <v>0</v>
      </c>
      <c r="X124" s="17">
        <v>0</v>
      </c>
      <c r="Y124" s="17">
        <v>0</v>
      </c>
      <c r="Z124" s="17">
        <v>0</v>
      </c>
      <c r="AA124" s="17">
        <v>0</v>
      </c>
      <c r="AB124" s="17">
        <v>0</v>
      </c>
      <c r="AC124" s="17">
        <v>0</v>
      </c>
      <c r="AD124" s="17">
        <v>0</v>
      </c>
      <c r="AE124" s="17">
        <v>0</v>
      </c>
      <c r="AF124" s="17">
        <v>0</v>
      </c>
      <c r="AG124" s="17">
        <v>0</v>
      </c>
      <c r="AH124" s="17">
        <v>0</v>
      </c>
      <c r="AI124" s="17">
        <v>0</v>
      </c>
      <c r="AJ124" s="17">
        <v>0</v>
      </c>
      <c r="AK124" s="17">
        <v>0</v>
      </c>
      <c r="AL124" s="17">
        <v>0</v>
      </c>
      <c r="AM124" s="17">
        <v>0</v>
      </c>
      <c r="AN124" s="17">
        <v>0</v>
      </c>
      <c r="AO124" s="17">
        <v>0</v>
      </c>
      <c r="AP124" s="17">
        <v>0</v>
      </c>
      <c r="AQ124" s="17">
        <v>0</v>
      </c>
      <c r="AR124" s="17">
        <v>0</v>
      </c>
      <c r="AS124" s="17">
        <v>0</v>
      </c>
      <c r="AT124" s="17">
        <v>0</v>
      </c>
      <c r="AU124" s="17">
        <v>0</v>
      </c>
      <c r="AV124" s="17">
        <v>0</v>
      </c>
      <c r="AW124" s="17">
        <v>0</v>
      </c>
      <c r="AX124" s="17">
        <v>0</v>
      </c>
      <c r="AY124" s="17">
        <v>0</v>
      </c>
      <c r="AZ124" s="17">
        <v>0</v>
      </c>
      <c r="BA124" s="17">
        <v>0</v>
      </c>
      <c r="BB124" s="17">
        <v>0</v>
      </c>
      <c r="BC124" s="17">
        <v>0</v>
      </c>
      <c r="BD124" s="17">
        <v>0</v>
      </c>
      <c r="BE124" s="17">
        <v>0</v>
      </c>
      <c r="BF124" s="17">
        <v>0</v>
      </c>
      <c r="BG124" s="17">
        <v>0</v>
      </c>
      <c r="BH124" s="17">
        <v>0</v>
      </c>
      <c r="BI124" s="22">
        <f t="shared" si="19"/>
        <v>0</v>
      </c>
      <c r="BJ124" s="22">
        <f t="shared" si="20"/>
        <v>0</v>
      </c>
      <c r="BK124" s="22">
        <f t="shared" si="21"/>
        <v>2</v>
      </c>
      <c r="BL124" s="22">
        <f t="shared" si="22"/>
        <v>2</v>
      </c>
      <c r="BM124" s="22">
        <f t="shared" si="23"/>
        <v>0</v>
      </c>
      <c r="BN124" s="23">
        <f t="shared" si="26"/>
        <v>1</v>
      </c>
      <c r="BO124" s="23" t="e">
        <f t="shared" si="26"/>
        <v>#DIV/0!</v>
      </c>
      <c r="BP124" s="7">
        <f>VLOOKUP(A124,[1]Sheet15!B:E,4,0)</f>
        <v>2</v>
      </c>
      <c r="BQ124" s="7">
        <f>VLOOKUP(A124,[1]Sheet15!B:E,3,0)</f>
        <v>0</v>
      </c>
    </row>
    <row r="125" spans="1:69" ht="22.5" customHeight="1" x14ac:dyDescent="0.25">
      <c r="A125" s="15" t="s">
        <v>346</v>
      </c>
      <c r="B125" s="15">
        <f>VLOOKUP(A125,'[1]Master clients'!F121:W3668,17,0)</f>
        <v>0</v>
      </c>
      <c r="C125" s="15" t="str">
        <f>VLOOKUP(A125,'[1]Master clients'!F121:P3668,11,0)</f>
        <v>NI</v>
      </c>
      <c r="D125" s="15" t="str">
        <f>VLOOKUP(A125,'[1]Master clients'!F:M,8,0)</f>
        <v>Group (Mills)</v>
      </c>
      <c r="E125" s="16" t="s">
        <v>347</v>
      </c>
      <c r="F125" s="16" t="s">
        <v>348</v>
      </c>
      <c r="G125" s="17"/>
      <c r="H125" s="17"/>
      <c r="I125" s="18">
        <v>10</v>
      </c>
      <c r="J125" s="18">
        <v>3</v>
      </c>
      <c r="K125" s="17">
        <v>3</v>
      </c>
      <c r="L125" s="20">
        <v>0</v>
      </c>
      <c r="M125" s="20">
        <v>0</v>
      </c>
      <c r="N125" s="20">
        <v>0</v>
      </c>
      <c r="O125" s="20">
        <v>0</v>
      </c>
      <c r="P125" s="20">
        <v>0</v>
      </c>
      <c r="Q125" s="19">
        <v>5</v>
      </c>
      <c r="R125" s="20">
        <v>0</v>
      </c>
      <c r="S125" s="20">
        <v>0</v>
      </c>
      <c r="T125" s="20">
        <v>0</v>
      </c>
      <c r="U125" s="20">
        <v>0</v>
      </c>
      <c r="V125" s="20">
        <v>0</v>
      </c>
      <c r="W125" s="20">
        <v>0</v>
      </c>
      <c r="X125" s="20">
        <v>0</v>
      </c>
      <c r="Y125" s="20">
        <v>0</v>
      </c>
      <c r="Z125" s="20">
        <v>0</v>
      </c>
      <c r="AA125" s="20">
        <v>0</v>
      </c>
      <c r="AB125" s="20">
        <v>0</v>
      </c>
      <c r="AC125" s="20">
        <v>0</v>
      </c>
      <c r="AD125" s="20">
        <v>0</v>
      </c>
      <c r="AE125" s="20">
        <v>0</v>
      </c>
      <c r="AF125" s="20">
        <v>0</v>
      </c>
      <c r="AG125" s="20">
        <v>0</v>
      </c>
      <c r="AH125" s="20">
        <v>0</v>
      </c>
      <c r="AI125" s="20">
        <v>0</v>
      </c>
      <c r="AJ125" s="20">
        <v>0</v>
      </c>
      <c r="AK125" s="20">
        <v>0</v>
      </c>
      <c r="AL125" s="20">
        <v>0</v>
      </c>
      <c r="AM125" s="20">
        <v>0</v>
      </c>
      <c r="AN125" s="20">
        <v>0</v>
      </c>
      <c r="AO125" s="20">
        <v>0</v>
      </c>
      <c r="AP125" s="20">
        <v>0</v>
      </c>
      <c r="AQ125" s="20">
        <v>0</v>
      </c>
      <c r="AR125" s="20">
        <v>0</v>
      </c>
      <c r="AS125" s="20">
        <v>0</v>
      </c>
      <c r="AT125" s="20">
        <v>0</v>
      </c>
      <c r="AU125" s="20">
        <v>0</v>
      </c>
      <c r="AV125" s="20">
        <v>0</v>
      </c>
      <c r="AW125" s="20">
        <v>0</v>
      </c>
      <c r="AX125" s="20">
        <v>0</v>
      </c>
      <c r="AY125" s="20">
        <v>0</v>
      </c>
      <c r="AZ125" s="20">
        <v>0</v>
      </c>
      <c r="BA125" s="20">
        <v>0</v>
      </c>
      <c r="BB125" s="20">
        <v>0</v>
      </c>
      <c r="BC125" s="20">
        <v>0</v>
      </c>
      <c r="BD125" s="20">
        <v>0</v>
      </c>
      <c r="BE125" s="20">
        <v>0</v>
      </c>
      <c r="BF125" s="20">
        <v>0</v>
      </c>
      <c r="BG125" s="20">
        <v>0</v>
      </c>
      <c r="BH125" s="20">
        <v>0</v>
      </c>
      <c r="BI125" s="22">
        <f t="shared" si="19"/>
        <v>3</v>
      </c>
      <c r="BJ125" s="22">
        <f t="shared" si="20"/>
        <v>5</v>
      </c>
      <c r="BK125" s="22">
        <f t="shared" si="21"/>
        <v>21</v>
      </c>
      <c r="BL125" s="22">
        <f t="shared" si="22"/>
        <v>13</v>
      </c>
      <c r="BM125" s="22">
        <f t="shared" si="23"/>
        <v>8</v>
      </c>
      <c r="BN125" s="23">
        <f t="shared" si="26"/>
        <v>0.76923076923076927</v>
      </c>
      <c r="BO125" s="23">
        <f t="shared" si="26"/>
        <v>0.375</v>
      </c>
      <c r="BP125" s="7">
        <f>VLOOKUP(A125,[1]Sheet15!B:E,4,0)</f>
        <v>10</v>
      </c>
      <c r="BQ125" s="7">
        <f>VLOOKUP(A125,[1]Sheet15!B:E,3,0)</f>
        <v>1</v>
      </c>
    </row>
    <row r="126" spans="1:69" ht="22.5" customHeight="1" x14ac:dyDescent="0.25">
      <c r="A126" s="15" t="s">
        <v>349</v>
      </c>
      <c r="B126" s="15">
        <f>VLOOKUP(A126,'[1]Master clients'!F122:W3669,17,0)</f>
        <v>0</v>
      </c>
      <c r="C126" s="15" t="str">
        <f>VLOOKUP(A126,'[1]Master clients'!F122:P3669,11,0)</f>
        <v>NI</v>
      </c>
      <c r="D126" s="15" t="str">
        <f>VLOOKUP(A126,'[1]Master clients'!F:M,8,0)</f>
        <v>End User</v>
      </c>
      <c r="E126" s="16" t="s">
        <v>350</v>
      </c>
      <c r="F126" s="16" t="s">
        <v>348</v>
      </c>
      <c r="G126" s="17"/>
      <c r="H126" s="17"/>
      <c r="I126" s="31">
        <v>24</v>
      </c>
      <c r="J126" s="31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  <c r="AE126" s="17">
        <v>0</v>
      </c>
      <c r="AF126" s="17">
        <v>0</v>
      </c>
      <c r="AG126" s="17">
        <v>0</v>
      </c>
      <c r="AH126" s="17">
        <v>0</v>
      </c>
      <c r="AI126" s="17">
        <v>0</v>
      </c>
      <c r="AJ126" s="17">
        <v>0</v>
      </c>
      <c r="AK126" s="17">
        <v>0</v>
      </c>
      <c r="AL126" s="17">
        <v>0</v>
      </c>
      <c r="AM126" s="17">
        <v>0</v>
      </c>
      <c r="AN126" s="17">
        <v>0</v>
      </c>
      <c r="AO126" s="17">
        <v>0</v>
      </c>
      <c r="AP126" s="17">
        <v>0</v>
      </c>
      <c r="AQ126" s="17">
        <v>0</v>
      </c>
      <c r="AR126" s="17">
        <v>0</v>
      </c>
      <c r="AS126" s="17">
        <v>0</v>
      </c>
      <c r="AT126" s="17">
        <v>0</v>
      </c>
      <c r="AU126" s="17">
        <v>0</v>
      </c>
      <c r="AV126" s="17">
        <v>0</v>
      </c>
      <c r="AW126" s="17">
        <v>0</v>
      </c>
      <c r="AX126" s="17">
        <v>0</v>
      </c>
      <c r="AY126" s="17">
        <v>0</v>
      </c>
      <c r="AZ126" s="17">
        <v>0</v>
      </c>
      <c r="BA126" s="17">
        <v>0</v>
      </c>
      <c r="BB126" s="17">
        <v>0</v>
      </c>
      <c r="BC126" s="17">
        <v>0</v>
      </c>
      <c r="BD126" s="17">
        <v>0</v>
      </c>
      <c r="BE126" s="17">
        <v>0</v>
      </c>
      <c r="BF126" s="17">
        <v>0</v>
      </c>
      <c r="BG126" s="17">
        <v>0</v>
      </c>
      <c r="BH126" s="17">
        <v>0</v>
      </c>
      <c r="BI126" s="22">
        <f t="shared" si="19"/>
        <v>0</v>
      </c>
      <c r="BJ126" s="22">
        <f t="shared" si="20"/>
        <v>0</v>
      </c>
      <c r="BK126" s="22">
        <f t="shared" si="21"/>
        <v>24</v>
      </c>
      <c r="BL126" s="22">
        <f t="shared" si="22"/>
        <v>24</v>
      </c>
      <c r="BM126" s="22">
        <f t="shared" si="23"/>
        <v>0</v>
      </c>
      <c r="BN126" s="23">
        <f t="shared" si="26"/>
        <v>1</v>
      </c>
      <c r="BO126" s="23" t="e">
        <f t="shared" si="26"/>
        <v>#DIV/0!</v>
      </c>
      <c r="BP126" s="7">
        <f>VLOOKUP(A126,[1]Sheet15!B:E,4,0)</f>
        <v>24</v>
      </c>
      <c r="BQ126" s="7">
        <f>VLOOKUP(A126,[1]Sheet15!B:E,3,0)</f>
        <v>0</v>
      </c>
    </row>
    <row r="127" spans="1:69" ht="22.5" customHeight="1" x14ac:dyDescent="0.25">
      <c r="A127" s="15" t="s">
        <v>351</v>
      </c>
      <c r="B127" s="15" t="e">
        <f>VLOOKUP(A127,'[1]Master clients'!F123:W3670,17,0)</f>
        <v>#N/A</v>
      </c>
      <c r="C127" s="15" t="e">
        <f>VLOOKUP(A127,'[1]Master clients'!F123:P3670,11,0)</f>
        <v>#N/A</v>
      </c>
      <c r="D127" s="15" t="str">
        <f>VLOOKUP(A127,'[1]Master clients'!F:M,8,0)</f>
        <v>Group (Mills)</v>
      </c>
      <c r="E127" s="24" t="s">
        <v>352</v>
      </c>
      <c r="F127" s="25" t="s">
        <v>353</v>
      </c>
      <c r="G127" s="20">
        <v>0</v>
      </c>
      <c r="H127" s="20">
        <v>0</v>
      </c>
      <c r="I127" s="26">
        <v>2</v>
      </c>
      <c r="J127" s="26">
        <v>0</v>
      </c>
      <c r="K127" s="20">
        <v>1</v>
      </c>
      <c r="L127" s="20">
        <v>15</v>
      </c>
      <c r="M127" s="20">
        <v>0</v>
      </c>
      <c r="N127" s="20">
        <v>0</v>
      </c>
      <c r="O127" s="20">
        <v>0</v>
      </c>
      <c r="P127" s="20">
        <v>0</v>
      </c>
      <c r="Q127" s="20">
        <v>12</v>
      </c>
      <c r="R127" s="20">
        <v>0</v>
      </c>
      <c r="S127" s="20">
        <v>0</v>
      </c>
      <c r="T127" s="20">
        <v>0</v>
      </c>
      <c r="U127" s="20">
        <v>0</v>
      </c>
      <c r="V127" s="20">
        <v>0</v>
      </c>
      <c r="W127" s="20">
        <v>0</v>
      </c>
      <c r="X127" s="20">
        <v>0</v>
      </c>
      <c r="Y127" s="20">
        <v>0</v>
      </c>
      <c r="Z127" s="20">
        <v>0</v>
      </c>
      <c r="AA127" s="20">
        <v>0</v>
      </c>
      <c r="AB127" s="20">
        <v>0</v>
      </c>
      <c r="AC127" s="20">
        <v>0</v>
      </c>
      <c r="AD127" s="20">
        <v>0</v>
      </c>
      <c r="AE127" s="20">
        <v>0</v>
      </c>
      <c r="AF127" s="20">
        <v>0</v>
      </c>
      <c r="AG127" s="20">
        <v>0</v>
      </c>
      <c r="AH127" s="20">
        <v>0</v>
      </c>
      <c r="AI127" s="20">
        <v>0</v>
      </c>
      <c r="AJ127" s="20">
        <v>0</v>
      </c>
      <c r="AK127" s="20">
        <v>0</v>
      </c>
      <c r="AL127" s="20">
        <v>0</v>
      </c>
      <c r="AM127" s="20">
        <v>0</v>
      </c>
      <c r="AN127" s="20">
        <v>0</v>
      </c>
      <c r="AO127" s="20">
        <v>0</v>
      </c>
      <c r="AP127" s="20">
        <v>0</v>
      </c>
      <c r="AQ127" s="20">
        <v>0</v>
      </c>
      <c r="AR127" s="20">
        <v>0</v>
      </c>
      <c r="AS127" s="20">
        <v>0</v>
      </c>
      <c r="AT127" s="20">
        <v>0</v>
      </c>
      <c r="AU127" s="19">
        <v>0</v>
      </c>
      <c r="AV127" s="20">
        <v>0</v>
      </c>
      <c r="AW127" s="20">
        <v>0</v>
      </c>
      <c r="AX127" s="20">
        <v>0</v>
      </c>
      <c r="AY127" s="20">
        <v>0</v>
      </c>
      <c r="AZ127" s="20">
        <v>0</v>
      </c>
      <c r="BA127" s="19">
        <v>0</v>
      </c>
      <c r="BB127" s="27">
        <v>0</v>
      </c>
      <c r="BC127" s="19">
        <v>0</v>
      </c>
      <c r="BD127" s="19">
        <v>0</v>
      </c>
      <c r="BE127" s="21">
        <v>0</v>
      </c>
      <c r="BF127" s="21">
        <v>0</v>
      </c>
      <c r="BG127" s="19">
        <v>0</v>
      </c>
      <c r="BH127" s="19">
        <v>0</v>
      </c>
      <c r="BI127" s="22">
        <f t="shared" si="19"/>
        <v>16</v>
      </c>
      <c r="BJ127" s="22">
        <f t="shared" si="20"/>
        <v>12</v>
      </c>
      <c r="BK127" s="28">
        <f t="shared" si="21"/>
        <v>30</v>
      </c>
      <c r="BL127" s="22">
        <f t="shared" si="22"/>
        <v>18</v>
      </c>
      <c r="BM127" s="22">
        <f t="shared" si="23"/>
        <v>12</v>
      </c>
      <c r="BN127" s="23">
        <f t="shared" si="26"/>
        <v>0.1111111111111111</v>
      </c>
      <c r="BO127" s="23">
        <f t="shared" si="26"/>
        <v>0</v>
      </c>
      <c r="BP127" s="7">
        <f>VLOOKUP(A127,[1]Sheet15!B:E,4,0)</f>
        <v>2</v>
      </c>
      <c r="BQ127" s="7">
        <f>VLOOKUP(A127,[1]Sheet15!B:E,3,0)</f>
        <v>0</v>
      </c>
    </row>
    <row r="128" spans="1:69" ht="22.5" customHeight="1" x14ac:dyDescent="0.25">
      <c r="A128" s="15" t="s">
        <v>354</v>
      </c>
      <c r="B128" s="15">
        <f>VLOOKUP(A128,'[1]Master clients'!F124:W3671,17,0)</f>
        <v>0</v>
      </c>
      <c r="C128" s="15" t="str">
        <f>VLOOKUP(A128,'[1]Master clients'!F124:P3671,11,0)</f>
        <v>NI</v>
      </c>
      <c r="D128" s="15" t="str">
        <f>VLOOKUP(A128,'[1]Master clients'!F:M,8,0)</f>
        <v>End User</v>
      </c>
      <c r="E128" s="16" t="s">
        <v>355</v>
      </c>
      <c r="F128" s="16" t="s">
        <v>353</v>
      </c>
      <c r="G128" s="17"/>
      <c r="H128" s="17">
        <v>2</v>
      </c>
      <c r="I128" s="31">
        <v>0</v>
      </c>
      <c r="J128" s="31">
        <v>2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  <c r="AE128" s="17">
        <v>0</v>
      </c>
      <c r="AF128" s="17">
        <v>0</v>
      </c>
      <c r="AG128" s="17">
        <v>0</v>
      </c>
      <c r="AH128" s="17">
        <v>0</v>
      </c>
      <c r="AI128" s="17">
        <v>0</v>
      </c>
      <c r="AJ128" s="17">
        <v>0</v>
      </c>
      <c r="AK128" s="17">
        <v>0</v>
      </c>
      <c r="AL128" s="17">
        <v>0</v>
      </c>
      <c r="AM128" s="17">
        <v>0</v>
      </c>
      <c r="AN128" s="17">
        <v>0</v>
      </c>
      <c r="AO128" s="17">
        <v>0</v>
      </c>
      <c r="AP128" s="17">
        <v>0</v>
      </c>
      <c r="AQ128" s="17">
        <v>0</v>
      </c>
      <c r="AR128" s="17">
        <v>0</v>
      </c>
      <c r="AS128" s="17">
        <v>0</v>
      </c>
      <c r="AT128" s="17">
        <v>0</v>
      </c>
      <c r="AU128" s="17">
        <v>0</v>
      </c>
      <c r="AV128" s="17">
        <v>0</v>
      </c>
      <c r="AW128" s="17">
        <v>0</v>
      </c>
      <c r="AX128" s="17">
        <v>0</v>
      </c>
      <c r="AY128" s="17">
        <v>0</v>
      </c>
      <c r="AZ128" s="17">
        <v>0</v>
      </c>
      <c r="BA128" s="17">
        <v>0</v>
      </c>
      <c r="BB128" s="17">
        <v>0</v>
      </c>
      <c r="BC128" s="17">
        <v>0</v>
      </c>
      <c r="BD128" s="17">
        <v>0</v>
      </c>
      <c r="BE128" s="17">
        <v>0</v>
      </c>
      <c r="BF128" s="17">
        <v>0</v>
      </c>
      <c r="BG128" s="17">
        <v>0</v>
      </c>
      <c r="BH128" s="17">
        <v>0</v>
      </c>
      <c r="BI128" s="22">
        <f t="shared" si="19"/>
        <v>0</v>
      </c>
      <c r="BJ128" s="22">
        <f t="shared" si="20"/>
        <v>0</v>
      </c>
      <c r="BK128" s="22">
        <f t="shared" si="21"/>
        <v>2</v>
      </c>
      <c r="BL128" s="22">
        <f t="shared" si="22"/>
        <v>0</v>
      </c>
      <c r="BM128" s="22">
        <f t="shared" si="23"/>
        <v>2</v>
      </c>
      <c r="BN128" s="23" t="e">
        <f t="shared" si="26"/>
        <v>#DIV/0!</v>
      </c>
      <c r="BO128" s="23">
        <f t="shared" si="26"/>
        <v>1</v>
      </c>
      <c r="BP128" s="7">
        <f>VLOOKUP(A128,[1]Sheet15!B:E,4,0)</f>
        <v>0</v>
      </c>
      <c r="BQ128" s="7">
        <f>VLOOKUP(A128,[1]Sheet15!B:E,3,0)</f>
        <v>2</v>
      </c>
    </row>
    <row r="129" spans="1:69" ht="22.5" customHeight="1" x14ac:dyDescent="0.25">
      <c r="A129" s="15" t="s">
        <v>356</v>
      </c>
      <c r="B129" s="15">
        <f>VLOOKUP(A129,'[1]Master clients'!F125:W3672,17,0)</f>
        <v>0</v>
      </c>
      <c r="C129" s="15" t="str">
        <f>VLOOKUP(A129,'[1]Master clients'!F125:P3672,11,0)</f>
        <v>NI</v>
      </c>
      <c r="D129" s="15" t="str">
        <f>VLOOKUP(A129,'[1]Master clients'!F:M,8,0)</f>
        <v>Group (Mills)</v>
      </c>
      <c r="E129" s="16" t="s">
        <v>357</v>
      </c>
      <c r="F129" s="16" t="s">
        <v>358</v>
      </c>
      <c r="G129" s="17"/>
      <c r="H129" s="17"/>
      <c r="I129" s="18">
        <v>4</v>
      </c>
      <c r="J129" s="18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  <c r="AE129" s="17">
        <v>0</v>
      </c>
      <c r="AF129" s="17">
        <v>0</v>
      </c>
      <c r="AG129" s="17">
        <v>0</v>
      </c>
      <c r="AH129" s="17">
        <v>0</v>
      </c>
      <c r="AI129" s="17">
        <v>0</v>
      </c>
      <c r="AJ129" s="17">
        <v>0</v>
      </c>
      <c r="AK129" s="17">
        <v>0</v>
      </c>
      <c r="AL129" s="17">
        <v>0</v>
      </c>
      <c r="AM129" s="17">
        <v>0</v>
      </c>
      <c r="AN129" s="17">
        <v>0</v>
      </c>
      <c r="AO129" s="17">
        <v>0</v>
      </c>
      <c r="AP129" s="17">
        <v>0</v>
      </c>
      <c r="AQ129" s="17">
        <v>0</v>
      </c>
      <c r="AR129" s="17">
        <v>0</v>
      </c>
      <c r="AS129" s="17">
        <v>0</v>
      </c>
      <c r="AT129" s="17">
        <v>0</v>
      </c>
      <c r="AU129" s="17">
        <v>0</v>
      </c>
      <c r="AV129" s="17">
        <v>0</v>
      </c>
      <c r="AW129" s="17">
        <v>0</v>
      </c>
      <c r="AX129" s="17">
        <v>0</v>
      </c>
      <c r="AY129" s="17">
        <v>0</v>
      </c>
      <c r="AZ129" s="17">
        <v>0</v>
      </c>
      <c r="BA129" s="17">
        <v>0</v>
      </c>
      <c r="BB129" s="17">
        <v>0</v>
      </c>
      <c r="BC129" s="17">
        <v>0</v>
      </c>
      <c r="BD129" s="17">
        <v>0</v>
      </c>
      <c r="BE129" s="17">
        <v>0</v>
      </c>
      <c r="BF129" s="17">
        <v>0</v>
      </c>
      <c r="BG129" s="17">
        <v>0</v>
      </c>
      <c r="BH129" s="17">
        <v>0</v>
      </c>
      <c r="BI129" s="22">
        <f t="shared" si="19"/>
        <v>0</v>
      </c>
      <c r="BJ129" s="22">
        <f t="shared" si="20"/>
        <v>0</v>
      </c>
      <c r="BK129" s="22">
        <f t="shared" si="21"/>
        <v>4</v>
      </c>
      <c r="BL129" s="22">
        <f t="shared" si="22"/>
        <v>4</v>
      </c>
      <c r="BM129" s="22">
        <f t="shared" si="23"/>
        <v>0</v>
      </c>
      <c r="BN129" s="23">
        <f t="shared" si="26"/>
        <v>1</v>
      </c>
      <c r="BO129" s="23" t="e">
        <f t="shared" si="26"/>
        <v>#DIV/0!</v>
      </c>
      <c r="BP129" s="7">
        <f>VLOOKUP(A129,[1]Sheet15!B:E,4,0)</f>
        <v>4</v>
      </c>
      <c r="BQ129" s="7">
        <f>VLOOKUP(A129,[1]Sheet15!B:E,3,0)</f>
        <v>0</v>
      </c>
    </row>
    <row r="130" spans="1:69" ht="22.5" customHeight="1" x14ac:dyDescent="0.25">
      <c r="A130" s="15" t="s">
        <v>359</v>
      </c>
      <c r="B130" s="15">
        <f>VLOOKUP(A130,'[1]Master clients'!F126:W3673,17,0)</f>
        <v>0</v>
      </c>
      <c r="C130" s="15" t="str">
        <f>VLOOKUP(A130,'[1]Master clients'!F126:P3673,11,0)</f>
        <v>NI</v>
      </c>
      <c r="D130" s="15" t="str">
        <f>VLOOKUP(A130,'[1]Master clients'!F:M,8,0)</f>
        <v>End User</v>
      </c>
      <c r="E130" s="24" t="s">
        <v>360</v>
      </c>
      <c r="F130" s="25" t="s">
        <v>358</v>
      </c>
      <c r="G130" s="20">
        <v>0</v>
      </c>
      <c r="H130" s="20">
        <v>0</v>
      </c>
      <c r="I130" s="26">
        <v>10</v>
      </c>
      <c r="J130" s="26">
        <v>0</v>
      </c>
      <c r="K130" s="20">
        <v>0</v>
      </c>
      <c r="L130" s="20">
        <v>0</v>
      </c>
      <c r="M130" s="20">
        <v>0</v>
      </c>
      <c r="N130" s="20">
        <v>4</v>
      </c>
      <c r="O130" s="20">
        <v>0</v>
      </c>
      <c r="P130" s="20">
        <v>0</v>
      </c>
      <c r="Q130" s="20">
        <v>0</v>
      </c>
      <c r="R130" s="20">
        <v>0</v>
      </c>
      <c r="S130" s="20">
        <v>0</v>
      </c>
      <c r="T130" s="20">
        <v>0</v>
      </c>
      <c r="U130" s="20">
        <v>0</v>
      </c>
      <c r="V130" s="20">
        <v>0</v>
      </c>
      <c r="W130" s="20">
        <v>0</v>
      </c>
      <c r="X130" s="20">
        <v>6</v>
      </c>
      <c r="Y130" s="20">
        <v>0</v>
      </c>
      <c r="Z130" s="20">
        <v>0</v>
      </c>
      <c r="AA130" s="20">
        <v>0</v>
      </c>
      <c r="AB130" s="20">
        <v>0</v>
      </c>
      <c r="AC130" s="20">
        <v>0</v>
      </c>
      <c r="AD130" s="20">
        <v>0</v>
      </c>
      <c r="AE130" s="20">
        <v>0</v>
      </c>
      <c r="AF130" s="20">
        <v>0</v>
      </c>
      <c r="AG130" s="20">
        <v>0</v>
      </c>
      <c r="AH130" s="20">
        <v>0</v>
      </c>
      <c r="AI130" s="20">
        <v>4</v>
      </c>
      <c r="AJ130" s="20">
        <v>0</v>
      </c>
      <c r="AK130" s="20">
        <v>0</v>
      </c>
      <c r="AL130" s="20">
        <v>0</v>
      </c>
      <c r="AM130" s="20">
        <v>0</v>
      </c>
      <c r="AN130" s="20">
        <v>0</v>
      </c>
      <c r="AO130" s="20">
        <v>0</v>
      </c>
      <c r="AP130" s="20">
        <v>0</v>
      </c>
      <c r="AQ130" s="20">
        <v>0</v>
      </c>
      <c r="AR130" s="20">
        <v>0</v>
      </c>
      <c r="AS130" s="20">
        <v>0</v>
      </c>
      <c r="AT130" s="20">
        <v>0</v>
      </c>
      <c r="AU130" s="20">
        <v>0</v>
      </c>
      <c r="AV130" s="20">
        <v>0</v>
      </c>
      <c r="AW130" s="20">
        <v>0</v>
      </c>
      <c r="AX130" s="20">
        <v>0</v>
      </c>
      <c r="AY130" s="20">
        <v>0</v>
      </c>
      <c r="AZ130" s="20">
        <v>0</v>
      </c>
      <c r="BA130" s="20">
        <v>0</v>
      </c>
      <c r="BB130" s="27">
        <v>0</v>
      </c>
      <c r="BC130" s="20">
        <v>0</v>
      </c>
      <c r="BD130" s="20">
        <v>0</v>
      </c>
      <c r="BE130" s="21">
        <v>0</v>
      </c>
      <c r="BF130" s="21">
        <v>0</v>
      </c>
      <c r="BG130" s="20">
        <v>0</v>
      </c>
      <c r="BH130" s="20">
        <v>0</v>
      </c>
      <c r="BI130" s="22">
        <f t="shared" si="19"/>
        <v>4</v>
      </c>
      <c r="BJ130" s="22">
        <f t="shared" si="20"/>
        <v>10</v>
      </c>
      <c r="BK130" s="28">
        <f t="shared" si="21"/>
        <v>24</v>
      </c>
      <c r="BL130" s="22">
        <f t="shared" si="22"/>
        <v>14</v>
      </c>
      <c r="BM130" s="22">
        <f t="shared" si="23"/>
        <v>10</v>
      </c>
      <c r="BN130" s="23">
        <f t="shared" si="26"/>
        <v>0.7142857142857143</v>
      </c>
      <c r="BO130" s="23">
        <f t="shared" si="26"/>
        <v>0</v>
      </c>
      <c r="BP130" s="7">
        <f>VLOOKUP(A130,[1]Sheet15!B:E,4,0)</f>
        <v>4</v>
      </c>
      <c r="BQ130" s="7">
        <f>VLOOKUP(A130,[1]Sheet15!B:E,3,0)</f>
        <v>0</v>
      </c>
    </row>
    <row r="131" spans="1:69" ht="30" x14ac:dyDescent="0.25">
      <c r="A131" s="15" t="s">
        <v>361</v>
      </c>
      <c r="B131" s="15">
        <f>VLOOKUP(A131,'[1]Master clients'!F127:W3674,17,0)</f>
        <v>0</v>
      </c>
      <c r="C131" s="15" t="str">
        <f>VLOOKUP(A131,'[1]Master clients'!F127:P3674,11,0)</f>
        <v>AV</v>
      </c>
      <c r="D131" s="15" t="str">
        <f>VLOOKUP(A131,'[1]Master clients'!F:M,8,0)</f>
        <v>Group (Mills)</v>
      </c>
      <c r="E131" s="16" t="s">
        <v>362</v>
      </c>
      <c r="F131" s="16" t="s">
        <v>85</v>
      </c>
      <c r="G131" s="17">
        <v>0</v>
      </c>
      <c r="H131" s="17">
        <v>0</v>
      </c>
      <c r="I131" s="18">
        <v>1</v>
      </c>
      <c r="J131" s="18">
        <v>0</v>
      </c>
      <c r="K131" s="17">
        <v>0</v>
      </c>
      <c r="L131" s="17">
        <v>0</v>
      </c>
      <c r="M131" s="17">
        <v>0</v>
      </c>
      <c r="N131" s="17">
        <v>0</v>
      </c>
      <c r="O131" s="19">
        <v>0</v>
      </c>
      <c r="P131" s="19">
        <v>11</v>
      </c>
      <c r="Q131" s="19">
        <v>3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20">
        <v>0</v>
      </c>
      <c r="X131" s="20">
        <v>0</v>
      </c>
      <c r="Y131" s="19">
        <v>0</v>
      </c>
      <c r="Z131" s="19">
        <v>0</v>
      </c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>
        <v>0</v>
      </c>
      <c r="AI131" s="20">
        <v>0</v>
      </c>
      <c r="AJ131" s="20">
        <v>0</v>
      </c>
      <c r="AK131" s="19">
        <v>0</v>
      </c>
      <c r="AL131" s="20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>
        <v>0</v>
      </c>
      <c r="AS131" s="19">
        <v>0</v>
      </c>
      <c r="AT131" s="19">
        <v>0</v>
      </c>
      <c r="AU131" s="19">
        <v>0</v>
      </c>
      <c r="AV131" s="19">
        <v>0</v>
      </c>
      <c r="AW131" s="20">
        <v>0</v>
      </c>
      <c r="AX131" s="20">
        <v>0</v>
      </c>
      <c r="AY131" s="20">
        <v>0</v>
      </c>
      <c r="AZ131" s="19">
        <v>0</v>
      </c>
      <c r="BA131" s="19">
        <v>0</v>
      </c>
      <c r="BB131" s="19">
        <v>0</v>
      </c>
      <c r="BC131" s="19">
        <v>0</v>
      </c>
      <c r="BD131" s="19">
        <v>0</v>
      </c>
      <c r="BE131" s="21">
        <v>0</v>
      </c>
      <c r="BF131" s="21">
        <v>0</v>
      </c>
      <c r="BG131" s="19">
        <v>0</v>
      </c>
      <c r="BH131" s="19">
        <v>0</v>
      </c>
      <c r="BI131" s="22">
        <f t="shared" si="19"/>
        <v>11</v>
      </c>
      <c r="BJ131" s="22">
        <f t="shared" si="20"/>
        <v>3</v>
      </c>
      <c r="BK131" s="22">
        <f t="shared" si="21"/>
        <v>15</v>
      </c>
      <c r="BL131" s="22">
        <f t="shared" si="22"/>
        <v>12</v>
      </c>
      <c r="BM131" s="22">
        <f t="shared" si="23"/>
        <v>3</v>
      </c>
      <c r="BN131" s="23">
        <f t="shared" si="26"/>
        <v>8.3333333333333329E-2</v>
      </c>
      <c r="BO131" s="23">
        <f t="shared" si="26"/>
        <v>0</v>
      </c>
      <c r="BP131" s="7">
        <f>VLOOKUP(A131,[1]Sheet15!B:E,4,0)</f>
        <v>2</v>
      </c>
      <c r="BQ131" s="7">
        <f>VLOOKUP(A131,[1]Sheet15!B:E,3,0)</f>
        <v>0</v>
      </c>
    </row>
    <row r="132" spans="1:69" ht="30" x14ac:dyDescent="0.25">
      <c r="A132" s="15" t="s">
        <v>363</v>
      </c>
      <c r="B132" s="15">
        <f>VLOOKUP(A132,'[1]Master clients'!F128:W3675,17,0)</f>
        <v>0</v>
      </c>
      <c r="C132" s="15" t="str">
        <f>VLOOKUP(A132,'[1]Master clients'!F128:P3675,11,0)</f>
        <v>AV</v>
      </c>
      <c r="D132" s="15" t="str">
        <f>VLOOKUP(A132,'[1]Master clients'!F:M,8,0)</f>
        <v>End User</v>
      </c>
      <c r="E132" s="16" t="s">
        <v>364</v>
      </c>
      <c r="F132" s="16" t="s">
        <v>85</v>
      </c>
      <c r="G132" s="17">
        <v>0</v>
      </c>
      <c r="H132" s="17">
        <v>0</v>
      </c>
      <c r="I132" s="18">
        <v>8</v>
      </c>
      <c r="J132" s="18">
        <v>0</v>
      </c>
      <c r="K132" s="17">
        <v>0</v>
      </c>
      <c r="L132" s="17">
        <v>0</v>
      </c>
      <c r="M132" s="17">
        <v>2</v>
      </c>
      <c r="N132" s="17">
        <v>1</v>
      </c>
      <c r="O132" s="19">
        <v>0</v>
      </c>
      <c r="P132" s="19">
        <v>0</v>
      </c>
      <c r="Q132" s="19">
        <v>1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20">
        <v>0</v>
      </c>
      <c r="X132" s="20">
        <v>0</v>
      </c>
      <c r="Y132" s="19">
        <v>0</v>
      </c>
      <c r="Z132" s="19">
        <v>2</v>
      </c>
      <c r="AA132" s="19">
        <v>1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>
        <v>0</v>
      </c>
      <c r="AI132" s="20">
        <v>0</v>
      </c>
      <c r="AJ132" s="20">
        <v>0</v>
      </c>
      <c r="AK132" s="19">
        <v>0</v>
      </c>
      <c r="AL132" s="20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>
        <v>0</v>
      </c>
      <c r="AS132" s="19">
        <v>0</v>
      </c>
      <c r="AT132" s="19">
        <v>0</v>
      </c>
      <c r="AU132" s="19">
        <v>0</v>
      </c>
      <c r="AV132" s="19">
        <v>0</v>
      </c>
      <c r="AW132" s="20">
        <v>0</v>
      </c>
      <c r="AX132" s="20">
        <v>0</v>
      </c>
      <c r="AY132" s="20">
        <v>0</v>
      </c>
      <c r="AZ132" s="19">
        <v>0</v>
      </c>
      <c r="BA132" s="19">
        <v>0</v>
      </c>
      <c r="BB132" s="19">
        <v>0</v>
      </c>
      <c r="BC132" s="19">
        <v>0</v>
      </c>
      <c r="BD132" s="19">
        <v>0</v>
      </c>
      <c r="BE132" s="21">
        <v>0</v>
      </c>
      <c r="BF132" s="21">
        <v>0</v>
      </c>
      <c r="BG132" s="19">
        <v>0</v>
      </c>
      <c r="BH132" s="19">
        <v>0</v>
      </c>
      <c r="BI132" s="22">
        <f t="shared" si="19"/>
        <v>4</v>
      </c>
      <c r="BJ132" s="22">
        <f t="shared" si="20"/>
        <v>3</v>
      </c>
      <c r="BK132" s="22">
        <f t="shared" si="21"/>
        <v>15</v>
      </c>
      <c r="BL132" s="22">
        <f t="shared" si="22"/>
        <v>12</v>
      </c>
      <c r="BM132" s="22">
        <f t="shared" si="23"/>
        <v>3</v>
      </c>
      <c r="BN132" s="23">
        <f t="shared" si="26"/>
        <v>0.66666666666666663</v>
      </c>
      <c r="BO132" s="23">
        <f t="shared" si="26"/>
        <v>0</v>
      </c>
      <c r="BP132" s="7">
        <f>VLOOKUP(A132,[1]Sheet15!B:E,4,0)</f>
        <v>1</v>
      </c>
      <c r="BQ132" s="7">
        <f>VLOOKUP(A132,[1]Sheet15!B:E,3,0)</f>
        <v>0</v>
      </c>
    </row>
    <row r="133" spans="1:69" ht="22.5" customHeight="1" x14ac:dyDescent="0.25">
      <c r="A133" s="15" t="s">
        <v>365</v>
      </c>
      <c r="B133" s="15">
        <f>VLOOKUP(A133,'[1]Master clients'!F129:W3676,17,0)</f>
        <v>0</v>
      </c>
      <c r="C133" s="15" t="str">
        <f>VLOOKUP(A133,'[1]Master clients'!F129:P3676,11,0)</f>
        <v>AV</v>
      </c>
      <c r="D133" s="15" t="str">
        <f>VLOOKUP(A133,'[1]Master clients'!F:M,8,0)</f>
        <v>End User</v>
      </c>
      <c r="E133" s="16" t="s">
        <v>84</v>
      </c>
      <c r="F133" s="16" t="s">
        <v>85</v>
      </c>
      <c r="G133" s="17"/>
      <c r="H133" s="17"/>
      <c r="I133" s="31">
        <v>0</v>
      </c>
      <c r="J133" s="31">
        <v>0</v>
      </c>
      <c r="K133" s="17">
        <v>0</v>
      </c>
      <c r="L133" s="17">
        <v>0</v>
      </c>
      <c r="M133" s="17">
        <v>0</v>
      </c>
      <c r="N133" s="17">
        <v>0</v>
      </c>
      <c r="O133" s="17">
        <v>0</v>
      </c>
      <c r="P133" s="17">
        <v>0</v>
      </c>
      <c r="Q133" s="17">
        <v>0</v>
      </c>
      <c r="R133" s="17">
        <v>12</v>
      </c>
      <c r="S133" s="17">
        <v>0</v>
      </c>
      <c r="T133" s="17">
        <v>0</v>
      </c>
      <c r="U133" s="17">
        <v>0</v>
      </c>
      <c r="V133" s="17">
        <v>0</v>
      </c>
      <c r="W133" s="17">
        <v>0</v>
      </c>
      <c r="X133" s="17">
        <v>0</v>
      </c>
      <c r="Y133" s="17">
        <v>0</v>
      </c>
      <c r="Z133" s="17">
        <v>0</v>
      </c>
      <c r="AA133" s="17">
        <v>6</v>
      </c>
      <c r="AB133" s="17">
        <v>0</v>
      </c>
      <c r="AC133" s="17">
        <v>0</v>
      </c>
      <c r="AD133" s="17">
        <v>0</v>
      </c>
      <c r="AE133" s="17">
        <v>0</v>
      </c>
      <c r="AF133" s="17">
        <v>0</v>
      </c>
      <c r="AG133" s="17">
        <v>0</v>
      </c>
      <c r="AH133" s="17">
        <v>0</v>
      </c>
      <c r="AI133" s="17">
        <v>0</v>
      </c>
      <c r="AJ133" s="17">
        <v>0</v>
      </c>
      <c r="AK133" s="17">
        <v>4</v>
      </c>
      <c r="AL133" s="17">
        <v>0</v>
      </c>
      <c r="AM133" s="17">
        <v>0</v>
      </c>
      <c r="AN133" s="17">
        <v>0</v>
      </c>
      <c r="AO133" s="17">
        <v>0</v>
      </c>
      <c r="AP133" s="17">
        <v>0</v>
      </c>
      <c r="AQ133" s="17">
        <v>0</v>
      </c>
      <c r="AR133" s="17">
        <v>0</v>
      </c>
      <c r="AS133" s="17">
        <v>8</v>
      </c>
      <c r="AT133" s="17">
        <v>0</v>
      </c>
      <c r="AU133" s="17">
        <v>0</v>
      </c>
      <c r="AV133" s="17">
        <v>0</v>
      </c>
      <c r="AW133" s="17">
        <v>0</v>
      </c>
      <c r="AX133" s="17">
        <v>0</v>
      </c>
      <c r="AY133" s="17">
        <v>0</v>
      </c>
      <c r="AZ133" s="17">
        <v>0</v>
      </c>
      <c r="BA133" s="17">
        <v>0</v>
      </c>
      <c r="BB133" s="17">
        <v>0</v>
      </c>
      <c r="BC133" s="17">
        <v>0</v>
      </c>
      <c r="BD133" s="17">
        <v>0</v>
      </c>
      <c r="BE133" s="17">
        <v>0</v>
      </c>
      <c r="BF133" s="17">
        <v>0</v>
      </c>
      <c r="BG133" s="17">
        <v>0</v>
      </c>
      <c r="BH133" s="17">
        <v>0</v>
      </c>
      <c r="BI133" s="22">
        <f t="shared" si="19"/>
        <v>24</v>
      </c>
      <c r="BJ133" s="22">
        <f t="shared" si="20"/>
        <v>6</v>
      </c>
      <c r="BK133" s="22">
        <f t="shared" si="21"/>
        <v>30</v>
      </c>
      <c r="BL133" s="22">
        <f>SUM(I133+K133+L133+M133+P133+R133+T133+V133+W133+Y133+Z133+AB133+AC133+AE133+AG133+AH133+AI133+AJ133+AK133+AL133+AN133+AO133+AR133+AS133+AU133+AV133+AW133+AZ133+BA133+BB133+BC133+BG133)</f>
        <v>24</v>
      </c>
      <c r="BM133" s="22">
        <f t="shared" si="23"/>
        <v>6</v>
      </c>
      <c r="BN133" s="23">
        <f t="shared" ref="BN133:BO148" si="27">I133/BL133</f>
        <v>0</v>
      </c>
      <c r="BO133" s="23">
        <f t="shared" si="27"/>
        <v>0</v>
      </c>
      <c r="BP133" s="7" t="e">
        <f>VLOOKUP(A133,[1]Sheet15!B:E,4,0)</f>
        <v>#N/A</v>
      </c>
      <c r="BQ133" s="7" t="e">
        <f>VLOOKUP(A133,[1]Sheet15!B:E,3,0)</f>
        <v>#N/A</v>
      </c>
    </row>
    <row r="134" spans="1:69" ht="22.5" customHeight="1" x14ac:dyDescent="0.25">
      <c r="A134" s="15" t="s">
        <v>366</v>
      </c>
      <c r="B134" s="15">
        <f>VLOOKUP(A134,'[1]Master clients'!F130:W3677,17,0)</f>
        <v>0</v>
      </c>
      <c r="C134" s="15" t="str">
        <f>VLOOKUP(A134,'[1]Master clients'!F130:P3677,11,0)</f>
        <v>AV</v>
      </c>
      <c r="D134" s="15" t="str">
        <f>VLOOKUP(A134,'[1]Master clients'!F:M,8,0)</f>
        <v>Group (Mills)</v>
      </c>
      <c r="E134" s="16" t="s">
        <v>367</v>
      </c>
      <c r="F134" s="16" t="s">
        <v>85</v>
      </c>
      <c r="G134" s="17">
        <v>4</v>
      </c>
      <c r="H134" s="17">
        <v>0</v>
      </c>
      <c r="I134" s="31">
        <v>20</v>
      </c>
      <c r="J134" s="31">
        <v>2</v>
      </c>
      <c r="K134" s="17">
        <v>20</v>
      </c>
      <c r="L134" s="17">
        <v>0</v>
      </c>
      <c r="M134" s="17">
        <v>0</v>
      </c>
      <c r="N134" s="17">
        <v>0</v>
      </c>
      <c r="O134" s="17">
        <v>0</v>
      </c>
      <c r="P134" s="17">
        <v>0</v>
      </c>
      <c r="Q134" s="17">
        <v>12</v>
      </c>
      <c r="R134" s="17">
        <v>0</v>
      </c>
      <c r="S134" s="17">
        <v>0</v>
      </c>
      <c r="T134" s="17">
        <v>0</v>
      </c>
      <c r="U134" s="17">
        <v>0</v>
      </c>
      <c r="V134" s="17">
        <v>0</v>
      </c>
      <c r="W134" s="17">
        <v>0</v>
      </c>
      <c r="X134" s="17">
        <v>0</v>
      </c>
      <c r="Y134" s="17">
        <v>0</v>
      </c>
      <c r="Z134" s="17">
        <v>0</v>
      </c>
      <c r="AA134" s="17">
        <v>0</v>
      </c>
      <c r="AB134" s="17">
        <v>0</v>
      </c>
      <c r="AC134" s="17">
        <v>0</v>
      </c>
      <c r="AD134" s="17">
        <v>0</v>
      </c>
      <c r="AE134" s="17">
        <v>0</v>
      </c>
      <c r="AF134" s="17">
        <v>0</v>
      </c>
      <c r="AG134" s="17">
        <v>0</v>
      </c>
      <c r="AH134" s="17">
        <v>0</v>
      </c>
      <c r="AI134" s="17">
        <v>0</v>
      </c>
      <c r="AJ134" s="17">
        <v>0</v>
      </c>
      <c r="AK134" s="17">
        <v>0</v>
      </c>
      <c r="AL134" s="17">
        <v>0</v>
      </c>
      <c r="AM134" s="17">
        <v>0</v>
      </c>
      <c r="AN134" s="17">
        <v>0</v>
      </c>
      <c r="AO134" s="17">
        <v>0</v>
      </c>
      <c r="AP134" s="17">
        <v>0</v>
      </c>
      <c r="AQ134" s="17">
        <v>0</v>
      </c>
      <c r="AR134" s="17">
        <v>0</v>
      </c>
      <c r="AS134" s="17">
        <v>0</v>
      </c>
      <c r="AT134" s="17">
        <v>0</v>
      </c>
      <c r="AU134" s="17">
        <v>0</v>
      </c>
      <c r="AV134" s="17">
        <v>0</v>
      </c>
      <c r="AW134" s="17">
        <v>0</v>
      </c>
      <c r="AX134" s="17">
        <v>0</v>
      </c>
      <c r="AY134" s="17">
        <v>0</v>
      </c>
      <c r="AZ134" s="17">
        <v>0</v>
      </c>
      <c r="BA134" s="17">
        <v>0</v>
      </c>
      <c r="BB134" s="17">
        <v>0</v>
      </c>
      <c r="BC134" s="17">
        <v>0</v>
      </c>
      <c r="BD134" s="17">
        <v>0</v>
      </c>
      <c r="BE134" s="17">
        <v>0</v>
      </c>
      <c r="BF134" s="17">
        <v>0</v>
      </c>
      <c r="BG134" s="17">
        <v>0</v>
      </c>
      <c r="BH134" s="17">
        <v>0</v>
      </c>
      <c r="BI134" s="22">
        <f t="shared" si="19"/>
        <v>20</v>
      </c>
      <c r="BJ134" s="22">
        <f t="shared" si="20"/>
        <v>12</v>
      </c>
      <c r="BK134" s="22">
        <f t="shared" si="21"/>
        <v>54</v>
      </c>
      <c r="BL134" s="22">
        <f t="shared" ref="BL134:BL170" si="28">SUM(I134+K134+L134+M134+P134+R134+T134+V134+W134+Y134+Z134+AB134+AC134+AE134+AG134+AH134+AI134+AJ134+AK134+AL134+AN134+AO134+AR134+AS134+AU134+AV134+AW134+AZ134+BA134+BB134+BC134+BG134+BE134)</f>
        <v>40</v>
      </c>
      <c r="BM134" s="22">
        <f t="shared" si="23"/>
        <v>14</v>
      </c>
      <c r="BN134" s="23">
        <f t="shared" si="27"/>
        <v>0.5</v>
      </c>
      <c r="BO134" s="23">
        <f t="shared" si="27"/>
        <v>0.14285714285714285</v>
      </c>
      <c r="BP134" s="7">
        <f>VLOOKUP(A134,[1]Sheet15!B:E,4,0)</f>
        <v>15</v>
      </c>
      <c r="BQ134" s="7">
        <f>VLOOKUP(A134,[1]Sheet15!B:E,3,0)</f>
        <v>0</v>
      </c>
    </row>
    <row r="135" spans="1:69" ht="22.5" customHeight="1" x14ac:dyDescent="0.25">
      <c r="A135" s="15" t="s">
        <v>368</v>
      </c>
      <c r="B135" s="15">
        <f>VLOOKUP(A135,'[1]Master clients'!F131:W3678,17,0)</f>
        <v>0</v>
      </c>
      <c r="C135" s="15" t="str">
        <f>VLOOKUP(A135,'[1]Master clients'!F131:P3678,11,0)</f>
        <v>AV</v>
      </c>
      <c r="D135" s="15" t="str">
        <f>VLOOKUP(A135,'[1]Master clients'!F:M,8,0)</f>
        <v>End User</v>
      </c>
      <c r="E135" s="16" t="s">
        <v>369</v>
      </c>
      <c r="F135" s="16" t="s">
        <v>85</v>
      </c>
      <c r="G135" s="17">
        <v>0</v>
      </c>
      <c r="H135" s="17">
        <v>0</v>
      </c>
      <c r="I135" s="18">
        <v>5</v>
      </c>
      <c r="J135" s="18">
        <v>0</v>
      </c>
      <c r="K135" s="17">
        <v>0</v>
      </c>
      <c r="L135" s="17">
        <v>0</v>
      </c>
      <c r="M135" s="17">
        <v>0</v>
      </c>
      <c r="N135" s="17">
        <v>0</v>
      </c>
      <c r="O135" s="19">
        <v>0</v>
      </c>
      <c r="P135" s="19">
        <v>0</v>
      </c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20">
        <v>0</v>
      </c>
      <c r="X135" s="20">
        <v>0</v>
      </c>
      <c r="Y135" s="19">
        <v>0</v>
      </c>
      <c r="Z135" s="19">
        <v>0</v>
      </c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>
        <v>0</v>
      </c>
      <c r="AI135" s="20">
        <v>0</v>
      </c>
      <c r="AJ135" s="20">
        <v>0</v>
      </c>
      <c r="AK135" s="19">
        <v>0</v>
      </c>
      <c r="AL135" s="20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>
        <v>0</v>
      </c>
      <c r="AS135" s="19">
        <v>0</v>
      </c>
      <c r="AT135" s="19">
        <v>0</v>
      </c>
      <c r="AU135" s="19">
        <v>0</v>
      </c>
      <c r="AV135" s="19">
        <v>0</v>
      </c>
      <c r="AW135" s="20">
        <v>0</v>
      </c>
      <c r="AX135" s="20">
        <v>0</v>
      </c>
      <c r="AY135" s="20">
        <v>0</v>
      </c>
      <c r="AZ135" s="19">
        <v>0</v>
      </c>
      <c r="BA135" s="19">
        <v>0</v>
      </c>
      <c r="BB135" s="19">
        <v>0</v>
      </c>
      <c r="BC135" s="19">
        <v>0</v>
      </c>
      <c r="BD135" s="19">
        <v>0</v>
      </c>
      <c r="BE135" s="21">
        <v>0</v>
      </c>
      <c r="BF135" s="21">
        <v>0</v>
      </c>
      <c r="BG135" s="19">
        <v>0</v>
      </c>
      <c r="BH135" s="19">
        <v>0</v>
      </c>
      <c r="BI135" s="22">
        <f t="shared" si="19"/>
        <v>0</v>
      </c>
      <c r="BJ135" s="22">
        <f t="shared" si="20"/>
        <v>0</v>
      </c>
      <c r="BK135" s="22">
        <f t="shared" si="21"/>
        <v>5</v>
      </c>
      <c r="BL135" s="22">
        <f t="shared" si="28"/>
        <v>5</v>
      </c>
      <c r="BM135" s="22">
        <f t="shared" si="23"/>
        <v>0</v>
      </c>
      <c r="BN135" s="23">
        <f t="shared" si="27"/>
        <v>1</v>
      </c>
      <c r="BO135" s="23" t="e">
        <f t="shared" si="27"/>
        <v>#DIV/0!</v>
      </c>
      <c r="BP135" s="7">
        <f>VLOOKUP(A135,[1]Sheet15!B:E,4,0)</f>
        <v>2</v>
      </c>
      <c r="BQ135" s="7">
        <f>VLOOKUP(A135,[1]Sheet15!B:E,3,0)</f>
        <v>0</v>
      </c>
    </row>
    <row r="136" spans="1:69" ht="22.5" customHeight="1" x14ac:dyDescent="0.25">
      <c r="A136" s="15" t="s">
        <v>370</v>
      </c>
      <c r="B136" s="15">
        <f>VLOOKUP(A136,'[1]Master clients'!F132:W3679,17,0)</f>
        <v>0</v>
      </c>
      <c r="C136" s="15" t="str">
        <f>VLOOKUP(A136,'[1]Master clients'!F132:P3679,11,0)</f>
        <v>AV</v>
      </c>
      <c r="D136" s="15" t="str">
        <f>VLOOKUP(A136,'[1]Master clients'!F:M,8,0)</f>
        <v>End User</v>
      </c>
      <c r="E136" s="16" t="s">
        <v>371</v>
      </c>
      <c r="F136" s="16" t="s">
        <v>85</v>
      </c>
      <c r="G136" s="17">
        <v>0</v>
      </c>
      <c r="H136" s="17">
        <v>0</v>
      </c>
      <c r="I136" s="18">
        <v>5</v>
      </c>
      <c r="J136" s="18">
        <v>0</v>
      </c>
      <c r="K136" s="17">
        <v>0</v>
      </c>
      <c r="L136" s="17">
        <v>0</v>
      </c>
      <c r="M136" s="17">
        <v>0</v>
      </c>
      <c r="N136" s="17">
        <v>0</v>
      </c>
      <c r="O136" s="19">
        <v>0</v>
      </c>
      <c r="P136" s="19">
        <v>0</v>
      </c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20">
        <v>0</v>
      </c>
      <c r="X136" s="20">
        <v>0</v>
      </c>
      <c r="Y136" s="19">
        <v>0</v>
      </c>
      <c r="Z136" s="19">
        <v>0</v>
      </c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>
        <v>0</v>
      </c>
      <c r="AI136" s="20">
        <v>0</v>
      </c>
      <c r="AJ136" s="20">
        <v>0</v>
      </c>
      <c r="AK136" s="19">
        <v>0</v>
      </c>
      <c r="AL136" s="20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>
        <v>0</v>
      </c>
      <c r="AS136" s="19">
        <v>0</v>
      </c>
      <c r="AT136" s="19">
        <v>0</v>
      </c>
      <c r="AU136" s="19">
        <v>0</v>
      </c>
      <c r="AV136" s="19">
        <v>0</v>
      </c>
      <c r="AW136" s="20">
        <v>0</v>
      </c>
      <c r="AX136" s="20">
        <v>0</v>
      </c>
      <c r="AY136" s="20">
        <v>0</v>
      </c>
      <c r="AZ136" s="19">
        <v>0</v>
      </c>
      <c r="BA136" s="19">
        <v>0</v>
      </c>
      <c r="BB136" s="19">
        <v>0</v>
      </c>
      <c r="BC136" s="19">
        <v>0</v>
      </c>
      <c r="BD136" s="19">
        <v>0</v>
      </c>
      <c r="BE136" s="21">
        <v>0</v>
      </c>
      <c r="BF136" s="21">
        <v>0</v>
      </c>
      <c r="BG136" s="19">
        <v>0</v>
      </c>
      <c r="BH136" s="19">
        <v>0</v>
      </c>
      <c r="BI136" s="22">
        <f t="shared" si="19"/>
        <v>0</v>
      </c>
      <c r="BJ136" s="22">
        <f t="shared" si="20"/>
        <v>0</v>
      </c>
      <c r="BK136" s="22">
        <f t="shared" si="21"/>
        <v>5</v>
      </c>
      <c r="BL136" s="22">
        <f t="shared" si="28"/>
        <v>5</v>
      </c>
      <c r="BM136" s="22">
        <f t="shared" si="23"/>
        <v>0</v>
      </c>
      <c r="BN136" s="23">
        <f t="shared" si="27"/>
        <v>1</v>
      </c>
      <c r="BO136" s="23" t="e">
        <f t="shared" si="27"/>
        <v>#DIV/0!</v>
      </c>
      <c r="BP136" s="7">
        <f>VLOOKUP(A136,[1]Sheet15!B:E,4,0)</f>
        <v>1</v>
      </c>
      <c r="BQ136" s="7">
        <f>VLOOKUP(A136,[1]Sheet15!B:E,3,0)</f>
        <v>0</v>
      </c>
    </row>
    <row r="137" spans="1:69" ht="22.5" customHeight="1" x14ac:dyDescent="0.25">
      <c r="A137" s="15" t="s">
        <v>372</v>
      </c>
      <c r="B137" s="15">
        <f>VLOOKUP(A137,'[1]Master clients'!F133:W3680,17,0)</f>
        <v>0</v>
      </c>
      <c r="C137" s="15" t="str">
        <f>VLOOKUP(A137,'[1]Master clients'!F133:P3680,11,0)</f>
        <v>MRK</v>
      </c>
      <c r="D137" s="15" t="str">
        <f>VLOOKUP(A137,'[1]Master clients'!F:M,8,0)</f>
        <v>Group (Mills)</v>
      </c>
      <c r="E137" s="16" t="s">
        <v>373</v>
      </c>
      <c r="F137" s="16" t="s">
        <v>374</v>
      </c>
      <c r="G137" s="17"/>
      <c r="H137" s="17"/>
      <c r="I137" s="18">
        <v>31</v>
      </c>
      <c r="J137" s="18">
        <v>0</v>
      </c>
      <c r="K137" s="17">
        <v>0</v>
      </c>
      <c r="L137" s="17">
        <v>0</v>
      </c>
      <c r="M137" s="17">
        <v>0</v>
      </c>
      <c r="N137" s="17">
        <v>0</v>
      </c>
      <c r="O137" s="19">
        <v>0</v>
      </c>
      <c r="P137" s="19">
        <v>0</v>
      </c>
      <c r="Q137" s="19">
        <v>4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>
        <v>0</v>
      </c>
      <c r="Y137" s="19">
        <v>0</v>
      </c>
      <c r="Z137" s="19">
        <v>0</v>
      </c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>
        <v>0</v>
      </c>
      <c r="AI137" s="19">
        <v>0</v>
      </c>
      <c r="AJ137" s="19">
        <v>0</v>
      </c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>
        <v>0</v>
      </c>
      <c r="AS137" s="19">
        <v>0</v>
      </c>
      <c r="AT137" s="19">
        <v>0</v>
      </c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>
        <v>0</v>
      </c>
      <c r="BC137" s="19">
        <v>0</v>
      </c>
      <c r="BD137" s="19">
        <v>0</v>
      </c>
      <c r="BE137" s="19">
        <v>0</v>
      </c>
      <c r="BF137" s="19">
        <v>0</v>
      </c>
      <c r="BG137" s="19">
        <v>0</v>
      </c>
      <c r="BH137" s="19">
        <v>0</v>
      </c>
      <c r="BI137" s="22">
        <f t="shared" si="19"/>
        <v>0</v>
      </c>
      <c r="BJ137" s="22">
        <f t="shared" si="20"/>
        <v>4</v>
      </c>
      <c r="BK137" s="22">
        <f t="shared" si="21"/>
        <v>35</v>
      </c>
      <c r="BL137" s="22">
        <f t="shared" si="28"/>
        <v>31</v>
      </c>
      <c r="BM137" s="22">
        <f t="shared" si="23"/>
        <v>4</v>
      </c>
      <c r="BN137" s="23">
        <f t="shared" si="27"/>
        <v>1</v>
      </c>
      <c r="BO137" s="23">
        <f t="shared" si="27"/>
        <v>0</v>
      </c>
      <c r="BP137" s="7">
        <f>VLOOKUP(A137,[1]Sheet15!B:E,4,0)</f>
        <v>7</v>
      </c>
      <c r="BQ137" s="7">
        <f>VLOOKUP(A137,[1]Sheet15!B:E,3,0)</f>
        <v>0</v>
      </c>
    </row>
    <row r="138" spans="1:69" ht="22.5" customHeight="1" x14ac:dyDescent="0.25">
      <c r="A138" s="15" t="s">
        <v>375</v>
      </c>
      <c r="B138" s="15" t="str">
        <f>VLOOKUP(A138,'[1]Master clients'!F134:W3681,17,0)</f>
        <v>Apr</v>
      </c>
      <c r="C138" s="15" t="str">
        <f>VLOOKUP(A138,'[1]Master clients'!F134:P3681,11,0)</f>
        <v>MRK</v>
      </c>
      <c r="D138" s="15" t="str">
        <f>VLOOKUP(A138,'[1]Master clients'!F:M,8,0)</f>
        <v>Group (Mills)</v>
      </c>
      <c r="E138" s="16" t="s">
        <v>376</v>
      </c>
      <c r="F138" s="29" t="s">
        <v>377</v>
      </c>
      <c r="G138" s="17"/>
      <c r="H138" s="17"/>
      <c r="I138" s="18">
        <v>3</v>
      </c>
      <c r="J138" s="18">
        <v>0</v>
      </c>
      <c r="K138" s="17">
        <v>0</v>
      </c>
      <c r="L138" s="17">
        <v>0</v>
      </c>
      <c r="M138" s="17">
        <v>0</v>
      </c>
      <c r="N138" s="17">
        <v>0</v>
      </c>
      <c r="O138" s="17">
        <v>0</v>
      </c>
      <c r="P138" s="17">
        <v>0</v>
      </c>
      <c r="Q138" s="17">
        <v>0</v>
      </c>
      <c r="R138" s="17">
        <v>0</v>
      </c>
      <c r="S138" s="17">
        <v>0</v>
      </c>
      <c r="T138" s="17">
        <v>0</v>
      </c>
      <c r="U138" s="17">
        <v>0</v>
      </c>
      <c r="V138" s="17">
        <v>0</v>
      </c>
      <c r="W138" s="17">
        <v>1</v>
      </c>
      <c r="X138" s="17">
        <v>0</v>
      </c>
      <c r="Y138" s="17">
        <v>0</v>
      </c>
      <c r="Z138" s="17">
        <v>0</v>
      </c>
      <c r="AA138" s="17">
        <v>0</v>
      </c>
      <c r="AB138" s="17">
        <v>0</v>
      </c>
      <c r="AC138" s="17">
        <v>0</v>
      </c>
      <c r="AD138" s="17">
        <v>0</v>
      </c>
      <c r="AE138" s="17">
        <v>0</v>
      </c>
      <c r="AF138" s="17">
        <v>0</v>
      </c>
      <c r="AG138" s="17">
        <v>0</v>
      </c>
      <c r="AH138" s="17">
        <v>0</v>
      </c>
      <c r="AI138" s="17">
        <v>0</v>
      </c>
      <c r="AJ138" s="17">
        <v>0</v>
      </c>
      <c r="AK138" s="17">
        <v>0</v>
      </c>
      <c r="AL138" s="17">
        <v>0</v>
      </c>
      <c r="AM138" s="17">
        <v>0</v>
      </c>
      <c r="AN138" s="17">
        <v>0</v>
      </c>
      <c r="AO138" s="17">
        <v>0</v>
      </c>
      <c r="AP138" s="17">
        <v>0</v>
      </c>
      <c r="AQ138" s="17">
        <v>0</v>
      </c>
      <c r="AR138" s="17">
        <v>0</v>
      </c>
      <c r="AS138" s="17">
        <v>0</v>
      </c>
      <c r="AT138" s="17">
        <v>0</v>
      </c>
      <c r="AU138" s="17">
        <v>0</v>
      </c>
      <c r="AV138" s="17">
        <v>0</v>
      </c>
      <c r="AW138" s="17">
        <v>0</v>
      </c>
      <c r="AX138" s="17">
        <v>0</v>
      </c>
      <c r="AY138" s="17">
        <v>0</v>
      </c>
      <c r="AZ138" s="17">
        <v>0</v>
      </c>
      <c r="BA138" s="17">
        <v>2</v>
      </c>
      <c r="BB138" s="17">
        <v>0</v>
      </c>
      <c r="BC138" s="17">
        <v>0</v>
      </c>
      <c r="BD138" s="17">
        <v>0</v>
      </c>
      <c r="BE138" s="21">
        <v>0</v>
      </c>
      <c r="BF138" s="21">
        <v>0</v>
      </c>
      <c r="BG138" s="17">
        <v>0</v>
      </c>
      <c r="BH138" s="17">
        <v>0</v>
      </c>
      <c r="BI138" s="22">
        <f t="shared" si="19"/>
        <v>3</v>
      </c>
      <c r="BJ138" s="22">
        <f t="shared" si="20"/>
        <v>0</v>
      </c>
      <c r="BK138" s="22">
        <f t="shared" si="21"/>
        <v>6</v>
      </c>
      <c r="BL138" s="22">
        <f t="shared" si="28"/>
        <v>6</v>
      </c>
      <c r="BM138" s="22">
        <f t="shared" si="23"/>
        <v>0</v>
      </c>
      <c r="BN138" s="23">
        <f t="shared" si="27"/>
        <v>0.5</v>
      </c>
      <c r="BO138" s="23" t="e">
        <f t="shared" si="27"/>
        <v>#DIV/0!</v>
      </c>
      <c r="BP138" s="7">
        <f>VLOOKUP(A138,[1]Sheet15!B:E,4,0)</f>
        <v>2</v>
      </c>
      <c r="BQ138" s="7">
        <f>VLOOKUP(A138,[1]Sheet15!B:E,3,0)</f>
        <v>0</v>
      </c>
    </row>
    <row r="139" spans="1:69" ht="22.5" customHeight="1" x14ac:dyDescent="0.25">
      <c r="A139" s="32" t="s">
        <v>378</v>
      </c>
      <c r="B139" s="15" t="e">
        <f>VLOOKUP(A139,'[1]Master clients'!F135:W3682,17,0)</f>
        <v>#N/A</v>
      </c>
      <c r="C139" s="15" t="e">
        <f>VLOOKUP(A139,'[1]Master clients'!F135:P3682,11,0)</f>
        <v>#N/A</v>
      </c>
      <c r="D139" s="15" t="str">
        <f>VLOOKUP(A139,'[1]Master clients'!F:M,8,0)</f>
        <v>Group (Mills)</v>
      </c>
      <c r="E139" s="16" t="s">
        <v>379</v>
      </c>
      <c r="F139" s="36" t="s">
        <v>380</v>
      </c>
      <c r="G139" s="17">
        <v>22</v>
      </c>
      <c r="H139" s="17">
        <v>5</v>
      </c>
      <c r="I139" s="18">
        <v>17</v>
      </c>
      <c r="J139" s="18">
        <v>5</v>
      </c>
      <c r="K139" s="17">
        <v>8</v>
      </c>
      <c r="L139" s="17">
        <v>2</v>
      </c>
      <c r="M139" s="17">
        <v>0</v>
      </c>
      <c r="N139" s="17">
        <v>0</v>
      </c>
      <c r="O139" s="19">
        <v>0</v>
      </c>
      <c r="P139" s="19">
        <v>1</v>
      </c>
      <c r="Q139" s="19">
        <v>9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20">
        <v>0</v>
      </c>
      <c r="X139" s="20">
        <v>0</v>
      </c>
      <c r="Y139" s="19">
        <v>0</v>
      </c>
      <c r="Z139" s="19">
        <v>0</v>
      </c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>
        <v>0</v>
      </c>
      <c r="AI139" s="20">
        <v>0</v>
      </c>
      <c r="AJ139" s="20">
        <v>0</v>
      </c>
      <c r="AK139" s="19">
        <v>14</v>
      </c>
      <c r="AL139" s="20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>
        <v>0</v>
      </c>
      <c r="AS139" s="19">
        <v>0</v>
      </c>
      <c r="AT139" s="19">
        <v>0</v>
      </c>
      <c r="AU139" s="19">
        <v>0</v>
      </c>
      <c r="AV139" s="19">
        <v>0</v>
      </c>
      <c r="AW139" s="20">
        <v>0</v>
      </c>
      <c r="AX139" s="20">
        <v>0</v>
      </c>
      <c r="AY139" s="20">
        <v>0</v>
      </c>
      <c r="AZ139" s="19">
        <v>0</v>
      </c>
      <c r="BA139" s="19">
        <v>0</v>
      </c>
      <c r="BB139" s="19">
        <v>0</v>
      </c>
      <c r="BC139" s="19">
        <v>0</v>
      </c>
      <c r="BD139" s="19">
        <v>0</v>
      </c>
      <c r="BE139" s="21">
        <v>0</v>
      </c>
      <c r="BF139" s="21">
        <v>0</v>
      </c>
      <c r="BG139" s="19">
        <v>0</v>
      </c>
      <c r="BH139" s="19">
        <v>0</v>
      </c>
      <c r="BI139" s="22">
        <f t="shared" si="19"/>
        <v>25</v>
      </c>
      <c r="BJ139" s="22">
        <f t="shared" si="20"/>
        <v>9</v>
      </c>
      <c r="BK139" s="22">
        <f t="shared" si="21"/>
        <v>56</v>
      </c>
      <c r="BL139" s="22">
        <f t="shared" si="28"/>
        <v>42</v>
      </c>
      <c r="BM139" s="22">
        <f t="shared" si="23"/>
        <v>14</v>
      </c>
      <c r="BN139" s="23">
        <f t="shared" si="27"/>
        <v>0.40476190476190477</v>
      </c>
      <c r="BO139" s="23">
        <f t="shared" si="27"/>
        <v>0.35714285714285715</v>
      </c>
      <c r="BP139" s="7" t="e">
        <f>VLOOKUP(A139,[1]Sheet15!B:E,4,0)</f>
        <v>#N/A</v>
      </c>
      <c r="BQ139" s="7" t="e">
        <f>VLOOKUP(A139,[1]Sheet15!B:E,3,0)</f>
        <v>#N/A</v>
      </c>
    </row>
    <row r="140" spans="1:69" ht="22.5" customHeight="1" x14ac:dyDescent="0.25">
      <c r="A140" s="15" t="s">
        <v>381</v>
      </c>
      <c r="B140" s="15">
        <f>VLOOKUP(A140,'[1]Master clients'!F136:W3683,17,0)</f>
        <v>0</v>
      </c>
      <c r="C140" s="15" t="str">
        <f>VLOOKUP(A140,'[1]Master clients'!F136:P3683,11,0)</f>
        <v>-</v>
      </c>
      <c r="D140" s="15" t="str">
        <f>VLOOKUP(A140,'[1]Master clients'!F:M,8,0)</f>
        <v>End User</v>
      </c>
      <c r="E140" s="16" t="s">
        <v>382</v>
      </c>
      <c r="F140" s="34" t="s">
        <v>374</v>
      </c>
      <c r="G140" s="17">
        <v>34</v>
      </c>
      <c r="H140" s="17">
        <v>0</v>
      </c>
      <c r="I140" s="18">
        <v>28</v>
      </c>
      <c r="J140" s="18">
        <v>0</v>
      </c>
      <c r="K140" s="17">
        <v>0</v>
      </c>
      <c r="L140" s="17">
        <v>0</v>
      </c>
      <c r="M140" s="17">
        <v>0</v>
      </c>
      <c r="N140" s="17">
        <v>0</v>
      </c>
      <c r="O140" s="19">
        <v>0</v>
      </c>
      <c r="P140" s="19">
        <v>0</v>
      </c>
      <c r="Q140" s="19">
        <v>6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20">
        <v>0</v>
      </c>
      <c r="X140" s="20">
        <v>0</v>
      </c>
      <c r="Y140" s="19">
        <v>0</v>
      </c>
      <c r="Z140" s="19">
        <v>0</v>
      </c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>
        <v>0</v>
      </c>
      <c r="AI140" s="20">
        <v>0</v>
      </c>
      <c r="AJ140" s="20">
        <v>0</v>
      </c>
      <c r="AK140" s="19">
        <v>0</v>
      </c>
      <c r="AL140" s="20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>
        <v>0</v>
      </c>
      <c r="AS140" s="19">
        <v>0</v>
      </c>
      <c r="AT140" s="19">
        <v>0</v>
      </c>
      <c r="AU140" s="19">
        <v>0</v>
      </c>
      <c r="AV140" s="19">
        <v>0</v>
      </c>
      <c r="AW140" s="20">
        <v>0</v>
      </c>
      <c r="AX140" s="20">
        <v>0</v>
      </c>
      <c r="AY140" s="20">
        <v>0</v>
      </c>
      <c r="AZ140" s="19">
        <v>0</v>
      </c>
      <c r="BA140" s="19">
        <v>0</v>
      </c>
      <c r="BB140" s="19">
        <v>0</v>
      </c>
      <c r="BC140" s="19">
        <v>0</v>
      </c>
      <c r="BD140" s="19">
        <v>0</v>
      </c>
      <c r="BE140" s="21">
        <v>0</v>
      </c>
      <c r="BF140" s="21">
        <v>0</v>
      </c>
      <c r="BG140" s="19">
        <v>0</v>
      </c>
      <c r="BH140" s="19">
        <v>0</v>
      </c>
      <c r="BI140" s="22">
        <f t="shared" si="19"/>
        <v>0</v>
      </c>
      <c r="BJ140" s="22">
        <f t="shared" si="20"/>
        <v>6</v>
      </c>
      <c r="BK140" s="22">
        <f t="shared" si="21"/>
        <v>34</v>
      </c>
      <c r="BL140" s="22">
        <f t="shared" si="28"/>
        <v>28</v>
      </c>
      <c r="BM140" s="22">
        <f t="shared" si="23"/>
        <v>6</v>
      </c>
      <c r="BN140" s="23">
        <f t="shared" si="27"/>
        <v>1</v>
      </c>
      <c r="BO140" s="23">
        <f t="shared" si="27"/>
        <v>0</v>
      </c>
      <c r="BP140" s="7" t="e">
        <f>VLOOKUP(A140,[1]Sheet15!B:E,4,0)</f>
        <v>#N/A</v>
      </c>
      <c r="BQ140" s="7" t="e">
        <f>VLOOKUP(A140,[1]Sheet15!B:E,3,0)</f>
        <v>#N/A</v>
      </c>
    </row>
    <row r="141" spans="1:69" ht="22.5" customHeight="1" x14ac:dyDescent="0.25">
      <c r="A141" s="32" t="s">
        <v>383</v>
      </c>
      <c r="B141" s="15" t="e">
        <f>VLOOKUP(A141,'[1]Master clients'!F137:W3684,17,0)</f>
        <v>#N/A</v>
      </c>
      <c r="C141" s="15" t="e">
        <f>VLOOKUP(A141,'[1]Master clients'!F137:P3684,11,0)</f>
        <v>#N/A</v>
      </c>
      <c r="D141" s="15" t="str">
        <f>VLOOKUP(A141,'[1]Master clients'!F:M,8,0)</f>
        <v>End User</v>
      </c>
      <c r="E141" s="34" t="s">
        <v>384</v>
      </c>
      <c r="F141" s="34" t="s">
        <v>385</v>
      </c>
      <c r="G141" s="17">
        <v>18</v>
      </c>
      <c r="H141" s="17">
        <v>0</v>
      </c>
      <c r="I141" s="18">
        <v>26</v>
      </c>
      <c r="J141" s="18">
        <v>0</v>
      </c>
      <c r="K141" s="17">
        <v>2</v>
      </c>
      <c r="L141" s="17">
        <v>0</v>
      </c>
      <c r="M141" s="17">
        <v>0</v>
      </c>
      <c r="N141" s="17">
        <v>0</v>
      </c>
      <c r="O141" s="19">
        <v>0</v>
      </c>
      <c r="P141" s="19">
        <v>0</v>
      </c>
      <c r="Q141" s="19">
        <v>14</v>
      </c>
      <c r="R141" s="19">
        <v>0</v>
      </c>
      <c r="S141" s="19">
        <v>0</v>
      </c>
      <c r="T141" s="19">
        <v>0</v>
      </c>
      <c r="U141" s="19">
        <v>0</v>
      </c>
      <c r="V141" s="19">
        <v>0</v>
      </c>
      <c r="W141" s="20">
        <v>0</v>
      </c>
      <c r="X141" s="20">
        <v>0</v>
      </c>
      <c r="Y141" s="19">
        <v>0</v>
      </c>
      <c r="Z141" s="19">
        <v>0</v>
      </c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>
        <v>0</v>
      </c>
      <c r="AI141" s="20">
        <v>0</v>
      </c>
      <c r="AJ141" s="20">
        <v>0</v>
      </c>
      <c r="AK141" s="19">
        <v>0</v>
      </c>
      <c r="AL141" s="20">
        <v>0</v>
      </c>
      <c r="AM141" s="19">
        <v>0</v>
      </c>
      <c r="AN141" s="19">
        <v>0</v>
      </c>
      <c r="AO141" s="19">
        <v>0</v>
      </c>
      <c r="AP141" s="19">
        <v>0</v>
      </c>
      <c r="AQ141" s="19">
        <v>0</v>
      </c>
      <c r="AR141" s="19">
        <v>0</v>
      </c>
      <c r="AS141" s="19">
        <v>0</v>
      </c>
      <c r="AT141" s="19">
        <v>0</v>
      </c>
      <c r="AU141" s="19">
        <v>0</v>
      </c>
      <c r="AV141" s="19">
        <v>0</v>
      </c>
      <c r="AW141" s="20">
        <v>0</v>
      </c>
      <c r="AX141" s="20">
        <v>0</v>
      </c>
      <c r="AY141" s="20">
        <v>0</v>
      </c>
      <c r="AZ141" s="19">
        <v>0</v>
      </c>
      <c r="BA141" s="19">
        <v>0</v>
      </c>
      <c r="BB141" s="19">
        <v>0</v>
      </c>
      <c r="BC141" s="19">
        <v>0</v>
      </c>
      <c r="BD141" s="19">
        <v>0</v>
      </c>
      <c r="BE141" s="21">
        <v>0</v>
      </c>
      <c r="BF141" s="21">
        <v>0</v>
      </c>
      <c r="BG141" s="19">
        <v>0</v>
      </c>
      <c r="BH141" s="19">
        <v>0</v>
      </c>
      <c r="BI141" s="22">
        <f t="shared" si="19"/>
        <v>2</v>
      </c>
      <c r="BJ141" s="22">
        <f t="shared" si="20"/>
        <v>14</v>
      </c>
      <c r="BK141" s="22">
        <f t="shared" si="21"/>
        <v>42</v>
      </c>
      <c r="BL141" s="22">
        <f t="shared" si="28"/>
        <v>28</v>
      </c>
      <c r="BM141" s="22">
        <f t="shared" si="23"/>
        <v>14</v>
      </c>
      <c r="BN141" s="23">
        <f t="shared" si="27"/>
        <v>0.9285714285714286</v>
      </c>
      <c r="BO141" s="23">
        <f t="shared" si="27"/>
        <v>0</v>
      </c>
      <c r="BP141" s="7">
        <f>VLOOKUP(A141,[1]Sheet15!B:E,4,0)</f>
        <v>6</v>
      </c>
      <c r="BQ141" s="7">
        <f>VLOOKUP(A141,[1]Sheet15!B:E,3,0)</f>
        <v>0</v>
      </c>
    </row>
    <row r="142" spans="1:69" ht="22.5" customHeight="1" x14ac:dyDescent="0.25">
      <c r="A142" s="15" t="s">
        <v>386</v>
      </c>
      <c r="B142" s="15" t="str">
        <f>VLOOKUP(A142,'[1]Master clients'!F138:W3685,17,0)</f>
        <v>May</v>
      </c>
      <c r="C142" s="15" t="str">
        <f>VLOOKUP(A142,'[1]Master clients'!F138:P3685,11,0)</f>
        <v>AV</v>
      </c>
      <c r="D142" s="15" t="str">
        <f>VLOOKUP(A142,'[1]Master clients'!F:M,8,0)</f>
        <v>Group (Mills)</v>
      </c>
      <c r="E142" s="16" t="s">
        <v>387</v>
      </c>
      <c r="F142" s="16" t="s">
        <v>388</v>
      </c>
      <c r="G142" s="17">
        <v>2</v>
      </c>
      <c r="H142" s="17">
        <v>0</v>
      </c>
      <c r="I142" s="18">
        <v>22</v>
      </c>
      <c r="J142" s="18">
        <v>0</v>
      </c>
      <c r="K142" s="17">
        <v>0</v>
      </c>
      <c r="L142" s="17">
        <v>0</v>
      </c>
      <c r="M142" s="17">
        <v>0</v>
      </c>
      <c r="N142" s="17">
        <v>0</v>
      </c>
      <c r="O142" s="19">
        <v>0</v>
      </c>
      <c r="P142" s="19">
        <v>0</v>
      </c>
      <c r="Q142" s="19">
        <v>6</v>
      </c>
      <c r="R142" s="19">
        <v>0</v>
      </c>
      <c r="S142" s="19">
        <v>0</v>
      </c>
      <c r="T142" s="19">
        <v>0</v>
      </c>
      <c r="U142" s="19">
        <v>0</v>
      </c>
      <c r="V142" s="19">
        <v>0</v>
      </c>
      <c r="W142" s="20">
        <v>0</v>
      </c>
      <c r="X142" s="20">
        <v>0</v>
      </c>
      <c r="Y142" s="19">
        <v>0</v>
      </c>
      <c r="Z142" s="19">
        <v>0</v>
      </c>
      <c r="AA142" s="19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>
        <v>0</v>
      </c>
      <c r="AI142" s="20">
        <v>0</v>
      </c>
      <c r="AJ142" s="20">
        <v>0</v>
      </c>
      <c r="AK142" s="19">
        <v>0</v>
      </c>
      <c r="AL142" s="20">
        <v>0</v>
      </c>
      <c r="AM142" s="19">
        <v>0</v>
      </c>
      <c r="AN142" s="19">
        <v>0</v>
      </c>
      <c r="AO142" s="19">
        <v>0</v>
      </c>
      <c r="AP142" s="19">
        <v>0</v>
      </c>
      <c r="AQ142" s="19">
        <v>0</v>
      </c>
      <c r="AR142" s="19">
        <v>0</v>
      </c>
      <c r="AS142" s="19">
        <v>0</v>
      </c>
      <c r="AT142" s="19">
        <v>0</v>
      </c>
      <c r="AU142" s="19">
        <v>0</v>
      </c>
      <c r="AV142" s="19">
        <v>0</v>
      </c>
      <c r="AW142" s="20">
        <v>0</v>
      </c>
      <c r="AX142" s="20">
        <v>0</v>
      </c>
      <c r="AY142" s="20">
        <v>0</v>
      </c>
      <c r="AZ142" s="19">
        <v>0</v>
      </c>
      <c r="BA142" s="19">
        <v>6</v>
      </c>
      <c r="BB142" s="19">
        <v>0</v>
      </c>
      <c r="BC142" s="19">
        <v>0</v>
      </c>
      <c r="BD142" s="19">
        <v>0</v>
      </c>
      <c r="BE142" s="21">
        <v>0</v>
      </c>
      <c r="BF142" s="21">
        <v>0</v>
      </c>
      <c r="BG142" s="19">
        <v>0</v>
      </c>
      <c r="BH142" s="19">
        <v>0</v>
      </c>
      <c r="BI142" s="22">
        <f t="shared" si="19"/>
        <v>6</v>
      </c>
      <c r="BJ142" s="22">
        <f t="shared" si="20"/>
        <v>6</v>
      </c>
      <c r="BK142" s="22">
        <f t="shared" si="21"/>
        <v>34</v>
      </c>
      <c r="BL142" s="22">
        <f t="shared" si="28"/>
        <v>28</v>
      </c>
      <c r="BM142" s="22">
        <f t="shared" si="23"/>
        <v>6</v>
      </c>
      <c r="BN142" s="23">
        <f t="shared" si="27"/>
        <v>0.7857142857142857</v>
      </c>
      <c r="BO142" s="23">
        <f t="shared" si="27"/>
        <v>0</v>
      </c>
      <c r="BP142" s="7">
        <f>VLOOKUP(A142,[1]Sheet15!B:E,4,0)</f>
        <v>4</v>
      </c>
      <c r="BQ142" s="7">
        <f>VLOOKUP(A142,[1]Sheet15!B:E,3,0)</f>
        <v>0</v>
      </c>
    </row>
    <row r="143" spans="1:69" ht="22.5" customHeight="1" x14ac:dyDescent="0.25">
      <c r="A143" s="15" t="s">
        <v>389</v>
      </c>
      <c r="B143" s="15">
        <f>VLOOKUP(A143,'[1]Master clients'!F139:W3686,17,0)</f>
        <v>0</v>
      </c>
      <c r="C143" s="15" t="str">
        <f>VLOOKUP(A143,'[1]Master clients'!F139:P3686,11,0)</f>
        <v>NI</v>
      </c>
      <c r="D143" s="15" t="str">
        <f>VLOOKUP(A143,'[1]Master clients'!F:M,8,0)</f>
        <v>Group (Mills)</v>
      </c>
      <c r="E143" s="16" t="s">
        <v>390</v>
      </c>
      <c r="F143" s="16" t="s">
        <v>391</v>
      </c>
      <c r="G143" s="17"/>
      <c r="H143" s="17"/>
      <c r="I143" s="18">
        <v>15</v>
      </c>
      <c r="J143" s="18">
        <v>0</v>
      </c>
      <c r="K143" s="17">
        <v>0</v>
      </c>
      <c r="L143" s="17">
        <v>2</v>
      </c>
      <c r="M143" s="17">
        <v>4</v>
      </c>
      <c r="N143" s="17">
        <v>2</v>
      </c>
      <c r="O143" s="17">
        <v>0</v>
      </c>
      <c r="P143" s="17">
        <v>0</v>
      </c>
      <c r="Q143" s="19">
        <v>7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  <c r="AE143" s="17">
        <v>0</v>
      </c>
      <c r="AF143" s="17">
        <v>0</v>
      </c>
      <c r="AG143" s="17">
        <v>0</v>
      </c>
      <c r="AH143" s="17">
        <v>0</v>
      </c>
      <c r="AI143" s="17">
        <v>0</v>
      </c>
      <c r="AJ143" s="17">
        <v>0</v>
      </c>
      <c r="AK143" s="17">
        <v>0</v>
      </c>
      <c r="AL143" s="17">
        <v>0</v>
      </c>
      <c r="AM143" s="17">
        <v>0</v>
      </c>
      <c r="AN143" s="17">
        <v>0</v>
      </c>
      <c r="AO143" s="17">
        <v>0</v>
      </c>
      <c r="AP143" s="17">
        <v>0</v>
      </c>
      <c r="AQ143" s="17">
        <v>0</v>
      </c>
      <c r="AR143" s="17">
        <v>0</v>
      </c>
      <c r="AS143" s="17">
        <v>0</v>
      </c>
      <c r="AT143" s="17">
        <v>0</v>
      </c>
      <c r="AU143" s="17">
        <v>0</v>
      </c>
      <c r="AV143" s="17">
        <v>0</v>
      </c>
      <c r="AW143" s="17">
        <v>0</v>
      </c>
      <c r="AX143" s="17">
        <v>0</v>
      </c>
      <c r="AY143" s="17">
        <v>0</v>
      </c>
      <c r="AZ143" s="17">
        <v>0</v>
      </c>
      <c r="BA143" s="17">
        <v>0</v>
      </c>
      <c r="BB143" s="17">
        <v>0</v>
      </c>
      <c r="BC143" s="17">
        <v>0</v>
      </c>
      <c r="BD143" s="17">
        <v>0</v>
      </c>
      <c r="BE143" s="17">
        <v>0</v>
      </c>
      <c r="BF143" s="17">
        <v>0</v>
      </c>
      <c r="BG143" s="17">
        <v>0</v>
      </c>
      <c r="BH143" s="17">
        <v>0</v>
      </c>
      <c r="BI143" s="22">
        <f t="shared" si="19"/>
        <v>6</v>
      </c>
      <c r="BJ143" s="22">
        <f t="shared" si="20"/>
        <v>9</v>
      </c>
      <c r="BK143" s="22">
        <f t="shared" si="21"/>
        <v>30</v>
      </c>
      <c r="BL143" s="22">
        <f t="shared" si="28"/>
        <v>21</v>
      </c>
      <c r="BM143" s="22">
        <f t="shared" si="23"/>
        <v>9</v>
      </c>
      <c r="BN143" s="23">
        <f t="shared" si="27"/>
        <v>0.7142857142857143</v>
      </c>
      <c r="BO143" s="23">
        <f t="shared" si="27"/>
        <v>0</v>
      </c>
      <c r="BP143" s="7">
        <f>VLOOKUP(A143,[1]Sheet15!B:E,4,0)</f>
        <v>10</v>
      </c>
      <c r="BQ143" s="7">
        <f>VLOOKUP(A143,[1]Sheet15!B:E,3,0)</f>
        <v>0</v>
      </c>
    </row>
    <row r="144" spans="1:69" ht="22.5" customHeight="1" x14ac:dyDescent="0.25">
      <c r="A144" s="15" t="s">
        <v>392</v>
      </c>
      <c r="B144" s="15">
        <f>VLOOKUP(A144,'[1]Master clients'!F140:W3687,17,0)</f>
        <v>0</v>
      </c>
      <c r="C144" s="15" t="str">
        <f>VLOOKUP(A144,'[1]Master clients'!F140:P3687,11,0)</f>
        <v>MRK</v>
      </c>
      <c r="D144" s="15" t="str">
        <f>VLOOKUP(A144,'[1]Master clients'!F:M,8,0)</f>
        <v>Group (Mills)</v>
      </c>
      <c r="E144" s="16" t="s">
        <v>393</v>
      </c>
      <c r="F144" s="16" t="s">
        <v>394</v>
      </c>
      <c r="G144" s="17">
        <v>11</v>
      </c>
      <c r="H144" s="17">
        <v>0</v>
      </c>
      <c r="I144" s="18">
        <v>10</v>
      </c>
      <c r="J144" s="18">
        <v>0</v>
      </c>
      <c r="K144" s="17">
        <v>0</v>
      </c>
      <c r="L144" s="17">
        <v>0</v>
      </c>
      <c r="M144" s="17">
        <v>0</v>
      </c>
      <c r="N144" s="17">
        <v>0</v>
      </c>
      <c r="O144" s="19">
        <v>0</v>
      </c>
      <c r="P144" s="19">
        <v>0</v>
      </c>
      <c r="Q144" s="19">
        <v>0</v>
      </c>
      <c r="R144" s="19">
        <v>0</v>
      </c>
      <c r="S144" s="19">
        <v>0</v>
      </c>
      <c r="T144" s="19">
        <v>0</v>
      </c>
      <c r="U144" s="19">
        <v>0</v>
      </c>
      <c r="V144" s="19">
        <v>0</v>
      </c>
      <c r="W144" s="20">
        <v>0</v>
      </c>
      <c r="X144" s="20">
        <v>0</v>
      </c>
      <c r="Y144" s="19">
        <v>2</v>
      </c>
      <c r="Z144" s="19">
        <v>0</v>
      </c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>
        <v>0</v>
      </c>
      <c r="AI144" s="20">
        <v>0</v>
      </c>
      <c r="AJ144" s="20">
        <v>0</v>
      </c>
      <c r="AK144" s="19">
        <v>0</v>
      </c>
      <c r="AL144" s="20">
        <v>0</v>
      </c>
      <c r="AM144" s="19">
        <v>0</v>
      </c>
      <c r="AN144" s="19">
        <v>0</v>
      </c>
      <c r="AO144" s="19">
        <v>0</v>
      </c>
      <c r="AP144" s="19">
        <v>0</v>
      </c>
      <c r="AQ144" s="19">
        <v>0</v>
      </c>
      <c r="AR144" s="19">
        <v>0</v>
      </c>
      <c r="AS144" s="19">
        <v>0</v>
      </c>
      <c r="AT144" s="19">
        <v>0</v>
      </c>
      <c r="AU144" s="19">
        <v>0</v>
      </c>
      <c r="AV144" s="19">
        <v>0</v>
      </c>
      <c r="AW144" s="20">
        <v>0</v>
      </c>
      <c r="AX144" s="20">
        <v>0</v>
      </c>
      <c r="AY144" s="20">
        <v>0</v>
      </c>
      <c r="AZ144" s="19">
        <v>0</v>
      </c>
      <c r="BA144" s="19">
        <v>0</v>
      </c>
      <c r="BB144" s="19">
        <v>0</v>
      </c>
      <c r="BC144" s="19">
        <v>0</v>
      </c>
      <c r="BD144" s="19">
        <v>0</v>
      </c>
      <c r="BE144" s="21">
        <v>0</v>
      </c>
      <c r="BF144" s="21">
        <v>0</v>
      </c>
      <c r="BG144" s="19">
        <v>0</v>
      </c>
      <c r="BH144" s="19">
        <v>0</v>
      </c>
      <c r="BI144" s="22">
        <f t="shared" si="19"/>
        <v>2</v>
      </c>
      <c r="BJ144" s="22">
        <f t="shared" si="20"/>
        <v>0</v>
      </c>
      <c r="BK144" s="22">
        <f t="shared" si="21"/>
        <v>12</v>
      </c>
      <c r="BL144" s="22">
        <f t="shared" si="28"/>
        <v>12</v>
      </c>
      <c r="BM144" s="22">
        <f t="shared" si="23"/>
        <v>0</v>
      </c>
      <c r="BN144" s="23">
        <f t="shared" si="27"/>
        <v>0.83333333333333337</v>
      </c>
      <c r="BO144" s="23" t="e">
        <f t="shared" si="27"/>
        <v>#DIV/0!</v>
      </c>
      <c r="BP144" s="7">
        <f>VLOOKUP(A144,[1]Sheet15!B:E,4,0)</f>
        <v>10</v>
      </c>
      <c r="BQ144" s="7">
        <f>VLOOKUP(A144,[1]Sheet15!B:E,3,0)</f>
        <v>0</v>
      </c>
    </row>
    <row r="145" spans="1:69" ht="22.5" customHeight="1" x14ac:dyDescent="0.25">
      <c r="A145" s="15" t="s">
        <v>395</v>
      </c>
      <c r="B145" s="15" t="str">
        <f>VLOOKUP(A145,'[1]Master clients'!F141:W3688,17,0)</f>
        <v>Apr</v>
      </c>
      <c r="C145" s="15" t="str">
        <f>VLOOKUP(A145,'[1]Master clients'!F141:P3688,11,0)</f>
        <v>MRK</v>
      </c>
      <c r="D145" s="15" t="str">
        <f>VLOOKUP(A145,'[1]Master clients'!F:M,8,0)</f>
        <v>End User</v>
      </c>
      <c r="E145" s="16" t="s">
        <v>396</v>
      </c>
      <c r="F145" s="16" t="s">
        <v>397</v>
      </c>
      <c r="G145" s="17">
        <v>16</v>
      </c>
      <c r="H145" s="17">
        <v>12</v>
      </c>
      <c r="I145" s="18">
        <v>16</v>
      </c>
      <c r="J145" s="18">
        <v>10</v>
      </c>
      <c r="K145" s="17">
        <v>0</v>
      </c>
      <c r="L145" s="17">
        <v>0</v>
      </c>
      <c r="M145" s="17">
        <v>0</v>
      </c>
      <c r="N145" s="17">
        <v>0</v>
      </c>
      <c r="O145" s="19">
        <v>0</v>
      </c>
      <c r="P145" s="19">
        <v>1</v>
      </c>
      <c r="Q145" s="19">
        <v>0</v>
      </c>
      <c r="R145" s="19">
        <v>0</v>
      </c>
      <c r="S145" s="19">
        <v>0</v>
      </c>
      <c r="T145" s="19">
        <v>0</v>
      </c>
      <c r="U145" s="19">
        <v>0</v>
      </c>
      <c r="V145" s="19">
        <v>0</v>
      </c>
      <c r="W145" s="20">
        <v>0</v>
      </c>
      <c r="X145" s="20">
        <v>0</v>
      </c>
      <c r="Y145" s="19">
        <v>2</v>
      </c>
      <c r="Z145" s="19">
        <v>0</v>
      </c>
      <c r="AA145" s="19">
        <v>0</v>
      </c>
      <c r="AB145" s="19">
        <v>0</v>
      </c>
      <c r="AC145" s="19">
        <v>0</v>
      </c>
      <c r="AD145" s="19">
        <v>0</v>
      </c>
      <c r="AE145" s="19">
        <v>0</v>
      </c>
      <c r="AF145" s="19">
        <v>0</v>
      </c>
      <c r="AG145" s="19">
        <v>3</v>
      </c>
      <c r="AH145" s="19">
        <v>0</v>
      </c>
      <c r="AI145" s="20">
        <v>0</v>
      </c>
      <c r="AJ145" s="20">
        <v>0</v>
      </c>
      <c r="AK145" s="19">
        <v>0</v>
      </c>
      <c r="AL145" s="20">
        <v>0</v>
      </c>
      <c r="AM145" s="19">
        <v>0</v>
      </c>
      <c r="AN145" s="19">
        <v>0</v>
      </c>
      <c r="AO145" s="19">
        <v>0</v>
      </c>
      <c r="AP145" s="19">
        <v>0</v>
      </c>
      <c r="AQ145" s="19">
        <v>0</v>
      </c>
      <c r="AR145" s="19">
        <v>0</v>
      </c>
      <c r="AS145" s="19">
        <v>0</v>
      </c>
      <c r="AT145" s="19">
        <v>0</v>
      </c>
      <c r="AU145" s="19">
        <v>0</v>
      </c>
      <c r="AV145" s="19">
        <v>0</v>
      </c>
      <c r="AW145" s="20">
        <v>0</v>
      </c>
      <c r="AX145" s="20">
        <v>0</v>
      </c>
      <c r="AY145" s="20">
        <v>0</v>
      </c>
      <c r="AZ145" s="19">
        <v>0</v>
      </c>
      <c r="BA145" s="19">
        <v>0</v>
      </c>
      <c r="BB145" s="19">
        <v>0</v>
      </c>
      <c r="BC145" s="19">
        <v>0</v>
      </c>
      <c r="BD145" s="19">
        <v>0</v>
      </c>
      <c r="BE145" s="21">
        <v>0</v>
      </c>
      <c r="BF145" s="21">
        <v>0</v>
      </c>
      <c r="BG145" s="19">
        <v>0</v>
      </c>
      <c r="BH145" s="19">
        <v>0</v>
      </c>
      <c r="BI145" s="22">
        <f t="shared" si="19"/>
        <v>6</v>
      </c>
      <c r="BJ145" s="22">
        <f t="shared" si="20"/>
        <v>0</v>
      </c>
      <c r="BK145" s="22">
        <f t="shared" si="21"/>
        <v>32</v>
      </c>
      <c r="BL145" s="22">
        <f t="shared" si="28"/>
        <v>22</v>
      </c>
      <c r="BM145" s="22">
        <f t="shared" si="23"/>
        <v>10</v>
      </c>
      <c r="BN145" s="23">
        <f t="shared" si="27"/>
        <v>0.72727272727272729</v>
      </c>
      <c r="BO145" s="23">
        <f t="shared" si="27"/>
        <v>1</v>
      </c>
      <c r="BP145" s="7" t="e">
        <f>VLOOKUP(A145,[1]Sheet15!B:E,4,0)</f>
        <v>#N/A</v>
      </c>
      <c r="BQ145" s="7" t="e">
        <f>VLOOKUP(A145,[1]Sheet15!B:E,3,0)</f>
        <v>#N/A</v>
      </c>
    </row>
    <row r="146" spans="1:69" ht="22.5" customHeight="1" x14ac:dyDescent="0.25">
      <c r="A146" s="15" t="s">
        <v>398</v>
      </c>
      <c r="B146" s="15" t="str">
        <f>VLOOKUP(A146,'[1]Master clients'!F142:W3689,17,0)</f>
        <v>Apr</v>
      </c>
      <c r="C146" s="15" t="str">
        <f>VLOOKUP(A146,'[1]Master clients'!F142:P3689,11,0)</f>
        <v>MRK</v>
      </c>
      <c r="D146" s="15" t="str">
        <f>VLOOKUP(A146,'[1]Master clients'!F:M,8,0)</f>
        <v>Group (Mills)</v>
      </c>
      <c r="E146" s="16" t="s">
        <v>399</v>
      </c>
      <c r="F146" s="16" t="s">
        <v>374</v>
      </c>
      <c r="G146" s="17"/>
      <c r="H146" s="17"/>
      <c r="I146" s="31">
        <v>42</v>
      </c>
      <c r="J146" s="31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  <c r="AE146" s="17">
        <v>0</v>
      </c>
      <c r="AF146" s="17">
        <v>0</v>
      </c>
      <c r="AG146" s="17">
        <v>0</v>
      </c>
      <c r="AH146" s="17">
        <v>0</v>
      </c>
      <c r="AI146" s="17">
        <v>0</v>
      </c>
      <c r="AJ146" s="17">
        <v>0</v>
      </c>
      <c r="AK146" s="17">
        <v>0</v>
      </c>
      <c r="AL146" s="17">
        <v>0</v>
      </c>
      <c r="AM146" s="17">
        <v>0</v>
      </c>
      <c r="AN146" s="17">
        <v>0</v>
      </c>
      <c r="AO146" s="17">
        <v>0</v>
      </c>
      <c r="AP146" s="17">
        <v>0</v>
      </c>
      <c r="AQ146" s="17">
        <v>0</v>
      </c>
      <c r="AR146" s="17">
        <v>0</v>
      </c>
      <c r="AS146" s="17">
        <v>0</v>
      </c>
      <c r="AT146" s="17">
        <v>0</v>
      </c>
      <c r="AU146" s="17">
        <v>0</v>
      </c>
      <c r="AV146" s="17">
        <v>0</v>
      </c>
      <c r="AW146" s="17">
        <v>0</v>
      </c>
      <c r="AX146" s="17">
        <v>0</v>
      </c>
      <c r="AY146" s="17">
        <v>0</v>
      </c>
      <c r="AZ146" s="17">
        <v>0</v>
      </c>
      <c r="BA146" s="17">
        <v>0</v>
      </c>
      <c r="BB146" s="17">
        <v>0</v>
      </c>
      <c r="BC146" s="17">
        <v>0</v>
      </c>
      <c r="BD146" s="17">
        <v>0</v>
      </c>
      <c r="BE146" s="17">
        <v>0</v>
      </c>
      <c r="BF146" s="17">
        <v>0</v>
      </c>
      <c r="BG146" s="17">
        <v>0</v>
      </c>
      <c r="BH146" s="17">
        <v>0</v>
      </c>
      <c r="BI146" s="22">
        <f t="shared" si="19"/>
        <v>0</v>
      </c>
      <c r="BJ146" s="22">
        <f t="shared" si="20"/>
        <v>0</v>
      </c>
      <c r="BK146" s="22">
        <f t="shared" si="21"/>
        <v>42</v>
      </c>
      <c r="BL146" s="22">
        <f t="shared" si="28"/>
        <v>42</v>
      </c>
      <c r="BM146" s="22">
        <f t="shared" si="23"/>
        <v>0</v>
      </c>
      <c r="BN146" s="23">
        <f t="shared" si="27"/>
        <v>1</v>
      </c>
      <c r="BO146" s="23" t="e">
        <f t="shared" si="27"/>
        <v>#DIV/0!</v>
      </c>
      <c r="BP146" s="7">
        <f>VLOOKUP(A146,[1]Sheet15!B:E,4,0)</f>
        <v>42</v>
      </c>
      <c r="BQ146" s="7">
        <f>VLOOKUP(A146,[1]Sheet15!B:E,3,0)</f>
        <v>0</v>
      </c>
    </row>
    <row r="147" spans="1:69" ht="22.5" customHeight="1" x14ac:dyDescent="0.25">
      <c r="A147" s="15" t="s">
        <v>400</v>
      </c>
      <c r="B147" s="15">
        <f>VLOOKUP(A147,'[1]Master clients'!F143:W3690,17,0)</f>
        <v>0</v>
      </c>
      <c r="C147" s="15" t="str">
        <f>VLOOKUP(A147,'[1]Master clients'!F143:P3690,11,0)</f>
        <v>SI-GS</v>
      </c>
      <c r="D147" s="15" t="str">
        <f>VLOOKUP(A147,'[1]Master clients'!F:M,8,0)</f>
        <v>End User</v>
      </c>
      <c r="E147" s="16" t="s">
        <v>401</v>
      </c>
      <c r="F147" s="16" t="s">
        <v>402</v>
      </c>
      <c r="G147" s="17"/>
      <c r="H147" s="17"/>
      <c r="I147" s="31">
        <v>2</v>
      </c>
      <c r="J147" s="31">
        <v>0</v>
      </c>
      <c r="K147" s="17">
        <v>0</v>
      </c>
      <c r="L147" s="17">
        <v>0</v>
      </c>
      <c r="M147" s="17">
        <v>0</v>
      </c>
      <c r="N147" s="17">
        <v>0</v>
      </c>
      <c r="O147" s="17">
        <v>0</v>
      </c>
      <c r="P147" s="17">
        <v>0</v>
      </c>
      <c r="Q147" s="17">
        <v>0</v>
      </c>
      <c r="R147" s="17">
        <v>0</v>
      </c>
      <c r="S147" s="17">
        <v>0</v>
      </c>
      <c r="T147" s="17">
        <v>0</v>
      </c>
      <c r="U147" s="17">
        <v>0</v>
      </c>
      <c r="V147" s="17">
        <v>0</v>
      </c>
      <c r="W147" s="17">
        <v>0</v>
      </c>
      <c r="X147" s="17">
        <v>0</v>
      </c>
      <c r="Y147" s="17">
        <v>0</v>
      </c>
      <c r="Z147" s="17">
        <v>0</v>
      </c>
      <c r="AA147" s="17">
        <v>0</v>
      </c>
      <c r="AB147" s="17">
        <v>0</v>
      </c>
      <c r="AC147" s="17">
        <v>0</v>
      </c>
      <c r="AD147" s="17">
        <v>0</v>
      </c>
      <c r="AE147" s="17">
        <v>0</v>
      </c>
      <c r="AF147" s="17">
        <v>0</v>
      </c>
      <c r="AG147" s="17">
        <v>0</v>
      </c>
      <c r="AH147" s="17">
        <v>0</v>
      </c>
      <c r="AI147" s="17">
        <v>0</v>
      </c>
      <c r="AJ147" s="17">
        <v>0</v>
      </c>
      <c r="AK147" s="17">
        <v>0</v>
      </c>
      <c r="AL147" s="17">
        <v>0</v>
      </c>
      <c r="AM147" s="17">
        <v>0</v>
      </c>
      <c r="AN147" s="17">
        <v>0</v>
      </c>
      <c r="AO147" s="17">
        <v>0</v>
      </c>
      <c r="AP147" s="17">
        <v>0</v>
      </c>
      <c r="AQ147" s="17">
        <v>0</v>
      </c>
      <c r="AR147" s="17">
        <v>0</v>
      </c>
      <c r="AS147" s="17">
        <v>0</v>
      </c>
      <c r="AT147" s="17">
        <v>0</v>
      </c>
      <c r="AU147" s="17">
        <v>0</v>
      </c>
      <c r="AV147" s="17">
        <v>0</v>
      </c>
      <c r="AW147" s="17">
        <v>0</v>
      </c>
      <c r="AX147" s="17">
        <v>0</v>
      </c>
      <c r="AY147" s="17">
        <v>0</v>
      </c>
      <c r="AZ147" s="17">
        <v>0</v>
      </c>
      <c r="BA147" s="17">
        <v>0</v>
      </c>
      <c r="BB147" s="17">
        <v>0</v>
      </c>
      <c r="BC147" s="17">
        <v>0</v>
      </c>
      <c r="BD147" s="17">
        <v>0</v>
      </c>
      <c r="BE147" s="17">
        <v>0</v>
      </c>
      <c r="BF147" s="17">
        <v>0</v>
      </c>
      <c r="BG147" s="17">
        <v>0</v>
      </c>
      <c r="BH147" s="17">
        <v>0</v>
      </c>
      <c r="BI147" s="22">
        <f t="shared" si="19"/>
        <v>0</v>
      </c>
      <c r="BJ147" s="22">
        <f t="shared" si="20"/>
        <v>0</v>
      </c>
      <c r="BK147" s="22">
        <f t="shared" si="21"/>
        <v>2</v>
      </c>
      <c r="BL147" s="22">
        <f t="shared" si="28"/>
        <v>2</v>
      </c>
      <c r="BM147" s="22">
        <f t="shared" si="23"/>
        <v>0</v>
      </c>
      <c r="BN147" s="23">
        <f t="shared" si="27"/>
        <v>1</v>
      </c>
      <c r="BO147" s="23" t="e">
        <f t="shared" si="27"/>
        <v>#DIV/0!</v>
      </c>
      <c r="BP147" s="7">
        <f>VLOOKUP(A147,[1]Sheet15!B:E,4,0)</f>
        <v>2</v>
      </c>
      <c r="BQ147" s="7">
        <f>VLOOKUP(A147,[1]Sheet15!B:E,3,0)</f>
        <v>0</v>
      </c>
    </row>
    <row r="148" spans="1:69" ht="22.5" customHeight="1" x14ac:dyDescent="0.25">
      <c r="A148" s="15" t="s">
        <v>403</v>
      </c>
      <c r="B148" s="15">
        <f>VLOOKUP(A148,'[1]Master clients'!F144:W3691,17,0)</f>
        <v>0</v>
      </c>
      <c r="C148" s="15" t="str">
        <f>VLOOKUP(A148,'[1]Master clients'!F144:P3691,11,0)</f>
        <v>SI-GS</v>
      </c>
      <c r="D148" s="15" t="str">
        <f>VLOOKUP(A148,'[1]Master clients'!F:M,8,0)</f>
        <v>End User</v>
      </c>
      <c r="E148" s="16" t="s">
        <v>404</v>
      </c>
      <c r="F148" s="16" t="s">
        <v>391</v>
      </c>
      <c r="G148" s="17"/>
      <c r="H148" s="17"/>
      <c r="I148" s="31">
        <v>28</v>
      </c>
      <c r="J148" s="31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  <c r="AE148" s="17">
        <v>0</v>
      </c>
      <c r="AF148" s="17">
        <v>0</v>
      </c>
      <c r="AG148" s="17">
        <v>0</v>
      </c>
      <c r="AH148" s="17">
        <v>0</v>
      </c>
      <c r="AI148" s="17">
        <v>0</v>
      </c>
      <c r="AJ148" s="17">
        <v>0</v>
      </c>
      <c r="AK148" s="17">
        <v>0</v>
      </c>
      <c r="AL148" s="17">
        <v>0</v>
      </c>
      <c r="AM148" s="17">
        <v>0</v>
      </c>
      <c r="AN148" s="17">
        <v>0</v>
      </c>
      <c r="AO148" s="17">
        <v>0</v>
      </c>
      <c r="AP148" s="17">
        <v>0</v>
      </c>
      <c r="AQ148" s="17">
        <v>0</v>
      </c>
      <c r="AR148" s="17">
        <v>0</v>
      </c>
      <c r="AS148" s="17">
        <v>0</v>
      </c>
      <c r="AT148" s="17">
        <v>0</v>
      </c>
      <c r="AU148" s="17">
        <v>0</v>
      </c>
      <c r="AV148" s="17">
        <v>0</v>
      </c>
      <c r="AW148" s="17">
        <v>0</v>
      </c>
      <c r="AX148" s="17">
        <v>0</v>
      </c>
      <c r="AY148" s="17">
        <v>0</v>
      </c>
      <c r="AZ148" s="17">
        <v>0</v>
      </c>
      <c r="BA148" s="17">
        <v>0</v>
      </c>
      <c r="BB148" s="17">
        <v>0</v>
      </c>
      <c r="BC148" s="17">
        <v>0</v>
      </c>
      <c r="BD148" s="17">
        <v>0</v>
      </c>
      <c r="BE148" s="17">
        <v>0</v>
      </c>
      <c r="BF148" s="17">
        <v>0</v>
      </c>
      <c r="BG148" s="17">
        <v>0</v>
      </c>
      <c r="BH148" s="17">
        <v>0</v>
      </c>
      <c r="BI148" s="22">
        <f t="shared" si="19"/>
        <v>0</v>
      </c>
      <c r="BJ148" s="22">
        <f t="shared" si="20"/>
        <v>0</v>
      </c>
      <c r="BK148" s="22">
        <f t="shared" si="21"/>
        <v>28</v>
      </c>
      <c r="BL148" s="22">
        <f t="shared" si="28"/>
        <v>28</v>
      </c>
      <c r="BM148" s="22">
        <f t="shared" si="23"/>
        <v>0</v>
      </c>
      <c r="BN148" s="23">
        <f t="shared" si="27"/>
        <v>1</v>
      </c>
      <c r="BO148" s="23" t="e">
        <f t="shared" si="27"/>
        <v>#DIV/0!</v>
      </c>
      <c r="BP148" s="7">
        <f>VLOOKUP(A148,[1]Sheet15!B:E,4,0)</f>
        <v>28</v>
      </c>
      <c r="BQ148" s="7">
        <f>VLOOKUP(A148,[1]Sheet15!B:E,3,0)</f>
        <v>0</v>
      </c>
    </row>
    <row r="149" spans="1:69" ht="22.5" customHeight="1" x14ac:dyDescent="0.25">
      <c r="A149" s="15" t="s">
        <v>405</v>
      </c>
      <c r="B149" s="15">
        <f>VLOOKUP(A149,'[1]Master clients'!F145:W3692,17,0)</f>
        <v>0</v>
      </c>
      <c r="C149" s="15" t="str">
        <f>VLOOKUP(A149,'[1]Master clients'!F145:P3692,11,0)</f>
        <v>AV</v>
      </c>
      <c r="D149" s="15" t="str">
        <f>VLOOKUP(A149,'[1]Master clients'!F:M,8,0)</f>
        <v>End User</v>
      </c>
      <c r="E149" s="16" t="s">
        <v>406</v>
      </c>
      <c r="F149" s="16" t="s">
        <v>407</v>
      </c>
      <c r="G149" s="17">
        <v>12</v>
      </c>
      <c r="H149" s="17">
        <v>0</v>
      </c>
      <c r="I149" s="18">
        <v>21</v>
      </c>
      <c r="J149" s="18">
        <v>0</v>
      </c>
      <c r="K149" s="17">
        <v>0</v>
      </c>
      <c r="L149" s="17">
        <v>0</v>
      </c>
      <c r="M149" s="17">
        <v>0</v>
      </c>
      <c r="N149" s="17">
        <v>0</v>
      </c>
      <c r="O149" s="19">
        <v>0</v>
      </c>
      <c r="P149" s="19">
        <v>0</v>
      </c>
      <c r="Q149" s="19">
        <v>12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20">
        <v>0</v>
      </c>
      <c r="X149" s="20">
        <v>0</v>
      </c>
      <c r="Y149" s="19">
        <v>0</v>
      </c>
      <c r="Z149" s="19">
        <v>0</v>
      </c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>
        <v>0</v>
      </c>
      <c r="AI149" s="20">
        <v>0</v>
      </c>
      <c r="AJ149" s="20">
        <v>0</v>
      </c>
      <c r="AK149" s="19">
        <v>0</v>
      </c>
      <c r="AL149" s="20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>
        <v>0</v>
      </c>
      <c r="AS149" s="19">
        <v>0</v>
      </c>
      <c r="AT149" s="19">
        <v>0</v>
      </c>
      <c r="AU149" s="19">
        <v>0</v>
      </c>
      <c r="AV149" s="19">
        <v>0</v>
      </c>
      <c r="AW149" s="20">
        <v>0</v>
      </c>
      <c r="AX149" s="20">
        <v>0</v>
      </c>
      <c r="AY149" s="20">
        <v>0</v>
      </c>
      <c r="AZ149" s="19">
        <v>0</v>
      </c>
      <c r="BA149" s="19">
        <v>0</v>
      </c>
      <c r="BB149" s="19">
        <v>0</v>
      </c>
      <c r="BC149" s="19">
        <v>0</v>
      </c>
      <c r="BD149" s="19">
        <v>0</v>
      </c>
      <c r="BE149" s="21">
        <v>0</v>
      </c>
      <c r="BF149" s="21">
        <v>0</v>
      </c>
      <c r="BG149" s="19">
        <v>0</v>
      </c>
      <c r="BH149" s="19">
        <v>0</v>
      </c>
      <c r="BI149" s="22">
        <f t="shared" si="19"/>
        <v>0</v>
      </c>
      <c r="BJ149" s="22">
        <f t="shared" si="20"/>
        <v>12</v>
      </c>
      <c r="BK149" s="22">
        <f t="shared" si="21"/>
        <v>33</v>
      </c>
      <c r="BL149" s="22">
        <f t="shared" si="28"/>
        <v>21</v>
      </c>
      <c r="BM149" s="22">
        <f t="shared" si="23"/>
        <v>12</v>
      </c>
      <c r="BN149" s="23">
        <f t="shared" ref="BN149:BO164" si="29">I149/BL149</f>
        <v>1</v>
      </c>
      <c r="BO149" s="23">
        <f t="shared" si="29"/>
        <v>0</v>
      </c>
      <c r="BP149" s="7">
        <f>VLOOKUP(A149,[1]Sheet15!B:E,4,0)</f>
        <v>15</v>
      </c>
      <c r="BQ149" s="7">
        <f>VLOOKUP(A149,[1]Sheet15!B:E,3,0)</f>
        <v>0</v>
      </c>
    </row>
    <row r="150" spans="1:69" ht="22.5" customHeight="1" x14ac:dyDescent="0.25">
      <c r="A150" s="15" t="s">
        <v>408</v>
      </c>
      <c r="B150" s="15" t="str">
        <f>VLOOKUP(A150,'[1]Master clients'!F146:W3693,17,0)</f>
        <v>Apr</v>
      </c>
      <c r="C150" s="15" t="str">
        <f>VLOOKUP(A150,'[1]Master clients'!F146:P3693,11,0)</f>
        <v>MRK</v>
      </c>
      <c r="D150" s="15" t="str">
        <f>VLOOKUP(A150,'[1]Master clients'!F:M,8,0)</f>
        <v>Group (Mills)</v>
      </c>
      <c r="E150" s="16" t="s">
        <v>409</v>
      </c>
      <c r="F150" s="16" t="s">
        <v>410</v>
      </c>
      <c r="G150" s="17">
        <v>60</v>
      </c>
      <c r="H150" s="17">
        <v>0</v>
      </c>
      <c r="I150" s="17">
        <v>60</v>
      </c>
      <c r="J150" s="31">
        <v>0</v>
      </c>
      <c r="K150" s="17">
        <v>0</v>
      </c>
      <c r="L150" s="17">
        <v>0</v>
      </c>
      <c r="M150" s="17">
        <v>0</v>
      </c>
      <c r="N150" s="17">
        <v>0</v>
      </c>
      <c r="O150" s="17">
        <v>0</v>
      </c>
      <c r="P150" s="17">
        <v>8</v>
      </c>
      <c r="Q150" s="17">
        <v>0</v>
      </c>
      <c r="R150" s="17">
        <v>0</v>
      </c>
      <c r="S150" s="17">
        <v>0</v>
      </c>
      <c r="T150" s="17">
        <v>0</v>
      </c>
      <c r="U150" s="17">
        <v>0</v>
      </c>
      <c r="V150" s="17">
        <v>0</v>
      </c>
      <c r="W150" s="17">
        <v>0</v>
      </c>
      <c r="X150" s="17">
        <v>0</v>
      </c>
      <c r="Y150" s="17">
        <v>0</v>
      </c>
      <c r="Z150" s="17">
        <v>0</v>
      </c>
      <c r="AA150" s="17">
        <v>0</v>
      </c>
      <c r="AB150" s="17">
        <v>0</v>
      </c>
      <c r="AC150" s="17">
        <v>0</v>
      </c>
      <c r="AD150" s="17">
        <v>0</v>
      </c>
      <c r="AE150" s="17">
        <v>0</v>
      </c>
      <c r="AF150" s="17">
        <v>0</v>
      </c>
      <c r="AG150" s="17">
        <v>0</v>
      </c>
      <c r="AH150" s="17">
        <v>0</v>
      </c>
      <c r="AI150" s="17">
        <v>0</v>
      </c>
      <c r="AJ150" s="17">
        <v>0</v>
      </c>
      <c r="AK150" s="17">
        <v>0</v>
      </c>
      <c r="AL150" s="17">
        <v>0</v>
      </c>
      <c r="AM150" s="17">
        <v>0</v>
      </c>
      <c r="AN150" s="17">
        <v>0</v>
      </c>
      <c r="AO150" s="17">
        <v>0</v>
      </c>
      <c r="AP150" s="17">
        <v>0</v>
      </c>
      <c r="AQ150" s="17">
        <v>0</v>
      </c>
      <c r="AR150" s="17">
        <v>0</v>
      </c>
      <c r="AS150" s="17">
        <v>0</v>
      </c>
      <c r="AT150" s="17">
        <v>0</v>
      </c>
      <c r="AU150" s="17">
        <v>0</v>
      </c>
      <c r="AV150" s="17">
        <v>0</v>
      </c>
      <c r="AW150" s="17">
        <v>0</v>
      </c>
      <c r="AX150" s="17">
        <v>0</v>
      </c>
      <c r="AY150" s="17">
        <v>0</v>
      </c>
      <c r="AZ150" s="17">
        <v>0</v>
      </c>
      <c r="BA150" s="17">
        <v>0</v>
      </c>
      <c r="BB150" s="17">
        <v>0</v>
      </c>
      <c r="BC150" s="17">
        <v>0</v>
      </c>
      <c r="BD150" s="17">
        <v>0</v>
      </c>
      <c r="BE150" s="17">
        <v>0</v>
      </c>
      <c r="BF150" s="17">
        <v>0</v>
      </c>
      <c r="BG150" s="17">
        <v>0</v>
      </c>
      <c r="BH150" s="17">
        <v>0</v>
      </c>
      <c r="BI150" s="22">
        <f t="shared" si="19"/>
        <v>8</v>
      </c>
      <c r="BJ150" s="22">
        <f t="shared" si="20"/>
        <v>0</v>
      </c>
      <c r="BK150" s="22">
        <f t="shared" si="21"/>
        <v>68</v>
      </c>
      <c r="BL150" s="22">
        <f t="shared" si="28"/>
        <v>68</v>
      </c>
      <c r="BM150" s="22">
        <f t="shared" si="23"/>
        <v>0</v>
      </c>
      <c r="BN150" s="23">
        <f t="shared" si="29"/>
        <v>0.88235294117647056</v>
      </c>
      <c r="BO150" s="23" t="e">
        <f t="shared" si="29"/>
        <v>#DIV/0!</v>
      </c>
      <c r="BP150" s="7">
        <f>VLOOKUP(A150,[1]Sheet15!B:E,4,0)</f>
        <v>18</v>
      </c>
      <c r="BQ150" s="7">
        <f>VLOOKUP(A150,[1]Sheet15!B:E,3,0)</f>
        <v>0</v>
      </c>
    </row>
    <row r="151" spans="1:69" ht="22.5" customHeight="1" x14ac:dyDescent="0.25">
      <c r="A151" s="15" t="s">
        <v>411</v>
      </c>
      <c r="B151" s="15">
        <f>VLOOKUP(A151,'[1]Master clients'!F147:W3694,17,0)</f>
        <v>0</v>
      </c>
      <c r="C151" s="15" t="str">
        <f>VLOOKUP(A151,'[1]Master clients'!F147:P3694,11,0)</f>
        <v>NI</v>
      </c>
      <c r="D151" s="15" t="str">
        <f>VLOOKUP(A151,'[1]Master clients'!F:M,8,0)</f>
        <v>Group (Mills)</v>
      </c>
      <c r="E151" s="16" t="s">
        <v>412</v>
      </c>
      <c r="F151" s="16" t="s">
        <v>391</v>
      </c>
      <c r="G151" s="17"/>
      <c r="H151" s="17"/>
      <c r="I151" s="18">
        <v>4</v>
      </c>
      <c r="J151" s="18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13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  <c r="AE151" s="17">
        <v>0</v>
      </c>
      <c r="AF151" s="17">
        <v>0</v>
      </c>
      <c r="AG151" s="17">
        <v>0</v>
      </c>
      <c r="AH151" s="17">
        <v>0</v>
      </c>
      <c r="AI151" s="17">
        <v>0</v>
      </c>
      <c r="AJ151" s="17">
        <v>0</v>
      </c>
      <c r="AK151" s="17">
        <v>0</v>
      </c>
      <c r="AL151" s="17">
        <v>0</v>
      </c>
      <c r="AM151" s="17">
        <v>0</v>
      </c>
      <c r="AN151" s="17">
        <v>0</v>
      </c>
      <c r="AO151" s="17">
        <v>25</v>
      </c>
      <c r="AP151" s="17">
        <v>0</v>
      </c>
      <c r="AQ151" s="17">
        <v>0</v>
      </c>
      <c r="AR151" s="17">
        <v>0</v>
      </c>
      <c r="AS151" s="17">
        <v>0</v>
      </c>
      <c r="AT151" s="17">
        <v>0</v>
      </c>
      <c r="AU151" s="17">
        <v>0</v>
      </c>
      <c r="AV151" s="17">
        <v>0</v>
      </c>
      <c r="AW151" s="17">
        <v>0</v>
      </c>
      <c r="AX151" s="17">
        <v>0</v>
      </c>
      <c r="AY151" s="17">
        <v>0</v>
      </c>
      <c r="AZ151" s="17">
        <v>0</v>
      </c>
      <c r="BA151" s="17">
        <v>0</v>
      </c>
      <c r="BB151" s="17">
        <v>0</v>
      </c>
      <c r="BC151" s="17">
        <v>0</v>
      </c>
      <c r="BD151" s="17">
        <v>0</v>
      </c>
      <c r="BE151" s="17">
        <v>0</v>
      </c>
      <c r="BF151" s="17">
        <v>0</v>
      </c>
      <c r="BG151" s="17">
        <v>0</v>
      </c>
      <c r="BH151" s="17">
        <v>0</v>
      </c>
      <c r="BI151" s="22">
        <f t="shared" si="19"/>
        <v>25</v>
      </c>
      <c r="BJ151" s="22">
        <f t="shared" si="20"/>
        <v>13</v>
      </c>
      <c r="BK151" s="22">
        <f t="shared" si="21"/>
        <v>42</v>
      </c>
      <c r="BL151" s="22">
        <f t="shared" si="28"/>
        <v>29</v>
      </c>
      <c r="BM151" s="22">
        <f t="shared" si="23"/>
        <v>13</v>
      </c>
      <c r="BN151" s="23">
        <f t="shared" si="29"/>
        <v>0.13793103448275862</v>
      </c>
      <c r="BO151" s="23">
        <f t="shared" si="29"/>
        <v>0</v>
      </c>
      <c r="BP151" s="7" t="e">
        <f>VLOOKUP(A151,[1]Sheet15!B:E,4,0)</f>
        <v>#N/A</v>
      </c>
      <c r="BQ151" s="7" t="e">
        <f>VLOOKUP(A151,[1]Sheet15!B:E,3,0)</f>
        <v>#N/A</v>
      </c>
    </row>
    <row r="152" spans="1:69" ht="22.5" customHeight="1" x14ac:dyDescent="0.25">
      <c r="A152" s="15" t="s">
        <v>413</v>
      </c>
      <c r="B152" s="15">
        <f>VLOOKUP(A152,'[1]Master clients'!F148:W3695,17,0)</f>
        <v>0</v>
      </c>
      <c r="C152" s="15" t="str">
        <f>VLOOKUP(A152,'[1]Master clients'!F148:P3695,11,0)</f>
        <v>NI</v>
      </c>
      <c r="D152" s="15" t="str">
        <f>VLOOKUP(A152,'[1]Master clients'!F:M,8,0)</f>
        <v>Group (Mills)</v>
      </c>
      <c r="E152" s="16" t="s">
        <v>414</v>
      </c>
      <c r="F152" s="16" t="s">
        <v>391</v>
      </c>
      <c r="G152" s="17"/>
      <c r="H152" s="17"/>
      <c r="I152" s="18">
        <v>28</v>
      </c>
      <c r="J152" s="18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13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  <c r="AE152" s="17">
        <v>0</v>
      </c>
      <c r="AF152" s="17">
        <v>0</v>
      </c>
      <c r="AG152" s="17">
        <v>0</v>
      </c>
      <c r="AH152" s="17">
        <v>0</v>
      </c>
      <c r="AI152" s="17">
        <v>0</v>
      </c>
      <c r="AJ152" s="17">
        <v>0</v>
      </c>
      <c r="AK152" s="17">
        <v>0</v>
      </c>
      <c r="AL152" s="17">
        <v>0</v>
      </c>
      <c r="AM152" s="17">
        <v>0</v>
      </c>
      <c r="AN152" s="17">
        <v>0</v>
      </c>
      <c r="AO152" s="17">
        <v>0</v>
      </c>
      <c r="AP152" s="17">
        <v>0</v>
      </c>
      <c r="AQ152" s="17">
        <v>0</v>
      </c>
      <c r="AR152" s="17">
        <v>0</v>
      </c>
      <c r="AS152" s="17">
        <v>0</v>
      </c>
      <c r="AT152" s="17">
        <v>0</v>
      </c>
      <c r="AU152" s="17">
        <v>0</v>
      </c>
      <c r="AV152" s="17">
        <v>0</v>
      </c>
      <c r="AW152" s="17">
        <v>0</v>
      </c>
      <c r="AX152" s="17">
        <v>0</v>
      </c>
      <c r="AY152" s="17">
        <v>0</v>
      </c>
      <c r="AZ152" s="17">
        <v>0</v>
      </c>
      <c r="BA152" s="17">
        <v>0</v>
      </c>
      <c r="BB152" s="17">
        <v>0</v>
      </c>
      <c r="BC152" s="17">
        <v>0</v>
      </c>
      <c r="BD152" s="17">
        <v>0</v>
      </c>
      <c r="BE152" s="17">
        <v>0</v>
      </c>
      <c r="BF152" s="17">
        <v>0</v>
      </c>
      <c r="BG152" s="17">
        <v>0</v>
      </c>
      <c r="BH152" s="17">
        <v>0</v>
      </c>
      <c r="BI152" s="22">
        <f t="shared" si="19"/>
        <v>0</v>
      </c>
      <c r="BJ152" s="22">
        <f t="shared" si="20"/>
        <v>13</v>
      </c>
      <c r="BK152" s="22">
        <f t="shared" si="21"/>
        <v>41</v>
      </c>
      <c r="BL152" s="22">
        <f t="shared" si="28"/>
        <v>28</v>
      </c>
      <c r="BM152" s="22">
        <f t="shared" si="23"/>
        <v>13</v>
      </c>
      <c r="BN152" s="23">
        <f t="shared" si="29"/>
        <v>1</v>
      </c>
      <c r="BO152" s="23">
        <f t="shared" si="29"/>
        <v>0</v>
      </c>
      <c r="BP152" s="7">
        <f>VLOOKUP(A152,[1]Sheet15!B:E,4,0)</f>
        <v>28</v>
      </c>
      <c r="BQ152" s="7">
        <f>VLOOKUP(A152,[1]Sheet15!B:E,3,0)</f>
        <v>0</v>
      </c>
    </row>
    <row r="153" spans="1:69" ht="22.5" customHeight="1" x14ac:dyDescent="0.25">
      <c r="A153" s="15" t="s">
        <v>415</v>
      </c>
      <c r="B153" s="15">
        <f>VLOOKUP(A153,'[1]Master clients'!F149:W3696,17,0)</f>
        <v>0</v>
      </c>
      <c r="C153" s="15" t="str">
        <f>VLOOKUP(A153,'[1]Master clients'!F149:P3696,11,0)</f>
        <v>NI</v>
      </c>
      <c r="D153" s="15" t="str">
        <f>VLOOKUP(A153,'[1]Master clients'!F:M,8,0)</f>
        <v>Group (Mills)</v>
      </c>
      <c r="E153" s="16" t="s">
        <v>416</v>
      </c>
      <c r="F153" s="16" t="s">
        <v>391</v>
      </c>
      <c r="G153" s="17"/>
      <c r="H153" s="17"/>
      <c r="I153" s="18">
        <v>18</v>
      </c>
      <c r="J153" s="18">
        <v>0</v>
      </c>
      <c r="K153" s="17">
        <v>0</v>
      </c>
      <c r="L153" s="17">
        <v>0</v>
      </c>
      <c r="M153" s="17">
        <v>0</v>
      </c>
      <c r="N153" s="17">
        <v>0</v>
      </c>
      <c r="O153" s="17">
        <v>0</v>
      </c>
      <c r="P153" s="17">
        <v>0</v>
      </c>
      <c r="Q153" s="17">
        <v>11</v>
      </c>
      <c r="R153" s="17">
        <v>0</v>
      </c>
      <c r="S153" s="17">
        <v>0</v>
      </c>
      <c r="T153" s="17">
        <v>0</v>
      </c>
      <c r="U153" s="17">
        <v>0</v>
      </c>
      <c r="V153" s="17">
        <v>0</v>
      </c>
      <c r="W153" s="17">
        <v>0</v>
      </c>
      <c r="X153" s="17">
        <v>0</v>
      </c>
      <c r="Y153" s="17">
        <v>0</v>
      </c>
      <c r="Z153" s="17">
        <v>0</v>
      </c>
      <c r="AA153" s="17">
        <v>0</v>
      </c>
      <c r="AB153" s="17">
        <v>0</v>
      </c>
      <c r="AC153" s="17">
        <v>0</v>
      </c>
      <c r="AD153" s="17">
        <v>0</v>
      </c>
      <c r="AE153" s="17">
        <v>0</v>
      </c>
      <c r="AF153" s="17">
        <v>0</v>
      </c>
      <c r="AG153" s="17">
        <v>0</v>
      </c>
      <c r="AH153" s="17">
        <v>0</v>
      </c>
      <c r="AI153" s="17">
        <v>0</v>
      </c>
      <c r="AJ153" s="17">
        <v>0</v>
      </c>
      <c r="AK153" s="17">
        <v>0</v>
      </c>
      <c r="AL153" s="17">
        <v>0</v>
      </c>
      <c r="AM153" s="17">
        <v>0</v>
      </c>
      <c r="AN153" s="17">
        <v>0</v>
      </c>
      <c r="AO153" s="17">
        <v>0</v>
      </c>
      <c r="AP153" s="17">
        <v>0</v>
      </c>
      <c r="AQ153" s="17">
        <v>0</v>
      </c>
      <c r="AR153" s="17">
        <v>0</v>
      </c>
      <c r="AS153" s="17">
        <v>0</v>
      </c>
      <c r="AT153" s="17">
        <v>0</v>
      </c>
      <c r="AU153" s="17">
        <v>0</v>
      </c>
      <c r="AV153" s="17">
        <v>0</v>
      </c>
      <c r="AW153" s="17">
        <v>0</v>
      </c>
      <c r="AX153" s="17">
        <v>0</v>
      </c>
      <c r="AY153" s="17">
        <v>0</v>
      </c>
      <c r="AZ153" s="17">
        <v>0</v>
      </c>
      <c r="BA153" s="17">
        <v>0</v>
      </c>
      <c r="BB153" s="17">
        <v>0</v>
      </c>
      <c r="BC153" s="17">
        <v>0</v>
      </c>
      <c r="BD153" s="17">
        <v>0</v>
      </c>
      <c r="BE153" s="17">
        <v>0</v>
      </c>
      <c r="BF153" s="17">
        <v>0</v>
      </c>
      <c r="BG153" s="17">
        <v>0</v>
      </c>
      <c r="BH153" s="17">
        <v>0</v>
      </c>
      <c r="BI153" s="22">
        <f t="shared" si="19"/>
        <v>0</v>
      </c>
      <c r="BJ153" s="22">
        <f t="shared" si="20"/>
        <v>11</v>
      </c>
      <c r="BK153" s="22">
        <f t="shared" si="21"/>
        <v>29</v>
      </c>
      <c r="BL153" s="22">
        <f t="shared" si="28"/>
        <v>18</v>
      </c>
      <c r="BM153" s="22">
        <f t="shared" si="23"/>
        <v>11</v>
      </c>
      <c r="BN153" s="23">
        <f t="shared" si="29"/>
        <v>1</v>
      </c>
      <c r="BO153" s="23">
        <f t="shared" si="29"/>
        <v>0</v>
      </c>
      <c r="BP153" s="7">
        <f>VLOOKUP(A153,[1]Sheet15!B:E,4,0)</f>
        <v>8</v>
      </c>
      <c r="BQ153" s="7">
        <f>VLOOKUP(A153,[1]Sheet15!B:E,3,0)</f>
        <v>0</v>
      </c>
    </row>
    <row r="154" spans="1:69" ht="22.5" customHeight="1" x14ac:dyDescent="0.25">
      <c r="A154" s="15" t="s">
        <v>417</v>
      </c>
      <c r="B154" s="15">
        <f>VLOOKUP(A154,'[1]Master clients'!F150:W3697,17,0)</f>
        <v>0</v>
      </c>
      <c r="C154" s="15" t="str">
        <f>VLOOKUP(A154,'[1]Master clients'!F150:P3697,11,0)</f>
        <v>MRK</v>
      </c>
      <c r="D154" s="15" t="str">
        <f>VLOOKUP(A154,'[1]Master clients'!F:M,8,0)</f>
        <v>End User</v>
      </c>
      <c r="E154" s="16" t="s">
        <v>418</v>
      </c>
      <c r="F154" s="16" t="s">
        <v>419</v>
      </c>
      <c r="G154" s="17">
        <v>12</v>
      </c>
      <c r="H154" s="17">
        <v>0</v>
      </c>
      <c r="I154" s="18">
        <v>9</v>
      </c>
      <c r="J154" s="18">
        <v>0</v>
      </c>
      <c r="K154" s="17">
        <v>0</v>
      </c>
      <c r="L154" s="17">
        <v>0</v>
      </c>
      <c r="M154" s="17">
        <v>0</v>
      </c>
      <c r="N154" s="17">
        <v>12</v>
      </c>
      <c r="O154" s="19">
        <v>0</v>
      </c>
      <c r="P154" s="19">
        <v>0</v>
      </c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20">
        <v>0</v>
      </c>
      <c r="X154" s="20">
        <v>0</v>
      </c>
      <c r="Y154" s="19">
        <v>0</v>
      </c>
      <c r="Z154" s="19">
        <v>0</v>
      </c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>
        <v>0</v>
      </c>
      <c r="AI154" s="20">
        <v>0</v>
      </c>
      <c r="AJ154" s="20">
        <v>0</v>
      </c>
      <c r="AK154" s="19">
        <v>0</v>
      </c>
      <c r="AL154" s="20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>
        <v>0</v>
      </c>
      <c r="AS154" s="19">
        <v>0</v>
      </c>
      <c r="AT154" s="19">
        <v>0</v>
      </c>
      <c r="AU154" s="19">
        <v>0</v>
      </c>
      <c r="AV154" s="19">
        <v>0</v>
      </c>
      <c r="AW154" s="20">
        <v>0</v>
      </c>
      <c r="AX154" s="20">
        <v>0</v>
      </c>
      <c r="AY154" s="20">
        <v>0</v>
      </c>
      <c r="AZ154" s="19">
        <v>0</v>
      </c>
      <c r="BA154" s="19">
        <v>0</v>
      </c>
      <c r="BB154" s="19">
        <v>0</v>
      </c>
      <c r="BC154" s="19">
        <v>0</v>
      </c>
      <c r="BD154" s="19">
        <v>0</v>
      </c>
      <c r="BE154" s="21">
        <v>0</v>
      </c>
      <c r="BF154" s="21">
        <v>0</v>
      </c>
      <c r="BG154" s="19">
        <v>0</v>
      </c>
      <c r="BH154" s="19">
        <v>0</v>
      </c>
      <c r="BI154" s="22">
        <f t="shared" si="19"/>
        <v>0</v>
      </c>
      <c r="BJ154" s="22">
        <f t="shared" si="20"/>
        <v>12</v>
      </c>
      <c r="BK154" s="22">
        <f t="shared" si="21"/>
        <v>21</v>
      </c>
      <c r="BL154" s="22">
        <f t="shared" si="28"/>
        <v>9</v>
      </c>
      <c r="BM154" s="22">
        <f t="shared" si="23"/>
        <v>12</v>
      </c>
      <c r="BN154" s="23">
        <f t="shared" si="29"/>
        <v>1</v>
      </c>
      <c r="BO154" s="23">
        <f t="shared" si="29"/>
        <v>0</v>
      </c>
      <c r="BP154" s="7">
        <f>VLOOKUP(A154,[1]Sheet15!B:E,4,0)</f>
        <v>6</v>
      </c>
      <c r="BQ154" s="7">
        <f>VLOOKUP(A154,[1]Sheet15!B:E,3,0)</f>
        <v>0</v>
      </c>
    </row>
    <row r="155" spans="1:69" ht="22.5" customHeight="1" x14ac:dyDescent="0.25">
      <c r="A155" s="15" t="s">
        <v>420</v>
      </c>
      <c r="B155" s="15" t="str">
        <f>VLOOKUP(A155,'[1]Master clients'!F151:W3698,17,0)</f>
        <v>May</v>
      </c>
      <c r="C155" s="15" t="str">
        <f>VLOOKUP(A155,'[1]Master clients'!F151:P3698,11,0)</f>
        <v>MRK</v>
      </c>
      <c r="D155" s="15" t="str">
        <f>VLOOKUP(A155,'[1]Master clients'!F:M,8,0)</f>
        <v>Group (Mills)</v>
      </c>
      <c r="E155" s="16" t="s">
        <v>421</v>
      </c>
      <c r="F155" s="16" t="s">
        <v>422</v>
      </c>
      <c r="G155" s="17">
        <v>13</v>
      </c>
      <c r="H155" s="17">
        <v>0</v>
      </c>
      <c r="I155" s="18">
        <v>4</v>
      </c>
      <c r="J155" s="18">
        <v>0</v>
      </c>
      <c r="K155" s="17">
        <v>0</v>
      </c>
      <c r="L155" s="17">
        <v>2</v>
      </c>
      <c r="M155" s="17">
        <v>0</v>
      </c>
      <c r="N155" s="17">
        <v>2</v>
      </c>
      <c r="O155" s="19">
        <v>0</v>
      </c>
      <c r="P155" s="19">
        <v>0</v>
      </c>
      <c r="Q155" s="19">
        <v>9</v>
      </c>
      <c r="R155" s="19">
        <v>0</v>
      </c>
      <c r="S155" s="19">
        <v>0</v>
      </c>
      <c r="T155" s="19">
        <v>0</v>
      </c>
      <c r="U155" s="19">
        <v>0</v>
      </c>
      <c r="V155" s="19">
        <v>0</v>
      </c>
      <c r="W155" s="20">
        <v>0</v>
      </c>
      <c r="X155" s="20">
        <v>0</v>
      </c>
      <c r="Y155" s="19">
        <v>18</v>
      </c>
      <c r="Z155" s="19">
        <v>0</v>
      </c>
      <c r="AA155" s="19">
        <v>0</v>
      </c>
      <c r="AB155" s="19">
        <v>4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>
        <v>0</v>
      </c>
      <c r="AI155" s="20">
        <v>0</v>
      </c>
      <c r="AJ155" s="20">
        <v>0</v>
      </c>
      <c r="AK155" s="19">
        <v>0</v>
      </c>
      <c r="AL155" s="20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>
        <v>0</v>
      </c>
      <c r="AS155" s="19">
        <v>0</v>
      </c>
      <c r="AT155" s="19">
        <v>0</v>
      </c>
      <c r="AU155" s="19">
        <v>0</v>
      </c>
      <c r="AV155" s="19">
        <v>0</v>
      </c>
      <c r="AW155" s="20">
        <v>0</v>
      </c>
      <c r="AX155" s="20">
        <v>0</v>
      </c>
      <c r="AY155" s="20">
        <v>0</v>
      </c>
      <c r="AZ155" s="19">
        <v>0</v>
      </c>
      <c r="BA155" s="19">
        <v>0</v>
      </c>
      <c r="BB155" s="19">
        <v>0</v>
      </c>
      <c r="BC155" s="19">
        <v>0</v>
      </c>
      <c r="BD155" s="19">
        <v>0</v>
      </c>
      <c r="BE155" s="21">
        <v>0</v>
      </c>
      <c r="BF155" s="21">
        <v>0</v>
      </c>
      <c r="BG155" s="19">
        <v>0</v>
      </c>
      <c r="BH155" s="19">
        <v>0</v>
      </c>
      <c r="BI155" s="22">
        <f t="shared" si="19"/>
        <v>24</v>
      </c>
      <c r="BJ155" s="22">
        <f t="shared" si="20"/>
        <v>11</v>
      </c>
      <c r="BK155" s="22">
        <f t="shared" si="21"/>
        <v>39</v>
      </c>
      <c r="BL155" s="22">
        <f t="shared" si="28"/>
        <v>28</v>
      </c>
      <c r="BM155" s="22">
        <f t="shared" si="23"/>
        <v>11</v>
      </c>
      <c r="BN155" s="23">
        <f t="shared" si="29"/>
        <v>0.14285714285714285</v>
      </c>
      <c r="BO155" s="23">
        <f t="shared" si="29"/>
        <v>0</v>
      </c>
      <c r="BP155" s="7">
        <f>VLOOKUP(A155,[1]Sheet15!B:E,4,0)</f>
        <v>8</v>
      </c>
      <c r="BQ155" s="7">
        <f>VLOOKUP(A155,[1]Sheet15!B:E,3,0)</f>
        <v>0</v>
      </c>
    </row>
    <row r="156" spans="1:69" ht="22.5" customHeight="1" x14ac:dyDescent="0.25">
      <c r="A156" s="15" t="s">
        <v>423</v>
      </c>
      <c r="B156" s="15" t="str">
        <f>VLOOKUP(A156,'[1]Master clients'!F152:W3699,17,0)</f>
        <v>May</v>
      </c>
      <c r="C156" s="15" t="str">
        <f>VLOOKUP(A156,'[1]Master clients'!F152:P3699,11,0)</f>
        <v>MRK</v>
      </c>
      <c r="D156" s="15" t="str">
        <f>VLOOKUP(A156,'[1]Master clients'!F:M,8,0)</f>
        <v>End User</v>
      </c>
      <c r="E156" s="16" t="s">
        <v>424</v>
      </c>
      <c r="F156" s="16" t="s">
        <v>425</v>
      </c>
      <c r="G156" s="17">
        <v>13</v>
      </c>
      <c r="H156" s="17">
        <v>0</v>
      </c>
      <c r="I156" s="18">
        <v>20</v>
      </c>
      <c r="J156" s="18">
        <v>0</v>
      </c>
      <c r="K156" s="17">
        <v>0</v>
      </c>
      <c r="L156" s="17">
        <v>0</v>
      </c>
      <c r="M156" s="17">
        <v>0</v>
      </c>
      <c r="N156" s="17">
        <v>0</v>
      </c>
      <c r="O156" s="19">
        <v>0</v>
      </c>
      <c r="P156" s="19">
        <v>1</v>
      </c>
      <c r="Q156" s="19">
        <v>11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20">
        <v>0</v>
      </c>
      <c r="X156" s="20">
        <v>0</v>
      </c>
      <c r="Y156" s="19">
        <v>0</v>
      </c>
      <c r="Z156" s="19">
        <v>0</v>
      </c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>
        <v>0</v>
      </c>
      <c r="AI156" s="20">
        <v>0</v>
      </c>
      <c r="AJ156" s="20">
        <v>0</v>
      </c>
      <c r="AK156" s="19">
        <v>0</v>
      </c>
      <c r="AL156" s="20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>
        <v>0</v>
      </c>
      <c r="AS156" s="19">
        <v>0</v>
      </c>
      <c r="AT156" s="19">
        <v>0</v>
      </c>
      <c r="AU156" s="19">
        <v>0</v>
      </c>
      <c r="AV156" s="19">
        <v>0</v>
      </c>
      <c r="AW156" s="20">
        <v>0</v>
      </c>
      <c r="AX156" s="20">
        <v>0</v>
      </c>
      <c r="AY156" s="20">
        <v>0</v>
      </c>
      <c r="AZ156" s="19">
        <v>0</v>
      </c>
      <c r="BA156" s="19">
        <v>0</v>
      </c>
      <c r="BB156" s="19">
        <v>0</v>
      </c>
      <c r="BC156" s="19">
        <v>0</v>
      </c>
      <c r="BD156" s="19">
        <v>0</v>
      </c>
      <c r="BE156" s="21">
        <v>0</v>
      </c>
      <c r="BF156" s="21">
        <v>0</v>
      </c>
      <c r="BG156" s="19">
        <v>0</v>
      </c>
      <c r="BH156" s="19">
        <v>0</v>
      </c>
      <c r="BI156" s="22">
        <f t="shared" si="19"/>
        <v>1</v>
      </c>
      <c r="BJ156" s="22">
        <f t="shared" si="20"/>
        <v>11</v>
      </c>
      <c r="BK156" s="22">
        <f t="shared" si="21"/>
        <v>32</v>
      </c>
      <c r="BL156" s="22">
        <f t="shared" si="28"/>
        <v>21</v>
      </c>
      <c r="BM156" s="22">
        <f t="shared" si="23"/>
        <v>11</v>
      </c>
      <c r="BN156" s="23">
        <f t="shared" si="29"/>
        <v>0.95238095238095233</v>
      </c>
      <c r="BO156" s="23">
        <f t="shared" si="29"/>
        <v>0</v>
      </c>
      <c r="BP156" s="7">
        <f>VLOOKUP(A156,[1]Sheet15!B:E,4,0)</f>
        <v>6</v>
      </c>
      <c r="BQ156" s="7">
        <f>VLOOKUP(A156,[1]Sheet15!B:E,3,0)</f>
        <v>0</v>
      </c>
    </row>
    <row r="157" spans="1:69" ht="22.5" customHeight="1" x14ac:dyDescent="0.25">
      <c r="A157" s="15" t="s">
        <v>426</v>
      </c>
      <c r="B157" s="15">
        <f>VLOOKUP(A157,'[1]Master clients'!F153:W3700,17,0)</f>
        <v>0</v>
      </c>
      <c r="C157" s="15" t="str">
        <f>VLOOKUP(A157,'[1]Master clients'!F153:P3700,11,0)</f>
        <v>AV</v>
      </c>
      <c r="D157" s="15" t="str">
        <f>VLOOKUP(A157,'[1]Master clients'!F:M,8,0)</f>
        <v>End User</v>
      </c>
      <c r="E157" s="16" t="s">
        <v>427</v>
      </c>
      <c r="F157" s="16" t="s">
        <v>428</v>
      </c>
      <c r="G157" s="17">
        <v>47</v>
      </c>
      <c r="H157" s="17">
        <v>0</v>
      </c>
      <c r="I157" s="18">
        <v>39</v>
      </c>
      <c r="J157" s="18">
        <v>0</v>
      </c>
      <c r="K157" s="17">
        <v>0</v>
      </c>
      <c r="L157" s="17">
        <v>0</v>
      </c>
      <c r="M157" s="17">
        <v>0</v>
      </c>
      <c r="N157" s="17">
        <v>0</v>
      </c>
      <c r="O157" s="19">
        <v>0</v>
      </c>
      <c r="P157" s="19">
        <v>1</v>
      </c>
      <c r="Q157" s="19">
        <v>10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20">
        <v>0</v>
      </c>
      <c r="X157" s="20">
        <v>0</v>
      </c>
      <c r="Y157" s="19">
        <v>0</v>
      </c>
      <c r="Z157" s="19">
        <v>0</v>
      </c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>
        <v>0</v>
      </c>
      <c r="AI157" s="20">
        <v>0</v>
      </c>
      <c r="AJ157" s="20">
        <v>0</v>
      </c>
      <c r="AK157" s="19">
        <v>0</v>
      </c>
      <c r="AL157" s="20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>
        <v>0</v>
      </c>
      <c r="AS157" s="19">
        <v>0</v>
      </c>
      <c r="AT157" s="19">
        <v>0</v>
      </c>
      <c r="AU157" s="19">
        <v>0</v>
      </c>
      <c r="AV157" s="19">
        <v>0</v>
      </c>
      <c r="AW157" s="20">
        <v>0</v>
      </c>
      <c r="AX157" s="20">
        <v>0</v>
      </c>
      <c r="AY157" s="20">
        <v>0</v>
      </c>
      <c r="AZ157" s="19">
        <v>0</v>
      </c>
      <c r="BA157" s="19">
        <v>0</v>
      </c>
      <c r="BB157" s="19">
        <v>0</v>
      </c>
      <c r="BC157" s="19">
        <v>0</v>
      </c>
      <c r="BD157" s="19">
        <v>0</v>
      </c>
      <c r="BE157" s="21">
        <v>0</v>
      </c>
      <c r="BF157" s="21">
        <v>0</v>
      </c>
      <c r="BG157" s="19">
        <v>0</v>
      </c>
      <c r="BH157" s="19">
        <v>0</v>
      </c>
      <c r="BI157" s="22">
        <f t="shared" si="19"/>
        <v>1</v>
      </c>
      <c r="BJ157" s="22">
        <f t="shared" si="20"/>
        <v>10</v>
      </c>
      <c r="BK157" s="22">
        <f t="shared" si="21"/>
        <v>50</v>
      </c>
      <c r="BL157" s="22">
        <f t="shared" si="28"/>
        <v>40</v>
      </c>
      <c r="BM157" s="22">
        <f t="shared" si="23"/>
        <v>10</v>
      </c>
      <c r="BN157" s="23">
        <f t="shared" si="29"/>
        <v>0.97499999999999998</v>
      </c>
      <c r="BO157" s="23">
        <f t="shared" si="29"/>
        <v>0</v>
      </c>
      <c r="BP157" s="7">
        <f>VLOOKUP(A157,[1]Sheet15!B:E,4,0)</f>
        <v>7</v>
      </c>
      <c r="BQ157" s="7">
        <f>VLOOKUP(A157,[1]Sheet15!B:E,3,0)</f>
        <v>0</v>
      </c>
    </row>
    <row r="158" spans="1:69" ht="22.5" customHeight="1" x14ac:dyDescent="0.25">
      <c r="A158" s="15" t="s">
        <v>429</v>
      </c>
      <c r="B158" s="15">
        <f>VLOOKUP(A158,'[1]Master clients'!F154:W3701,17,0)</f>
        <v>0</v>
      </c>
      <c r="C158" s="15" t="str">
        <f>VLOOKUP(A158,'[1]Master clients'!F154:P3701,11,0)</f>
        <v>AV</v>
      </c>
      <c r="D158" s="15" t="str">
        <f>VLOOKUP(A158,'[1]Master clients'!F:M,8,0)</f>
        <v>End User</v>
      </c>
      <c r="E158" s="16" t="s">
        <v>430</v>
      </c>
      <c r="F158" s="16" t="s">
        <v>431</v>
      </c>
      <c r="G158" s="17">
        <v>7</v>
      </c>
      <c r="H158" s="17">
        <v>0</v>
      </c>
      <c r="I158" s="18">
        <v>7</v>
      </c>
      <c r="J158" s="18">
        <v>0</v>
      </c>
      <c r="K158" s="17">
        <v>0</v>
      </c>
      <c r="L158" s="17">
        <v>0</v>
      </c>
      <c r="M158" s="17">
        <v>0</v>
      </c>
      <c r="N158" s="17">
        <v>2</v>
      </c>
      <c r="O158" s="19">
        <v>0</v>
      </c>
      <c r="P158" s="19">
        <v>0</v>
      </c>
      <c r="Q158" s="19">
        <v>8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20">
        <v>0</v>
      </c>
      <c r="X158" s="20">
        <v>0</v>
      </c>
      <c r="Y158" s="19">
        <v>0</v>
      </c>
      <c r="Z158" s="19">
        <v>0</v>
      </c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>
        <v>7</v>
      </c>
      <c r="AI158" s="20">
        <v>0</v>
      </c>
      <c r="AJ158" s="20">
        <v>0</v>
      </c>
      <c r="AK158" s="19">
        <v>0</v>
      </c>
      <c r="AL158" s="20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>
        <v>0</v>
      </c>
      <c r="AS158" s="19">
        <v>0</v>
      </c>
      <c r="AT158" s="19">
        <v>0</v>
      </c>
      <c r="AU158" s="19">
        <v>0</v>
      </c>
      <c r="AV158" s="19">
        <v>0</v>
      </c>
      <c r="AW158" s="20">
        <v>0</v>
      </c>
      <c r="AX158" s="20">
        <v>0</v>
      </c>
      <c r="AY158" s="20">
        <v>0</v>
      </c>
      <c r="AZ158" s="19">
        <v>0</v>
      </c>
      <c r="BA158" s="19">
        <v>0</v>
      </c>
      <c r="BB158" s="19">
        <v>0</v>
      </c>
      <c r="BC158" s="19">
        <v>0</v>
      </c>
      <c r="BD158" s="19">
        <v>0</v>
      </c>
      <c r="BE158" s="21">
        <v>0</v>
      </c>
      <c r="BF158" s="21">
        <v>0</v>
      </c>
      <c r="BG158" s="19">
        <v>0</v>
      </c>
      <c r="BH158" s="19">
        <v>0</v>
      </c>
      <c r="BI158" s="22">
        <f t="shared" si="19"/>
        <v>7</v>
      </c>
      <c r="BJ158" s="22">
        <f t="shared" si="20"/>
        <v>10</v>
      </c>
      <c r="BK158" s="22">
        <f t="shared" si="21"/>
        <v>24</v>
      </c>
      <c r="BL158" s="22">
        <f t="shared" si="28"/>
        <v>14</v>
      </c>
      <c r="BM158" s="22">
        <f t="shared" si="23"/>
        <v>10</v>
      </c>
      <c r="BN158" s="23">
        <f t="shared" si="29"/>
        <v>0.5</v>
      </c>
      <c r="BO158" s="23">
        <f t="shared" si="29"/>
        <v>0</v>
      </c>
      <c r="BP158" s="7" t="e">
        <f>VLOOKUP(A158,[1]Sheet15!B:E,4,0)</f>
        <v>#N/A</v>
      </c>
      <c r="BQ158" s="7" t="e">
        <f>VLOOKUP(A158,[1]Sheet15!B:E,3,0)</f>
        <v>#N/A</v>
      </c>
    </row>
    <row r="159" spans="1:69" ht="22.5" customHeight="1" x14ac:dyDescent="0.25">
      <c r="A159" s="15" t="s">
        <v>432</v>
      </c>
      <c r="B159" s="15">
        <f>VLOOKUP(A159,'[1]Master clients'!F155:W3702,17,0)</f>
        <v>0</v>
      </c>
      <c r="C159" s="15" t="str">
        <f>VLOOKUP(A159,'[1]Master clients'!F155:P3702,11,0)</f>
        <v>MRK</v>
      </c>
      <c r="D159" s="15" t="str">
        <f>VLOOKUP(A159,'[1]Master clients'!F:M,8,0)</f>
        <v>End User</v>
      </c>
      <c r="E159" s="16" t="s">
        <v>433</v>
      </c>
      <c r="F159" s="16" t="s">
        <v>434</v>
      </c>
      <c r="G159" s="17">
        <v>20</v>
      </c>
      <c r="H159" s="17">
        <v>0</v>
      </c>
      <c r="I159" s="18">
        <v>12</v>
      </c>
      <c r="J159" s="18">
        <v>0</v>
      </c>
      <c r="K159" s="17">
        <v>0</v>
      </c>
      <c r="L159" s="17">
        <v>0</v>
      </c>
      <c r="M159" s="17">
        <v>0</v>
      </c>
      <c r="N159" s="17">
        <v>0</v>
      </c>
      <c r="O159" s="19">
        <v>0</v>
      </c>
      <c r="P159" s="19">
        <v>6</v>
      </c>
      <c r="Q159" s="19">
        <v>4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20">
        <v>0</v>
      </c>
      <c r="X159" s="20">
        <v>0</v>
      </c>
      <c r="Y159" s="19">
        <v>0</v>
      </c>
      <c r="Z159" s="19">
        <v>0</v>
      </c>
      <c r="AA159" s="19">
        <v>3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>
        <v>0</v>
      </c>
      <c r="AI159" s="20">
        <v>0</v>
      </c>
      <c r="AJ159" s="20">
        <v>0</v>
      </c>
      <c r="AK159" s="19">
        <v>0</v>
      </c>
      <c r="AL159" s="20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>
        <v>0</v>
      </c>
      <c r="AS159" s="19">
        <v>0</v>
      </c>
      <c r="AT159" s="19">
        <v>0</v>
      </c>
      <c r="AU159" s="19">
        <v>0</v>
      </c>
      <c r="AV159" s="19">
        <v>0</v>
      </c>
      <c r="AW159" s="20">
        <v>0</v>
      </c>
      <c r="AX159" s="20">
        <v>0</v>
      </c>
      <c r="AY159" s="20">
        <v>0</v>
      </c>
      <c r="AZ159" s="19">
        <v>0</v>
      </c>
      <c r="BA159" s="19">
        <v>0</v>
      </c>
      <c r="BB159" s="19">
        <v>0</v>
      </c>
      <c r="BC159" s="19">
        <v>0</v>
      </c>
      <c r="BD159" s="19">
        <v>0</v>
      </c>
      <c r="BE159" s="21">
        <v>0</v>
      </c>
      <c r="BF159" s="21">
        <v>0</v>
      </c>
      <c r="BG159" s="19">
        <v>0</v>
      </c>
      <c r="BH159" s="19">
        <v>0</v>
      </c>
      <c r="BI159" s="22">
        <f t="shared" si="19"/>
        <v>6</v>
      </c>
      <c r="BJ159" s="22">
        <f t="shared" si="20"/>
        <v>7</v>
      </c>
      <c r="BK159" s="22">
        <f t="shared" si="21"/>
        <v>25</v>
      </c>
      <c r="BL159" s="22">
        <f t="shared" si="28"/>
        <v>18</v>
      </c>
      <c r="BM159" s="22">
        <f t="shared" si="23"/>
        <v>7</v>
      </c>
      <c r="BN159" s="23">
        <f t="shared" si="29"/>
        <v>0.66666666666666663</v>
      </c>
      <c r="BO159" s="23">
        <f t="shared" si="29"/>
        <v>0</v>
      </c>
      <c r="BP159" s="7" t="e">
        <f>VLOOKUP(A159,[1]Sheet15!B:E,4,0)</f>
        <v>#N/A</v>
      </c>
      <c r="BQ159" s="7" t="e">
        <f>VLOOKUP(A159,[1]Sheet15!B:E,3,0)</f>
        <v>#N/A</v>
      </c>
    </row>
    <row r="160" spans="1:69" ht="22.5" customHeight="1" x14ac:dyDescent="0.25">
      <c r="A160" s="15" t="s">
        <v>435</v>
      </c>
      <c r="B160" s="15">
        <f>VLOOKUP(A160,'[1]Master clients'!F156:W3703,17,0)</f>
        <v>0</v>
      </c>
      <c r="C160" s="15" t="str">
        <f>VLOOKUP(A160,'[1]Master clients'!F156:P3703,11,0)</f>
        <v>MRK</v>
      </c>
      <c r="D160" s="15" t="str">
        <f>VLOOKUP(A160,'[1]Master clients'!F:M,8,0)</f>
        <v>End User</v>
      </c>
      <c r="E160" s="16" t="s">
        <v>436</v>
      </c>
      <c r="F160" s="16" t="s">
        <v>437</v>
      </c>
      <c r="G160" s="17">
        <v>16</v>
      </c>
      <c r="H160" s="17">
        <v>13</v>
      </c>
      <c r="I160" s="18">
        <v>14</v>
      </c>
      <c r="J160" s="18">
        <v>10</v>
      </c>
      <c r="K160" s="17">
        <v>0</v>
      </c>
      <c r="L160" s="17">
        <v>0</v>
      </c>
      <c r="M160" s="17">
        <v>0</v>
      </c>
      <c r="N160" s="17">
        <v>0</v>
      </c>
      <c r="O160" s="19">
        <v>0</v>
      </c>
      <c r="P160" s="19">
        <v>0</v>
      </c>
      <c r="Q160" s="19">
        <v>3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20">
        <v>0</v>
      </c>
      <c r="X160" s="20">
        <v>0</v>
      </c>
      <c r="Y160" s="19">
        <v>0</v>
      </c>
      <c r="Z160" s="19">
        <v>0</v>
      </c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>
        <v>0</v>
      </c>
      <c r="AI160" s="20">
        <v>0</v>
      </c>
      <c r="AJ160" s="20">
        <v>0</v>
      </c>
      <c r="AK160" s="19">
        <v>0</v>
      </c>
      <c r="AL160" s="20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>
        <v>0</v>
      </c>
      <c r="AS160" s="19">
        <v>0</v>
      </c>
      <c r="AT160" s="19">
        <v>0</v>
      </c>
      <c r="AU160" s="19">
        <v>0</v>
      </c>
      <c r="AV160" s="19">
        <v>0</v>
      </c>
      <c r="AW160" s="20">
        <v>0</v>
      </c>
      <c r="AX160" s="20">
        <v>0</v>
      </c>
      <c r="AY160" s="20">
        <v>0</v>
      </c>
      <c r="AZ160" s="19">
        <v>0</v>
      </c>
      <c r="BA160" s="19">
        <v>0</v>
      </c>
      <c r="BB160" s="19">
        <v>0</v>
      </c>
      <c r="BC160" s="19">
        <v>0</v>
      </c>
      <c r="BD160" s="19">
        <v>0</v>
      </c>
      <c r="BE160" s="21">
        <v>0</v>
      </c>
      <c r="BF160" s="21">
        <v>0</v>
      </c>
      <c r="BG160" s="19">
        <v>0</v>
      </c>
      <c r="BH160" s="19">
        <v>0</v>
      </c>
      <c r="BI160" s="22">
        <f t="shared" si="19"/>
        <v>0</v>
      </c>
      <c r="BJ160" s="22">
        <f t="shared" si="20"/>
        <v>3</v>
      </c>
      <c r="BK160" s="22">
        <f t="shared" si="21"/>
        <v>27</v>
      </c>
      <c r="BL160" s="22">
        <f t="shared" si="28"/>
        <v>14</v>
      </c>
      <c r="BM160" s="22">
        <f t="shared" si="23"/>
        <v>13</v>
      </c>
      <c r="BN160" s="23">
        <f t="shared" si="29"/>
        <v>1</v>
      </c>
      <c r="BO160" s="23">
        <f t="shared" si="29"/>
        <v>0.76923076923076927</v>
      </c>
      <c r="BP160" s="7" t="e">
        <f>VLOOKUP(A160,[1]Sheet15!B:E,4,0)</f>
        <v>#N/A</v>
      </c>
      <c r="BQ160" s="7" t="e">
        <f>VLOOKUP(A160,[1]Sheet15!B:E,3,0)</f>
        <v>#N/A</v>
      </c>
    </row>
    <row r="161" spans="1:69" ht="22.5" customHeight="1" x14ac:dyDescent="0.25">
      <c r="A161" s="15" t="s">
        <v>438</v>
      </c>
      <c r="B161" s="15">
        <f>VLOOKUP(A161,'[1]Master clients'!F157:W3704,17,0)</f>
        <v>0</v>
      </c>
      <c r="C161" s="15" t="str">
        <f>VLOOKUP(A161,'[1]Master clients'!F157:P3704,11,0)</f>
        <v>AV</v>
      </c>
      <c r="D161" s="15" t="str">
        <f>VLOOKUP(A161,'[1]Master clients'!F:M,8,0)</f>
        <v>End User</v>
      </c>
      <c r="E161" s="16" t="s">
        <v>439</v>
      </c>
      <c r="F161" s="16" t="s">
        <v>374</v>
      </c>
      <c r="G161" s="17">
        <v>0</v>
      </c>
      <c r="H161" s="17">
        <v>0</v>
      </c>
      <c r="I161" s="18">
        <v>6</v>
      </c>
      <c r="J161" s="18">
        <v>0</v>
      </c>
      <c r="K161" s="17">
        <v>0</v>
      </c>
      <c r="L161" s="17">
        <v>0</v>
      </c>
      <c r="M161" s="17">
        <v>0</v>
      </c>
      <c r="N161" s="17">
        <v>0</v>
      </c>
      <c r="O161" s="19">
        <v>0</v>
      </c>
      <c r="P161" s="19">
        <v>0</v>
      </c>
      <c r="Q161" s="19">
        <v>2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20">
        <v>0</v>
      </c>
      <c r="X161" s="20">
        <v>0</v>
      </c>
      <c r="Y161" s="19">
        <v>0</v>
      </c>
      <c r="Z161" s="19">
        <v>0</v>
      </c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>
        <v>0</v>
      </c>
      <c r="AI161" s="20">
        <v>0</v>
      </c>
      <c r="AJ161" s="20">
        <v>0</v>
      </c>
      <c r="AK161" s="19">
        <v>0</v>
      </c>
      <c r="AL161" s="20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>
        <v>0</v>
      </c>
      <c r="AS161" s="19">
        <v>0</v>
      </c>
      <c r="AT161" s="19">
        <v>0</v>
      </c>
      <c r="AU161" s="19">
        <v>0</v>
      </c>
      <c r="AV161" s="19">
        <v>0</v>
      </c>
      <c r="AW161" s="20">
        <v>0</v>
      </c>
      <c r="AX161" s="20">
        <v>0</v>
      </c>
      <c r="AY161" s="20">
        <v>0</v>
      </c>
      <c r="AZ161" s="19">
        <v>0</v>
      </c>
      <c r="BA161" s="19">
        <v>0</v>
      </c>
      <c r="BB161" s="19">
        <v>0</v>
      </c>
      <c r="BC161" s="19">
        <v>0</v>
      </c>
      <c r="BD161" s="19">
        <v>0</v>
      </c>
      <c r="BE161" s="21">
        <v>0</v>
      </c>
      <c r="BF161" s="21">
        <v>0</v>
      </c>
      <c r="BG161" s="19">
        <v>0</v>
      </c>
      <c r="BH161" s="19">
        <v>0</v>
      </c>
      <c r="BI161" s="22">
        <f t="shared" si="19"/>
        <v>0</v>
      </c>
      <c r="BJ161" s="22">
        <f t="shared" si="20"/>
        <v>2</v>
      </c>
      <c r="BK161" s="22">
        <f t="shared" si="21"/>
        <v>8</v>
      </c>
      <c r="BL161" s="22">
        <f t="shared" si="28"/>
        <v>6</v>
      </c>
      <c r="BM161" s="22">
        <f t="shared" si="23"/>
        <v>2</v>
      </c>
      <c r="BN161" s="23">
        <f t="shared" si="29"/>
        <v>1</v>
      </c>
      <c r="BO161" s="23">
        <f t="shared" si="29"/>
        <v>0</v>
      </c>
      <c r="BP161" s="7">
        <f>VLOOKUP(A161,[1]Sheet15!B:E,4,0)</f>
        <v>6</v>
      </c>
      <c r="BQ161" s="7">
        <f>VLOOKUP(A161,[1]Sheet15!B:E,3,0)</f>
        <v>0</v>
      </c>
    </row>
    <row r="162" spans="1:69" ht="22.5" customHeight="1" x14ac:dyDescent="0.25">
      <c r="A162" s="15" t="s">
        <v>440</v>
      </c>
      <c r="B162" s="15" t="str">
        <f>VLOOKUP(A162,'[1]Master clients'!F158:W3705,17,0)</f>
        <v>Mar</v>
      </c>
      <c r="C162" s="15" t="str">
        <f>VLOOKUP(A162,'[1]Master clients'!F158:P3705,11,0)</f>
        <v>AV</v>
      </c>
      <c r="D162" s="15" t="str">
        <f>VLOOKUP(A162,'[1]Master clients'!F:M,8,0)</f>
        <v>End User</v>
      </c>
      <c r="E162" s="16" t="s">
        <v>441</v>
      </c>
      <c r="F162" s="16" t="s">
        <v>442</v>
      </c>
      <c r="G162" s="17">
        <v>0</v>
      </c>
      <c r="H162" s="17">
        <v>0</v>
      </c>
      <c r="I162" s="18">
        <v>2</v>
      </c>
      <c r="J162" s="18">
        <v>0</v>
      </c>
      <c r="K162" s="17">
        <v>0</v>
      </c>
      <c r="L162" s="17">
        <v>0</v>
      </c>
      <c r="M162" s="17">
        <v>14</v>
      </c>
      <c r="N162" s="17">
        <v>2</v>
      </c>
      <c r="O162" s="19">
        <v>0</v>
      </c>
      <c r="P162" s="19">
        <v>0</v>
      </c>
      <c r="Q162" s="19">
        <v>8</v>
      </c>
      <c r="R162" s="19">
        <v>0</v>
      </c>
      <c r="S162" s="19">
        <v>0</v>
      </c>
      <c r="T162" s="19">
        <v>2</v>
      </c>
      <c r="U162" s="19">
        <v>0</v>
      </c>
      <c r="V162" s="19">
        <v>0</v>
      </c>
      <c r="W162" s="20">
        <v>0</v>
      </c>
      <c r="X162" s="20">
        <v>0</v>
      </c>
      <c r="Y162" s="19">
        <v>0</v>
      </c>
      <c r="Z162" s="19">
        <v>0</v>
      </c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>
        <v>0</v>
      </c>
      <c r="AI162" s="20">
        <v>0</v>
      </c>
      <c r="AJ162" s="20">
        <v>0</v>
      </c>
      <c r="AK162" s="19">
        <v>0</v>
      </c>
      <c r="AL162" s="20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>
        <v>0</v>
      </c>
      <c r="AS162" s="19">
        <v>0</v>
      </c>
      <c r="AT162" s="19">
        <v>0</v>
      </c>
      <c r="AU162" s="19">
        <v>0</v>
      </c>
      <c r="AV162" s="19">
        <v>0</v>
      </c>
      <c r="AW162" s="20">
        <v>0</v>
      </c>
      <c r="AX162" s="20">
        <v>0</v>
      </c>
      <c r="AY162" s="20">
        <v>0</v>
      </c>
      <c r="AZ162" s="19">
        <v>0</v>
      </c>
      <c r="BA162" s="19">
        <v>3</v>
      </c>
      <c r="BB162" s="19">
        <v>0</v>
      </c>
      <c r="BC162" s="19">
        <v>0</v>
      </c>
      <c r="BD162" s="19">
        <v>0</v>
      </c>
      <c r="BE162" s="21">
        <v>0</v>
      </c>
      <c r="BF162" s="21">
        <v>0</v>
      </c>
      <c r="BG162" s="19">
        <v>0</v>
      </c>
      <c r="BH162" s="19">
        <v>0</v>
      </c>
      <c r="BI162" s="22">
        <f t="shared" si="19"/>
        <v>19</v>
      </c>
      <c r="BJ162" s="22">
        <f t="shared" si="20"/>
        <v>10</v>
      </c>
      <c r="BK162" s="22">
        <f t="shared" si="21"/>
        <v>31</v>
      </c>
      <c r="BL162" s="22">
        <f t="shared" si="28"/>
        <v>21</v>
      </c>
      <c r="BM162" s="22">
        <f t="shared" si="23"/>
        <v>10</v>
      </c>
      <c r="BN162" s="23">
        <f t="shared" si="29"/>
        <v>9.5238095238095233E-2</v>
      </c>
      <c r="BO162" s="23">
        <f t="shared" si="29"/>
        <v>0</v>
      </c>
      <c r="BP162" s="7" t="e">
        <f>VLOOKUP(A162,[1]Sheet15!B:E,4,0)</f>
        <v>#N/A</v>
      </c>
      <c r="BQ162" s="7" t="e">
        <f>VLOOKUP(A162,[1]Sheet15!B:E,3,0)</f>
        <v>#N/A</v>
      </c>
    </row>
    <row r="163" spans="1:69" ht="22.5" customHeight="1" x14ac:dyDescent="0.25">
      <c r="A163" s="15" t="s">
        <v>443</v>
      </c>
      <c r="B163" s="15">
        <f>VLOOKUP(A163,'[1]Master clients'!F159:W3706,17,0)</f>
        <v>0</v>
      </c>
      <c r="C163" s="15" t="str">
        <f>VLOOKUP(A163,'[1]Master clients'!F159:P3706,11,0)</f>
        <v>AV</v>
      </c>
      <c r="D163" s="15" t="str">
        <f>VLOOKUP(A163,'[1]Master clients'!F:M,8,0)</f>
        <v>End User</v>
      </c>
      <c r="E163" s="16" t="s">
        <v>444</v>
      </c>
      <c r="F163" s="16" t="s">
        <v>445</v>
      </c>
      <c r="G163" s="17">
        <v>6</v>
      </c>
      <c r="H163" s="17">
        <v>0</v>
      </c>
      <c r="I163" s="18">
        <v>6</v>
      </c>
      <c r="J163" s="18">
        <v>0</v>
      </c>
      <c r="K163" s="17">
        <v>0</v>
      </c>
      <c r="L163" s="17">
        <v>0</v>
      </c>
      <c r="M163" s="17">
        <v>0</v>
      </c>
      <c r="N163" s="17">
        <v>0</v>
      </c>
      <c r="O163" s="19">
        <v>0</v>
      </c>
      <c r="P163" s="19">
        <v>0</v>
      </c>
      <c r="Q163" s="19">
        <v>2</v>
      </c>
      <c r="R163" s="19">
        <v>0</v>
      </c>
      <c r="S163" s="19">
        <v>0</v>
      </c>
      <c r="T163" s="19">
        <v>0</v>
      </c>
      <c r="U163" s="19">
        <v>0</v>
      </c>
      <c r="V163" s="19">
        <v>0</v>
      </c>
      <c r="W163" s="20">
        <v>0</v>
      </c>
      <c r="X163" s="20">
        <v>0</v>
      </c>
      <c r="Y163" s="19">
        <v>0</v>
      </c>
      <c r="Z163" s="19">
        <v>0</v>
      </c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>
        <v>0</v>
      </c>
      <c r="AI163" s="20">
        <v>0</v>
      </c>
      <c r="AJ163" s="20">
        <v>0</v>
      </c>
      <c r="AK163" s="19">
        <v>0</v>
      </c>
      <c r="AL163" s="20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>
        <v>0</v>
      </c>
      <c r="AS163" s="19">
        <v>0</v>
      </c>
      <c r="AT163" s="19">
        <v>0</v>
      </c>
      <c r="AU163" s="19">
        <v>0</v>
      </c>
      <c r="AV163" s="19">
        <v>0</v>
      </c>
      <c r="AW163" s="20">
        <v>0</v>
      </c>
      <c r="AX163" s="20">
        <v>0</v>
      </c>
      <c r="AY163" s="20">
        <v>0</v>
      </c>
      <c r="AZ163" s="19">
        <v>0</v>
      </c>
      <c r="BA163" s="19">
        <v>0</v>
      </c>
      <c r="BB163" s="19">
        <v>0</v>
      </c>
      <c r="BC163" s="19">
        <v>0</v>
      </c>
      <c r="BD163" s="19">
        <v>0</v>
      </c>
      <c r="BE163" s="21">
        <v>0</v>
      </c>
      <c r="BF163" s="21">
        <v>0</v>
      </c>
      <c r="BG163" s="19">
        <v>0</v>
      </c>
      <c r="BH163" s="19">
        <v>0</v>
      </c>
      <c r="BI163" s="22">
        <f t="shared" si="19"/>
        <v>0</v>
      </c>
      <c r="BJ163" s="22">
        <f t="shared" si="20"/>
        <v>2</v>
      </c>
      <c r="BK163" s="22">
        <f t="shared" si="21"/>
        <v>8</v>
      </c>
      <c r="BL163" s="22">
        <f t="shared" si="28"/>
        <v>6</v>
      </c>
      <c r="BM163" s="22">
        <f t="shared" si="23"/>
        <v>2</v>
      </c>
      <c r="BN163" s="23">
        <f t="shared" si="29"/>
        <v>1</v>
      </c>
      <c r="BO163" s="23">
        <f t="shared" si="29"/>
        <v>0</v>
      </c>
      <c r="BP163" s="7" t="e">
        <f>VLOOKUP(A163,[1]Sheet15!B:E,4,0)</f>
        <v>#N/A</v>
      </c>
      <c r="BQ163" s="7" t="e">
        <f>VLOOKUP(A163,[1]Sheet15!B:E,3,0)</f>
        <v>#N/A</v>
      </c>
    </row>
    <row r="164" spans="1:69" ht="22.5" customHeight="1" x14ac:dyDescent="0.25">
      <c r="A164" s="15" t="s">
        <v>446</v>
      </c>
      <c r="B164" s="15">
        <f>VLOOKUP(A164,'[1]Master clients'!F160:W3707,17,0)</f>
        <v>0</v>
      </c>
      <c r="C164" s="15" t="str">
        <f>VLOOKUP(A164,'[1]Master clients'!F160:P3707,11,0)</f>
        <v>AV</v>
      </c>
      <c r="D164" s="15" t="str">
        <f>VLOOKUP(A164,'[1]Master clients'!F:M,8,0)</f>
        <v>End User</v>
      </c>
      <c r="E164" s="16" t="s">
        <v>447</v>
      </c>
      <c r="F164" s="16" t="s">
        <v>448</v>
      </c>
      <c r="G164" s="17">
        <v>8</v>
      </c>
      <c r="H164" s="17">
        <v>0</v>
      </c>
      <c r="I164" s="18">
        <v>8</v>
      </c>
      <c r="J164" s="18">
        <v>0</v>
      </c>
      <c r="K164" s="17">
        <v>0</v>
      </c>
      <c r="L164" s="17">
        <v>0</v>
      </c>
      <c r="M164" s="17">
        <v>0</v>
      </c>
      <c r="N164" s="17">
        <v>0</v>
      </c>
      <c r="O164" s="19">
        <v>0</v>
      </c>
      <c r="P164" s="19">
        <v>5</v>
      </c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20">
        <v>0</v>
      </c>
      <c r="X164" s="20">
        <v>0</v>
      </c>
      <c r="Y164" s="19">
        <v>0</v>
      </c>
      <c r="Z164" s="19">
        <v>0</v>
      </c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>
        <v>0</v>
      </c>
      <c r="AI164" s="20">
        <v>0</v>
      </c>
      <c r="AJ164" s="20">
        <v>0</v>
      </c>
      <c r="AK164" s="19">
        <v>0</v>
      </c>
      <c r="AL164" s="20">
        <v>0</v>
      </c>
      <c r="AM164" s="19">
        <v>0</v>
      </c>
      <c r="AN164" s="19">
        <v>0</v>
      </c>
      <c r="AO164" s="19">
        <v>1</v>
      </c>
      <c r="AP164" s="19">
        <v>0</v>
      </c>
      <c r="AQ164" s="19">
        <v>4</v>
      </c>
      <c r="AR164" s="19">
        <v>0</v>
      </c>
      <c r="AS164" s="19">
        <v>0</v>
      </c>
      <c r="AT164" s="19">
        <v>0</v>
      </c>
      <c r="AU164" s="19">
        <v>0</v>
      </c>
      <c r="AV164" s="19">
        <v>0</v>
      </c>
      <c r="AW164" s="20">
        <v>0</v>
      </c>
      <c r="AX164" s="20">
        <v>0</v>
      </c>
      <c r="AY164" s="20">
        <v>0</v>
      </c>
      <c r="AZ164" s="19">
        <v>0</v>
      </c>
      <c r="BA164" s="19">
        <v>0</v>
      </c>
      <c r="BB164" s="19">
        <v>0</v>
      </c>
      <c r="BC164" s="19">
        <v>0</v>
      </c>
      <c r="BD164" s="19">
        <v>0</v>
      </c>
      <c r="BE164" s="21">
        <v>0</v>
      </c>
      <c r="BF164" s="21">
        <v>0</v>
      </c>
      <c r="BG164" s="19">
        <v>0</v>
      </c>
      <c r="BH164" s="19">
        <v>0</v>
      </c>
      <c r="BI164" s="22">
        <f t="shared" si="19"/>
        <v>6</v>
      </c>
      <c r="BJ164" s="22">
        <f t="shared" si="20"/>
        <v>4</v>
      </c>
      <c r="BK164" s="22">
        <f t="shared" si="21"/>
        <v>18</v>
      </c>
      <c r="BL164" s="22">
        <f t="shared" si="28"/>
        <v>14</v>
      </c>
      <c r="BM164" s="22">
        <f t="shared" si="23"/>
        <v>4</v>
      </c>
      <c r="BN164" s="23">
        <f t="shared" si="29"/>
        <v>0.5714285714285714</v>
      </c>
      <c r="BO164" s="23">
        <f t="shared" si="29"/>
        <v>0</v>
      </c>
      <c r="BP164" s="7">
        <f>VLOOKUP(A164,[1]Sheet15!B:E,4,0)</f>
        <v>2</v>
      </c>
      <c r="BQ164" s="7">
        <f>VLOOKUP(A164,[1]Sheet15!B:E,3,0)</f>
        <v>0</v>
      </c>
    </row>
    <row r="165" spans="1:69" ht="22.5" customHeight="1" x14ac:dyDescent="0.25">
      <c r="A165" s="15" t="s">
        <v>449</v>
      </c>
      <c r="B165" s="15">
        <f>VLOOKUP(A165,'[1]Master clients'!F161:W3708,17,0)</f>
        <v>0</v>
      </c>
      <c r="C165" s="15" t="str">
        <f>VLOOKUP(A165,'[1]Master clients'!F161:P3708,11,0)</f>
        <v>MRK</v>
      </c>
      <c r="D165" s="15" t="str">
        <f>VLOOKUP(A165,'[1]Master clients'!F:M,8,0)</f>
        <v>End User</v>
      </c>
      <c r="E165" s="16" t="s">
        <v>450</v>
      </c>
      <c r="F165" s="16" t="s">
        <v>451</v>
      </c>
      <c r="G165" s="17">
        <v>11</v>
      </c>
      <c r="H165" s="17">
        <v>0</v>
      </c>
      <c r="I165" s="18">
        <v>3</v>
      </c>
      <c r="J165" s="18">
        <v>0</v>
      </c>
      <c r="K165" s="17">
        <v>0</v>
      </c>
      <c r="L165" s="17">
        <v>0</v>
      </c>
      <c r="M165" s="17">
        <v>1</v>
      </c>
      <c r="N165" s="17">
        <v>0</v>
      </c>
      <c r="O165" s="19">
        <v>0</v>
      </c>
      <c r="P165" s="19">
        <v>0</v>
      </c>
      <c r="Q165" s="19">
        <v>38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20">
        <v>0</v>
      </c>
      <c r="X165" s="20">
        <v>0</v>
      </c>
      <c r="Y165" s="19">
        <v>0</v>
      </c>
      <c r="Z165" s="19">
        <v>0</v>
      </c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>
        <v>0</v>
      </c>
      <c r="AI165" s="20">
        <v>0</v>
      </c>
      <c r="AJ165" s="20">
        <v>0</v>
      </c>
      <c r="AK165" s="19">
        <v>0</v>
      </c>
      <c r="AL165" s="20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>
        <v>0</v>
      </c>
      <c r="AS165" s="19">
        <v>0</v>
      </c>
      <c r="AT165" s="19">
        <v>0</v>
      </c>
      <c r="AU165" s="19">
        <v>0</v>
      </c>
      <c r="AV165" s="19">
        <v>0</v>
      </c>
      <c r="AW165" s="20">
        <v>0</v>
      </c>
      <c r="AX165" s="20">
        <v>0</v>
      </c>
      <c r="AY165" s="20">
        <v>0</v>
      </c>
      <c r="AZ165" s="19">
        <v>0</v>
      </c>
      <c r="BA165" s="19">
        <v>0</v>
      </c>
      <c r="BB165" s="19">
        <v>0</v>
      </c>
      <c r="BC165" s="19">
        <v>0</v>
      </c>
      <c r="BD165" s="19">
        <v>0</v>
      </c>
      <c r="BE165" s="21">
        <v>0</v>
      </c>
      <c r="BF165" s="21">
        <v>0</v>
      </c>
      <c r="BG165" s="19">
        <v>0</v>
      </c>
      <c r="BH165" s="19">
        <v>0</v>
      </c>
      <c r="BI165" s="22">
        <f t="shared" si="19"/>
        <v>1</v>
      </c>
      <c r="BJ165" s="22">
        <f t="shared" si="20"/>
        <v>38</v>
      </c>
      <c r="BK165" s="22">
        <f t="shared" si="21"/>
        <v>42</v>
      </c>
      <c r="BL165" s="22">
        <f t="shared" si="28"/>
        <v>4</v>
      </c>
      <c r="BM165" s="22">
        <f t="shared" si="23"/>
        <v>38</v>
      </c>
      <c r="BN165" s="23">
        <f t="shared" ref="BN165:BO180" si="30">I165/BL165</f>
        <v>0.75</v>
      </c>
      <c r="BO165" s="23">
        <f t="shared" si="30"/>
        <v>0</v>
      </c>
      <c r="BP165" s="7">
        <f>VLOOKUP(A165,[1]Sheet15!B:E,4,0)</f>
        <v>4</v>
      </c>
      <c r="BQ165" s="7">
        <f>VLOOKUP(A165,[1]Sheet15!B:E,3,0)</f>
        <v>0</v>
      </c>
    </row>
    <row r="166" spans="1:69" ht="22.5" customHeight="1" x14ac:dyDescent="0.25">
      <c r="A166" s="15" t="s">
        <v>452</v>
      </c>
      <c r="B166" s="15">
        <f>VLOOKUP(A166,'[1]Master clients'!F162:W3709,17,0)</f>
        <v>0</v>
      </c>
      <c r="C166" s="15" t="str">
        <f>VLOOKUP(A166,'[1]Master clients'!F162:P3709,11,0)</f>
        <v>AV</v>
      </c>
      <c r="D166" s="15" t="str">
        <f>VLOOKUP(A166,'[1]Master clients'!F:M,8,0)</f>
        <v>End User</v>
      </c>
      <c r="E166" s="16" t="s">
        <v>453</v>
      </c>
      <c r="F166" s="16" t="s">
        <v>454</v>
      </c>
      <c r="G166" s="17">
        <v>0</v>
      </c>
      <c r="H166" s="17">
        <v>0</v>
      </c>
      <c r="I166" s="18">
        <v>0</v>
      </c>
      <c r="J166" s="18">
        <v>2</v>
      </c>
      <c r="K166" s="17">
        <v>2</v>
      </c>
      <c r="L166" s="17">
        <v>0</v>
      </c>
      <c r="M166" s="17">
        <v>19</v>
      </c>
      <c r="N166" s="17">
        <v>18</v>
      </c>
      <c r="O166" s="19">
        <v>0</v>
      </c>
      <c r="P166" s="19">
        <v>0</v>
      </c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20">
        <v>0</v>
      </c>
      <c r="X166" s="20">
        <v>0</v>
      </c>
      <c r="Y166" s="19">
        <v>0</v>
      </c>
      <c r="Z166" s="19">
        <v>0</v>
      </c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>
        <v>0</v>
      </c>
      <c r="AI166" s="20">
        <v>0</v>
      </c>
      <c r="AJ166" s="20">
        <v>0</v>
      </c>
      <c r="AK166" s="19">
        <v>0</v>
      </c>
      <c r="AL166" s="20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>
        <v>0</v>
      </c>
      <c r="AS166" s="19">
        <v>0</v>
      </c>
      <c r="AT166" s="19">
        <v>0</v>
      </c>
      <c r="AU166" s="19">
        <v>0</v>
      </c>
      <c r="AV166" s="19">
        <v>0</v>
      </c>
      <c r="AW166" s="20">
        <v>0</v>
      </c>
      <c r="AX166" s="20">
        <v>0</v>
      </c>
      <c r="AY166" s="20">
        <v>0</v>
      </c>
      <c r="AZ166" s="19">
        <v>0</v>
      </c>
      <c r="BA166" s="19">
        <v>0</v>
      </c>
      <c r="BB166" s="19">
        <v>0</v>
      </c>
      <c r="BC166" s="19">
        <v>0</v>
      </c>
      <c r="BD166" s="19">
        <v>0</v>
      </c>
      <c r="BE166" s="21">
        <v>0</v>
      </c>
      <c r="BF166" s="21">
        <v>0</v>
      </c>
      <c r="BG166" s="19">
        <v>0</v>
      </c>
      <c r="BH166" s="19">
        <v>0</v>
      </c>
      <c r="BI166" s="22">
        <f t="shared" si="19"/>
        <v>21</v>
      </c>
      <c r="BJ166" s="22">
        <f t="shared" si="20"/>
        <v>18</v>
      </c>
      <c r="BK166" s="22">
        <f t="shared" si="21"/>
        <v>41</v>
      </c>
      <c r="BL166" s="22">
        <f t="shared" si="28"/>
        <v>21</v>
      </c>
      <c r="BM166" s="22">
        <f t="shared" si="23"/>
        <v>20</v>
      </c>
      <c r="BN166" s="23">
        <f t="shared" si="30"/>
        <v>0</v>
      </c>
      <c r="BO166" s="23">
        <f t="shared" si="30"/>
        <v>0.1</v>
      </c>
      <c r="BP166" s="7" t="e">
        <f>VLOOKUP(A166,[1]Sheet15!B:E,4,0)</f>
        <v>#N/A</v>
      </c>
      <c r="BQ166" s="7" t="e">
        <f>VLOOKUP(A166,[1]Sheet15!B:E,3,0)</f>
        <v>#N/A</v>
      </c>
    </row>
    <row r="167" spans="1:69" ht="22.5" customHeight="1" x14ac:dyDescent="0.25">
      <c r="A167" s="15" t="s">
        <v>455</v>
      </c>
      <c r="B167" s="15">
        <f>VLOOKUP(A167,'[1]Master clients'!F163:W3710,17,0)</f>
        <v>0</v>
      </c>
      <c r="C167" s="15" t="str">
        <f>VLOOKUP(A167,'[1]Master clients'!F163:P3710,11,0)</f>
        <v>AV</v>
      </c>
      <c r="D167" s="15" t="str">
        <f>VLOOKUP(A167,'[1]Master clients'!F:M,8,0)</f>
        <v>End User</v>
      </c>
      <c r="E167" s="24" t="s">
        <v>456</v>
      </c>
      <c r="F167" s="25" t="s">
        <v>457</v>
      </c>
      <c r="G167" s="20">
        <v>24</v>
      </c>
      <c r="H167" s="20">
        <v>0</v>
      </c>
      <c r="I167" s="26">
        <v>33</v>
      </c>
      <c r="J167" s="26">
        <v>0</v>
      </c>
      <c r="K167" s="20">
        <v>2</v>
      </c>
      <c r="L167" s="20">
        <v>0</v>
      </c>
      <c r="M167" s="20">
        <v>0</v>
      </c>
      <c r="N167" s="20">
        <v>0</v>
      </c>
      <c r="O167" s="20">
        <v>0</v>
      </c>
      <c r="P167" s="20">
        <v>0</v>
      </c>
      <c r="Q167" s="20">
        <v>12</v>
      </c>
      <c r="R167" s="20">
        <v>0</v>
      </c>
      <c r="S167" s="20">
        <v>0</v>
      </c>
      <c r="T167" s="20">
        <v>0</v>
      </c>
      <c r="U167" s="20">
        <v>0</v>
      </c>
      <c r="V167" s="20">
        <v>0</v>
      </c>
      <c r="W167" s="20">
        <v>0</v>
      </c>
      <c r="X167" s="20">
        <v>0</v>
      </c>
      <c r="Y167" s="20">
        <v>0</v>
      </c>
      <c r="Z167" s="20">
        <v>0</v>
      </c>
      <c r="AA167" s="20">
        <v>1</v>
      </c>
      <c r="AB167" s="20">
        <v>0</v>
      </c>
      <c r="AC167" s="20">
        <v>0</v>
      </c>
      <c r="AD167" s="20">
        <v>0</v>
      </c>
      <c r="AE167" s="20">
        <v>0</v>
      </c>
      <c r="AF167" s="20">
        <v>0</v>
      </c>
      <c r="AG167" s="20">
        <v>0</v>
      </c>
      <c r="AH167" s="20">
        <v>0</v>
      </c>
      <c r="AI167" s="20">
        <v>0</v>
      </c>
      <c r="AJ167" s="20">
        <v>0</v>
      </c>
      <c r="AK167" s="20">
        <v>0</v>
      </c>
      <c r="AL167" s="20">
        <v>0</v>
      </c>
      <c r="AM167" s="20">
        <v>0</v>
      </c>
      <c r="AN167" s="20">
        <v>0</v>
      </c>
      <c r="AO167" s="20">
        <v>0</v>
      </c>
      <c r="AP167" s="20">
        <v>0</v>
      </c>
      <c r="AQ167" s="20">
        <v>0</v>
      </c>
      <c r="AR167" s="20">
        <v>0</v>
      </c>
      <c r="AS167" s="20">
        <v>0</v>
      </c>
      <c r="AT167" s="20">
        <v>0</v>
      </c>
      <c r="AU167" s="20">
        <v>0</v>
      </c>
      <c r="AV167" s="20">
        <v>0</v>
      </c>
      <c r="AW167" s="20">
        <v>0</v>
      </c>
      <c r="AX167" s="20">
        <v>0</v>
      </c>
      <c r="AY167" s="20">
        <v>0</v>
      </c>
      <c r="AZ167" s="20">
        <v>0</v>
      </c>
      <c r="BA167" s="20">
        <v>0</v>
      </c>
      <c r="BB167" s="27">
        <v>0</v>
      </c>
      <c r="BC167" s="20">
        <v>0</v>
      </c>
      <c r="BD167" s="20">
        <v>0</v>
      </c>
      <c r="BE167" s="21">
        <v>0</v>
      </c>
      <c r="BF167" s="21">
        <v>0</v>
      </c>
      <c r="BG167" s="20">
        <v>0</v>
      </c>
      <c r="BH167" s="20">
        <v>0</v>
      </c>
      <c r="BI167" s="22">
        <f t="shared" si="19"/>
        <v>2</v>
      </c>
      <c r="BJ167" s="22">
        <f t="shared" si="20"/>
        <v>13</v>
      </c>
      <c r="BK167" s="28">
        <f t="shared" si="21"/>
        <v>48</v>
      </c>
      <c r="BL167" s="22">
        <f t="shared" si="28"/>
        <v>35</v>
      </c>
      <c r="BM167" s="22">
        <f t="shared" si="23"/>
        <v>13</v>
      </c>
      <c r="BN167" s="23">
        <f t="shared" si="30"/>
        <v>0.94285714285714284</v>
      </c>
      <c r="BO167" s="23">
        <f t="shared" si="30"/>
        <v>0</v>
      </c>
      <c r="BP167" s="7">
        <f>VLOOKUP(A167,[1]Sheet15!B:E,4,0)</f>
        <v>21</v>
      </c>
      <c r="BQ167" s="7">
        <f>VLOOKUP(A167,[1]Sheet15!B:E,3,0)</f>
        <v>0</v>
      </c>
    </row>
    <row r="168" spans="1:69" ht="22.5" customHeight="1" x14ac:dyDescent="0.25">
      <c r="A168" s="15" t="s">
        <v>458</v>
      </c>
      <c r="B168" s="15" t="str">
        <f>VLOOKUP(A168,'[1]Master clients'!F164:W3711,17,0)</f>
        <v>May</v>
      </c>
      <c r="C168" s="15" t="str">
        <f>VLOOKUP(A168,'[1]Master clients'!F164:P3711,11,0)</f>
        <v>MRK</v>
      </c>
      <c r="D168" s="15" t="str">
        <f>VLOOKUP(A168,'[1]Master clients'!F:M,8,0)</f>
        <v>End User</v>
      </c>
      <c r="E168" s="16" t="s">
        <v>459</v>
      </c>
      <c r="F168" s="16" t="s">
        <v>460</v>
      </c>
      <c r="G168" s="17">
        <v>10</v>
      </c>
      <c r="H168" s="17">
        <v>0</v>
      </c>
      <c r="I168" s="18">
        <v>10</v>
      </c>
      <c r="J168" s="18">
        <v>0</v>
      </c>
      <c r="K168" s="17">
        <v>6</v>
      </c>
      <c r="L168" s="17">
        <v>0</v>
      </c>
      <c r="M168" s="17">
        <v>1</v>
      </c>
      <c r="N168" s="17">
        <v>0</v>
      </c>
      <c r="O168" s="19">
        <v>0</v>
      </c>
      <c r="P168" s="19">
        <v>0</v>
      </c>
      <c r="Q168" s="19">
        <v>4</v>
      </c>
      <c r="R168" s="19">
        <v>1</v>
      </c>
      <c r="S168" s="19">
        <v>0</v>
      </c>
      <c r="T168" s="19">
        <v>0</v>
      </c>
      <c r="U168" s="19">
        <v>0</v>
      </c>
      <c r="V168" s="19">
        <v>0</v>
      </c>
      <c r="W168" s="20">
        <v>0</v>
      </c>
      <c r="X168" s="20">
        <v>0</v>
      </c>
      <c r="Y168" s="19">
        <v>0</v>
      </c>
      <c r="Z168" s="19">
        <v>0</v>
      </c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>
        <v>0</v>
      </c>
      <c r="AI168" s="20">
        <v>0</v>
      </c>
      <c r="AJ168" s="20">
        <v>0</v>
      </c>
      <c r="AK168" s="19">
        <v>0</v>
      </c>
      <c r="AL168" s="20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>
        <v>0</v>
      </c>
      <c r="AS168" s="19">
        <v>0</v>
      </c>
      <c r="AT168" s="19">
        <v>0</v>
      </c>
      <c r="AU168" s="19">
        <v>0</v>
      </c>
      <c r="AV168" s="19">
        <v>0</v>
      </c>
      <c r="AW168" s="20">
        <v>0</v>
      </c>
      <c r="AX168" s="20">
        <v>0</v>
      </c>
      <c r="AY168" s="20">
        <v>0</v>
      </c>
      <c r="AZ168" s="19">
        <v>0</v>
      </c>
      <c r="BA168" s="19">
        <v>0</v>
      </c>
      <c r="BB168" s="19">
        <v>0</v>
      </c>
      <c r="BC168" s="19">
        <v>0</v>
      </c>
      <c r="BD168" s="19">
        <v>0</v>
      </c>
      <c r="BE168" s="21">
        <v>0</v>
      </c>
      <c r="BF168" s="21">
        <v>0</v>
      </c>
      <c r="BG168" s="19">
        <v>0</v>
      </c>
      <c r="BH168" s="19">
        <v>0</v>
      </c>
      <c r="BI168" s="22">
        <f t="shared" si="19"/>
        <v>8</v>
      </c>
      <c r="BJ168" s="22">
        <f t="shared" si="20"/>
        <v>4</v>
      </c>
      <c r="BK168" s="22">
        <f t="shared" si="21"/>
        <v>22</v>
      </c>
      <c r="BL168" s="22">
        <f t="shared" si="28"/>
        <v>18</v>
      </c>
      <c r="BM168" s="22">
        <f t="shared" si="23"/>
        <v>4</v>
      </c>
      <c r="BN168" s="23">
        <f t="shared" si="30"/>
        <v>0.55555555555555558</v>
      </c>
      <c r="BO168" s="23">
        <f t="shared" si="30"/>
        <v>0</v>
      </c>
      <c r="BP168" s="7">
        <f>VLOOKUP(A168,[1]Sheet15!B:E,4,0)</f>
        <v>8</v>
      </c>
      <c r="BQ168" s="7">
        <f>VLOOKUP(A168,[1]Sheet15!B:E,3,0)</f>
        <v>0</v>
      </c>
    </row>
    <row r="169" spans="1:69" ht="22.5" customHeight="1" x14ac:dyDescent="0.25">
      <c r="A169" s="15" t="s">
        <v>461</v>
      </c>
      <c r="B169" s="15">
        <f>VLOOKUP(A169,'[1]Master clients'!F165:W3712,17,0)</f>
        <v>0</v>
      </c>
      <c r="C169" s="15" t="str">
        <f>VLOOKUP(A169,'[1]Master clients'!F165:P3712,11,0)</f>
        <v>AV</v>
      </c>
      <c r="D169" s="15" t="str">
        <f>VLOOKUP(A169,'[1]Master clients'!F:M,8,0)</f>
        <v>Group (Mills)</v>
      </c>
      <c r="E169" s="16" t="s">
        <v>462</v>
      </c>
      <c r="F169" s="16" t="s">
        <v>463</v>
      </c>
      <c r="G169" s="17">
        <v>7</v>
      </c>
      <c r="H169" s="17">
        <v>0</v>
      </c>
      <c r="I169" s="18">
        <v>24</v>
      </c>
      <c r="J169" s="18">
        <v>0</v>
      </c>
      <c r="K169" s="17">
        <v>0</v>
      </c>
      <c r="L169" s="17">
        <v>0</v>
      </c>
      <c r="M169" s="17">
        <v>0</v>
      </c>
      <c r="N169" s="17">
        <v>4</v>
      </c>
      <c r="O169" s="19">
        <v>0</v>
      </c>
      <c r="P169" s="19">
        <v>0</v>
      </c>
      <c r="Q169" s="19">
        <v>26</v>
      </c>
      <c r="R169" s="19">
        <v>0</v>
      </c>
      <c r="S169" s="19">
        <v>0</v>
      </c>
      <c r="T169" s="19">
        <v>0</v>
      </c>
      <c r="U169" s="19">
        <v>0</v>
      </c>
      <c r="V169" s="19">
        <v>0</v>
      </c>
      <c r="W169" s="20">
        <v>0</v>
      </c>
      <c r="X169" s="20">
        <v>0</v>
      </c>
      <c r="Y169" s="19">
        <v>0</v>
      </c>
      <c r="Z169" s="19">
        <v>0</v>
      </c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>
        <v>0</v>
      </c>
      <c r="AI169" s="20">
        <v>0</v>
      </c>
      <c r="AJ169" s="20">
        <v>0</v>
      </c>
      <c r="AK169" s="19">
        <v>0</v>
      </c>
      <c r="AL169" s="20">
        <v>0</v>
      </c>
      <c r="AM169" s="19">
        <v>0</v>
      </c>
      <c r="AN169" s="19">
        <v>0</v>
      </c>
      <c r="AO169" s="19">
        <v>0</v>
      </c>
      <c r="AP169" s="19">
        <v>0</v>
      </c>
      <c r="AQ169" s="19">
        <v>0</v>
      </c>
      <c r="AR169" s="19">
        <v>0</v>
      </c>
      <c r="AS169" s="19">
        <v>0</v>
      </c>
      <c r="AT169" s="19">
        <v>0</v>
      </c>
      <c r="AU169" s="19">
        <v>0</v>
      </c>
      <c r="AV169" s="19">
        <v>0</v>
      </c>
      <c r="AW169" s="20">
        <v>0</v>
      </c>
      <c r="AX169" s="20">
        <v>0</v>
      </c>
      <c r="AY169" s="20">
        <v>0</v>
      </c>
      <c r="AZ169" s="19">
        <v>0</v>
      </c>
      <c r="BA169" s="19">
        <v>0</v>
      </c>
      <c r="BB169" s="19">
        <v>0</v>
      </c>
      <c r="BC169" s="19">
        <v>0</v>
      </c>
      <c r="BD169" s="19">
        <v>0</v>
      </c>
      <c r="BE169" s="21">
        <v>0</v>
      </c>
      <c r="BF169" s="21">
        <v>0</v>
      </c>
      <c r="BG169" s="19">
        <v>0</v>
      </c>
      <c r="BH169" s="19">
        <v>0</v>
      </c>
      <c r="BI169" s="22">
        <f t="shared" si="19"/>
        <v>0</v>
      </c>
      <c r="BJ169" s="22">
        <f t="shared" si="20"/>
        <v>30</v>
      </c>
      <c r="BK169" s="22">
        <f t="shared" si="21"/>
        <v>54</v>
      </c>
      <c r="BL169" s="22">
        <f t="shared" si="28"/>
        <v>24</v>
      </c>
      <c r="BM169" s="22">
        <f t="shared" si="23"/>
        <v>30</v>
      </c>
      <c r="BN169" s="23">
        <f t="shared" si="30"/>
        <v>1</v>
      </c>
      <c r="BO169" s="23">
        <f t="shared" si="30"/>
        <v>0</v>
      </c>
      <c r="BP169" s="7">
        <f>VLOOKUP(A169,[1]Sheet15!B:E,4,0)</f>
        <v>2</v>
      </c>
      <c r="BQ169" s="7">
        <f>VLOOKUP(A169,[1]Sheet15!B:E,3,0)</f>
        <v>0</v>
      </c>
    </row>
    <row r="170" spans="1:69" ht="22.5" customHeight="1" x14ac:dyDescent="0.25">
      <c r="A170" s="15" t="s">
        <v>464</v>
      </c>
      <c r="B170" s="15" t="e">
        <f>VLOOKUP(A170,'[1]Master clients'!F166:W3713,17,0)</f>
        <v>#N/A</v>
      </c>
      <c r="C170" s="15" t="e">
        <f>VLOOKUP(A170,'[1]Master clients'!F166:P3713,11,0)</f>
        <v>#N/A</v>
      </c>
      <c r="D170" s="15" t="str">
        <f>VLOOKUP(A170,'[1]Master clients'!F:M,8,0)</f>
        <v>End User</v>
      </c>
      <c r="E170" s="16" t="s">
        <v>465</v>
      </c>
      <c r="F170" s="16" t="s">
        <v>466</v>
      </c>
      <c r="G170" s="17"/>
      <c r="H170" s="17"/>
      <c r="I170" s="18">
        <v>0</v>
      </c>
      <c r="J170" s="18">
        <v>1</v>
      </c>
      <c r="K170" s="20">
        <v>0</v>
      </c>
      <c r="L170" s="20">
        <v>0</v>
      </c>
      <c r="M170" s="20">
        <v>0</v>
      </c>
      <c r="N170" s="20">
        <v>0</v>
      </c>
      <c r="O170" s="20">
        <v>0</v>
      </c>
      <c r="P170" s="20">
        <v>0</v>
      </c>
      <c r="Q170" s="19">
        <v>8</v>
      </c>
      <c r="R170" s="20">
        <v>0</v>
      </c>
      <c r="S170" s="20">
        <v>0</v>
      </c>
      <c r="T170" s="20">
        <v>0</v>
      </c>
      <c r="U170" s="20">
        <v>0</v>
      </c>
      <c r="V170" s="20">
        <v>0</v>
      </c>
      <c r="W170" s="20">
        <v>10</v>
      </c>
      <c r="X170" s="20">
        <v>0</v>
      </c>
      <c r="Y170" s="20">
        <v>0</v>
      </c>
      <c r="Z170" s="20">
        <v>0</v>
      </c>
      <c r="AA170" s="20">
        <v>0</v>
      </c>
      <c r="AB170" s="20">
        <v>0</v>
      </c>
      <c r="AC170" s="20">
        <v>0</v>
      </c>
      <c r="AD170" s="20">
        <v>0</v>
      </c>
      <c r="AE170" s="20">
        <v>0</v>
      </c>
      <c r="AF170" s="20">
        <v>0</v>
      </c>
      <c r="AG170" s="20">
        <v>0</v>
      </c>
      <c r="AH170" s="20">
        <v>0</v>
      </c>
      <c r="AI170" s="20">
        <v>0</v>
      </c>
      <c r="AJ170" s="20">
        <v>0</v>
      </c>
      <c r="AK170" s="20">
        <v>0</v>
      </c>
      <c r="AL170" s="20">
        <v>0</v>
      </c>
      <c r="AM170" s="20">
        <v>0</v>
      </c>
      <c r="AN170" s="20">
        <v>0</v>
      </c>
      <c r="AO170" s="20">
        <v>0</v>
      </c>
      <c r="AP170" s="20">
        <v>0</v>
      </c>
      <c r="AQ170" s="20">
        <v>0</v>
      </c>
      <c r="AR170" s="20">
        <v>0</v>
      </c>
      <c r="AS170" s="20">
        <v>0</v>
      </c>
      <c r="AT170" s="20">
        <v>0</v>
      </c>
      <c r="AU170" s="20">
        <v>0</v>
      </c>
      <c r="AV170" s="20">
        <v>0</v>
      </c>
      <c r="AW170" s="20">
        <v>0</v>
      </c>
      <c r="AX170" s="20">
        <v>0</v>
      </c>
      <c r="AY170" s="20">
        <v>0</v>
      </c>
      <c r="AZ170" s="20">
        <v>0</v>
      </c>
      <c r="BA170" s="20">
        <v>0</v>
      </c>
      <c r="BB170" s="20">
        <v>0</v>
      </c>
      <c r="BC170" s="20">
        <v>0</v>
      </c>
      <c r="BD170" s="20">
        <v>0</v>
      </c>
      <c r="BE170" s="20">
        <v>0</v>
      </c>
      <c r="BF170" s="20">
        <v>0</v>
      </c>
      <c r="BG170" s="20">
        <v>0</v>
      </c>
      <c r="BH170" s="20">
        <v>0</v>
      </c>
      <c r="BI170" s="22">
        <f t="shared" si="19"/>
        <v>10</v>
      </c>
      <c r="BJ170" s="22">
        <f t="shared" si="20"/>
        <v>8</v>
      </c>
      <c r="BK170" s="22">
        <f t="shared" si="21"/>
        <v>19</v>
      </c>
      <c r="BL170" s="22">
        <f t="shared" si="28"/>
        <v>10</v>
      </c>
      <c r="BM170" s="22">
        <f t="shared" si="23"/>
        <v>9</v>
      </c>
      <c r="BN170" s="23">
        <f t="shared" si="30"/>
        <v>0</v>
      </c>
      <c r="BO170" s="23">
        <f t="shared" si="30"/>
        <v>0.1111111111111111</v>
      </c>
      <c r="BP170" s="7">
        <f>VLOOKUP(A170,[1]Sheet15!B:E,4,0)</f>
        <v>0</v>
      </c>
      <c r="BQ170" s="7">
        <f>VLOOKUP(A170,[1]Sheet15!B:E,3,0)</f>
        <v>1</v>
      </c>
    </row>
    <row r="171" spans="1:69" ht="22.5" customHeight="1" x14ac:dyDescent="0.25">
      <c r="A171" s="15" t="s">
        <v>467</v>
      </c>
      <c r="B171" s="15">
        <f>VLOOKUP(A171,'[1]Master clients'!F167:W3714,17,0)</f>
        <v>0</v>
      </c>
      <c r="C171" s="15" t="str">
        <f>VLOOKUP(A171,'[1]Master clients'!F167:P3714,11,0)</f>
        <v>HO</v>
      </c>
      <c r="D171" s="15">
        <f>VLOOKUP(A171,'[1]Master clients'!F:M,8,0)</f>
        <v>0</v>
      </c>
      <c r="E171" s="16" t="s">
        <v>468</v>
      </c>
      <c r="F171" s="16" t="s">
        <v>466</v>
      </c>
      <c r="G171" s="17"/>
      <c r="H171" s="17"/>
      <c r="I171" s="31">
        <v>0</v>
      </c>
      <c r="J171" s="31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  <c r="AE171" s="17">
        <v>0</v>
      </c>
      <c r="AF171" s="17">
        <v>0</v>
      </c>
      <c r="AG171" s="17">
        <v>0</v>
      </c>
      <c r="AH171" s="17">
        <v>0</v>
      </c>
      <c r="AI171" s="17">
        <v>0</v>
      </c>
      <c r="AJ171" s="17">
        <v>0</v>
      </c>
      <c r="AK171" s="17">
        <v>0</v>
      </c>
      <c r="AL171" s="17">
        <v>0</v>
      </c>
      <c r="AM171" s="17">
        <v>0</v>
      </c>
      <c r="AN171" s="17">
        <v>0</v>
      </c>
      <c r="AO171" s="17">
        <v>0</v>
      </c>
      <c r="AP171" s="17">
        <v>0</v>
      </c>
      <c r="AQ171" s="17">
        <v>0</v>
      </c>
      <c r="AR171" s="17">
        <v>0</v>
      </c>
      <c r="AS171" s="17">
        <v>0</v>
      </c>
      <c r="AT171" s="17">
        <v>0</v>
      </c>
      <c r="AU171" s="17">
        <v>0</v>
      </c>
      <c r="AV171" s="17">
        <v>0</v>
      </c>
      <c r="AW171" s="17">
        <v>0</v>
      </c>
      <c r="AX171" s="17">
        <v>0</v>
      </c>
      <c r="AY171" s="17">
        <v>0</v>
      </c>
      <c r="AZ171" s="17">
        <v>0</v>
      </c>
      <c r="BA171" s="17">
        <v>0</v>
      </c>
      <c r="BB171" s="17">
        <v>0</v>
      </c>
      <c r="BC171" s="17">
        <v>0</v>
      </c>
      <c r="BD171" s="17">
        <v>0</v>
      </c>
      <c r="BE171" s="17">
        <v>0</v>
      </c>
      <c r="BF171" s="17">
        <v>0</v>
      </c>
      <c r="BG171" s="17">
        <v>0</v>
      </c>
      <c r="BH171" s="17">
        <v>0</v>
      </c>
      <c r="BI171" s="22">
        <f>SUM(M171+N171+P171+R171+T171+W171+Z171+AC171+AE171+AL171+AO171+AP171+AS171+AW171+AX171+BC171+BE171+BG171)</f>
        <v>0</v>
      </c>
      <c r="BJ171" s="22">
        <f>SUM(H171:BG171)</f>
        <v>0</v>
      </c>
      <c r="BK171" s="22">
        <f>SUM(H171+J171+K171+L171+O171+Q171+S171+U171+V171+X171+Y171+AA171+AB171+AD171+AF171+AG171+AH171+AI171+AJ171+AK171+AM171+AN171+AQ171+AR171+AT171+AU171+AV171+AY171+AZ171+BA171+BB171+BF171+BD171)</f>
        <v>0</v>
      </c>
      <c r="BL171" s="22">
        <f t="shared" ref="BL171:BM185" si="31">SUM(I171+M171+N171+P171+R171+T171+W171+Z171+AC171+AE171+AL171+AO171+AP171+AS171+AW171+AX171+BC171+BG171)</f>
        <v>0</v>
      </c>
      <c r="BM171" s="22">
        <f t="shared" si="31"/>
        <v>0</v>
      </c>
      <c r="BN171" s="23" t="e">
        <f t="shared" si="30"/>
        <v>#DIV/0!</v>
      </c>
      <c r="BO171" s="23" t="e">
        <f t="shared" si="30"/>
        <v>#DIV/0!</v>
      </c>
      <c r="BP171" s="7" t="e">
        <f>VLOOKUP(A171,[1]Sheet15!B:E,4,0)</f>
        <v>#N/A</v>
      </c>
      <c r="BQ171" s="7" t="e">
        <f>VLOOKUP(A171,[1]Sheet15!B:E,3,0)</f>
        <v>#N/A</v>
      </c>
    </row>
    <row r="172" spans="1:69" ht="22.5" customHeight="1" x14ac:dyDescent="0.25">
      <c r="A172" s="15" t="s">
        <v>469</v>
      </c>
      <c r="B172" s="15">
        <f>VLOOKUP(A172,'[1]Master clients'!F168:W3715,17,0)</f>
        <v>0</v>
      </c>
      <c r="C172" s="15" t="str">
        <f>VLOOKUP(A172,'[1]Master clients'!F168:P3715,11,0)</f>
        <v>NI</v>
      </c>
      <c r="D172" s="15" t="str">
        <f>VLOOKUP(A172,'[1]Master clients'!F:M,8,0)</f>
        <v>Group (Mills)</v>
      </c>
      <c r="E172" s="24" t="s">
        <v>470</v>
      </c>
      <c r="F172" s="25" t="s">
        <v>466</v>
      </c>
      <c r="G172" s="20">
        <v>0</v>
      </c>
      <c r="H172" s="20">
        <v>0</v>
      </c>
      <c r="I172" s="26">
        <v>12</v>
      </c>
      <c r="J172" s="26">
        <v>1</v>
      </c>
      <c r="K172" s="20">
        <v>0</v>
      </c>
      <c r="L172" s="20">
        <v>0</v>
      </c>
      <c r="M172" s="20">
        <v>0</v>
      </c>
      <c r="N172" s="20">
        <v>3</v>
      </c>
      <c r="O172" s="20">
        <v>3</v>
      </c>
      <c r="P172" s="20">
        <v>0</v>
      </c>
      <c r="Q172" s="20">
        <v>0</v>
      </c>
      <c r="R172" s="20">
        <v>0</v>
      </c>
      <c r="S172" s="20">
        <v>0</v>
      </c>
      <c r="T172" s="20">
        <v>2</v>
      </c>
      <c r="U172" s="20">
        <v>0</v>
      </c>
      <c r="V172" s="20">
        <v>0</v>
      </c>
      <c r="W172" s="20">
        <v>0</v>
      </c>
      <c r="X172" s="20">
        <v>0</v>
      </c>
      <c r="Y172" s="20">
        <v>0</v>
      </c>
      <c r="Z172" s="20">
        <v>0</v>
      </c>
      <c r="AA172" s="20">
        <v>0</v>
      </c>
      <c r="AB172" s="20">
        <v>0</v>
      </c>
      <c r="AC172" s="20">
        <v>0</v>
      </c>
      <c r="AD172" s="20">
        <v>0</v>
      </c>
      <c r="AE172" s="20">
        <v>0</v>
      </c>
      <c r="AF172" s="20">
        <v>0</v>
      </c>
      <c r="AG172" s="20">
        <v>0</v>
      </c>
      <c r="AH172" s="20">
        <v>0</v>
      </c>
      <c r="AI172" s="20">
        <v>0</v>
      </c>
      <c r="AJ172" s="20">
        <v>0</v>
      </c>
      <c r="AK172" s="20">
        <v>0</v>
      </c>
      <c r="AL172" s="20">
        <v>0</v>
      </c>
      <c r="AM172" s="20">
        <v>0</v>
      </c>
      <c r="AN172" s="20">
        <v>0</v>
      </c>
      <c r="AO172" s="20">
        <v>0</v>
      </c>
      <c r="AP172" s="20">
        <v>0</v>
      </c>
      <c r="AQ172" s="20">
        <v>0</v>
      </c>
      <c r="AR172" s="20">
        <v>0</v>
      </c>
      <c r="AS172" s="20">
        <v>0</v>
      </c>
      <c r="AT172" s="20">
        <v>0</v>
      </c>
      <c r="AU172" s="20">
        <v>0</v>
      </c>
      <c r="AV172" s="20">
        <v>0</v>
      </c>
      <c r="AW172" s="20">
        <v>0</v>
      </c>
      <c r="AX172" s="20">
        <v>0</v>
      </c>
      <c r="AY172" s="20">
        <v>0</v>
      </c>
      <c r="AZ172" s="20">
        <v>0</v>
      </c>
      <c r="BA172" s="20">
        <v>0</v>
      </c>
      <c r="BB172" s="27">
        <v>0</v>
      </c>
      <c r="BC172" s="20">
        <v>0</v>
      </c>
      <c r="BD172" s="20">
        <v>0</v>
      </c>
      <c r="BE172" s="21">
        <v>0</v>
      </c>
      <c r="BF172" s="21">
        <v>0</v>
      </c>
      <c r="BG172" s="20">
        <v>0</v>
      </c>
      <c r="BH172" s="20">
        <v>0</v>
      </c>
      <c r="BI172" s="22">
        <f t="shared" ref="BI172:BI185" si="32">SUM(K172+L172+M172+P172+R172+T172+V172+W172+Y172+Z172+AB172+AC172+AE172+AG172+AH172+AI172+AJ172+AK172+AL172+AN172+AO172+AR172+AS172+AU172+AV172+AW172+AZ172+BA172+BB172+BC172+BE172+BG172)</f>
        <v>2</v>
      </c>
      <c r="BJ172" s="22">
        <f t="shared" ref="BJ172:BJ185" si="33">SUM(N172+O172+Q172+S172+U172+X172+AA172+AD172+AF172+AM172+AP172+AQ172+AT172+AX172+AY172+BD172+BF172+BH172)</f>
        <v>6</v>
      </c>
      <c r="BK172" s="28">
        <f t="shared" ref="BK172:BK185" si="34">SUM(I172:BH172)</f>
        <v>21</v>
      </c>
      <c r="BL172" s="22">
        <f t="shared" ref="BL172:BL185" si="35">SUM(I172+K172+L172+M172+P172+R172+T172+V172+W172+Y172+Z172+AB172+AC172+AE172+AG172+AH172+AI172+AJ172+AK172+AL172+AN172+AO172+AR172+AS172+AU172+AV172+AW172+AZ172+BA172+BB172+BC172+BG172+BE172)</f>
        <v>14</v>
      </c>
      <c r="BM172" s="22">
        <f t="shared" si="31"/>
        <v>7</v>
      </c>
      <c r="BN172" s="23">
        <f t="shared" si="30"/>
        <v>0.8571428571428571</v>
      </c>
      <c r="BO172" s="23">
        <f t="shared" si="30"/>
        <v>0.14285714285714285</v>
      </c>
      <c r="BP172" s="7">
        <f>VLOOKUP(A172,[1]Sheet15!B:E,4,0)</f>
        <v>11</v>
      </c>
      <c r="BQ172" s="7">
        <f>VLOOKUP(A172,[1]Sheet15!B:E,3,0)</f>
        <v>2</v>
      </c>
    </row>
    <row r="173" spans="1:69" ht="22.5" customHeight="1" x14ac:dyDescent="0.25">
      <c r="A173" s="15" t="s">
        <v>471</v>
      </c>
      <c r="B173" s="15">
        <f>VLOOKUP(A173,'[1]Master clients'!F169:W3716,17,0)</f>
        <v>0</v>
      </c>
      <c r="C173" s="15" t="str">
        <f>VLOOKUP(A173,'[1]Master clients'!F169:P3716,11,0)</f>
        <v>NI</v>
      </c>
      <c r="D173" s="15" t="str">
        <f>VLOOKUP(A173,'[1]Master clients'!F:M,8,0)</f>
        <v>End User</v>
      </c>
      <c r="E173" s="24" t="s">
        <v>472</v>
      </c>
      <c r="F173" s="25" t="s">
        <v>466</v>
      </c>
      <c r="G173" s="20">
        <v>12</v>
      </c>
      <c r="H173" s="20">
        <v>7</v>
      </c>
      <c r="I173" s="26">
        <v>13</v>
      </c>
      <c r="J173" s="26">
        <v>8</v>
      </c>
      <c r="K173" s="20">
        <v>0</v>
      </c>
      <c r="L173" s="20">
        <v>0</v>
      </c>
      <c r="M173" s="20">
        <v>0</v>
      </c>
      <c r="N173" s="20">
        <v>3</v>
      </c>
      <c r="O173" s="20">
        <v>0</v>
      </c>
      <c r="P173" s="20">
        <v>0</v>
      </c>
      <c r="Q173" s="20">
        <v>0</v>
      </c>
      <c r="R173" s="20">
        <v>0</v>
      </c>
      <c r="S173" s="20">
        <v>0</v>
      </c>
      <c r="T173" s="20">
        <v>0</v>
      </c>
      <c r="U173" s="20">
        <v>0</v>
      </c>
      <c r="V173" s="20">
        <v>0</v>
      </c>
      <c r="W173" s="20">
        <v>2</v>
      </c>
      <c r="X173" s="20">
        <v>0</v>
      </c>
      <c r="Y173" s="20">
        <v>0</v>
      </c>
      <c r="Z173" s="20">
        <v>0</v>
      </c>
      <c r="AA173" s="20">
        <v>0</v>
      </c>
      <c r="AB173" s="20">
        <v>0</v>
      </c>
      <c r="AC173" s="20">
        <v>0</v>
      </c>
      <c r="AD173" s="20">
        <v>0</v>
      </c>
      <c r="AE173" s="20">
        <v>0</v>
      </c>
      <c r="AF173" s="20">
        <v>0</v>
      </c>
      <c r="AG173" s="20">
        <v>0</v>
      </c>
      <c r="AH173" s="20">
        <v>0</v>
      </c>
      <c r="AI173" s="20">
        <v>0</v>
      </c>
      <c r="AJ173" s="20">
        <v>0</v>
      </c>
      <c r="AK173" s="20">
        <v>0</v>
      </c>
      <c r="AL173" s="20">
        <v>0</v>
      </c>
      <c r="AM173" s="20">
        <v>0</v>
      </c>
      <c r="AN173" s="20">
        <v>0</v>
      </c>
      <c r="AO173" s="20">
        <v>0</v>
      </c>
      <c r="AP173" s="20">
        <v>0</v>
      </c>
      <c r="AQ173" s="20">
        <v>0</v>
      </c>
      <c r="AR173" s="20">
        <v>0</v>
      </c>
      <c r="AS173" s="20">
        <v>0</v>
      </c>
      <c r="AT173" s="20">
        <v>0</v>
      </c>
      <c r="AU173" s="20">
        <v>0</v>
      </c>
      <c r="AV173" s="20">
        <v>0</v>
      </c>
      <c r="AW173" s="20">
        <v>0</v>
      </c>
      <c r="AX173" s="20">
        <v>0</v>
      </c>
      <c r="AY173" s="20">
        <v>0</v>
      </c>
      <c r="AZ173" s="20">
        <v>0</v>
      </c>
      <c r="BA173" s="20">
        <v>0</v>
      </c>
      <c r="BB173" s="27">
        <v>0</v>
      </c>
      <c r="BC173" s="20">
        <v>0</v>
      </c>
      <c r="BD173" s="20">
        <v>0</v>
      </c>
      <c r="BE173" s="21">
        <v>0</v>
      </c>
      <c r="BF173" s="21">
        <v>0</v>
      </c>
      <c r="BG173" s="20">
        <v>0</v>
      </c>
      <c r="BH173" s="20">
        <v>0</v>
      </c>
      <c r="BI173" s="22">
        <f t="shared" si="32"/>
        <v>2</v>
      </c>
      <c r="BJ173" s="22">
        <f t="shared" si="33"/>
        <v>3</v>
      </c>
      <c r="BK173" s="28">
        <f t="shared" si="34"/>
        <v>26</v>
      </c>
      <c r="BL173" s="22">
        <f t="shared" si="35"/>
        <v>15</v>
      </c>
      <c r="BM173" s="22">
        <f t="shared" si="31"/>
        <v>11</v>
      </c>
      <c r="BN173" s="23">
        <f t="shared" si="30"/>
        <v>0.8666666666666667</v>
      </c>
      <c r="BO173" s="23">
        <f t="shared" si="30"/>
        <v>0.72727272727272729</v>
      </c>
      <c r="BP173" s="7">
        <f>VLOOKUP(A173,[1]Sheet15!B:E,4,0)</f>
        <v>17</v>
      </c>
      <c r="BQ173" s="7">
        <f>VLOOKUP(A173,[1]Sheet15!B:E,3,0)</f>
        <v>8</v>
      </c>
    </row>
    <row r="174" spans="1:69" ht="22.5" customHeight="1" x14ac:dyDescent="0.25">
      <c r="A174" s="15" t="s">
        <v>473</v>
      </c>
      <c r="B174" s="15">
        <f>VLOOKUP(A174,'[1]Master clients'!F170:W3717,17,0)</f>
        <v>0</v>
      </c>
      <c r="C174" s="15" t="str">
        <f>VLOOKUP(A174,'[1]Master clients'!F170:P3717,11,0)</f>
        <v>NI</v>
      </c>
      <c r="D174" s="15" t="str">
        <f>VLOOKUP(A174,'[1]Master clients'!F:M,8,0)</f>
        <v>End User</v>
      </c>
      <c r="E174" s="16" t="s">
        <v>474</v>
      </c>
      <c r="F174" s="16" t="s">
        <v>466</v>
      </c>
      <c r="G174" s="17"/>
      <c r="H174" s="17"/>
      <c r="I174" s="31">
        <v>1</v>
      </c>
      <c r="J174" s="31">
        <v>0</v>
      </c>
      <c r="K174" s="17">
        <v>1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  <c r="AE174" s="17">
        <v>0</v>
      </c>
      <c r="AF174" s="17">
        <v>0</v>
      </c>
      <c r="AG174" s="17">
        <v>0</v>
      </c>
      <c r="AH174" s="17">
        <v>0</v>
      </c>
      <c r="AI174" s="17">
        <v>0</v>
      </c>
      <c r="AJ174" s="17">
        <v>0</v>
      </c>
      <c r="AK174" s="17">
        <v>0</v>
      </c>
      <c r="AL174" s="17">
        <v>0</v>
      </c>
      <c r="AM174" s="17">
        <v>0</v>
      </c>
      <c r="AN174" s="17">
        <v>0</v>
      </c>
      <c r="AO174" s="17">
        <v>0</v>
      </c>
      <c r="AP174" s="17">
        <v>0</v>
      </c>
      <c r="AQ174" s="17">
        <v>0</v>
      </c>
      <c r="AR174" s="17">
        <v>0</v>
      </c>
      <c r="AS174" s="17">
        <v>0</v>
      </c>
      <c r="AT174" s="17">
        <v>0</v>
      </c>
      <c r="AU174" s="17">
        <v>0</v>
      </c>
      <c r="AV174" s="17">
        <v>0</v>
      </c>
      <c r="AW174" s="17">
        <v>0</v>
      </c>
      <c r="AX174" s="17">
        <v>0</v>
      </c>
      <c r="AY174" s="17">
        <v>0</v>
      </c>
      <c r="AZ174" s="17">
        <v>0</v>
      </c>
      <c r="BA174" s="17">
        <v>0</v>
      </c>
      <c r="BB174" s="17">
        <v>0</v>
      </c>
      <c r="BC174" s="17">
        <v>0</v>
      </c>
      <c r="BD174" s="17">
        <v>0</v>
      </c>
      <c r="BE174" s="17">
        <v>0</v>
      </c>
      <c r="BF174" s="17">
        <v>0</v>
      </c>
      <c r="BG174" s="17">
        <v>0</v>
      </c>
      <c r="BH174" s="17">
        <v>0</v>
      </c>
      <c r="BI174" s="22">
        <f t="shared" si="32"/>
        <v>1</v>
      </c>
      <c r="BJ174" s="22">
        <f t="shared" si="33"/>
        <v>0</v>
      </c>
      <c r="BK174" s="22">
        <f t="shared" si="34"/>
        <v>2</v>
      </c>
      <c r="BL174" s="22">
        <f t="shared" si="35"/>
        <v>2</v>
      </c>
      <c r="BM174" s="22">
        <f t="shared" si="31"/>
        <v>0</v>
      </c>
      <c r="BN174" s="23">
        <f t="shared" si="30"/>
        <v>0.5</v>
      </c>
      <c r="BO174" s="23" t="e">
        <f t="shared" si="30"/>
        <v>#DIV/0!</v>
      </c>
      <c r="BP174" s="7">
        <f>VLOOKUP(A174,[1]Sheet15!B:E,4,0)</f>
        <v>1</v>
      </c>
      <c r="BQ174" s="7">
        <f>VLOOKUP(A174,[1]Sheet15!B:E,3,0)</f>
        <v>0</v>
      </c>
    </row>
    <row r="175" spans="1:69" ht="22.5" customHeight="1" x14ac:dyDescent="0.25">
      <c r="A175" s="15" t="s">
        <v>475</v>
      </c>
      <c r="B175" s="15">
        <f>VLOOKUP(A175,'[1]Master clients'!F171:W3718,17,0)</f>
        <v>0</v>
      </c>
      <c r="C175" s="15" t="str">
        <f>VLOOKUP(A175,'[1]Master clients'!F171:P3718,11,0)</f>
        <v>NI</v>
      </c>
      <c r="D175" s="15" t="str">
        <f>VLOOKUP(A175,'[1]Master clients'!F:M,8,0)</f>
        <v>Group (Mills)</v>
      </c>
      <c r="E175" s="24" t="s">
        <v>476</v>
      </c>
      <c r="F175" s="25" t="s">
        <v>466</v>
      </c>
      <c r="G175" s="20">
        <v>21</v>
      </c>
      <c r="H175" s="20">
        <v>0</v>
      </c>
      <c r="I175" s="26">
        <v>18</v>
      </c>
      <c r="J175" s="26">
        <v>0</v>
      </c>
      <c r="K175" s="20">
        <v>4</v>
      </c>
      <c r="L175" s="20">
        <v>0</v>
      </c>
      <c r="M175" s="20">
        <v>0</v>
      </c>
      <c r="N175" s="20">
        <v>0</v>
      </c>
      <c r="O175" s="20">
        <v>3</v>
      </c>
      <c r="P175" s="20">
        <v>0</v>
      </c>
      <c r="Q175" s="20">
        <v>5</v>
      </c>
      <c r="R175" s="20">
        <v>0</v>
      </c>
      <c r="S175" s="20">
        <v>0</v>
      </c>
      <c r="T175" s="20">
        <v>0</v>
      </c>
      <c r="U175" s="20">
        <v>0</v>
      </c>
      <c r="V175" s="20">
        <v>0</v>
      </c>
      <c r="W175" s="20">
        <v>0</v>
      </c>
      <c r="X175" s="20">
        <v>0</v>
      </c>
      <c r="Y175" s="20">
        <v>0</v>
      </c>
      <c r="Z175" s="20">
        <v>0</v>
      </c>
      <c r="AA175" s="20">
        <v>0</v>
      </c>
      <c r="AB175" s="20">
        <v>0</v>
      </c>
      <c r="AC175" s="20">
        <v>0</v>
      </c>
      <c r="AD175" s="20">
        <v>0</v>
      </c>
      <c r="AE175" s="20">
        <v>0</v>
      </c>
      <c r="AF175" s="20">
        <v>0</v>
      </c>
      <c r="AG175" s="20">
        <v>0</v>
      </c>
      <c r="AH175" s="20">
        <v>0</v>
      </c>
      <c r="AI175" s="20">
        <v>0</v>
      </c>
      <c r="AJ175" s="20">
        <v>0</v>
      </c>
      <c r="AK175" s="20">
        <v>0</v>
      </c>
      <c r="AL175" s="20">
        <v>0</v>
      </c>
      <c r="AM175" s="20">
        <v>0</v>
      </c>
      <c r="AN175" s="20">
        <v>0</v>
      </c>
      <c r="AO175" s="20">
        <v>0</v>
      </c>
      <c r="AP175" s="20">
        <v>0</v>
      </c>
      <c r="AQ175" s="20">
        <v>0</v>
      </c>
      <c r="AR175" s="20">
        <v>0</v>
      </c>
      <c r="AS175" s="20">
        <v>0</v>
      </c>
      <c r="AT175" s="20">
        <v>0</v>
      </c>
      <c r="AU175" s="20">
        <v>0</v>
      </c>
      <c r="AV175" s="20">
        <v>0</v>
      </c>
      <c r="AW175" s="20">
        <v>0</v>
      </c>
      <c r="AX175" s="20">
        <v>0</v>
      </c>
      <c r="AY175" s="20">
        <v>0</v>
      </c>
      <c r="AZ175" s="20">
        <v>0</v>
      </c>
      <c r="BA175" s="20">
        <v>0</v>
      </c>
      <c r="BB175" s="27">
        <v>0</v>
      </c>
      <c r="BC175" s="20">
        <v>0</v>
      </c>
      <c r="BD175" s="20">
        <v>0</v>
      </c>
      <c r="BE175" s="21">
        <v>0</v>
      </c>
      <c r="BF175" s="21">
        <v>0</v>
      </c>
      <c r="BG175" s="20">
        <v>0</v>
      </c>
      <c r="BH175" s="20">
        <v>0</v>
      </c>
      <c r="BI175" s="22">
        <f t="shared" si="32"/>
        <v>4</v>
      </c>
      <c r="BJ175" s="22">
        <f t="shared" si="33"/>
        <v>8</v>
      </c>
      <c r="BK175" s="28">
        <f t="shared" si="34"/>
        <v>30</v>
      </c>
      <c r="BL175" s="22">
        <f t="shared" si="35"/>
        <v>22</v>
      </c>
      <c r="BM175" s="22">
        <f t="shared" si="31"/>
        <v>8</v>
      </c>
      <c r="BN175" s="23">
        <f t="shared" si="30"/>
        <v>0.81818181818181823</v>
      </c>
      <c r="BO175" s="23">
        <f t="shared" si="30"/>
        <v>0</v>
      </c>
      <c r="BP175" s="7">
        <f>VLOOKUP(A175,[1]Sheet15!B:E,4,0)</f>
        <v>17</v>
      </c>
      <c r="BQ175" s="7">
        <f>VLOOKUP(A175,[1]Sheet15!B:E,3,0)</f>
        <v>0</v>
      </c>
    </row>
    <row r="176" spans="1:69" ht="22.5" customHeight="1" x14ac:dyDescent="0.25">
      <c r="A176" s="15" t="s">
        <v>477</v>
      </c>
      <c r="B176" s="15">
        <f>VLOOKUP(A176,'[1]Master clients'!F172:W3719,17,0)</f>
        <v>0</v>
      </c>
      <c r="C176" s="15" t="str">
        <f>VLOOKUP(A176,'[1]Master clients'!F172:P3719,11,0)</f>
        <v>NI</v>
      </c>
      <c r="D176" s="15" t="str">
        <f>VLOOKUP(A176,'[1]Master clients'!F:M,8,0)</f>
        <v>End User</v>
      </c>
      <c r="E176" s="24" t="s">
        <v>478</v>
      </c>
      <c r="F176" s="25" t="s">
        <v>466</v>
      </c>
      <c r="G176" s="20">
        <v>8</v>
      </c>
      <c r="H176" s="20">
        <v>7</v>
      </c>
      <c r="I176" s="26">
        <v>7</v>
      </c>
      <c r="J176" s="26">
        <v>1</v>
      </c>
      <c r="K176" s="20">
        <v>0</v>
      </c>
      <c r="L176" s="20">
        <v>2</v>
      </c>
      <c r="M176" s="20">
        <v>0</v>
      </c>
      <c r="N176" s="20">
        <v>0</v>
      </c>
      <c r="O176" s="20">
        <v>0</v>
      </c>
      <c r="P176" s="20">
        <v>0</v>
      </c>
      <c r="Q176" s="20">
        <v>5</v>
      </c>
      <c r="R176" s="20">
        <v>0</v>
      </c>
      <c r="S176" s="20">
        <v>0</v>
      </c>
      <c r="T176" s="20">
        <v>0</v>
      </c>
      <c r="U176" s="20">
        <v>0</v>
      </c>
      <c r="V176" s="20">
        <v>0</v>
      </c>
      <c r="W176" s="20">
        <v>4</v>
      </c>
      <c r="X176" s="20">
        <v>0</v>
      </c>
      <c r="Y176" s="20">
        <v>0</v>
      </c>
      <c r="Z176" s="20">
        <v>0</v>
      </c>
      <c r="AA176" s="20">
        <v>0</v>
      </c>
      <c r="AB176" s="20">
        <v>0</v>
      </c>
      <c r="AC176" s="20">
        <v>0</v>
      </c>
      <c r="AD176" s="20">
        <v>0</v>
      </c>
      <c r="AE176" s="20">
        <v>0</v>
      </c>
      <c r="AF176" s="20">
        <v>0</v>
      </c>
      <c r="AG176" s="20">
        <v>0</v>
      </c>
      <c r="AH176" s="20">
        <v>0</v>
      </c>
      <c r="AI176" s="20">
        <v>0</v>
      </c>
      <c r="AJ176" s="20">
        <v>0</v>
      </c>
      <c r="AK176" s="20">
        <v>0</v>
      </c>
      <c r="AL176" s="20">
        <v>0</v>
      </c>
      <c r="AM176" s="20">
        <v>0</v>
      </c>
      <c r="AN176" s="20">
        <v>0</v>
      </c>
      <c r="AO176" s="20">
        <v>0</v>
      </c>
      <c r="AP176" s="20">
        <v>0</v>
      </c>
      <c r="AQ176" s="20">
        <v>0</v>
      </c>
      <c r="AR176" s="20">
        <v>0</v>
      </c>
      <c r="AS176" s="20">
        <v>0</v>
      </c>
      <c r="AT176" s="20">
        <v>0</v>
      </c>
      <c r="AU176" s="20">
        <v>0</v>
      </c>
      <c r="AV176" s="20">
        <v>0</v>
      </c>
      <c r="AW176" s="20">
        <v>0</v>
      </c>
      <c r="AX176" s="20">
        <v>0</v>
      </c>
      <c r="AY176" s="20">
        <v>0</v>
      </c>
      <c r="AZ176" s="20">
        <v>0</v>
      </c>
      <c r="BA176" s="20">
        <v>0</v>
      </c>
      <c r="BB176" s="27">
        <v>0</v>
      </c>
      <c r="BC176" s="20">
        <v>0</v>
      </c>
      <c r="BD176" s="20">
        <v>0</v>
      </c>
      <c r="BE176" s="21">
        <v>0</v>
      </c>
      <c r="BF176" s="21">
        <v>0</v>
      </c>
      <c r="BG176" s="20">
        <v>0</v>
      </c>
      <c r="BH176" s="20">
        <v>0</v>
      </c>
      <c r="BI176" s="22">
        <f t="shared" si="32"/>
        <v>6</v>
      </c>
      <c r="BJ176" s="22">
        <f t="shared" si="33"/>
        <v>5</v>
      </c>
      <c r="BK176" s="28">
        <f t="shared" si="34"/>
        <v>19</v>
      </c>
      <c r="BL176" s="22">
        <f t="shared" si="35"/>
        <v>13</v>
      </c>
      <c r="BM176" s="22">
        <f t="shared" si="31"/>
        <v>6</v>
      </c>
      <c r="BN176" s="23">
        <f t="shared" si="30"/>
        <v>0.53846153846153844</v>
      </c>
      <c r="BO176" s="23">
        <f t="shared" si="30"/>
        <v>0.16666666666666666</v>
      </c>
      <c r="BP176" s="7">
        <f>VLOOKUP(A176,[1]Sheet15!B:E,4,0)</f>
        <v>7</v>
      </c>
      <c r="BQ176" s="7">
        <f>VLOOKUP(A176,[1]Sheet15!B:E,3,0)</f>
        <v>1</v>
      </c>
    </row>
    <row r="177" spans="1:69" ht="22.5" customHeight="1" x14ac:dyDescent="0.25">
      <c r="A177" s="15" t="s">
        <v>479</v>
      </c>
      <c r="B177" s="15">
        <f>VLOOKUP(A177,'[1]Master clients'!F173:W3720,17,0)</f>
        <v>0</v>
      </c>
      <c r="C177" s="15" t="str">
        <f>VLOOKUP(A177,'[1]Master clients'!F173:P3720,11,0)</f>
        <v>NI</v>
      </c>
      <c r="D177" s="15" t="str">
        <f>VLOOKUP(A177,'[1]Master clients'!F:M,8,0)</f>
        <v>End User</v>
      </c>
      <c r="E177" s="24" t="s">
        <v>480</v>
      </c>
      <c r="F177" s="25" t="s">
        <v>481</v>
      </c>
      <c r="G177" s="20">
        <v>5</v>
      </c>
      <c r="H177" s="20">
        <v>0</v>
      </c>
      <c r="I177" s="26">
        <v>5</v>
      </c>
      <c r="J177" s="26">
        <v>0</v>
      </c>
      <c r="K177" s="20">
        <v>7</v>
      </c>
      <c r="L177" s="20">
        <v>0</v>
      </c>
      <c r="M177" s="20">
        <v>0</v>
      </c>
      <c r="N177" s="20">
        <v>0</v>
      </c>
      <c r="O177" s="20">
        <v>0</v>
      </c>
      <c r="P177" s="20">
        <v>0</v>
      </c>
      <c r="Q177" s="20">
        <v>0</v>
      </c>
      <c r="R177" s="20">
        <v>0</v>
      </c>
      <c r="S177" s="20">
        <v>0</v>
      </c>
      <c r="T177" s="20">
        <v>0</v>
      </c>
      <c r="U177" s="20">
        <v>0</v>
      </c>
      <c r="V177" s="20">
        <v>0</v>
      </c>
      <c r="W177" s="20">
        <v>0</v>
      </c>
      <c r="X177" s="20">
        <v>0</v>
      </c>
      <c r="Y177" s="20">
        <v>0</v>
      </c>
      <c r="Z177" s="20">
        <v>0</v>
      </c>
      <c r="AA177" s="20">
        <v>0</v>
      </c>
      <c r="AB177" s="20">
        <v>0</v>
      </c>
      <c r="AC177" s="20">
        <v>0</v>
      </c>
      <c r="AD177" s="20">
        <v>0</v>
      </c>
      <c r="AE177" s="20">
        <v>0</v>
      </c>
      <c r="AF177" s="20">
        <v>0</v>
      </c>
      <c r="AG177" s="20">
        <v>0</v>
      </c>
      <c r="AH177" s="20">
        <v>0</v>
      </c>
      <c r="AI177" s="20">
        <v>0</v>
      </c>
      <c r="AJ177" s="20">
        <v>0</v>
      </c>
      <c r="AK177" s="20">
        <v>41</v>
      </c>
      <c r="AL177" s="20">
        <v>0</v>
      </c>
      <c r="AM177" s="20">
        <v>0</v>
      </c>
      <c r="AN177" s="20">
        <v>0</v>
      </c>
      <c r="AO177" s="20">
        <v>0</v>
      </c>
      <c r="AP177" s="20">
        <v>0</v>
      </c>
      <c r="AQ177" s="20">
        <v>0</v>
      </c>
      <c r="AR177" s="20">
        <v>0</v>
      </c>
      <c r="AS177" s="20">
        <v>0</v>
      </c>
      <c r="AT177" s="20">
        <v>0</v>
      </c>
      <c r="AU177" s="20">
        <v>0</v>
      </c>
      <c r="AV177" s="20">
        <v>0</v>
      </c>
      <c r="AW177" s="20">
        <v>0</v>
      </c>
      <c r="AX177" s="20">
        <v>0</v>
      </c>
      <c r="AY177" s="20">
        <v>0</v>
      </c>
      <c r="AZ177" s="20">
        <v>0</v>
      </c>
      <c r="BA177" s="20">
        <v>0</v>
      </c>
      <c r="BB177" s="27">
        <v>0</v>
      </c>
      <c r="BC177" s="20">
        <v>0</v>
      </c>
      <c r="BD177" s="20">
        <v>0</v>
      </c>
      <c r="BE177" s="21">
        <v>0</v>
      </c>
      <c r="BF177" s="21">
        <v>0</v>
      </c>
      <c r="BG177" s="20">
        <v>0</v>
      </c>
      <c r="BH177" s="20">
        <v>0</v>
      </c>
      <c r="BI177" s="22">
        <f t="shared" si="32"/>
        <v>48</v>
      </c>
      <c r="BJ177" s="22">
        <f t="shared" si="33"/>
        <v>0</v>
      </c>
      <c r="BK177" s="28">
        <f t="shared" si="34"/>
        <v>53</v>
      </c>
      <c r="BL177" s="22">
        <f t="shared" si="35"/>
        <v>53</v>
      </c>
      <c r="BM177" s="22">
        <f t="shared" si="31"/>
        <v>0</v>
      </c>
      <c r="BN177" s="23">
        <f t="shared" si="30"/>
        <v>9.4339622641509441E-2</v>
      </c>
      <c r="BO177" s="23" t="e">
        <f t="shared" si="30"/>
        <v>#DIV/0!</v>
      </c>
      <c r="BP177" s="7">
        <f>VLOOKUP(A177,[1]Sheet15!B:E,4,0)</f>
        <v>5</v>
      </c>
      <c r="BQ177" s="7">
        <f>VLOOKUP(A177,[1]Sheet15!B:E,3,0)</f>
        <v>0</v>
      </c>
    </row>
    <row r="178" spans="1:69" ht="22.5" customHeight="1" x14ac:dyDescent="0.25">
      <c r="A178" s="15" t="s">
        <v>482</v>
      </c>
      <c r="B178" s="15">
        <f>VLOOKUP(A178,'[1]Master clients'!F174:W3721,17,0)</f>
        <v>0</v>
      </c>
      <c r="C178" s="15" t="str">
        <f>VLOOKUP(A178,'[1]Master clients'!F174:P3721,11,0)</f>
        <v>NI</v>
      </c>
      <c r="D178" s="15" t="str">
        <f>VLOOKUP(A178,'[1]Master clients'!F:M,8,0)</f>
        <v>End User</v>
      </c>
      <c r="E178" s="24" t="s">
        <v>483</v>
      </c>
      <c r="F178" s="25" t="s">
        <v>481</v>
      </c>
      <c r="G178" s="20">
        <v>11</v>
      </c>
      <c r="H178" s="20">
        <v>0</v>
      </c>
      <c r="I178" s="26">
        <v>14</v>
      </c>
      <c r="J178" s="26">
        <v>0</v>
      </c>
      <c r="K178" s="20">
        <v>0</v>
      </c>
      <c r="L178" s="20">
        <v>0</v>
      </c>
      <c r="M178" s="20">
        <v>0</v>
      </c>
      <c r="N178" s="20">
        <v>0</v>
      </c>
      <c r="O178" s="20">
        <v>0</v>
      </c>
      <c r="P178" s="20">
        <v>0</v>
      </c>
      <c r="Q178" s="20">
        <v>0</v>
      </c>
      <c r="R178" s="20">
        <v>0</v>
      </c>
      <c r="S178" s="20">
        <v>0</v>
      </c>
      <c r="T178" s="20">
        <v>0</v>
      </c>
      <c r="U178" s="20">
        <v>0</v>
      </c>
      <c r="V178" s="20">
        <v>0</v>
      </c>
      <c r="W178" s="20">
        <v>0</v>
      </c>
      <c r="X178" s="20">
        <v>0</v>
      </c>
      <c r="Y178" s="20">
        <v>0</v>
      </c>
      <c r="Z178" s="20">
        <v>0</v>
      </c>
      <c r="AA178" s="20">
        <v>12</v>
      </c>
      <c r="AB178" s="20">
        <v>0</v>
      </c>
      <c r="AC178" s="20">
        <v>0</v>
      </c>
      <c r="AD178" s="20">
        <v>0</v>
      </c>
      <c r="AE178" s="20">
        <v>0</v>
      </c>
      <c r="AF178" s="20">
        <v>0</v>
      </c>
      <c r="AG178" s="20">
        <v>0</v>
      </c>
      <c r="AH178" s="20">
        <v>0</v>
      </c>
      <c r="AI178" s="20">
        <v>0</v>
      </c>
      <c r="AJ178" s="20">
        <v>0</v>
      </c>
      <c r="AK178" s="20">
        <v>0</v>
      </c>
      <c r="AL178" s="20">
        <v>0</v>
      </c>
      <c r="AM178" s="20">
        <v>0</v>
      </c>
      <c r="AN178" s="20">
        <v>0</v>
      </c>
      <c r="AO178" s="20">
        <v>0</v>
      </c>
      <c r="AP178" s="20">
        <v>0</v>
      </c>
      <c r="AQ178" s="20">
        <v>0</v>
      </c>
      <c r="AR178" s="20">
        <v>0</v>
      </c>
      <c r="AS178" s="20">
        <v>0</v>
      </c>
      <c r="AT178" s="20">
        <v>0</v>
      </c>
      <c r="AU178" s="20">
        <v>0</v>
      </c>
      <c r="AV178" s="20">
        <v>0</v>
      </c>
      <c r="AW178" s="20">
        <v>0</v>
      </c>
      <c r="AX178" s="20">
        <v>0</v>
      </c>
      <c r="AY178" s="20">
        <v>0</v>
      </c>
      <c r="AZ178" s="20">
        <v>0</v>
      </c>
      <c r="BA178" s="20">
        <v>0</v>
      </c>
      <c r="BB178" s="27">
        <v>0</v>
      </c>
      <c r="BC178" s="20">
        <v>0</v>
      </c>
      <c r="BD178" s="20">
        <v>0</v>
      </c>
      <c r="BE178" s="21">
        <v>0</v>
      </c>
      <c r="BF178" s="21">
        <v>0</v>
      </c>
      <c r="BG178" s="20">
        <v>0</v>
      </c>
      <c r="BH178" s="20">
        <v>0</v>
      </c>
      <c r="BI178" s="22">
        <f t="shared" si="32"/>
        <v>0</v>
      </c>
      <c r="BJ178" s="22">
        <f t="shared" si="33"/>
        <v>12</v>
      </c>
      <c r="BK178" s="28">
        <f t="shared" si="34"/>
        <v>26</v>
      </c>
      <c r="BL178" s="22">
        <f t="shared" si="35"/>
        <v>14</v>
      </c>
      <c r="BM178" s="22">
        <f t="shared" si="31"/>
        <v>12</v>
      </c>
      <c r="BN178" s="23">
        <f t="shared" si="30"/>
        <v>1</v>
      </c>
      <c r="BO178" s="23">
        <f t="shared" si="30"/>
        <v>0</v>
      </c>
      <c r="BP178" s="7">
        <f>VLOOKUP(A178,[1]Sheet15!B:E,4,0)</f>
        <v>7</v>
      </c>
      <c r="BQ178" s="7">
        <f>VLOOKUP(A178,[1]Sheet15!B:E,3,0)</f>
        <v>0</v>
      </c>
    </row>
    <row r="179" spans="1:69" ht="22.5" customHeight="1" x14ac:dyDescent="0.25">
      <c r="A179" s="15" t="s">
        <v>484</v>
      </c>
      <c r="B179" s="15">
        <f>VLOOKUP(A179,'[1]Master clients'!F175:W3722,17,0)</f>
        <v>0</v>
      </c>
      <c r="C179" s="15" t="str">
        <f>VLOOKUP(A179,'[1]Master clients'!F175:P3722,11,0)</f>
        <v>NI</v>
      </c>
      <c r="D179" s="15" t="str">
        <f>VLOOKUP(A179,'[1]Master clients'!F:M,8,0)</f>
        <v>End User</v>
      </c>
      <c r="E179" s="24" t="s">
        <v>485</v>
      </c>
      <c r="F179" s="25" t="s">
        <v>481</v>
      </c>
      <c r="G179" s="20">
        <v>18</v>
      </c>
      <c r="H179" s="20">
        <v>0</v>
      </c>
      <c r="I179" s="26">
        <v>9</v>
      </c>
      <c r="J179" s="26">
        <v>0</v>
      </c>
      <c r="K179" s="20">
        <v>0</v>
      </c>
      <c r="L179" s="20">
        <v>0</v>
      </c>
      <c r="M179" s="20">
        <v>0</v>
      </c>
      <c r="N179" s="20">
        <v>8</v>
      </c>
      <c r="O179" s="20">
        <v>0</v>
      </c>
      <c r="P179" s="20">
        <v>0</v>
      </c>
      <c r="Q179" s="20">
        <v>4</v>
      </c>
      <c r="R179" s="20">
        <v>0</v>
      </c>
      <c r="S179" s="20">
        <v>0</v>
      </c>
      <c r="T179" s="20">
        <v>0</v>
      </c>
      <c r="U179" s="20">
        <v>0</v>
      </c>
      <c r="V179" s="20">
        <v>0</v>
      </c>
      <c r="W179" s="20">
        <v>0</v>
      </c>
      <c r="X179" s="20">
        <v>0</v>
      </c>
      <c r="Y179" s="20">
        <v>0</v>
      </c>
      <c r="Z179" s="20">
        <v>0</v>
      </c>
      <c r="AA179" s="20">
        <v>0</v>
      </c>
      <c r="AB179" s="20">
        <v>0</v>
      </c>
      <c r="AC179" s="20">
        <v>0</v>
      </c>
      <c r="AD179" s="20">
        <v>0</v>
      </c>
      <c r="AE179" s="20">
        <v>0</v>
      </c>
      <c r="AF179" s="20">
        <v>0</v>
      </c>
      <c r="AG179" s="20">
        <v>0</v>
      </c>
      <c r="AH179" s="20">
        <v>0</v>
      </c>
      <c r="AI179" s="20">
        <v>0</v>
      </c>
      <c r="AJ179" s="20">
        <v>0</v>
      </c>
      <c r="AK179" s="20">
        <v>0</v>
      </c>
      <c r="AL179" s="20">
        <v>0</v>
      </c>
      <c r="AM179" s="20">
        <v>0</v>
      </c>
      <c r="AN179" s="20">
        <v>0</v>
      </c>
      <c r="AO179" s="20">
        <v>0</v>
      </c>
      <c r="AP179" s="20">
        <v>0</v>
      </c>
      <c r="AQ179" s="20">
        <v>0</v>
      </c>
      <c r="AR179" s="20">
        <v>0</v>
      </c>
      <c r="AS179" s="20">
        <v>0</v>
      </c>
      <c r="AT179" s="20">
        <v>0</v>
      </c>
      <c r="AU179" s="20">
        <v>0</v>
      </c>
      <c r="AV179" s="20">
        <v>0</v>
      </c>
      <c r="AW179" s="20">
        <v>0</v>
      </c>
      <c r="AX179" s="20">
        <v>0</v>
      </c>
      <c r="AY179" s="20">
        <v>0</v>
      </c>
      <c r="AZ179" s="20">
        <v>4</v>
      </c>
      <c r="BA179" s="20">
        <v>0</v>
      </c>
      <c r="BB179" s="27">
        <v>0</v>
      </c>
      <c r="BC179" s="20">
        <v>0</v>
      </c>
      <c r="BD179" s="20">
        <v>0</v>
      </c>
      <c r="BE179" s="21">
        <v>0</v>
      </c>
      <c r="BF179" s="21">
        <v>0</v>
      </c>
      <c r="BG179" s="20">
        <v>0</v>
      </c>
      <c r="BH179" s="20">
        <v>0</v>
      </c>
      <c r="BI179" s="22">
        <f t="shared" si="32"/>
        <v>4</v>
      </c>
      <c r="BJ179" s="22">
        <f t="shared" si="33"/>
        <v>12</v>
      </c>
      <c r="BK179" s="28">
        <f t="shared" si="34"/>
        <v>25</v>
      </c>
      <c r="BL179" s="22">
        <f t="shared" si="35"/>
        <v>13</v>
      </c>
      <c r="BM179" s="22">
        <f t="shared" si="31"/>
        <v>12</v>
      </c>
      <c r="BN179" s="23">
        <f t="shared" si="30"/>
        <v>0.69230769230769229</v>
      </c>
      <c r="BO179" s="23">
        <f t="shared" si="30"/>
        <v>0</v>
      </c>
      <c r="BP179" s="7">
        <f>VLOOKUP(A179,[1]Sheet15!B:E,4,0)</f>
        <v>1</v>
      </c>
      <c r="BQ179" s="7">
        <f>VLOOKUP(A179,[1]Sheet15!B:E,3,0)</f>
        <v>0</v>
      </c>
    </row>
    <row r="180" spans="1:69" ht="22.5" customHeight="1" x14ac:dyDescent="0.25">
      <c r="A180" s="15" t="s">
        <v>486</v>
      </c>
      <c r="B180" s="15">
        <f>VLOOKUP(A180,'[1]Master clients'!F176:W3723,17,0)</f>
        <v>0</v>
      </c>
      <c r="C180" s="15" t="str">
        <f>VLOOKUP(A180,'[1]Master clients'!F176:P3723,11,0)</f>
        <v>NI</v>
      </c>
      <c r="D180" s="15" t="str">
        <f>VLOOKUP(A180,'[1]Master clients'!F:M,8,0)</f>
        <v>End User</v>
      </c>
      <c r="E180" s="16" t="s">
        <v>487</v>
      </c>
      <c r="F180" s="16" t="s">
        <v>481</v>
      </c>
      <c r="G180" s="17"/>
      <c r="H180" s="17"/>
      <c r="I180" s="31">
        <v>0</v>
      </c>
      <c r="J180" s="31">
        <v>0</v>
      </c>
      <c r="K180" s="17">
        <v>0</v>
      </c>
      <c r="L180" s="17">
        <v>0</v>
      </c>
      <c r="M180" s="17">
        <v>0</v>
      </c>
      <c r="N180" s="17">
        <v>0</v>
      </c>
      <c r="O180" s="17">
        <v>0</v>
      </c>
      <c r="P180" s="17">
        <v>0</v>
      </c>
      <c r="Q180" s="17">
        <v>0</v>
      </c>
      <c r="R180" s="17">
        <v>0</v>
      </c>
      <c r="S180" s="17">
        <v>0</v>
      </c>
      <c r="T180" s="17">
        <v>0</v>
      </c>
      <c r="U180" s="17">
        <v>0</v>
      </c>
      <c r="V180" s="17">
        <v>0</v>
      </c>
      <c r="W180" s="17">
        <v>0</v>
      </c>
      <c r="X180" s="17">
        <v>0</v>
      </c>
      <c r="Y180" s="17">
        <v>0</v>
      </c>
      <c r="Z180" s="17">
        <v>0</v>
      </c>
      <c r="AA180" s="17">
        <v>0</v>
      </c>
      <c r="AB180" s="17">
        <v>0</v>
      </c>
      <c r="AC180" s="17">
        <v>0</v>
      </c>
      <c r="AD180" s="17">
        <v>0</v>
      </c>
      <c r="AE180" s="17">
        <v>0</v>
      </c>
      <c r="AF180" s="17">
        <v>0</v>
      </c>
      <c r="AG180" s="17">
        <v>0</v>
      </c>
      <c r="AH180" s="17">
        <v>0</v>
      </c>
      <c r="AI180" s="17">
        <v>0</v>
      </c>
      <c r="AJ180" s="17">
        <v>0</v>
      </c>
      <c r="AK180" s="17">
        <v>0</v>
      </c>
      <c r="AL180" s="17">
        <v>0</v>
      </c>
      <c r="AM180" s="17">
        <v>0</v>
      </c>
      <c r="AN180" s="17">
        <v>0</v>
      </c>
      <c r="AO180" s="17">
        <v>0</v>
      </c>
      <c r="AP180" s="17">
        <v>0</v>
      </c>
      <c r="AQ180" s="17">
        <v>0</v>
      </c>
      <c r="AR180" s="17">
        <v>0</v>
      </c>
      <c r="AS180" s="17">
        <v>0</v>
      </c>
      <c r="AT180" s="17">
        <v>0</v>
      </c>
      <c r="AU180" s="17">
        <v>0</v>
      </c>
      <c r="AV180" s="17">
        <v>0</v>
      </c>
      <c r="AW180" s="17">
        <v>0</v>
      </c>
      <c r="AX180" s="17">
        <v>0</v>
      </c>
      <c r="AY180" s="17">
        <v>0</v>
      </c>
      <c r="AZ180" s="17">
        <v>0</v>
      </c>
      <c r="BA180" s="17">
        <v>0</v>
      </c>
      <c r="BB180" s="17">
        <v>0</v>
      </c>
      <c r="BC180" s="17">
        <v>0</v>
      </c>
      <c r="BD180" s="17">
        <v>0</v>
      </c>
      <c r="BE180" s="17">
        <v>0</v>
      </c>
      <c r="BF180" s="17">
        <v>0</v>
      </c>
      <c r="BG180" s="17">
        <v>0</v>
      </c>
      <c r="BH180" s="17">
        <v>0</v>
      </c>
      <c r="BI180" s="22">
        <f t="shared" si="32"/>
        <v>0</v>
      </c>
      <c r="BJ180" s="22">
        <f t="shared" si="33"/>
        <v>0</v>
      </c>
      <c r="BK180" s="22">
        <f t="shared" si="34"/>
        <v>0</v>
      </c>
      <c r="BL180" s="22">
        <f t="shared" si="35"/>
        <v>0</v>
      </c>
      <c r="BM180" s="22">
        <f t="shared" si="31"/>
        <v>0</v>
      </c>
      <c r="BN180" s="23" t="e">
        <f t="shared" si="30"/>
        <v>#DIV/0!</v>
      </c>
      <c r="BO180" s="23" t="e">
        <f t="shared" si="30"/>
        <v>#DIV/0!</v>
      </c>
      <c r="BP180" s="7" t="e">
        <f>VLOOKUP(A180,[1]Sheet15!B:E,4,0)</f>
        <v>#N/A</v>
      </c>
      <c r="BQ180" s="7" t="e">
        <f>VLOOKUP(A180,[1]Sheet15!B:E,3,0)</f>
        <v>#N/A</v>
      </c>
    </row>
    <row r="181" spans="1:69" ht="22.5" customHeight="1" x14ac:dyDescent="0.25">
      <c r="A181" s="15" t="s">
        <v>488</v>
      </c>
      <c r="B181" s="15" t="e">
        <f>VLOOKUP(A181,'[1]Master clients'!F177:W3724,17,0)</f>
        <v>#N/A</v>
      </c>
      <c r="C181" s="15" t="e">
        <f>VLOOKUP(A181,'[1]Master clients'!F177:P3724,11,0)</f>
        <v>#N/A</v>
      </c>
      <c r="D181" s="15" t="str">
        <f>VLOOKUP(A181,'[1]Master clients'!F:M,8,0)</f>
        <v>End User</v>
      </c>
      <c r="E181" s="16" t="s">
        <v>489</v>
      </c>
      <c r="F181" s="16" t="s">
        <v>490</v>
      </c>
      <c r="G181" s="17"/>
      <c r="H181" s="17"/>
      <c r="I181" s="18">
        <v>3</v>
      </c>
      <c r="J181" s="18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  <c r="AE181" s="17">
        <v>0</v>
      </c>
      <c r="AF181" s="17">
        <v>0</v>
      </c>
      <c r="AG181" s="17">
        <v>0</v>
      </c>
      <c r="AH181" s="17">
        <v>0</v>
      </c>
      <c r="AI181" s="17">
        <v>0</v>
      </c>
      <c r="AJ181" s="17">
        <v>0</v>
      </c>
      <c r="AK181" s="17">
        <v>0</v>
      </c>
      <c r="AL181" s="17">
        <v>0</v>
      </c>
      <c r="AM181" s="17">
        <v>0</v>
      </c>
      <c r="AN181" s="17">
        <v>0</v>
      </c>
      <c r="AO181" s="17">
        <v>0</v>
      </c>
      <c r="AP181" s="17">
        <v>0</v>
      </c>
      <c r="AQ181" s="17">
        <v>0</v>
      </c>
      <c r="AR181" s="17">
        <v>0</v>
      </c>
      <c r="AS181" s="17">
        <v>0</v>
      </c>
      <c r="AT181" s="17">
        <v>0</v>
      </c>
      <c r="AU181" s="17">
        <v>0</v>
      </c>
      <c r="AV181" s="17">
        <v>0</v>
      </c>
      <c r="AW181" s="17">
        <v>0</v>
      </c>
      <c r="AX181" s="17">
        <v>0</v>
      </c>
      <c r="AY181" s="17">
        <v>0</v>
      </c>
      <c r="AZ181" s="17">
        <v>0</v>
      </c>
      <c r="BA181" s="17">
        <v>0</v>
      </c>
      <c r="BB181" s="17">
        <v>0</v>
      </c>
      <c r="BC181" s="17">
        <v>0</v>
      </c>
      <c r="BD181" s="17">
        <v>0</v>
      </c>
      <c r="BE181" s="17">
        <v>0</v>
      </c>
      <c r="BF181" s="17">
        <v>0</v>
      </c>
      <c r="BG181" s="17">
        <v>0</v>
      </c>
      <c r="BH181" s="17">
        <v>0</v>
      </c>
      <c r="BI181" s="22">
        <f t="shared" si="32"/>
        <v>0</v>
      </c>
      <c r="BJ181" s="22">
        <f t="shared" si="33"/>
        <v>0</v>
      </c>
      <c r="BK181" s="22">
        <f t="shared" si="34"/>
        <v>3</v>
      </c>
      <c r="BL181" s="22">
        <f t="shared" si="35"/>
        <v>3</v>
      </c>
      <c r="BM181" s="22">
        <f t="shared" si="31"/>
        <v>0</v>
      </c>
      <c r="BN181" s="23">
        <f t="shared" ref="BN181:BO196" si="36">I181/BL181</f>
        <v>1</v>
      </c>
      <c r="BO181" s="23" t="e">
        <f t="shared" si="36"/>
        <v>#DIV/0!</v>
      </c>
      <c r="BP181" s="7">
        <f>VLOOKUP(A181,[1]Sheet15!B:E,4,0)</f>
        <v>3</v>
      </c>
      <c r="BQ181" s="7">
        <f>VLOOKUP(A181,[1]Sheet15!B:E,3,0)</f>
        <v>0</v>
      </c>
    </row>
    <row r="182" spans="1:69" ht="22.5" customHeight="1" x14ac:dyDescent="0.25">
      <c r="A182" s="15" t="s">
        <v>491</v>
      </c>
      <c r="B182" s="15">
        <f>VLOOKUP(A182,'[1]Master clients'!F178:W3725,17,0)</f>
        <v>0</v>
      </c>
      <c r="C182" s="15" t="str">
        <f>VLOOKUP(A182,'[1]Master clients'!F178:P3725,11,0)</f>
        <v>NI</v>
      </c>
      <c r="D182" s="15" t="str">
        <f>VLOOKUP(A182,'[1]Master clients'!F:M,8,0)</f>
        <v>End User</v>
      </c>
      <c r="E182" s="16" t="s">
        <v>492</v>
      </c>
      <c r="F182" s="16" t="s">
        <v>493</v>
      </c>
      <c r="G182" s="17"/>
      <c r="H182" s="17"/>
      <c r="I182" s="31">
        <v>1</v>
      </c>
      <c r="J182" s="31">
        <v>0</v>
      </c>
      <c r="K182" s="17">
        <v>0</v>
      </c>
      <c r="L182" s="17">
        <v>0</v>
      </c>
      <c r="M182" s="17">
        <v>0</v>
      </c>
      <c r="N182" s="17">
        <v>0</v>
      </c>
      <c r="O182" s="17">
        <v>0</v>
      </c>
      <c r="P182" s="17">
        <v>0</v>
      </c>
      <c r="Q182" s="17">
        <v>0</v>
      </c>
      <c r="R182" s="17">
        <v>0</v>
      </c>
      <c r="S182" s="17">
        <v>0</v>
      </c>
      <c r="T182" s="17">
        <v>0</v>
      </c>
      <c r="U182" s="17">
        <v>0</v>
      </c>
      <c r="V182" s="17">
        <v>0</v>
      </c>
      <c r="W182" s="17">
        <v>0</v>
      </c>
      <c r="X182" s="17">
        <v>0</v>
      </c>
      <c r="Y182" s="17">
        <v>0</v>
      </c>
      <c r="Z182" s="17">
        <v>0</v>
      </c>
      <c r="AA182" s="17">
        <v>0</v>
      </c>
      <c r="AB182" s="17">
        <v>0</v>
      </c>
      <c r="AC182" s="17">
        <v>0</v>
      </c>
      <c r="AD182" s="17">
        <v>0</v>
      </c>
      <c r="AE182" s="17">
        <v>0</v>
      </c>
      <c r="AF182" s="17">
        <v>0</v>
      </c>
      <c r="AG182" s="17">
        <v>0</v>
      </c>
      <c r="AH182" s="17">
        <v>0</v>
      </c>
      <c r="AI182" s="17">
        <v>0</v>
      </c>
      <c r="AJ182" s="17">
        <v>0</v>
      </c>
      <c r="AK182" s="17">
        <v>0</v>
      </c>
      <c r="AL182" s="17">
        <v>0</v>
      </c>
      <c r="AM182" s="17">
        <v>0</v>
      </c>
      <c r="AN182" s="17">
        <v>0</v>
      </c>
      <c r="AO182" s="17">
        <v>0</v>
      </c>
      <c r="AP182" s="17">
        <v>0</v>
      </c>
      <c r="AQ182" s="17">
        <v>0</v>
      </c>
      <c r="AR182" s="17">
        <v>0</v>
      </c>
      <c r="AS182" s="17">
        <v>0</v>
      </c>
      <c r="AT182" s="17">
        <v>0</v>
      </c>
      <c r="AU182" s="17">
        <v>0</v>
      </c>
      <c r="AV182" s="17">
        <v>0</v>
      </c>
      <c r="AW182" s="17">
        <v>0</v>
      </c>
      <c r="AX182" s="17">
        <v>0</v>
      </c>
      <c r="AY182" s="17">
        <v>0</v>
      </c>
      <c r="AZ182" s="17">
        <v>0</v>
      </c>
      <c r="BA182" s="17">
        <v>0</v>
      </c>
      <c r="BB182" s="17">
        <v>0</v>
      </c>
      <c r="BC182" s="17">
        <v>0</v>
      </c>
      <c r="BD182" s="17">
        <v>0</v>
      </c>
      <c r="BE182" s="17">
        <v>0</v>
      </c>
      <c r="BF182" s="17">
        <v>0</v>
      </c>
      <c r="BG182" s="17">
        <v>0</v>
      </c>
      <c r="BH182" s="17">
        <v>0</v>
      </c>
      <c r="BI182" s="22">
        <f t="shared" si="32"/>
        <v>0</v>
      </c>
      <c r="BJ182" s="22">
        <f t="shared" si="33"/>
        <v>0</v>
      </c>
      <c r="BK182" s="22">
        <f t="shared" si="34"/>
        <v>1</v>
      </c>
      <c r="BL182" s="22">
        <f t="shared" si="35"/>
        <v>1</v>
      </c>
      <c r="BM182" s="22">
        <f t="shared" si="31"/>
        <v>0</v>
      </c>
      <c r="BN182" s="23">
        <f t="shared" si="36"/>
        <v>1</v>
      </c>
      <c r="BO182" s="23" t="e">
        <f t="shared" si="36"/>
        <v>#DIV/0!</v>
      </c>
      <c r="BP182" s="7">
        <f>VLOOKUP(A182,[1]Sheet15!B:E,4,0)</f>
        <v>1</v>
      </c>
      <c r="BQ182" s="7">
        <f>VLOOKUP(A182,[1]Sheet15!B:E,3,0)</f>
        <v>0</v>
      </c>
    </row>
    <row r="183" spans="1:69" ht="22.5" customHeight="1" x14ac:dyDescent="0.25">
      <c r="A183" s="15" t="s">
        <v>494</v>
      </c>
      <c r="B183" s="15" t="e">
        <f>VLOOKUP(A183,'[1]Master clients'!F179:W3726,17,0)</f>
        <v>#N/A</v>
      </c>
      <c r="C183" s="15" t="e">
        <f>VLOOKUP(A183,'[1]Master clients'!F179:P3726,11,0)</f>
        <v>#N/A</v>
      </c>
      <c r="D183" s="15" t="str">
        <f>VLOOKUP(A183,'[1]Master clients'!F:M,8,0)</f>
        <v>End User</v>
      </c>
      <c r="E183" s="16" t="s">
        <v>495</v>
      </c>
      <c r="F183" s="16" t="s">
        <v>496</v>
      </c>
      <c r="G183" s="17"/>
      <c r="H183" s="17"/>
      <c r="I183" s="18">
        <v>1</v>
      </c>
      <c r="J183" s="18">
        <v>0</v>
      </c>
      <c r="K183" s="17">
        <v>0</v>
      </c>
      <c r="L183" s="17">
        <v>0</v>
      </c>
      <c r="M183" s="17">
        <v>0</v>
      </c>
      <c r="N183" s="17">
        <v>0</v>
      </c>
      <c r="O183" s="17">
        <v>0</v>
      </c>
      <c r="P183" s="17">
        <v>0</v>
      </c>
      <c r="Q183" s="17">
        <v>0</v>
      </c>
      <c r="R183" s="17">
        <v>0</v>
      </c>
      <c r="S183" s="17">
        <v>0</v>
      </c>
      <c r="T183" s="17">
        <v>0</v>
      </c>
      <c r="U183" s="17">
        <v>0</v>
      </c>
      <c r="V183" s="17">
        <v>0</v>
      </c>
      <c r="W183" s="17">
        <v>0</v>
      </c>
      <c r="X183" s="17">
        <v>0</v>
      </c>
      <c r="Y183" s="17">
        <v>0</v>
      </c>
      <c r="Z183" s="17">
        <v>0</v>
      </c>
      <c r="AA183" s="17">
        <v>0</v>
      </c>
      <c r="AB183" s="17">
        <v>0</v>
      </c>
      <c r="AC183" s="17">
        <v>0</v>
      </c>
      <c r="AD183" s="17">
        <v>0</v>
      </c>
      <c r="AE183" s="17">
        <v>0</v>
      </c>
      <c r="AF183" s="17">
        <v>0</v>
      </c>
      <c r="AG183" s="17">
        <v>0</v>
      </c>
      <c r="AH183" s="17">
        <v>0</v>
      </c>
      <c r="AI183" s="17">
        <v>0</v>
      </c>
      <c r="AJ183" s="17">
        <v>0</v>
      </c>
      <c r="AK183" s="17">
        <v>0</v>
      </c>
      <c r="AL183" s="17">
        <v>0</v>
      </c>
      <c r="AM183" s="17">
        <v>0</v>
      </c>
      <c r="AN183" s="17">
        <v>0</v>
      </c>
      <c r="AO183" s="17">
        <v>0</v>
      </c>
      <c r="AP183" s="17">
        <v>0</v>
      </c>
      <c r="AQ183" s="17">
        <v>0</v>
      </c>
      <c r="AR183" s="17">
        <v>0</v>
      </c>
      <c r="AS183" s="17">
        <v>0</v>
      </c>
      <c r="AT183" s="17">
        <v>0</v>
      </c>
      <c r="AU183" s="17">
        <v>0</v>
      </c>
      <c r="AV183" s="17">
        <v>0</v>
      </c>
      <c r="AW183" s="17">
        <v>0</v>
      </c>
      <c r="AX183" s="17">
        <v>0</v>
      </c>
      <c r="AY183" s="17">
        <v>0</v>
      </c>
      <c r="AZ183" s="17">
        <v>0</v>
      </c>
      <c r="BA183" s="17">
        <v>0</v>
      </c>
      <c r="BB183" s="17">
        <v>0</v>
      </c>
      <c r="BC183" s="17">
        <v>0</v>
      </c>
      <c r="BD183" s="17">
        <v>0</v>
      </c>
      <c r="BE183" s="17">
        <v>0</v>
      </c>
      <c r="BF183" s="17">
        <v>0</v>
      </c>
      <c r="BG183" s="17">
        <v>0</v>
      </c>
      <c r="BH183" s="17">
        <v>0</v>
      </c>
      <c r="BI183" s="22">
        <f t="shared" si="32"/>
        <v>0</v>
      </c>
      <c r="BJ183" s="22">
        <f t="shared" si="33"/>
        <v>0</v>
      </c>
      <c r="BK183" s="22">
        <f t="shared" si="34"/>
        <v>1</v>
      </c>
      <c r="BL183" s="22">
        <f t="shared" si="35"/>
        <v>1</v>
      </c>
      <c r="BM183" s="22">
        <f t="shared" si="31"/>
        <v>0</v>
      </c>
      <c r="BN183" s="23">
        <f t="shared" si="36"/>
        <v>1</v>
      </c>
      <c r="BO183" s="23" t="e">
        <f t="shared" si="36"/>
        <v>#DIV/0!</v>
      </c>
      <c r="BP183" s="7">
        <f>VLOOKUP(A183,[1]Sheet15!B:E,4,0)</f>
        <v>1</v>
      </c>
      <c r="BQ183" s="7">
        <f>VLOOKUP(A183,[1]Sheet15!B:E,3,0)</f>
        <v>0</v>
      </c>
    </row>
    <row r="184" spans="1:69" ht="22.5" customHeight="1" x14ac:dyDescent="0.25">
      <c r="A184" s="15" t="s">
        <v>497</v>
      </c>
      <c r="B184" s="15">
        <f>VLOOKUP(A184,'[1]Master clients'!F180:W3727,17,0)</f>
        <v>0</v>
      </c>
      <c r="C184" s="15" t="str">
        <f>VLOOKUP(A184,'[1]Master clients'!F180:P3727,11,0)</f>
        <v>NI</v>
      </c>
      <c r="D184" s="15" t="str">
        <f>VLOOKUP(A184,'[1]Master clients'!F:M,8,0)</f>
        <v>End User</v>
      </c>
      <c r="E184" s="24" t="s">
        <v>498</v>
      </c>
      <c r="F184" s="25" t="s">
        <v>496</v>
      </c>
      <c r="G184" s="20">
        <v>0</v>
      </c>
      <c r="H184" s="20">
        <v>0</v>
      </c>
      <c r="I184" s="26">
        <v>7</v>
      </c>
      <c r="J184" s="26">
        <v>0</v>
      </c>
      <c r="K184" s="20">
        <v>4</v>
      </c>
      <c r="L184" s="20">
        <v>0</v>
      </c>
      <c r="M184" s="20">
        <v>0</v>
      </c>
      <c r="N184" s="20">
        <v>0</v>
      </c>
      <c r="O184" s="20">
        <v>0</v>
      </c>
      <c r="P184" s="20">
        <v>0</v>
      </c>
      <c r="Q184" s="20">
        <v>0</v>
      </c>
      <c r="R184" s="20">
        <v>0</v>
      </c>
      <c r="S184" s="20">
        <v>0</v>
      </c>
      <c r="T184" s="20">
        <v>0</v>
      </c>
      <c r="U184" s="20">
        <v>0</v>
      </c>
      <c r="V184" s="20">
        <v>0</v>
      </c>
      <c r="W184" s="20">
        <v>0</v>
      </c>
      <c r="X184" s="20">
        <v>0</v>
      </c>
      <c r="Y184" s="20">
        <v>0</v>
      </c>
      <c r="Z184" s="20">
        <v>0</v>
      </c>
      <c r="AA184" s="20">
        <v>0</v>
      </c>
      <c r="AB184" s="20">
        <v>0</v>
      </c>
      <c r="AC184" s="20">
        <v>0</v>
      </c>
      <c r="AD184" s="20">
        <v>0</v>
      </c>
      <c r="AE184" s="20">
        <v>0</v>
      </c>
      <c r="AF184" s="20">
        <v>0</v>
      </c>
      <c r="AG184" s="20">
        <v>0</v>
      </c>
      <c r="AH184" s="20">
        <v>0</v>
      </c>
      <c r="AI184" s="20">
        <v>0</v>
      </c>
      <c r="AJ184" s="20">
        <v>0</v>
      </c>
      <c r="AK184" s="20">
        <v>0</v>
      </c>
      <c r="AL184" s="20">
        <v>0</v>
      </c>
      <c r="AM184" s="20">
        <v>0</v>
      </c>
      <c r="AN184" s="20">
        <v>0</v>
      </c>
      <c r="AO184" s="20">
        <v>0</v>
      </c>
      <c r="AP184" s="20">
        <v>0</v>
      </c>
      <c r="AQ184" s="20">
        <v>0</v>
      </c>
      <c r="AR184" s="20">
        <v>0</v>
      </c>
      <c r="AS184" s="20">
        <v>0</v>
      </c>
      <c r="AT184" s="20">
        <v>0</v>
      </c>
      <c r="AU184" s="20">
        <v>0</v>
      </c>
      <c r="AV184" s="20">
        <v>0</v>
      </c>
      <c r="AW184" s="20">
        <v>0</v>
      </c>
      <c r="AX184" s="20">
        <v>0</v>
      </c>
      <c r="AY184" s="20">
        <v>0</v>
      </c>
      <c r="AZ184" s="20">
        <v>0</v>
      </c>
      <c r="BA184" s="20">
        <v>0</v>
      </c>
      <c r="BB184" s="27">
        <v>0</v>
      </c>
      <c r="BC184" s="20">
        <v>0</v>
      </c>
      <c r="BD184" s="20">
        <v>0</v>
      </c>
      <c r="BE184" s="21">
        <v>0</v>
      </c>
      <c r="BF184" s="21">
        <v>0</v>
      </c>
      <c r="BG184" s="20">
        <v>0</v>
      </c>
      <c r="BH184" s="20">
        <v>0</v>
      </c>
      <c r="BI184" s="22">
        <f t="shared" si="32"/>
        <v>4</v>
      </c>
      <c r="BJ184" s="22">
        <f t="shared" si="33"/>
        <v>0</v>
      </c>
      <c r="BK184" s="28">
        <f t="shared" si="34"/>
        <v>11</v>
      </c>
      <c r="BL184" s="22">
        <f t="shared" si="35"/>
        <v>11</v>
      </c>
      <c r="BM184" s="22">
        <f t="shared" si="31"/>
        <v>0</v>
      </c>
      <c r="BN184" s="23">
        <f t="shared" si="36"/>
        <v>0.63636363636363635</v>
      </c>
      <c r="BO184" s="23" t="e">
        <f t="shared" si="36"/>
        <v>#DIV/0!</v>
      </c>
      <c r="BP184" s="7">
        <f>VLOOKUP(A184,[1]Sheet15!B:E,4,0)</f>
        <v>6</v>
      </c>
      <c r="BQ184" s="7">
        <f>VLOOKUP(A184,[1]Sheet15!B:E,3,0)</f>
        <v>0</v>
      </c>
    </row>
    <row r="185" spans="1:69" ht="22.5" customHeight="1" x14ac:dyDescent="0.25">
      <c r="A185" s="15" t="s">
        <v>499</v>
      </c>
      <c r="B185" s="15">
        <f>VLOOKUP(A185,'[1]Master clients'!F181:W3728,17,0)</f>
        <v>0</v>
      </c>
      <c r="C185" s="15" t="str">
        <f>VLOOKUP(A185,'[1]Master clients'!F181:P3728,11,0)</f>
        <v>MRK</v>
      </c>
      <c r="D185" s="15" t="str">
        <f>VLOOKUP(A185,'[1]Master clients'!F:M,8,0)</f>
        <v>End User</v>
      </c>
      <c r="E185" s="16" t="s">
        <v>500</v>
      </c>
      <c r="F185" s="16" t="s">
        <v>501</v>
      </c>
      <c r="G185" s="17">
        <v>16</v>
      </c>
      <c r="H185" s="17">
        <v>17</v>
      </c>
      <c r="I185" s="17">
        <v>16</v>
      </c>
      <c r="J185" s="17">
        <v>17</v>
      </c>
      <c r="K185" s="17">
        <v>0</v>
      </c>
      <c r="L185" s="17">
        <v>0</v>
      </c>
      <c r="M185" s="17">
        <v>0</v>
      </c>
      <c r="N185" s="17">
        <v>0</v>
      </c>
      <c r="O185" s="17">
        <v>0</v>
      </c>
      <c r="P185" s="17">
        <v>0</v>
      </c>
      <c r="Q185" s="17">
        <v>0</v>
      </c>
      <c r="R185" s="17">
        <v>0</v>
      </c>
      <c r="S185" s="17">
        <v>0</v>
      </c>
      <c r="T185" s="17">
        <v>0</v>
      </c>
      <c r="U185" s="17">
        <v>0</v>
      </c>
      <c r="V185" s="17">
        <v>0</v>
      </c>
      <c r="W185" s="17">
        <v>0</v>
      </c>
      <c r="X185" s="17">
        <v>0</v>
      </c>
      <c r="Y185" s="17">
        <v>0</v>
      </c>
      <c r="Z185" s="17">
        <v>0</v>
      </c>
      <c r="AA185" s="17">
        <v>0</v>
      </c>
      <c r="AB185" s="17">
        <v>0</v>
      </c>
      <c r="AC185" s="17">
        <v>0</v>
      </c>
      <c r="AD185" s="17">
        <v>0</v>
      </c>
      <c r="AE185" s="17">
        <v>0</v>
      </c>
      <c r="AF185" s="17">
        <v>0</v>
      </c>
      <c r="AG185" s="17">
        <v>0</v>
      </c>
      <c r="AH185" s="17">
        <v>0</v>
      </c>
      <c r="AI185" s="17">
        <v>0</v>
      </c>
      <c r="AJ185" s="17">
        <v>0</v>
      </c>
      <c r="AK185" s="17">
        <v>0</v>
      </c>
      <c r="AL185" s="17">
        <v>0</v>
      </c>
      <c r="AM185" s="17">
        <v>0</v>
      </c>
      <c r="AN185" s="17">
        <v>0</v>
      </c>
      <c r="AO185" s="17">
        <v>0</v>
      </c>
      <c r="AP185" s="17">
        <v>0</v>
      </c>
      <c r="AQ185" s="17">
        <v>0</v>
      </c>
      <c r="AR185" s="17">
        <v>0</v>
      </c>
      <c r="AS185" s="17">
        <v>0</v>
      </c>
      <c r="AT185" s="17">
        <v>0</v>
      </c>
      <c r="AU185" s="17">
        <v>0</v>
      </c>
      <c r="AV185" s="17">
        <v>0</v>
      </c>
      <c r="AW185" s="17">
        <v>0</v>
      </c>
      <c r="AX185" s="17">
        <v>0</v>
      </c>
      <c r="AY185" s="17">
        <v>0</v>
      </c>
      <c r="AZ185" s="17">
        <v>0</v>
      </c>
      <c r="BA185" s="17">
        <v>0</v>
      </c>
      <c r="BB185" s="17">
        <v>0</v>
      </c>
      <c r="BC185" s="17">
        <v>0</v>
      </c>
      <c r="BD185" s="17">
        <v>0</v>
      </c>
      <c r="BE185" s="17">
        <v>0</v>
      </c>
      <c r="BF185" s="17">
        <v>0</v>
      </c>
      <c r="BG185" s="17">
        <v>0</v>
      </c>
      <c r="BH185" s="17">
        <v>0</v>
      </c>
      <c r="BI185" s="22">
        <f t="shared" si="32"/>
        <v>0</v>
      </c>
      <c r="BJ185" s="22">
        <f t="shared" si="33"/>
        <v>0</v>
      </c>
      <c r="BK185" s="22">
        <f t="shared" si="34"/>
        <v>33</v>
      </c>
      <c r="BL185" s="22">
        <f t="shared" si="35"/>
        <v>16</v>
      </c>
      <c r="BM185" s="22">
        <f t="shared" si="31"/>
        <v>17</v>
      </c>
      <c r="BN185" s="23">
        <f t="shared" si="36"/>
        <v>1</v>
      </c>
      <c r="BO185" s="23">
        <f t="shared" si="36"/>
        <v>1</v>
      </c>
      <c r="BP185" s="7" t="e">
        <f>VLOOKUP(A185,[1]Sheet15!B:E,4,0)</f>
        <v>#N/A</v>
      </c>
      <c r="BQ185" s="7" t="e">
        <f>VLOOKUP(A185,[1]Sheet15!B:E,3,0)</f>
        <v>#N/A</v>
      </c>
    </row>
    <row r="186" spans="1:69" ht="22.5" customHeight="1" x14ac:dyDescent="0.25">
      <c r="A186" s="15" t="s">
        <v>502</v>
      </c>
      <c r="B186" s="15">
        <f>VLOOKUP(A186,'[1]Master clients'!F182:W3729,17,0)</f>
        <v>0</v>
      </c>
      <c r="C186" s="15" t="str">
        <f>VLOOKUP(A186,'[1]Master clients'!F182:P3729,11,0)</f>
        <v>SI-GS</v>
      </c>
      <c r="D186" s="15" t="str">
        <f>VLOOKUP(A186,'[1]Master clients'!F:M,8,0)</f>
        <v>Group (Mills)</v>
      </c>
      <c r="E186" s="16" t="s">
        <v>503</v>
      </c>
      <c r="F186" s="16" t="s">
        <v>501</v>
      </c>
      <c r="G186" s="17"/>
      <c r="H186" s="17"/>
      <c r="I186" s="31">
        <v>0</v>
      </c>
      <c r="J186" s="31">
        <v>0</v>
      </c>
      <c r="K186" s="17">
        <v>0</v>
      </c>
      <c r="L186" s="17">
        <v>0</v>
      </c>
      <c r="M186" s="17">
        <v>0</v>
      </c>
      <c r="N186" s="17">
        <v>0</v>
      </c>
      <c r="O186" s="17">
        <v>0</v>
      </c>
      <c r="P186" s="17">
        <v>0</v>
      </c>
      <c r="Q186" s="17">
        <v>0</v>
      </c>
      <c r="R186" s="17">
        <v>0</v>
      </c>
      <c r="S186" s="17">
        <v>0</v>
      </c>
      <c r="T186" s="17">
        <v>0</v>
      </c>
      <c r="U186" s="17">
        <v>0</v>
      </c>
      <c r="V186" s="17">
        <v>0</v>
      </c>
      <c r="W186" s="17">
        <v>0</v>
      </c>
      <c r="X186" s="17">
        <v>0</v>
      </c>
      <c r="Y186" s="17">
        <v>0</v>
      </c>
      <c r="Z186" s="17">
        <v>0</v>
      </c>
      <c r="AA186" s="17">
        <v>0</v>
      </c>
      <c r="AB186" s="17">
        <v>0</v>
      </c>
      <c r="AC186" s="17">
        <v>0</v>
      </c>
      <c r="AD186" s="17">
        <v>0</v>
      </c>
      <c r="AE186" s="17">
        <v>0</v>
      </c>
      <c r="AF186" s="17">
        <v>0</v>
      </c>
      <c r="AG186" s="17">
        <v>0</v>
      </c>
      <c r="AH186" s="17">
        <v>0</v>
      </c>
      <c r="AI186" s="17">
        <v>0</v>
      </c>
      <c r="AJ186" s="17">
        <v>0</v>
      </c>
      <c r="AK186" s="17">
        <v>0</v>
      </c>
      <c r="AL186" s="17">
        <v>0</v>
      </c>
      <c r="AM186" s="17">
        <v>0</v>
      </c>
      <c r="AN186" s="17">
        <v>0</v>
      </c>
      <c r="AO186" s="17">
        <v>0</v>
      </c>
      <c r="AP186" s="17">
        <v>0</v>
      </c>
      <c r="AQ186" s="17">
        <v>0</v>
      </c>
      <c r="AR186" s="17">
        <v>0</v>
      </c>
      <c r="AS186" s="17">
        <v>0</v>
      </c>
      <c r="AT186" s="17">
        <v>0</v>
      </c>
      <c r="AU186" s="17">
        <v>0</v>
      </c>
      <c r="AV186" s="17">
        <v>0</v>
      </c>
      <c r="AW186" s="17">
        <v>0</v>
      </c>
      <c r="AX186" s="17">
        <v>0</v>
      </c>
      <c r="AY186" s="17">
        <v>0</v>
      </c>
      <c r="AZ186" s="17">
        <v>0</v>
      </c>
      <c r="BA186" s="17">
        <v>0</v>
      </c>
      <c r="BB186" s="17">
        <v>0</v>
      </c>
      <c r="BC186" s="17">
        <v>0</v>
      </c>
      <c r="BD186" s="17">
        <v>0</v>
      </c>
      <c r="BE186" s="17">
        <v>0</v>
      </c>
      <c r="BF186" s="17">
        <v>0</v>
      </c>
      <c r="BG186" s="17">
        <v>0</v>
      </c>
      <c r="BH186" s="17">
        <v>0</v>
      </c>
      <c r="BI186" s="22">
        <f>SUM(M186+N186+P186+R186+T186+W186+Z186+AC186+AE186+AL186+AO186+AP186+AS186+AW186+AX186+BC186+BE186+BG186)</f>
        <v>0</v>
      </c>
      <c r="BJ186" s="22">
        <f>SUM(H186:BG186)</f>
        <v>0</v>
      </c>
      <c r="BK186" s="22">
        <f>SUM(H186+J186+K186+L186+O186+Q186+S186+U186+V186+X186+Y186+AA186+AB186+AD186+AF186+AG186+AH186+AI186+AJ186+AK186+AM186+AN186+AQ186+AR186+AT186+AU186+AV186+AY186+AZ186+BA186+BB186+BF186+BD186)</f>
        <v>0</v>
      </c>
      <c r="BL186" s="22">
        <f t="shared" ref="BL186:BM201" si="37">SUM(I186+M186+N186+P186+R186+T186+W186+Z186+AC186+AE186+AL186+AO186+AP186+AS186+AW186+AX186+BC186+BG186)</f>
        <v>0</v>
      </c>
      <c r="BM186" s="22">
        <f t="shared" si="37"/>
        <v>0</v>
      </c>
      <c r="BN186" s="23" t="e">
        <f t="shared" si="36"/>
        <v>#DIV/0!</v>
      </c>
      <c r="BO186" s="23" t="e">
        <f t="shared" si="36"/>
        <v>#DIV/0!</v>
      </c>
      <c r="BP186" s="7" t="e">
        <f>VLOOKUP(A186,[1]Sheet15!B:E,4,0)</f>
        <v>#N/A</v>
      </c>
      <c r="BQ186" s="7" t="e">
        <f>VLOOKUP(A186,[1]Sheet15!B:E,3,0)</f>
        <v>#N/A</v>
      </c>
    </row>
    <row r="187" spans="1:69" ht="22.5" customHeight="1" x14ac:dyDescent="0.25">
      <c r="A187" s="15" t="s">
        <v>504</v>
      </c>
      <c r="B187" s="15">
        <f>VLOOKUP(A187,'[1]Master clients'!F183:W3730,17,0)</f>
        <v>0</v>
      </c>
      <c r="C187" s="15" t="str">
        <f>VLOOKUP(A187,'[1]Master clients'!F183:P3730,11,0)</f>
        <v>AV</v>
      </c>
      <c r="D187" s="15" t="str">
        <f>VLOOKUP(A187,'[1]Master clients'!F:M,8,0)</f>
        <v>End User</v>
      </c>
      <c r="E187" s="16" t="s">
        <v>505</v>
      </c>
      <c r="F187" s="16" t="s">
        <v>501</v>
      </c>
      <c r="G187" s="17">
        <v>17</v>
      </c>
      <c r="H187" s="17">
        <v>21</v>
      </c>
      <c r="I187" s="18">
        <v>14</v>
      </c>
      <c r="J187" s="18">
        <v>13</v>
      </c>
      <c r="K187" s="17">
        <v>0</v>
      </c>
      <c r="L187" s="17">
        <v>0</v>
      </c>
      <c r="M187" s="17">
        <v>0</v>
      </c>
      <c r="N187" s="17">
        <v>1</v>
      </c>
      <c r="O187" s="19">
        <v>0</v>
      </c>
      <c r="P187" s="19">
        <v>0</v>
      </c>
      <c r="Q187" s="19">
        <v>5</v>
      </c>
      <c r="R187" s="19">
        <v>0</v>
      </c>
      <c r="S187" s="19">
        <v>0</v>
      </c>
      <c r="T187" s="19">
        <v>0</v>
      </c>
      <c r="U187" s="19">
        <v>0</v>
      </c>
      <c r="V187" s="19">
        <v>0</v>
      </c>
      <c r="W187" s="20">
        <v>0</v>
      </c>
      <c r="X187" s="20">
        <v>0</v>
      </c>
      <c r="Y187" s="19">
        <v>0</v>
      </c>
      <c r="Z187" s="19">
        <v>0</v>
      </c>
      <c r="AA187" s="19">
        <v>0</v>
      </c>
      <c r="AB187" s="19">
        <v>0</v>
      </c>
      <c r="AC187" s="19">
        <v>0</v>
      </c>
      <c r="AD187" s="19">
        <v>0</v>
      </c>
      <c r="AE187" s="19">
        <v>0</v>
      </c>
      <c r="AF187" s="19">
        <v>0</v>
      </c>
      <c r="AG187" s="19">
        <v>0</v>
      </c>
      <c r="AH187" s="19">
        <v>0</v>
      </c>
      <c r="AI187" s="20">
        <v>0</v>
      </c>
      <c r="AJ187" s="20">
        <v>0</v>
      </c>
      <c r="AK187" s="19">
        <v>0</v>
      </c>
      <c r="AL187" s="20">
        <v>0</v>
      </c>
      <c r="AM187" s="19">
        <v>0</v>
      </c>
      <c r="AN187" s="19">
        <v>0</v>
      </c>
      <c r="AO187" s="19">
        <v>0</v>
      </c>
      <c r="AP187" s="19">
        <v>0</v>
      </c>
      <c r="AQ187" s="19">
        <v>0</v>
      </c>
      <c r="AR187" s="19">
        <v>0</v>
      </c>
      <c r="AS187" s="19">
        <v>1</v>
      </c>
      <c r="AT187" s="19">
        <v>0</v>
      </c>
      <c r="AU187" s="19">
        <v>0</v>
      </c>
      <c r="AV187" s="19">
        <v>0</v>
      </c>
      <c r="AW187" s="20">
        <v>0</v>
      </c>
      <c r="AX187" s="20">
        <v>0</v>
      </c>
      <c r="AY187" s="20">
        <v>0</v>
      </c>
      <c r="AZ187" s="19">
        <v>0</v>
      </c>
      <c r="BA187" s="19">
        <v>0</v>
      </c>
      <c r="BB187" s="19">
        <v>0</v>
      </c>
      <c r="BC187" s="19">
        <v>0</v>
      </c>
      <c r="BD187" s="19">
        <v>0</v>
      </c>
      <c r="BE187" s="21">
        <v>0</v>
      </c>
      <c r="BF187" s="21">
        <v>0</v>
      </c>
      <c r="BG187" s="19">
        <v>0</v>
      </c>
      <c r="BH187" s="19">
        <v>0</v>
      </c>
      <c r="BI187" s="22">
        <f t="shared" ref="BI187:BI214" si="38">SUM(K187+L187+M187+P187+R187+T187+V187+W187+Y187+Z187+AB187+AC187+AE187+AG187+AH187+AI187+AJ187+AK187+AL187+AN187+AO187+AR187+AS187+AU187+AV187+AW187+AZ187+BA187+BB187+BC187+BE187+BG187)</f>
        <v>1</v>
      </c>
      <c r="BJ187" s="22">
        <f t="shared" ref="BJ187:BJ214" si="39">SUM(N187+O187+Q187+S187+U187+X187+AA187+AD187+AF187+AM187+AP187+AQ187+AT187+AX187+AY187+BD187+BF187+BH187)</f>
        <v>6</v>
      </c>
      <c r="BK187" s="22">
        <f t="shared" ref="BK187:BK214" si="40">SUM(I187:BH187)</f>
        <v>34</v>
      </c>
      <c r="BL187" s="22">
        <f t="shared" ref="BL187:BL214" si="41">SUM(I187+K187+L187+M187+P187+R187+T187+V187+W187+Y187+Z187+AB187+AC187+AE187+AG187+AH187+AI187+AJ187+AK187+AL187+AN187+AO187+AR187+AS187+AU187+AV187+AW187+AZ187+BA187+BB187+BC187+BG187+BE187)</f>
        <v>15</v>
      </c>
      <c r="BM187" s="22">
        <f t="shared" si="37"/>
        <v>19</v>
      </c>
      <c r="BN187" s="23">
        <f t="shared" si="36"/>
        <v>0.93333333333333335</v>
      </c>
      <c r="BO187" s="23">
        <f t="shared" si="36"/>
        <v>0.68421052631578949</v>
      </c>
      <c r="BP187" s="7">
        <f>VLOOKUP(A187,[1]Sheet15!B:E,4,0)</f>
        <v>2</v>
      </c>
      <c r="BQ187" s="7">
        <f>VLOOKUP(A187,[1]Sheet15!B:E,3,0)</f>
        <v>4</v>
      </c>
    </row>
    <row r="188" spans="1:69" ht="22.5" customHeight="1" x14ac:dyDescent="0.25">
      <c r="A188" s="15" t="s">
        <v>506</v>
      </c>
      <c r="B188" s="15">
        <f>VLOOKUP(A188,'[1]Master clients'!F184:W3731,17,0)</f>
        <v>0</v>
      </c>
      <c r="C188" s="15" t="str">
        <f>VLOOKUP(A188,'[1]Master clients'!F184:P3731,11,0)</f>
        <v>MRK</v>
      </c>
      <c r="D188" s="15" t="str">
        <f>VLOOKUP(A188,'[1]Master clients'!F:M,8,0)</f>
        <v>End User</v>
      </c>
      <c r="E188" s="16" t="s">
        <v>507</v>
      </c>
      <c r="F188" s="16" t="s">
        <v>501</v>
      </c>
      <c r="G188" s="17">
        <v>1</v>
      </c>
      <c r="H188" s="17">
        <v>0</v>
      </c>
      <c r="I188" s="17">
        <v>1</v>
      </c>
      <c r="J188" s="18">
        <v>0</v>
      </c>
      <c r="K188" s="17">
        <v>0</v>
      </c>
      <c r="L188" s="17">
        <v>7</v>
      </c>
      <c r="M188" s="17">
        <v>0</v>
      </c>
      <c r="N188" s="17">
        <v>2</v>
      </c>
      <c r="O188" s="19">
        <v>0</v>
      </c>
      <c r="P188" s="19">
        <v>0</v>
      </c>
      <c r="Q188" s="19">
        <v>6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20">
        <v>0</v>
      </c>
      <c r="X188" s="20">
        <v>0</v>
      </c>
      <c r="Y188" s="19">
        <v>0</v>
      </c>
      <c r="Z188" s="19">
        <v>0</v>
      </c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>
        <v>0</v>
      </c>
      <c r="AI188" s="20">
        <v>0</v>
      </c>
      <c r="AJ188" s="20">
        <v>0</v>
      </c>
      <c r="AK188" s="19">
        <v>0</v>
      </c>
      <c r="AL188" s="20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>
        <v>0</v>
      </c>
      <c r="AS188" s="19">
        <v>0</v>
      </c>
      <c r="AT188" s="19">
        <v>0</v>
      </c>
      <c r="AU188" s="19">
        <v>0</v>
      </c>
      <c r="AV188" s="19">
        <v>0</v>
      </c>
      <c r="AW188" s="20">
        <v>0</v>
      </c>
      <c r="AX188" s="20">
        <v>0</v>
      </c>
      <c r="AY188" s="20">
        <v>0</v>
      </c>
      <c r="AZ188" s="19">
        <v>0</v>
      </c>
      <c r="BA188" s="19">
        <v>0</v>
      </c>
      <c r="BB188" s="19">
        <v>0</v>
      </c>
      <c r="BC188" s="19">
        <v>0</v>
      </c>
      <c r="BD188" s="19">
        <v>0</v>
      </c>
      <c r="BE188" s="21">
        <v>0</v>
      </c>
      <c r="BF188" s="21">
        <v>0</v>
      </c>
      <c r="BG188" s="19">
        <v>0</v>
      </c>
      <c r="BH188" s="19">
        <v>0</v>
      </c>
      <c r="BI188" s="22">
        <f t="shared" si="38"/>
        <v>7</v>
      </c>
      <c r="BJ188" s="22">
        <f t="shared" si="39"/>
        <v>8</v>
      </c>
      <c r="BK188" s="22">
        <f t="shared" si="40"/>
        <v>16</v>
      </c>
      <c r="BL188" s="22">
        <f t="shared" si="41"/>
        <v>8</v>
      </c>
      <c r="BM188" s="22">
        <f t="shared" si="37"/>
        <v>8</v>
      </c>
      <c r="BN188" s="23">
        <f t="shared" si="36"/>
        <v>0.125</v>
      </c>
      <c r="BO188" s="23">
        <f t="shared" si="36"/>
        <v>0</v>
      </c>
      <c r="BP188" s="7" t="e">
        <f>VLOOKUP(A188,[1]Sheet15!B:E,4,0)</f>
        <v>#N/A</v>
      </c>
      <c r="BQ188" s="7" t="e">
        <f>VLOOKUP(A188,[1]Sheet15!B:E,3,0)</f>
        <v>#N/A</v>
      </c>
    </row>
    <row r="189" spans="1:69" ht="22.5" customHeight="1" x14ac:dyDescent="0.25">
      <c r="A189" s="15" t="s">
        <v>508</v>
      </c>
      <c r="B189" s="15">
        <f>VLOOKUP(A189,'[1]Master clients'!F185:W3732,17,0)</f>
        <v>0</v>
      </c>
      <c r="C189" s="15" t="str">
        <f>VLOOKUP(A189,'[1]Master clients'!F185:P3732,11,0)</f>
        <v>AV</v>
      </c>
      <c r="D189" s="15" t="str">
        <f>VLOOKUP(A189,'[1]Master clients'!F:M,8,0)</f>
        <v>End User</v>
      </c>
      <c r="E189" s="16" t="s">
        <v>509</v>
      </c>
      <c r="F189" s="16" t="s">
        <v>510</v>
      </c>
      <c r="G189" s="17">
        <v>13</v>
      </c>
      <c r="H189" s="17">
        <v>0</v>
      </c>
      <c r="I189" s="18">
        <v>13</v>
      </c>
      <c r="J189" s="18">
        <v>3</v>
      </c>
      <c r="K189" s="17">
        <v>0</v>
      </c>
      <c r="L189" s="17">
        <v>0</v>
      </c>
      <c r="M189" s="17">
        <v>0</v>
      </c>
      <c r="N189" s="17">
        <v>0</v>
      </c>
      <c r="O189" s="19">
        <v>0</v>
      </c>
      <c r="P189" s="19">
        <v>0</v>
      </c>
      <c r="Q189" s="19">
        <v>5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20">
        <v>0</v>
      </c>
      <c r="X189" s="20">
        <v>0</v>
      </c>
      <c r="Y189" s="19">
        <v>1</v>
      </c>
      <c r="Z189" s="19">
        <v>0</v>
      </c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>
        <v>0</v>
      </c>
      <c r="AI189" s="20">
        <v>0</v>
      </c>
      <c r="AJ189" s="20">
        <v>0</v>
      </c>
      <c r="AK189" s="19">
        <v>0</v>
      </c>
      <c r="AL189" s="20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>
        <v>0</v>
      </c>
      <c r="AS189" s="19">
        <v>0</v>
      </c>
      <c r="AT189" s="19">
        <v>0</v>
      </c>
      <c r="AU189" s="19">
        <v>0</v>
      </c>
      <c r="AV189" s="19">
        <v>0</v>
      </c>
      <c r="AW189" s="20">
        <v>0</v>
      </c>
      <c r="AX189" s="20">
        <v>0</v>
      </c>
      <c r="AY189" s="20">
        <v>0</v>
      </c>
      <c r="AZ189" s="19">
        <v>0</v>
      </c>
      <c r="BA189" s="19">
        <v>0</v>
      </c>
      <c r="BB189" s="19">
        <v>0</v>
      </c>
      <c r="BC189" s="19">
        <v>0</v>
      </c>
      <c r="BD189" s="19">
        <v>0</v>
      </c>
      <c r="BE189" s="21">
        <v>0</v>
      </c>
      <c r="BF189" s="21">
        <v>0</v>
      </c>
      <c r="BG189" s="19">
        <v>0</v>
      </c>
      <c r="BH189" s="19">
        <v>0</v>
      </c>
      <c r="BI189" s="22">
        <f t="shared" si="38"/>
        <v>1</v>
      </c>
      <c r="BJ189" s="22">
        <f t="shared" si="39"/>
        <v>5</v>
      </c>
      <c r="BK189" s="22">
        <f t="shared" si="40"/>
        <v>22</v>
      </c>
      <c r="BL189" s="22">
        <f t="shared" si="41"/>
        <v>14</v>
      </c>
      <c r="BM189" s="22">
        <f t="shared" si="37"/>
        <v>8</v>
      </c>
      <c r="BN189" s="23">
        <f t="shared" si="36"/>
        <v>0.9285714285714286</v>
      </c>
      <c r="BO189" s="23">
        <f t="shared" si="36"/>
        <v>0.375</v>
      </c>
      <c r="BP189" s="7">
        <f>VLOOKUP(A189,[1]Sheet15!B:E,4,0)</f>
        <v>18</v>
      </c>
      <c r="BQ189" s="7">
        <f>VLOOKUP(A189,[1]Sheet15!B:E,3,0)</f>
        <v>0</v>
      </c>
    </row>
    <row r="190" spans="1:69" ht="22.5" customHeight="1" x14ac:dyDescent="0.25">
      <c r="A190" s="15" t="s">
        <v>511</v>
      </c>
      <c r="B190" s="15">
        <f>VLOOKUP(A190,'[1]Master clients'!F186:W3733,17,0)</f>
        <v>0</v>
      </c>
      <c r="C190" s="15" t="str">
        <f>VLOOKUP(A190,'[1]Master clients'!F186:P3733,11,0)</f>
        <v>AV</v>
      </c>
      <c r="D190" s="15" t="str">
        <f>VLOOKUP(A190,'[1]Master clients'!F:M,8,0)</f>
        <v>End User</v>
      </c>
      <c r="E190" s="16" t="s">
        <v>512</v>
      </c>
      <c r="F190" s="16" t="s">
        <v>513</v>
      </c>
      <c r="G190" s="17">
        <v>7</v>
      </c>
      <c r="H190" s="17">
        <v>0</v>
      </c>
      <c r="I190" s="18">
        <v>13</v>
      </c>
      <c r="J190" s="18">
        <v>0</v>
      </c>
      <c r="K190" s="17">
        <v>0</v>
      </c>
      <c r="L190" s="17">
        <v>0</v>
      </c>
      <c r="M190" s="17">
        <v>0</v>
      </c>
      <c r="N190" s="17">
        <v>0</v>
      </c>
      <c r="O190" s="19">
        <v>0</v>
      </c>
      <c r="P190" s="19">
        <v>0</v>
      </c>
      <c r="Q190" s="19">
        <v>6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20">
        <v>0</v>
      </c>
      <c r="X190" s="20">
        <v>0</v>
      </c>
      <c r="Y190" s="19">
        <v>0</v>
      </c>
      <c r="Z190" s="19">
        <v>0</v>
      </c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>
        <v>0</v>
      </c>
      <c r="AI190" s="20">
        <v>0</v>
      </c>
      <c r="AJ190" s="20">
        <v>0</v>
      </c>
      <c r="AK190" s="19">
        <v>0</v>
      </c>
      <c r="AL190" s="20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>
        <v>0</v>
      </c>
      <c r="AS190" s="19">
        <v>0</v>
      </c>
      <c r="AT190" s="19">
        <v>0</v>
      </c>
      <c r="AU190" s="19">
        <v>0</v>
      </c>
      <c r="AV190" s="19">
        <v>0</v>
      </c>
      <c r="AW190" s="20">
        <v>0</v>
      </c>
      <c r="AX190" s="20">
        <v>0</v>
      </c>
      <c r="AY190" s="20">
        <v>0</v>
      </c>
      <c r="AZ190" s="19">
        <v>0</v>
      </c>
      <c r="BA190" s="19">
        <v>0</v>
      </c>
      <c r="BB190" s="19">
        <v>0</v>
      </c>
      <c r="BC190" s="19">
        <v>0</v>
      </c>
      <c r="BD190" s="19">
        <v>0</v>
      </c>
      <c r="BE190" s="21">
        <v>0</v>
      </c>
      <c r="BF190" s="21">
        <v>0</v>
      </c>
      <c r="BG190" s="19">
        <v>0</v>
      </c>
      <c r="BH190" s="19">
        <v>0</v>
      </c>
      <c r="BI190" s="22">
        <f t="shared" si="38"/>
        <v>0</v>
      </c>
      <c r="BJ190" s="22">
        <f t="shared" si="39"/>
        <v>6</v>
      </c>
      <c r="BK190" s="22">
        <f t="shared" si="40"/>
        <v>19</v>
      </c>
      <c r="BL190" s="22">
        <f t="shared" si="41"/>
        <v>13</v>
      </c>
      <c r="BM190" s="22">
        <f t="shared" si="37"/>
        <v>6</v>
      </c>
      <c r="BN190" s="23">
        <f t="shared" si="36"/>
        <v>1</v>
      </c>
      <c r="BO190" s="23">
        <f t="shared" si="36"/>
        <v>0</v>
      </c>
      <c r="BP190" s="7">
        <f>VLOOKUP(A190,[1]Sheet15!B:E,4,0)</f>
        <v>7</v>
      </c>
      <c r="BQ190" s="7">
        <f>VLOOKUP(A190,[1]Sheet15!B:E,3,0)</f>
        <v>0</v>
      </c>
    </row>
    <row r="191" spans="1:69" ht="22.5" customHeight="1" x14ac:dyDescent="0.25">
      <c r="A191" s="15" t="s">
        <v>514</v>
      </c>
      <c r="B191" s="15">
        <f>VLOOKUP(A191,'[1]Master clients'!F187:W3734,17,0)</f>
        <v>0</v>
      </c>
      <c r="C191" s="15" t="str">
        <f>VLOOKUP(A191,'[1]Master clients'!F187:P3734,11,0)</f>
        <v>SI-GS</v>
      </c>
      <c r="D191" s="15" t="str">
        <f>VLOOKUP(A191,'[1]Master clients'!F:M,8,0)</f>
        <v>End User</v>
      </c>
      <c r="E191" s="16" t="s">
        <v>515</v>
      </c>
      <c r="F191" s="16" t="s">
        <v>516</v>
      </c>
      <c r="G191" s="17"/>
      <c r="H191" s="17"/>
      <c r="I191" s="31">
        <v>1</v>
      </c>
      <c r="J191" s="31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  <c r="AE191" s="17">
        <v>0</v>
      </c>
      <c r="AF191" s="17">
        <v>0</v>
      </c>
      <c r="AG191" s="17">
        <v>0</v>
      </c>
      <c r="AH191" s="17">
        <v>0</v>
      </c>
      <c r="AI191" s="17">
        <v>0</v>
      </c>
      <c r="AJ191" s="17">
        <v>0</v>
      </c>
      <c r="AK191" s="17">
        <v>0</v>
      </c>
      <c r="AL191" s="17">
        <v>0</v>
      </c>
      <c r="AM191" s="17">
        <v>0</v>
      </c>
      <c r="AN191" s="17">
        <v>0</v>
      </c>
      <c r="AO191" s="17">
        <v>0</v>
      </c>
      <c r="AP191" s="17">
        <v>0</v>
      </c>
      <c r="AQ191" s="17">
        <v>0</v>
      </c>
      <c r="AR191" s="17">
        <v>0</v>
      </c>
      <c r="AS191" s="17">
        <v>0</v>
      </c>
      <c r="AT191" s="17">
        <v>0</v>
      </c>
      <c r="AU191" s="17">
        <v>0</v>
      </c>
      <c r="AV191" s="17">
        <v>0</v>
      </c>
      <c r="AW191" s="17">
        <v>0</v>
      </c>
      <c r="AX191" s="17">
        <v>0</v>
      </c>
      <c r="AY191" s="17">
        <v>0</v>
      </c>
      <c r="AZ191" s="17">
        <v>0</v>
      </c>
      <c r="BA191" s="17">
        <v>0</v>
      </c>
      <c r="BB191" s="17">
        <v>0</v>
      </c>
      <c r="BC191" s="17">
        <v>0</v>
      </c>
      <c r="BD191" s="17">
        <v>0</v>
      </c>
      <c r="BE191" s="17">
        <v>0</v>
      </c>
      <c r="BF191" s="17">
        <v>0</v>
      </c>
      <c r="BG191" s="17">
        <v>0</v>
      </c>
      <c r="BH191" s="17">
        <v>0</v>
      </c>
      <c r="BI191" s="22">
        <f t="shared" si="38"/>
        <v>0</v>
      </c>
      <c r="BJ191" s="22">
        <f t="shared" si="39"/>
        <v>0</v>
      </c>
      <c r="BK191" s="22">
        <f t="shared" si="40"/>
        <v>1</v>
      </c>
      <c r="BL191" s="22">
        <f t="shared" si="41"/>
        <v>1</v>
      </c>
      <c r="BM191" s="22">
        <f t="shared" si="37"/>
        <v>0</v>
      </c>
      <c r="BN191" s="23">
        <f t="shared" si="36"/>
        <v>1</v>
      </c>
      <c r="BO191" s="23" t="e">
        <f t="shared" si="36"/>
        <v>#DIV/0!</v>
      </c>
      <c r="BP191" s="7">
        <f>VLOOKUP(A191,[1]Sheet15!B:E,4,0)</f>
        <v>1</v>
      </c>
      <c r="BQ191" s="7">
        <f>VLOOKUP(A191,[1]Sheet15!B:E,3,0)</f>
        <v>0</v>
      </c>
    </row>
    <row r="192" spans="1:69" ht="22.5" customHeight="1" x14ac:dyDescent="0.25">
      <c r="A192" s="15" t="s">
        <v>517</v>
      </c>
      <c r="B192" s="15">
        <f>VLOOKUP(A192,'[1]Master clients'!F188:W3735,17,0)</f>
        <v>0</v>
      </c>
      <c r="C192" s="15" t="str">
        <f>VLOOKUP(A192,'[1]Master clients'!F188:P3735,11,0)</f>
        <v>AV</v>
      </c>
      <c r="D192" s="15" t="str">
        <f>VLOOKUP(A192,'[1]Master clients'!F:M,8,0)</f>
        <v>End User</v>
      </c>
      <c r="E192" s="16" t="s">
        <v>518</v>
      </c>
      <c r="F192" s="16" t="s">
        <v>519</v>
      </c>
      <c r="G192" s="17">
        <v>12</v>
      </c>
      <c r="H192" s="17">
        <v>13</v>
      </c>
      <c r="I192" s="18">
        <v>12</v>
      </c>
      <c r="J192" s="18">
        <v>7</v>
      </c>
      <c r="K192" s="17">
        <v>0</v>
      </c>
      <c r="L192" s="17">
        <v>0</v>
      </c>
      <c r="M192" s="17">
        <v>0</v>
      </c>
      <c r="N192" s="17">
        <v>0</v>
      </c>
      <c r="O192" s="19">
        <v>0</v>
      </c>
      <c r="P192" s="19">
        <v>0</v>
      </c>
      <c r="Q192" s="19">
        <v>4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20">
        <v>0</v>
      </c>
      <c r="X192" s="20">
        <v>0</v>
      </c>
      <c r="Y192" s="19">
        <v>0</v>
      </c>
      <c r="Z192" s="19">
        <v>0</v>
      </c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>
        <v>0</v>
      </c>
      <c r="AI192" s="20">
        <v>0</v>
      </c>
      <c r="AJ192" s="20">
        <v>0</v>
      </c>
      <c r="AK192" s="19">
        <v>0</v>
      </c>
      <c r="AL192" s="20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>
        <v>0</v>
      </c>
      <c r="AS192" s="19">
        <v>0</v>
      </c>
      <c r="AT192" s="19">
        <v>0</v>
      </c>
      <c r="AU192" s="19">
        <v>0</v>
      </c>
      <c r="AV192" s="19">
        <v>0</v>
      </c>
      <c r="AW192" s="20">
        <v>0</v>
      </c>
      <c r="AX192" s="20">
        <v>0</v>
      </c>
      <c r="AY192" s="20">
        <v>0</v>
      </c>
      <c r="AZ192" s="19">
        <v>0</v>
      </c>
      <c r="BA192" s="19">
        <v>0</v>
      </c>
      <c r="BB192" s="19">
        <v>0</v>
      </c>
      <c r="BC192" s="19">
        <v>0</v>
      </c>
      <c r="BD192" s="19">
        <v>0</v>
      </c>
      <c r="BE192" s="21">
        <v>0</v>
      </c>
      <c r="BF192" s="21">
        <v>0</v>
      </c>
      <c r="BG192" s="19">
        <v>0</v>
      </c>
      <c r="BH192" s="19">
        <v>0</v>
      </c>
      <c r="BI192" s="22">
        <f t="shared" si="38"/>
        <v>0</v>
      </c>
      <c r="BJ192" s="22">
        <f t="shared" si="39"/>
        <v>4</v>
      </c>
      <c r="BK192" s="22">
        <f t="shared" si="40"/>
        <v>23</v>
      </c>
      <c r="BL192" s="22">
        <f t="shared" si="41"/>
        <v>12</v>
      </c>
      <c r="BM192" s="22">
        <f t="shared" si="37"/>
        <v>11</v>
      </c>
      <c r="BN192" s="23">
        <f t="shared" si="36"/>
        <v>1</v>
      </c>
      <c r="BO192" s="23">
        <f t="shared" si="36"/>
        <v>0.63636363636363635</v>
      </c>
      <c r="BP192" s="7">
        <f>VLOOKUP(A192,[1]Sheet15!B:E,4,0)</f>
        <v>8</v>
      </c>
      <c r="BQ192" s="7">
        <f>VLOOKUP(A192,[1]Sheet15!B:E,3,0)</f>
        <v>0</v>
      </c>
    </row>
    <row r="193" spans="1:69" ht="22.5" customHeight="1" x14ac:dyDescent="0.25">
      <c r="A193" s="15" t="s">
        <v>520</v>
      </c>
      <c r="B193" s="15">
        <f>VLOOKUP(A193,'[1]Master clients'!F189:W3736,17,0)</f>
        <v>0</v>
      </c>
      <c r="C193" s="15" t="str">
        <f>VLOOKUP(A193,'[1]Master clients'!F189:P3736,11,0)</f>
        <v>MRK</v>
      </c>
      <c r="D193" s="15" t="str">
        <f>VLOOKUP(A193,'[1]Master clients'!F:M,8,0)</f>
        <v>End User</v>
      </c>
      <c r="E193" s="16" t="s">
        <v>103</v>
      </c>
      <c r="F193" s="29" t="s">
        <v>104</v>
      </c>
      <c r="G193" s="17"/>
      <c r="H193" s="17"/>
      <c r="I193" s="18">
        <v>0</v>
      </c>
      <c r="J193" s="18">
        <v>0</v>
      </c>
      <c r="K193" s="17">
        <v>0</v>
      </c>
      <c r="L193" s="17">
        <v>0</v>
      </c>
      <c r="M193" s="17">
        <v>0</v>
      </c>
      <c r="N193" s="17">
        <v>3</v>
      </c>
      <c r="O193" s="19">
        <v>0</v>
      </c>
      <c r="P193" s="19">
        <v>15</v>
      </c>
      <c r="Q193" s="19">
        <v>6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20">
        <v>0</v>
      </c>
      <c r="X193" s="20">
        <v>0</v>
      </c>
      <c r="Y193" s="19">
        <v>0</v>
      </c>
      <c r="Z193" s="19">
        <v>0</v>
      </c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>
        <v>0</v>
      </c>
      <c r="AI193" s="20">
        <v>0</v>
      </c>
      <c r="AJ193" s="20">
        <v>0</v>
      </c>
      <c r="AK193" s="19">
        <v>0</v>
      </c>
      <c r="AL193" s="20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>
        <v>0</v>
      </c>
      <c r="AS193" s="19">
        <v>0</v>
      </c>
      <c r="AT193" s="19">
        <v>0</v>
      </c>
      <c r="AU193" s="19">
        <v>0</v>
      </c>
      <c r="AV193" s="19">
        <v>0</v>
      </c>
      <c r="AW193" s="20">
        <v>0</v>
      </c>
      <c r="AX193" s="20">
        <v>0</v>
      </c>
      <c r="AY193" s="20">
        <v>0</v>
      </c>
      <c r="AZ193" s="19">
        <v>0</v>
      </c>
      <c r="BA193" s="19">
        <v>0</v>
      </c>
      <c r="BB193" s="19">
        <v>0</v>
      </c>
      <c r="BC193" s="19">
        <v>0</v>
      </c>
      <c r="BD193" s="19">
        <v>0</v>
      </c>
      <c r="BE193" s="21">
        <v>0</v>
      </c>
      <c r="BF193" s="21">
        <v>0</v>
      </c>
      <c r="BG193" s="19">
        <v>0</v>
      </c>
      <c r="BH193" s="19">
        <v>0</v>
      </c>
      <c r="BI193" s="22">
        <f t="shared" si="38"/>
        <v>15</v>
      </c>
      <c r="BJ193" s="22">
        <f t="shared" si="39"/>
        <v>9</v>
      </c>
      <c r="BK193" s="22">
        <f t="shared" si="40"/>
        <v>24</v>
      </c>
      <c r="BL193" s="22">
        <f t="shared" si="41"/>
        <v>15</v>
      </c>
      <c r="BM193" s="22">
        <f t="shared" si="37"/>
        <v>9</v>
      </c>
      <c r="BN193" s="23">
        <f t="shared" si="36"/>
        <v>0</v>
      </c>
      <c r="BO193" s="23">
        <f t="shared" si="36"/>
        <v>0</v>
      </c>
      <c r="BP193" s="7" t="e">
        <f>VLOOKUP(A193,[1]Sheet15!B:E,4,0)</f>
        <v>#N/A</v>
      </c>
      <c r="BQ193" s="7" t="e">
        <f>VLOOKUP(A193,[1]Sheet15!B:E,3,0)</f>
        <v>#N/A</v>
      </c>
    </row>
    <row r="194" spans="1:69" ht="22.5" customHeight="1" x14ac:dyDescent="0.25">
      <c r="A194" s="15" t="s">
        <v>521</v>
      </c>
      <c r="B194" s="15">
        <f>VLOOKUP(A194,'[1]Master clients'!F190:W3737,17,0)</f>
        <v>0</v>
      </c>
      <c r="C194" s="15" t="str">
        <f>VLOOKUP(A194,'[1]Master clients'!F190:P3737,11,0)</f>
        <v>AV</v>
      </c>
      <c r="D194" s="15" t="str">
        <f>VLOOKUP(A194,'[1]Master clients'!F:M,8,0)</f>
        <v>End User</v>
      </c>
      <c r="E194" s="16" t="s">
        <v>522</v>
      </c>
      <c r="F194" s="16" t="s">
        <v>523</v>
      </c>
      <c r="G194" s="17">
        <v>16</v>
      </c>
      <c r="H194" s="17">
        <v>0</v>
      </c>
      <c r="I194" s="18">
        <v>2</v>
      </c>
      <c r="J194" s="18">
        <v>0</v>
      </c>
      <c r="K194" s="17">
        <v>0</v>
      </c>
      <c r="L194" s="17">
        <v>0</v>
      </c>
      <c r="M194" s="17">
        <v>0</v>
      </c>
      <c r="N194" s="17">
        <v>0</v>
      </c>
      <c r="O194" s="19">
        <v>0</v>
      </c>
      <c r="P194" s="19">
        <v>10</v>
      </c>
      <c r="Q194" s="19">
        <v>13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20">
        <v>0</v>
      </c>
      <c r="X194" s="20">
        <v>0</v>
      </c>
      <c r="Y194" s="19">
        <v>0</v>
      </c>
      <c r="Z194" s="19">
        <v>0</v>
      </c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>
        <v>0</v>
      </c>
      <c r="AI194" s="20">
        <v>0</v>
      </c>
      <c r="AJ194" s="20">
        <v>0</v>
      </c>
      <c r="AK194" s="19">
        <v>0</v>
      </c>
      <c r="AL194" s="20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>
        <v>0</v>
      </c>
      <c r="AS194" s="19">
        <v>0</v>
      </c>
      <c r="AT194" s="19">
        <v>0</v>
      </c>
      <c r="AU194" s="19">
        <v>0</v>
      </c>
      <c r="AV194" s="19">
        <v>0</v>
      </c>
      <c r="AW194" s="20">
        <v>0</v>
      </c>
      <c r="AX194" s="20">
        <v>0</v>
      </c>
      <c r="AY194" s="20">
        <v>0</v>
      </c>
      <c r="AZ194" s="19">
        <v>0</v>
      </c>
      <c r="BA194" s="19">
        <v>0</v>
      </c>
      <c r="BB194" s="19">
        <v>0</v>
      </c>
      <c r="BC194" s="19">
        <v>0</v>
      </c>
      <c r="BD194" s="19">
        <v>0</v>
      </c>
      <c r="BE194" s="21">
        <v>0</v>
      </c>
      <c r="BF194" s="21">
        <v>0</v>
      </c>
      <c r="BG194" s="19">
        <v>0</v>
      </c>
      <c r="BH194" s="19">
        <v>0</v>
      </c>
      <c r="BI194" s="22">
        <f t="shared" si="38"/>
        <v>10</v>
      </c>
      <c r="BJ194" s="22">
        <f t="shared" si="39"/>
        <v>13</v>
      </c>
      <c r="BK194" s="22">
        <f t="shared" si="40"/>
        <v>25</v>
      </c>
      <c r="BL194" s="22">
        <f t="shared" si="41"/>
        <v>12</v>
      </c>
      <c r="BM194" s="22">
        <f t="shared" si="37"/>
        <v>13</v>
      </c>
      <c r="BN194" s="23">
        <f t="shared" si="36"/>
        <v>0.16666666666666666</v>
      </c>
      <c r="BO194" s="23">
        <f t="shared" si="36"/>
        <v>0</v>
      </c>
      <c r="BP194" s="7">
        <f>VLOOKUP(A194,[1]Sheet15!B:E,4,0)</f>
        <v>3</v>
      </c>
      <c r="BQ194" s="7">
        <f>VLOOKUP(A194,[1]Sheet15!B:E,3,0)</f>
        <v>0</v>
      </c>
    </row>
    <row r="195" spans="1:69" ht="22.5" customHeight="1" x14ac:dyDescent="0.25">
      <c r="A195" s="15" t="s">
        <v>524</v>
      </c>
      <c r="B195" s="15" t="e">
        <f>VLOOKUP(A195,'[1]Master clients'!F191:W3738,17,0)</f>
        <v>#N/A</v>
      </c>
      <c r="C195" s="15" t="e">
        <f>VLOOKUP(A195,'[1]Master clients'!F191:P3738,11,0)</f>
        <v>#N/A</v>
      </c>
      <c r="D195" s="15" t="str">
        <f>VLOOKUP(A195,'[1]Master clients'!F:M,8,0)</f>
        <v>Group (Mills)</v>
      </c>
      <c r="E195" s="24" t="s">
        <v>525</v>
      </c>
      <c r="F195" s="25" t="s">
        <v>526</v>
      </c>
      <c r="G195" s="20">
        <v>0</v>
      </c>
      <c r="H195" s="20">
        <v>0</v>
      </c>
      <c r="I195" s="26">
        <v>21</v>
      </c>
      <c r="J195" s="26">
        <v>0</v>
      </c>
      <c r="K195" s="20">
        <v>3</v>
      </c>
      <c r="L195" s="20">
        <v>0</v>
      </c>
      <c r="M195" s="20">
        <v>0</v>
      </c>
      <c r="N195" s="20">
        <v>8</v>
      </c>
      <c r="O195" s="20">
        <v>0</v>
      </c>
      <c r="P195" s="20">
        <v>0</v>
      </c>
      <c r="Q195" s="20">
        <v>0</v>
      </c>
      <c r="R195" s="20">
        <v>0</v>
      </c>
      <c r="S195" s="20">
        <v>0</v>
      </c>
      <c r="T195" s="20">
        <v>0</v>
      </c>
      <c r="U195" s="20">
        <v>0</v>
      </c>
      <c r="V195" s="20">
        <v>0</v>
      </c>
      <c r="W195" s="20">
        <v>0</v>
      </c>
      <c r="X195" s="20">
        <v>5</v>
      </c>
      <c r="Y195" s="20">
        <v>0</v>
      </c>
      <c r="Z195" s="20">
        <v>0</v>
      </c>
      <c r="AA195" s="20">
        <v>0</v>
      </c>
      <c r="AB195" s="20">
        <v>0</v>
      </c>
      <c r="AC195" s="20">
        <v>0</v>
      </c>
      <c r="AD195" s="20">
        <v>0</v>
      </c>
      <c r="AE195" s="20">
        <v>0</v>
      </c>
      <c r="AF195" s="20">
        <v>0</v>
      </c>
      <c r="AG195" s="20">
        <v>0</v>
      </c>
      <c r="AH195" s="20">
        <v>0</v>
      </c>
      <c r="AI195" s="20">
        <v>0</v>
      </c>
      <c r="AJ195" s="20">
        <v>0</v>
      </c>
      <c r="AK195" s="20">
        <v>0</v>
      </c>
      <c r="AL195" s="20">
        <v>0</v>
      </c>
      <c r="AM195" s="20">
        <v>0</v>
      </c>
      <c r="AN195" s="20">
        <v>0</v>
      </c>
      <c r="AO195" s="20">
        <v>0</v>
      </c>
      <c r="AP195" s="20">
        <v>0</v>
      </c>
      <c r="AQ195" s="20">
        <v>0</v>
      </c>
      <c r="AR195" s="20">
        <v>0</v>
      </c>
      <c r="AS195" s="20">
        <v>0</v>
      </c>
      <c r="AT195" s="20">
        <v>0</v>
      </c>
      <c r="AU195" s="19">
        <v>0</v>
      </c>
      <c r="AV195" s="20">
        <v>0</v>
      </c>
      <c r="AW195" s="20">
        <v>0</v>
      </c>
      <c r="AX195" s="20">
        <v>0</v>
      </c>
      <c r="AY195" s="20">
        <v>0</v>
      </c>
      <c r="AZ195" s="20">
        <v>0</v>
      </c>
      <c r="BA195" s="19">
        <v>0</v>
      </c>
      <c r="BB195" s="27">
        <v>0</v>
      </c>
      <c r="BC195" s="19">
        <v>0</v>
      </c>
      <c r="BD195" s="19">
        <v>0</v>
      </c>
      <c r="BE195" s="21">
        <v>0</v>
      </c>
      <c r="BF195" s="21">
        <v>0</v>
      </c>
      <c r="BG195" s="19">
        <v>0</v>
      </c>
      <c r="BH195" s="19">
        <v>0</v>
      </c>
      <c r="BI195" s="22">
        <f t="shared" si="38"/>
        <v>3</v>
      </c>
      <c r="BJ195" s="22">
        <f t="shared" si="39"/>
        <v>13</v>
      </c>
      <c r="BK195" s="28">
        <f t="shared" si="40"/>
        <v>37</v>
      </c>
      <c r="BL195" s="22">
        <f t="shared" si="41"/>
        <v>24</v>
      </c>
      <c r="BM195" s="22">
        <f t="shared" si="37"/>
        <v>13</v>
      </c>
      <c r="BN195" s="23">
        <f t="shared" si="36"/>
        <v>0.875</v>
      </c>
      <c r="BO195" s="23">
        <f t="shared" si="36"/>
        <v>0</v>
      </c>
      <c r="BP195" s="7">
        <f>VLOOKUP(A195,[1]Sheet15!B:E,4,0)</f>
        <v>11</v>
      </c>
      <c r="BQ195" s="7">
        <f>VLOOKUP(A195,[1]Sheet15!B:E,3,0)</f>
        <v>0</v>
      </c>
    </row>
    <row r="196" spans="1:69" ht="22.5" customHeight="1" x14ac:dyDescent="0.25">
      <c r="A196" s="15" t="s">
        <v>527</v>
      </c>
      <c r="B196" s="15" t="e">
        <f>VLOOKUP(A196,'[1]Master clients'!F192:W3739,17,0)</f>
        <v>#N/A</v>
      </c>
      <c r="C196" s="15" t="e">
        <f>VLOOKUP(A196,'[1]Master clients'!F192:P3739,11,0)</f>
        <v>#N/A</v>
      </c>
      <c r="D196" s="15" t="str">
        <f>VLOOKUP(A196,'[1]Master clients'!F:M,8,0)</f>
        <v>End User</v>
      </c>
      <c r="E196" s="24" t="s">
        <v>528</v>
      </c>
      <c r="F196" s="25" t="s">
        <v>526</v>
      </c>
      <c r="G196" s="20">
        <v>0</v>
      </c>
      <c r="H196" s="20">
        <v>0</v>
      </c>
      <c r="I196" s="26">
        <v>25</v>
      </c>
      <c r="J196" s="26">
        <v>0</v>
      </c>
      <c r="K196" s="20">
        <v>0</v>
      </c>
      <c r="L196" s="20">
        <v>0</v>
      </c>
      <c r="M196" s="20">
        <v>0</v>
      </c>
      <c r="N196" s="20">
        <v>0</v>
      </c>
      <c r="O196" s="20">
        <v>8</v>
      </c>
      <c r="P196" s="20">
        <v>0</v>
      </c>
      <c r="Q196" s="20">
        <v>3</v>
      </c>
      <c r="R196" s="20">
        <v>0</v>
      </c>
      <c r="S196" s="20">
        <v>0</v>
      </c>
      <c r="T196" s="20">
        <v>0</v>
      </c>
      <c r="U196" s="20">
        <v>0</v>
      </c>
      <c r="V196" s="20">
        <v>0</v>
      </c>
      <c r="W196" s="20">
        <v>0</v>
      </c>
      <c r="X196" s="20">
        <v>0</v>
      </c>
      <c r="Y196" s="20">
        <v>0</v>
      </c>
      <c r="Z196" s="20">
        <v>0</v>
      </c>
      <c r="AA196" s="20">
        <v>0</v>
      </c>
      <c r="AB196" s="20">
        <v>0</v>
      </c>
      <c r="AC196" s="20">
        <v>0</v>
      </c>
      <c r="AD196" s="20">
        <v>0</v>
      </c>
      <c r="AE196" s="20">
        <v>0</v>
      </c>
      <c r="AF196" s="20">
        <v>0</v>
      </c>
      <c r="AG196" s="20">
        <v>0</v>
      </c>
      <c r="AH196" s="20">
        <v>0</v>
      </c>
      <c r="AI196" s="20">
        <v>0</v>
      </c>
      <c r="AJ196" s="20">
        <v>0</v>
      </c>
      <c r="AK196" s="20">
        <v>0</v>
      </c>
      <c r="AL196" s="20">
        <v>0</v>
      </c>
      <c r="AM196" s="20">
        <v>0</v>
      </c>
      <c r="AN196" s="20">
        <v>0</v>
      </c>
      <c r="AO196" s="20">
        <v>1</v>
      </c>
      <c r="AP196" s="20">
        <v>0</v>
      </c>
      <c r="AQ196" s="20">
        <v>0</v>
      </c>
      <c r="AR196" s="20">
        <v>0</v>
      </c>
      <c r="AS196" s="20">
        <v>0</v>
      </c>
      <c r="AT196" s="20">
        <v>0</v>
      </c>
      <c r="AU196" s="20">
        <v>0</v>
      </c>
      <c r="AV196" s="20">
        <v>0</v>
      </c>
      <c r="AW196" s="20">
        <v>0</v>
      </c>
      <c r="AX196" s="20">
        <v>0</v>
      </c>
      <c r="AY196" s="20">
        <v>0</v>
      </c>
      <c r="AZ196" s="20">
        <v>0</v>
      </c>
      <c r="BA196" s="20">
        <v>0</v>
      </c>
      <c r="BB196" s="27">
        <v>0</v>
      </c>
      <c r="BC196" s="20">
        <v>0</v>
      </c>
      <c r="BD196" s="20">
        <v>0</v>
      </c>
      <c r="BE196" s="21">
        <v>0</v>
      </c>
      <c r="BF196" s="21">
        <v>0</v>
      </c>
      <c r="BG196" s="20">
        <v>0</v>
      </c>
      <c r="BH196" s="20">
        <v>0</v>
      </c>
      <c r="BI196" s="22">
        <f t="shared" si="38"/>
        <v>1</v>
      </c>
      <c r="BJ196" s="22">
        <f t="shared" si="39"/>
        <v>11</v>
      </c>
      <c r="BK196" s="28">
        <f t="shared" si="40"/>
        <v>37</v>
      </c>
      <c r="BL196" s="22">
        <f t="shared" si="41"/>
        <v>26</v>
      </c>
      <c r="BM196" s="22">
        <f t="shared" si="37"/>
        <v>11</v>
      </c>
      <c r="BN196" s="23">
        <f t="shared" si="36"/>
        <v>0.96153846153846156</v>
      </c>
      <c r="BO196" s="23">
        <f t="shared" si="36"/>
        <v>0</v>
      </c>
      <c r="BP196" s="7">
        <f>VLOOKUP(A196,[1]Sheet15!B:E,4,0)</f>
        <v>9</v>
      </c>
      <c r="BQ196" s="7">
        <f>VLOOKUP(A196,[1]Sheet15!B:E,3,0)</f>
        <v>0</v>
      </c>
    </row>
    <row r="197" spans="1:69" ht="22.5" customHeight="1" x14ac:dyDescent="0.25">
      <c r="A197" s="15" t="s">
        <v>529</v>
      </c>
      <c r="B197" s="15" t="e">
        <f>VLOOKUP(A197,'[1]Master clients'!F193:W3740,17,0)</f>
        <v>#N/A</v>
      </c>
      <c r="C197" s="15" t="e">
        <f>VLOOKUP(A197,'[1]Master clients'!F193:P3740,11,0)</f>
        <v>#N/A</v>
      </c>
      <c r="D197" s="15" t="str">
        <f>VLOOKUP(A197,'[1]Master clients'!F:M,8,0)</f>
        <v>End User</v>
      </c>
      <c r="E197" s="16" t="s">
        <v>530</v>
      </c>
      <c r="F197" s="16" t="s">
        <v>526</v>
      </c>
      <c r="G197" s="17"/>
      <c r="H197" s="17"/>
      <c r="I197" s="18">
        <v>0</v>
      </c>
      <c r="J197" s="18">
        <v>0</v>
      </c>
      <c r="K197" s="17">
        <v>0</v>
      </c>
      <c r="L197" s="17">
        <v>0</v>
      </c>
      <c r="M197" s="17">
        <v>0</v>
      </c>
      <c r="N197" s="17">
        <v>0</v>
      </c>
      <c r="O197" s="17">
        <v>0</v>
      </c>
      <c r="P197" s="17">
        <v>0</v>
      </c>
      <c r="Q197" s="17">
        <v>0</v>
      </c>
      <c r="R197" s="17">
        <v>0</v>
      </c>
      <c r="S197" s="17">
        <v>0</v>
      </c>
      <c r="T197" s="17">
        <v>0</v>
      </c>
      <c r="U197" s="17">
        <v>0</v>
      </c>
      <c r="V197" s="17">
        <v>0</v>
      </c>
      <c r="W197" s="17">
        <v>0</v>
      </c>
      <c r="X197" s="17">
        <v>0</v>
      </c>
      <c r="Y197" s="17">
        <v>0</v>
      </c>
      <c r="Z197" s="17">
        <v>0</v>
      </c>
      <c r="AA197" s="17">
        <v>0</v>
      </c>
      <c r="AB197" s="17">
        <v>0</v>
      </c>
      <c r="AC197" s="17">
        <v>0</v>
      </c>
      <c r="AD197" s="17">
        <v>0</v>
      </c>
      <c r="AE197" s="17">
        <v>0</v>
      </c>
      <c r="AF197" s="17">
        <v>0</v>
      </c>
      <c r="AG197" s="17">
        <v>0</v>
      </c>
      <c r="AH197" s="17">
        <v>0</v>
      </c>
      <c r="AI197" s="17">
        <v>0</v>
      </c>
      <c r="AJ197" s="17">
        <v>0</v>
      </c>
      <c r="AK197" s="17">
        <v>0</v>
      </c>
      <c r="AL197" s="17">
        <v>0</v>
      </c>
      <c r="AM197" s="17">
        <v>0</v>
      </c>
      <c r="AN197" s="17">
        <v>0</v>
      </c>
      <c r="AO197" s="17">
        <v>0</v>
      </c>
      <c r="AP197" s="17">
        <v>0</v>
      </c>
      <c r="AQ197" s="17">
        <v>0</v>
      </c>
      <c r="AR197" s="17">
        <v>0</v>
      </c>
      <c r="AS197" s="17">
        <v>0</v>
      </c>
      <c r="AT197" s="17">
        <v>0</v>
      </c>
      <c r="AU197" s="17">
        <v>0</v>
      </c>
      <c r="AV197" s="17">
        <v>0</v>
      </c>
      <c r="AW197" s="17">
        <v>0</v>
      </c>
      <c r="AX197" s="17">
        <v>0</v>
      </c>
      <c r="AY197" s="17">
        <v>0</v>
      </c>
      <c r="AZ197" s="17">
        <v>0</v>
      </c>
      <c r="BA197" s="17">
        <v>0</v>
      </c>
      <c r="BB197" s="17">
        <v>0</v>
      </c>
      <c r="BC197" s="17">
        <v>0</v>
      </c>
      <c r="BD197" s="17">
        <v>0</v>
      </c>
      <c r="BE197" s="17">
        <v>0</v>
      </c>
      <c r="BF197" s="17">
        <v>0</v>
      </c>
      <c r="BG197" s="17">
        <v>0</v>
      </c>
      <c r="BH197" s="17">
        <v>0</v>
      </c>
      <c r="BI197" s="22">
        <f t="shared" si="38"/>
        <v>0</v>
      </c>
      <c r="BJ197" s="22">
        <f t="shared" si="39"/>
        <v>0</v>
      </c>
      <c r="BK197" s="22">
        <f t="shared" si="40"/>
        <v>0</v>
      </c>
      <c r="BL197" s="22">
        <f t="shared" si="41"/>
        <v>0</v>
      </c>
      <c r="BM197" s="22">
        <f t="shared" si="37"/>
        <v>0</v>
      </c>
      <c r="BN197" s="23" t="e">
        <f t="shared" ref="BN197:BO212" si="42">I197/BL197</f>
        <v>#DIV/0!</v>
      </c>
      <c r="BO197" s="23" t="e">
        <f t="shared" si="42"/>
        <v>#DIV/0!</v>
      </c>
      <c r="BP197" s="7" t="e">
        <f>VLOOKUP(A197,[1]Sheet15!B:E,4,0)</f>
        <v>#N/A</v>
      </c>
      <c r="BQ197" s="7" t="e">
        <f>VLOOKUP(A197,[1]Sheet15!B:E,3,0)</f>
        <v>#N/A</v>
      </c>
    </row>
    <row r="198" spans="1:69" ht="22.5" customHeight="1" x14ac:dyDescent="0.25">
      <c r="A198" s="15" t="s">
        <v>531</v>
      </c>
      <c r="B198" s="15">
        <f>VLOOKUP(A198,'[1]Master clients'!F194:W3741,17,0)</f>
        <v>0</v>
      </c>
      <c r="C198" s="15" t="str">
        <f>VLOOKUP(A198,'[1]Master clients'!F194:P3741,11,0)</f>
        <v>NI</v>
      </c>
      <c r="D198" s="15" t="str">
        <f>VLOOKUP(A198,'[1]Master clients'!F:M,8,0)</f>
        <v>Group (Mills)</v>
      </c>
      <c r="E198" s="24" t="s">
        <v>532</v>
      </c>
      <c r="F198" s="25" t="s">
        <v>526</v>
      </c>
      <c r="G198" s="20">
        <v>0</v>
      </c>
      <c r="H198" s="20">
        <v>0</v>
      </c>
      <c r="I198" s="26">
        <v>16</v>
      </c>
      <c r="J198" s="26">
        <v>0</v>
      </c>
      <c r="K198" s="20">
        <v>1</v>
      </c>
      <c r="L198" s="20">
        <v>0</v>
      </c>
      <c r="M198" s="20">
        <v>0</v>
      </c>
      <c r="N198" s="20">
        <v>10</v>
      </c>
      <c r="O198" s="20">
        <v>0</v>
      </c>
      <c r="P198" s="20">
        <v>0</v>
      </c>
      <c r="Q198" s="20">
        <v>0</v>
      </c>
      <c r="R198" s="20">
        <v>0</v>
      </c>
      <c r="S198" s="20">
        <v>0</v>
      </c>
      <c r="T198" s="20">
        <v>0</v>
      </c>
      <c r="U198" s="20">
        <v>0</v>
      </c>
      <c r="V198" s="20">
        <v>0</v>
      </c>
      <c r="W198" s="20">
        <v>0</v>
      </c>
      <c r="X198" s="20">
        <v>0</v>
      </c>
      <c r="Y198" s="20">
        <v>0</v>
      </c>
      <c r="Z198" s="20">
        <v>0</v>
      </c>
      <c r="AA198" s="20">
        <v>0</v>
      </c>
      <c r="AB198" s="20">
        <v>0</v>
      </c>
      <c r="AC198" s="20">
        <v>0</v>
      </c>
      <c r="AD198" s="20">
        <v>0</v>
      </c>
      <c r="AE198" s="20">
        <v>0</v>
      </c>
      <c r="AF198" s="20">
        <v>0</v>
      </c>
      <c r="AG198" s="20">
        <v>0</v>
      </c>
      <c r="AH198" s="20">
        <v>0</v>
      </c>
      <c r="AI198" s="20">
        <v>0</v>
      </c>
      <c r="AJ198" s="20">
        <v>0</v>
      </c>
      <c r="AK198" s="20">
        <v>0</v>
      </c>
      <c r="AL198" s="20">
        <v>0</v>
      </c>
      <c r="AM198" s="20">
        <v>0</v>
      </c>
      <c r="AN198" s="20">
        <v>0</v>
      </c>
      <c r="AO198" s="20">
        <v>0</v>
      </c>
      <c r="AP198" s="20">
        <v>0</v>
      </c>
      <c r="AQ198" s="20">
        <v>0</v>
      </c>
      <c r="AR198" s="20">
        <v>0</v>
      </c>
      <c r="AS198" s="20">
        <v>0</v>
      </c>
      <c r="AT198" s="20">
        <v>0</v>
      </c>
      <c r="AU198" s="20">
        <v>0</v>
      </c>
      <c r="AV198" s="20">
        <v>0</v>
      </c>
      <c r="AW198" s="20">
        <v>0</v>
      </c>
      <c r="AX198" s="20">
        <v>0</v>
      </c>
      <c r="AY198" s="20">
        <v>0</v>
      </c>
      <c r="AZ198" s="20">
        <v>0</v>
      </c>
      <c r="BA198" s="20">
        <v>0</v>
      </c>
      <c r="BB198" s="27">
        <v>0</v>
      </c>
      <c r="BC198" s="20">
        <v>0</v>
      </c>
      <c r="BD198" s="20">
        <v>0</v>
      </c>
      <c r="BE198" s="21">
        <v>0</v>
      </c>
      <c r="BF198" s="21">
        <v>0</v>
      </c>
      <c r="BG198" s="20">
        <v>0</v>
      </c>
      <c r="BH198" s="20">
        <v>0</v>
      </c>
      <c r="BI198" s="22">
        <f t="shared" si="38"/>
        <v>1</v>
      </c>
      <c r="BJ198" s="22">
        <f t="shared" si="39"/>
        <v>10</v>
      </c>
      <c r="BK198" s="28">
        <f t="shared" si="40"/>
        <v>27</v>
      </c>
      <c r="BL198" s="22">
        <f t="shared" si="41"/>
        <v>17</v>
      </c>
      <c r="BM198" s="22">
        <f t="shared" si="37"/>
        <v>10</v>
      </c>
      <c r="BN198" s="23">
        <f t="shared" si="42"/>
        <v>0.94117647058823528</v>
      </c>
      <c r="BO198" s="23">
        <f t="shared" si="42"/>
        <v>0</v>
      </c>
      <c r="BP198" s="7">
        <f>VLOOKUP(A198,[1]Sheet15!B:E,4,0)</f>
        <v>8</v>
      </c>
      <c r="BQ198" s="7">
        <f>VLOOKUP(A198,[1]Sheet15!B:E,3,0)</f>
        <v>0</v>
      </c>
    </row>
    <row r="199" spans="1:69" ht="22.5" customHeight="1" x14ac:dyDescent="0.25">
      <c r="A199" s="15" t="s">
        <v>533</v>
      </c>
      <c r="B199" s="15">
        <f>VLOOKUP(A199,'[1]Master clients'!F195:W3742,17,0)</f>
        <v>0</v>
      </c>
      <c r="C199" s="15" t="str">
        <f>VLOOKUP(A199,'[1]Master clients'!F195:P3742,11,0)</f>
        <v>NI</v>
      </c>
      <c r="D199" s="15" t="str">
        <f>VLOOKUP(A199,'[1]Master clients'!F:M,8,0)</f>
        <v>Group (Mills)</v>
      </c>
      <c r="E199" s="24" t="s">
        <v>534</v>
      </c>
      <c r="F199" s="25" t="s">
        <v>526</v>
      </c>
      <c r="G199" s="20">
        <v>0</v>
      </c>
      <c r="H199" s="20">
        <v>0</v>
      </c>
      <c r="I199" s="26">
        <v>18</v>
      </c>
      <c r="J199" s="26">
        <v>0</v>
      </c>
      <c r="K199" s="20">
        <v>20</v>
      </c>
      <c r="L199" s="20">
        <v>0</v>
      </c>
      <c r="M199" s="20">
        <v>0</v>
      </c>
      <c r="N199" s="20">
        <v>17</v>
      </c>
      <c r="O199" s="20">
        <v>0</v>
      </c>
      <c r="P199" s="20">
        <v>0</v>
      </c>
      <c r="Q199" s="20">
        <v>0</v>
      </c>
      <c r="R199" s="20">
        <v>0</v>
      </c>
      <c r="S199" s="20">
        <v>0</v>
      </c>
      <c r="T199" s="20">
        <v>0</v>
      </c>
      <c r="U199" s="20">
        <v>0</v>
      </c>
      <c r="V199" s="20">
        <v>0</v>
      </c>
      <c r="W199" s="20">
        <v>0</v>
      </c>
      <c r="X199" s="20">
        <v>0</v>
      </c>
      <c r="Y199" s="20">
        <v>0</v>
      </c>
      <c r="Z199" s="20">
        <v>0</v>
      </c>
      <c r="AA199" s="20">
        <v>0</v>
      </c>
      <c r="AB199" s="20">
        <v>0</v>
      </c>
      <c r="AC199" s="20">
        <v>0</v>
      </c>
      <c r="AD199" s="20">
        <v>0</v>
      </c>
      <c r="AE199" s="20">
        <v>0</v>
      </c>
      <c r="AF199" s="20">
        <v>0</v>
      </c>
      <c r="AG199" s="20">
        <v>0</v>
      </c>
      <c r="AH199" s="20">
        <v>0</v>
      </c>
      <c r="AI199" s="20">
        <v>0</v>
      </c>
      <c r="AJ199" s="20">
        <v>0</v>
      </c>
      <c r="AK199" s="20">
        <v>0</v>
      </c>
      <c r="AL199" s="20">
        <v>0</v>
      </c>
      <c r="AM199" s="20">
        <v>0</v>
      </c>
      <c r="AN199" s="20">
        <v>0</v>
      </c>
      <c r="AO199" s="20">
        <v>0</v>
      </c>
      <c r="AP199" s="20">
        <v>0</v>
      </c>
      <c r="AQ199" s="20">
        <v>0</v>
      </c>
      <c r="AR199" s="20">
        <v>0</v>
      </c>
      <c r="AS199" s="20">
        <v>0</v>
      </c>
      <c r="AT199" s="20">
        <v>0</v>
      </c>
      <c r="AU199" s="20">
        <v>0</v>
      </c>
      <c r="AV199" s="20">
        <v>0</v>
      </c>
      <c r="AW199" s="20">
        <v>0</v>
      </c>
      <c r="AX199" s="20">
        <v>0</v>
      </c>
      <c r="AY199" s="20">
        <v>0</v>
      </c>
      <c r="AZ199" s="20">
        <v>0</v>
      </c>
      <c r="BA199" s="20">
        <v>0</v>
      </c>
      <c r="BB199" s="27">
        <v>0</v>
      </c>
      <c r="BC199" s="20">
        <v>0</v>
      </c>
      <c r="BD199" s="20">
        <v>0</v>
      </c>
      <c r="BE199" s="21">
        <v>0</v>
      </c>
      <c r="BF199" s="21">
        <v>0</v>
      </c>
      <c r="BG199" s="20">
        <v>0</v>
      </c>
      <c r="BH199" s="20">
        <v>0</v>
      </c>
      <c r="BI199" s="22">
        <f t="shared" si="38"/>
        <v>20</v>
      </c>
      <c r="BJ199" s="22">
        <f t="shared" si="39"/>
        <v>17</v>
      </c>
      <c r="BK199" s="28">
        <f t="shared" si="40"/>
        <v>55</v>
      </c>
      <c r="BL199" s="22">
        <f t="shared" si="41"/>
        <v>38</v>
      </c>
      <c r="BM199" s="22">
        <f t="shared" si="37"/>
        <v>17</v>
      </c>
      <c r="BN199" s="23">
        <f t="shared" si="42"/>
        <v>0.47368421052631576</v>
      </c>
      <c r="BO199" s="23">
        <f t="shared" si="42"/>
        <v>0</v>
      </c>
      <c r="BP199" s="7">
        <f>VLOOKUP(A199,[1]Sheet15!B:E,4,0)</f>
        <v>13</v>
      </c>
      <c r="BQ199" s="7">
        <f>VLOOKUP(A199,[1]Sheet15!B:E,3,0)</f>
        <v>0</v>
      </c>
    </row>
    <row r="200" spans="1:69" ht="22.5" customHeight="1" x14ac:dyDescent="0.25">
      <c r="A200" s="15" t="s">
        <v>535</v>
      </c>
      <c r="B200" s="15">
        <f>VLOOKUP(A200,'[1]Master clients'!F196:W3743,17,0)</f>
        <v>0</v>
      </c>
      <c r="C200" s="15" t="str">
        <f>VLOOKUP(A200,'[1]Master clients'!F196:P3743,11,0)</f>
        <v>NI</v>
      </c>
      <c r="D200" s="15" t="str">
        <f>VLOOKUP(A200,'[1]Master clients'!F:M,8,0)</f>
        <v>Group (Mills)</v>
      </c>
      <c r="E200" s="24" t="s">
        <v>536</v>
      </c>
      <c r="F200" s="25" t="s">
        <v>526</v>
      </c>
      <c r="G200" s="20">
        <v>0</v>
      </c>
      <c r="H200" s="20">
        <v>0</v>
      </c>
      <c r="I200" s="26">
        <v>12</v>
      </c>
      <c r="J200" s="26">
        <v>0</v>
      </c>
      <c r="K200" s="20">
        <v>6</v>
      </c>
      <c r="L200" s="20">
        <v>0</v>
      </c>
      <c r="M200" s="20">
        <v>0</v>
      </c>
      <c r="N200" s="20">
        <v>0</v>
      </c>
      <c r="O200" s="20">
        <v>5</v>
      </c>
      <c r="P200" s="20">
        <v>2</v>
      </c>
      <c r="Q200" s="20">
        <v>5</v>
      </c>
      <c r="R200" s="20">
        <v>0</v>
      </c>
      <c r="S200" s="20">
        <v>0</v>
      </c>
      <c r="T200" s="20">
        <v>0</v>
      </c>
      <c r="U200" s="20">
        <v>0</v>
      </c>
      <c r="V200" s="20">
        <v>0</v>
      </c>
      <c r="W200" s="20">
        <v>0</v>
      </c>
      <c r="X200" s="20">
        <v>0</v>
      </c>
      <c r="Y200" s="20">
        <v>0</v>
      </c>
      <c r="Z200" s="20">
        <v>0</v>
      </c>
      <c r="AA200" s="20">
        <v>0</v>
      </c>
      <c r="AB200" s="20">
        <v>0</v>
      </c>
      <c r="AC200" s="20">
        <v>0</v>
      </c>
      <c r="AD200" s="20">
        <v>0</v>
      </c>
      <c r="AE200" s="20">
        <v>0</v>
      </c>
      <c r="AF200" s="20">
        <v>0</v>
      </c>
      <c r="AG200" s="20">
        <v>0</v>
      </c>
      <c r="AH200" s="20">
        <v>0</v>
      </c>
      <c r="AI200" s="20">
        <v>0</v>
      </c>
      <c r="AJ200" s="20">
        <v>0</v>
      </c>
      <c r="AK200" s="20">
        <v>1</v>
      </c>
      <c r="AL200" s="20">
        <v>0</v>
      </c>
      <c r="AM200" s="20">
        <v>0</v>
      </c>
      <c r="AN200" s="20">
        <v>0</v>
      </c>
      <c r="AO200" s="20">
        <v>0</v>
      </c>
      <c r="AP200" s="20">
        <v>0</v>
      </c>
      <c r="AQ200" s="20">
        <v>0</v>
      </c>
      <c r="AR200" s="20">
        <v>0</v>
      </c>
      <c r="AS200" s="20">
        <v>0</v>
      </c>
      <c r="AT200" s="20">
        <v>0</v>
      </c>
      <c r="AU200" s="20">
        <v>0</v>
      </c>
      <c r="AV200" s="20">
        <v>0</v>
      </c>
      <c r="AW200" s="20">
        <v>0</v>
      </c>
      <c r="AX200" s="20">
        <v>0</v>
      </c>
      <c r="AY200" s="20">
        <v>0</v>
      </c>
      <c r="AZ200" s="20">
        <v>0</v>
      </c>
      <c r="BA200" s="20">
        <v>0</v>
      </c>
      <c r="BB200" s="27">
        <v>0</v>
      </c>
      <c r="BC200" s="20">
        <v>0</v>
      </c>
      <c r="BD200" s="20">
        <v>0</v>
      </c>
      <c r="BE200" s="21">
        <v>0</v>
      </c>
      <c r="BF200" s="21">
        <v>0</v>
      </c>
      <c r="BG200" s="20">
        <v>0</v>
      </c>
      <c r="BH200" s="20">
        <v>0</v>
      </c>
      <c r="BI200" s="22">
        <f t="shared" si="38"/>
        <v>9</v>
      </c>
      <c r="BJ200" s="22">
        <f t="shared" si="39"/>
        <v>10</v>
      </c>
      <c r="BK200" s="28">
        <f t="shared" si="40"/>
        <v>31</v>
      </c>
      <c r="BL200" s="22">
        <f t="shared" si="41"/>
        <v>21</v>
      </c>
      <c r="BM200" s="22">
        <f t="shared" si="37"/>
        <v>10</v>
      </c>
      <c r="BN200" s="23">
        <f t="shared" si="42"/>
        <v>0.5714285714285714</v>
      </c>
      <c r="BO200" s="23">
        <f t="shared" si="42"/>
        <v>0</v>
      </c>
      <c r="BP200" s="7">
        <f>VLOOKUP(A200,[1]Sheet15!B:E,4,0)</f>
        <v>1</v>
      </c>
      <c r="BQ200" s="7">
        <f>VLOOKUP(A200,[1]Sheet15!B:E,3,0)</f>
        <v>0</v>
      </c>
    </row>
    <row r="201" spans="1:69" ht="22.5" customHeight="1" x14ac:dyDescent="0.25">
      <c r="A201" s="15" t="s">
        <v>537</v>
      </c>
      <c r="B201" s="15">
        <f>VLOOKUP(A201,'[1]Master clients'!F197:W3744,17,0)</f>
        <v>0</v>
      </c>
      <c r="C201" s="15" t="str">
        <f>VLOOKUP(A201,'[1]Master clients'!F197:P3744,11,0)</f>
        <v>NI</v>
      </c>
      <c r="D201" s="15" t="str">
        <f>VLOOKUP(A201,'[1]Master clients'!F:M,8,0)</f>
        <v>Group (Mills)</v>
      </c>
      <c r="E201" s="16" t="s">
        <v>538</v>
      </c>
      <c r="F201" s="16" t="s">
        <v>526</v>
      </c>
      <c r="G201" s="17"/>
      <c r="H201" s="17"/>
      <c r="I201" s="31">
        <v>8</v>
      </c>
      <c r="J201" s="31">
        <v>0</v>
      </c>
      <c r="K201" s="17">
        <v>0</v>
      </c>
      <c r="L201" s="17">
        <v>0</v>
      </c>
      <c r="M201" s="17">
        <v>0</v>
      </c>
      <c r="N201" s="17">
        <v>0</v>
      </c>
      <c r="O201" s="17">
        <v>0</v>
      </c>
      <c r="P201" s="17">
        <v>0</v>
      </c>
      <c r="Q201" s="17">
        <v>0</v>
      </c>
      <c r="R201" s="17">
        <v>0</v>
      </c>
      <c r="S201" s="17">
        <v>0</v>
      </c>
      <c r="T201" s="17">
        <v>0</v>
      </c>
      <c r="U201" s="17">
        <v>0</v>
      </c>
      <c r="V201" s="17">
        <v>0</v>
      </c>
      <c r="W201" s="17">
        <v>0</v>
      </c>
      <c r="X201" s="17">
        <v>0</v>
      </c>
      <c r="Y201" s="17">
        <v>0</v>
      </c>
      <c r="Z201" s="17">
        <v>0</v>
      </c>
      <c r="AA201" s="17">
        <v>0</v>
      </c>
      <c r="AB201" s="17">
        <v>0</v>
      </c>
      <c r="AC201" s="17">
        <v>0</v>
      </c>
      <c r="AD201" s="17">
        <v>0</v>
      </c>
      <c r="AE201" s="17">
        <v>0</v>
      </c>
      <c r="AF201" s="17">
        <v>0</v>
      </c>
      <c r="AG201" s="17">
        <v>0</v>
      </c>
      <c r="AH201" s="17">
        <v>0</v>
      </c>
      <c r="AI201" s="17">
        <v>0</v>
      </c>
      <c r="AJ201" s="17">
        <v>0</v>
      </c>
      <c r="AK201" s="17">
        <v>0</v>
      </c>
      <c r="AL201" s="17">
        <v>0</v>
      </c>
      <c r="AM201" s="17">
        <v>0</v>
      </c>
      <c r="AN201" s="17">
        <v>0</v>
      </c>
      <c r="AO201" s="17">
        <v>0</v>
      </c>
      <c r="AP201" s="17">
        <v>0</v>
      </c>
      <c r="AQ201" s="17">
        <v>0</v>
      </c>
      <c r="AR201" s="17">
        <v>0</v>
      </c>
      <c r="AS201" s="17">
        <v>0</v>
      </c>
      <c r="AT201" s="17">
        <v>0</v>
      </c>
      <c r="AU201" s="17">
        <v>0</v>
      </c>
      <c r="AV201" s="17">
        <v>0</v>
      </c>
      <c r="AW201" s="17">
        <v>0</v>
      </c>
      <c r="AX201" s="17">
        <v>0</v>
      </c>
      <c r="AY201" s="17">
        <v>0</v>
      </c>
      <c r="AZ201" s="17">
        <v>0</v>
      </c>
      <c r="BA201" s="17">
        <v>0</v>
      </c>
      <c r="BB201" s="17">
        <v>0</v>
      </c>
      <c r="BC201" s="17">
        <v>0</v>
      </c>
      <c r="BD201" s="17">
        <v>0</v>
      </c>
      <c r="BE201" s="17">
        <v>0</v>
      </c>
      <c r="BF201" s="17">
        <v>0</v>
      </c>
      <c r="BG201" s="17">
        <v>0</v>
      </c>
      <c r="BH201" s="17">
        <v>0</v>
      </c>
      <c r="BI201" s="22">
        <f t="shared" si="38"/>
        <v>0</v>
      </c>
      <c r="BJ201" s="22">
        <f t="shared" si="39"/>
        <v>0</v>
      </c>
      <c r="BK201" s="22">
        <f t="shared" si="40"/>
        <v>8</v>
      </c>
      <c r="BL201" s="22">
        <f t="shared" si="41"/>
        <v>8</v>
      </c>
      <c r="BM201" s="22">
        <f t="shared" si="37"/>
        <v>0</v>
      </c>
      <c r="BN201" s="23">
        <f t="shared" si="42"/>
        <v>1</v>
      </c>
      <c r="BO201" s="23" t="e">
        <f t="shared" si="42"/>
        <v>#DIV/0!</v>
      </c>
      <c r="BP201" s="7">
        <f>VLOOKUP(A201,[1]Sheet15!B:E,4,0)</f>
        <v>8</v>
      </c>
      <c r="BQ201" s="7">
        <f>VLOOKUP(A201,[1]Sheet15!B:E,3,0)</f>
        <v>0</v>
      </c>
    </row>
    <row r="202" spans="1:69" ht="22.5" customHeight="1" x14ac:dyDescent="0.25">
      <c r="A202" s="15" t="s">
        <v>539</v>
      </c>
      <c r="B202" s="15" t="str">
        <f>VLOOKUP(A202,'[1]Master clients'!F198:W3745,17,0)</f>
        <v>May</v>
      </c>
      <c r="C202" s="15" t="str">
        <f>VLOOKUP(A202,'[1]Master clients'!F198:P3745,11,0)</f>
        <v>NI</v>
      </c>
      <c r="D202" s="15" t="str">
        <f>VLOOKUP(A202,'[1]Master clients'!F:M,8,0)</f>
        <v>End User</v>
      </c>
      <c r="E202" s="16" t="s">
        <v>540</v>
      </c>
      <c r="F202" s="16" t="s">
        <v>526</v>
      </c>
      <c r="G202" s="17"/>
      <c r="H202" s="17"/>
      <c r="I202" s="31">
        <v>11</v>
      </c>
      <c r="J202" s="31">
        <v>0</v>
      </c>
      <c r="K202" s="17">
        <v>2</v>
      </c>
      <c r="L202" s="17">
        <v>0</v>
      </c>
      <c r="M202" s="17">
        <v>0</v>
      </c>
      <c r="N202" s="17">
        <v>0</v>
      </c>
      <c r="O202" s="17">
        <v>0</v>
      </c>
      <c r="P202" s="17">
        <v>0</v>
      </c>
      <c r="Q202" s="17">
        <v>0</v>
      </c>
      <c r="R202" s="17">
        <v>0</v>
      </c>
      <c r="S202" s="17">
        <v>0</v>
      </c>
      <c r="T202" s="17">
        <v>0</v>
      </c>
      <c r="U202" s="17">
        <v>0</v>
      </c>
      <c r="V202" s="17">
        <v>0</v>
      </c>
      <c r="W202" s="17">
        <v>0</v>
      </c>
      <c r="X202" s="17">
        <v>0</v>
      </c>
      <c r="Y202" s="17">
        <v>0</v>
      </c>
      <c r="Z202" s="17">
        <v>0</v>
      </c>
      <c r="AA202" s="17">
        <v>0</v>
      </c>
      <c r="AB202" s="17">
        <v>0</v>
      </c>
      <c r="AC202" s="17">
        <v>0</v>
      </c>
      <c r="AD202" s="17">
        <v>0</v>
      </c>
      <c r="AE202" s="17">
        <v>0</v>
      </c>
      <c r="AF202" s="17">
        <v>0</v>
      </c>
      <c r="AG202" s="17">
        <v>0</v>
      </c>
      <c r="AH202" s="17">
        <v>0</v>
      </c>
      <c r="AI202" s="17">
        <v>0</v>
      </c>
      <c r="AJ202" s="17">
        <v>0</v>
      </c>
      <c r="AK202" s="17">
        <v>0</v>
      </c>
      <c r="AL202" s="17">
        <v>0</v>
      </c>
      <c r="AM202" s="17">
        <v>0</v>
      </c>
      <c r="AN202" s="17">
        <v>0</v>
      </c>
      <c r="AO202" s="17">
        <v>0</v>
      </c>
      <c r="AP202" s="17">
        <v>0</v>
      </c>
      <c r="AQ202" s="17">
        <v>0</v>
      </c>
      <c r="AR202" s="17">
        <v>0</v>
      </c>
      <c r="AS202" s="17">
        <v>0</v>
      </c>
      <c r="AT202" s="17">
        <v>0</v>
      </c>
      <c r="AU202" s="17">
        <v>0</v>
      </c>
      <c r="AV202" s="17">
        <v>0</v>
      </c>
      <c r="AW202" s="17">
        <v>0</v>
      </c>
      <c r="AX202" s="17">
        <v>0</v>
      </c>
      <c r="AY202" s="17">
        <v>0</v>
      </c>
      <c r="AZ202" s="17">
        <v>0</v>
      </c>
      <c r="BA202" s="17">
        <v>0</v>
      </c>
      <c r="BB202" s="17">
        <v>0</v>
      </c>
      <c r="BC202" s="17">
        <v>0</v>
      </c>
      <c r="BD202" s="17">
        <v>0</v>
      </c>
      <c r="BE202" s="17">
        <v>0</v>
      </c>
      <c r="BF202" s="17">
        <v>0</v>
      </c>
      <c r="BG202" s="17">
        <v>0</v>
      </c>
      <c r="BH202" s="17">
        <v>0</v>
      </c>
      <c r="BI202" s="22">
        <f t="shared" si="38"/>
        <v>2</v>
      </c>
      <c r="BJ202" s="22">
        <f t="shared" si="39"/>
        <v>0</v>
      </c>
      <c r="BK202" s="22">
        <f t="shared" si="40"/>
        <v>13</v>
      </c>
      <c r="BL202" s="22">
        <f t="shared" si="41"/>
        <v>13</v>
      </c>
      <c r="BM202" s="22">
        <f t="shared" ref="BM202:BM229" si="43">SUM(J202+N202+O202+Q202+S202+U202+X202+AA202+AD202+AF202+AM202+AP202+AQ202+AT202+AX202+AY202+BD202+BH202)</f>
        <v>0</v>
      </c>
      <c r="BN202" s="23">
        <f t="shared" si="42"/>
        <v>0.84615384615384615</v>
      </c>
      <c r="BO202" s="23" t="e">
        <f t="shared" si="42"/>
        <v>#DIV/0!</v>
      </c>
      <c r="BP202" s="7">
        <f>VLOOKUP(A202,[1]Sheet15!B:E,4,0)</f>
        <v>24</v>
      </c>
      <c r="BQ202" s="7">
        <f>VLOOKUP(A202,[1]Sheet15!B:E,3,0)</f>
        <v>0</v>
      </c>
    </row>
    <row r="203" spans="1:69" ht="22.5" customHeight="1" x14ac:dyDescent="0.25">
      <c r="A203" s="15" t="s">
        <v>541</v>
      </c>
      <c r="B203" s="15">
        <f>VLOOKUP(A203,'[1]Master clients'!F199:W3746,17,0)</f>
        <v>0</v>
      </c>
      <c r="C203" s="15" t="str">
        <f>VLOOKUP(A203,'[1]Master clients'!F199:P3746,11,0)</f>
        <v>NI</v>
      </c>
      <c r="D203" s="15" t="str">
        <f>VLOOKUP(A203,'[1]Master clients'!F:M,8,0)</f>
        <v>End User</v>
      </c>
      <c r="E203" s="16" t="s">
        <v>542</v>
      </c>
      <c r="F203" s="16" t="s">
        <v>526</v>
      </c>
      <c r="G203" s="17"/>
      <c r="H203" s="17"/>
      <c r="I203" s="31">
        <v>4</v>
      </c>
      <c r="J203" s="31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  <c r="AE203" s="17">
        <v>0</v>
      </c>
      <c r="AF203" s="17">
        <v>0</v>
      </c>
      <c r="AG203" s="17">
        <v>0</v>
      </c>
      <c r="AH203" s="17">
        <v>0</v>
      </c>
      <c r="AI203" s="17">
        <v>0</v>
      </c>
      <c r="AJ203" s="17">
        <v>0</v>
      </c>
      <c r="AK203" s="17">
        <v>0</v>
      </c>
      <c r="AL203" s="17">
        <v>0</v>
      </c>
      <c r="AM203" s="17">
        <v>0</v>
      </c>
      <c r="AN203" s="17">
        <v>0</v>
      </c>
      <c r="AO203" s="17">
        <v>0</v>
      </c>
      <c r="AP203" s="17">
        <v>0</v>
      </c>
      <c r="AQ203" s="17">
        <v>0</v>
      </c>
      <c r="AR203" s="17">
        <v>0</v>
      </c>
      <c r="AS203" s="17">
        <v>0</v>
      </c>
      <c r="AT203" s="17">
        <v>0</v>
      </c>
      <c r="AU203" s="17">
        <v>0</v>
      </c>
      <c r="AV203" s="17">
        <v>0</v>
      </c>
      <c r="AW203" s="17">
        <v>0</v>
      </c>
      <c r="AX203" s="17">
        <v>0</v>
      </c>
      <c r="AY203" s="17">
        <v>0</v>
      </c>
      <c r="AZ203" s="17">
        <v>0</v>
      </c>
      <c r="BA203" s="17">
        <v>0</v>
      </c>
      <c r="BB203" s="17">
        <v>0</v>
      </c>
      <c r="BC203" s="17">
        <v>0</v>
      </c>
      <c r="BD203" s="17">
        <v>0</v>
      </c>
      <c r="BE203" s="17">
        <v>0</v>
      </c>
      <c r="BF203" s="17">
        <v>0</v>
      </c>
      <c r="BG203" s="17">
        <v>0</v>
      </c>
      <c r="BH203" s="17">
        <v>0</v>
      </c>
      <c r="BI203" s="22">
        <f t="shared" si="38"/>
        <v>0</v>
      </c>
      <c r="BJ203" s="22">
        <f t="shared" si="39"/>
        <v>0</v>
      </c>
      <c r="BK203" s="22">
        <f t="shared" si="40"/>
        <v>4</v>
      </c>
      <c r="BL203" s="22">
        <f t="shared" si="41"/>
        <v>4</v>
      </c>
      <c r="BM203" s="22">
        <f t="shared" si="43"/>
        <v>0</v>
      </c>
      <c r="BN203" s="23">
        <f t="shared" si="42"/>
        <v>1</v>
      </c>
      <c r="BO203" s="23" t="e">
        <f t="shared" si="42"/>
        <v>#DIV/0!</v>
      </c>
      <c r="BP203" s="7">
        <f>VLOOKUP(A203,[1]Sheet15!B:E,4,0)</f>
        <v>4</v>
      </c>
      <c r="BQ203" s="7">
        <f>VLOOKUP(A203,[1]Sheet15!B:E,3,0)</f>
        <v>0</v>
      </c>
    </row>
    <row r="204" spans="1:69" ht="22.5" customHeight="1" x14ac:dyDescent="0.25">
      <c r="A204" s="15" t="s">
        <v>543</v>
      </c>
      <c r="B204" s="15">
        <f>VLOOKUP(A204,'[1]Master clients'!F200:W3747,17,0)</f>
        <v>0</v>
      </c>
      <c r="C204" s="15" t="str">
        <f>VLOOKUP(A204,'[1]Master clients'!F200:P3747,11,0)</f>
        <v>NI</v>
      </c>
      <c r="D204" s="15" t="str">
        <f>VLOOKUP(A204,'[1]Master clients'!F:M,8,0)</f>
        <v>End User</v>
      </c>
      <c r="E204" s="24" t="s">
        <v>544</v>
      </c>
      <c r="F204" s="25" t="s">
        <v>526</v>
      </c>
      <c r="G204" s="20">
        <v>0</v>
      </c>
      <c r="H204" s="20">
        <v>0</v>
      </c>
      <c r="I204" s="26">
        <v>10</v>
      </c>
      <c r="J204" s="26">
        <v>0</v>
      </c>
      <c r="K204" s="20">
        <v>0</v>
      </c>
      <c r="L204" s="20">
        <v>0</v>
      </c>
      <c r="M204" s="20">
        <v>0</v>
      </c>
      <c r="N204" s="20">
        <v>0</v>
      </c>
      <c r="O204" s="20">
        <v>0</v>
      </c>
      <c r="P204" s="20">
        <v>0</v>
      </c>
      <c r="Q204" s="20">
        <v>1</v>
      </c>
      <c r="R204" s="20">
        <v>0</v>
      </c>
      <c r="S204" s="20">
        <v>0</v>
      </c>
      <c r="T204" s="20">
        <v>7</v>
      </c>
      <c r="U204" s="20">
        <v>0</v>
      </c>
      <c r="V204" s="20">
        <v>0</v>
      </c>
      <c r="W204" s="20">
        <v>0</v>
      </c>
      <c r="X204" s="20">
        <v>7</v>
      </c>
      <c r="Y204" s="20">
        <v>0</v>
      </c>
      <c r="Z204" s="20">
        <v>0</v>
      </c>
      <c r="AA204" s="20">
        <v>0</v>
      </c>
      <c r="AB204" s="20">
        <v>0</v>
      </c>
      <c r="AC204" s="20">
        <v>0</v>
      </c>
      <c r="AD204" s="20">
        <v>0</v>
      </c>
      <c r="AE204" s="20">
        <v>0</v>
      </c>
      <c r="AF204" s="20">
        <v>0</v>
      </c>
      <c r="AG204" s="20">
        <v>0</v>
      </c>
      <c r="AH204" s="20">
        <v>0</v>
      </c>
      <c r="AI204" s="20">
        <v>0</v>
      </c>
      <c r="AJ204" s="20">
        <v>0</v>
      </c>
      <c r="AK204" s="20">
        <v>0</v>
      </c>
      <c r="AL204" s="20">
        <v>0</v>
      </c>
      <c r="AM204" s="20">
        <v>0</v>
      </c>
      <c r="AN204" s="20">
        <v>0</v>
      </c>
      <c r="AO204" s="20">
        <v>0</v>
      </c>
      <c r="AP204" s="20">
        <v>0</v>
      </c>
      <c r="AQ204" s="20">
        <v>0</v>
      </c>
      <c r="AR204" s="20">
        <v>0</v>
      </c>
      <c r="AS204" s="20">
        <v>0</v>
      </c>
      <c r="AT204" s="20">
        <v>0</v>
      </c>
      <c r="AU204" s="20">
        <v>0</v>
      </c>
      <c r="AV204" s="20">
        <v>0</v>
      </c>
      <c r="AW204" s="20">
        <v>0</v>
      </c>
      <c r="AX204" s="20">
        <v>0</v>
      </c>
      <c r="AY204" s="20">
        <v>0</v>
      </c>
      <c r="AZ204" s="20">
        <v>0</v>
      </c>
      <c r="BA204" s="20">
        <v>0</v>
      </c>
      <c r="BB204" s="27">
        <v>0</v>
      </c>
      <c r="BC204" s="20">
        <v>0</v>
      </c>
      <c r="BD204" s="20">
        <v>0</v>
      </c>
      <c r="BE204" s="21">
        <v>0</v>
      </c>
      <c r="BF204" s="21">
        <v>0</v>
      </c>
      <c r="BG204" s="20">
        <v>0</v>
      </c>
      <c r="BH204" s="20">
        <v>0</v>
      </c>
      <c r="BI204" s="22">
        <f t="shared" si="38"/>
        <v>7</v>
      </c>
      <c r="BJ204" s="22">
        <f t="shared" si="39"/>
        <v>8</v>
      </c>
      <c r="BK204" s="28">
        <f t="shared" si="40"/>
        <v>25</v>
      </c>
      <c r="BL204" s="22">
        <f t="shared" si="41"/>
        <v>17</v>
      </c>
      <c r="BM204" s="22">
        <f t="shared" si="43"/>
        <v>8</v>
      </c>
      <c r="BN204" s="23">
        <f t="shared" si="42"/>
        <v>0.58823529411764708</v>
      </c>
      <c r="BO204" s="23">
        <f t="shared" si="42"/>
        <v>0</v>
      </c>
      <c r="BP204" s="7">
        <f>VLOOKUP(A204,[1]Sheet15!B:E,4,0)</f>
        <v>2</v>
      </c>
      <c r="BQ204" s="7">
        <f>VLOOKUP(A204,[1]Sheet15!B:E,3,0)</f>
        <v>0</v>
      </c>
    </row>
    <row r="205" spans="1:69" ht="22.5" customHeight="1" x14ac:dyDescent="0.25">
      <c r="A205" s="15" t="s">
        <v>545</v>
      </c>
      <c r="B205" s="35">
        <f>VLOOKUP(A205,'[1]Master clients'!F909:W4456,17,0)</f>
        <v>0</v>
      </c>
      <c r="C205" s="15" t="str">
        <f>VLOOKUP(A205,'[1]Master clients'!F909:P4456,11,0)</f>
        <v>-</v>
      </c>
      <c r="D205" s="15" t="str">
        <f>VLOOKUP(A205,'[1]Master clients'!F:M,8,0)</f>
        <v>End User</v>
      </c>
      <c r="E205" s="16" t="s">
        <v>546</v>
      </c>
      <c r="F205" s="29" t="s">
        <v>526</v>
      </c>
      <c r="G205" s="20"/>
      <c r="H205" s="20"/>
      <c r="I205" s="18">
        <v>0</v>
      </c>
      <c r="J205" s="18">
        <v>0</v>
      </c>
      <c r="K205" s="20">
        <v>3</v>
      </c>
      <c r="L205" s="20">
        <v>0</v>
      </c>
      <c r="M205" s="20">
        <v>0</v>
      </c>
      <c r="N205" s="20">
        <v>0</v>
      </c>
      <c r="O205" s="20">
        <v>0</v>
      </c>
      <c r="P205" s="20">
        <v>0</v>
      </c>
      <c r="Q205" s="20">
        <v>0</v>
      </c>
      <c r="R205" s="20">
        <v>0</v>
      </c>
      <c r="S205" s="20">
        <v>0</v>
      </c>
      <c r="T205" s="20">
        <v>0</v>
      </c>
      <c r="U205" s="20">
        <v>0</v>
      </c>
      <c r="V205" s="20">
        <v>0</v>
      </c>
      <c r="W205" s="20">
        <v>0</v>
      </c>
      <c r="X205" s="20">
        <v>0</v>
      </c>
      <c r="Y205" s="20">
        <v>0</v>
      </c>
      <c r="Z205" s="20">
        <v>0</v>
      </c>
      <c r="AA205" s="20">
        <v>0</v>
      </c>
      <c r="AB205" s="20">
        <v>0</v>
      </c>
      <c r="AC205" s="20">
        <v>0</v>
      </c>
      <c r="AD205" s="20">
        <v>0</v>
      </c>
      <c r="AE205" s="20">
        <v>0</v>
      </c>
      <c r="AF205" s="20">
        <v>0</v>
      </c>
      <c r="AG205" s="20">
        <v>0</v>
      </c>
      <c r="AH205" s="20">
        <v>0</v>
      </c>
      <c r="AI205" s="20">
        <v>0</v>
      </c>
      <c r="AJ205" s="20">
        <v>0</v>
      </c>
      <c r="AK205" s="20">
        <v>0</v>
      </c>
      <c r="AL205" s="20">
        <v>0</v>
      </c>
      <c r="AM205" s="20">
        <v>0</v>
      </c>
      <c r="AN205" s="20">
        <v>0</v>
      </c>
      <c r="AO205" s="20">
        <v>1</v>
      </c>
      <c r="AP205" s="20">
        <v>0</v>
      </c>
      <c r="AQ205" s="20">
        <v>0</v>
      </c>
      <c r="AR205" s="20">
        <v>0</v>
      </c>
      <c r="AS205" s="20">
        <v>0</v>
      </c>
      <c r="AT205" s="20">
        <v>0</v>
      </c>
      <c r="AU205" s="20">
        <v>0</v>
      </c>
      <c r="AV205" s="20">
        <v>0</v>
      </c>
      <c r="AW205" s="20">
        <v>0</v>
      </c>
      <c r="AX205" s="20">
        <v>0</v>
      </c>
      <c r="AY205" s="20">
        <v>0</v>
      </c>
      <c r="AZ205" s="20">
        <v>0</v>
      </c>
      <c r="BA205" s="20">
        <v>0</v>
      </c>
      <c r="BB205" s="20">
        <v>0</v>
      </c>
      <c r="BC205" s="20">
        <v>0</v>
      </c>
      <c r="BD205" s="20">
        <v>0</v>
      </c>
      <c r="BE205" s="20">
        <v>0</v>
      </c>
      <c r="BF205" s="20">
        <v>0</v>
      </c>
      <c r="BG205" s="20">
        <v>0</v>
      </c>
      <c r="BH205" s="20">
        <v>0</v>
      </c>
      <c r="BI205" s="22">
        <f t="shared" si="38"/>
        <v>4</v>
      </c>
      <c r="BJ205" s="22">
        <f t="shared" si="39"/>
        <v>0</v>
      </c>
      <c r="BK205" s="22">
        <f t="shared" si="40"/>
        <v>4</v>
      </c>
      <c r="BL205" s="22">
        <f t="shared" si="41"/>
        <v>4</v>
      </c>
      <c r="BM205" s="22">
        <f t="shared" si="43"/>
        <v>0</v>
      </c>
      <c r="BN205" s="23">
        <f t="shared" si="42"/>
        <v>0</v>
      </c>
      <c r="BO205" s="23" t="e">
        <f t="shared" si="42"/>
        <v>#DIV/0!</v>
      </c>
      <c r="BP205" s="7" t="e">
        <f>VLOOKUP(A205,[1]Sheet15!B:E,4,0)</f>
        <v>#N/A</v>
      </c>
      <c r="BQ205" s="7" t="e">
        <f>VLOOKUP(A205,[1]Sheet15!B:E,3,0)</f>
        <v>#N/A</v>
      </c>
    </row>
    <row r="206" spans="1:69" ht="22.5" customHeight="1" x14ac:dyDescent="0.25">
      <c r="A206" s="15" t="s">
        <v>547</v>
      </c>
      <c r="B206" s="15">
        <f>VLOOKUP(A206,'[1]Master clients'!F201:W3748,17,0)</f>
        <v>0</v>
      </c>
      <c r="C206" s="15" t="str">
        <f>VLOOKUP(A206,'[1]Master clients'!F201:P3748,11,0)</f>
        <v>NI</v>
      </c>
      <c r="D206" s="15" t="str">
        <f>VLOOKUP(A206,'[1]Master clients'!F:M,8,0)</f>
        <v>End User</v>
      </c>
      <c r="E206" s="16" t="s">
        <v>548</v>
      </c>
      <c r="F206" s="16" t="s">
        <v>526</v>
      </c>
      <c r="G206" s="17"/>
      <c r="H206" s="17"/>
      <c r="I206" s="31">
        <v>1</v>
      </c>
      <c r="J206" s="31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  <c r="AE206" s="17">
        <v>0</v>
      </c>
      <c r="AF206" s="17">
        <v>0</v>
      </c>
      <c r="AG206" s="17">
        <v>0</v>
      </c>
      <c r="AH206" s="17">
        <v>0</v>
      </c>
      <c r="AI206" s="17">
        <v>0</v>
      </c>
      <c r="AJ206" s="17">
        <v>0</v>
      </c>
      <c r="AK206" s="17">
        <v>0</v>
      </c>
      <c r="AL206" s="17">
        <v>0</v>
      </c>
      <c r="AM206" s="17">
        <v>0</v>
      </c>
      <c r="AN206" s="17">
        <v>0</v>
      </c>
      <c r="AO206" s="17">
        <v>0</v>
      </c>
      <c r="AP206" s="17">
        <v>0</v>
      </c>
      <c r="AQ206" s="17">
        <v>0</v>
      </c>
      <c r="AR206" s="17">
        <v>0</v>
      </c>
      <c r="AS206" s="17">
        <v>0</v>
      </c>
      <c r="AT206" s="17">
        <v>0</v>
      </c>
      <c r="AU206" s="17">
        <v>0</v>
      </c>
      <c r="AV206" s="17">
        <v>0</v>
      </c>
      <c r="AW206" s="17">
        <v>0</v>
      </c>
      <c r="AX206" s="17">
        <v>0</v>
      </c>
      <c r="AY206" s="17">
        <v>0</v>
      </c>
      <c r="AZ206" s="17">
        <v>0</v>
      </c>
      <c r="BA206" s="17">
        <v>0</v>
      </c>
      <c r="BB206" s="17">
        <v>0</v>
      </c>
      <c r="BC206" s="17">
        <v>0</v>
      </c>
      <c r="BD206" s="17">
        <v>0</v>
      </c>
      <c r="BE206" s="17">
        <v>0</v>
      </c>
      <c r="BF206" s="17">
        <v>0</v>
      </c>
      <c r="BG206" s="17">
        <v>0</v>
      </c>
      <c r="BH206" s="17">
        <v>0</v>
      </c>
      <c r="BI206" s="22">
        <f t="shared" si="38"/>
        <v>0</v>
      </c>
      <c r="BJ206" s="22">
        <f t="shared" si="39"/>
        <v>0</v>
      </c>
      <c r="BK206" s="22">
        <f t="shared" si="40"/>
        <v>1</v>
      </c>
      <c r="BL206" s="22">
        <f t="shared" si="41"/>
        <v>1</v>
      </c>
      <c r="BM206" s="22">
        <f t="shared" si="43"/>
        <v>0</v>
      </c>
      <c r="BN206" s="23">
        <f t="shared" si="42"/>
        <v>1</v>
      </c>
      <c r="BO206" s="23" t="e">
        <f t="shared" si="42"/>
        <v>#DIV/0!</v>
      </c>
      <c r="BP206" s="7">
        <f>VLOOKUP(A206,[1]Sheet15!B:E,4,0)</f>
        <v>1</v>
      </c>
      <c r="BQ206" s="7">
        <f>VLOOKUP(A206,[1]Sheet15!B:E,3,0)</f>
        <v>0</v>
      </c>
    </row>
    <row r="207" spans="1:69" ht="22.5" customHeight="1" x14ac:dyDescent="0.25">
      <c r="A207" s="15" t="s">
        <v>549</v>
      </c>
      <c r="B207" s="15" t="str">
        <f>VLOOKUP(A207,'[1]Master clients'!F202:W3749,17,0)</f>
        <v>May</v>
      </c>
      <c r="C207" s="15" t="str">
        <f>VLOOKUP(A207,'[1]Master clients'!F202:P3749,11,0)</f>
        <v>NI</v>
      </c>
      <c r="D207" s="15" t="str">
        <f>VLOOKUP(A207,'[1]Master clients'!F:M,8,0)</f>
        <v>Group (Mills)</v>
      </c>
      <c r="E207" s="24" t="s">
        <v>550</v>
      </c>
      <c r="F207" s="25" t="s">
        <v>526</v>
      </c>
      <c r="G207" s="20">
        <v>0</v>
      </c>
      <c r="H207" s="20">
        <v>0</v>
      </c>
      <c r="I207" s="26">
        <v>0</v>
      </c>
      <c r="J207" s="26">
        <v>0</v>
      </c>
      <c r="K207" s="20">
        <v>0</v>
      </c>
      <c r="L207" s="20">
        <v>0</v>
      </c>
      <c r="M207" s="20">
        <v>4</v>
      </c>
      <c r="N207" s="20">
        <v>8</v>
      </c>
      <c r="O207" s="20">
        <v>0</v>
      </c>
      <c r="P207" s="20">
        <v>0</v>
      </c>
      <c r="Q207" s="20">
        <v>0</v>
      </c>
      <c r="R207" s="20">
        <v>0</v>
      </c>
      <c r="S207" s="20">
        <v>0</v>
      </c>
      <c r="T207" s="20">
        <v>8</v>
      </c>
      <c r="U207" s="20">
        <v>0</v>
      </c>
      <c r="V207" s="20">
        <v>0</v>
      </c>
      <c r="W207" s="20">
        <v>0</v>
      </c>
      <c r="X207" s="20">
        <v>0</v>
      </c>
      <c r="Y207" s="20">
        <v>0</v>
      </c>
      <c r="Z207" s="20">
        <v>0</v>
      </c>
      <c r="AA207" s="20">
        <v>0</v>
      </c>
      <c r="AB207" s="20">
        <v>0</v>
      </c>
      <c r="AC207" s="20">
        <v>0</v>
      </c>
      <c r="AD207" s="20">
        <v>0</v>
      </c>
      <c r="AE207" s="20">
        <v>0</v>
      </c>
      <c r="AF207" s="20">
        <v>0</v>
      </c>
      <c r="AG207" s="20">
        <v>0</v>
      </c>
      <c r="AH207" s="20">
        <v>0</v>
      </c>
      <c r="AI207" s="20">
        <v>0</v>
      </c>
      <c r="AJ207" s="20">
        <v>0</v>
      </c>
      <c r="AK207" s="20">
        <v>0</v>
      </c>
      <c r="AL207" s="20">
        <v>0</v>
      </c>
      <c r="AM207" s="20">
        <v>0</v>
      </c>
      <c r="AN207" s="20">
        <v>0</v>
      </c>
      <c r="AO207" s="20">
        <v>0</v>
      </c>
      <c r="AP207" s="20">
        <v>0</v>
      </c>
      <c r="AQ207" s="20">
        <v>0</v>
      </c>
      <c r="AR207" s="20">
        <v>0</v>
      </c>
      <c r="AS207" s="20">
        <v>0</v>
      </c>
      <c r="AT207" s="20">
        <v>0</v>
      </c>
      <c r="AU207" s="20">
        <v>0</v>
      </c>
      <c r="AV207" s="20">
        <v>0</v>
      </c>
      <c r="AW207" s="20">
        <v>0</v>
      </c>
      <c r="AX207" s="20">
        <v>0</v>
      </c>
      <c r="AY207" s="20">
        <v>0</v>
      </c>
      <c r="AZ207" s="20">
        <v>0</v>
      </c>
      <c r="BA207" s="20">
        <v>0</v>
      </c>
      <c r="BB207" s="27">
        <v>0</v>
      </c>
      <c r="BC207" s="20">
        <v>0</v>
      </c>
      <c r="BD207" s="20">
        <v>0</v>
      </c>
      <c r="BE207" s="21">
        <v>0</v>
      </c>
      <c r="BF207" s="21">
        <v>0</v>
      </c>
      <c r="BG207" s="20">
        <v>0</v>
      </c>
      <c r="BH207" s="20">
        <v>0</v>
      </c>
      <c r="BI207" s="22">
        <f t="shared" si="38"/>
        <v>12</v>
      </c>
      <c r="BJ207" s="22">
        <f t="shared" si="39"/>
        <v>8</v>
      </c>
      <c r="BK207" s="28">
        <f t="shared" si="40"/>
        <v>20</v>
      </c>
      <c r="BL207" s="22">
        <f t="shared" si="41"/>
        <v>12</v>
      </c>
      <c r="BM207" s="22">
        <f t="shared" si="43"/>
        <v>8</v>
      </c>
      <c r="BN207" s="23">
        <f t="shared" si="42"/>
        <v>0</v>
      </c>
      <c r="BO207" s="23">
        <f t="shared" si="42"/>
        <v>0</v>
      </c>
      <c r="BP207" s="7" t="e">
        <f>VLOOKUP(A207,[1]Sheet15!B:E,4,0)</f>
        <v>#N/A</v>
      </c>
      <c r="BQ207" s="7" t="e">
        <f>VLOOKUP(A207,[1]Sheet15!B:E,3,0)</f>
        <v>#N/A</v>
      </c>
    </row>
    <row r="208" spans="1:69" ht="22.5" customHeight="1" x14ac:dyDescent="0.25">
      <c r="A208" s="15" t="s">
        <v>551</v>
      </c>
      <c r="B208" s="15">
        <f>VLOOKUP(A208,'[1]Master clients'!F203:W3750,17,0)</f>
        <v>0</v>
      </c>
      <c r="C208" s="15" t="str">
        <f>VLOOKUP(A208,'[1]Master clients'!F203:P3750,11,0)</f>
        <v>-</v>
      </c>
      <c r="D208" s="15">
        <f>VLOOKUP(A208,'[1]Master clients'!F:M,8,0)</f>
        <v>0</v>
      </c>
      <c r="E208" s="16" t="s">
        <v>552</v>
      </c>
      <c r="F208" s="29" t="s">
        <v>553</v>
      </c>
      <c r="G208" s="20"/>
      <c r="H208" s="20"/>
      <c r="I208" s="18">
        <v>0</v>
      </c>
      <c r="J208" s="18">
        <v>0</v>
      </c>
      <c r="K208" s="20">
        <v>0</v>
      </c>
      <c r="L208" s="20">
        <v>6</v>
      </c>
      <c r="M208" s="20">
        <v>0</v>
      </c>
      <c r="N208" s="20">
        <v>0</v>
      </c>
      <c r="O208" s="20">
        <v>0</v>
      </c>
      <c r="P208" s="20">
        <v>0</v>
      </c>
      <c r="Q208" s="20">
        <v>0</v>
      </c>
      <c r="R208" s="20">
        <v>0</v>
      </c>
      <c r="S208" s="20">
        <v>0</v>
      </c>
      <c r="T208" s="20">
        <v>0</v>
      </c>
      <c r="U208" s="20">
        <v>0</v>
      </c>
      <c r="V208" s="20">
        <v>0</v>
      </c>
      <c r="W208" s="20">
        <v>0</v>
      </c>
      <c r="X208" s="20">
        <v>0</v>
      </c>
      <c r="Y208" s="20">
        <v>0</v>
      </c>
      <c r="Z208" s="20">
        <v>0</v>
      </c>
      <c r="AA208" s="20">
        <v>0</v>
      </c>
      <c r="AB208" s="20">
        <v>0</v>
      </c>
      <c r="AC208" s="20">
        <v>0</v>
      </c>
      <c r="AD208" s="20">
        <v>0</v>
      </c>
      <c r="AE208" s="20">
        <v>0</v>
      </c>
      <c r="AF208" s="20">
        <v>0</v>
      </c>
      <c r="AG208" s="20">
        <v>0</v>
      </c>
      <c r="AH208" s="20">
        <v>0</v>
      </c>
      <c r="AI208" s="20">
        <v>0</v>
      </c>
      <c r="AJ208" s="20">
        <v>0</v>
      </c>
      <c r="AK208" s="20">
        <v>0</v>
      </c>
      <c r="AL208" s="20">
        <v>0</v>
      </c>
      <c r="AM208" s="20">
        <v>0</v>
      </c>
      <c r="AN208" s="20">
        <v>0</v>
      </c>
      <c r="AO208" s="20">
        <v>0</v>
      </c>
      <c r="AP208" s="20">
        <v>0</v>
      </c>
      <c r="AQ208" s="20">
        <v>0</v>
      </c>
      <c r="AR208" s="20">
        <v>0</v>
      </c>
      <c r="AS208" s="20">
        <v>0</v>
      </c>
      <c r="AT208" s="20">
        <v>0</v>
      </c>
      <c r="AU208" s="20">
        <v>0</v>
      </c>
      <c r="AV208" s="20">
        <v>0</v>
      </c>
      <c r="AW208" s="20">
        <v>0</v>
      </c>
      <c r="AX208" s="20">
        <v>0</v>
      </c>
      <c r="AY208" s="20">
        <v>0</v>
      </c>
      <c r="AZ208" s="20">
        <v>0</v>
      </c>
      <c r="BA208" s="20">
        <v>0</v>
      </c>
      <c r="BB208" s="20">
        <v>0</v>
      </c>
      <c r="BC208" s="20">
        <v>0</v>
      </c>
      <c r="BD208" s="20">
        <v>0</v>
      </c>
      <c r="BE208" s="20">
        <v>0</v>
      </c>
      <c r="BF208" s="20">
        <v>0</v>
      </c>
      <c r="BG208" s="20">
        <v>0</v>
      </c>
      <c r="BH208" s="20">
        <v>0</v>
      </c>
      <c r="BI208" s="22">
        <f t="shared" si="38"/>
        <v>6</v>
      </c>
      <c r="BJ208" s="22">
        <f t="shared" si="39"/>
        <v>0</v>
      </c>
      <c r="BK208" s="22">
        <f t="shared" si="40"/>
        <v>6</v>
      </c>
      <c r="BL208" s="22">
        <f t="shared" si="41"/>
        <v>6</v>
      </c>
      <c r="BM208" s="22">
        <f t="shared" si="43"/>
        <v>0</v>
      </c>
      <c r="BN208" s="23">
        <f t="shared" si="42"/>
        <v>0</v>
      </c>
      <c r="BO208" s="23" t="e">
        <f t="shared" si="42"/>
        <v>#DIV/0!</v>
      </c>
      <c r="BP208" s="7" t="e">
        <f>VLOOKUP(A208,[1]Sheet15!B:E,4,0)</f>
        <v>#N/A</v>
      </c>
      <c r="BQ208" s="7" t="e">
        <f>VLOOKUP(A208,[1]Sheet15!B:E,3,0)</f>
        <v>#N/A</v>
      </c>
    </row>
    <row r="209" spans="1:69" ht="22.5" customHeight="1" x14ac:dyDescent="0.25">
      <c r="A209" s="15" t="s">
        <v>554</v>
      </c>
      <c r="B209" s="15">
        <f>VLOOKUP(A209,'[1]Master clients'!F204:W3751,17,0)</f>
        <v>0</v>
      </c>
      <c r="C209" s="15" t="str">
        <f>VLOOKUP(A209,'[1]Master clients'!F204:P3751,11,0)</f>
        <v>NI</v>
      </c>
      <c r="D209" s="15" t="str">
        <f>VLOOKUP(A209,'[1]Master clients'!F:M,8,0)</f>
        <v>End User</v>
      </c>
      <c r="E209" s="24" t="s">
        <v>555</v>
      </c>
      <c r="F209" s="25" t="s">
        <v>556</v>
      </c>
      <c r="G209" s="20">
        <v>2</v>
      </c>
      <c r="H209" s="20">
        <v>0</v>
      </c>
      <c r="I209" s="26">
        <v>2</v>
      </c>
      <c r="J209" s="26">
        <v>0</v>
      </c>
      <c r="K209" s="20">
        <v>0</v>
      </c>
      <c r="L209" s="20">
        <v>0</v>
      </c>
      <c r="M209" s="20">
        <v>6</v>
      </c>
      <c r="N209" s="20">
        <v>8</v>
      </c>
      <c r="O209" s="20">
        <v>0</v>
      </c>
      <c r="P209" s="20">
        <v>0</v>
      </c>
      <c r="Q209" s="20">
        <v>0</v>
      </c>
      <c r="R209" s="20">
        <v>0</v>
      </c>
      <c r="S209" s="20">
        <v>0</v>
      </c>
      <c r="T209" s="20">
        <v>0</v>
      </c>
      <c r="U209" s="20">
        <v>0</v>
      </c>
      <c r="V209" s="20">
        <v>0</v>
      </c>
      <c r="W209" s="20">
        <v>0</v>
      </c>
      <c r="X209" s="20">
        <v>0</v>
      </c>
      <c r="Y209" s="20">
        <v>0</v>
      </c>
      <c r="Z209" s="20">
        <v>0</v>
      </c>
      <c r="AA209" s="20">
        <v>0</v>
      </c>
      <c r="AB209" s="20">
        <v>0</v>
      </c>
      <c r="AC209" s="20">
        <v>0</v>
      </c>
      <c r="AD209" s="20">
        <v>0</v>
      </c>
      <c r="AE209" s="20">
        <v>0</v>
      </c>
      <c r="AF209" s="20">
        <v>0</v>
      </c>
      <c r="AG209" s="20">
        <v>0</v>
      </c>
      <c r="AH209" s="20">
        <v>0</v>
      </c>
      <c r="AI209" s="20">
        <v>0</v>
      </c>
      <c r="AJ209" s="20">
        <v>0</v>
      </c>
      <c r="AK209" s="20">
        <v>0</v>
      </c>
      <c r="AL209" s="20">
        <v>0</v>
      </c>
      <c r="AM209" s="20">
        <v>0</v>
      </c>
      <c r="AN209" s="20">
        <v>0</v>
      </c>
      <c r="AO209" s="20">
        <v>0</v>
      </c>
      <c r="AP209" s="20">
        <v>0</v>
      </c>
      <c r="AQ209" s="20">
        <v>0</v>
      </c>
      <c r="AR209" s="20">
        <v>0</v>
      </c>
      <c r="AS209" s="20">
        <v>0</v>
      </c>
      <c r="AT209" s="20">
        <v>0</v>
      </c>
      <c r="AU209" s="20">
        <v>0</v>
      </c>
      <c r="AV209" s="20">
        <v>0</v>
      </c>
      <c r="AW209" s="20">
        <v>0</v>
      </c>
      <c r="AX209" s="20">
        <v>0</v>
      </c>
      <c r="AY209" s="20">
        <v>0</v>
      </c>
      <c r="AZ209" s="20">
        <v>0</v>
      </c>
      <c r="BA209" s="20">
        <v>0</v>
      </c>
      <c r="BB209" s="27">
        <v>0</v>
      </c>
      <c r="BC209" s="20">
        <v>0</v>
      </c>
      <c r="BD209" s="20">
        <v>0</v>
      </c>
      <c r="BE209" s="21">
        <v>0</v>
      </c>
      <c r="BF209" s="21">
        <v>0</v>
      </c>
      <c r="BG209" s="20">
        <v>0</v>
      </c>
      <c r="BH209" s="20">
        <v>0</v>
      </c>
      <c r="BI209" s="22">
        <f t="shared" si="38"/>
        <v>6</v>
      </c>
      <c r="BJ209" s="22">
        <f t="shared" si="39"/>
        <v>8</v>
      </c>
      <c r="BK209" s="28">
        <f t="shared" si="40"/>
        <v>16</v>
      </c>
      <c r="BL209" s="22">
        <f t="shared" si="41"/>
        <v>8</v>
      </c>
      <c r="BM209" s="22">
        <f t="shared" si="43"/>
        <v>8</v>
      </c>
      <c r="BN209" s="23">
        <f t="shared" si="42"/>
        <v>0.25</v>
      </c>
      <c r="BO209" s="23">
        <f t="shared" si="42"/>
        <v>0</v>
      </c>
      <c r="BP209" s="7" t="e">
        <f>VLOOKUP(A209,[1]Sheet15!B:E,4,0)</f>
        <v>#N/A</v>
      </c>
      <c r="BQ209" s="7" t="e">
        <f>VLOOKUP(A209,[1]Sheet15!B:E,3,0)</f>
        <v>#N/A</v>
      </c>
    </row>
    <row r="210" spans="1:69" ht="22.5" customHeight="1" x14ac:dyDescent="0.25">
      <c r="A210" s="15" t="s">
        <v>557</v>
      </c>
      <c r="B210" s="15">
        <f>VLOOKUP(A210,'[1]Master clients'!F205:W3752,17,0)</f>
        <v>0</v>
      </c>
      <c r="C210" s="15" t="str">
        <f>VLOOKUP(A210,'[1]Master clients'!F205:P3752,11,0)</f>
        <v>NI</v>
      </c>
      <c r="D210" s="15" t="str">
        <f>VLOOKUP(A210,'[1]Master clients'!F:M,8,0)</f>
        <v>End User</v>
      </c>
      <c r="E210" s="16" t="s">
        <v>558</v>
      </c>
      <c r="F210" s="16" t="s">
        <v>559</v>
      </c>
      <c r="G210" s="17"/>
      <c r="H210" s="17">
        <v>2</v>
      </c>
      <c r="I210" s="31">
        <v>4</v>
      </c>
      <c r="J210" s="31">
        <v>2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  <c r="AE210" s="17">
        <v>0</v>
      </c>
      <c r="AF210" s="17">
        <v>0</v>
      </c>
      <c r="AG210" s="17">
        <v>0</v>
      </c>
      <c r="AH210" s="17">
        <v>0</v>
      </c>
      <c r="AI210" s="17">
        <v>0</v>
      </c>
      <c r="AJ210" s="17">
        <v>0</v>
      </c>
      <c r="AK210" s="17">
        <v>0</v>
      </c>
      <c r="AL210" s="17">
        <v>0</v>
      </c>
      <c r="AM210" s="17">
        <v>0</v>
      </c>
      <c r="AN210" s="17">
        <v>0</v>
      </c>
      <c r="AO210" s="17">
        <v>0</v>
      </c>
      <c r="AP210" s="17">
        <v>0</v>
      </c>
      <c r="AQ210" s="17">
        <v>0</v>
      </c>
      <c r="AR210" s="17">
        <v>0</v>
      </c>
      <c r="AS210" s="17">
        <v>0</v>
      </c>
      <c r="AT210" s="17">
        <v>0</v>
      </c>
      <c r="AU210" s="17">
        <v>0</v>
      </c>
      <c r="AV210" s="17">
        <v>0</v>
      </c>
      <c r="AW210" s="17">
        <v>0</v>
      </c>
      <c r="AX210" s="17">
        <v>0</v>
      </c>
      <c r="AY210" s="17">
        <v>0</v>
      </c>
      <c r="AZ210" s="17">
        <v>0</v>
      </c>
      <c r="BA210" s="17">
        <v>0</v>
      </c>
      <c r="BB210" s="17">
        <v>0</v>
      </c>
      <c r="BC210" s="17">
        <v>0</v>
      </c>
      <c r="BD210" s="17">
        <v>0</v>
      </c>
      <c r="BE210" s="17">
        <v>0</v>
      </c>
      <c r="BF210" s="17">
        <v>0</v>
      </c>
      <c r="BG210" s="17">
        <v>0</v>
      </c>
      <c r="BH210" s="17">
        <v>0</v>
      </c>
      <c r="BI210" s="22">
        <f t="shared" si="38"/>
        <v>0</v>
      </c>
      <c r="BJ210" s="22">
        <f t="shared" si="39"/>
        <v>0</v>
      </c>
      <c r="BK210" s="22">
        <f t="shared" si="40"/>
        <v>6</v>
      </c>
      <c r="BL210" s="22">
        <f t="shared" si="41"/>
        <v>4</v>
      </c>
      <c r="BM210" s="22">
        <f t="shared" si="43"/>
        <v>2</v>
      </c>
      <c r="BN210" s="23">
        <f t="shared" si="42"/>
        <v>1</v>
      </c>
      <c r="BO210" s="23">
        <f t="shared" si="42"/>
        <v>1</v>
      </c>
      <c r="BP210" s="7">
        <f>VLOOKUP(A210,[1]Sheet15!B:E,4,0)</f>
        <v>4</v>
      </c>
      <c r="BQ210" s="7">
        <f>VLOOKUP(A210,[1]Sheet15!B:E,3,0)</f>
        <v>2</v>
      </c>
    </row>
    <row r="211" spans="1:69" ht="22.5" customHeight="1" x14ac:dyDescent="0.25">
      <c r="A211" s="15" t="s">
        <v>560</v>
      </c>
      <c r="B211" s="15" t="e">
        <f>VLOOKUP(A211,'[1]Master clients'!F206:W3753,17,0)</f>
        <v>#N/A</v>
      </c>
      <c r="C211" s="15" t="e">
        <f>VLOOKUP(A211,'[1]Master clients'!F206:P3753,11,0)</f>
        <v>#N/A</v>
      </c>
      <c r="D211" s="15" t="str">
        <f>VLOOKUP(A211,'[1]Master clients'!F:M,8,0)</f>
        <v>End User</v>
      </c>
      <c r="E211" s="24" t="s">
        <v>561</v>
      </c>
      <c r="F211" s="25" t="s">
        <v>562</v>
      </c>
      <c r="G211" s="20">
        <v>2</v>
      </c>
      <c r="H211" s="20">
        <v>1</v>
      </c>
      <c r="I211" s="26">
        <v>14</v>
      </c>
      <c r="J211" s="26">
        <v>1</v>
      </c>
      <c r="K211" s="20">
        <v>6</v>
      </c>
      <c r="L211" s="20">
        <v>0</v>
      </c>
      <c r="M211" s="20">
        <v>0</v>
      </c>
      <c r="N211" s="20">
        <v>6</v>
      </c>
      <c r="O211" s="20">
        <v>2</v>
      </c>
      <c r="P211" s="20">
        <v>0</v>
      </c>
      <c r="Q211" s="20">
        <v>2</v>
      </c>
      <c r="R211" s="20">
        <v>0</v>
      </c>
      <c r="S211" s="20">
        <v>0</v>
      </c>
      <c r="T211" s="20">
        <v>0</v>
      </c>
      <c r="U211" s="20">
        <v>0</v>
      </c>
      <c r="V211" s="20">
        <v>0</v>
      </c>
      <c r="W211" s="20">
        <v>0</v>
      </c>
      <c r="X211" s="20">
        <v>0</v>
      </c>
      <c r="Y211" s="20">
        <v>0</v>
      </c>
      <c r="Z211" s="20">
        <v>0</v>
      </c>
      <c r="AA211" s="20">
        <v>0</v>
      </c>
      <c r="AB211" s="20">
        <v>0</v>
      </c>
      <c r="AC211" s="20">
        <v>0</v>
      </c>
      <c r="AD211" s="20">
        <v>0</v>
      </c>
      <c r="AE211" s="20">
        <v>0</v>
      </c>
      <c r="AF211" s="20">
        <v>0</v>
      </c>
      <c r="AG211" s="20">
        <v>0</v>
      </c>
      <c r="AH211" s="20">
        <v>0</v>
      </c>
      <c r="AI211" s="20">
        <v>0</v>
      </c>
      <c r="AJ211" s="20">
        <v>0</v>
      </c>
      <c r="AK211" s="20">
        <v>0</v>
      </c>
      <c r="AL211" s="20">
        <v>0</v>
      </c>
      <c r="AM211" s="20">
        <v>0</v>
      </c>
      <c r="AN211" s="20">
        <v>0</v>
      </c>
      <c r="AO211" s="20">
        <v>0</v>
      </c>
      <c r="AP211" s="20">
        <v>0</v>
      </c>
      <c r="AQ211" s="20">
        <v>0</v>
      </c>
      <c r="AR211" s="20">
        <v>0</v>
      </c>
      <c r="AS211" s="20">
        <v>0</v>
      </c>
      <c r="AT211" s="20">
        <v>0</v>
      </c>
      <c r="AU211" s="19">
        <v>0</v>
      </c>
      <c r="AV211" s="20">
        <v>0</v>
      </c>
      <c r="AW211" s="20">
        <v>0</v>
      </c>
      <c r="AX211" s="20">
        <v>0</v>
      </c>
      <c r="AY211" s="20">
        <v>0</v>
      </c>
      <c r="AZ211" s="20">
        <v>0</v>
      </c>
      <c r="BA211" s="19">
        <v>0</v>
      </c>
      <c r="BB211" s="27">
        <v>0</v>
      </c>
      <c r="BC211" s="19">
        <v>0</v>
      </c>
      <c r="BD211" s="19">
        <v>0</v>
      </c>
      <c r="BE211" s="21">
        <v>0</v>
      </c>
      <c r="BF211" s="21">
        <v>0</v>
      </c>
      <c r="BG211" s="19">
        <v>0</v>
      </c>
      <c r="BH211" s="19">
        <v>0</v>
      </c>
      <c r="BI211" s="22">
        <f t="shared" si="38"/>
        <v>6</v>
      </c>
      <c r="BJ211" s="22">
        <f t="shared" si="39"/>
        <v>10</v>
      </c>
      <c r="BK211" s="28">
        <f t="shared" si="40"/>
        <v>31</v>
      </c>
      <c r="BL211" s="22">
        <f t="shared" si="41"/>
        <v>20</v>
      </c>
      <c r="BM211" s="22">
        <f t="shared" si="43"/>
        <v>11</v>
      </c>
      <c r="BN211" s="23">
        <f t="shared" si="42"/>
        <v>0.7</v>
      </c>
      <c r="BO211" s="23">
        <f t="shared" si="42"/>
        <v>9.0909090909090912E-2</v>
      </c>
      <c r="BP211" s="7">
        <f>VLOOKUP(A211,[1]Sheet15!B:E,4,0)</f>
        <v>3</v>
      </c>
      <c r="BQ211" s="7">
        <f>VLOOKUP(A211,[1]Sheet15!B:E,3,0)</f>
        <v>1</v>
      </c>
    </row>
    <row r="212" spans="1:69" ht="22.5" customHeight="1" x14ac:dyDescent="0.25">
      <c r="A212" s="15" t="s">
        <v>563</v>
      </c>
      <c r="B212" s="15">
        <f>VLOOKUP(A212,'[1]Master clients'!F207:W3754,17,0)</f>
        <v>0</v>
      </c>
      <c r="C212" s="15" t="str">
        <f>VLOOKUP(A212,'[1]Master clients'!F207:P3754,11,0)</f>
        <v>NI</v>
      </c>
      <c r="D212" s="15" t="str">
        <f>VLOOKUP(A212,'[1]Master clients'!F:M,8,0)</f>
        <v>End User</v>
      </c>
      <c r="E212" s="16" t="s">
        <v>564</v>
      </c>
      <c r="F212" s="16" t="s">
        <v>562</v>
      </c>
      <c r="G212" s="17"/>
      <c r="H212" s="17">
        <v>4</v>
      </c>
      <c r="I212" s="31">
        <v>4</v>
      </c>
      <c r="J212" s="31">
        <v>4</v>
      </c>
      <c r="K212" s="17">
        <v>0</v>
      </c>
      <c r="L212" s="17">
        <v>0</v>
      </c>
      <c r="M212" s="17">
        <v>0</v>
      </c>
      <c r="N212" s="17">
        <v>0</v>
      </c>
      <c r="O212" s="17">
        <v>0</v>
      </c>
      <c r="P212" s="17">
        <v>0</v>
      </c>
      <c r="Q212" s="17">
        <v>0</v>
      </c>
      <c r="R212" s="17">
        <v>0</v>
      </c>
      <c r="S212" s="17">
        <v>0</v>
      </c>
      <c r="T212" s="17">
        <v>0</v>
      </c>
      <c r="U212" s="17">
        <v>0</v>
      </c>
      <c r="V212" s="17">
        <v>0</v>
      </c>
      <c r="W212" s="17">
        <v>0</v>
      </c>
      <c r="X212" s="17">
        <v>0</v>
      </c>
      <c r="Y212" s="17">
        <v>0</v>
      </c>
      <c r="Z212" s="17">
        <v>0</v>
      </c>
      <c r="AA212" s="17">
        <v>0</v>
      </c>
      <c r="AB212" s="17">
        <v>0</v>
      </c>
      <c r="AC212" s="17">
        <v>0</v>
      </c>
      <c r="AD212" s="17">
        <v>0</v>
      </c>
      <c r="AE212" s="17">
        <v>0</v>
      </c>
      <c r="AF212" s="17">
        <v>0</v>
      </c>
      <c r="AG212" s="17">
        <v>0</v>
      </c>
      <c r="AH212" s="17">
        <v>0</v>
      </c>
      <c r="AI212" s="17">
        <v>0</v>
      </c>
      <c r="AJ212" s="17">
        <v>0</v>
      </c>
      <c r="AK212" s="17">
        <v>0</v>
      </c>
      <c r="AL212" s="17">
        <v>0</v>
      </c>
      <c r="AM212" s="17">
        <v>0</v>
      </c>
      <c r="AN212" s="17">
        <v>0</v>
      </c>
      <c r="AO212" s="17">
        <v>0</v>
      </c>
      <c r="AP212" s="17">
        <v>0</v>
      </c>
      <c r="AQ212" s="17">
        <v>0</v>
      </c>
      <c r="AR212" s="17">
        <v>0</v>
      </c>
      <c r="AS212" s="17">
        <v>0</v>
      </c>
      <c r="AT212" s="17">
        <v>0</v>
      </c>
      <c r="AU212" s="17">
        <v>0</v>
      </c>
      <c r="AV212" s="17">
        <v>0</v>
      </c>
      <c r="AW212" s="17">
        <v>0</v>
      </c>
      <c r="AX212" s="17">
        <v>0</v>
      </c>
      <c r="AY212" s="17">
        <v>0</v>
      </c>
      <c r="AZ212" s="17">
        <v>0</v>
      </c>
      <c r="BA212" s="17">
        <v>0</v>
      </c>
      <c r="BB212" s="17">
        <v>0</v>
      </c>
      <c r="BC212" s="17">
        <v>0</v>
      </c>
      <c r="BD212" s="17">
        <v>0</v>
      </c>
      <c r="BE212" s="17">
        <v>0</v>
      </c>
      <c r="BF212" s="17">
        <v>0</v>
      </c>
      <c r="BG212" s="17">
        <v>0</v>
      </c>
      <c r="BH212" s="17">
        <v>0</v>
      </c>
      <c r="BI212" s="22">
        <f t="shared" si="38"/>
        <v>0</v>
      </c>
      <c r="BJ212" s="22">
        <f t="shared" si="39"/>
        <v>0</v>
      </c>
      <c r="BK212" s="22">
        <f t="shared" si="40"/>
        <v>8</v>
      </c>
      <c r="BL212" s="22">
        <f t="shared" si="41"/>
        <v>4</v>
      </c>
      <c r="BM212" s="22">
        <f t="shared" si="43"/>
        <v>4</v>
      </c>
      <c r="BN212" s="23">
        <f t="shared" si="42"/>
        <v>1</v>
      </c>
      <c r="BO212" s="23">
        <f t="shared" si="42"/>
        <v>1</v>
      </c>
      <c r="BP212" s="7">
        <f>VLOOKUP(A212,[1]Sheet15!B:E,4,0)</f>
        <v>4</v>
      </c>
      <c r="BQ212" s="7">
        <f>VLOOKUP(A212,[1]Sheet15!B:E,3,0)</f>
        <v>4</v>
      </c>
    </row>
    <row r="213" spans="1:69" ht="22.5" customHeight="1" x14ac:dyDescent="0.25">
      <c r="A213" s="15" t="s">
        <v>565</v>
      </c>
      <c r="B213" s="15" t="str">
        <f>VLOOKUP(A213,'[1]Master clients'!F208:W3755,17,0)</f>
        <v>Feb</v>
      </c>
      <c r="C213" s="15" t="str">
        <f>VLOOKUP(A213,'[1]Master clients'!F208:P3755,11,0)</f>
        <v>-</v>
      </c>
      <c r="D213" s="15">
        <f>VLOOKUP(A213,'[1]Master clients'!F:M,8,0)</f>
        <v>0</v>
      </c>
      <c r="E213" s="24" t="s">
        <v>566</v>
      </c>
      <c r="F213" s="25" t="s">
        <v>567</v>
      </c>
      <c r="G213" s="20"/>
      <c r="H213" s="20"/>
      <c r="I213" s="26">
        <v>2</v>
      </c>
      <c r="J213" s="26">
        <v>0</v>
      </c>
      <c r="K213" s="20">
        <v>0</v>
      </c>
      <c r="L213" s="20">
        <v>0</v>
      </c>
      <c r="M213" s="20">
        <v>0</v>
      </c>
      <c r="N213" s="20">
        <v>2</v>
      </c>
      <c r="O213" s="20">
        <v>0</v>
      </c>
      <c r="P213" s="20">
        <v>0</v>
      </c>
      <c r="Q213" s="20">
        <v>0</v>
      </c>
      <c r="R213" s="20">
        <v>0</v>
      </c>
      <c r="S213" s="20">
        <v>0</v>
      </c>
      <c r="T213" s="20">
        <v>12</v>
      </c>
      <c r="U213" s="20">
        <v>0</v>
      </c>
      <c r="V213" s="20">
        <v>0</v>
      </c>
      <c r="W213" s="20">
        <v>0</v>
      </c>
      <c r="X213" s="20">
        <v>1</v>
      </c>
      <c r="Y213" s="20">
        <v>0</v>
      </c>
      <c r="Z213" s="20">
        <v>0</v>
      </c>
      <c r="AA213" s="20">
        <v>0</v>
      </c>
      <c r="AB213" s="20">
        <v>0</v>
      </c>
      <c r="AC213" s="20">
        <v>0</v>
      </c>
      <c r="AD213" s="20">
        <v>0</v>
      </c>
      <c r="AE213" s="20">
        <v>0</v>
      </c>
      <c r="AF213" s="20">
        <v>0</v>
      </c>
      <c r="AG213" s="20">
        <v>0</v>
      </c>
      <c r="AH213" s="20">
        <v>0</v>
      </c>
      <c r="AI213" s="20">
        <v>0</v>
      </c>
      <c r="AJ213" s="20">
        <v>0</v>
      </c>
      <c r="AK213" s="20">
        <v>0</v>
      </c>
      <c r="AL213" s="20">
        <v>0</v>
      </c>
      <c r="AM213" s="20">
        <v>0</v>
      </c>
      <c r="AN213" s="20">
        <v>0</v>
      </c>
      <c r="AO213" s="20">
        <v>0</v>
      </c>
      <c r="AP213" s="20">
        <v>0</v>
      </c>
      <c r="AQ213" s="20">
        <v>0</v>
      </c>
      <c r="AR213" s="20">
        <v>0</v>
      </c>
      <c r="AS213" s="20">
        <v>0</v>
      </c>
      <c r="AT213" s="20">
        <v>0</v>
      </c>
      <c r="AU213" s="20">
        <v>0</v>
      </c>
      <c r="AV213" s="20">
        <v>0</v>
      </c>
      <c r="AW213" s="20">
        <v>0</v>
      </c>
      <c r="AX213" s="20">
        <v>0</v>
      </c>
      <c r="AY213" s="20">
        <v>0</v>
      </c>
      <c r="AZ213" s="20">
        <v>0</v>
      </c>
      <c r="BA213" s="20">
        <v>0</v>
      </c>
      <c r="BB213" s="27">
        <v>0</v>
      </c>
      <c r="BC213" s="20">
        <v>0</v>
      </c>
      <c r="BD213" s="20">
        <v>0</v>
      </c>
      <c r="BE213" s="21">
        <v>0</v>
      </c>
      <c r="BF213" s="21">
        <v>0</v>
      </c>
      <c r="BG213" s="20">
        <v>0</v>
      </c>
      <c r="BH213" s="20">
        <v>0</v>
      </c>
      <c r="BI213" s="22">
        <f t="shared" si="38"/>
        <v>12</v>
      </c>
      <c r="BJ213" s="22">
        <f t="shared" si="39"/>
        <v>3</v>
      </c>
      <c r="BK213" s="28">
        <f t="shared" si="40"/>
        <v>17</v>
      </c>
      <c r="BL213" s="22">
        <f t="shared" si="41"/>
        <v>14</v>
      </c>
      <c r="BM213" s="22">
        <f t="shared" si="43"/>
        <v>3</v>
      </c>
      <c r="BN213" s="23">
        <f t="shared" ref="BN213:BO228" si="44">I213/BL213</f>
        <v>0.14285714285714285</v>
      </c>
      <c r="BO213" s="23">
        <f t="shared" si="44"/>
        <v>0</v>
      </c>
      <c r="BP213" s="7" t="e">
        <f>VLOOKUP(A213,[1]Sheet15!B:E,4,0)</f>
        <v>#N/A</v>
      </c>
      <c r="BQ213" s="7" t="e">
        <f>VLOOKUP(A213,[1]Sheet15!B:E,3,0)</f>
        <v>#N/A</v>
      </c>
    </row>
    <row r="214" spans="1:69" ht="22.5" customHeight="1" x14ac:dyDescent="0.25">
      <c r="A214" s="15" t="s">
        <v>568</v>
      </c>
      <c r="B214" s="15">
        <f>VLOOKUP(A214,'[1]Master clients'!F209:W3756,17,0)</f>
        <v>0</v>
      </c>
      <c r="C214" s="15" t="str">
        <f>VLOOKUP(A214,'[1]Master clients'!F209:P3756,11,0)</f>
        <v>NI</v>
      </c>
      <c r="D214" s="15" t="str">
        <f>VLOOKUP(A214,'[1]Master clients'!F:M,8,0)</f>
        <v>End User</v>
      </c>
      <c r="E214" s="24" t="s">
        <v>569</v>
      </c>
      <c r="F214" s="25" t="s">
        <v>570</v>
      </c>
      <c r="G214" s="20">
        <v>0</v>
      </c>
      <c r="H214" s="20">
        <v>0</v>
      </c>
      <c r="I214" s="26">
        <v>10</v>
      </c>
      <c r="J214" s="26">
        <v>1</v>
      </c>
      <c r="K214" s="20">
        <v>0</v>
      </c>
      <c r="L214" s="20">
        <v>0</v>
      </c>
      <c r="M214" s="20">
        <v>0</v>
      </c>
      <c r="N214" s="20">
        <v>0</v>
      </c>
      <c r="O214" s="20">
        <v>0</v>
      </c>
      <c r="P214" s="20">
        <v>0</v>
      </c>
      <c r="Q214" s="20">
        <v>3</v>
      </c>
      <c r="R214" s="20">
        <v>0</v>
      </c>
      <c r="S214" s="20">
        <v>0</v>
      </c>
      <c r="T214" s="20">
        <v>0</v>
      </c>
      <c r="U214" s="20">
        <v>0</v>
      </c>
      <c r="V214" s="20">
        <v>0</v>
      </c>
      <c r="W214" s="20">
        <v>0</v>
      </c>
      <c r="X214" s="20">
        <v>0</v>
      </c>
      <c r="Y214" s="20">
        <v>0</v>
      </c>
      <c r="Z214" s="20">
        <v>0</v>
      </c>
      <c r="AA214" s="20">
        <v>0</v>
      </c>
      <c r="AB214" s="20">
        <v>0</v>
      </c>
      <c r="AC214" s="20">
        <v>0</v>
      </c>
      <c r="AD214" s="20">
        <v>0</v>
      </c>
      <c r="AE214" s="20">
        <v>0</v>
      </c>
      <c r="AF214" s="20">
        <v>0</v>
      </c>
      <c r="AG214" s="20">
        <v>0</v>
      </c>
      <c r="AH214" s="20">
        <v>0</v>
      </c>
      <c r="AI214" s="20">
        <v>0</v>
      </c>
      <c r="AJ214" s="20">
        <v>0</v>
      </c>
      <c r="AK214" s="20">
        <v>0</v>
      </c>
      <c r="AL214" s="20">
        <v>0</v>
      </c>
      <c r="AM214" s="20">
        <v>0</v>
      </c>
      <c r="AN214" s="20">
        <v>0</v>
      </c>
      <c r="AO214" s="20">
        <v>0</v>
      </c>
      <c r="AP214" s="20">
        <v>0</v>
      </c>
      <c r="AQ214" s="20">
        <v>0</v>
      </c>
      <c r="AR214" s="20">
        <v>0</v>
      </c>
      <c r="AS214" s="20">
        <v>0</v>
      </c>
      <c r="AT214" s="20">
        <v>0</v>
      </c>
      <c r="AU214" s="20">
        <v>0</v>
      </c>
      <c r="AV214" s="20">
        <v>0</v>
      </c>
      <c r="AW214" s="20">
        <v>0</v>
      </c>
      <c r="AX214" s="20">
        <v>0</v>
      </c>
      <c r="AY214" s="20">
        <v>0</v>
      </c>
      <c r="AZ214" s="20">
        <v>0</v>
      </c>
      <c r="BA214" s="20">
        <v>0</v>
      </c>
      <c r="BB214" s="27">
        <v>0</v>
      </c>
      <c r="BC214" s="20">
        <v>0</v>
      </c>
      <c r="BD214" s="20">
        <v>0</v>
      </c>
      <c r="BE214" s="21">
        <v>0</v>
      </c>
      <c r="BF214" s="21">
        <v>0</v>
      </c>
      <c r="BG214" s="20">
        <v>0</v>
      </c>
      <c r="BH214" s="20">
        <v>0</v>
      </c>
      <c r="BI214" s="22">
        <f t="shared" si="38"/>
        <v>0</v>
      </c>
      <c r="BJ214" s="22">
        <f t="shared" si="39"/>
        <v>3</v>
      </c>
      <c r="BK214" s="28">
        <f t="shared" si="40"/>
        <v>14</v>
      </c>
      <c r="BL214" s="22">
        <f t="shared" si="41"/>
        <v>10</v>
      </c>
      <c r="BM214" s="22">
        <f t="shared" si="43"/>
        <v>4</v>
      </c>
      <c r="BN214" s="23">
        <f t="shared" si="44"/>
        <v>1</v>
      </c>
      <c r="BO214" s="23">
        <f t="shared" si="44"/>
        <v>0.25</v>
      </c>
      <c r="BP214" s="7">
        <f>VLOOKUP(A214,[1]Sheet15!B:E,4,0)</f>
        <v>7</v>
      </c>
      <c r="BQ214" s="7">
        <f>VLOOKUP(A214,[1]Sheet15!B:E,3,0)</f>
        <v>4</v>
      </c>
    </row>
    <row r="215" spans="1:69" ht="22.5" customHeight="1" x14ac:dyDescent="0.25">
      <c r="A215" s="15" t="s">
        <v>571</v>
      </c>
      <c r="B215" s="15" t="e">
        <f>VLOOKUP(A215,'[1]Master clients'!F210:W3757,17,0)</f>
        <v>#N/A</v>
      </c>
      <c r="C215" s="15" t="e">
        <f>VLOOKUP(A215,'[1]Master clients'!F210:P3757,11,0)</f>
        <v>#N/A</v>
      </c>
      <c r="D215" s="15" t="str">
        <f>VLOOKUP(A215,'[1]Master clients'!F:M,8,0)</f>
        <v>Group (Mills)</v>
      </c>
      <c r="E215" s="16" t="s">
        <v>572</v>
      </c>
      <c r="F215" s="16" t="s">
        <v>573</v>
      </c>
      <c r="G215" s="17"/>
      <c r="H215" s="17"/>
      <c r="I215" s="18">
        <v>9</v>
      </c>
      <c r="J215" s="18">
        <v>0</v>
      </c>
      <c r="K215" s="17">
        <v>0</v>
      </c>
      <c r="L215" s="17">
        <v>0</v>
      </c>
      <c r="M215" s="17">
        <v>0</v>
      </c>
      <c r="N215" s="17">
        <v>0</v>
      </c>
      <c r="O215" s="17">
        <v>0</v>
      </c>
      <c r="P215" s="17">
        <v>0</v>
      </c>
      <c r="Q215" s="17">
        <v>0</v>
      </c>
      <c r="R215" s="17">
        <v>0</v>
      </c>
      <c r="S215" s="17">
        <v>0</v>
      </c>
      <c r="T215" s="17">
        <v>0</v>
      </c>
      <c r="U215" s="17">
        <v>0</v>
      </c>
      <c r="V215" s="17">
        <v>0</v>
      </c>
      <c r="W215" s="17">
        <v>0</v>
      </c>
      <c r="X215" s="17">
        <v>0</v>
      </c>
      <c r="Y215" s="17">
        <v>0</v>
      </c>
      <c r="Z215" s="17">
        <v>0</v>
      </c>
      <c r="AA215" s="17">
        <v>0</v>
      </c>
      <c r="AB215" s="17">
        <v>0</v>
      </c>
      <c r="AC215" s="17">
        <v>0</v>
      </c>
      <c r="AD215" s="17">
        <v>0</v>
      </c>
      <c r="AE215" s="17">
        <v>0</v>
      </c>
      <c r="AF215" s="17">
        <v>0</v>
      </c>
      <c r="AG215" s="17">
        <v>0</v>
      </c>
      <c r="AH215" s="17">
        <v>0</v>
      </c>
      <c r="AI215" s="17">
        <v>0</v>
      </c>
      <c r="AJ215" s="17">
        <v>0</v>
      </c>
      <c r="AK215" s="17">
        <v>0</v>
      </c>
      <c r="AL215" s="17">
        <v>0</v>
      </c>
      <c r="AM215" s="17">
        <v>0</v>
      </c>
      <c r="AN215" s="17">
        <v>0</v>
      </c>
      <c r="AO215" s="17">
        <v>0</v>
      </c>
      <c r="AP215" s="17">
        <v>0</v>
      </c>
      <c r="AQ215" s="17">
        <v>0</v>
      </c>
      <c r="AR215" s="17">
        <v>0</v>
      </c>
      <c r="AS215" s="17">
        <v>0</v>
      </c>
      <c r="AT215" s="17">
        <v>0</v>
      </c>
      <c r="AU215" s="17">
        <v>0</v>
      </c>
      <c r="AV215" s="17">
        <v>0</v>
      </c>
      <c r="AW215" s="17">
        <v>0</v>
      </c>
      <c r="AX215" s="17">
        <v>0</v>
      </c>
      <c r="AY215" s="17">
        <v>0</v>
      </c>
      <c r="AZ215" s="17">
        <v>0</v>
      </c>
      <c r="BA215" s="17">
        <v>0</v>
      </c>
      <c r="BB215" s="17">
        <v>0</v>
      </c>
      <c r="BC215" s="17">
        <v>0</v>
      </c>
      <c r="BD215" s="17">
        <v>0</v>
      </c>
      <c r="BE215" s="17">
        <v>0</v>
      </c>
      <c r="BF215" s="17">
        <v>0</v>
      </c>
      <c r="BG215" s="17">
        <v>0</v>
      </c>
      <c r="BH215" s="17">
        <v>0</v>
      </c>
      <c r="BI215" s="22">
        <f>SUM(M215+N215+P215+R215+T215+W215+Z215+AC215+AE215+AL215+AO215+AP215+AS215+AW215+AX215+BC215+BE215+BG215)</f>
        <v>0</v>
      </c>
      <c r="BJ215" s="22">
        <f>SUM(H215:BG215)</f>
        <v>9</v>
      </c>
      <c r="BK215" s="22">
        <f>SUM(H215+J215+K215+L215+O215+Q215+S215+U215+V215+X215+Y215+AA215+AB215+AD215+AF215+AG215+AH215+AI215+AJ215+AK215+AM215+AN215+AQ215+AR215+AT215+AU215+AV215+AY215+AZ215+BA215+BB215+BF215+BD215)</f>
        <v>0</v>
      </c>
      <c r="BL215" s="22">
        <f t="shared" ref="BL215:BM218" si="45">SUM(I215+M215+N215+P215+R215+T215+W215+Z215+AC215+AE215+AL215+AO215+AP215+AS215+AW215+AX215+BC215+BG215)</f>
        <v>9</v>
      </c>
      <c r="BM215" s="22">
        <f t="shared" si="45"/>
        <v>0</v>
      </c>
      <c r="BN215" s="23">
        <f t="shared" si="44"/>
        <v>1</v>
      </c>
      <c r="BO215" s="23" t="e">
        <f t="shared" si="44"/>
        <v>#DIV/0!</v>
      </c>
      <c r="BP215" s="7">
        <f>VLOOKUP(A215,[1]Sheet15!B:E,4,0)</f>
        <v>9</v>
      </c>
      <c r="BQ215" s="7">
        <f>VLOOKUP(A215,[1]Sheet15!B:E,3,0)</f>
        <v>0</v>
      </c>
    </row>
    <row r="216" spans="1:69" ht="22.5" customHeight="1" x14ac:dyDescent="0.25">
      <c r="A216" s="15" t="s">
        <v>574</v>
      </c>
      <c r="B216" s="15">
        <f>VLOOKUP(A216,'[1]Master clients'!F211:W3758,17,0)</f>
        <v>0</v>
      </c>
      <c r="C216" s="15" t="str">
        <f>VLOOKUP(A216,'[1]Master clients'!F211:P3758,11,0)</f>
        <v>NI</v>
      </c>
      <c r="D216" s="15" t="str">
        <f>VLOOKUP(A216,'[1]Master clients'!F:M,8,0)</f>
        <v>Group (Mills)</v>
      </c>
      <c r="E216" s="16" t="s">
        <v>575</v>
      </c>
      <c r="F216" s="16" t="s">
        <v>576</v>
      </c>
      <c r="G216" s="17"/>
      <c r="H216" s="17"/>
      <c r="I216" s="31">
        <v>0</v>
      </c>
      <c r="J216" s="31">
        <v>0</v>
      </c>
      <c r="K216" s="17">
        <v>0</v>
      </c>
      <c r="L216" s="17">
        <v>0</v>
      </c>
      <c r="M216" s="17">
        <v>0</v>
      </c>
      <c r="N216" s="17">
        <v>0</v>
      </c>
      <c r="O216" s="17">
        <v>0</v>
      </c>
      <c r="P216" s="17">
        <v>0</v>
      </c>
      <c r="Q216" s="17">
        <v>0</v>
      </c>
      <c r="R216" s="17">
        <v>0</v>
      </c>
      <c r="S216" s="17">
        <v>0</v>
      </c>
      <c r="T216" s="17">
        <v>0</v>
      </c>
      <c r="U216" s="17">
        <v>0</v>
      </c>
      <c r="V216" s="17">
        <v>0</v>
      </c>
      <c r="W216" s="17">
        <v>0</v>
      </c>
      <c r="X216" s="17">
        <v>0</v>
      </c>
      <c r="Y216" s="17">
        <v>0</v>
      </c>
      <c r="Z216" s="17">
        <v>0</v>
      </c>
      <c r="AA216" s="17">
        <v>0</v>
      </c>
      <c r="AB216" s="17">
        <v>0</v>
      </c>
      <c r="AC216" s="17">
        <v>0</v>
      </c>
      <c r="AD216" s="17">
        <v>0</v>
      </c>
      <c r="AE216" s="17">
        <v>0</v>
      </c>
      <c r="AF216" s="17">
        <v>0</v>
      </c>
      <c r="AG216" s="17">
        <v>0</v>
      </c>
      <c r="AH216" s="17">
        <v>0</v>
      </c>
      <c r="AI216" s="17">
        <v>0</v>
      </c>
      <c r="AJ216" s="17">
        <v>0</v>
      </c>
      <c r="AK216" s="17">
        <v>0</v>
      </c>
      <c r="AL216" s="17">
        <v>0</v>
      </c>
      <c r="AM216" s="17">
        <v>0</v>
      </c>
      <c r="AN216" s="17">
        <v>0</v>
      </c>
      <c r="AO216" s="17">
        <v>0</v>
      </c>
      <c r="AP216" s="17">
        <v>0</v>
      </c>
      <c r="AQ216" s="17">
        <v>0</v>
      </c>
      <c r="AR216" s="17">
        <v>0</v>
      </c>
      <c r="AS216" s="17">
        <v>0</v>
      </c>
      <c r="AT216" s="17">
        <v>0</v>
      </c>
      <c r="AU216" s="17">
        <v>0</v>
      </c>
      <c r="AV216" s="17">
        <v>0</v>
      </c>
      <c r="AW216" s="17">
        <v>0</v>
      </c>
      <c r="AX216" s="17">
        <v>0</v>
      </c>
      <c r="AY216" s="17">
        <v>0</v>
      </c>
      <c r="AZ216" s="17">
        <v>0</v>
      </c>
      <c r="BA216" s="17">
        <v>0</v>
      </c>
      <c r="BB216" s="17">
        <v>0</v>
      </c>
      <c r="BC216" s="17">
        <v>0</v>
      </c>
      <c r="BD216" s="17">
        <v>0</v>
      </c>
      <c r="BE216" s="17">
        <v>0</v>
      </c>
      <c r="BF216" s="17">
        <v>0</v>
      </c>
      <c r="BG216" s="17">
        <v>0</v>
      </c>
      <c r="BH216" s="17">
        <v>0</v>
      </c>
      <c r="BI216" s="22">
        <f t="shared" ref="BI216:BI218" si="46">SUM(K216+L216+M216+P216+R216+T216+V216+W216+Y216+Z216+AB216+AC216+AE216+AG216+AH216+AI216+AJ216+AK216+AL216+AN216+AO216+AR216+AS216+AU216+AV216+AW216+AZ216+BA216+BB216+BC216+BE216+BG216)</f>
        <v>0</v>
      </c>
      <c r="BJ216" s="22">
        <f t="shared" ref="BJ216:BJ218" si="47">SUM(N216+O216+Q216+S216+U216+X216+AA216+AD216+AF216+AM216+AP216+AQ216+AT216+AX216+AY216+BD216+BF216+BH216)</f>
        <v>0</v>
      </c>
      <c r="BK216" s="22">
        <f t="shared" ref="BK216:BK218" si="48">SUM(I216:BH216)</f>
        <v>0</v>
      </c>
      <c r="BL216" s="22">
        <f t="shared" ref="BL216:BL218" si="49">SUM(I216+K216+L216+M216+P216+R216+T216+V216+W216+Y216+Z216+AB216+AC216+AE216+AG216+AH216+AI216+AJ216+AK216+AL216+AN216+AO216+AR216+AS216+AU216+AV216+AW216+AZ216+BA216+BB216+BC216+BG216+BE216)</f>
        <v>0</v>
      </c>
      <c r="BM216" s="22">
        <f t="shared" si="45"/>
        <v>0</v>
      </c>
      <c r="BN216" s="23" t="e">
        <f t="shared" si="44"/>
        <v>#DIV/0!</v>
      </c>
      <c r="BO216" s="23" t="e">
        <f t="shared" si="44"/>
        <v>#DIV/0!</v>
      </c>
      <c r="BP216" s="7" t="e">
        <f>VLOOKUP(A216,[1]Sheet15!B:E,4,0)</f>
        <v>#N/A</v>
      </c>
      <c r="BQ216" s="7" t="e">
        <f>VLOOKUP(A216,[1]Sheet15!B:E,3,0)</f>
        <v>#N/A</v>
      </c>
    </row>
    <row r="217" spans="1:69" ht="22.5" customHeight="1" x14ac:dyDescent="0.25">
      <c r="A217" s="15" t="s">
        <v>577</v>
      </c>
      <c r="B217" s="15">
        <f>VLOOKUP(A217,'[1]Master clients'!F212:W3759,17,0)</f>
        <v>0</v>
      </c>
      <c r="C217" s="15" t="str">
        <f>VLOOKUP(A217,'[1]Master clients'!F212:P3759,11,0)</f>
        <v>NI</v>
      </c>
      <c r="D217" s="15" t="str">
        <f>VLOOKUP(A217,'[1]Master clients'!F:M,8,0)</f>
        <v>End User</v>
      </c>
      <c r="E217" s="16" t="s">
        <v>578</v>
      </c>
      <c r="F217" s="16" t="s">
        <v>576</v>
      </c>
      <c r="G217" s="17"/>
      <c r="H217" s="17">
        <v>1</v>
      </c>
      <c r="I217" s="31">
        <v>3</v>
      </c>
      <c r="J217" s="31">
        <v>1</v>
      </c>
      <c r="K217" s="17">
        <v>0</v>
      </c>
      <c r="L217" s="17">
        <v>0</v>
      </c>
      <c r="M217" s="17">
        <v>0</v>
      </c>
      <c r="N217" s="17">
        <v>0</v>
      </c>
      <c r="O217" s="17">
        <v>0</v>
      </c>
      <c r="P217" s="17">
        <v>0</v>
      </c>
      <c r="Q217" s="17">
        <v>0</v>
      </c>
      <c r="R217" s="17">
        <v>0</v>
      </c>
      <c r="S217" s="17">
        <v>0</v>
      </c>
      <c r="T217" s="17">
        <v>0</v>
      </c>
      <c r="U217" s="17">
        <v>0</v>
      </c>
      <c r="V217" s="17">
        <v>0</v>
      </c>
      <c r="W217" s="17">
        <v>0</v>
      </c>
      <c r="X217" s="17">
        <v>0</v>
      </c>
      <c r="Y217" s="17">
        <v>0</v>
      </c>
      <c r="Z217" s="17">
        <v>0</v>
      </c>
      <c r="AA217" s="17">
        <v>0</v>
      </c>
      <c r="AB217" s="17">
        <v>0</v>
      </c>
      <c r="AC217" s="17">
        <v>0</v>
      </c>
      <c r="AD217" s="17">
        <v>0</v>
      </c>
      <c r="AE217" s="17">
        <v>0</v>
      </c>
      <c r="AF217" s="17">
        <v>0</v>
      </c>
      <c r="AG217" s="17">
        <v>0</v>
      </c>
      <c r="AH217" s="17">
        <v>0</v>
      </c>
      <c r="AI217" s="17">
        <v>0</v>
      </c>
      <c r="AJ217" s="17">
        <v>0</v>
      </c>
      <c r="AK217" s="17">
        <v>0</v>
      </c>
      <c r="AL217" s="17">
        <v>0</v>
      </c>
      <c r="AM217" s="17">
        <v>0</v>
      </c>
      <c r="AN217" s="17">
        <v>0</v>
      </c>
      <c r="AO217" s="17">
        <v>0</v>
      </c>
      <c r="AP217" s="17">
        <v>0</v>
      </c>
      <c r="AQ217" s="17">
        <v>0</v>
      </c>
      <c r="AR217" s="17">
        <v>0</v>
      </c>
      <c r="AS217" s="17">
        <v>0</v>
      </c>
      <c r="AT217" s="17">
        <v>0</v>
      </c>
      <c r="AU217" s="17">
        <v>0</v>
      </c>
      <c r="AV217" s="17">
        <v>0</v>
      </c>
      <c r="AW217" s="17">
        <v>0</v>
      </c>
      <c r="AX217" s="17">
        <v>0</v>
      </c>
      <c r="AY217" s="17">
        <v>0</v>
      </c>
      <c r="AZ217" s="17">
        <v>0</v>
      </c>
      <c r="BA217" s="17">
        <v>0</v>
      </c>
      <c r="BB217" s="17">
        <v>0</v>
      </c>
      <c r="BC217" s="17">
        <v>0</v>
      </c>
      <c r="BD217" s="17">
        <v>0</v>
      </c>
      <c r="BE217" s="17">
        <v>0</v>
      </c>
      <c r="BF217" s="17">
        <v>0</v>
      </c>
      <c r="BG217" s="17">
        <v>0</v>
      </c>
      <c r="BH217" s="17">
        <v>0</v>
      </c>
      <c r="BI217" s="22">
        <f t="shared" si="46"/>
        <v>0</v>
      </c>
      <c r="BJ217" s="22">
        <f t="shared" si="47"/>
        <v>0</v>
      </c>
      <c r="BK217" s="22">
        <f t="shared" si="48"/>
        <v>4</v>
      </c>
      <c r="BL217" s="22">
        <f t="shared" si="49"/>
        <v>3</v>
      </c>
      <c r="BM217" s="22">
        <f t="shared" si="45"/>
        <v>1</v>
      </c>
      <c r="BN217" s="23">
        <f t="shared" si="44"/>
        <v>1</v>
      </c>
      <c r="BO217" s="23">
        <f t="shared" si="44"/>
        <v>1</v>
      </c>
      <c r="BP217" s="7">
        <f>VLOOKUP(A217,[1]Sheet15!B:E,4,0)</f>
        <v>3</v>
      </c>
      <c r="BQ217" s="7">
        <f>VLOOKUP(A217,[1]Sheet15!B:E,3,0)</f>
        <v>1</v>
      </c>
    </row>
    <row r="218" spans="1:69" ht="22.5" customHeight="1" x14ac:dyDescent="0.25">
      <c r="A218" s="15" t="s">
        <v>579</v>
      </c>
      <c r="B218" s="15">
        <f>VLOOKUP(A218,'[1]Master clients'!F213:W3760,17,0)</f>
        <v>0</v>
      </c>
      <c r="C218" s="15" t="str">
        <f>VLOOKUP(A218,'[1]Master clients'!F213:P3760,11,0)</f>
        <v>NI</v>
      </c>
      <c r="D218" s="15" t="str">
        <f>VLOOKUP(A218,'[1]Master clients'!F:M,8,0)</f>
        <v>End User</v>
      </c>
      <c r="E218" s="16" t="s">
        <v>580</v>
      </c>
      <c r="F218" s="16" t="s">
        <v>581</v>
      </c>
      <c r="G218" s="17"/>
      <c r="H218" s="17"/>
      <c r="I218" s="31">
        <v>5</v>
      </c>
      <c r="J218" s="31">
        <v>0</v>
      </c>
      <c r="K218" s="17">
        <v>0</v>
      </c>
      <c r="L218" s="17">
        <v>0</v>
      </c>
      <c r="M218" s="17">
        <v>0</v>
      </c>
      <c r="N218" s="17">
        <v>0</v>
      </c>
      <c r="O218" s="17">
        <v>0</v>
      </c>
      <c r="P218" s="17">
        <v>0</v>
      </c>
      <c r="Q218" s="17">
        <v>0</v>
      </c>
      <c r="R218" s="17">
        <v>0</v>
      </c>
      <c r="S218" s="17">
        <v>0</v>
      </c>
      <c r="T218" s="17">
        <v>0</v>
      </c>
      <c r="U218" s="17">
        <v>0</v>
      </c>
      <c r="V218" s="17">
        <v>0</v>
      </c>
      <c r="W218" s="17">
        <v>0</v>
      </c>
      <c r="X218" s="17">
        <v>0</v>
      </c>
      <c r="Y218" s="17">
        <v>0</v>
      </c>
      <c r="Z218" s="17">
        <v>0</v>
      </c>
      <c r="AA218" s="17">
        <v>0</v>
      </c>
      <c r="AB218" s="17">
        <v>0</v>
      </c>
      <c r="AC218" s="17">
        <v>0</v>
      </c>
      <c r="AD218" s="17">
        <v>0</v>
      </c>
      <c r="AE218" s="17">
        <v>0</v>
      </c>
      <c r="AF218" s="17">
        <v>0</v>
      </c>
      <c r="AG218" s="17">
        <v>0</v>
      </c>
      <c r="AH218" s="17">
        <v>0</v>
      </c>
      <c r="AI218" s="17">
        <v>0</v>
      </c>
      <c r="AJ218" s="17">
        <v>0</v>
      </c>
      <c r="AK218" s="17">
        <v>0</v>
      </c>
      <c r="AL218" s="17">
        <v>0</v>
      </c>
      <c r="AM218" s="17">
        <v>0</v>
      </c>
      <c r="AN218" s="17">
        <v>0</v>
      </c>
      <c r="AO218" s="17">
        <v>0</v>
      </c>
      <c r="AP218" s="17">
        <v>0</v>
      </c>
      <c r="AQ218" s="17">
        <v>0</v>
      </c>
      <c r="AR218" s="17">
        <v>0</v>
      </c>
      <c r="AS218" s="17">
        <v>0</v>
      </c>
      <c r="AT218" s="17">
        <v>0</v>
      </c>
      <c r="AU218" s="17">
        <v>0</v>
      </c>
      <c r="AV218" s="17">
        <v>0</v>
      </c>
      <c r="AW218" s="17">
        <v>0</v>
      </c>
      <c r="AX218" s="17">
        <v>0</v>
      </c>
      <c r="AY218" s="17">
        <v>0</v>
      </c>
      <c r="AZ218" s="17">
        <v>0</v>
      </c>
      <c r="BA218" s="17">
        <v>0</v>
      </c>
      <c r="BB218" s="17">
        <v>0</v>
      </c>
      <c r="BC218" s="17">
        <v>0</v>
      </c>
      <c r="BD218" s="17">
        <v>0</v>
      </c>
      <c r="BE218" s="17">
        <v>0</v>
      </c>
      <c r="BF218" s="17">
        <v>0</v>
      </c>
      <c r="BG218" s="17">
        <v>0</v>
      </c>
      <c r="BH218" s="17">
        <v>0</v>
      </c>
      <c r="BI218" s="22">
        <f t="shared" si="46"/>
        <v>0</v>
      </c>
      <c r="BJ218" s="22">
        <f t="shared" si="47"/>
        <v>0</v>
      </c>
      <c r="BK218" s="22">
        <f t="shared" si="48"/>
        <v>5</v>
      </c>
      <c r="BL218" s="22">
        <f t="shared" si="49"/>
        <v>5</v>
      </c>
      <c r="BM218" s="22">
        <f t="shared" si="45"/>
        <v>0</v>
      </c>
      <c r="BN218" s="23">
        <f t="shared" si="44"/>
        <v>1</v>
      </c>
      <c r="BO218" s="23" t="e">
        <f t="shared" si="44"/>
        <v>#DIV/0!</v>
      </c>
      <c r="BP218" s="7">
        <f>VLOOKUP(A218,[1]Sheet15!B:E,4,0)</f>
        <v>5</v>
      </c>
      <c r="BQ218" s="7">
        <f>VLOOKUP(A218,[1]Sheet15!B:E,3,0)</f>
        <v>0</v>
      </c>
    </row>
    <row r="219" spans="1:69" ht="22.5" customHeight="1" x14ac:dyDescent="0.25">
      <c r="A219" s="15" t="s">
        <v>582</v>
      </c>
      <c r="B219" s="15" t="e">
        <f>VLOOKUP(A219,'[1]Master clients'!F214:W3761,17,0)</f>
        <v>#N/A</v>
      </c>
      <c r="C219" s="15" t="e">
        <f>VLOOKUP(A219,'[1]Master clients'!F214:P3761,11,0)</f>
        <v>#N/A</v>
      </c>
      <c r="D219" s="15" t="str">
        <f>VLOOKUP(A219,'[1]Master clients'!F:M,8,0)</f>
        <v>End User</v>
      </c>
      <c r="E219" s="16" t="s">
        <v>583</v>
      </c>
      <c r="F219" s="16" t="s">
        <v>584</v>
      </c>
      <c r="G219" s="17"/>
      <c r="H219" s="17"/>
      <c r="I219" s="31">
        <v>2</v>
      </c>
      <c r="J219" s="31">
        <v>0</v>
      </c>
      <c r="K219" s="17">
        <v>0</v>
      </c>
      <c r="L219" s="17">
        <v>0</v>
      </c>
      <c r="M219" s="17">
        <v>0</v>
      </c>
      <c r="N219" s="17">
        <v>0</v>
      </c>
      <c r="O219" s="17">
        <v>0</v>
      </c>
      <c r="P219" s="17">
        <v>0</v>
      </c>
      <c r="Q219" s="17">
        <v>0</v>
      </c>
      <c r="R219" s="17">
        <v>0</v>
      </c>
      <c r="S219" s="17">
        <v>0</v>
      </c>
      <c r="T219" s="17">
        <v>0</v>
      </c>
      <c r="U219" s="17">
        <v>0</v>
      </c>
      <c r="V219" s="17">
        <v>0</v>
      </c>
      <c r="W219" s="17">
        <v>0</v>
      </c>
      <c r="X219" s="17">
        <v>0</v>
      </c>
      <c r="Y219" s="17">
        <v>0</v>
      </c>
      <c r="Z219" s="17">
        <v>0</v>
      </c>
      <c r="AA219" s="17">
        <v>0</v>
      </c>
      <c r="AB219" s="17">
        <v>0</v>
      </c>
      <c r="AC219" s="17">
        <v>0</v>
      </c>
      <c r="AD219" s="17">
        <v>0</v>
      </c>
      <c r="AE219" s="17">
        <v>0</v>
      </c>
      <c r="AF219" s="17">
        <v>0</v>
      </c>
      <c r="AG219" s="17">
        <v>0</v>
      </c>
      <c r="AH219" s="17">
        <v>0</v>
      </c>
      <c r="AI219" s="17">
        <v>0</v>
      </c>
      <c r="AJ219" s="17">
        <v>0</v>
      </c>
      <c r="AK219" s="17">
        <v>0</v>
      </c>
      <c r="AL219" s="17">
        <v>0</v>
      </c>
      <c r="AM219" s="17">
        <v>0</v>
      </c>
      <c r="AN219" s="17">
        <v>0</v>
      </c>
      <c r="AO219" s="17">
        <v>0</v>
      </c>
      <c r="AP219" s="17">
        <v>0</v>
      </c>
      <c r="AQ219" s="17">
        <v>0</v>
      </c>
      <c r="AR219" s="17">
        <v>0</v>
      </c>
      <c r="AS219" s="17">
        <v>0</v>
      </c>
      <c r="AT219" s="17">
        <v>0</v>
      </c>
      <c r="AU219" s="17">
        <v>0</v>
      </c>
      <c r="AV219" s="17">
        <v>0</v>
      </c>
      <c r="AW219" s="17">
        <v>0</v>
      </c>
      <c r="AX219" s="17">
        <v>0</v>
      </c>
      <c r="AY219" s="17">
        <v>0</v>
      </c>
      <c r="AZ219" s="17">
        <v>0</v>
      </c>
      <c r="BA219" s="17">
        <v>0</v>
      </c>
      <c r="BB219" s="17">
        <v>0</v>
      </c>
      <c r="BC219" s="17">
        <v>0</v>
      </c>
      <c r="BD219" s="17">
        <v>0</v>
      </c>
      <c r="BE219" s="17">
        <v>0</v>
      </c>
      <c r="BF219" s="17">
        <v>0</v>
      </c>
      <c r="BG219" s="17">
        <v>0</v>
      </c>
      <c r="BH219" s="17">
        <v>0</v>
      </c>
      <c r="BI219" s="22">
        <f>SUM(M219+N219+P219+R219+T219+W219+Z219+AC219+AE219+AL219+AO219+AP219+AS219+AW219+AX219+BC219+BE219+BG219)</f>
        <v>0</v>
      </c>
      <c r="BJ219" s="22">
        <f>SUM(H219:BG219)</f>
        <v>2</v>
      </c>
      <c r="BK219" s="22">
        <f>SUM(H219+J219+K219+L219+O219+Q219+S219+U219+V219+X219+Y219+AA219+AB219+AD219+AF219+AG219+AH219+AI219+AJ219+AK219+AM219+AN219+AQ219+AR219+AT219+AU219+AV219+AY219+AZ219+BA219+BB219+BF219+BD219)</f>
        <v>0</v>
      </c>
      <c r="BL219" s="22">
        <f t="shared" ref="BL219:BM225" si="50">SUM(I219+M219+N219+P219+R219+T219+W219+Z219+AC219+AE219+AL219+AO219+AP219+AS219+AW219+AX219+BC219+BG219)</f>
        <v>2</v>
      </c>
      <c r="BM219" s="22">
        <f t="shared" si="50"/>
        <v>0</v>
      </c>
      <c r="BN219" s="23">
        <f t="shared" si="44"/>
        <v>1</v>
      </c>
      <c r="BO219" s="23" t="e">
        <f t="shared" si="44"/>
        <v>#DIV/0!</v>
      </c>
      <c r="BP219" s="7">
        <f>VLOOKUP(A219,[1]Sheet15!B:E,4,0)</f>
        <v>2</v>
      </c>
      <c r="BQ219" s="7">
        <f>VLOOKUP(A219,[1]Sheet15!B:E,3,0)</f>
        <v>0</v>
      </c>
    </row>
    <row r="220" spans="1:69" ht="22.5" customHeight="1" x14ac:dyDescent="0.25">
      <c r="A220" s="15" t="s">
        <v>585</v>
      </c>
      <c r="B220" s="15">
        <f>VLOOKUP(A220,'[1]Master clients'!F215:W3762,17,0)</f>
        <v>0</v>
      </c>
      <c r="C220" s="15" t="str">
        <f>VLOOKUP(A220,'[1]Master clients'!F215:P3762,11,0)</f>
        <v>NI</v>
      </c>
      <c r="D220" s="15" t="str">
        <f>VLOOKUP(A220,'[1]Master clients'!F:M,8,0)</f>
        <v>End User</v>
      </c>
      <c r="E220" s="16" t="s">
        <v>586</v>
      </c>
      <c r="F220" s="16" t="s">
        <v>587</v>
      </c>
      <c r="G220" s="17"/>
      <c r="H220" s="17"/>
      <c r="I220" s="18">
        <v>7</v>
      </c>
      <c r="J220" s="18">
        <v>0</v>
      </c>
      <c r="K220" s="17">
        <v>0</v>
      </c>
      <c r="L220" s="17">
        <v>0</v>
      </c>
      <c r="M220" s="17">
        <v>0</v>
      </c>
      <c r="N220" s="17">
        <v>0</v>
      </c>
      <c r="O220" s="17">
        <v>0</v>
      </c>
      <c r="P220" s="17">
        <v>0</v>
      </c>
      <c r="Q220" s="17">
        <v>0</v>
      </c>
      <c r="R220" s="17">
        <v>0</v>
      </c>
      <c r="S220" s="17">
        <v>0</v>
      </c>
      <c r="T220" s="17">
        <v>0</v>
      </c>
      <c r="U220" s="17">
        <v>0</v>
      </c>
      <c r="V220" s="17">
        <v>0</v>
      </c>
      <c r="W220" s="17">
        <v>0</v>
      </c>
      <c r="X220" s="17">
        <v>0</v>
      </c>
      <c r="Y220" s="17">
        <v>0</v>
      </c>
      <c r="Z220" s="17">
        <v>0</v>
      </c>
      <c r="AA220" s="17">
        <v>0</v>
      </c>
      <c r="AB220" s="17">
        <v>0</v>
      </c>
      <c r="AC220" s="17">
        <v>0</v>
      </c>
      <c r="AD220" s="17">
        <v>0</v>
      </c>
      <c r="AE220" s="17">
        <v>0</v>
      </c>
      <c r="AF220" s="17">
        <v>0</v>
      </c>
      <c r="AG220" s="17">
        <v>0</v>
      </c>
      <c r="AH220" s="17">
        <v>0</v>
      </c>
      <c r="AI220" s="17">
        <v>0</v>
      </c>
      <c r="AJ220" s="17">
        <v>0</v>
      </c>
      <c r="AK220" s="17">
        <v>0</v>
      </c>
      <c r="AL220" s="17">
        <v>0</v>
      </c>
      <c r="AM220" s="17">
        <v>0</v>
      </c>
      <c r="AN220" s="17">
        <v>0</v>
      </c>
      <c r="AO220" s="17">
        <v>0</v>
      </c>
      <c r="AP220" s="17">
        <v>0</v>
      </c>
      <c r="AQ220" s="17">
        <v>0</v>
      </c>
      <c r="AR220" s="17">
        <v>0</v>
      </c>
      <c r="AS220" s="17">
        <v>0</v>
      </c>
      <c r="AT220" s="17">
        <v>0</v>
      </c>
      <c r="AU220" s="17">
        <v>0</v>
      </c>
      <c r="AV220" s="17">
        <v>0</v>
      </c>
      <c r="AW220" s="17">
        <v>0</v>
      </c>
      <c r="AX220" s="17">
        <v>0</v>
      </c>
      <c r="AY220" s="17">
        <v>0</v>
      </c>
      <c r="AZ220" s="17">
        <v>0</v>
      </c>
      <c r="BA220" s="17">
        <v>0</v>
      </c>
      <c r="BB220" s="17">
        <v>0</v>
      </c>
      <c r="BC220" s="17">
        <v>0</v>
      </c>
      <c r="BD220" s="17">
        <v>0</v>
      </c>
      <c r="BE220" s="17">
        <v>0</v>
      </c>
      <c r="BF220" s="17">
        <v>0</v>
      </c>
      <c r="BG220" s="17">
        <v>0</v>
      </c>
      <c r="BH220" s="17">
        <v>0</v>
      </c>
      <c r="BI220" s="22">
        <f t="shared" ref="BI220:BI225" si="51">SUM(K220+L220+M220+P220+R220+T220+V220+W220+Y220+Z220+AB220+AC220+AE220+AG220+AH220+AI220+AJ220+AK220+AL220+AN220+AO220+AR220+AS220+AU220+AV220+AW220+AZ220+BA220+BB220+BC220+BE220+BG220)</f>
        <v>0</v>
      </c>
      <c r="BJ220" s="22">
        <f t="shared" ref="BJ220:BJ225" si="52">SUM(N220+O220+Q220+S220+U220+X220+AA220+AD220+AF220+AM220+AP220+AQ220+AT220+AX220+AY220+BD220+BF220+BH220)</f>
        <v>0</v>
      </c>
      <c r="BK220" s="22">
        <f t="shared" ref="BK220:BK225" si="53">SUM(I220:BH220)</f>
        <v>7</v>
      </c>
      <c r="BL220" s="22">
        <f t="shared" ref="BL220:BL225" si="54">SUM(I220+K220+L220+M220+P220+R220+T220+V220+W220+Y220+Z220+AB220+AC220+AE220+AG220+AH220+AI220+AJ220+AK220+AL220+AN220+AO220+AR220+AS220+AU220+AV220+AW220+AZ220+BA220+BB220+BC220+BG220+BE220)</f>
        <v>7</v>
      </c>
      <c r="BM220" s="22">
        <f t="shared" si="50"/>
        <v>0</v>
      </c>
      <c r="BN220" s="23">
        <f t="shared" si="44"/>
        <v>1</v>
      </c>
      <c r="BO220" s="23" t="e">
        <f t="shared" si="44"/>
        <v>#DIV/0!</v>
      </c>
      <c r="BP220" s="7">
        <f>VLOOKUP(A220,[1]Sheet15!B:E,4,0)</f>
        <v>7</v>
      </c>
      <c r="BQ220" s="7">
        <f>VLOOKUP(A220,[1]Sheet15!B:E,3,0)</f>
        <v>0</v>
      </c>
    </row>
    <row r="221" spans="1:69" ht="22.5" customHeight="1" x14ac:dyDescent="0.25">
      <c r="A221" s="15" t="s">
        <v>588</v>
      </c>
      <c r="B221" s="15">
        <f>VLOOKUP(A221,'[1]Master clients'!F216:W3763,17,0)</f>
        <v>0</v>
      </c>
      <c r="C221" s="15" t="str">
        <f>VLOOKUP(A221,'[1]Master clients'!F216:P3763,11,0)</f>
        <v>NI</v>
      </c>
      <c r="D221" s="15" t="str">
        <f>VLOOKUP(A221,'[1]Master clients'!F:M,8,0)</f>
        <v>OEM</v>
      </c>
      <c r="E221" s="16" t="s">
        <v>589</v>
      </c>
      <c r="F221" s="29" t="s">
        <v>587</v>
      </c>
      <c r="G221" s="20"/>
      <c r="H221" s="20"/>
      <c r="I221" s="26">
        <v>2</v>
      </c>
      <c r="J221" s="18">
        <v>0</v>
      </c>
      <c r="K221" s="20">
        <v>0</v>
      </c>
      <c r="L221" s="20">
        <v>0</v>
      </c>
      <c r="M221" s="20">
        <v>0</v>
      </c>
      <c r="N221" s="20">
        <v>0</v>
      </c>
      <c r="O221" s="20">
        <v>0</v>
      </c>
      <c r="P221" s="20">
        <v>0</v>
      </c>
      <c r="Q221" s="20">
        <v>0</v>
      </c>
      <c r="R221" s="20">
        <v>0</v>
      </c>
      <c r="S221" s="20">
        <v>0</v>
      </c>
      <c r="T221" s="20">
        <v>0</v>
      </c>
      <c r="U221" s="20">
        <v>0</v>
      </c>
      <c r="V221" s="20">
        <v>0</v>
      </c>
      <c r="W221" s="20">
        <v>0</v>
      </c>
      <c r="X221" s="20">
        <v>0</v>
      </c>
      <c r="Y221" s="20">
        <v>0</v>
      </c>
      <c r="Z221" s="20">
        <v>0</v>
      </c>
      <c r="AA221" s="20">
        <v>0</v>
      </c>
      <c r="AB221" s="20">
        <v>0</v>
      </c>
      <c r="AC221" s="20">
        <v>0</v>
      </c>
      <c r="AD221" s="20">
        <v>0</v>
      </c>
      <c r="AE221" s="20">
        <v>0</v>
      </c>
      <c r="AF221" s="20">
        <v>0</v>
      </c>
      <c r="AG221" s="20">
        <v>0</v>
      </c>
      <c r="AH221" s="20">
        <v>0</v>
      </c>
      <c r="AI221" s="20">
        <v>0</v>
      </c>
      <c r="AJ221" s="20">
        <v>0</v>
      </c>
      <c r="AK221" s="20">
        <v>0</v>
      </c>
      <c r="AL221" s="20">
        <v>0</v>
      </c>
      <c r="AM221" s="20">
        <v>0</v>
      </c>
      <c r="AN221" s="20">
        <v>0</v>
      </c>
      <c r="AO221" s="20">
        <v>0</v>
      </c>
      <c r="AP221" s="20">
        <v>0</v>
      </c>
      <c r="AQ221" s="20">
        <v>0</v>
      </c>
      <c r="AR221" s="20">
        <v>0</v>
      </c>
      <c r="AS221" s="20">
        <v>0</v>
      </c>
      <c r="AT221" s="20">
        <v>0</v>
      </c>
      <c r="AU221" s="20">
        <v>0</v>
      </c>
      <c r="AV221" s="20">
        <v>0</v>
      </c>
      <c r="AW221" s="20">
        <v>0</v>
      </c>
      <c r="AX221" s="20">
        <v>0</v>
      </c>
      <c r="AY221" s="20">
        <v>0</v>
      </c>
      <c r="AZ221" s="20">
        <v>0</v>
      </c>
      <c r="BA221" s="20">
        <v>0</v>
      </c>
      <c r="BB221" s="20">
        <v>0</v>
      </c>
      <c r="BC221" s="20">
        <v>0</v>
      </c>
      <c r="BD221" s="20">
        <v>0</v>
      </c>
      <c r="BE221" s="20">
        <v>0</v>
      </c>
      <c r="BF221" s="20">
        <v>0</v>
      </c>
      <c r="BG221" s="20">
        <v>0</v>
      </c>
      <c r="BH221" s="20">
        <v>0</v>
      </c>
      <c r="BI221" s="22">
        <f t="shared" si="51"/>
        <v>0</v>
      </c>
      <c r="BJ221" s="22">
        <f t="shared" si="52"/>
        <v>0</v>
      </c>
      <c r="BK221" s="28">
        <f t="shared" si="53"/>
        <v>2</v>
      </c>
      <c r="BL221" s="22">
        <f t="shared" si="54"/>
        <v>2</v>
      </c>
      <c r="BM221" s="22">
        <f t="shared" si="50"/>
        <v>0</v>
      </c>
      <c r="BN221" s="23">
        <f t="shared" si="44"/>
        <v>1</v>
      </c>
      <c r="BO221" s="23" t="e">
        <f t="shared" si="44"/>
        <v>#DIV/0!</v>
      </c>
      <c r="BP221" s="7">
        <f>VLOOKUP(A221,[1]Sheet15!B:E,4,0)</f>
        <v>4</v>
      </c>
      <c r="BQ221" s="7">
        <f>VLOOKUP(A221,[1]Sheet15!B:E,3,0)</f>
        <v>0</v>
      </c>
    </row>
    <row r="222" spans="1:69" ht="22.5" customHeight="1" x14ac:dyDescent="0.25">
      <c r="A222" s="15" t="s">
        <v>590</v>
      </c>
      <c r="B222" s="15">
        <f>VLOOKUP(A222,'[1]Master clients'!F217:W3764,17,0)</f>
        <v>0</v>
      </c>
      <c r="C222" s="15" t="str">
        <f>VLOOKUP(A222,'[1]Master clients'!F217:P3764,11,0)</f>
        <v>NI</v>
      </c>
      <c r="D222" s="15" t="str">
        <f>VLOOKUP(A222,'[1]Master clients'!F:M,8,0)</f>
        <v>End User</v>
      </c>
      <c r="E222" s="16" t="s">
        <v>591</v>
      </c>
      <c r="F222" s="16" t="s">
        <v>587</v>
      </c>
      <c r="G222" s="17"/>
      <c r="H222" s="17"/>
      <c r="I222" s="31">
        <v>1</v>
      </c>
      <c r="J222" s="31">
        <v>0</v>
      </c>
      <c r="K222" s="17">
        <v>0</v>
      </c>
      <c r="L222" s="17">
        <v>0</v>
      </c>
      <c r="M222" s="17">
        <v>0</v>
      </c>
      <c r="N222" s="17">
        <v>0</v>
      </c>
      <c r="O222" s="17">
        <v>0</v>
      </c>
      <c r="P222" s="17">
        <v>0</v>
      </c>
      <c r="Q222" s="17">
        <v>0</v>
      </c>
      <c r="R222" s="17">
        <v>0</v>
      </c>
      <c r="S222" s="17">
        <v>0</v>
      </c>
      <c r="T222" s="17">
        <v>0</v>
      </c>
      <c r="U222" s="17">
        <v>0</v>
      </c>
      <c r="V222" s="17">
        <v>0</v>
      </c>
      <c r="W222" s="17">
        <v>0</v>
      </c>
      <c r="X222" s="17">
        <v>0</v>
      </c>
      <c r="Y222" s="17">
        <v>0</v>
      </c>
      <c r="Z222" s="17">
        <v>0</v>
      </c>
      <c r="AA222" s="17">
        <v>0</v>
      </c>
      <c r="AB222" s="17">
        <v>0</v>
      </c>
      <c r="AC222" s="17">
        <v>0</v>
      </c>
      <c r="AD222" s="17">
        <v>0</v>
      </c>
      <c r="AE222" s="17">
        <v>0</v>
      </c>
      <c r="AF222" s="17">
        <v>0</v>
      </c>
      <c r="AG222" s="17">
        <v>0</v>
      </c>
      <c r="AH222" s="17">
        <v>0</v>
      </c>
      <c r="AI222" s="17">
        <v>0</v>
      </c>
      <c r="AJ222" s="17">
        <v>0</v>
      </c>
      <c r="AK222" s="17">
        <v>0</v>
      </c>
      <c r="AL222" s="17">
        <v>0</v>
      </c>
      <c r="AM222" s="17">
        <v>0</v>
      </c>
      <c r="AN222" s="17">
        <v>0</v>
      </c>
      <c r="AO222" s="17">
        <v>0</v>
      </c>
      <c r="AP222" s="17">
        <v>0</v>
      </c>
      <c r="AQ222" s="17">
        <v>0</v>
      </c>
      <c r="AR222" s="17">
        <v>0</v>
      </c>
      <c r="AS222" s="17">
        <v>0</v>
      </c>
      <c r="AT222" s="17">
        <v>0</v>
      </c>
      <c r="AU222" s="17">
        <v>0</v>
      </c>
      <c r="AV222" s="17">
        <v>0</v>
      </c>
      <c r="AW222" s="17">
        <v>0</v>
      </c>
      <c r="AX222" s="17">
        <v>0</v>
      </c>
      <c r="AY222" s="17">
        <v>0</v>
      </c>
      <c r="AZ222" s="17">
        <v>0</v>
      </c>
      <c r="BA222" s="17">
        <v>0</v>
      </c>
      <c r="BB222" s="17">
        <v>0</v>
      </c>
      <c r="BC222" s="17">
        <v>0</v>
      </c>
      <c r="BD222" s="17">
        <v>0</v>
      </c>
      <c r="BE222" s="17">
        <v>0</v>
      </c>
      <c r="BF222" s="17">
        <v>0</v>
      </c>
      <c r="BG222" s="17">
        <v>0</v>
      </c>
      <c r="BH222" s="17">
        <v>0</v>
      </c>
      <c r="BI222" s="22">
        <f t="shared" si="51"/>
        <v>0</v>
      </c>
      <c r="BJ222" s="22">
        <f t="shared" si="52"/>
        <v>0</v>
      </c>
      <c r="BK222" s="22">
        <f t="shared" si="53"/>
        <v>1</v>
      </c>
      <c r="BL222" s="22">
        <f t="shared" si="54"/>
        <v>1</v>
      </c>
      <c r="BM222" s="22">
        <f t="shared" si="50"/>
        <v>0</v>
      </c>
      <c r="BN222" s="23">
        <f t="shared" si="44"/>
        <v>1</v>
      </c>
      <c r="BO222" s="23" t="e">
        <f t="shared" si="44"/>
        <v>#DIV/0!</v>
      </c>
      <c r="BP222" s="7">
        <f>VLOOKUP(A222,[1]Sheet15!B:E,4,0)</f>
        <v>1</v>
      </c>
      <c r="BQ222" s="7">
        <f>VLOOKUP(A222,[1]Sheet15!B:E,3,0)</f>
        <v>0</v>
      </c>
    </row>
    <row r="223" spans="1:69" ht="22.5" customHeight="1" x14ac:dyDescent="0.25">
      <c r="A223" s="15" t="s">
        <v>592</v>
      </c>
      <c r="B223" s="15">
        <f>VLOOKUP(A223,'[1]Master clients'!F218:W3765,17,0)</f>
        <v>0</v>
      </c>
      <c r="C223" s="15" t="str">
        <f>VLOOKUP(A223,'[1]Master clients'!F218:P3765,11,0)</f>
        <v>SI-GS</v>
      </c>
      <c r="D223" s="15" t="str">
        <f>VLOOKUP(A223,'[1]Master clients'!F:M,8,0)</f>
        <v>End User</v>
      </c>
      <c r="E223" s="16" t="s">
        <v>593</v>
      </c>
      <c r="F223" s="16" t="s">
        <v>587</v>
      </c>
      <c r="G223" s="17"/>
      <c r="H223" s="17"/>
      <c r="I223" s="31">
        <v>2</v>
      </c>
      <c r="J223" s="31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  <c r="AE223" s="17">
        <v>0</v>
      </c>
      <c r="AF223" s="17">
        <v>0</v>
      </c>
      <c r="AG223" s="17">
        <v>0</v>
      </c>
      <c r="AH223" s="17">
        <v>0</v>
      </c>
      <c r="AI223" s="17">
        <v>0</v>
      </c>
      <c r="AJ223" s="17">
        <v>0</v>
      </c>
      <c r="AK223" s="17">
        <v>0</v>
      </c>
      <c r="AL223" s="17">
        <v>0</v>
      </c>
      <c r="AM223" s="17">
        <v>0</v>
      </c>
      <c r="AN223" s="17">
        <v>0</v>
      </c>
      <c r="AO223" s="17">
        <v>0</v>
      </c>
      <c r="AP223" s="17">
        <v>0</v>
      </c>
      <c r="AQ223" s="17">
        <v>0</v>
      </c>
      <c r="AR223" s="17">
        <v>0</v>
      </c>
      <c r="AS223" s="17">
        <v>0</v>
      </c>
      <c r="AT223" s="17">
        <v>0</v>
      </c>
      <c r="AU223" s="17">
        <v>0</v>
      </c>
      <c r="AV223" s="17">
        <v>0</v>
      </c>
      <c r="AW223" s="17">
        <v>0</v>
      </c>
      <c r="AX223" s="17">
        <v>0</v>
      </c>
      <c r="AY223" s="17">
        <v>0</v>
      </c>
      <c r="AZ223" s="17">
        <v>0</v>
      </c>
      <c r="BA223" s="17">
        <v>0</v>
      </c>
      <c r="BB223" s="17">
        <v>0</v>
      </c>
      <c r="BC223" s="17">
        <v>0</v>
      </c>
      <c r="BD223" s="17">
        <v>0</v>
      </c>
      <c r="BE223" s="17">
        <v>0</v>
      </c>
      <c r="BF223" s="17">
        <v>0</v>
      </c>
      <c r="BG223" s="17">
        <v>0</v>
      </c>
      <c r="BH223" s="17">
        <v>0</v>
      </c>
      <c r="BI223" s="22">
        <f t="shared" si="51"/>
        <v>0</v>
      </c>
      <c r="BJ223" s="22">
        <f t="shared" si="52"/>
        <v>0</v>
      </c>
      <c r="BK223" s="22">
        <f t="shared" si="53"/>
        <v>2</v>
      </c>
      <c r="BL223" s="22">
        <f t="shared" si="54"/>
        <v>2</v>
      </c>
      <c r="BM223" s="22">
        <f t="shared" si="50"/>
        <v>0</v>
      </c>
      <c r="BN223" s="23">
        <f t="shared" si="44"/>
        <v>1</v>
      </c>
      <c r="BO223" s="23" t="e">
        <f t="shared" si="44"/>
        <v>#DIV/0!</v>
      </c>
      <c r="BP223" s="7">
        <f>VLOOKUP(A223,[1]Sheet15!B:E,4,0)</f>
        <v>2</v>
      </c>
      <c r="BQ223" s="7">
        <f>VLOOKUP(A223,[1]Sheet15!B:E,3,0)</f>
        <v>0</v>
      </c>
    </row>
    <row r="224" spans="1:69" ht="22.5" customHeight="1" x14ac:dyDescent="0.25">
      <c r="A224" s="15" t="s">
        <v>594</v>
      </c>
      <c r="B224" s="15">
        <f>VLOOKUP(A224,'[1]Master clients'!F219:W3766,17,0)</f>
        <v>0</v>
      </c>
      <c r="C224" s="15" t="str">
        <f>VLOOKUP(A224,'[1]Master clients'!F219:P3766,11,0)</f>
        <v>NI</v>
      </c>
      <c r="D224" s="15" t="str">
        <f>VLOOKUP(A224,'[1]Master clients'!F:M,8,0)</f>
        <v>End User</v>
      </c>
      <c r="E224" s="16" t="s">
        <v>595</v>
      </c>
      <c r="F224" s="16" t="s">
        <v>587</v>
      </c>
      <c r="G224" s="17"/>
      <c r="H224" s="17"/>
      <c r="I224" s="31">
        <v>0</v>
      </c>
      <c r="J224" s="31">
        <v>0</v>
      </c>
      <c r="K224" s="17">
        <v>0</v>
      </c>
      <c r="L224" s="17">
        <v>0</v>
      </c>
      <c r="M224" s="17">
        <v>0</v>
      </c>
      <c r="N224" s="17">
        <v>0</v>
      </c>
      <c r="O224" s="17">
        <v>0</v>
      </c>
      <c r="P224" s="17">
        <v>0</v>
      </c>
      <c r="Q224" s="17">
        <v>0</v>
      </c>
      <c r="R224" s="17">
        <v>0</v>
      </c>
      <c r="S224" s="17">
        <v>0</v>
      </c>
      <c r="T224" s="17">
        <v>0</v>
      </c>
      <c r="U224" s="17">
        <v>0</v>
      </c>
      <c r="V224" s="17">
        <v>0</v>
      </c>
      <c r="W224" s="17">
        <v>0</v>
      </c>
      <c r="X224" s="17">
        <v>0</v>
      </c>
      <c r="Y224" s="17">
        <v>0</v>
      </c>
      <c r="Z224" s="17">
        <v>0</v>
      </c>
      <c r="AA224" s="17">
        <v>0</v>
      </c>
      <c r="AB224" s="17">
        <v>0</v>
      </c>
      <c r="AC224" s="17">
        <v>0</v>
      </c>
      <c r="AD224" s="17">
        <v>0</v>
      </c>
      <c r="AE224" s="17">
        <v>0</v>
      </c>
      <c r="AF224" s="17">
        <v>0</v>
      </c>
      <c r="AG224" s="17">
        <v>0</v>
      </c>
      <c r="AH224" s="17">
        <v>0</v>
      </c>
      <c r="AI224" s="17">
        <v>0</v>
      </c>
      <c r="AJ224" s="17">
        <v>0</v>
      </c>
      <c r="AK224" s="17">
        <v>0</v>
      </c>
      <c r="AL224" s="17">
        <v>0</v>
      </c>
      <c r="AM224" s="17">
        <v>0</v>
      </c>
      <c r="AN224" s="17">
        <v>0</v>
      </c>
      <c r="AO224" s="17">
        <v>0</v>
      </c>
      <c r="AP224" s="17">
        <v>0</v>
      </c>
      <c r="AQ224" s="17">
        <v>0</v>
      </c>
      <c r="AR224" s="17">
        <v>0</v>
      </c>
      <c r="AS224" s="17">
        <v>0</v>
      </c>
      <c r="AT224" s="17">
        <v>0</v>
      </c>
      <c r="AU224" s="17">
        <v>0</v>
      </c>
      <c r="AV224" s="17">
        <v>0</v>
      </c>
      <c r="AW224" s="17">
        <v>0</v>
      </c>
      <c r="AX224" s="17">
        <v>0</v>
      </c>
      <c r="AY224" s="17">
        <v>0</v>
      </c>
      <c r="AZ224" s="17">
        <v>0</v>
      </c>
      <c r="BA224" s="17">
        <v>0</v>
      </c>
      <c r="BB224" s="17">
        <v>0</v>
      </c>
      <c r="BC224" s="17">
        <v>0</v>
      </c>
      <c r="BD224" s="17">
        <v>0</v>
      </c>
      <c r="BE224" s="17">
        <v>0</v>
      </c>
      <c r="BF224" s="17">
        <v>0</v>
      </c>
      <c r="BG224" s="17">
        <v>0</v>
      </c>
      <c r="BH224" s="17">
        <v>0</v>
      </c>
      <c r="BI224" s="22">
        <f t="shared" si="51"/>
        <v>0</v>
      </c>
      <c r="BJ224" s="22">
        <f t="shared" si="52"/>
        <v>0</v>
      </c>
      <c r="BK224" s="22">
        <f t="shared" si="53"/>
        <v>0</v>
      </c>
      <c r="BL224" s="22">
        <f t="shared" si="54"/>
        <v>0</v>
      </c>
      <c r="BM224" s="22">
        <f t="shared" si="50"/>
        <v>0</v>
      </c>
      <c r="BN224" s="23" t="e">
        <f t="shared" si="44"/>
        <v>#DIV/0!</v>
      </c>
      <c r="BO224" s="23" t="e">
        <f t="shared" si="44"/>
        <v>#DIV/0!</v>
      </c>
      <c r="BP224" s="7" t="e">
        <f>VLOOKUP(A224,[1]Sheet15!B:E,4,0)</f>
        <v>#N/A</v>
      </c>
      <c r="BQ224" s="7" t="e">
        <f>VLOOKUP(A224,[1]Sheet15!B:E,3,0)</f>
        <v>#N/A</v>
      </c>
    </row>
    <row r="225" spans="1:69" ht="22.5" customHeight="1" x14ac:dyDescent="0.25">
      <c r="A225" s="15" t="s">
        <v>596</v>
      </c>
      <c r="B225" s="15">
        <f>VLOOKUP(A225,'[1]Master clients'!F220:W3767,17,0)</f>
        <v>0</v>
      </c>
      <c r="C225" s="15" t="str">
        <f>VLOOKUP(A225,'[1]Master clients'!F220:P3767,11,0)</f>
        <v>MRK</v>
      </c>
      <c r="D225" s="15" t="str">
        <f>VLOOKUP(A225,'[1]Master clients'!F:M,8,0)</f>
        <v>End User</v>
      </c>
      <c r="E225" s="16" t="s">
        <v>597</v>
      </c>
      <c r="F225" s="16" t="s">
        <v>598</v>
      </c>
      <c r="G225" s="17">
        <v>11</v>
      </c>
      <c r="H225" s="17">
        <v>8</v>
      </c>
      <c r="I225" s="17">
        <v>11</v>
      </c>
      <c r="J225" s="17">
        <v>8</v>
      </c>
      <c r="K225" s="17">
        <v>0</v>
      </c>
      <c r="L225" s="17">
        <v>0</v>
      </c>
      <c r="M225" s="17">
        <v>0</v>
      </c>
      <c r="N225" s="17">
        <v>0</v>
      </c>
      <c r="O225" s="17">
        <v>0</v>
      </c>
      <c r="P225" s="17">
        <v>0</v>
      </c>
      <c r="Q225" s="17">
        <v>0</v>
      </c>
      <c r="R225" s="17">
        <v>0</v>
      </c>
      <c r="S225" s="17">
        <v>0</v>
      </c>
      <c r="T225" s="17">
        <v>0</v>
      </c>
      <c r="U225" s="17">
        <v>0</v>
      </c>
      <c r="V225" s="17">
        <v>0</v>
      </c>
      <c r="W225" s="17">
        <v>0</v>
      </c>
      <c r="X225" s="17">
        <v>0</v>
      </c>
      <c r="Y225" s="17">
        <v>0</v>
      </c>
      <c r="Z225" s="17">
        <v>0</v>
      </c>
      <c r="AA225" s="17">
        <v>0</v>
      </c>
      <c r="AB225" s="17">
        <v>0</v>
      </c>
      <c r="AC225" s="17">
        <v>0</v>
      </c>
      <c r="AD225" s="17">
        <v>0</v>
      </c>
      <c r="AE225" s="17">
        <v>0</v>
      </c>
      <c r="AF225" s="17">
        <v>0</v>
      </c>
      <c r="AG225" s="17">
        <v>0</v>
      </c>
      <c r="AH225" s="17">
        <v>0</v>
      </c>
      <c r="AI225" s="17">
        <v>0</v>
      </c>
      <c r="AJ225" s="17">
        <v>0</v>
      </c>
      <c r="AK225" s="17">
        <v>0</v>
      </c>
      <c r="AL225" s="17">
        <v>0</v>
      </c>
      <c r="AM225" s="17">
        <v>0</v>
      </c>
      <c r="AN225" s="17">
        <v>0</v>
      </c>
      <c r="AO225" s="17">
        <v>0</v>
      </c>
      <c r="AP225" s="17">
        <v>0</v>
      </c>
      <c r="AQ225" s="17">
        <v>0</v>
      </c>
      <c r="AR225" s="17">
        <v>0</v>
      </c>
      <c r="AS225" s="17">
        <v>0</v>
      </c>
      <c r="AT225" s="17">
        <v>0</v>
      </c>
      <c r="AU225" s="17">
        <v>0</v>
      </c>
      <c r="AV225" s="17">
        <v>0</v>
      </c>
      <c r="AW225" s="17">
        <v>0</v>
      </c>
      <c r="AX225" s="17">
        <v>0</v>
      </c>
      <c r="AY225" s="17">
        <v>0</v>
      </c>
      <c r="AZ225" s="17">
        <v>0</v>
      </c>
      <c r="BA225" s="17">
        <v>0</v>
      </c>
      <c r="BB225" s="17">
        <v>0</v>
      </c>
      <c r="BC225" s="17">
        <v>0</v>
      </c>
      <c r="BD225" s="17">
        <v>0</v>
      </c>
      <c r="BE225" s="17">
        <v>0</v>
      </c>
      <c r="BF225" s="17">
        <v>0</v>
      </c>
      <c r="BG225" s="17">
        <v>0</v>
      </c>
      <c r="BH225" s="17">
        <v>0</v>
      </c>
      <c r="BI225" s="22">
        <f t="shared" si="51"/>
        <v>0</v>
      </c>
      <c r="BJ225" s="22">
        <f t="shared" si="52"/>
        <v>0</v>
      </c>
      <c r="BK225" s="22">
        <f t="shared" si="53"/>
        <v>19</v>
      </c>
      <c r="BL225" s="22">
        <f t="shared" si="54"/>
        <v>11</v>
      </c>
      <c r="BM225" s="22">
        <f t="shared" si="50"/>
        <v>8</v>
      </c>
      <c r="BN225" s="23">
        <f t="shared" si="44"/>
        <v>1</v>
      </c>
      <c r="BO225" s="23">
        <f t="shared" si="44"/>
        <v>1</v>
      </c>
      <c r="BP225" s="7" t="e">
        <f>VLOOKUP(A225,[1]Sheet15!B:E,4,0)</f>
        <v>#N/A</v>
      </c>
      <c r="BQ225" s="7" t="e">
        <f>VLOOKUP(A225,[1]Sheet15!B:E,3,0)</f>
        <v>#N/A</v>
      </c>
    </row>
    <row r="226" spans="1:69" ht="22.5" customHeight="1" x14ac:dyDescent="0.25">
      <c r="A226" s="15" t="s">
        <v>599</v>
      </c>
      <c r="B226" s="15" t="e">
        <f>VLOOKUP(A226,'[1]Master clients'!F221:W3768,17,0)</f>
        <v>#N/A</v>
      </c>
      <c r="C226" s="15" t="e">
        <f>VLOOKUP(A226,'[1]Master clients'!F221:P3768,11,0)</f>
        <v>#N/A</v>
      </c>
      <c r="D226" s="15" t="str">
        <f>VLOOKUP(A226,'[1]Master clients'!F:M,8,0)</f>
        <v>End User</v>
      </c>
      <c r="E226" s="16" t="s">
        <v>600</v>
      </c>
      <c r="F226" s="16" t="s">
        <v>601</v>
      </c>
      <c r="G226" s="17"/>
      <c r="H226" s="17"/>
      <c r="I226" s="18">
        <v>3</v>
      </c>
      <c r="J226" s="18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  <c r="AE226" s="17">
        <v>0</v>
      </c>
      <c r="AF226" s="17">
        <v>0</v>
      </c>
      <c r="AG226" s="17">
        <v>0</v>
      </c>
      <c r="AH226" s="17">
        <v>0</v>
      </c>
      <c r="AI226" s="17">
        <v>0</v>
      </c>
      <c r="AJ226" s="17">
        <v>0</v>
      </c>
      <c r="AK226" s="17">
        <v>0</v>
      </c>
      <c r="AL226" s="17">
        <v>0</v>
      </c>
      <c r="AM226" s="17">
        <v>0</v>
      </c>
      <c r="AN226" s="17">
        <v>0</v>
      </c>
      <c r="AO226" s="17">
        <v>0</v>
      </c>
      <c r="AP226" s="17">
        <v>0</v>
      </c>
      <c r="AQ226" s="17">
        <v>0</v>
      </c>
      <c r="AR226" s="17">
        <v>0</v>
      </c>
      <c r="AS226" s="17">
        <v>0</v>
      </c>
      <c r="AT226" s="17">
        <v>0</v>
      </c>
      <c r="AU226" s="17">
        <v>0</v>
      </c>
      <c r="AV226" s="17">
        <v>0</v>
      </c>
      <c r="AW226" s="17">
        <v>0</v>
      </c>
      <c r="AX226" s="17">
        <v>0</v>
      </c>
      <c r="AY226" s="17">
        <v>0</v>
      </c>
      <c r="AZ226" s="17">
        <v>0</v>
      </c>
      <c r="BA226" s="17">
        <v>0</v>
      </c>
      <c r="BB226" s="17">
        <v>0</v>
      </c>
      <c r="BC226" s="17">
        <v>0</v>
      </c>
      <c r="BD226" s="17">
        <v>0</v>
      </c>
      <c r="BE226" s="17">
        <v>0</v>
      </c>
      <c r="BF226" s="17">
        <v>0</v>
      </c>
      <c r="BG226" s="17">
        <v>0</v>
      </c>
      <c r="BH226" s="17">
        <v>0</v>
      </c>
      <c r="BI226" s="22">
        <f t="shared" ref="BI226:BI227" si="55">SUM(M226+N226+P226+R226+T226+W226+Z226+AC226+AE226+AL226+AO226+AP226+AS226+AW226+AX226+BC226+BE226+BG226)</f>
        <v>0</v>
      </c>
      <c r="BJ226" s="22">
        <f t="shared" ref="BJ226:BJ227" si="56">SUM(H226:BG226)</f>
        <v>3</v>
      </c>
      <c r="BK226" s="22">
        <f t="shared" ref="BK226:BK227" si="57">SUM(H226+J226+K226+L226+O226+Q226+S226+U226+V226+X226+Y226+AA226+AB226+AD226+AF226+AG226+AH226+AI226+AJ226+AK226+AM226+AN226+AQ226+AR226+AT226+AU226+AV226+AY226+AZ226+BA226+BB226+BF226+BD226)</f>
        <v>0</v>
      </c>
      <c r="BL226" s="22">
        <f t="shared" ref="BL226:BM230" si="58">SUM(I226+M226+N226+P226+R226+T226+W226+Z226+AC226+AE226+AL226+AO226+AP226+AS226+AW226+AX226+BC226+BG226)</f>
        <v>3</v>
      </c>
      <c r="BM226" s="22">
        <f t="shared" si="58"/>
        <v>0</v>
      </c>
      <c r="BN226" s="23">
        <f t="shared" si="44"/>
        <v>1</v>
      </c>
      <c r="BO226" s="23" t="e">
        <f t="shared" si="44"/>
        <v>#DIV/0!</v>
      </c>
      <c r="BP226" s="7">
        <f>VLOOKUP(A226,[1]Sheet15!B:E,4,0)</f>
        <v>3</v>
      </c>
      <c r="BQ226" s="7">
        <f>VLOOKUP(A226,[1]Sheet15!B:E,3,0)</f>
        <v>0</v>
      </c>
    </row>
    <row r="227" spans="1:69" ht="22.5" customHeight="1" x14ac:dyDescent="0.25">
      <c r="A227" s="15" t="s">
        <v>602</v>
      </c>
      <c r="B227" s="15">
        <f>VLOOKUP(A227,'[1]Master clients'!F222:W3769,17,0)</f>
        <v>0</v>
      </c>
      <c r="C227" s="15" t="str">
        <f>VLOOKUP(A227,'[1]Master clients'!F222:P3769,11,0)</f>
        <v>SI-GS</v>
      </c>
      <c r="D227" s="15" t="str">
        <f>VLOOKUP(A227,'[1]Master clients'!F:M,8,0)</f>
        <v>End User</v>
      </c>
      <c r="E227" s="16" t="s">
        <v>603</v>
      </c>
      <c r="F227" s="16" t="s">
        <v>604</v>
      </c>
      <c r="G227" s="17"/>
      <c r="H227" s="17"/>
      <c r="I227" s="31">
        <v>0</v>
      </c>
      <c r="J227" s="31">
        <v>0</v>
      </c>
      <c r="K227" s="17">
        <v>0</v>
      </c>
      <c r="L227" s="17">
        <v>0</v>
      </c>
      <c r="M227" s="17">
        <v>0</v>
      </c>
      <c r="N227" s="17">
        <v>0</v>
      </c>
      <c r="O227" s="17">
        <v>0</v>
      </c>
      <c r="P227" s="17">
        <v>0</v>
      </c>
      <c r="Q227" s="17">
        <v>0</v>
      </c>
      <c r="R227" s="17">
        <v>0</v>
      </c>
      <c r="S227" s="17">
        <v>0</v>
      </c>
      <c r="T227" s="17">
        <v>0</v>
      </c>
      <c r="U227" s="17">
        <v>0</v>
      </c>
      <c r="V227" s="17">
        <v>0</v>
      </c>
      <c r="W227" s="17">
        <v>0</v>
      </c>
      <c r="X227" s="17">
        <v>0</v>
      </c>
      <c r="Y227" s="17">
        <v>0</v>
      </c>
      <c r="Z227" s="17">
        <v>0</v>
      </c>
      <c r="AA227" s="17">
        <v>0</v>
      </c>
      <c r="AB227" s="17">
        <v>0</v>
      </c>
      <c r="AC227" s="17">
        <v>0</v>
      </c>
      <c r="AD227" s="17">
        <v>0</v>
      </c>
      <c r="AE227" s="17">
        <v>0</v>
      </c>
      <c r="AF227" s="17">
        <v>0</v>
      </c>
      <c r="AG227" s="17">
        <v>0</v>
      </c>
      <c r="AH227" s="17">
        <v>0</v>
      </c>
      <c r="AI227" s="17">
        <v>0</v>
      </c>
      <c r="AJ227" s="17">
        <v>0</v>
      </c>
      <c r="AK227" s="17">
        <v>0</v>
      </c>
      <c r="AL227" s="17">
        <v>0</v>
      </c>
      <c r="AM227" s="17">
        <v>0</v>
      </c>
      <c r="AN227" s="17">
        <v>0</v>
      </c>
      <c r="AO227" s="17">
        <v>0</v>
      </c>
      <c r="AP227" s="17">
        <v>0</v>
      </c>
      <c r="AQ227" s="17">
        <v>0</v>
      </c>
      <c r="AR227" s="17">
        <v>0</v>
      </c>
      <c r="AS227" s="17">
        <v>0</v>
      </c>
      <c r="AT227" s="17">
        <v>0</v>
      </c>
      <c r="AU227" s="17">
        <v>0</v>
      </c>
      <c r="AV227" s="17">
        <v>0</v>
      </c>
      <c r="AW227" s="17">
        <v>0</v>
      </c>
      <c r="AX227" s="17">
        <v>0</v>
      </c>
      <c r="AY227" s="17">
        <v>0</v>
      </c>
      <c r="AZ227" s="17">
        <v>0</v>
      </c>
      <c r="BA227" s="17">
        <v>0</v>
      </c>
      <c r="BB227" s="17">
        <v>0</v>
      </c>
      <c r="BC227" s="17">
        <v>0</v>
      </c>
      <c r="BD227" s="17">
        <v>0</v>
      </c>
      <c r="BE227" s="17">
        <v>0</v>
      </c>
      <c r="BF227" s="17">
        <v>0</v>
      </c>
      <c r="BG227" s="17">
        <v>0</v>
      </c>
      <c r="BH227" s="17">
        <v>0</v>
      </c>
      <c r="BI227" s="22">
        <f t="shared" si="55"/>
        <v>0</v>
      </c>
      <c r="BJ227" s="22">
        <f t="shared" si="56"/>
        <v>0</v>
      </c>
      <c r="BK227" s="22">
        <f t="shared" si="57"/>
        <v>0</v>
      </c>
      <c r="BL227" s="22">
        <f t="shared" si="58"/>
        <v>0</v>
      </c>
      <c r="BM227" s="22">
        <f t="shared" si="58"/>
        <v>0</v>
      </c>
      <c r="BN227" s="23" t="e">
        <f t="shared" si="44"/>
        <v>#DIV/0!</v>
      </c>
      <c r="BO227" s="23" t="e">
        <f t="shared" si="44"/>
        <v>#DIV/0!</v>
      </c>
      <c r="BP227" s="7" t="e">
        <f>VLOOKUP(A227,[1]Sheet15!B:E,4,0)</f>
        <v>#N/A</v>
      </c>
      <c r="BQ227" s="7" t="e">
        <f>VLOOKUP(A227,[1]Sheet15!B:E,3,0)</f>
        <v>#N/A</v>
      </c>
    </row>
    <row r="228" spans="1:69" ht="22.5" customHeight="1" x14ac:dyDescent="0.25">
      <c r="A228" s="15" t="s">
        <v>605</v>
      </c>
      <c r="B228" s="15">
        <f>VLOOKUP(A228,'[1]Master clients'!F223:W3770,17,0)</f>
        <v>0</v>
      </c>
      <c r="C228" s="15" t="str">
        <f>VLOOKUP(A228,'[1]Master clients'!F223:P3770,11,0)</f>
        <v>SI-GS</v>
      </c>
      <c r="D228" s="15" t="str">
        <f>VLOOKUP(A228,'[1]Master clients'!F:M,8,0)</f>
        <v>End User</v>
      </c>
      <c r="E228" s="16" t="s">
        <v>606</v>
      </c>
      <c r="F228" s="16" t="s">
        <v>601</v>
      </c>
      <c r="G228" s="17"/>
      <c r="H228" s="17"/>
      <c r="I228" s="31">
        <v>20</v>
      </c>
      <c r="J228" s="31">
        <v>0</v>
      </c>
      <c r="K228" s="17">
        <v>0</v>
      </c>
      <c r="L228" s="17">
        <v>0</v>
      </c>
      <c r="M228" s="17">
        <v>0</v>
      </c>
      <c r="N228" s="17">
        <v>0</v>
      </c>
      <c r="O228" s="17">
        <v>0</v>
      </c>
      <c r="P228" s="17">
        <v>0</v>
      </c>
      <c r="Q228" s="17">
        <v>0</v>
      </c>
      <c r="R228" s="17">
        <v>0</v>
      </c>
      <c r="S228" s="17">
        <v>0</v>
      </c>
      <c r="T228" s="17">
        <v>0</v>
      </c>
      <c r="U228" s="17">
        <v>0</v>
      </c>
      <c r="V228" s="17">
        <v>0</v>
      </c>
      <c r="W228" s="17">
        <v>0</v>
      </c>
      <c r="X228" s="17">
        <v>0</v>
      </c>
      <c r="Y228" s="17">
        <v>0</v>
      </c>
      <c r="Z228" s="17">
        <v>0</v>
      </c>
      <c r="AA228" s="17">
        <v>0</v>
      </c>
      <c r="AB228" s="17">
        <v>0</v>
      </c>
      <c r="AC228" s="17">
        <v>0</v>
      </c>
      <c r="AD228" s="17">
        <v>0</v>
      </c>
      <c r="AE228" s="17">
        <v>0</v>
      </c>
      <c r="AF228" s="17">
        <v>0</v>
      </c>
      <c r="AG228" s="17">
        <v>0</v>
      </c>
      <c r="AH228" s="17">
        <v>0</v>
      </c>
      <c r="AI228" s="17">
        <v>0</v>
      </c>
      <c r="AJ228" s="17">
        <v>0</v>
      </c>
      <c r="AK228" s="17">
        <v>0</v>
      </c>
      <c r="AL228" s="17">
        <v>0</v>
      </c>
      <c r="AM228" s="17">
        <v>0</v>
      </c>
      <c r="AN228" s="17">
        <v>0</v>
      </c>
      <c r="AO228" s="17">
        <v>0</v>
      </c>
      <c r="AP228" s="17">
        <v>0</v>
      </c>
      <c r="AQ228" s="17">
        <v>0</v>
      </c>
      <c r="AR228" s="17">
        <v>0</v>
      </c>
      <c r="AS228" s="17">
        <v>0</v>
      </c>
      <c r="AT228" s="17">
        <v>0</v>
      </c>
      <c r="AU228" s="17">
        <v>0</v>
      </c>
      <c r="AV228" s="17">
        <v>0</v>
      </c>
      <c r="AW228" s="17">
        <v>0</v>
      </c>
      <c r="AX228" s="17">
        <v>0</v>
      </c>
      <c r="AY228" s="17">
        <v>0</v>
      </c>
      <c r="AZ228" s="17">
        <v>0</v>
      </c>
      <c r="BA228" s="17">
        <v>0</v>
      </c>
      <c r="BB228" s="17">
        <v>0</v>
      </c>
      <c r="BC228" s="17">
        <v>0</v>
      </c>
      <c r="BD228" s="17">
        <v>0</v>
      </c>
      <c r="BE228" s="17">
        <v>0</v>
      </c>
      <c r="BF228" s="17">
        <v>0</v>
      </c>
      <c r="BG228" s="17">
        <v>0</v>
      </c>
      <c r="BH228" s="17">
        <v>0</v>
      </c>
      <c r="BI228" s="22">
        <f t="shared" ref="BI228:BI230" si="59">SUM(K228+L228+M228+P228+R228+T228+V228+W228+Y228+Z228+AB228+AC228+AE228+AG228+AH228+AI228+AJ228+AK228+AL228+AN228+AO228+AR228+AS228+AU228+AV228+AW228+AZ228+BA228+BB228+BC228+BE228+BG228)</f>
        <v>0</v>
      </c>
      <c r="BJ228" s="22">
        <f t="shared" ref="BJ228:BJ230" si="60">SUM(N228+O228+Q228+S228+U228+X228+AA228+AD228+AF228+AM228+AP228+AQ228+AT228+AX228+AY228+BD228+BF228+BH228)</f>
        <v>0</v>
      </c>
      <c r="BK228" s="22">
        <f t="shared" ref="BK228:BK230" si="61">SUM(I228:BH228)</f>
        <v>20</v>
      </c>
      <c r="BL228" s="22">
        <f t="shared" ref="BL228:BL230" si="62">SUM(I228+K228+L228+M228+P228+R228+T228+V228+W228+Y228+Z228+AB228+AC228+AE228+AG228+AH228+AI228+AJ228+AK228+AL228+AN228+AO228+AR228+AS228+AU228+AV228+AW228+AZ228+BA228+BB228+BC228+BG228+BE228)</f>
        <v>20</v>
      </c>
      <c r="BM228" s="22">
        <f t="shared" si="58"/>
        <v>0</v>
      </c>
      <c r="BN228" s="23">
        <f t="shared" si="44"/>
        <v>1</v>
      </c>
      <c r="BO228" s="23" t="e">
        <f t="shared" si="44"/>
        <v>#DIV/0!</v>
      </c>
      <c r="BP228" s="7">
        <f>VLOOKUP(A228,[1]Sheet15!B:E,4,0)</f>
        <v>20</v>
      </c>
      <c r="BQ228" s="7">
        <f>VLOOKUP(A228,[1]Sheet15!B:E,3,0)</f>
        <v>0</v>
      </c>
    </row>
    <row r="229" spans="1:69" ht="22.5" customHeight="1" x14ac:dyDescent="0.25">
      <c r="A229" s="15" t="s">
        <v>607</v>
      </c>
      <c r="B229" s="15">
        <f>VLOOKUP(A229,'[1]Master clients'!F224:W3771,17,0)</f>
        <v>0</v>
      </c>
      <c r="C229" s="15" t="str">
        <f>VLOOKUP(A229,'[1]Master clients'!F224:P3771,11,0)</f>
        <v>SI-GS</v>
      </c>
      <c r="D229" s="15" t="str">
        <f>VLOOKUP(A229,'[1]Master clients'!F:M,8,0)</f>
        <v>End User</v>
      </c>
      <c r="E229" s="16" t="s">
        <v>608</v>
      </c>
      <c r="F229" s="16" t="s">
        <v>609</v>
      </c>
      <c r="G229" s="17"/>
      <c r="H229" s="17"/>
      <c r="I229" s="31">
        <v>4</v>
      </c>
      <c r="J229" s="31">
        <v>0</v>
      </c>
      <c r="K229" s="17">
        <v>0</v>
      </c>
      <c r="L229" s="17">
        <v>0</v>
      </c>
      <c r="M229" s="17">
        <v>0</v>
      </c>
      <c r="N229" s="17">
        <v>0</v>
      </c>
      <c r="O229" s="17">
        <v>0</v>
      </c>
      <c r="P229" s="17">
        <v>0</v>
      </c>
      <c r="Q229" s="17">
        <v>0</v>
      </c>
      <c r="R229" s="17">
        <v>0</v>
      </c>
      <c r="S229" s="17">
        <v>0</v>
      </c>
      <c r="T229" s="17">
        <v>0</v>
      </c>
      <c r="U229" s="17">
        <v>0</v>
      </c>
      <c r="V229" s="17">
        <v>0</v>
      </c>
      <c r="W229" s="17">
        <v>0</v>
      </c>
      <c r="X229" s="17">
        <v>0</v>
      </c>
      <c r="Y229" s="17">
        <v>0</v>
      </c>
      <c r="Z229" s="17">
        <v>0</v>
      </c>
      <c r="AA229" s="17">
        <v>0</v>
      </c>
      <c r="AB229" s="17">
        <v>0</v>
      </c>
      <c r="AC229" s="17">
        <v>0</v>
      </c>
      <c r="AD229" s="17">
        <v>0</v>
      </c>
      <c r="AE229" s="17">
        <v>0</v>
      </c>
      <c r="AF229" s="17">
        <v>0</v>
      </c>
      <c r="AG229" s="17">
        <v>0</v>
      </c>
      <c r="AH229" s="17">
        <v>0</v>
      </c>
      <c r="AI229" s="17">
        <v>0</v>
      </c>
      <c r="AJ229" s="17">
        <v>0</v>
      </c>
      <c r="AK229" s="17">
        <v>0</v>
      </c>
      <c r="AL229" s="17">
        <v>0</v>
      </c>
      <c r="AM229" s="17">
        <v>0</v>
      </c>
      <c r="AN229" s="17">
        <v>0</v>
      </c>
      <c r="AO229" s="17">
        <v>0</v>
      </c>
      <c r="AP229" s="17">
        <v>0</v>
      </c>
      <c r="AQ229" s="17">
        <v>0</v>
      </c>
      <c r="AR229" s="17">
        <v>0</v>
      </c>
      <c r="AS229" s="17">
        <v>0</v>
      </c>
      <c r="AT229" s="17">
        <v>0</v>
      </c>
      <c r="AU229" s="17">
        <v>0</v>
      </c>
      <c r="AV229" s="17">
        <v>0</v>
      </c>
      <c r="AW229" s="17">
        <v>0</v>
      </c>
      <c r="AX229" s="17">
        <v>0</v>
      </c>
      <c r="AY229" s="17">
        <v>0</v>
      </c>
      <c r="AZ229" s="17">
        <v>0</v>
      </c>
      <c r="BA229" s="17">
        <v>0</v>
      </c>
      <c r="BB229" s="17">
        <v>0</v>
      </c>
      <c r="BC229" s="17">
        <v>0</v>
      </c>
      <c r="BD229" s="17">
        <v>0</v>
      </c>
      <c r="BE229" s="17">
        <v>0</v>
      </c>
      <c r="BF229" s="17">
        <v>0</v>
      </c>
      <c r="BG229" s="17">
        <v>0</v>
      </c>
      <c r="BH229" s="17">
        <v>0</v>
      </c>
      <c r="BI229" s="22">
        <f t="shared" si="59"/>
        <v>0</v>
      </c>
      <c r="BJ229" s="22">
        <f t="shared" si="60"/>
        <v>0</v>
      </c>
      <c r="BK229" s="22">
        <f t="shared" si="61"/>
        <v>4</v>
      </c>
      <c r="BL229" s="22">
        <f t="shared" si="62"/>
        <v>4</v>
      </c>
      <c r="BM229" s="22">
        <f t="shared" si="58"/>
        <v>0</v>
      </c>
      <c r="BN229" s="23">
        <f t="shared" ref="BN229:BO244" si="63">I229/BL229</f>
        <v>1</v>
      </c>
      <c r="BO229" s="23" t="e">
        <f t="shared" si="63"/>
        <v>#DIV/0!</v>
      </c>
      <c r="BP229" s="7">
        <f>VLOOKUP(A229,[1]Sheet15!B:E,4,0)</f>
        <v>4</v>
      </c>
      <c r="BQ229" s="7">
        <f>VLOOKUP(A229,[1]Sheet15!B:E,3,0)</f>
        <v>0</v>
      </c>
    </row>
    <row r="230" spans="1:69" ht="22.5" customHeight="1" x14ac:dyDescent="0.25">
      <c r="A230" s="15" t="s">
        <v>610</v>
      </c>
      <c r="B230" s="15">
        <f>VLOOKUP(A230,'[1]Master clients'!F225:W3772,17,0)</f>
        <v>0</v>
      </c>
      <c r="C230" s="15" t="str">
        <f>VLOOKUP(A230,'[1]Master clients'!F225:P3772,11,0)</f>
        <v>NI</v>
      </c>
      <c r="D230" s="15" t="str">
        <f>VLOOKUP(A230,'[1]Master clients'!F:M,8,0)</f>
        <v>End User</v>
      </c>
      <c r="E230" s="16" t="s">
        <v>611</v>
      </c>
      <c r="F230" s="16" t="s">
        <v>612</v>
      </c>
      <c r="G230" s="17"/>
      <c r="H230" s="17"/>
      <c r="I230" s="31">
        <v>0</v>
      </c>
      <c r="J230" s="31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  <c r="AE230" s="17">
        <v>0</v>
      </c>
      <c r="AF230" s="17">
        <v>0</v>
      </c>
      <c r="AG230" s="17">
        <v>0</v>
      </c>
      <c r="AH230" s="17">
        <v>0</v>
      </c>
      <c r="AI230" s="17">
        <v>0</v>
      </c>
      <c r="AJ230" s="17">
        <v>0</v>
      </c>
      <c r="AK230" s="17">
        <v>0</v>
      </c>
      <c r="AL230" s="17">
        <v>0</v>
      </c>
      <c r="AM230" s="17">
        <v>0</v>
      </c>
      <c r="AN230" s="17">
        <v>0</v>
      </c>
      <c r="AO230" s="17">
        <v>0</v>
      </c>
      <c r="AP230" s="17">
        <v>0</v>
      </c>
      <c r="AQ230" s="17">
        <v>0</v>
      </c>
      <c r="AR230" s="17">
        <v>0</v>
      </c>
      <c r="AS230" s="17">
        <v>0</v>
      </c>
      <c r="AT230" s="17">
        <v>0</v>
      </c>
      <c r="AU230" s="17">
        <v>0</v>
      </c>
      <c r="AV230" s="17">
        <v>0</v>
      </c>
      <c r="AW230" s="17">
        <v>0</v>
      </c>
      <c r="AX230" s="17">
        <v>0</v>
      </c>
      <c r="AY230" s="17">
        <v>0</v>
      </c>
      <c r="AZ230" s="17">
        <v>0</v>
      </c>
      <c r="BA230" s="17">
        <v>0</v>
      </c>
      <c r="BB230" s="17">
        <v>0</v>
      </c>
      <c r="BC230" s="17">
        <v>0</v>
      </c>
      <c r="BD230" s="17">
        <v>0</v>
      </c>
      <c r="BE230" s="17">
        <v>0</v>
      </c>
      <c r="BF230" s="17">
        <v>0</v>
      </c>
      <c r="BG230" s="17">
        <v>0</v>
      </c>
      <c r="BH230" s="17">
        <v>0</v>
      </c>
      <c r="BI230" s="22">
        <f t="shared" si="59"/>
        <v>0</v>
      </c>
      <c r="BJ230" s="22">
        <f t="shared" si="60"/>
        <v>0</v>
      </c>
      <c r="BK230" s="22">
        <f t="shared" si="61"/>
        <v>0</v>
      </c>
      <c r="BL230" s="22">
        <f t="shared" si="62"/>
        <v>0</v>
      </c>
      <c r="BM230" s="22">
        <f t="shared" si="58"/>
        <v>0</v>
      </c>
      <c r="BN230" s="23" t="e">
        <f t="shared" si="63"/>
        <v>#DIV/0!</v>
      </c>
      <c r="BO230" s="23" t="e">
        <f t="shared" si="63"/>
        <v>#DIV/0!</v>
      </c>
      <c r="BP230" s="7" t="e">
        <f>VLOOKUP(A230,[1]Sheet15!B:E,4,0)</f>
        <v>#N/A</v>
      </c>
      <c r="BQ230" s="7" t="e">
        <f>VLOOKUP(A230,[1]Sheet15!B:E,3,0)</f>
        <v>#N/A</v>
      </c>
    </row>
    <row r="231" spans="1:69" ht="22.5" customHeight="1" x14ac:dyDescent="0.25">
      <c r="A231" s="15" t="s">
        <v>613</v>
      </c>
      <c r="B231" s="15">
        <f>VLOOKUP(A231,'[1]Master clients'!F226:W3773,17,0)</f>
        <v>0</v>
      </c>
      <c r="C231" s="15" t="str">
        <f>VLOOKUP(A231,'[1]Master clients'!F226:P3773,11,0)</f>
        <v>SI-GS</v>
      </c>
      <c r="D231" s="15" t="str">
        <f>VLOOKUP(A231,'[1]Master clients'!F:M,8,0)</f>
        <v>Group (Mills)</v>
      </c>
      <c r="E231" s="16" t="s">
        <v>614</v>
      </c>
      <c r="F231" s="16" t="s">
        <v>615</v>
      </c>
      <c r="G231" s="17"/>
      <c r="H231" s="17"/>
      <c r="I231" s="31">
        <v>9</v>
      </c>
      <c r="J231" s="31">
        <v>0</v>
      </c>
      <c r="K231" s="17">
        <v>0</v>
      </c>
      <c r="L231" s="17">
        <v>0</v>
      </c>
      <c r="M231" s="17">
        <v>0</v>
      </c>
      <c r="N231" s="17">
        <v>0</v>
      </c>
      <c r="O231" s="17">
        <v>0</v>
      </c>
      <c r="P231" s="17">
        <v>0</v>
      </c>
      <c r="Q231" s="17">
        <v>0</v>
      </c>
      <c r="R231" s="17">
        <v>0</v>
      </c>
      <c r="S231" s="17">
        <v>0</v>
      </c>
      <c r="T231" s="17">
        <v>0</v>
      </c>
      <c r="U231" s="17">
        <v>0</v>
      </c>
      <c r="V231" s="17">
        <v>0</v>
      </c>
      <c r="W231" s="17">
        <v>0</v>
      </c>
      <c r="X231" s="17">
        <v>0</v>
      </c>
      <c r="Y231" s="17">
        <v>0</v>
      </c>
      <c r="Z231" s="17">
        <v>0</v>
      </c>
      <c r="AA231" s="17">
        <v>0</v>
      </c>
      <c r="AB231" s="17">
        <v>0</v>
      </c>
      <c r="AC231" s="17">
        <v>0</v>
      </c>
      <c r="AD231" s="17">
        <v>0</v>
      </c>
      <c r="AE231" s="17">
        <v>0</v>
      </c>
      <c r="AF231" s="17">
        <v>0</v>
      </c>
      <c r="AG231" s="17">
        <v>0</v>
      </c>
      <c r="AH231" s="17">
        <v>0</v>
      </c>
      <c r="AI231" s="17">
        <v>0</v>
      </c>
      <c r="AJ231" s="17">
        <v>0</v>
      </c>
      <c r="AK231" s="17">
        <v>0</v>
      </c>
      <c r="AL231" s="17">
        <v>0</v>
      </c>
      <c r="AM231" s="17">
        <v>0</v>
      </c>
      <c r="AN231" s="17">
        <v>0</v>
      </c>
      <c r="AO231" s="17">
        <v>0</v>
      </c>
      <c r="AP231" s="17">
        <v>0</v>
      </c>
      <c r="AQ231" s="17">
        <v>0</v>
      </c>
      <c r="AR231" s="17">
        <v>0</v>
      </c>
      <c r="AS231" s="17">
        <v>0</v>
      </c>
      <c r="AT231" s="17">
        <v>0</v>
      </c>
      <c r="AU231" s="17">
        <v>0</v>
      </c>
      <c r="AV231" s="17">
        <v>0</v>
      </c>
      <c r="AW231" s="17">
        <v>0</v>
      </c>
      <c r="AX231" s="17">
        <v>0</v>
      </c>
      <c r="AY231" s="17">
        <v>0</v>
      </c>
      <c r="AZ231" s="17">
        <v>0</v>
      </c>
      <c r="BA231" s="17">
        <v>0</v>
      </c>
      <c r="BB231" s="17">
        <v>0</v>
      </c>
      <c r="BC231" s="17">
        <v>0</v>
      </c>
      <c r="BD231" s="17">
        <v>0</v>
      </c>
      <c r="BE231" s="17">
        <v>0</v>
      </c>
      <c r="BF231" s="17">
        <v>0</v>
      </c>
      <c r="BG231" s="17">
        <v>0</v>
      </c>
      <c r="BH231" s="17">
        <v>0</v>
      </c>
      <c r="BI231" s="22">
        <f>SUM(M231+N231+P231+R231+T231+W231+Z231+AC231+AE231+AL231+AO231+AP231+AS231+AW231+AX231+BC231+BE231+BG231)</f>
        <v>0</v>
      </c>
      <c r="BJ231" s="22">
        <f>SUM(H231:BG231)</f>
        <v>9</v>
      </c>
      <c r="BK231" s="22">
        <f>SUM(H231+J231+K231+L231+O231+Q231+S231+U231+V231+X231+Y231+AA231+AB231+AD231+AF231+AG231+AH231+AI231+AJ231+AK231+AM231+AN231+AQ231+AR231+AT231+AU231+AV231+AY231+AZ231+BA231+BB231+BF231+BD231)</f>
        <v>0</v>
      </c>
      <c r="BL231" s="22">
        <f t="shared" ref="BL231:BM246" si="64">SUM(I231+M231+N231+P231+R231+T231+W231+Z231+AC231+AE231+AL231+AO231+AP231+AS231+AW231+AX231+BC231+BG231)</f>
        <v>9</v>
      </c>
      <c r="BM231" s="22">
        <f t="shared" si="64"/>
        <v>0</v>
      </c>
      <c r="BN231" s="23">
        <f t="shared" si="63"/>
        <v>1</v>
      </c>
      <c r="BO231" s="23" t="e">
        <f t="shared" si="63"/>
        <v>#DIV/0!</v>
      </c>
      <c r="BP231" s="7">
        <f>VLOOKUP(A231,[1]Sheet15!B:E,4,0)</f>
        <v>9</v>
      </c>
      <c r="BQ231" s="7">
        <f>VLOOKUP(A231,[1]Sheet15!B:E,3,0)</f>
        <v>0</v>
      </c>
    </row>
    <row r="232" spans="1:69" ht="22.5" customHeight="1" x14ac:dyDescent="0.25">
      <c r="A232" s="15" t="s">
        <v>616</v>
      </c>
      <c r="B232" s="15">
        <f>VLOOKUP(A232,'[1]Master clients'!F227:W3774,17,0)</f>
        <v>0</v>
      </c>
      <c r="C232" s="15" t="str">
        <f>VLOOKUP(A232,'[1]Master clients'!F227:P3774,11,0)</f>
        <v>SI-GS</v>
      </c>
      <c r="D232" s="15" t="str">
        <f>VLOOKUP(A232,'[1]Master clients'!F:M,8,0)</f>
        <v>End User</v>
      </c>
      <c r="E232" s="16" t="s">
        <v>617</v>
      </c>
      <c r="F232" s="16" t="s">
        <v>615</v>
      </c>
      <c r="G232" s="17"/>
      <c r="H232" s="17"/>
      <c r="I232" s="31">
        <v>4</v>
      </c>
      <c r="J232" s="31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  <c r="AE232" s="17">
        <v>0</v>
      </c>
      <c r="AF232" s="17">
        <v>0</v>
      </c>
      <c r="AG232" s="17">
        <v>0</v>
      </c>
      <c r="AH232" s="17">
        <v>0</v>
      </c>
      <c r="AI232" s="17">
        <v>0</v>
      </c>
      <c r="AJ232" s="17">
        <v>0</v>
      </c>
      <c r="AK232" s="17">
        <v>0</v>
      </c>
      <c r="AL232" s="17">
        <v>0</v>
      </c>
      <c r="AM232" s="17">
        <v>0</v>
      </c>
      <c r="AN232" s="17">
        <v>0</v>
      </c>
      <c r="AO232" s="17">
        <v>0</v>
      </c>
      <c r="AP232" s="17">
        <v>0</v>
      </c>
      <c r="AQ232" s="17">
        <v>0</v>
      </c>
      <c r="AR232" s="17">
        <v>0</v>
      </c>
      <c r="AS232" s="17">
        <v>0</v>
      </c>
      <c r="AT232" s="17">
        <v>0</v>
      </c>
      <c r="AU232" s="17">
        <v>0</v>
      </c>
      <c r="AV232" s="17">
        <v>0</v>
      </c>
      <c r="AW232" s="17">
        <v>0</v>
      </c>
      <c r="AX232" s="17">
        <v>0</v>
      </c>
      <c r="AY232" s="17">
        <v>0</v>
      </c>
      <c r="AZ232" s="17">
        <v>0</v>
      </c>
      <c r="BA232" s="17">
        <v>0</v>
      </c>
      <c r="BB232" s="17">
        <v>0</v>
      </c>
      <c r="BC232" s="17">
        <v>0</v>
      </c>
      <c r="BD232" s="17">
        <v>0</v>
      </c>
      <c r="BE232" s="17">
        <v>0</v>
      </c>
      <c r="BF232" s="17">
        <v>0</v>
      </c>
      <c r="BG232" s="17">
        <v>0</v>
      </c>
      <c r="BH232" s="17">
        <v>0</v>
      </c>
      <c r="BI232" s="22">
        <f t="shared" ref="BI232:BI259" si="65">SUM(K232+L232+M232+P232+R232+T232+V232+W232+Y232+Z232+AB232+AC232+AE232+AG232+AH232+AI232+AJ232+AK232+AL232+AN232+AO232+AR232+AS232+AU232+AV232+AW232+AZ232+BA232+BB232+BC232+BE232+BG232)</f>
        <v>0</v>
      </c>
      <c r="BJ232" s="22">
        <f t="shared" ref="BJ232:BJ259" si="66">SUM(N232+O232+Q232+S232+U232+X232+AA232+AD232+AF232+AM232+AP232+AQ232+AT232+AX232+AY232+BD232+BF232+BH232)</f>
        <v>0</v>
      </c>
      <c r="BK232" s="22">
        <f t="shared" ref="BK232:BK259" si="67">SUM(I232:BH232)</f>
        <v>4</v>
      </c>
      <c r="BL232" s="22">
        <f>SUM(I232+K232+L232+M232+P232+R232+T232+V232+W232+Y232+Z232+AB232+AC232+AE232+AG232+AH232+AI232+AJ232+AK232+AL232+AN232+AO232+AR232+AS232+AU232+AV232+AW232+AZ232+BA232+BB232+BC232+BG232)</f>
        <v>4</v>
      </c>
      <c r="BM232" s="22">
        <f t="shared" si="64"/>
        <v>0</v>
      </c>
      <c r="BN232" s="23">
        <f t="shared" si="63"/>
        <v>1</v>
      </c>
      <c r="BO232" s="23" t="e">
        <f t="shared" si="63"/>
        <v>#DIV/0!</v>
      </c>
      <c r="BP232" s="7">
        <f>VLOOKUP(A232,[1]Sheet15!B:E,4,0)</f>
        <v>4</v>
      </c>
      <c r="BQ232" s="7">
        <f>VLOOKUP(A232,[1]Sheet15!B:E,3,0)</f>
        <v>0</v>
      </c>
    </row>
    <row r="233" spans="1:69" ht="22.5" customHeight="1" x14ac:dyDescent="0.25">
      <c r="A233" s="15" t="s">
        <v>618</v>
      </c>
      <c r="B233" s="15" t="str">
        <f>VLOOKUP(A233,'[1]Master clients'!F228:W3775,17,0)</f>
        <v>May</v>
      </c>
      <c r="C233" s="15" t="str">
        <f>VLOOKUP(A233,'[1]Master clients'!F228:P3775,11,0)</f>
        <v>NI</v>
      </c>
      <c r="D233" s="15" t="str">
        <f>VLOOKUP(A233,'[1]Master clients'!F:M,8,0)</f>
        <v>End User</v>
      </c>
      <c r="E233" s="16" t="s">
        <v>619</v>
      </c>
      <c r="F233" s="16" t="s">
        <v>620</v>
      </c>
      <c r="G233" s="17"/>
      <c r="H233" s="17"/>
      <c r="I233" s="31">
        <v>0</v>
      </c>
      <c r="J233" s="31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  <c r="AE233" s="17">
        <v>0</v>
      </c>
      <c r="AF233" s="17">
        <v>0</v>
      </c>
      <c r="AG233" s="17">
        <v>0</v>
      </c>
      <c r="AH233" s="17">
        <v>0</v>
      </c>
      <c r="AI233" s="17">
        <v>0</v>
      </c>
      <c r="AJ233" s="17">
        <v>0</v>
      </c>
      <c r="AK233" s="17">
        <v>0</v>
      </c>
      <c r="AL233" s="17">
        <v>0</v>
      </c>
      <c r="AM233" s="17">
        <v>0</v>
      </c>
      <c r="AN233" s="17">
        <v>0</v>
      </c>
      <c r="AO233" s="17">
        <v>0</v>
      </c>
      <c r="AP233" s="17">
        <v>0</v>
      </c>
      <c r="AQ233" s="17">
        <v>0</v>
      </c>
      <c r="AR233" s="17">
        <v>0</v>
      </c>
      <c r="AS233" s="17">
        <v>0</v>
      </c>
      <c r="AT233" s="17">
        <v>0</v>
      </c>
      <c r="AU233" s="17">
        <v>0</v>
      </c>
      <c r="AV233" s="17">
        <v>0</v>
      </c>
      <c r="AW233" s="17">
        <v>0</v>
      </c>
      <c r="AX233" s="17">
        <v>0</v>
      </c>
      <c r="AY233" s="17">
        <v>0</v>
      </c>
      <c r="AZ233" s="17">
        <v>0</v>
      </c>
      <c r="BA233" s="17">
        <v>0</v>
      </c>
      <c r="BB233" s="17">
        <v>0</v>
      </c>
      <c r="BC233" s="17">
        <v>0</v>
      </c>
      <c r="BD233" s="17">
        <v>0</v>
      </c>
      <c r="BE233" s="17">
        <v>0</v>
      </c>
      <c r="BF233" s="17">
        <v>0</v>
      </c>
      <c r="BG233" s="17">
        <v>0</v>
      </c>
      <c r="BH233" s="17">
        <v>0</v>
      </c>
      <c r="BI233" s="22">
        <f t="shared" si="65"/>
        <v>0</v>
      </c>
      <c r="BJ233" s="22">
        <f t="shared" si="66"/>
        <v>0</v>
      </c>
      <c r="BK233" s="22">
        <f t="shared" si="67"/>
        <v>0</v>
      </c>
      <c r="BL233" s="22">
        <f t="shared" ref="BL233:BL259" si="68">SUM(I233+K233+L233+M233+P233+R233+T233+V233+W233+Y233+Z233+AB233+AC233+AE233+AG233+AH233+AI233+AJ233+AK233+AL233+AN233+AO233+AR233+AS233+AU233+AV233+AW233+AZ233+BA233+BB233+BC233+BG233+BE233)</f>
        <v>0</v>
      </c>
      <c r="BM233" s="22">
        <f t="shared" si="64"/>
        <v>0</v>
      </c>
      <c r="BN233" s="23" t="e">
        <f t="shared" si="63"/>
        <v>#DIV/0!</v>
      </c>
      <c r="BO233" s="23" t="e">
        <f t="shared" si="63"/>
        <v>#DIV/0!</v>
      </c>
      <c r="BP233" s="7" t="e">
        <f>VLOOKUP(A233,[1]Sheet15!B:E,4,0)</f>
        <v>#N/A</v>
      </c>
      <c r="BQ233" s="7" t="e">
        <f>VLOOKUP(A233,[1]Sheet15!B:E,3,0)</f>
        <v>#N/A</v>
      </c>
    </row>
    <row r="234" spans="1:69" ht="22.5" customHeight="1" x14ac:dyDescent="0.25">
      <c r="A234" s="15" t="s">
        <v>621</v>
      </c>
      <c r="B234" s="15" t="e">
        <f>VLOOKUP(A234,'[1]Master clients'!F229:W3776,17,0)</f>
        <v>#N/A</v>
      </c>
      <c r="C234" s="15" t="e">
        <f>VLOOKUP(A234,'[1]Master clients'!F229:P3776,11,0)</f>
        <v>#N/A</v>
      </c>
      <c r="D234" s="15" t="str">
        <f>VLOOKUP(A234,'[1]Master clients'!F:M,8,0)</f>
        <v>End User</v>
      </c>
      <c r="E234" s="16" t="s">
        <v>622</v>
      </c>
      <c r="F234" s="16" t="s">
        <v>623</v>
      </c>
      <c r="G234" s="17">
        <v>14</v>
      </c>
      <c r="H234" s="17">
        <v>4</v>
      </c>
      <c r="I234" s="18">
        <v>4</v>
      </c>
      <c r="J234" s="18">
        <v>2</v>
      </c>
      <c r="K234" s="17">
        <v>18</v>
      </c>
      <c r="L234" s="17">
        <v>0</v>
      </c>
      <c r="M234" s="17">
        <v>0</v>
      </c>
      <c r="N234" s="17">
        <v>0</v>
      </c>
      <c r="O234" s="19">
        <v>0</v>
      </c>
      <c r="P234" s="19">
        <v>1</v>
      </c>
      <c r="Q234" s="19">
        <v>10</v>
      </c>
      <c r="R234" s="19">
        <v>2</v>
      </c>
      <c r="S234" s="19">
        <v>0</v>
      </c>
      <c r="T234" s="19">
        <v>0</v>
      </c>
      <c r="U234" s="19">
        <v>0</v>
      </c>
      <c r="V234" s="19">
        <v>0</v>
      </c>
      <c r="W234" s="20">
        <v>0</v>
      </c>
      <c r="X234" s="20">
        <v>0</v>
      </c>
      <c r="Y234" s="19">
        <v>0</v>
      </c>
      <c r="Z234" s="19">
        <v>0</v>
      </c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>
        <v>0</v>
      </c>
      <c r="AI234" s="20">
        <v>0</v>
      </c>
      <c r="AJ234" s="20">
        <v>0</v>
      </c>
      <c r="AK234" s="19">
        <v>0</v>
      </c>
      <c r="AL234" s="20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>
        <v>0</v>
      </c>
      <c r="AS234" s="19">
        <v>0</v>
      </c>
      <c r="AT234" s="19">
        <v>0</v>
      </c>
      <c r="AU234" s="19">
        <v>0</v>
      </c>
      <c r="AV234" s="19">
        <v>0</v>
      </c>
      <c r="AW234" s="20">
        <v>0</v>
      </c>
      <c r="AX234" s="20">
        <v>0</v>
      </c>
      <c r="AY234" s="20">
        <v>0</v>
      </c>
      <c r="AZ234" s="19">
        <v>0</v>
      </c>
      <c r="BA234" s="19">
        <v>0</v>
      </c>
      <c r="BB234" s="19">
        <v>0</v>
      </c>
      <c r="BC234" s="19">
        <v>0</v>
      </c>
      <c r="BD234" s="19">
        <v>0</v>
      </c>
      <c r="BE234" s="21">
        <v>0</v>
      </c>
      <c r="BF234" s="21">
        <v>0</v>
      </c>
      <c r="BG234" s="19">
        <v>0</v>
      </c>
      <c r="BH234" s="19">
        <v>0</v>
      </c>
      <c r="BI234" s="22">
        <f t="shared" si="65"/>
        <v>21</v>
      </c>
      <c r="BJ234" s="22">
        <f t="shared" si="66"/>
        <v>10</v>
      </c>
      <c r="BK234" s="22">
        <f t="shared" si="67"/>
        <v>37</v>
      </c>
      <c r="BL234" s="22">
        <f t="shared" si="68"/>
        <v>25</v>
      </c>
      <c r="BM234" s="22">
        <f t="shared" si="64"/>
        <v>12</v>
      </c>
      <c r="BN234" s="23">
        <f t="shared" si="63"/>
        <v>0.16</v>
      </c>
      <c r="BO234" s="23">
        <f t="shared" si="63"/>
        <v>0.16666666666666666</v>
      </c>
      <c r="BP234" s="7">
        <f>VLOOKUP(A234,[1]Sheet15!B:E,4,0)</f>
        <v>1</v>
      </c>
      <c r="BQ234" s="7">
        <f>VLOOKUP(A234,[1]Sheet15!B:E,3,0)</f>
        <v>0</v>
      </c>
    </row>
    <row r="235" spans="1:69" ht="22.5" customHeight="1" x14ac:dyDescent="0.25">
      <c r="A235" s="15" t="s">
        <v>624</v>
      </c>
      <c r="B235" s="15" t="str">
        <f>VLOOKUP(A235,'[1]Master clients'!F230:W3777,17,0)</f>
        <v>May</v>
      </c>
      <c r="C235" s="15" t="str">
        <f>VLOOKUP(A235,'[1]Master clients'!F230:P3777,11,0)</f>
        <v>MRK</v>
      </c>
      <c r="D235" s="15" t="str">
        <f>VLOOKUP(A235,'[1]Master clients'!F:M,8,0)</f>
        <v>Group (Mills)</v>
      </c>
      <c r="E235" s="16" t="s">
        <v>625</v>
      </c>
      <c r="F235" s="16" t="s">
        <v>626</v>
      </c>
      <c r="G235" s="17">
        <v>0</v>
      </c>
      <c r="H235" s="17">
        <v>0</v>
      </c>
      <c r="I235" s="18">
        <v>8</v>
      </c>
      <c r="J235" s="18">
        <v>0</v>
      </c>
      <c r="K235" s="17">
        <v>2</v>
      </c>
      <c r="L235" s="17">
        <v>0</v>
      </c>
      <c r="M235" s="17">
        <v>0</v>
      </c>
      <c r="N235" s="17">
        <v>0</v>
      </c>
      <c r="O235" s="19">
        <v>0</v>
      </c>
      <c r="P235" s="19">
        <v>0</v>
      </c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20">
        <v>0</v>
      </c>
      <c r="X235" s="20">
        <v>0</v>
      </c>
      <c r="Y235" s="19">
        <v>0</v>
      </c>
      <c r="Z235" s="19">
        <v>0</v>
      </c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>
        <v>0</v>
      </c>
      <c r="AI235" s="20">
        <v>0</v>
      </c>
      <c r="AJ235" s="20">
        <v>0</v>
      </c>
      <c r="AK235" s="19">
        <v>0</v>
      </c>
      <c r="AL235" s="20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>
        <v>0</v>
      </c>
      <c r="AS235" s="19">
        <v>0</v>
      </c>
      <c r="AT235" s="19">
        <v>0</v>
      </c>
      <c r="AU235" s="19">
        <v>0</v>
      </c>
      <c r="AV235" s="19">
        <v>0</v>
      </c>
      <c r="AW235" s="20">
        <v>0</v>
      </c>
      <c r="AX235" s="20">
        <v>0</v>
      </c>
      <c r="AY235" s="20">
        <v>0</v>
      </c>
      <c r="AZ235" s="19">
        <v>0</v>
      </c>
      <c r="BA235" s="19">
        <v>0</v>
      </c>
      <c r="BB235" s="19">
        <v>0</v>
      </c>
      <c r="BC235" s="19">
        <v>0</v>
      </c>
      <c r="BD235" s="19">
        <v>0</v>
      </c>
      <c r="BE235" s="21">
        <v>0</v>
      </c>
      <c r="BF235" s="21">
        <v>0</v>
      </c>
      <c r="BG235" s="19">
        <v>0</v>
      </c>
      <c r="BH235" s="19">
        <v>0</v>
      </c>
      <c r="BI235" s="22">
        <f t="shared" si="65"/>
        <v>2</v>
      </c>
      <c r="BJ235" s="22">
        <f t="shared" si="66"/>
        <v>0</v>
      </c>
      <c r="BK235" s="22">
        <f t="shared" si="67"/>
        <v>10</v>
      </c>
      <c r="BL235" s="22">
        <f t="shared" si="68"/>
        <v>10</v>
      </c>
      <c r="BM235" s="22">
        <f t="shared" si="64"/>
        <v>0</v>
      </c>
      <c r="BN235" s="23">
        <f t="shared" si="63"/>
        <v>0.8</v>
      </c>
      <c r="BO235" s="23" t="e">
        <f t="shared" si="63"/>
        <v>#DIV/0!</v>
      </c>
      <c r="BP235" s="7">
        <f>VLOOKUP(A235,[1]Sheet15!B:E,4,0)</f>
        <v>2</v>
      </c>
      <c r="BQ235" s="7">
        <f>VLOOKUP(A235,[1]Sheet15!B:E,3,0)</f>
        <v>0</v>
      </c>
    </row>
    <row r="236" spans="1:69" ht="22.5" customHeight="1" x14ac:dyDescent="0.25">
      <c r="A236" s="15" t="s">
        <v>627</v>
      </c>
      <c r="B236" s="15" t="str">
        <f>VLOOKUP(A236,'[1]Master clients'!F231:W3778,17,0)</f>
        <v>Apr</v>
      </c>
      <c r="C236" s="15" t="str">
        <f>VLOOKUP(A236,'[1]Master clients'!F231:P3778,11,0)</f>
        <v>MRK</v>
      </c>
      <c r="D236" s="15" t="str">
        <f>VLOOKUP(A236,'[1]Master clients'!F:M,8,0)</f>
        <v>Group (Mills)</v>
      </c>
      <c r="E236" s="16" t="s">
        <v>628</v>
      </c>
      <c r="F236" s="16" t="s">
        <v>104</v>
      </c>
      <c r="G236" s="17">
        <v>0</v>
      </c>
      <c r="H236" s="17">
        <v>0</v>
      </c>
      <c r="I236" s="18">
        <v>15</v>
      </c>
      <c r="J236" s="18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9">
        <v>0</v>
      </c>
      <c r="Q236" s="19">
        <v>4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20">
        <v>0</v>
      </c>
      <c r="X236" s="20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  <c r="AE236" s="17">
        <v>0</v>
      </c>
      <c r="AF236" s="17">
        <v>0</v>
      </c>
      <c r="AG236" s="17">
        <v>0</v>
      </c>
      <c r="AH236" s="17">
        <v>0</v>
      </c>
      <c r="AI236" s="20">
        <v>0</v>
      </c>
      <c r="AJ236" s="20">
        <v>0</v>
      </c>
      <c r="AK236" s="17">
        <v>0</v>
      </c>
      <c r="AL236" s="20">
        <v>0</v>
      </c>
      <c r="AM236" s="17">
        <v>0</v>
      </c>
      <c r="AN236" s="17">
        <v>0</v>
      </c>
      <c r="AO236" s="17">
        <v>0</v>
      </c>
      <c r="AP236" s="17">
        <v>0</v>
      </c>
      <c r="AQ236" s="17">
        <v>0</v>
      </c>
      <c r="AR236" s="17">
        <v>0</v>
      </c>
      <c r="AS236" s="17">
        <v>0</v>
      </c>
      <c r="AT236" s="17">
        <v>0</v>
      </c>
      <c r="AU236" s="17">
        <v>0</v>
      </c>
      <c r="AV236" s="17">
        <v>0</v>
      </c>
      <c r="AW236" s="20">
        <v>0</v>
      </c>
      <c r="AX236" s="20">
        <v>0</v>
      </c>
      <c r="AY236" s="20">
        <v>0</v>
      </c>
      <c r="AZ236" s="17">
        <v>0</v>
      </c>
      <c r="BA236" s="17">
        <v>0</v>
      </c>
      <c r="BB236" s="17">
        <v>0</v>
      </c>
      <c r="BC236" s="17">
        <v>0</v>
      </c>
      <c r="BD236" s="17">
        <v>0</v>
      </c>
      <c r="BE236" s="21">
        <v>0</v>
      </c>
      <c r="BF236" s="21">
        <v>0</v>
      </c>
      <c r="BG236" s="17">
        <v>0</v>
      </c>
      <c r="BH236" s="17">
        <v>0</v>
      </c>
      <c r="BI236" s="22">
        <f t="shared" si="65"/>
        <v>0</v>
      </c>
      <c r="BJ236" s="22">
        <f t="shared" si="66"/>
        <v>4</v>
      </c>
      <c r="BK236" s="22">
        <f t="shared" si="67"/>
        <v>19</v>
      </c>
      <c r="BL236" s="22">
        <f t="shared" si="68"/>
        <v>15</v>
      </c>
      <c r="BM236" s="22">
        <f t="shared" si="64"/>
        <v>4</v>
      </c>
      <c r="BN236" s="23">
        <f t="shared" si="63"/>
        <v>1</v>
      </c>
      <c r="BO236" s="23">
        <f t="shared" si="63"/>
        <v>0</v>
      </c>
      <c r="BP236" s="7">
        <f>VLOOKUP(A236,[1]Sheet15!B:E,4,0)</f>
        <v>2</v>
      </c>
      <c r="BQ236" s="7">
        <f>VLOOKUP(A236,[1]Sheet15!B:E,3,0)</f>
        <v>0</v>
      </c>
    </row>
    <row r="237" spans="1:69" ht="22.5" customHeight="1" x14ac:dyDescent="0.25">
      <c r="A237" s="15" t="s">
        <v>629</v>
      </c>
      <c r="B237" s="15" t="e">
        <f>VLOOKUP(A237,'[1]Master clients'!F232:W3779,17,0)</f>
        <v>#N/A</v>
      </c>
      <c r="C237" s="15" t="e">
        <f>VLOOKUP(A237,'[1]Master clients'!F232:P3779,11,0)</f>
        <v>#N/A</v>
      </c>
      <c r="D237" s="15" t="str">
        <f>VLOOKUP(A237,'[1]Master clients'!F:M,8,0)</f>
        <v>End User</v>
      </c>
      <c r="E237" s="24" t="s">
        <v>630</v>
      </c>
      <c r="F237" s="25" t="s">
        <v>631</v>
      </c>
      <c r="G237" s="20">
        <v>0</v>
      </c>
      <c r="H237" s="20">
        <v>0</v>
      </c>
      <c r="I237" s="26">
        <v>8</v>
      </c>
      <c r="J237" s="26">
        <v>1</v>
      </c>
      <c r="K237" s="20">
        <v>0</v>
      </c>
      <c r="L237" s="20">
        <v>0</v>
      </c>
      <c r="M237" s="20">
        <v>0</v>
      </c>
      <c r="N237" s="20">
        <v>6</v>
      </c>
      <c r="O237" s="20">
        <v>0</v>
      </c>
      <c r="P237" s="20">
        <v>0</v>
      </c>
      <c r="Q237" s="20">
        <v>0</v>
      </c>
      <c r="R237" s="20">
        <v>0</v>
      </c>
      <c r="S237" s="20">
        <v>0</v>
      </c>
      <c r="T237" s="20">
        <v>0</v>
      </c>
      <c r="U237" s="20">
        <v>0</v>
      </c>
      <c r="V237" s="20">
        <v>0</v>
      </c>
      <c r="W237" s="20">
        <v>10</v>
      </c>
      <c r="X237" s="20">
        <v>0</v>
      </c>
      <c r="Y237" s="20">
        <v>0</v>
      </c>
      <c r="Z237" s="20">
        <v>0</v>
      </c>
      <c r="AA237" s="20">
        <v>0</v>
      </c>
      <c r="AB237" s="20">
        <v>0</v>
      </c>
      <c r="AC237" s="20">
        <v>0</v>
      </c>
      <c r="AD237" s="20">
        <v>0</v>
      </c>
      <c r="AE237" s="20">
        <v>0</v>
      </c>
      <c r="AF237" s="20">
        <v>0</v>
      </c>
      <c r="AG237" s="20">
        <v>0</v>
      </c>
      <c r="AH237" s="20">
        <v>0</v>
      </c>
      <c r="AI237" s="20">
        <v>0</v>
      </c>
      <c r="AJ237" s="20">
        <v>0</v>
      </c>
      <c r="AK237" s="20">
        <v>0</v>
      </c>
      <c r="AL237" s="20">
        <v>0</v>
      </c>
      <c r="AM237" s="20">
        <v>0</v>
      </c>
      <c r="AN237" s="20">
        <v>0</v>
      </c>
      <c r="AO237" s="20">
        <v>0</v>
      </c>
      <c r="AP237" s="20">
        <v>0</v>
      </c>
      <c r="AQ237" s="20">
        <v>0</v>
      </c>
      <c r="AR237" s="20">
        <v>0</v>
      </c>
      <c r="AS237" s="20">
        <v>0</v>
      </c>
      <c r="AT237" s="20">
        <v>0</v>
      </c>
      <c r="AU237" s="20">
        <v>0</v>
      </c>
      <c r="AV237" s="20">
        <v>0</v>
      </c>
      <c r="AW237" s="20">
        <v>0</v>
      </c>
      <c r="AX237" s="20">
        <v>0</v>
      </c>
      <c r="AY237" s="20">
        <v>0</v>
      </c>
      <c r="AZ237" s="20">
        <v>0</v>
      </c>
      <c r="BA237" s="20">
        <v>0</v>
      </c>
      <c r="BB237" s="27">
        <v>0</v>
      </c>
      <c r="BC237" s="20">
        <v>0</v>
      </c>
      <c r="BD237" s="20">
        <v>0</v>
      </c>
      <c r="BE237" s="21">
        <v>0</v>
      </c>
      <c r="BF237" s="21">
        <v>0</v>
      </c>
      <c r="BG237" s="20">
        <v>0</v>
      </c>
      <c r="BH237" s="20">
        <v>0</v>
      </c>
      <c r="BI237" s="22">
        <f t="shared" si="65"/>
        <v>10</v>
      </c>
      <c r="BJ237" s="22">
        <f t="shared" si="66"/>
        <v>6</v>
      </c>
      <c r="BK237" s="28">
        <f t="shared" si="67"/>
        <v>25</v>
      </c>
      <c r="BL237" s="22">
        <f t="shared" si="68"/>
        <v>18</v>
      </c>
      <c r="BM237" s="22">
        <f t="shared" si="64"/>
        <v>7</v>
      </c>
      <c r="BN237" s="23">
        <f t="shared" si="63"/>
        <v>0.44444444444444442</v>
      </c>
      <c r="BO237" s="23">
        <f t="shared" si="63"/>
        <v>0.14285714285714285</v>
      </c>
      <c r="BP237" s="7">
        <f>VLOOKUP(A237,[1]Sheet15!B:E,4,0)</f>
        <v>8</v>
      </c>
      <c r="BQ237" s="7">
        <f>VLOOKUP(A237,[1]Sheet15!B:E,3,0)</f>
        <v>1</v>
      </c>
    </row>
    <row r="238" spans="1:69" ht="22.5" customHeight="1" x14ac:dyDescent="0.25">
      <c r="A238" s="15" t="s">
        <v>632</v>
      </c>
      <c r="B238" s="15" t="e">
        <f>VLOOKUP(A238,'[1]Master clients'!F233:W3780,17,0)</f>
        <v>#N/A</v>
      </c>
      <c r="C238" s="15" t="e">
        <f>VLOOKUP(A238,'[1]Master clients'!F233:P3780,11,0)</f>
        <v>#N/A</v>
      </c>
      <c r="D238" s="15" t="str">
        <f>VLOOKUP(A238,'[1]Master clients'!F:M,8,0)</f>
        <v>Group (Mills)</v>
      </c>
      <c r="E238" s="16" t="s">
        <v>633</v>
      </c>
      <c r="F238" s="16" t="s">
        <v>634</v>
      </c>
      <c r="G238" s="17"/>
      <c r="H238" s="17"/>
      <c r="I238" s="18">
        <v>0</v>
      </c>
      <c r="J238" s="18">
        <v>0</v>
      </c>
      <c r="K238" s="17">
        <v>0</v>
      </c>
      <c r="L238" s="17">
        <v>0</v>
      </c>
      <c r="M238" s="17">
        <v>0</v>
      </c>
      <c r="N238" s="17">
        <v>0</v>
      </c>
      <c r="O238" s="17">
        <v>0</v>
      </c>
      <c r="P238" s="17">
        <v>0</v>
      </c>
      <c r="Q238" s="17">
        <v>0</v>
      </c>
      <c r="R238" s="17">
        <v>0</v>
      </c>
      <c r="S238" s="17">
        <v>0</v>
      </c>
      <c r="T238" s="17">
        <v>0</v>
      </c>
      <c r="U238" s="17">
        <v>0</v>
      </c>
      <c r="V238" s="17">
        <v>0</v>
      </c>
      <c r="W238" s="17">
        <v>0</v>
      </c>
      <c r="X238" s="17">
        <v>0</v>
      </c>
      <c r="Y238" s="17">
        <v>0</v>
      </c>
      <c r="Z238" s="17">
        <v>0</v>
      </c>
      <c r="AA238" s="17">
        <v>0</v>
      </c>
      <c r="AB238" s="17">
        <v>0</v>
      </c>
      <c r="AC238" s="17">
        <v>0</v>
      </c>
      <c r="AD238" s="17">
        <v>0</v>
      </c>
      <c r="AE238" s="17">
        <v>0</v>
      </c>
      <c r="AF238" s="17">
        <v>0</v>
      </c>
      <c r="AG238" s="17">
        <v>0</v>
      </c>
      <c r="AH238" s="17">
        <v>0</v>
      </c>
      <c r="AI238" s="17">
        <v>0</v>
      </c>
      <c r="AJ238" s="17">
        <v>0</v>
      </c>
      <c r="AK238" s="17">
        <v>0</v>
      </c>
      <c r="AL238" s="17">
        <v>0</v>
      </c>
      <c r="AM238" s="17">
        <v>0</v>
      </c>
      <c r="AN238" s="17">
        <v>0</v>
      </c>
      <c r="AO238" s="17">
        <v>0</v>
      </c>
      <c r="AP238" s="17">
        <v>0</v>
      </c>
      <c r="AQ238" s="17">
        <v>0</v>
      </c>
      <c r="AR238" s="17">
        <v>0</v>
      </c>
      <c r="AS238" s="17">
        <v>0</v>
      </c>
      <c r="AT238" s="17">
        <v>0</v>
      </c>
      <c r="AU238" s="17">
        <v>0</v>
      </c>
      <c r="AV238" s="17">
        <v>0</v>
      </c>
      <c r="AW238" s="17">
        <v>0</v>
      </c>
      <c r="AX238" s="17">
        <v>0</v>
      </c>
      <c r="AY238" s="17">
        <v>0</v>
      </c>
      <c r="AZ238" s="17">
        <v>0</v>
      </c>
      <c r="BA238" s="17">
        <v>0</v>
      </c>
      <c r="BB238" s="17">
        <v>0</v>
      </c>
      <c r="BC238" s="17">
        <v>0</v>
      </c>
      <c r="BD238" s="17">
        <v>0</v>
      </c>
      <c r="BE238" s="17">
        <v>0</v>
      </c>
      <c r="BF238" s="17">
        <v>0</v>
      </c>
      <c r="BG238" s="17">
        <v>0</v>
      </c>
      <c r="BH238" s="17">
        <v>0</v>
      </c>
      <c r="BI238" s="22">
        <f t="shared" si="65"/>
        <v>0</v>
      </c>
      <c r="BJ238" s="22">
        <f t="shared" si="66"/>
        <v>0</v>
      </c>
      <c r="BK238" s="22">
        <f t="shared" si="67"/>
        <v>0</v>
      </c>
      <c r="BL238" s="22">
        <f t="shared" si="68"/>
        <v>0</v>
      </c>
      <c r="BM238" s="22">
        <f t="shared" si="64"/>
        <v>0</v>
      </c>
      <c r="BN238" s="23" t="e">
        <f t="shared" si="63"/>
        <v>#DIV/0!</v>
      </c>
      <c r="BO238" s="23" t="e">
        <f t="shared" si="63"/>
        <v>#DIV/0!</v>
      </c>
      <c r="BP238" s="7" t="e">
        <f>VLOOKUP(A238,[1]Sheet15!B:E,4,0)</f>
        <v>#N/A</v>
      </c>
      <c r="BQ238" s="7" t="e">
        <f>VLOOKUP(A238,[1]Sheet15!B:E,3,0)</f>
        <v>#N/A</v>
      </c>
    </row>
    <row r="239" spans="1:69" ht="22.5" customHeight="1" x14ac:dyDescent="0.25">
      <c r="A239" s="15" t="s">
        <v>635</v>
      </c>
      <c r="B239" s="15">
        <f>VLOOKUP(A239,'[1]Master clients'!F234:W3781,17,0)</f>
        <v>0</v>
      </c>
      <c r="C239" s="15" t="str">
        <f>VLOOKUP(A239,'[1]Master clients'!F234:P3781,11,0)</f>
        <v>NI</v>
      </c>
      <c r="D239" s="15" t="str">
        <f>VLOOKUP(A239,'[1]Master clients'!F:M,8,0)</f>
        <v>End User</v>
      </c>
      <c r="E239" s="16" t="s">
        <v>636</v>
      </c>
      <c r="F239" s="16" t="s">
        <v>634</v>
      </c>
      <c r="G239" s="17"/>
      <c r="H239" s="17"/>
      <c r="I239" s="31">
        <v>0</v>
      </c>
      <c r="J239" s="31">
        <v>0</v>
      </c>
      <c r="K239" s="17">
        <v>0</v>
      </c>
      <c r="L239" s="17">
        <v>0</v>
      </c>
      <c r="M239" s="17">
        <v>0</v>
      </c>
      <c r="N239" s="17">
        <v>0</v>
      </c>
      <c r="O239" s="17">
        <v>0</v>
      </c>
      <c r="P239" s="17">
        <v>0</v>
      </c>
      <c r="Q239" s="17">
        <v>0</v>
      </c>
      <c r="R239" s="17">
        <v>0</v>
      </c>
      <c r="S239" s="17">
        <v>0</v>
      </c>
      <c r="T239" s="17">
        <v>0</v>
      </c>
      <c r="U239" s="17">
        <v>0</v>
      </c>
      <c r="V239" s="17">
        <v>0</v>
      </c>
      <c r="W239" s="17">
        <v>0</v>
      </c>
      <c r="X239" s="17">
        <v>0</v>
      </c>
      <c r="Y239" s="17">
        <v>0</v>
      </c>
      <c r="Z239" s="17">
        <v>0</v>
      </c>
      <c r="AA239" s="17">
        <v>0</v>
      </c>
      <c r="AB239" s="17">
        <v>0</v>
      </c>
      <c r="AC239" s="17">
        <v>0</v>
      </c>
      <c r="AD239" s="17">
        <v>0</v>
      </c>
      <c r="AE239" s="17">
        <v>0</v>
      </c>
      <c r="AF239" s="17">
        <v>0</v>
      </c>
      <c r="AG239" s="17">
        <v>0</v>
      </c>
      <c r="AH239" s="17">
        <v>0</v>
      </c>
      <c r="AI239" s="17">
        <v>0</v>
      </c>
      <c r="AJ239" s="17">
        <v>0</v>
      </c>
      <c r="AK239" s="17">
        <v>0</v>
      </c>
      <c r="AL239" s="17">
        <v>0</v>
      </c>
      <c r="AM239" s="17">
        <v>0</v>
      </c>
      <c r="AN239" s="17">
        <v>0</v>
      </c>
      <c r="AO239" s="17">
        <v>0</v>
      </c>
      <c r="AP239" s="17">
        <v>0</v>
      </c>
      <c r="AQ239" s="17">
        <v>0</v>
      </c>
      <c r="AR239" s="17">
        <v>0</v>
      </c>
      <c r="AS239" s="17">
        <v>0</v>
      </c>
      <c r="AT239" s="17">
        <v>0</v>
      </c>
      <c r="AU239" s="17">
        <v>0</v>
      </c>
      <c r="AV239" s="17">
        <v>0</v>
      </c>
      <c r="AW239" s="17">
        <v>0</v>
      </c>
      <c r="AX239" s="17">
        <v>0</v>
      </c>
      <c r="AY239" s="17">
        <v>0</v>
      </c>
      <c r="AZ239" s="17">
        <v>0</v>
      </c>
      <c r="BA239" s="17">
        <v>0</v>
      </c>
      <c r="BB239" s="17">
        <v>0</v>
      </c>
      <c r="BC239" s="17">
        <v>0</v>
      </c>
      <c r="BD239" s="17">
        <v>0</v>
      </c>
      <c r="BE239" s="17">
        <v>0</v>
      </c>
      <c r="BF239" s="17">
        <v>0</v>
      </c>
      <c r="BG239" s="17">
        <v>0</v>
      </c>
      <c r="BH239" s="17">
        <v>0</v>
      </c>
      <c r="BI239" s="22">
        <f t="shared" si="65"/>
        <v>0</v>
      </c>
      <c r="BJ239" s="22">
        <f t="shared" si="66"/>
        <v>0</v>
      </c>
      <c r="BK239" s="22">
        <f t="shared" si="67"/>
        <v>0</v>
      </c>
      <c r="BL239" s="22">
        <f t="shared" si="68"/>
        <v>0</v>
      </c>
      <c r="BM239" s="22">
        <f t="shared" si="64"/>
        <v>0</v>
      </c>
      <c r="BN239" s="23" t="e">
        <f t="shared" si="63"/>
        <v>#DIV/0!</v>
      </c>
      <c r="BO239" s="23" t="e">
        <f t="shared" si="63"/>
        <v>#DIV/0!</v>
      </c>
      <c r="BP239" s="7" t="e">
        <f>VLOOKUP(A239,[1]Sheet15!B:E,4,0)</f>
        <v>#N/A</v>
      </c>
      <c r="BQ239" s="7" t="e">
        <f>VLOOKUP(A239,[1]Sheet15!B:E,3,0)</f>
        <v>#N/A</v>
      </c>
    </row>
    <row r="240" spans="1:69" ht="22.5" customHeight="1" x14ac:dyDescent="0.25">
      <c r="A240" s="15" t="s">
        <v>637</v>
      </c>
      <c r="B240" s="15">
        <f>VLOOKUP(A240,'[1]Master clients'!F235:W3782,17,0)</f>
        <v>0</v>
      </c>
      <c r="C240" s="15" t="str">
        <f>VLOOKUP(A240,'[1]Master clients'!F235:P3782,11,0)</f>
        <v>SI-GS</v>
      </c>
      <c r="D240" s="15" t="str">
        <f>VLOOKUP(A240,'[1]Master clients'!F:M,8,0)</f>
        <v>End User</v>
      </c>
      <c r="E240" s="16" t="s">
        <v>638</v>
      </c>
      <c r="F240" s="16" t="s">
        <v>639</v>
      </c>
      <c r="G240" s="17"/>
      <c r="H240" s="17"/>
      <c r="I240" s="31">
        <v>4</v>
      </c>
      <c r="J240" s="31">
        <v>0</v>
      </c>
      <c r="K240" s="17">
        <v>0</v>
      </c>
      <c r="L240" s="17">
        <v>0</v>
      </c>
      <c r="M240" s="17">
        <v>0</v>
      </c>
      <c r="N240" s="17">
        <v>0</v>
      </c>
      <c r="O240" s="17">
        <v>0</v>
      </c>
      <c r="P240" s="17">
        <v>0</v>
      </c>
      <c r="Q240" s="17">
        <v>0</v>
      </c>
      <c r="R240" s="17">
        <v>0</v>
      </c>
      <c r="S240" s="17">
        <v>0</v>
      </c>
      <c r="T240" s="17">
        <v>0</v>
      </c>
      <c r="U240" s="17">
        <v>0</v>
      </c>
      <c r="V240" s="17">
        <v>0</v>
      </c>
      <c r="W240" s="17">
        <v>0</v>
      </c>
      <c r="X240" s="17">
        <v>0</v>
      </c>
      <c r="Y240" s="17">
        <v>0</v>
      </c>
      <c r="Z240" s="17">
        <v>0</v>
      </c>
      <c r="AA240" s="17">
        <v>0</v>
      </c>
      <c r="AB240" s="17">
        <v>0</v>
      </c>
      <c r="AC240" s="17">
        <v>0</v>
      </c>
      <c r="AD240" s="17">
        <v>0</v>
      </c>
      <c r="AE240" s="17">
        <v>0</v>
      </c>
      <c r="AF240" s="17">
        <v>0</v>
      </c>
      <c r="AG240" s="17">
        <v>0</v>
      </c>
      <c r="AH240" s="17">
        <v>0</v>
      </c>
      <c r="AI240" s="17">
        <v>0</v>
      </c>
      <c r="AJ240" s="17">
        <v>0</v>
      </c>
      <c r="AK240" s="17">
        <v>0</v>
      </c>
      <c r="AL240" s="17">
        <v>0</v>
      </c>
      <c r="AM240" s="17">
        <v>0</v>
      </c>
      <c r="AN240" s="17">
        <v>0</v>
      </c>
      <c r="AO240" s="17">
        <v>0</v>
      </c>
      <c r="AP240" s="17">
        <v>0</v>
      </c>
      <c r="AQ240" s="17">
        <v>0</v>
      </c>
      <c r="AR240" s="17">
        <v>0</v>
      </c>
      <c r="AS240" s="17">
        <v>0</v>
      </c>
      <c r="AT240" s="17">
        <v>0</v>
      </c>
      <c r="AU240" s="17">
        <v>0</v>
      </c>
      <c r="AV240" s="17">
        <v>0</v>
      </c>
      <c r="AW240" s="17">
        <v>0</v>
      </c>
      <c r="AX240" s="17">
        <v>0</v>
      </c>
      <c r="AY240" s="17">
        <v>0</v>
      </c>
      <c r="AZ240" s="17">
        <v>0</v>
      </c>
      <c r="BA240" s="17">
        <v>0</v>
      </c>
      <c r="BB240" s="17">
        <v>0</v>
      </c>
      <c r="BC240" s="17">
        <v>0</v>
      </c>
      <c r="BD240" s="17">
        <v>0</v>
      </c>
      <c r="BE240" s="17">
        <v>0</v>
      </c>
      <c r="BF240" s="17">
        <v>0</v>
      </c>
      <c r="BG240" s="17">
        <v>0</v>
      </c>
      <c r="BH240" s="17">
        <v>0</v>
      </c>
      <c r="BI240" s="22">
        <f t="shared" si="65"/>
        <v>0</v>
      </c>
      <c r="BJ240" s="22">
        <f t="shared" si="66"/>
        <v>0</v>
      </c>
      <c r="BK240" s="22">
        <f t="shared" si="67"/>
        <v>4</v>
      </c>
      <c r="BL240" s="22">
        <f t="shared" si="68"/>
        <v>4</v>
      </c>
      <c r="BM240" s="22">
        <f t="shared" si="64"/>
        <v>0</v>
      </c>
      <c r="BN240" s="23">
        <f t="shared" si="63"/>
        <v>1</v>
      </c>
      <c r="BO240" s="23" t="e">
        <f t="shared" si="63"/>
        <v>#DIV/0!</v>
      </c>
      <c r="BP240" s="7">
        <f>VLOOKUP(A240,[1]Sheet15!B:E,4,0)</f>
        <v>4</v>
      </c>
      <c r="BQ240" s="7">
        <f>VLOOKUP(A240,[1]Sheet15!B:E,3,0)</f>
        <v>0</v>
      </c>
    </row>
    <row r="241" spans="1:69" ht="22.5" customHeight="1" x14ac:dyDescent="0.25">
      <c r="A241" s="15" t="s">
        <v>640</v>
      </c>
      <c r="B241" s="15">
        <f>VLOOKUP(A241,'[1]Master clients'!F236:W3783,17,0)</f>
        <v>0</v>
      </c>
      <c r="C241" s="15" t="str">
        <f>VLOOKUP(A241,'[1]Master clients'!F236:P3783,11,0)</f>
        <v>SI-GS</v>
      </c>
      <c r="D241" s="15" t="str">
        <f>VLOOKUP(A241,'[1]Master clients'!F:M,8,0)</f>
        <v>End User</v>
      </c>
      <c r="E241" s="16" t="s">
        <v>641</v>
      </c>
      <c r="F241" s="16" t="s">
        <v>642</v>
      </c>
      <c r="G241" s="17"/>
      <c r="H241" s="17"/>
      <c r="I241" s="31">
        <v>8</v>
      </c>
      <c r="J241" s="31">
        <v>0</v>
      </c>
      <c r="K241" s="17">
        <v>0</v>
      </c>
      <c r="L241" s="17">
        <v>0</v>
      </c>
      <c r="M241" s="17">
        <v>0</v>
      </c>
      <c r="N241" s="17">
        <v>0</v>
      </c>
      <c r="O241" s="17">
        <v>0</v>
      </c>
      <c r="P241" s="17">
        <v>0</v>
      </c>
      <c r="Q241" s="17">
        <v>0</v>
      </c>
      <c r="R241" s="17">
        <v>0</v>
      </c>
      <c r="S241" s="17">
        <v>0</v>
      </c>
      <c r="T241" s="17">
        <v>0</v>
      </c>
      <c r="U241" s="17">
        <v>0</v>
      </c>
      <c r="V241" s="17">
        <v>0</v>
      </c>
      <c r="W241" s="17">
        <v>0</v>
      </c>
      <c r="X241" s="17">
        <v>0</v>
      </c>
      <c r="Y241" s="17">
        <v>0</v>
      </c>
      <c r="Z241" s="17">
        <v>0</v>
      </c>
      <c r="AA241" s="17">
        <v>0</v>
      </c>
      <c r="AB241" s="17">
        <v>0</v>
      </c>
      <c r="AC241" s="17">
        <v>0</v>
      </c>
      <c r="AD241" s="17">
        <v>0</v>
      </c>
      <c r="AE241" s="17">
        <v>0</v>
      </c>
      <c r="AF241" s="17">
        <v>0</v>
      </c>
      <c r="AG241" s="17">
        <v>0</v>
      </c>
      <c r="AH241" s="17">
        <v>0</v>
      </c>
      <c r="AI241" s="17">
        <v>0</v>
      </c>
      <c r="AJ241" s="17">
        <v>0</v>
      </c>
      <c r="AK241" s="17">
        <v>0</v>
      </c>
      <c r="AL241" s="17">
        <v>0</v>
      </c>
      <c r="AM241" s="17">
        <v>0</v>
      </c>
      <c r="AN241" s="17">
        <v>0</v>
      </c>
      <c r="AO241" s="17">
        <v>0</v>
      </c>
      <c r="AP241" s="17">
        <v>0</v>
      </c>
      <c r="AQ241" s="17">
        <v>0</v>
      </c>
      <c r="AR241" s="17">
        <v>0</v>
      </c>
      <c r="AS241" s="17">
        <v>0</v>
      </c>
      <c r="AT241" s="17">
        <v>0</v>
      </c>
      <c r="AU241" s="17">
        <v>0</v>
      </c>
      <c r="AV241" s="17">
        <v>0</v>
      </c>
      <c r="AW241" s="17">
        <v>0</v>
      </c>
      <c r="AX241" s="17">
        <v>0</v>
      </c>
      <c r="AY241" s="17">
        <v>0</v>
      </c>
      <c r="AZ241" s="17">
        <v>0</v>
      </c>
      <c r="BA241" s="17">
        <v>0</v>
      </c>
      <c r="BB241" s="17">
        <v>0</v>
      </c>
      <c r="BC241" s="17">
        <v>0</v>
      </c>
      <c r="BD241" s="17">
        <v>0</v>
      </c>
      <c r="BE241" s="17">
        <v>0</v>
      </c>
      <c r="BF241" s="17">
        <v>0</v>
      </c>
      <c r="BG241" s="17">
        <v>0</v>
      </c>
      <c r="BH241" s="17">
        <v>0</v>
      </c>
      <c r="BI241" s="22">
        <f t="shared" si="65"/>
        <v>0</v>
      </c>
      <c r="BJ241" s="22">
        <f t="shared" si="66"/>
        <v>0</v>
      </c>
      <c r="BK241" s="22">
        <f t="shared" si="67"/>
        <v>8</v>
      </c>
      <c r="BL241" s="22">
        <f t="shared" si="68"/>
        <v>8</v>
      </c>
      <c r="BM241" s="22">
        <f t="shared" si="64"/>
        <v>0</v>
      </c>
      <c r="BN241" s="23">
        <f t="shared" si="63"/>
        <v>1</v>
      </c>
      <c r="BO241" s="23" t="e">
        <f t="shared" si="63"/>
        <v>#DIV/0!</v>
      </c>
      <c r="BP241" s="7">
        <f>VLOOKUP(A241,[1]Sheet15!B:E,4,0)</f>
        <v>8</v>
      </c>
      <c r="BQ241" s="7">
        <f>VLOOKUP(A241,[1]Sheet15!B:E,3,0)</f>
        <v>0</v>
      </c>
    </row>
    <row r="242" spans="1:69" ht="22.5" customHeight="1" x14ac:dyDescent="0.25">
      <c r="A242" s="15" t="s">
        <v>643</v>
      </c>
      <c r="B242" s="15">
        <f>VLOOKUP(A242,'[1]Master clients'!F237:W3784,17,0)</f>
        <v>0</v>
      </c>
      <c r="C242" s="15" t="str">
        <f>VLOOKUP(A242,'[1]Master clients'!F237:P3784,11,0)</f>
        <v>NI</v>
      </c>
      <c r="D242" s="15" t="str">
        <f>VLOOKUP(A242,'[1]Master clients'!F:M,8,0)</f>
        <v>End User</v>
      </c>
      <c r="E242" s="16" t="s">
        <v>644</v>
      </c>
      <c r="F242" s="16" t="s">
        <v>645</v>
      </c>
      <c r="G242" s="17"/>
      <c r="H242" s="17"/>
      <c r="I242" s="31">
        <v>6</v>
      </c>
      <c r="J242" s="31">
        <v>0</v>
      </c>
      <c r="K242" s="17">
        <v>0</v>
      </c>
      <c r="L242" s="17">
        <v>0</v>
      </c>
      <c r="M242" s="17">
        <v>0</v>
      </c>
      <c r="N242" s="17">
        <v>0</v>
      </c>
      <c r="O242" s="17">
        <v>0</v>
      </c>
      <c r="P242" s="17">
        <v>0</v>
      </c>
      <c r="Q242" s="17">
        <v>0</v>
      </c>
      <c r="R242" s="17">
        <v>0</v>
      </c>
      <c r="S242" s="17">
        <v>0</v>
      </c>
      <c r="T242" s="17">
        <v>0</v>
      </c>
      <c r="U242" s="17">
        <v>0</v>
      </c>
      <c r="V242" s="17">
        <v>0</v>
      </c>
      <c r="W242" s="17">
        <v>0</v>
      </c>
      <c r="X242" s="17">
        <v>0</v>
      </c>
      <c r="Y242" s="17">
        <v>0</v>
      </c>
      <c r="Z242" s="17">
        <v>0</v>
      </c>
      <c r="AA242" s="17">
        <v>0</v>
      </c>
      <c r="AB242" s="17">
        <v>0</v>
      </c>
      <c r="AC242" s="17">
        <v>0</v>
      </c>
      <c r="AD242" s="17">
        <v>0</v>
      </c>
      <c r="AE242" s="17">
        <v>0</v>
      </c>
      <c r="AF242" s="17">
        <v>0</v>
      </c>
      <c r="AG242" s="17">
        <v>0</v>
      </c>
      <c r="AH242" s="17">
        <v>0</v>
      </c>
      <c r="AI242" s="17">
        <v>0</v>
      </c>
      <c r="AJ242" s="17">
        <v>0</v>
      </c>
      <c r="AK242" s="17">
        <v>0</v>
      </c>
      <c r="AL242" s="17">
        <v>0</v>
      </c>
      <c r="AM242" s="17">
        <v>0</v>
      </c>
      <c r="AN242" s="17">
        <v>0</v>
      </c>
      <c r="AO242" s="17">
        <v>0</v>
      </c>
      <c r="AP242" s="17">
        <v>0</v>
      </c>
      <c r="AQ242" s="17">
        <v>0</v>
      </c>
      <c r="AR242" s="17">
        <v>0</v>
      </c>
      <c r="AS242" s="17">
        <v>0</v>
      </c>
      <c r="AT242" s="17">
        <v>0</v>
      </c>
      <c r="AU242" s="17">
        <v>0</v>
      </c>
      <c r="AV242" s="17">
        <v>0</v>
      </c>
      <c r="AW242" s="17">
        <v>0</v>
      </c>
      <c r="AX242" s="17">
        <v>0</v>
      </c>
      <c r="AY242" s="17">
        <v>0</v>
      </c>
      <c r="AZ242" s="17">
        <v>0</v>
      </c>
      <c r="BA242" s="17">
        <v>0</v>
      </c>
      <c r="BB242" s="17">
        <v>0</v>
      </c>
      <c r="BC242" s="17">
        <v>0</v>
      </c>
      <c r="BD242" s="17">
        <v>0</v>
      </c>
      <c r="BE242" s="17">
        <v>0</v>
      </c>
      <c r="BF242" s="17">
        <v>0</v>
      </c>
      <c r="BG242" s="17">
        <v>0</v>
      </c>
      <c r="BH242" s="17">
        <v>0</v>
      </c>
      <c r="BI242" s="22">
        <f t="shared" si="65"/>
        <v>0</v>
      </c>
      <c r="BJ242" s="22">
        <f t="shared" si="66"/>
        <v>0</v>
      </c>
      <c r="BK242" s="22">
        <f t="shared" si="67"/>
        <v>6</v>
      </c>
      <c r="BL242" s="22">
        <f t="shared" si="68"/>
        <v>6</v>
      </c>
      <c r="BM242" s="22">
        <f t="shared" si="64"/>
        <v>0</v>
      </c>
      <c r="BN242" s="23">
        <f t="shared" si="63"/>
        <v>1</v>
      </c>
      <c r="BO242" s="23" t="e">
        <f t="shared" si="63"/>
        <v>#DIV/0!</v>
      </c>
      <c r="BP242" s="7">
        <f>VLOOKUP(A242,[1]Sheet15!B:E,4,0)</f>
        <v>6</v>
      </c>
      <c r="BQ242" s="7">
        <f>VLOOKUP(A242,[1]Sheet15!B:E,3,0)</f>
        <v>0</v>
      </c>
    </row>
    <row r="243" spans="1:69" ht="22.5" customHeight="1" x14ac:dyDescent="0.25">
      <c r="A243" s="15" t="s">
        <v>646</v>
      </c>
      <c r="B243" s="15">
        <f>VLOOKUP(A243,'[1]Master clients'!F238:W3785,17,0)</f>
        <v>0</v>
      </c>
      <c r="C243" s="15" t="str">
        <f>VLOOKUP(A243,'[1]Master clients'!F238:P3785,11,0)</f>
        <v>NI</v>
      </c>
      <c r="D243" s="15" t="str">
        <f>VLOOKUP(A243,'[1]Master clients'!F:M,8,0)</f>
        <v>End User</v>
      </c>
      <c r="E243" s="16" t="s">
        <v>647</v>
      </c>
      <c r="F243" s="16" t="s">
        <v>645</v>
      </c>
      <c r="G243" s="17"/>
      <c r="H243" s="17"/>
      <c r="I243" s="31">
        <v>0</v>
      </c>
      <c r="J243" s="31">
        <v>0</v>
      </c>
      <c r="K243" s="17">
        <v>0</v>
      </c>
      <c r="L243" s="17">
        <v>0</v>
      </c>
      <c r="M243" s="17">
        <v>0</v>
      </c>
      <c r="N243" s="17">
        <v>0</v>
      </c>
      <c r="O243" s="17">
        <v>0</v>
      </c>
      <c r="P243" s="17">
        <v>0</v>
      </c>
      <c r="Q243" s="17">
        <v>0</v>
      </c>
      <c r="R243" s="17">
        <v>0</v>
      </c>
      <c r="S243" s="17">
        <v>0</v>
      </c>
      <c r="T243" s="17">
        <v>0</v>
      </c>
      <c r="U243" s="17">
        <v>0</v>
      </c>
      <c r="V243" s="17">
        <v>0</v>
      </c>
      <c r="W243" s="17">
        <v>0</v>
      </c>
      <c r="X243" s="17">
        <v>0</v>
      </c>
      <c r="Y243" s="17">
        <v>0</v>
      </c>
      <c r="Z243" s="17">
        <v>0</v>
      </c>
      <c r="AA243" s="17">
        <v>0</v>
      </c>
      <c r="AB243" s="17">
        <v>0</v>
      </c>
      <c r="AC243" s="17">
        <v>0</v>
      </c>
      <c r="AD243" s="17">
        <v>0</v>
      </c>
      <c r="AE243" s="17">
        <v>0</v>
      </c>
      <c r="AF243" s="17">
        <v>0</v>
      </c>
      <c r="AG243" s="17">
        <v>0</v>
      </c>
      <c r="AH243" s="17">
        <v>0</v>
      </c>
      <c r="AI243" s="17">
        <v>0</v>
      </c>
      <c r="AJ243" s="17">
        <v>0</v>
      </c>
      <c r="AK243" s="17">
        <v>0</v>
      </c>
      <c r="AL243" s="17">
        <v>0</v>
      </c>
      <c r="AM243" s="17">
        <v>0</v>
      </c>
      <c r="AN243" s="17">
        <v>0</v>
      </c>
      <c r="AO243" s="17">
        <v>0</v>
      </c>
      <c r="AP243" s="17">
        <v>0</v>
      </c>
      <c r="AQ243" s="17">
        <v>0</v>
      </c>
      <c r="AR243" s="17">
        <v>0</v>
      </c>
      <c r="AS243" s="17">
        <v>0</v>
      </c>
      <c r="AT243" s="17">
        <v>0</v>
      </c>
      <c r="AU243" s="17">
        <v>0</v>
      </c>
      <c r="AV243" s="17">
        <v>0</v>
      </c>
      <c r="AW243" s="17">
        <v>0</v>
      </c>
      <c r="AX243" s="17">
        <v>0</v>
      </c>
      <c r="AY243" s="17">
        <v>0</v>
      </c>
      <c r="AZ243" s="17">
        <v>0</v>
      </c>
      <c r="BA243" s="17">
        <v>0</v>
      </c>
      <c r="BB243" s="17">
        <v>0</v>
      </c>
      <c r="BC243" s="17">
        <v>0</v>
      </c>
      <c r="BD243" s="17">
        <v>0</v>
      </c>
      <c r="BE243" s="17">
        <v>0</v>
      </c>
      <c r="BF243" s="17">
        <v>0</v>
      </c>
      <c r="BG243" s="17">
        <v>0</v>
      </c>
      <c r="BH243" s="17">
        <v>0</v>
      </c>
      <c r="BI243" s="22">
        <f t="shared" si="65"/>
        <v>0</v>
      </c>
      <c r="BJ243" s="22">
        <f t="shared" si="66"/>
        <v>0</v>
      </c>
      <c r="BK243" s="22">
        <f t="shared" si="67"/>
        <v>0</v>
      </c>
      <c r="BL243" s="22">
        <f t="shared" si="68"/>
        <v>0</v>
      </c>
      <c r="BM243" s="22">
        <f t="shared" si="64"/>
        <v>0</v>
      </c>
      <c r="BN243" s="23" t="e">
        <f t="shared" si="63"/>
        <v>#DIV/0!</v>
      </c>
      <c r="BO243" s="23" t="e">
        <f t="shared" si="63"/>
        <v>#DIV/0!</v>
      </c>
      <c r="BP243" s="7" t="e">
        <f>VLOOKUP(A243,[1]Sheet15!B:E,4,0)</f>
        <v>#N/A</v>
      </c>
      <c r="BQ243" s="7" t="e">
        <f>VLOOKUP(A243,[1]Sheet15!B:E,3,0)</f>
        <v>#N/A</v>
      </c>
    </row>
    <row r="244" spans="1:69" ht="22.5" customHeight="1" x14ac:dyDescent="0.25">
      <c r="A244" s="15" t="s">
        <v>648</v>
      </c>
      <c r="B244" s="15">
        <f>VLOOKUP(A244,'[1]Master clients'!F239:W3786,17,0)</f>
        <v>0</v>
      </c>
      <c r="C244" s="15" t="str">
        <f>VLOOKUP(A244,'[1]Master clients'!F239:P3786,11,0)</f>
        <v>NI</v>
      </c>
      <c r="D244" s="15" t="str">
        <f>VLOOKUP(A244,'[1]Master clients'!F:M,8,0)</f>
        <v>Group (Mills)</v>
      </c>
      <c r="E244" s="16" t="s">
        <v>649</v>
      </c>
      <c r="F244" s="16" t="s">
        <v>650</v>
      </c>
      <c r="G244" s="17"/>
      <c r="H244" s="17"/>
      <c r="I244" s="31">
        <v>2</v>
      </c>
      <c r="J244" s="31">
        <v>0</v>
      </c>
      <c r="K244" s="17">
        <v>0</v>
      </c>
      <c r="L244" s="17">
        <v>0</v>
      </c>
      <c r="M244" s="17">
        <v>0</v>
      </c>
      <c r="N244" s="17">
        <v>0</v>
      </c>
      <c r="O244" s="17">
        <v>0</v>
      </c>
      <c r="P244" s="17">
        <v>0</v>
      </c>
      <c r="Q244" s="17">
        <v>0</v>
      </c>
      <c r="R244" s="17">
        <v>0</v>
      </c>
      <c r="S244" s="17">
        <v>0</v>
      </c>
      <c r="T244" s="17">
        <v>0</v>
      </c>
      <c r="U244" s="17">
        <v>0</v>
      </c>
      <c r="V244" s="17">
        <v>0</v>
      </c>
      <c r="W244" s="17">
        <v>0</v>
      </c>
      <c r="X244" s="17">
        <v>0</v>
      </c>
      <c r="Y244" s="17">
        <v>0</v>
      </c>
      <c r="Z244" s="17">
        <v>0</v>
      </c>
      <c r="AA244" s="17">
        <v>0</v>
      </c>
      <c r="AB244" s="17">
        <v>0</v>
      </c>
      <c r="AC244" s="17">
        <v>0</v>
      </c>
      <c r="AD244" s="17">
        <v>0</v>
      </c>
      <c r="AE244" s="17">
        <v>0</v>
      </c>
      <c r="AF244" s="17">
        <v>0</v>
      </c>
      <c r="AG244" s="17">
        <v>0</v>
      </c>
      <c r="AH244" s="17">
        <v>0</v>
      </c>
      <c r="AI244" s="17">
        <v>0</v>
      </c>
      <c r="AJ244" s="17">
        <v>0</v>
      </c>
      <c r="AK244" s="17">
        <v>0</v>
      </c>
      <c r="AL244" s="17">
        <v>0</v>
      </c>
      <c r="AM244" s="17">
        <v>0</v>
      </c>
      <c r="AN244" s="17">
        <v>0</v>
      </c>
      <c r="AO244" s="17">
        <v>0</v>
      </c>
      <c r="AP244" s="17">
        <v>0</v>
      </c>
      <c r="AQ244" s="17">
        <v>0</v>
      </c>
      <c r="AR244" s="17">
        <v>0</v>
      </c>
      <c r="AS244" s="17">
        <v>0</v>
      </c>
      <c r="AT244" s="17">
        <v>0</v>
      </c>
      <c r="AU244" s="17">
        <v>0</v>
      </c>
      <c r="AV244" s="17">
        <v>0</v>
      </c>
      <c r="AW244" s="17">
        <v>0</v>
      </c>
      <c r="AX244" s="17">
        <v>0</v>
      </c>
      <c r="AY244" s="17">
        <v>0</v>
      </c>
      <c r="AZ244" s="17">
        <v>0</v>
      </c>
      <c r="BA244" s="17">
        <v>0</v>
      </c>
      <c r="BB244" s="17">
        <v>0</v>
      </c>
      <c r="BC244" s="17">
        <v>0</v>
      </c>
      <c r="BD244" s="17">
        <v>0</v>
      </c>
      <c r="BE244" s="17">
        <v>0</v>
      </c>
      <c r="BF244" s="17">
        <v>0</v>
      </c>
      <c r="BG244" s="17">
        <v>0</v>
      </c>
      <c r="BH244" s="17">
        <v>0</v>
      </c>
      <c r="BI244" s="22">
        <f t="shared" si="65"/>
        <v>0</v>
      </c>
      <c r="BJ244" s="22">
        <f t="shared" si="66"/>
        <v>0</v>
      </c>
      <c r="BK244" s="22">
        <f t="shared" si="67"/>
        <v>2</v>
      </c>
      <c r="BL244" s="22">
        <f t="shared" si="68"/>
        <v>2</v>
      </c>
      <c r="BM244" s="22">
        <f t="shared" si="64"/>
        <v>0</v>
      </c>
      <c r="BN244" s="23">
        <f t="shared" si="63"/>
        <v>1</v>
      </c>
      <c r="BO244" s="23" t="e">
        <f t="shared" si="63"/>
        <v>#DIV/0!</v>
      </c>
      <c r="BP244" s="7">
        <f>VLOOKUP(A244,[1]Sheet15!B:E,4,0)</f>
        <v>2</v>
      </c>
      <c r="BQ244" s="7">
        <f>VLOOKUP(A244,[1]Sheet15!B:E,3,0)</f>
        <v>0</v>
      </c>
    </row>
    <row r="245" spans="1:69" ht="22.5" customHeight="1" x14ac:dyDescent="0.25">
      <c r="A245" s="15" t="s">
        <v>651</v>
      </c>
      <c r="B245" s="15" t="e">
        <f>VLOOKUP(A245,'[1]Master clients'!F240:W3787,17,0)</f>
        <v>#N/A</v>
      </c>
      <c r="C245" s="15" t="e">
        <f>VLOOKUP(A245,'[1]Master clients'!F240:P3787,11,0)</f>
        <v>#N/A</v>
      </c>
      <c r="D245" s="15" t="str">
        <f>VLOOKUP(A245,'[1]Master clients'!F:M,8,0)</f>
        <v>Group (Mills)</v>
      </c>
      <c r="E245" s="16" t="s">
        <v>652</v>
      </c>
      <c r="F245" s="16" t="s">
        <v>653</v>
      </c>
      <c r="G245" s="17"/>
      <c r="H245" s="17"/>
      <c r="I245" s="18">
        <v>2</v>
      </c>
      <c r="J245" s="18">
        <v>0</v>
      </c>
      <c r="K245" s="17">
        <v>4</v>
      </c>
      <c r="L245" s="17">
        <v>0</v>
      </c>
      <c r="M245" s="17">
        <v>0</v>
      </c>
      <c r="N245" s="17">
        <v>0</v>
      </c>
      <c r="O245" s="19">
        <v>0</v>
      </c>
      <c r="P245" s="19">
        <v>10</v>
      </c>
      <c r="Q245" s="19">
        <v>4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20">
        <v>0</v>
      </c>
      <c r="X245" s="20">
        <v>0</v>
      </c>
      <c r="Y245" s="20">
        <v>0</v>
      </c>
      <c r="Z245" s="20">
        <v>0</v>
      </c>
      <c r="AA245" s="20">
        <v>0</v>
      </c>
      <c r="AB245" s="20">
        <v>0</v>
      </c>
      <c r="AC245" s="20">
        <v>0</v>
      </c>
      <c r="AD245" s="20">
        <v>0</v>
      </c>
      <c r="AE245" s="20">
        <v>0</v>
      </c>
      <c r="AF245" s="20">
        <v>0</v>
      </c>
      <c r="AG245" s="20">
        <v>0</v>
      </c>
      <c r="AH245" s="20">
        <v>0</v>
      </c>
      <c r="AI245" s="20">
        <v>0</v>
      </c>
      <c r="AJ245" s="20">
        <v>0</v>
      </c>
      <c r="AK245" s="20">
        <v>0</v>
      </c>
      <c r="AL245" s="20">
        <v>0</v>
      </c>
      <c r="AM245" s="20">
        <v>0</v>
      </c>
      <c r="AN245" s="20">
        <v>0</v>
      </c>
      <c r="AO245" s="20">
        <v>0</v>
      </c>
      <c r="AP245" s="20">
        <v>0</v>
      </c>
      <c r="AQ245" s="20">
        <v>0</v>
      </c>
      <c r="AR245" s="20">
        <v>0</v>
      </c>
      <c r="AS245" s="20">
        <v>0</v>
      </c>
      <c r="AT245" s="20">
        <v>0</v>
      </c>
      <c r="AU245" s="20">
        <v>0</v>
      </c>
      <c r="AV245" s="19">
        <v>0</v>
      </c>
      <c r="AW245" s="20">
        <v>0</v>
      </c>
      <c r="AX245" s="20">
        <v>0</v>
      </c>
      <c r="AY245" s="20">
        <v>0</v>
      </c>
      <c r="AZ245" s="19">
        <v>0</v>
      </c>
      <c r="BA245" s="19">
        <v>0</v>
      </c>
      <c r="BB245" s="19">
        <v>0</v>
      </c>
      <c r="BC245" s="19">
        <v>0</v>
      </c>
      <c r="BD245" s="19">
        <v>2</v>
      </c>
      <c r="BE245" s="21">
        <v>0</v>
      </c>
      <c r="BF245" s="21">
        <v>0</v>
      </c>
      <c r="BG245" s="19">
        <v>0</v>
      </c>
      <c r="BH245" s="19">
        <v>0</v>
      </c>
      <c r="BI245" s="22">
        <f t="shared" si="65"/>
        <v>14</v>
      </c>
      <c r="BJ245" s="22">
        <f t="shared" si="66"/>
        <v>6</v>
      </c>
      <c r="BK245" s="22">
        <f t="shared" si="67"/>
        <v>22</v>
      </c>
      <c r="BL245" s="22">
        <f t="shared" si="68"/>
        <v>16</v>
      </c>
      <c r="BM245" s="22">
        <f t="shared" si="64"/>
        <v>6</v>
      </c>
      <c r="BN245" s="23">
        <f t="shared" ref="BN245:BO260" si="69">I245/BL245</f>
        <v>0.125</v>
      </c>
      <c r="BO245" s="23">
        <f t="shared" si="69"/>
        <v>0</v>
      </c>
      <c r="BP245" s="7" t="e">
        <f>VLOOKUP(A245,[1]Sheet15!B:E,4,0)</f>
        <v>#N/A</v>
      </c>
      <c r="BQ245" s="7" t="e">
        <f>VLOOKUP(A245,[1]Sheet15!B:E,3,0)</f>
        <v>#N/A</v>
      </c>
    </row>
    <row r="246" spans="1:69" ht="22.5" customHeight="1" x14ac:dyDescent="0.25">
      <c r="A246" s="15" t="s">
        <v>654</v>
      </c>
      <c r="B246" s="15">
        <f>VLOOKUP(A246,'[1]Master clients'!F241:W3788,17,0)</f>
        <v>0</v>
      </c>
      <c r="C246" s="15" t="str">
        <f>VLOOKUP(A246,'[1]Master clients'!F241:P3788,11,0)</f>
        <v>AV</v>
      </c>
      <c r="D246" s="15" t="str">
        <f>VLOOKUP(A246,'[1]Master clients'!F:M,8,0)</f>
        <v>End User</v>
      </c>
      <c r="E246" s="16" t="s">
        <v>655</v>
      </c>
      <c r="F246" s="16" t="s">
        <v>102</v>
      </c>
      <c r="G246" s="17"/>
      <c r="H246" s="17"/>
      <c r="I246" s="18">
        <v>4</v>
      </c>
      <c r="J246" s="18">
        <v>0</v>
      </c>
      <c r="K246" s="17">
        <v>0</v>
      </c>
      <c r="L246" s="17">
        <v>0</v>
      </c>
      <c r="M246" s="17">
        <v>0</v>
      </c>
      <c r="N246" s="17">
        <v>0</v>
      </c>
      <c r="O246" s="17">
        <v>0</v>
      </c>
      <c r="P246" s="17">
        <v>0</v>
      </c>
      <c r="Q246" s="17">
        <v>0</v>
      </c>
      <c r="R246" s="17">
        <v>0</v>
      </c>
      <c r="S246" s="17">
        <v>0</v>
      </c>
      <c r="T246" s="17">
        <v>0</v>
      </c>
      <c r="U246" s="17">
        <v>0</v>
      </c>
      <c r="V246" s="17">
        <v>0</v>
      </c>
      <c r="W246" s="17">
        <v>0</v>
      </c>
      <c r="X246" s="17">
        <v>0</v>
      </c>
      <c r="Y246" s="17">
        <v>0</v>
      </c>
      <c r="Z246" s="17">
        <v>0</v>
      </c>
      <c r="AA246" s="17">
        <v>0</v>
      </c>
      <c r="AB246" s="17">
        <v>0</v>
      </c>
      <c r="AC246" s="17">
        <v>0</v>
      </c>
      <c r="AD246" s="17">
        <v>0</v>
      </c>
      <c r="AE246" s="17">
        <v>0</v>
      </c>
      <c r="AF246" s="17">
        <v>0</v>
      </c>
      <c r="AG246" s="17">
        <v>0</v>
      </c>
      <c r="AH246" s="17">
        <v>0</v>
      </c>
      <c r="AI246" s="17">
        <v>0</v>
      </c>
      <c r="AJ246" s="17">
        <v>0</v>
      </c>
      <c r="AK246" s="17">
        <v>0</v>
      </c>
      <c r="AL246" s="17">
        <v>0</v>
      </c>
      <c r="AM246" s="17">
        <v>0</v>
      </c>
      <c r="AN246" s="17">
        <v>0</v>
      </c>
      <c r="AO246" s="17">
        <v>0</v>
      </c>
      <c r="AP246" s="17">
        <v>0</v>
      </c>
      <c r="AQ246" s="17">
        <v>0</v>
      </c>
      <c r="AR246" s="17">
        <v>0</v>
      </c>
      <c r="AS246" s="17">
        <v>0</v>
      </c>
      <c r="AT246" s="17">
        <v>0</v>
      </c>
      <c r="AU246" s="17">
        <v>0</v>
      </c>
      <c r="AV246" s="17">
        <v>0</v>
      </c>
      <c r="AW246" s="17">
        <v>0</v>
      </c>
      <c r="AX246" s="17">
        <v>0</v>
      </c>
      <c r="AY246" s="17">
        <v>0</v>
      </c>
      <c r="AZ246" s="17">
        <v>0</v>
      </c>
      <c r="BA246" s="17">
        <v>0</v>
      </c>
      <c r="BB246" s="17">
        <v>0</v>
      </c>
      <c r="BC246" s="17">
        <v>0</v>
      </c>
      <c r="BD246" s="17">
        <v>0</v>
      </c>
      <c r="BE246" s="30">
        <v>0</v>
      </c>
      <c r="BF246" s="30">
        <v>0</v>
      </c>
      <c r="BG246" s="17">
        <v>0</v>
      </c>
      <c r="BH246" s="17">
        <v>0</v>
      </c>
      <c r="BI246" s="22">
        <f t="shared" si="65"/>
        <v>0</v>
      </c>
      <c r="BJ246" s="22">
        <f t="shared" si="66"/>
        <v>0</v>
      </c>
      <c r="BK246" s="22">
        <f t="shared" si="67"/>
        <v>4</v>
      </c>
      <c r="BL246" s="22">
        <f t="shared" si="68"/>
        <v>4</v>
      </c>
      <c r="BM246" s="22">
        <f t="shared" si="64"/>
        <v>0</v>
      </c>
      <c r="BN246" s="23">
        <f t="shared" si="69"/>
        <v>1</v>
      </c>
      <c r="BO246" s="23" t="e">
        <f t="shared" si="69"/>
        <v>#DIV/0!</v>
      </c>
      <c r="BP246" s="7" t="e">
        <f>VLOOKUP(A246,[1]Sheet15!B:E,4,0)</f>
        <v>#N/A</v>
      </c>
      <c r="BQ246" s="7" t="e">
        <f>VLOOKUP(A246,[1]Sheet15!B:E,3,0)</f>
        <v>#N/A</v>
      </c>
    </row>
    <row r="247" spans="1:69" ht="22.5" customHeight="1" x14ac:dyDescent="0.25">
      <c r="A247" s="15" t="s">
        <v>656</v>
      </c>
      <c r="B247" s="15">
        <f>VLOOKUP(A247,'[1]Master clients'!F242:W3789,17,0)</f>
        <v>0</v>
      </c>
      <c r="C247" s="15" t="str">
        <f>VLOOKUP(A247,'[1]Master clients'!F242:P3789,11,0)</f>
        <v>AV</v>
      </c>
      <c r="D247" s="15" t="str">
        <f>VLOOKUP(A247,'[1]Master clients'!F:M,8,0)</f>
        <v>End User</v>
      </c>
      <c r="E247" s="16" t="s">
        <v>657</v>
      </c>
      <c r="F247" s="16" t="s">
        <v>653</v>
      </c>
      <c r="G247" s="17"/>
      <c r="H247" s="17"/>
      <c r="I247" s="31">
        <v>0</v>
      </c>
      <c r="J247" s="31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  <c r="AE247" s="17">
        <v>0</v>
      </c>
      <c r="AF247" s="17">
        <v>0</v>
      </c>
      <c r="AG247" s="17">
        <v>0</v>
      </c>
      <c r="AH247" s="17">
        <v>0</v>
      </c>
      <c r="AI247" s="17">
        <v>0</v>
      </c>
      <c r="AJ247" s="17">
        <v>0</v>
      </c>
      <c r="AK247" s="17">
        <v>0</v>
      </c>
      <c r="AL247" s="17">
        <v>0</v>
      </c>
      <c r="AM247" s="17">
        <v>0</v>
      </c>
      <c r="AN247" s="17">
        <v>0</v>
      </c>
      <c r="AO247" s="17">
        <v>0</v>
      </c>
      <c r="AP247" s="17">
        <v>0</v>
      </c>
      <c r="AQ247" s="17">
        <v>0</v>
      </c>
      <c r="AR247" s="17">
        <v>0</v>
      </c>
      <c r="AS247" s="17">
        <v>0</v>
      </c>
      <c r="AT247" s="17">
        <v>0</v>
      </c>
      <c r="AU247" s="17">
        <v>0</v>
      </c>
      <c r="AV247" s="17">
        <v>0</v>
      </c>
      <c r="AW247" s="17">
        <v>0</v>
      </c>
      <c r="AX247" s="17">
        <v>0</v>
      </c>
      <c r="AY247" s="17">
        <v>0</v>
      </c>
      <c r="AZ247" s="17">
        <v>0</v>
      </c>
      <c r="BA247" s="17">
        <v>0</v>
      </c>
      <c r="BB247" s="17">
        <v>0</v>
      </c>
      <c r="BC247" s="17">
        <v>0</v>
      </c>
      <c r="BD247" s="17">
        <v>0</v>
      </c>
      <c r="BE247" s="17">
        <v>0</v>
      </c>
      <c r="BF247" s="17">
        <v>0</v>
      </c>
      <c r="BG247" s="17">
        <v>0</v>
      </c>
      <c r="BH247" s="17">
        <v>0</v>
      </c>
      <c r="BI247" s="22">
        <f t="shared" si="65"/>
        <v>0</v>
      </c>
      <c r="BJ247" s="22">
        <f t="shared" si="66"/>
        <v>0</v>
      </c>
      <c r="BK247" s="22">
        <f t="shared" si="67"/>
        <v>0</v>
      </c>
      <c r="BL247" s="22">
        <f t="shared" si="68"/>
        <v>0</v>
      </c>
      <c r="BM247" s="22">
        <f t="shared" ref="BM247:BM274" si="70">SUM(J247+N247+O247+Q247+S247+U247+X247+AA247+AD247+AF247+AM247+AP247+AQ247+AT247+AX247+AY247+BD247+BH247)</f>
        <v>0</v>
      </c>
      <c r="BN247" s="23" t="e">
        <f t="shared" si="69"/>
        <v>#DIV/0!</v>
      </c>
      <c r="BO247" s="23" t="e">
        <f t="shared" si="69"/>
        <v>#DIV/0!</v>
      </c>
      <c r="BP247" s="7" t="e">
        <f>VLOOKUP(A247,[1]Sheet15!B:E,4,0)</f>
        <v>#N/A</v>
      </c>
      <c r="BQ247" s="7" t="e">
        <f>VLOOKUP(A247,[1]Sheet15!B:E,3,0)</f>
        <v>#N/A</v>
      </c>
    </row>
    <row r="248" spans="1:69" ht="22.5" customHeight="1" x14ac:dyDescent="0.25">
      <c r="A248" s="15" t="s">
        <v>658</v>
      </c>
      <c r="B248" s="15" t="e">
        <f>VLOOKUP(A248,'[1]Master clients'!F243:W3790,17,0)</f>
        <v>#N/A</v>
      </c>
      <c r="C248" s="15" t="e">
        <f>VLOOKUP(A248,'[1]Master clients'!F243:P3790,11,0)</f>
        <v>#N/A</v>
      </c>
      <c r="D248" s="15" t="str">
        <f>VLOOKUP(A248,'[1]Master clients'!F:M,8,0)</f>
        <v>End User</v>
      </c>
      <c r="E248" s="16" t="s">
        <v>659</v>
      </c>
      <c r="F248" s="16" t="s">
        <v>660</v>
      </c>
      <c r="G248" s="17"/>
      <c r="H248" s="17"/>
      <c r="I248" s="18">
        <v>4</v>
      </c>
      <c r="J248" s="18">
        <v>0</v>
      </c>
      <c r="K248" s="17">
        <v>0</v>
      </c>
      <c r="L248" s="17">
        <v>0</v>
      </c>
      <c r="M248" s="17">
        <v>0</v>
      </c>
      <c r="N248" s="17">
        <v>0</v>
      </c>
      <c r="O248" s="17">
        <v>0</v>
      </c>
      <c r="P248" s="17">
        <v>0</v>
      </c>
      <c r="Q248" s="17">
        <v>0</v>
      </c>
      <c r="R248" s="17">
        <v>0</v>
      </c>
      <c r="S248" s="17">
        <v>0</v>
      </c>
      <c r="T248" s="17">
        <v>0</v>
      </c>
      <c r="U248" s="17">
        <v>0</v>
      </c>
      <c r="V248" s="17">
        <v>0</v>
      </c>
      <c r="W248" s="17">
        <v>0</v>
      </c>
      <c r="X248" s="17">
        <v>0</v>
      </c>
      <c r="Y248" s="17">
        <v>0</v>
      </c>
      <c r="Z248" s="17">
        <v>0</v>
      </c>
      <c r="AA248" s="17">
        <v>0</v>
      </c>
      <c r="AB248" s="17">
        <v>0</v>
      </c>
      <c r="AC248" s="17">
        <v>0</v>
      </c>
      <c r="AD248" s="17">
        <v>0</v>
      </c>
      <c r="AE248" s="17">
        <v>0</v>
      </c>
      <c r="AF248" s="17">
        <v>0</v>
      </c>
      <c r="AG248" s="17">
        <v>0</v>
      </c>
      <c r="AH248" s="17">
        <v>0</v>
      </c>
      <c r="AI248" s="17">
        <v>0</v>
      </c>
      <c r="AJ248" s="17">
        <v>0</v>
      </c>
      <c r="AK248" s="17">
        <v>0</v>
      </c>
      <c r="AL248" s="17">
        <v>0</v>
      </c>
      <c r="AM248" s="17">
        <v>0</v>
      </c>
      <c r="AN248" s="17">
        <v>0</v>
      </c>
      <c r="AO248" s="17">
        <v>0</v>
      </c>
      <c r="AP248" s="17">
        <v>0</v>
      </c>
      <c r="AQ248" s="17">
        <v>0</v>
      </c>
      <c r="AR248" s="17">
        <v>0</v>
      </c>
      <c r="AS248" s="17">
        <v>0</v>
      </c>
      <c r="AT248" s="17">
        <v>0</v>
      </c>
      <c r="AU248" s="17">
        <v>0</v>
      </c>
      <c r="AV248" s="17">
        <v>0</v>
      </c>
      <c r="AW248" s="17">
        <v>0</v>
      </c>
      <c r="AX248" s="17">
        <v>0</v>
      </c>
      <c r="AY248" s="17">
        <v>0</v>
      </c>
      <c r="AZ248" s="17">
        <v>0</v>
      </c>
      <c r="BA248" s="17">
        <v>0</v>
      </c>
      <c r="BB248" s="17">
        <v>0</v>
      </c>
      <c r="BC248" s="17">
        <v>0</v>
      </c>
      <c r="BD248" s="17">
        <v>0</v>
      </c>
      <c r="BE248" s="17">
        <v>0</v>
      </c>
      <c r="BF248" s="17">
        <v>0</v>
      </c>
      <c r="BG248" s="17">
        <v>0</v>
      </c>
      <c r="BH248" s="17">
        <v>0</v>
      </c>
      <c r="BI248" s="22">
        <f t="shared" si="65"/>
        <v>0</v>
      </c>
      <c r="BJ248" s="22">
        <f t="shared" si="66"/>
        <v>0</v>
      </c>
      <c r="BK248" s="22">
        <f t="shared" si="67"/>
        <v>4</v>
      </c>
      <c r="BL248" s="22">
        <f t="shared" si="68"/>
        <v>4</v>
      </c>
      <c r="BM248" s="22">
        <f t="shared" si="70"/>
        <v>0</v>
      </c>
      <c r="BN248" s="23">
        <f t="shared" si="69"/>
        <v>1</v>
      </c>
      <c r="BO248" s="23" t="e">
        <f t="shared" si="69"/>
        <v>#DIV/0!</v>
      </c>
      <c r="BP248" s="7">
        <f>VLOOKUP(A248,[1]Sheet15!B:E,4,0)</f>
        <v>4</v>
      </c>
      <c r="BQ248" s="7">
        <f>VLOOKUP(A248,[1]Sheet15!B:E,3,0)</f>
        <v>0</v>
      </c>
    </row>
    <row r="249" spans="1:69" ht="22.5" customHeight="1" x14ac:dyDescent="0.25">
      <c r="A249" s="15" t="s">
        <v>661</v>
      </c>
      <c r="B249" s="15" t="e">
        <f>VLOOKUP(A249,'[1]Master clients'!F244:W3791,17,0)</f>
        <v>#N/A</v>
      </c>
      <c r="C249" s="15" t="e">
        <f>VLOOKUP(A249,'[1]Master clients'!F244:P3791,11,0)</f>
        <v>#N/A</v>
      </c>
      <c r="D249" s="15" t="str">
        <f>VLOOKUP(A249,'[1]Master clients'!F:M,8,0)</f>
        <v>Group (Mills)</v>
      </c>
      <c r="E249" s="16" t="s">
        <v>662</v>
      </c>
      <c r="F249" s="16" t="s">
        <v>663</v>
      </c>
      <c r="G249" s="17"/>
      <c r="H249" s="17"/>
      <c r="I249" s="31">
        <v>0</v>
      </c>
      <c r="J249" s="31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  <c r="AE249" s="17">
        <v>0</v>
      </c>
      <c r="AF249" s="17">
        <v>0</v>
      </c>
      <c r="AG249" s="17">
        <v>0</v>
      </c>
      <c r="AH249" s="17">
        <v>0</v>
      </c>
      <c r="AI249" s="17">
        <v>0</v>
      </c>
      <c r="AJ249" s="17">
        <v>0</v>
      </c>
      <c r="AK249" s="17">
        <v>0</v>
      </c>
      <c r="AL249" s="17">
        <v>0</v>
      </c>
      <c r="AM249" s="17">
        <v>0</v>
      </c>
      <c r="AN249" s="17">
        <v>0</v>
      </c>
      <c r="AO249" s="17">
        <v>0</v>
      </c>
      <c r="AP249" s="17">
        <v>0</v>
      </c>
      <c r="AQ249" s="17">
        <v>0</v>
      </c>
      <c r="AR249" s="17">
        <v>0</v>
      </c>
      <c r="AS249" s="17">
        <v>0</v>
      </c>
      <c r="AT249" s="17">
        <v>0</v>
      </c>
      <c r="AU249" s="17">
        <v>0</v>
      </c>
      <c r="AV249" s="17">
        <v>0</v>
      </c>
      <c r="AW249" s="17">
        <v>0</v>
      </c>
      <c r="AX249" s="17">
        <v>0</v>
      </c>
      <c r="AY249" s="17">
        <v>0</v>
      </c>
      <c r="AZ249" s="17">
        <v>0</v>
      </c>
      <c r="BA249" s="17">
        <v>0</v>
      </c>
      <c r="BB249" s="17">
        <v>0</v>
      </c>
      <c r="BC249" s="17">
        <v>0</v>
      </c>
      <c r="BD249" s="17">
        <v>0</v>
      </c>
      <c r="BE249" s="17">
        <v>0</v>
      </c>
      <c r="BF249" s="17">
        <v>0</v>
      </c>
      <c r="BG249" s="17">
        <v>0</v>
      </c>
      <c r="BH249" s="17">
        <v>0</v>
      </c>
      <c r="BI249" s="22">
        <f t="shared" si="65"/>
        <v>0</v>
      </c>
      <c r="BJ249" s="22">
        <f t="shared" si="66"/>
        <v>0</v>
      </c>
      <c r="BK249" s="22">
        <f t="shared" si="67"/>
        <v>0</v>
      </c>
      <c r="BL249" s="22">
        <f t="shared" si="68"/>
        <v>0</v>
      </c>
      <c r="BM249" s="22">
        <f t="shared" si="70"/>
        <v>0</v>
      </c>
      <c r="BN249" s="23" t="e">
        <f t="shared" si="69"/>
        <v>#DIV/0!</v>
      </c>
      <c r="BO249" s="23" t="e">
        <f t="shared" si="69"/>
        <v>#DIV/0!</v>
      </c>
      <c r="BP249" s="7" t="e">
        <f>VLOOKUP(A249,[1]Sheet15!B:E,4,0)</f>
        <v>#N/A</v>
      </c>
      <c r="BQ249" s="7" t="e">
        <f>VLOOKUP(A249,[1]Sheet15!B:E,3,0)</f>
        <v>#N/A</v>
      </c>
    </row>
    <row r="250" spans="1:69" ht="22.5" customHeight="1" x14ac:dyDescent="0.25">
      <c r="A250" s="15" t="s">
        <v>664</v>
      </c>
      <c r="B250" s="15">
        <f>VLOOKUP(A250,'[1]Master clients'!F245:W3792,17,0)</f>
        <v>0</v>
      </c>
      <c r="C250" s="15" t="str">
        <f>VLOOKUP(A250,'[1]Master clients'!F245:P3792,11,0)</f>
        <v>NI</v>
      </c>
      <c r="D250" s="15" t="str">
        <f>VLOOKUP(A250,'[1]Master clients'!F:M,8,0)</f>
        <v>End User</v>
      </c>
      <c r="E250" s="16" t="s">
        <v>665</v>
      </c>
      <c r="F250" s="16" t="s">
        <v>663</v>
      </c>
      <c r="G250" s="17"/>
      <c r="H250" s="17"/>
      <c r="I250" s="31">
        <v>0</v>
      </c>
      <c r="J250" s="31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  <c r="AE250" s="17">
        <v>0</v>
      </c>
      <c r="AF250" s="17">
        <v>0</v>
      </c>
      <c r="AG250" s="17">
        <v>0</v>
      </c>
      <c r="AH250" s="17">
        <v>0</v>
      </c>
      <c r="AI250" s="17">
        <v>0</v>
      </c>
      <c r="AJ250" s="17">
        <v>0</v>
      </c>
      <c r="AK250" s="17">
        <v>0</v>
      </c>
      <c r="AL250" s="17">
        <v>0</v>
      </c>
      <c r="AM250" s="17">
        <v>0</v>
      </c>
      <c r="AN250" s="17">
        <v>0</v>
      </c>
      <c r="AO250" s="17">
        <v>0</v>
      </c>
      <c r="AP250" s="17">
        <v>0</v>
      </c>
      <c r="AQ250" s="17">
        <v>0</v>
      </c>
      <c r="AR250" s="17">
        <v>0</v>
      </c>
      <c r="AS250" s="17">
        <v>0</v>
      </c>
      <c r="AT250" s="17">
        <v>0</v>
      </c>
      <c r="AU250" s="17">
        <v>0</v>
      </c>
      <c r="AV250" s="17">
        <v>0</v>
      </c>
      <c r="AW250" s="17">
        <v>0</v>
      </c>
      <c r="AX250" s="17">
        <v>0</v>
      </c>
      <c r="AY250" s="17">
        <v>0</v>
      </c>
      <c r="AZ250" s="17">
        <v>0</v>
      </c>
      <c r="BA250" s="17">
        <v>0</v>
      </c>
      <c r="BB250" s="17">
        <v>0</v>
      </c>
      <c r="BC250" s="17">
        <v>0</v>
      </c>
      <c r="BD250" s="17">
        <v>0</v>
      </c>
      <c r="BE250" s="17">
        <v>0</v>
      </c>
      <c r="BF250" s="17">
        <v>0</v>
      </c>
      <c r="BG250" s="17">
        <v>0</v>
      </c>
      <c r="BH250" s="17">
        <v>0</v>
      </c>
      <c r="BI250" s="22">
        <f t="shared" si="65"/>
        <v>0</v>
      </c>
      <c r="BJ250" s="22">
        <f t="shared" si="66"/>
        <v>0</v>
      </c>
      <c r="BK250" s="22">
        <f t="shared" si="67"/>
        <v>0</v>
      </c>
      <c r="BL250" s="22">
        <f t="shared" si="68"/>
        <v>0</v>
      </c>
      <c r="BM250" s="22">
        <f t="shared" si="70"/>
        <v>0</v>
      </c>
      <c r="BN250" s="23" t="e">
        <f t="shared" si="69"/>
        <v>#DIV/0!</v>
      </c>
      <c r="BO250" s="23" t="e">
        <f t="shared" si="69"/>
        <v>#DIV/0!</v>
      </c>
      <c r="BP250" s="7" t="e">
        <f>VLOOKUP(A250,[1]Sheet15!B:E,4,0)</f>
        <v>#N/A</v>
      </c>
      <c r="BQ250" s="7" t="e">
        <f>VLOOKUP(A250,[1]Sheet15!B:E,3,0)</f>
        <v>#N/A</v>
      </c>
    </row>
    <row r="251" spans="1:69" ht="22.5" customHeight="1" x14ac:dyDescent="0.25">
      <c r="A251" s="15" t="s">
        <v>666</v>
      </c>
      <c r="B251" s="15" t="str">
        <f>VLOOKUP(A251,'[1]Master clients'!F246:W3793,17,0)</f>
        <v>May</v>
      </c>
      <c r="C251" s="15" t="str">
        <f>VLOOKUP(A251,'[1]Master clients'!F246:P3793,11,0)</f>
        <v>MRK</v>
      </c>
      <c r="D251" s="15" t="str">
        <f>VLOOKUP(A251,'[1]Master clients'!F:M,8,0)</f>
        <v>Group (Mills)</v>
      </c>
      <c r="E251" s="16" t="s">
        <v>667</v>
      </c>
      <c r="F251" s="16" t="s">
        <v>626</v>
      </c>
      <c r="G251" s="17">
        <v>28</v>
      </c>
      <c r="H251" s="17">
        <v>0</v>
      </c>
      <c r="I251" s="18">
        <v>25</v>
      </c>
      <c r="J251" s="18">
        <v>0</v>
      </c>
      <c r="K251" s="17">
        <v>4</v>
      </c>
      <c r="L251" s="17">
        <v>0</v>
      </c>
      <c r="M251" s="17">
        <v>0</v>
      </c>
      <c r="N251" s="17">
        <v>4</v>
      </c>
      <c r="O251" s="19">
        <v>0</v>
      </c>
      <c r="P251" s="19">
        <v>0</v>
      </c>
      <c r="Q251" s="19">
        <v>3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20">
        <v>0</v>
      </c>
      <c r="X251" s="20">
        <v>0</v>
      </c>
      <c r="Y251" s="19">
        <v>0</v>
      </c>
      <c r="Z251" s="19">
        <v>0</v>
      </c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>
        <v>0</v>
      </c>
      <c r="AI251" s="20">
        <v>0</v>
      </c>
      <c r="AJ251" s="20">
        <v>0</v>
      </c>
      <c r="AK251" s="19">
        <v>0</v>
      </c>
      <c r="AL251" s="20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>
        <v>0</v>
      </c>
      <c r="AS251" s="19">
        <v>0</v>
      </c>
      <c r="AT251" s="19">
        <v>0</v>
      </c>
      <c r="AU251" s="19">
        <v>0</v>
      </c>
      <c r="AV251" s="19">
        <v>0</v>
      </c>
      <c r="AW251" s="20">
        <v>0</v>
      </c>
      <c r="AX251" s="20">
        <v>0</v>
      </c>
      <c r="AY251" s="20">
        <v>0</v>
      </c>
      <c r="AZ251" s="19">
        <v>0</v>
      </c>
      <c r="BA251" s="19">
        <v>0</v>
      </c>
      <c r="BB251" s="19">
        <v>0</v>
      </c>
      <c r="BC251" s="19">
        <v>0</v>
      </c>
      <c r="BD251" s="19">
        <v>0</v>
      </c>
      <c r="BE251" s="21">
        <v>0</v>
      </c>
      <c r="BF251" s="21">
        <v>0</v>
      </c>
      <c r="BG251" s="19">
        <v>0</v>
      </c>
      <c r="BH251" s="19">
        <v>0</v>
      </c>
      <c r="BI251" s="22">
        <f t="shared" si="65"/>
        <v>4</v>
      </c>
      <c r="BJ251" s="22">
        <f t="shared" si="66"/>
        <v>7</v>
      </c>
      <c r="BK251" s="22">
        <f t="shared" si="67"/>
        <v>36</v>
      </c>
      <c r="BL251" s="22">
        <f t="shared" si="68"/>
        <v>29</v>
      </c>
      <c r="BM251" s="22">
        <f t="shared" si="70"/>
        <v>7</v>
      </c>
      <c r="BN251" s="23">
        <f t="shared" si="69"/>
        <v>0.86206896551724133</v>
      </c>
      <c r="BO251" s="23">
        <f t="shared" si="69"/>
        <v>0</v>
      </c>
      <c r="BP251" s="7">
        <f>VLOOKUP(A251,[1]Sheet15!B:E,4,0)</f>
        <v>4</v>
      </c>
      <c r="BQ251" s="7">
        <f>VLOOKUP(A251,[1]Sheet15!B:E,3,0)</f>
        <v>0</v>
      </c>
    </row>
    <row r="252" spans="1:69" ht="22.5" customHeight="1" x14ac:dyDescent="0.25">
      <c r="A252" s="15" t="s">
        <v>668</v>
      </c>
      <c r="B252" s="15" t="e">
        <f>VLOOKUP(A252,'[1]Master clients'!F247:W3794,17,0)</f>
        <v>#N/A</v>
      </c>
      <c r="C252" s="15" t="e">
        <f>VLOOKUP(A252,'[1]Master clients'!F247:P3794,11,0)</f>
        <v>#N/A</v>
      </c>
      <c r="D252" s="15" t="str">
        <f>VLOOKUP(A252,'[1]Master clients'!F:M,8,0)</f>
        <v>End User</v>
      </c>
      <c r="E252" s="16" t="s">
        <v>669</v>
      </c>
      <c r="F252" s="16" t="s">
        <v>670</v>
      </c>
      <c r="G252" s="17"/>
      <c r="H252" s="17">
        <v>2</v>
      </c>
      <c r="I252" s="31">
        <v>0</v>
      </c>
      <c r="J252" s="31">
        <v>2</v>
      </c>
      <c r="K252" s="17">
        <v>0</v>
      </c>
      <c r="L252" s="17">
        <v>0</v>
      </c>
      <c r="M252" s="17">
        <v>0</v>
      </c>
      <c r="N252" s="17">
        <v>0</v>
      </c>
      <c r="O252" s="17">
        <v>0</v>
      </c>
      <c r="P252" s="17">
        <v>0</v>
      </c>
      <c r="Q252" s="17">
        <v>0</v>
      </c>
      <c r="R252" s="17">
        <v>0</v>
      </c>
      <c r="S252" s="17">
        <v>0</v>
      </c>
      <c r="T252" s="17">
        <v>0</v>
      </c>
      <c r="U252" s="17">
        <v>0</v>
      </c>
      <c r="V252" s="17">
        <v>0</v>
      </c>
      <c r="W252" s="17">
        <v>0</v>
      </c>
      <c r="X252" s="17">
        <v>0</v>
      </c>
      <c r="Y252" s="17">
        <v>0</v>
      </c>
      <c r="Z252" s="17">
        <v>0</v>
      </c>
      <c r="AA252" s="17">
        <v>0</v>
      </c>
      <c r="AB252" s="17">
        <v>0</v>
      </c>
      <c r="AC252" s="17">
        <v>0</v>
      </c>
      <c r="AD252" s="17">
        <v>0</v>
      </c>
      <c r="AE252" s="17">
        <v>0</v>
      </c>
      <c r="AF252" s="17">
        <v>0</v>
      </c>
      <c r="AG252" s="17">
        <v>0</v>
      </c>
      <c r="AH252" s="17">
        <v>0</v>
      </c>
      <c r="AI252" s="17">
        <v>0</v>
      </c>
      <c r="AJ252" s="17">
        <v>0</v>
      </c>
      <c r="AK252" s="17">
        <v>0</v>
      </c>
      <c r="AL252" s="17">
        <v>0</v>
      </c>
      <c r="AM252" s="17">
        <v>0</v>
      </c>
      <c r="AN252" s="17">
        <v>0</v>
      </c>
      <c r="AO252" s="17">
        <v>0</v>
      </c>
      <c r="AP252" s="17">
        <v>0</v>
      </c>
      <c r="AQ252" s="17">
        <v>0</v>
      </c>
      <c r="AR252" s="17">
        <v>0</v>
      </c>
      <c r="AS252" s="17">
        <v>0</v>
      </c>
      <c r="AT252" s="17">
        <v>0</v>
      </c>
      <c r="AU252" s="17">
        <v>0</v>
      </c>
      <c r="AV252" s="17">
        <v>0</v>
      </c>
      <c r="AW252" s="17">
        <v>0</v>
      </c>
      <c r="AX252" s="17">
        <v>0</v>
      </c>
      <c r="AY252" s="17">
        <v>0</v>
      </c>
      <c r="AZ252" s="17">
        <v>0</v>
      </c>
      <c r="BA252" s="17">
        <v>0</v>
      </c>
      <c r="BB252" s="17">
        <v>0</v>
      </c>
      <c r="BC252" s="17">
        <v>0</v>
      </c>
      <c r="BD252" s="17">
        <v>0</v>
      </c>
      <c r="BE252" s="17">
        <v>0</v>
      </c>
      <c r="BF252" s="17">
        <v>0</v>
      </c>
      <c r="BG252" s="17">
        <v>0</v>
      </c>
      <c r="BH252" s="17">
        <v>0</v>
      </c>
      <c r="BI252" s="22">
        <f t="shared" si="65"/>
        <v>0</v>
      </c>
      <c r="BJ252" s="22">
        <f t="shared" si="66"/>
        <v>0</v>
      </c>
      <c r="BK252" s="22">
        <f t="shared" si="67"/>
        <v>2</v>
      </c>
      <c r="BL252" s="22">
        <f t="shared" si="68"/>
        <v>0</v>
      </c>
      <c r="BM252" s="22">
        <f t="shared" si="70"/>
        <v>2</v>
      </c>
      <c r="BN252" s="23" t="e">
        <f t="shared" si="69"/>
        <v>#DIV/0!</v>
      </c>
      <c r="BO252" s="23">
        <f t="shared" si="69"/>
        <v>1</v>
      </c>
      <c r="BP252" s="7">
        <f>VLOOKUP(A252,[1]Sheet15!B:E,4,0)</f>
        <v>0</v>
      </c>
      <c r="BQ252" s="7">
        <f>VLOOKUP(A252,[1]Sheet15!B:E,3,0)</f>
        <v>2</v>
      </c>
    </row>
    <row r="253" spans="1:69" ht="22.5" customHeight="1" x14ac:dyDescent="0.25">
      <c r="A253" s="15" t="s">
        <v>671</v>
      </c>
      <c r="B253" s="15">
        <f>VLOOKUP(A253,'[1]Master clients'!F249:W3796,17,0)</f>
        <v>0</v>
      </c>
      <c r="C253" s="15" t="str">
        <f>VLOOKUP(A253,'[1]Master clients'!F249:P3796,11,0)</f>
        <v>AV</v>
      </c>
      <c r="D253" s="15" t="str">
        <f>VLOOKUP(A253,'[1]Master clients'!F:M,8,0)</f>
        <v>End User</v>
      </c>
      <c r="E253" s="16" t="s">
        <v>672</v>
      </c>
      <c r="F253" s="16" t="s">
        <v>673</v>
      </c>
      <c r="G253" s="17">
        <v>1</v>
      </c>
      <c r="H253" s="17">
        <v>0</v>
      </c>
      <c r="I253" s="18">
        <v>2</v>
      </c>
      <c r="J253" s="18">
        <v>0</v>
      </c>
      <c r="K253" s="17">
        <v>1</v>
      </c>
      <c r="L253" s="17">
        <v>0</v>
      </c>
      <c r="M253" s="17">
        <v>0</v>
      </c>
      <c r="N253" s="17">
        <v>0</v>
      </c>
      <c r="O253" s="19">
        <v>0</v>
      </c>
      <c r="P253" s="19">
        <v>0</v>
      </c>
      <c r="Q253" s="19">
        <v>5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20">
        <v>0</v>
      </c>
      <c r="X253" s="20">
        <v>0</v>
      </c>
      <c r="Y253" s="19">
        <v>0</v>
      </c>
      <c r="Z253" s="19">
        <v>8</v>
      </c>
      <c r="AA253" s="19">
        <v>8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>
        <v>0</v>
      </c>
      <c r="AI253" s="20">
        <v>0</v>
      </c>
      <c r="AJ253" s="20">
        <v>0</v>
      </c>
      <c r="AK253" s="19">
        <v>4</v>
      </c>
      <c r="AL253" s="20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>
        <v>0</v>
      </c>
      <c r="AS253" s="19">
        <v>0</v>
      </c>
      <c r="AT253" s="19">
        <v>0</v>
      </c>
      <c r="AU253" s="19">
        <v>0</v>
      </c>
      <c r="AV253" s="19">
        <v>0</v>
      </c>
      <c r="AW253" s="20">
        <v>0</v>
      </c>
      <c r="AX253" s="20">
        <v>0</v>
      </c>
      <c r="AY253" s="20">
        <v>0</v>
      </c>
      <c r="AZ253" s="19">
        <v>0</v>
      </c>
      <c r="BA253" s="19">
        <v>0</v>
      </c>
      <c r="BB253" s="19">
        <v>0</v>
      </c>
      <c r="BC253" s="19">
        <v>0</v>
      </c>
      <c r="BD253" s="19">
        <v>0</v>
      </c>
      <c r="BE253" s="21">
        <v>0</v>
      </c>
      <c r="BF253" s="21">
        <v>0</v>
      </c>
      <c r="BG253" s="19">
        <v>0</v>
      </c>
      <c r="BH253" s="19">
        <v>0</v>
      </c>
      <c r="BI253" s="22">
        <f t="shared" si="65"/>
        <v>13</v>
      </c>
      <c r="BJ253" s="22">
        <f t="shared" si="66"/>
        <v>13</v>
      </c>
      <c r="BK253" s="22">
        <f t="shared" si="67"/>
        <v>28</v>
      </c>
      <c r="BL253" s="22">
        <f t="shared" si="68"/>
        <v>15</v>
      </c>
      <c r="BM253" s="22">
        <f t="shared" si="70"/>
        <v>13</v>
      </c>
      <c r="BN253" s="23">
        <f t="shared" si="69"/>
        <v>0.13333333333333333</v>
      </c>
      <c r="BO253" s="23">
        <f t="shared" si="69"/>
        <v>0</v>
      </c>
      <c r="BP253" s="7" t="e">
        <f>VLOOKUP(A253,[1]Sheet15!B:E,4,0)</f>
        <v>#N/A</v>
      </c>
      <c r="BQ253" s="7" t="e">
        <f>VLOOKUP(A253,[1]Sheet15!B:E,3,0)</f>
        <v>#N/A</v>
      </c>
    </row>
    <row r="254" spans="1:69" ht="22.5" customHeight="1" x14ac:dyDescent="0.25">
      <c r="A254" s="15" t="s">
        <v>671</v>
      </c>
      <c r="B254" s="15">
        <f>VLOOKUP(A254,'[1]Master clients'!F250:W3797,17,0)</f>
        <v>0</v>
      </c>
      <c r="C254" s="15" t="str">
        <f>VLOOKUP(A254,'[1]Master clients'!F250:P3797,11,0)</f>
        <v>AV</v>
      </c>
      <c r="D254" s="15" t="str">
        <f>VLOOKUP(A254,'[1]Master clients'!F:M,8,0)</f>
        <v>End User</v>
      </c>
      <c r="E254" s="16" t="s">
        <v>674</v>
      </c>
      <c r="F254" s="16" t="s">
        <v>675</v>
      </c>
      <c r="G254" s="17">
        <v>0</v>
      </c>
      <c r="H254" s="17">
        <v>0</v>
      </c>
      <c r="I254" s="18">
        <v>16</v>
      </c>
      <c r="J254" s="18">
        <v>0</v>
      </c>
      <c r="K254" s="17">
        <v>0</v>
      </c>
      <c r="L254" s="17">
        <v>0</v>
      </c>
      <c r="M254" s="17">
        <v>0</v>
      </c>
      <c r="N254" s="17">
        <v>0</v>
      </c>
      <c r="O254" s="19">
        <v>3</v>
      </c>
      <c r="P254" s="19">
        <v>0</v>
      </c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20">
        <v>0</v>
      </c>
      <c r="X254" s="20">
        <v>0</v>
      </c>
      <c r="Y254" s="19">
        <v>0</v>
      </c>
      <c r="Z254" s="19">
        <v>0</v>
      </c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>
        <v>0</v>
      </c>
      <c r="AI254" s="20">
        <v>0</v>
      </c>
      <c r="AJ254" s="20">
        <v>0</v>
      </c>
      <c r="AK254" s="19">
        <v>0</v>
      </c>
      <c r="AL254" s="20">
        <v>0</v>
      </c>
      <c r="AM254" s="19">
        <v>0</v>
      </c>
      <c r="AN254" s="19">
        <v>0</v>
      </c>
      <c r="AO254" s="19">
        <v>1</v>
      </c>
      <c r="AP254" s="19">
        <v>0</v>
      </c>
      <c r="AQ254" s="19">
        <v>0</v>
      </c>
      <c r="AR254" s="19">
        <v>0</v>
      </c>
      <c r="AS254" s="19">
        <v>0</v>
      </c>
      <c r="AT254" s="19">
        <v>0</v>
      </c>
      <c r="AU254" s="19">
        <v>0</v>
      </c>
      <c r="AV254" s="19">
        <v>0</v>
      </c>
      <c r="AW254" s="20">
        <v>0</v>
      </c>
      <c r="AX254" s="20">
        <v>0</v>
      </c>
      <c r="AY254" s="20">
        <v>0</v>
      </c>
      <c r="AZ254" s="19">
        <v>0</v>
      </c>
      <c r="BA254" s="19">
        <v>0</v>
      </c>
      <c r="BB254" s="19">
        <v>0</v>
      </c>
      <c r="BC254" s="19">
        <v>0</v>
      </c>
      <c r="BD254" s="19">
        <v>0</v>
      </c>
      <c r="BE254" s="21">
        <v>0</v>
      </c>
      <c r="BF254" s="21">
        <v>0</v>
      </c>
      <c r="BG254" s="19">
        <v>0</v>
      </c>
      <c r="BH254" s="19">
        <v>0</v>
      </c>
      <c r="BI254" s="22">
        <f t="shared" si="65"/>
        <v>1</v>
      </c>
      <c r="BJ254" s="22">
        <f t="shared" si="66"/>
        <v>3</v>
      </c>
      <c r="BK254" s="22">
        <f t="shared" si="67"/>
        <v>20</v>
      </c>
      <c r="BL254" s="22">
        <f t="shared" si="68"/>
        <v>17</v>
      </c>
      <c r="BM254" s="22">
        <f t="shared" si="70"/>
        <v>3</v>
      </c>
      <c r="BN254" s="23">
        <f t="shared" si="69"/>
        <v>0.94117647058823528</v>
      </c>
      <c r="BO254" s="23">
        <f t="shared" si="69"/>
        <v>0</v>
      </c>
      <c r="BP254" s="7" t="e">
        <f>VLOOKUP(A254,[1]Sheet15!B:E,4,0)</f>
        <v>#N/A</v>
      </c>
      <c r="BQ254" s="7" t="e">
        <f>VLOOKUP(A254,[1]Sheet15!B:E,3,0)</f>
        <v>#N/A</v>
      </c>
    </row>
    <row r="255" spans="1:69" ht="22.5" customHeight="1" x14ac:dyDescent="0.25">
      <c r="A255" s="15" t="s">
        <v>671</v>
      </c>
      <c r="B255" s="15">
        <f>VLOOKUP(A255,'[1]Master clients'!F251:W3798,17,0)</f>
        <v>0</v>
      </c>
      <c r="C255" s="15" t="str">
        <f>VLOOKUP(A255,'[1]Master clients'!F251:P3798,11,0)</f>
        <v>AV</v>
      </c>
      <c r="D255" s="15" t="str">
        <f>VLOOKUP(A255,'[1]Master clients'!F:M,8,0)</f>
        <v>End User</v>
      </c>
      <c r="E255" s="24" t="s">
        <v>676</v>
      </c>
      <c r="F255" s="25" t="s">
        <v>481</v>
      </c>
      <c r="G255" s="20"/>
      <c r="H255" s="20"/>
      <c r="I255" s="26">
        <v>1</v>
      </c>
      <c r="J255" s="26">
        <v>0</v>
      </c>
      <c r="K255" s="20">
        <v>4</v>
      </c>
      <c r="L255" s="20">
        <v>0</v>
      </c>
      <c r="M255" s="20">
        <v>0</v>
      </c>
      <c r="N255" s="20">
        <v>0</v>
      </c>
      <c r="O255" s="20">
        <v>0</v>
      </c>
      <c r="P255" s="20">
        <v>0</v>
      </c>
      <c r="Q255" s="20">
        <v>0</v>
      </c>
      <c r="R255" s="20">
        <v>0</v>
      </c>
      <c r="S255" s="20">
        <v>0</v>
      </c>
      <c r="T255" s="20">
        <v>0</v>
      </c>
      <c r="U255" s="20">
        <v>0</v>
      </c>
      <c r="V255" s="20">
        <v>0</v>
      </c>
      <c r="W255" s="20">
        <v>0</v>
      </c>
      <c r="X255" s="20">
        <v>0</v>
      </c>
      <c r="Y255" s="20">
        <v>0</v>
      </c>
      <c r="Z255" s="20">
        <v>0</v>
      </c>
      <c r="AA255" s="20">
        <v>0</v>
      </c>
      <c r="AB255" s="20">
        <v>0</v>
      </c>
      <c r="AC255" s="20">
        <v>0</v>
      </c>
      <c r="AD255" s="20">
        <v>0</v>
      </c>
      <c r="AE255" s="20">
        <v>0</v>
      </c>
      <c r="AF255" s="20">
        <v>0</v>
      </c>
      <c r="AG255" s="20">
        <v>0</v>
      </c>
      <c r="AH255" s="20">
        <v>0</v>
      </c>
      <c r="AI255" s="20">
        <v>0</v>
      </c>
      <c r="AJ255" s="20">
        <v>0</v>
      </c>
      <c r="AK255" s="20">
        <v>0</v>
      </c>
      <c r="AL255" s="20">
        <v>0</v>
      </c>
      <c r="AM255" s="20">
        <v>0</v>
      </c>
      <c r="AN255" s="20">
        <v>0</v>
      </c>
      <c r="AO255" s="20">
        <v>0</v>
      </c>
      <c r="AP255" s="20">
        <v>0</v>
      </c>
      <c r="AQ255" s="20">
        <v>0</v>
      </c>
      <c r="AR255" s="20">
        <v>0</v>
      </c>
      <c r="AS255" s="20">
        <v>0</v>
      </c>
      <c r="AT255" s="20">
        <v>0</v>
      </c>
      <c r="AU255" s="20">
        <v>0</v>
      </c>
      <c r="AV255" s="20">
        <v>0</v>
      </c>
      <c r="AW255" s="20">
        <v>0</v>
      </c>
      <c r="AX255" s="20">
        <v>0</v>
      </c>
      <c r="AY255" s="20">
        <v>0</v>
      </c>
      <c r="AZ255" s="20">
        <v>0</v>
      </c>
      <c r="BA255" s="20">
        <v>0</v>
      </c>
      <c r="BB255" s="20">
        <v>0</v>
      </c>
      <c r="BC255" s="20">
        <v>0</v>
      </c>
      <c r="BD255" s="20">
        <v>0</v>
      </c>
      <c r="BE255" s="21">
        <v>0</v>
      </c>
      <c r="BF255" s="21">
        <v>0</v>
      </c>
      <c r="BG255" s="20">
        <v>0</v>
      </c>
      <c r="BH255" s="20">
        <v>0</v>
      </c>
      <c r="BI255" s="22">
        <f t="shared" si="65"/>
        <v>4</v>
      </c>
      <c r="BJ255" s="22">
        <f t="shared" si="66"/>
        <v>0</v>
      </c>
      <c r="BK255" s="28">
        <f t="shared" si="67"/>
        <v>5</v>
      </c>
      <c r="BL255" s="22">
        <f t="shared" si="68"/>
        <v>5</v>
      </c>
      <c r="BM255" s="22">
        <f t="shared" si="70"/>
        <v>0</v>
      </c>
      <c r="BN255" s="23">
        <f t="shared" si="69"/>
        <v>0.2</v>
      </c>
      <c r="BO255" s="23" t="e">
        <f t="shared" si="69"/>
        <v>#DIV/0!</v>
      </c>
      <c r="BP255" s="7" t="e">
        <f>VLOOKUP(A255,[1]Sheet15!B:E,4,0)</f>
        <v>#N/A</v>
      </c>
      <c r="BQ255" s="7" t="e">
        <f>VLOOKUP(A255,[1]Sheet15!B:E,3,0)</f>
        <v>#N/A</v>
      </c>
    </row>
    <row r="256" spans="1:69" ht="22.5" customHeight="1" x14ac:dyDescent="0.25">
      <c r="A256" s="15" t="s">
        <v>671</v>
      </c>
      <c r="B256" s="15">
        <f>VLOOKUP(A256,'[1]Master clients'!F252:W3799,17,0)</f>
        <v>0</v>
      </c>
      <c r="C256" s="15" t="str">
        <f>VLOOKUP(A256,'[1]Master clients'!F252:P3799,11,0)</f>
        <v>AV</v>
      </c>
      <c r="D256" s="15" t="str">
        <f>VLOOKUP(A256,'[1]Master clients'!F:M,8,0)</f>
        <v>End User</v>
      </c>
      <c r="E256" s="24" t="s">
        <v>677</v>
      </c>
      <c r="F256" s="25" t="s">
        <v>570</v>
      </c>
      <c r="G256" s="20"/>
      <c r="H256" s="20"/>
      <c r="I256" s="26">
        <v>22</v>
      </c>
      <c r="J256" s="26">
        <v>6</v>
      </c>
      <c r="K256" s="20">
        <v>0</v>
      </c>
      <c r="L256" s="20">
        <v>0</v>
      </c>
      <c r="M256" s="20">
        <v>0</v>
      </c>
      <c r="N256" s="20">
        <v>0</v>
      </c>
      <c r="O256" s="20">
        <v>0</v>
      </c>
      <c r="P256" s="20">
        <v>0</v>
      </c>
      <c r="Q256" s="20">
        <v>6</v>
      </c>
      <c r="R256" s="20">
        <v>0</v>
      </c>
      <c r="S256" s="20">
        <v>0</v>
      </c>
      <c r="T256" s="20">
        <v>0</v>
      </c>
      <c r="U256" s="20">
        <v>0</v>
      </c>
      <c r="V256" s="20">
        <v>0</v>
      </c>
      <c r="W256" s="20">
        <v>0</v>
      </c>
      <c r="X256" s="20">
        <v>0</v>
      </c>
      <c r="Y256" s="20">
        <v>0</v>
      </c>
      <c r="Z256" s="20">
        <v>0</v>
      </c>
      <c r="AA256" s="20">
        <v>0</v>
      </c>
      <c r="AB256" s="20">
        <v>0</v>
      </c>
      <c r="AC256" s="20">
        <v>0</v>
      </c>
      <c r="AD256" s="20">
        <v>0</v>
      </c>
      <c r="AE256" s="20">
        <v>0</v>
      </c>
      <c r="AF256" s="20">
        <v>0</v>
      </c>
      <c r="AG256" s="20">
        <v>0</v>
      </c>
      <c r="AH256" s="20">
        <v>0</v>
      </c>
      <c r="AI256" s="20">
        <v>0</v>
      </c>
      <c r="AJ256" s="20">
        <v>0</v>
      </c>
      <c r="AK256" s="20">
        <v>0</v>
      </c>
      <c r="AL256" s="20">
        <v>0</v>
      </c>
      <c r="AM256" s="20">
        <v>0</v>
      </c>
      <c r="AN256" s="20">
        <v>0</v>
      </c>
      <c r="AO256" s="20">
        <v>0</v>
      </c>
      <c r="AP256" s="20">
        <v>0</v>
      </c>
      <c r="AQ256" s="20">
        <v>0</v>
      </c>
      <c r="AR256" s="20">
        <v>0</v>
      </c>
      <c r="AS256" s="20">
        <v>0</v>
      </c>
      <c r="AT256" s="20">
        <v>0</v>
      </c>
      <c r="AU256" s="20">
        <v>0</v>
      </c>
      <c r="AV256" s="20">
        <v>0</v>
      </c>
      <c r="AW256" s="20">
        <v>0</v>
      </c>
      <c r="AX256" s="20">
        <v>0</v>
      </c>
      <c r="AY256" s="20">
        <v>0</v>
      </c>
      <c r="AZ256" s="20">
        <v>0</v>
      </c>
      <c r="BA256" s="20">
        <v>0</v>
      </c>
      <c r="BB256" s="20">
        <v>0</v>
      </c>
      <c r="BC256" s="20">
        <v>0</v>
      </c>
      <c r="BD256" s="20">
        <v>0</v>
      </c>
      <c r="BE256" s="20">
        <v>0</v>
      </c>
      <c r="BF256" s="20">
        <v>0</v>
      </c>
      <c r="BG256" s="20">
        <v>0</v>
      </c>
      <c r="BH256" s="20">
        <v>0</v>
      </c>
      <c r="BI256" s="22">
        <f t="shared" si="65"/>
        <v>0</v>
      </c>
      <c r="BJ256" s="22">
        <f t="shared" si="66"/>
        <v>6</v>
      </c>
      <c r="BK256" s="28">
        <f t="shared" si="67"/>
        <v>34</v>
      </c>
      <c r="BL256" s="22">
        <f t="shared" si="68"/>
        <v>22</v>
      </c>
      <c r="BM256" s="22">
        <f t="shared" si="70"/>
        <v>12</v>
      </c>
      <c r="BN256" s="23">
        <f t="shared" si="69"/>
        <v>1</v>
      </c>
      <c r="BO256" s="23">
        <f t="shared" si="69"/>
        <v>0.5</v>
      </c>
      <c r="BP256" s="7" t="e">
        <f>VLOOKUP(A256,[1]Sheet15!B:E,4,0)</f>
        <v>#N/A</v>
      </c>
      <c r="BQ256" s="7" t="e">
        <f>VLOOKUP(A256,[1]Sheet15!B:E,3,0)</f>
        <v>#N/A</v>
      </c>
    </row>
    <row r="257" spans="1:69" ht="22.5" customHeight="1" x14ac:dyDescent="0.25">
      <c r="A257" s="15" t="s">
        <v>671</v>
      </c>
      <c r="B257" s="15">
        <f>VLOOKUP(A257,'[1]Master clients'!F253:W3800,17,0)</f>
        <v>0</v>
      </c>
      <c r="C257" s="15" t="str">
        <f>VLOOKUP(A257,'[1]Master clients'!F253:P3800,11,0)</f>
        <v>AV</v>
      </c>
      <c r="D257" s="15" t="str">
        <f>VLOOKUP(A257,'[1]Master clients'!F:M,8,0)</f>
        <v>End User</v>
      </c>
      <c r="E257" s="24" t="s">
        <v>678</v>
      </c>
      <c r="F257" s="29" t="s">
        <v>679</v>
      </c>
      <c r="G257" s="20"/>
      <c r="H257" s="20"/>
      <c r="I257" s="26">
        <v>5</v>
      </c>
      <c r="J257" s="26">
        <v>6</v>
      </c>
      <c r="K257" s="20">
        <v>0</v>
      </c>
      <c r="L257" s="20">
        <v>0</v>
      </c>
      <c r="M257" s="20">
        <v>0</v>
      </c>
      <c r="N257" s="20">
        <v>0</v>
      </c>
      <c r="O257" s="20">
        <v>0</v>
      </c>
      <c r="P257" s="20">
        <v>5</v>
      </c>
      <c r="Q257" s="20">
        <v>3</v>
      </c>
      <c r="R257" s="20">
        <v>0</v>
      </c>
      <c r="S257" s="20">
        <v>0</v>
      </c>
      <c r="T257" s="20">
        <v>0</v>
      </c>
      <c r="U257" s="20">
        <v>0</v>
      </c>
      <c r="V257" s="20">
        <v>0</v>
      </c>
      <c r="W257" s="20">
        <v>0</v>
      </c>
      <c r="X257" s="20">
        <v>0</v>
      </c>
      <c r="Y257" s="20">
        <v>0</v>
      </c>
      <c r="Z257" s="20">
        <v>0</v>
      </c>
      <c r="AA257" s="20">
        <v>0</v>
      </c>
      <c r="AB257" s="20">
        <v>0</v>
      </c>
      <c r="AC257" s="20">
        <v>0</v>
      </c>
      <c r="AD257" s="20">
        <v>0</v>
      </c>
      <c r="AE257" s="20">
        <v>0</v>
      </c>
      <c r="AF257" s="20">
        <v>0</v>
      </c>
      <c r="AG257" s="20">
        <v>0</v>
      </c>
      <c r="AH257" s="20">
        <v>0</v>
      </c>
      <c r="AI257" s="20">
        <v>0</v>
      </c>
      <c r="AJ257" s="20">
        <v>0</v>
      </c>
      <c r="AK257" s="20">
        <v>0</v>
      </c>
      <c r="AL257" s="20">
        <v>0</v>
      </c>
      <c r="AM257" s="20">
        <v>0</v>
      </c>
      <c r="AN257" s="20">
        <v>0</v>
      </c>
      <c r="AO257" s="20">
        <v>0</v>
      </c>
      <c r="AP257" s="20">
        <v>0</v>
      </c>
      <c r="AQ257" s="20">
        <v>0</v>
      </c>
      <c r="AR257" s="20">
        <v>0</v>
      </c>
      <c r="AS257" s="20">
        <v>0</v>
      </c>
      <c r="AT257" s="20">
        <v>0</v>
      </c>
      <c r="AU257" s="20">
        <v>0</v>
      </c>
      <c r="AV257" s="20">
        <v>0</v>
      </c>
      <c r="AW257" s="20">
        <v>0</v>
      </c>
      <c r="AX257" s="20">
        <v>0</v>
      </c>
      <c r="AY257" s="20">
        <v>0</v>
      </c>
      <c r="AZ257" s="20">
        <v>0</v>
      </c>
      <c r="BA257" s="20">
        <v>0</v>
      </c>
      <c r="BB257" s="20">
        <v>0</v>
      </c>
      <c r="BC257" s="20">
        <v>0</v>
      </c>
      <c r="BD257" s="20">
        <v>0</v>
      </c>
      <c r="BE257" s="20">
        <v>0</v>
      </c>
      <c r="BF257" s="20">
        <v>0</v>
      </c>
      <c r="BG257" s="20">
        <v>0</v>
      </c>
      <c r="BH257" s="20">
        <v>0</v>
      </c>
      <c r="BI257" s="22">
        <f t="shared" si="65"/>
        <v>5</v>
      </c>
      <c r="BJ257" s="22">
        <f t="shared" si="66"/>
        <v>3</v>
      </c>
      <c r="BK257" s="28">
        <f t="shared" si="67"/>
        <v>19</v>
      </c>
      <c r="BL257" s="22">
        <f t="shared" si="68"/>
        <v>10</v>
      </c>
      <c r="BM257" s="22">
        <f t="shared" si="70"/>
        <v>9</v>
      </c>
      <c r="BN257" s="23">
        <f t="shared" si="69"/>
        <v>0.5</v>
      </c>
      <c r="BO257" s="23">
        <f t="shared" si="69"/>
        <v>0.66666666666666663</v>
      </c>
      <c r="BP257" s="7" t="e">
        <f>VLOOKUP(A257,[1]Sheet15!B:E,4,0)</f>
        <v>#N/A</v>
      </c>
      <c r="BQ257" s="7" t="e">
        <f>VLOOKUP(A257,[1]Sheet15!B:E,3,0)</f>
        <v>#N/A</v>
      </c>
    </row>
    <row r="258" spans="1:69" ht="22.5" customHeight="1" x14ac:dyDescent="0.25">
      <c r="A258" s="15" t="s">
        <v>671</v>
      </c>
      <c r="B258" s="15">
        <f>VLOOKUP(A258,'[1]Master clients'!F254:W3801,17,0)</f>
        <v>0</v>
      </c>
      <c r="C258" s="15" t="str">
        <f>VLOOKUP(A258,'[1]Master clients'!F254:P3801,11,0)</f>
        <v>AV</v>
      </c>
      <c r="D258" s="15" t="str">
        <f>VLOOKUP(A258,'[1]Master clients'!F:M,8,0)</f>
        <v>End User</v>
      </c>
      <c r="E258" s="24" t="s">
        <v>680</v>
      </c>
      <c r="F258" s="29" t="s">
        <v>679</v>
      </c>
      <c r="G258" s="20"/>
      <c r="H258" s="20"/>
      <c r="I258" s="18">
        <v>0</v>
      </c>
      <c r="J258" s="18">
        <v>0</v>
      </c>
      <c r="K258" s="20">
        <v>0</v>
      </c>
      <c r="L258" s="20">
        <v>0</v>
      </c>
      <c r="M258" s="20">
        <v>0</v>
      </c>
      <c r="N258" s="20">
        <v>0</v>
      </c>
      <c r="O258" s="20">
        <v>0</v>
      </c>
      <c r="P258" s="20">
        <v>0</v>
      </c>
      <c r="Q258" s="20">
        <v>0</v>
      </c>
      <c r="R258" s="20">
        <v>0</v>
      </c>
      <c r="S258" s="20">
        <v>0</v>
      </c>
      <c r="T258" s="20">
        <v>0</v>
      </c>
      <c r="U258" s="20">
        <v>0</v>
      </c>
      <c r="V258" s="20">
        <v>0</v>
      </c>
      <c r="W258" s="20">
        <v>0</v>
      </c>
      <c r="X258" s="20">
        <v>0</v>
      </c>
      <c r="Y258" s="20">
        <v>0</v>
      </c>
      <c r="Z258" s="20">
        <v>0</v>
      </c>
      <c r="AA258" s="20">
        <v>0</v>
      </c>
      <c r="AB258" s="20">
        <v>0</v>
      </c>
      <c r="AC258" s="20">
        <v>0</v>
      </c>
      <c r="AD258" s="20">
        <v>0</v>
      </c>
      <c r="AE258" s="20">
        <v>0</v>
      </c>
      <c r="AF258" s="20">
        <v>0</v>
      </c>
      <c r="AG258" s="20">
        <v>0</v>
      </c>
      <c r="AH258" s="20">
        <v>0</v>
      </c>
      <c r="AI258" s="20">
        <v>0</v>
      </c>
      <c r="AJ258" s="20">
        <v>0</v>
      </c>
      <c r="AK258" s="20">
        <v>0</v>
      </c>
      <c r="AL258" s="20">
        <v>0</v>
      </c>
      <c r="AM258" s="20">
        <v>0</v>
      </c>
      <c r="AN258" s="20">
        <v>0</v>
      </c>
      <c r="AO258" s="20">
        <v>0</v>
      </c>
      <c r="AP258" s="20">
        <v>0</v>
      </c>
      <c r="AQ258" s="20">
        <v>0</v>
      </c>
      <c r="AR258" s="20">
        <v>0</v>
      </c>
      <c r="AS258" s="20">
        <v>0</v>
      </c>
      <c r="AT258" s="20">
        <v>0</v>
      </c>
      <c r="AU258" s="20">
        <v>0</v>
      </c>
      <c r="AV258" s="20">
        <v>0</v>
      </c>
      <c r="AW258" s="20">
        <v>0</v>
      </c>
      <c r="AX258" s="20">
        <v>0</v>
      </c>
      <c r="AY258" s="20">
        <v>0</v>
      </c>
      <c r="AZ258" s="20">
        <v>0</v>
      </c>
      <c r="BA258" s="20">
        <v>0</v>
      </c>
      <c r="BB258" s="20">
        <v>0</v>
      </c>
      <c r="BC258" s="20">
        <v>0</v>
      </c>
      <c r="BD258" s="20">
        <v>0</v>
      </c>
      <c r="BE258" s="20">
        <v>0</v>
      </c>
      <c r="BF258" s="20">
        <v>0</v>
      </c>
      <c r="BG258" s="20">
        <v>0</v>
      </c>
      <c r="BH258" s="20">
        <v>0</v>
      </c>
      <c r="BI258" s="22">
        <f t="shared" si="65"/>
        <v>0</v>
      </c>
      <c r="BJ258" s="22">
        <f t="shared" si="66"/>
        <v>0</v>
      </c>
      <c r="BK258" s="22">
        <f t="shared" si="67"/>
        <v>0</v>
      </c>
      <c r="BL258" s="22">
        <f t="shared" si="68"/>
        <v>0</v>
      </c>
      <c r="BM258" s="22">
        <f t="shared" si="70"/>
        <v>0</v>
      </c>
      <c r="BN258" s="23" t="e">
        <f t="shared" si="69"/>
        <v>#DIV/0!</v>
      </c>
      <c r="BO258" s="23" t="e">
        <f t="shared" si="69"/>
        <v>#DIV/0!</v>
      </c>
      <c r="BP258" s="7" t="e">
        <f>VLOOKUP(A258,[1]Sheet15!B:E,4,0)</f>
        <v>#N/A</v>
      </c>
      <c r="BQ258" s="7" t="e">
        <f>VLOOKUP(A258,[1]Sheet15!B:E,3,0)</f>
        <v>#N/A</v>
      </c>
    </row>
    <row r="259" spans="1:69" ht="22.5" customHeight="1" x14ac:dyDescent="0.25">
      <c r="A259" s="15" t="s">
        <v>671</v>
      </c>
      <c r="B259" s="15">
        <f>VLOOKUP(A259,'[1]Master clients'!F255:W3802,17,0)</f>
        <v>0</v>
      </c>
      <c r="C259" s="15" t="str">
        <f>VLOOKUP(A259,'[1]Master clients'!F255:P3802,11,0)</f>
        <v>AV</v>
      </c>
      <c r="D259" s="15" t="str">
        <f>VLOOKUP(A259,'[1]Master clients'!F:M,8,0)</f>
        <v>End User</v>
      </c>
      <c r="E259" s="24" t="s">
        <v>681</v>
      </c>
      <c r="F259" s="29" t="s">
        <v>679</v>
      </c>
      <c r="G259" s="20"/>
      <c r="H259" s="20"/>
      <c r="I259" s="26">
        <v>4</v>
      </c>
      <c r="J259" s="18">
        <v>0</v>
      </c>
      <c r="K259" s="20">
        <v>0</v>
      </c>
      <c r="L259" s="20">
        <v>0</v>
      </c>
      <c r="M259" s="20">
        <v>0</v>
      </c>
      <c r="N259" s="20">
        <v>0</v>
      </c>
      <c r="O259" s="20">
        <v>0</v>
      </c>
      <c r="P259" s="20">
        <v>4</v>
      </c>
      <c r="Q259" s="20">
        <v>6</v>
      </c>
      <c r="R259" s="20">
        <v>0</v>
      </c>
      <c r="S259" s="20">
        <v>0</v>
      </c>
      <c r="T259" s="20">
        <v>0</v>
      </c>
      <c r="U259" s="20">
        <v>0</v>
      </c>
      <c r="V259" s="20">
        <v>0</v>
      </c>
      <c r="W259" s="20">
        <v>0</v>
      </c>
      <c r="X259" s="20">
        <v>0</v>
      </c>
      <c r="Y259" s="20">
        <v>0</v>
      </c>
      <c r="Z259" s="20">
        <v>0</v>
      </c>
      <c r="AA259" s="20">
        <v>0</v>
      </c>
      <c r="AB259" s="20">
        <v>0</v>
      </c>
      <c r="AC259" s="20">
        <v>0</v>
      </c>
      <c r="AD259" s="20">
        <v>0</v>
      </c>
      <c r="AE259" s="20">
        <v>0</v>
      </c>
      <c r="AF259" s="20">
        <v>0</v>
      </c>
      <c r="AG259" s="20">
        <v>0</v>
      </c>
      <c r="AH259" s="20">
        <v>0</v>
      </c>
      <c r="AI259" s="20">
        <v>0</v>
      </c>
      <c r="AJ259" s="20">
        <v>0</v>
      </c>
      <c r="AK259" s="20">
        <v>0</v>
      </c>
      <c r="AL259" s="20">
        <v>0</v>
      </c>
      <c r="AM259" s="20">
        <v>0</v>
      </c>
      <c r="AN259" s="20">
        <v>0</v>
      </c>
      <c r="AO259" s="20">
        <v>0</v>
      </c>
      <c r="AP259" s="20">
        <v>0</v>
      </c>
      <c r="AQ259" s="20">
        <v>0</v>
      </c>
      <c r="AR259" s="20">
        <v>0</v>
      </c>
      <c r="AS259" s="20">
        <v>0</v>
      </c>
      <c r="AT259" s="20">
        <v>0</v>
      </c>
      <c r="AU259" s="20">
        <v>0</v>
      </c>
      <c r="AV259" s="20">
        <v>0</v>
      </c>
      <c r="AW259" s="20">
        <v>0</v>
      </c>
      <c r="AX259" s="20">
        <v>0</v>
      </c>
      <c r="AY259" s="20">
        <v>0</v>
      </c>
      <c r="AZ259" s="20">
        <v>0</v>
      </c>
      <c r="BA259" s="20">
        <v>0</v>
      </c>
      <c r="BB259" s="20">
        <v>0</v>
      </c>
      <c r="BC259" s="20">
        <v>0</v>
      </c>
      <c r="BD259" s="20">
        <v>0</v>
      </c>
      <c r="BE259" s="20">
        <v>0</v>
      </c>
      <c r="BF259" s="20">
        <v>0</v>
      </c>
      <c r="BG259" s="20">
        <v>0</v>
      </c>
      <c r="BH259" s="20">
        <v>0</v>
      </c>
      <c r="BI259" s="22">
        <f t="shared" si="65"/>
        <v>4</v>
      </c>
      <c r="BJ259" s="22">
        <f t="shared" si="66"/>
        <v>6</v>
      </c>
      <c r="BK259" s="28">
        <f t="shared" si="67"/>
        <v>14</v>
      </c>
      <c r="BL259" s="22">
        <f t="shared" si="68"/>
        <v>8</v>
      </c>
      <c r="BM259" s="22">
        <f t="shared" si="70"/>
        <v>6</v>
      </c>
      <c r="BN259" s="23">
        <f t="shared" si="69"/>
        <v>0.5</v>
      </c>
      <c r="BO259" s="23">
        <f t="shared" si="69"/>
        <v>0</v>
      </c>
      <c r="BP259" s="7" t="e">
        <f>VLOOKUP(A259,[1]Sheet15!B:E,4,0)</f>
        <v>#N/A</v>
      </c>
      <c r="BQ259" s="7" t="e">
        <f>VLOOKUP(A259,[1]Sheet15!B:E,3,0)</f>
        <v>#N/A</v>
      </c>
    </row>
    <row r="260" spans="1:69" ht="22.5" customHeight="1" x14ac:dyDescent="0.25">
      <c r="A260" s="15" t="s">
        <v>682</v>
      </c>
      <c r="B260" s="15" t="e">
        <f>VLOOKUP(A260,'[1]Master clients'!F256:W3803,17,0)</f>
        <v>#N/A</v>
      </c>
      <c r="C260" s="15" t="e">
        <f>VLOOKUP(A260,'[1]Master clients'!F256:P3803,11,0)</f>
        <v>#N/A</v>
      </c>
      <c r="D260" s="15" t="str">
        <f>VLOOKUP(A260,'[1]Master clients'!F:M,8,0)</f>
        <v>Group (Mills)</v>
      </c>
      <c r="E260" s="16" t="s">
        <v>683</v>
      </c>
      <c r="F260" s="16" t="s">
        <v>684</v>
      </c>
      <c r="G260" s="17"/>
      <c r="H260" s="17"/>
      <c r="I260" s="18">
        <v>5</v>
      </c>
      <c r="J260" s="18">
        <v>0</v>
      </c>
      <c r="K260" s="17">
        <v>0</v>
      </c>
      <c r="L260" s="17">
        <v>0</v>
      </c>
      <c r="M260" s="17">
        <v>0</v>
      </c>
      <c r="N260" s="17">
        <v>0</v>
      </c>
      <c r="O260" s="17">
        <v>0</v>
      </c>
      <c r="P260" s="17">
        <v>0</v>
      </c>
      <c r="Q260" s="17">
        <v>0</v>
      </c>
      <c r="R260" s="17">
        <v>0</v>
      </c>
      <c r="S260" s="17">
        <v>0</v>
      </c>
      <c r="T260" s="17">
        <v>0</v>
      </c>
      <c r="U260" s="17">
        <v>0</v>
      </c>
      <c r="V260" s="17">
        <v>0</v>
      </c>
      <c r="W260" s="17">
        <v>0</v>
      </c>
      <c r="X260" s="17">
        <v>0</v>
      </c>
      <c r="Y260" s="17">
        <v>0</v>
      </c>
      <c r="Z260" s="17">
        <v>0</v>
      </c>
      <c r="AA260" s="17">
        <v>0</v>
      </c>
      <c r="AB260" s="17">
        <v>0</v>
      </c>
      <c r="AC260" s="17">
        <v>0</v>
      </c>
      <c r="AD260" s="17">
        <v>0</v>
      </c>
      <c r="AE260" s="17">
        <v>0</v>
      </c>
      <c r="AF260" s="17">
        <v>0</v>
      </c>
      <c r="AG260" s="17">
        <v>0</v>
      </c>
      <c r="AH260" s="17">
        <v>0</v>
      </c>
      <c r="AI260" s="17">
        <v>0</v>
      </c>
      <c r="AJ260" s="17">
        <v>0</v>
      </c>
      <c r="AK260" s="17">
        <v>0</v>
      </c>
      <c r="AL260" s="17">
        <v>0</v>
      </c>
      <c r="AM260" s="17">
        <v>0</v>
      </c>
      <c r="AN260" s="17">
        <v>0</v>
      </c>
      <c r="AO260" s="17">
        <v>0</v>
      </c>
      <c r="AP260" s="17">
        <v>0</v>
      </c>
      <c r="AQ260" s="17">
        <v>0</v>
      </c>
      <c r="AR260" s="17">
        <v>0</v>
      </c>
      <c r="AS260" s="17">
        <v>0</v>
      </c>
      <c r="AT260" s="17">
        <v>0</v>
      </c>
      <c r="AU260" s="17">
        <v>0</v>
      </c>
      <c r="AV260" s="17">
        <v>0</v>
      </c>
      <c r="AW260" s="17">
        <v>0</v>
      </c>
      <c r="AX260" s="17">
        <v>0</v>
      </c>
      <c r="AY260" s="17">
        <v>0</v>
      </c>
      <c r="AZ260" s="17">
        <v>0</v>
      </c>
      <c r="BA260" s="17">
        <v>0</v>
      </c>
      <c r="BB260" s="17">
        <v>0</v>
      </c>
      <c r="BC260" s="17">
        <v>0</v>
      </c>
      <c r="BD260" s="17">
        <v>0</v>
      </c>
      <c r="BE260" s="17">
        <v>0</v>
      </c>
      <c r="BF260" s="17">
        <v>0</v>
      </c>
      <c r="BG260" s="17">
        <v>0</v>
      </c>
      <c r="BH260" s="17">
        <v>0</v>
      </c>
      <c r="BI260" s="22">
        <f t="shared" ref="BI260:BI261" si="71">SUM(M260+N260+P260+R260+T260+W260+Z260+AC260+AE260+AL260+AO260+AP260+AS260+AW260+AX260+BC260+BE260+BG260)</f>
        <v>0</v>
      </c>
      <c r="BJ260" s="22">
        <f t="shared" ref="BJ260:BJ261" si="72">SUM(H260:BG260)</f>
        <v>5</v>
      </c>
      <c r="BK260" s="22">
        <f t="shared" ref="BK260:BK261" si="73">SUM(H260+J260+K260+L260+O260+Q260+S260+U260+V260+X260+Y260+AA260+AB260+AD260+AF260+AG260+AH260+AI260+AJ260+AK260+AM260+AN260+AQ260+AR260+AT260+AU260+AV260+AY260+AZ260+BA260+BB260+BF260+BD260)</f>
        <v>0</v>
      </c>
      <c r="BL260" s="22">
        <f t="shared" ref="BL260:BM275" si="74">SUM(I260+M260+N260+P260+R260+T260+W260+Z260+AC260+AE260+AL260+AO260+AP260+AS260+AW260+AX260+BC260+BG260)</f>
        <v>5</v>
      </c>
      <c r="BM260" s="22">
        <f t="shared" si="74"/>
        <v>0</v>
      </c>
      <c r="BN260" s="23">
        <f t="shared" si="69"/>
        <v>1</v>
      </c>
      <c r="BO260" s="23" t="e">
        <f t="shared" si="69"/>
        <v>#DIV/0!</v>
      </c>
      <c r="BP260" s="7">
        <f>VLOOKUP(A260,[1]Sheet15!B:E,4,0)</f>
        <v>5</v>
      </c>
      <c r="BQ260" s="7">
        <f>VLOOKUP(A260,[1]Sheet15!B:E,3,0)</f>
        <v>0</v>
      </c>
    </row>
    <row r="261" spans="1:69" ht="22.5" customHeight="1" x14ac:dyDescent="0.25">
      <c r="A261" s="15" t="s">
        <v>685</v>
      </c>
      <c r="B261" s="15" t="e">
        <f>VLOOKUP(A261,'[1]Master clients'!F257:W3804,17,0)</f>
        <v>#N/A</v>
      </c>
      <c r="C261" s="15" t="e">
        <f>VLOOKUP(A261,'[1]Master clients'!F257:P3804,11,0)</f>
        <v>#N/A</v>
      </c>
      <c r="D261" s="15" t="str">
        <f>VLOOKUP(A261,'[1]Master clients'!F:M,8,0)</f>
        <v>Group (Mills)</v>
      </c>
      <c r="E261" s="16" t="s">
        <v>686</v>
      </c>
      <c r="F261" s="16" t="s">
        <v>684</v>
      </c>
      <c r="G261" s="17"/>
      <c r="H261" s="17"/>
      <c r="I261" s="18">
        <v>4</v>
      </c>
      <c r="J261" s="18">
        <v>0</v>
      </c>
      <c r="K261" s="17">
        <v>0</v>
      </c>
      <c r="L261" s="17">
        <v>0</v>
      </c>
      <c r="M261" s="17">
        <v>0</v>
      </c>
      <c r="N261" s="17">
        <v>0</v>
      </c>
      <c r="O261" s="17">
        <v>0</v>
      </c>
      <c r="P261" s="17">
        <v>0</v>
      </c>
      <c r="Q261" s="17">
        <v>0</v>
      </c>
      <c r="R261" s="17">
        <v>0</v>
      </c>
      <c r="S261" s="17">
        <v>0</v>
      </c>
      <c r="T261" s="17">
        <v>0</v>
      </c>
      <c r="U261" s="17">
        <v>0</v>
      </c>
      <c r="V261" s="17">
        <v>0</v>
      </c>
      <c r="W261" s="17">
        <v>0</v>
      </c>
      <c r="X261" s="17">
        <v>0</v>
      </c>
      <c r="Y261" s="17">
        <v>0</v>
      </c>
      <c r="Z261" s="17">
        <v>0</v>
      </c>
      <c r="AA261" s="17">
        <v>0</v>
      </c>
      <c r="AB261" s="17">
        <v>0</v>
      </c>
      <c r="AC261" s="17">
        <v>0</v>
      </c>
      <c r="AD261" s="17">
        <v>0</v>
      </c>
      <c r="AE261" s="17">
        <v>0</v>
      </c>
      <c r="AF261" s="17">
        <v>0</v>
      </c>
      <c r="AG261" s="17">
        <v>0</v>
      </c>
      <c r="AH261" s="17">
        <v>0</v>
      </c>
      <c r="AI261" s="17">
        <v>0</v>
      </c>
      <c r="AJ261" s="17">
        <v>0</v>
      </c>
      <c r="AK261" s="17">
        <v>0</v>
      </c>
      <c r="AL261" s="17">
        <v>0</v>
      </c>
      <c r="AM261" s="17">
        <v>0</v>
      </c>
      <c r="AN261" s="17">
        <v>0</v>
      </c>
      <c r="AO261" s="17">
        <v>0</v>
      </c>
      <c r="AP261" s="17">
        <v>0</v>
      </c>
      <c r="AQ261" s="17">
        <v>0</v>
      </c>
      <c r="AR261" s="17">
        <v>0</v>
      </c>
      <c r="AS261" s="17">
        <v>0</v>
      </c>
      <c r="AT261" s="17">
        <v>0</v>
      </c>
      <c r="AU261" s="17">
        <v>0</v>
      </c>
      <c r="AV261" s="17">
        <v>0</v>
      </c>
      <c r="AW261" s="17">
        <v>0</v>
      </c>
      <c r="AX261" s="17">
        <v>0</v>
      </c>
      <c r="AY261" s="17">
        <v>0</v>
      </c>
      <c r="AZ261" s="17">
        <v>0</v>
      </c>
      <c r="BA261" s="17">
        <v>0</v>
      </c>
      <c r="BB261" s="17">
        <v>0</v>
      </c>
      <c r="BC261" s="17">
        <v>0</v>
      </c>
      <c r="BD261" s="17">
        <v>0</v>
      </c>
      <c r="BE261" s="17">
        <v>0</v>
      </c>
      <c r="BF261" s="17">
        <v>0</v>
      </c>
      <c r="BG261" s="17">
        <v>0</v>
      </c>
      <c r="BH261" s="17">
        <v>0</v>
      </c>
      <c r="BI261" s="22">
        <f t="shared" si="71"/>
        <v>0</v>
      </c>
      <c r="BJ261" s="22">
        <f t="shared" si="72"/>
        <v>4</v>
      </c>
      <c r="BK261" s="22">
        <f t="shared" si="73"/>
        <v>0</v>
      </c>
      <c r="BL261" s="22">
        <f t="shared" si="74"/>
        <v>4</v>
      </c>
      <c r="BM261" s="22">
        <f t="shared" si="74"/>
        <v>0</v>
      </c>
      <c r="BN261" s="23">
        <f t="shared" ref="BN261:BO276" si="75">I261/BL261</f>
        <v>1</v>
      </c>
      <c r="BO261" s="23" t="e">
        <f t="shared" si="75"/>
        <v>#DIV/0!</v>
      </c>
      <c r="BP261" s="7">
        <f>VLOOKUP(A261,[1]Sheet15!B:E,4,0)</f>
        <v>4</v>
      </c>
      <c r="BQ261" s="7">
        <f>VLOOKUP(A261,[1]Sheet15!B:E,3,0)</f>
        <v>0</v>
      </c>
    </row>
    <row r="262" spans="1:69" ht="22.5" customHeight="1" x14ac:dyDescent="0.25">
      <c r="A262" s="15" t="s">
        <v>687</v>
      </c>
      <c r="B262" s="15">
        <f>VLOOKUP(A262,'[1]Master clients'!F258:W3805,17,0)</f>
        <v>0</v>
      </c>
      <c r="C262" s="15" t="str">
        <f>VLOOKUP(A262,'[1]Master clients'!F258:P3805,11,0)</f>
        <v>SI-GS</v>
      </c>
      <c r="D262" s="15" t="str">
        <f>VLOOKUP(A262,'[1]Master clients'!F:M,8,0)</f>
        <v>End User</v>
      </c>
      <c r="E262" s="16" t="s">
        <v>688</v>
      </c>
      <c r="F262" s="16" t="s">
        <v>684</v>
      </c>
      <c r="G262" s="17"/>
      <c r="H262" s="17"/>
      <c r="I262" s="31">
        <v>16</v>
      </c>
      <c r="J262" s="31">
        <v>0</v>
      </c>
      <c r="K262" s="17">
        <v>0</v>
      </c>
      <c r="L262" s="17">
        <v>0</v>
      </c>
      <c r="M262" s="17">
        <v>0</v>
      </c>
      <c r="N262" s="17">
        <v>0</v>
      </c>
      <c r="O262" s="17">
        <v>0</v>
      </c>
      <c r="P262" s="17">
        <v>0</v>
      </c>
      <c r="Q262" s="17">
        <v>0</v>
      </c>
      <c r="R262" s="17">
        <v>0</v>
      </c>
      <c r="S262" s="17">
        <v>0</v>
      </c>
      <c r="T262" s="17">
        <v>0</v>
      </c>
      <c r="U262" s="17">
        <v>0</v>
      </c>
      <c r="V262" s="17">
        <v>0</v>
      </c>
      <c r="W262" s="17">
        <v>0</v>
      </c>
      <c r="X262" s="17">
        <v>0</v>
      </c>
      <c r="Y262" s="17">
        <v>0</v>
      </c>
      <c r="Z262" s="17">
        <v>0</v>
      </c>
      <c r="AA262" s="17">
        <v>0</v>
      </c>
      <c r="AB262" s="17">
        <v>0</v>
      </c>
      <c r="AC262" s="17">
        <v>0</v>
      </c>
      <c r="AD262" s="17">
        <v>0</v>
      </c>
      <c r="AE262" s="17">
        <v>0</v>
      </c>
      <c r="AF262" s="17">
        <v>0</v>
      </c>
      <c r="AG262" s="17">
        <v>0</v>
      </c>
      <c r="AH262" s="17">
        <v>0</v>
      </c>
      <c r="AI262" s="17">
        <v>0</v>
      </c>
      <c r="AJ262" s="17">
        <v>0</v>
      </c>
      <c r="AK262" s="17">
        <v>0</v>
      </c>
      <c r="AL262" s="17">
        <v>0</v>
      </c>
      <c r="AM262" s="17">
        <v>0</v>
      </c>
      <c r="AN262" s="17">
        <v>0</v>
      </c>
      <c r="AO262" s="17">
        <v>0</v>
      </c>
      <c r="AP262" s="17">
        <v>0</v>
      </c>
      <c r="AQ262" s="17">
        <v>0</v>
      </c>
      <c r="AR262" s="17">
        <v>0</v>
      </c>
      <c r="AS262" s="17">
        <v>0</v>
      </c>
      <c r="AT262" s="17">
        <v>0</v>
      </c>
      <c r="AU262" s="17">
        <v>0</v>
      </c>
      <c r="AV262" s="17">
        <v>0</v>
      </c>
      <c r="AW262" s="17">
        <v>0</v>
      </c>
      <c r="AX262" s="17">
        <v>0</v>
      </c>
      <c r="AY262" s="17">
        <v>0</v>
      </c>
      <c r="AZ262" s="17">
        <v>0</v>
      </c>
      <c r="BA262" s="17">
        <v>0</v>
      </c>
      <c r="BB262" s="17">
        <v>0</v>
      </c>
      <c r="BC262" s="17">
        <v>0</v>
      </c>
      <c r="BD262" s="17">
        <v>0</v>
      </c>
      <c r="BE262" s="17">
        <v>0</v>
      </c>
      <c r="BF262" s="17">
        <v>0</v>
      </c>
      <c r="BG262" s="17">
        <v>0</v>
      </c>
      <c r="BH262" s="17">
        <v>0</v>
      </c>
      <c r="BI262" s="22">
        <f t="shared" ref="BI262:BI316" si="76">SUM(K262+L262+M262+P262+R262+T262+V262+W262+Y262+Z262+AB262+AC262+AE262+AG262+AH262+AI262+AJ262+AK262+AL262+AN262+AO262+AR262+AS262+AU262+AV262+AW262+AZ262+BA262+BB262+BC262+BE262+BG262)</f>
        <v>0</v>
      </c>
      <c r="BJ262" s="22">
        <f t="shared" ref="BJ262:BJ316" si="77">SUM(N262+O262+Q262+S262+U262+X262+AA262+AD262+AF262+AM262+AP262+AQ262+AT262+AX262+AY262+BD262+BF262+BH262)</f>
        <v>0</v>
      </c>
      <c r="BK262" s="22">
        <f t="shared" ref="BK262:BK316" si="78">SUM(I262:BH262)</f>
        <v>16</v>
      </c>
      <c r="BL262" s="22">
        <f t="shared" ref="BL262:BL316" si="79">SUM(I262+K262+L262+M262+P262+R262+T262+V262+W262+Y262+Z262+AB262+AC262+AE262+AG262+AH262+AI262+AJ262+AK262+AL262+AN262+AO262+AR262+AS262+AU262+AV262+AW262+AZ262+BA262+BB262+BC262+BG262+BE262)</f>
        <v>16</v>
      </c>
      <c r="BM262" s="22">
        <f t="shared" si="74"/>
        <v>0</v>
      </c>
      <c r="BN262" s="23">
        <f t="shared" si="75"/>
        <v>1</v>
      </c>
      <c r="BO262" s="23" t="e">
        <f t="shared" si="75"/>
        <v>#DIV/0!</v>
      </c>
      <c r="BP262" s="7">
        <f>VLOOKUP(A262,[1]Sheet15!B:E,4,0)</f>
        <v>16</v>
      </c>
      <c r="BQ262" s="7">
        <f>VLOOKUP(A262,[1]Sheet15!B:E,3,0)</f>
        <v>0</v>
      </c>
    </row>
    <row r="263" spans="1:69" ht="22.5" customHeight="1" x14ac:dyDescent="0.25">
      <c r="A263" s="15" t="s">
        <v>689</v>
      </c>
      <c r="B263" s="15">
        <f>VLOOKUP(A263,'[1]Master clients'!F259:W3806,17,0)</f>
        <v>0</v>
      </c>
      <c r="C263" s="15" t="str">
        <f>VLOOKUP(A263,'[1]Master clients'!F259:P3806,11,0)</f>
        <v>SI-GS</v>
      </c>
      <c r="D263" s="15" t="str">
        <f>VLOOKUP(A263,'[1]Master clients'!F:M,8,0)</f>
        <v>End User</v>
      </c>
      <c r="E263" s="16" t="s">
        <v>690</v>
      </c>
      <c r="F263" s="16" t="s">
        <v>684</v>
      </c>
      <c r="G263" s="17"/>
      <c r="H263" s="17"/>
      <c r="I263" s="31">
        <v>2</v>
      </c>
      <c r="J263" s="31">
        <v>0</v>
      </c>
      <c r="K263" s="17">
        <v>0</v>
      </c>
      <c r="L263" s="17">
        <v>0</v>
      </c>
      <c r="M263" s="17">
        <v>0</v>
      </c>
      <c r="N263" s="17">
        <v>0</v>
      </c>
      <c r="O263" s="17">
        <v>0</v>
      </c>
      <c r="P263" s="17">
        <v>0</v>
      </c>
      <c r="Q263" s="17">
        <v>0</v>
      </c>
      <c r="R263" s="17">
        <v>0</v>
      </c>
      <c r="S263" s="17">
        <v>0</v>
      </c>
      <c r="T263" s="17">
        <v>0</v>
      </c>
      <c r="U263" s="17">
        <v>0</v>
      </c>
      <c r="V263" s="17">
        <v>0</v>
      </c>
      <c r="W263" s="17">
        <v>0</v>
      </c>
      <c r="X263" s="17">
        <v>0</v>
      </c>
      <c r="Y263" s="17">
        <v>0</v>
      </c>
      <c r="Z263" s="17">
        <v>0</v>
      </c>
      <c r="AA263" s="17">
        <v>0</v>
      </c>
      <c r="AB263" s="17">
        <v>0</v>
      </c>
      <c r="AC263" s="17">
        <v>0</v>
      </c>
      <c r="AD263" s="17">
        <v>0</v>
      </c>
      <c r="AE263" s="17">
        <v>0</v>
      </c>
      <c r="AF263" s="17">
        <v>0</v>
      </c>
      <c r="AG263" s="17">
        <v>0</v>
      </c>
      <c r="AH263" s="17">
        <v>0</v>
      </c>
      <c r="AI263" s="17">
        <v>0</v>
      </c>
      <c r="AJ263" s="17">
        <v>0</v>
      </c>
      <c r="AK263" s="17">
        <v>0</v>
      </c>
      <c r="AL263" s="17">
        <v>0</v>
      </c>
      <c r="AM263" s="17">
        <v>0</v>
      </c>
      <c r="AN263" s="17">
        <v>0</v>
      </c>
      <c r="AO263" s="17">
        <v>0</v>
      </c>
      <c r="AP263" s="17">
        <v>0</v>
      </c>
      <c r="AQ263" s="17">
        <v>0</v>
      </c>
      <c r="AR263" s="17">
        <v>0</v>
      </c>
      <c r="AS263" s="17">
        <v>0</v>
      </c>
      <c r="AT263" s="17">
        <v>0</v>
      </c>
      <c r="AU263" s="17">
        <v>0</v>
      </c>
      <c r="AV263" s="17">
        <v>0</v>
      </c>
      <c r="AW263" s="17">
        <v>0</v>
      </c>
      <c r="AX263" s="17">
        <v>0</v>
      </c>
      <c r="AY263" s="17">
        <v>0</v>
      </c>
      <c r="AZ263" s="17">
        <v>0</v>
      </c>
      <c r="BA263" s="17">
        <v>0</v>
      </c>
      <c r="BB263" s="17">
        <v>0</v>
      </c>
      <c r="BC263" s="17">
        <v>0</v>
      </c>
      <c r="BD263" s="17">
        <v>0</v>
      </c>
      <c r="BE263" s="17">
        <v>0</v>
      </c>
      <c r="BF263" s="17">
        <v>0</v>
      </c>
      <c r="BG263" s="17">
        <v>0</v>
      </c>
      <c r="BH263" s="17">
        <v>0</v>
      </c>
      <c r="BI263" s="22">
        <f t="shared" si="76"/>
        <v>0</v>
      </c>
      <c r="BJ263" s="22">
        <f t="shared" si="77"/>
        <v>0</v>
      </c>
      <c r="BK263" s="22">
        <f t="shared" si="78"/>
        <v>2</v>
      </c>
      <c r="BL263" s="22">
        <f t="shared" si="79"/>
        <v>2</v>
      </c>
      <c r="BM263" s="22">
        <f t="shared" si="74"/>
        <v>0</v>
      </c>
      <c r="BN263" s="23">
        <f t="shared" si="75"/>
        <v>1</v>
      </c>
      <c r="BO263" s="23" t="e">
        <f t="shared" si="75"/>
        <v>#DIV/0!</v>
      </c>
      <c r="BP263" s="7">
        <f>VLOOKUP(A263,[1]Sheet15!B:E,4,0)</f>
        <v>2</v>
      </c>
      <c r="BQ263" s="7">
        <f>VLOOKUP(A263,[1]Sheet15!B:E,3,0)</f>
        <v>0</v>
      </c>
    </row>
    <row r="264" spans="1:69" ht="22.5" customHeight="1" x14ac:dyDescent="0.25">
      <c r="A264" s="15" t="s">
        <v>691</v>
      </c>
      <c r="B264" s="15">
        <f>VLOOKUP(A264,'[1]Master clients'!F260:W3807,17,0)</f>
        <v>0</v>
      </c>
      <c r="C264" s="15" t="str">
        <f>VLOOKUP(A264,'[1]Master clients'!F260:P3807,11,0)</f>
        <v>SI-GS</v>
      </c>
      <c r="D264" s="15" t="str">
        <f>VLOOKUP(A264,'[1]Master clients'!F:M,8,0)</f>
        <v>End User</v>
      </c>
      <c r="E264" s="16" t="s">
        <v>692</v>
      </c>
      <c r="F264" s="16" t="s">
        <v>684</v>
      </c>
      <c r="G264" s="17"/>
      <c r="H264" s="17"/>
      <c r="I264" s="31">
        <v>0</v>
      </c>
      <c r="J264" s="31">
        <v>0</v>
      </c>
      <c r="K264" s="17">
        <v>0</v>
      </c>
      <c r="L264" s="17">
        <v>0</v>
      </c>
      <c r="M264" s="17">
        <v>0</v>
      </c>
      <c r="N264" s="17">
        <v>0</v>
      </c>
      <c r="O264" s="17">
        <v>0</v>
      </c>
      <c r="P264" s="17">
        <v>0</v>
      </c>
      <c r="Q264" s="17">
        <v>0</v>
      </c>
      <c r="R264" s="17">
        <v>0</v>
      </c>
      <c r="S264" s="17">
        <v>0</v>
      </c>
      <c r="T264" s="17">
        <v>0</v>
      </c>
      <c r="U264" s="17">
        <v>0</v>
      </c>
      <c r="V264" s="17">
        <v>0</v>
      </c>
      <c r="W264" s="17">
        <v>0</v>
      </c>
      <c r="X264" s="17">
        <v>0</v>
      </c>
      <c r="Y264" s="17">
        <v>0</v>
      </c>
      <c r="Z264" s="17">
        <v>0</v>
      </c>
      <c r="AA264" s="17">
        <v>0</v>
      </c>
      <c r="AB264" s="17">
        <v>0</v>
      </c>
      <c r="AC264" s="17">
        <v>0</v>
      </c>
      <c r="AD264" s="17">
        <v>0</v>
      </c>
      <c r="AE264" s="17">
        <v>0</v>
      </c>
      <c r="AF264" s="17">
        <v>0</v>
      </c>
      <c r="AG264" s="17">
        <v>0</v>
      </c>
      <c r="AH264" s="17">
        <v>0</v>
      </c>
      <c r="AI264" s="17">
        <v>0</v>
      </c>
      <c r="AJ264" s="17">
        <v>0</v>
      </c>
      <c r="AK264" s="17">
        <v>0</v>
      </c>
      <c r="AL264" s="17">
        <v>0</v>
      </c>
      <c r="AM264" s="17">
        <v>0</v>
      </c>
      <c r="AN264" s="17">
        <v>0</v>
      </c>
      <c r="AO264" s="17">
        <v>0</v>
      </c>
      <c r="AP264" s="17">
        <v>0</v>
      </c>
      <c r="AQ264" s="17">
        <v>0</v>
      </c>
      <c r="AR264" s="17">
        <v>0</v>
      </c>
      <c r="AS264" s="17">
        <v>0</v>
      </c>
      <c r="AT264" s="17">
        <v>0</v>
      </c>
      <c r="AU264" s="17">
        <v>0</v>
      </c>
      <c r="AV264" s="17">
        <v>0</v>
      </c>
      <c r="AW264" s="17">
        <v>0</v>
      </c>
      <c r="AX264" s="17">
        <v>0</v>
      </c>
      <c r="AY264" s="17">
        <v>0</v>
      </c>
      <c r="AZ264" s="17">
        <v>0</v>
      </c>
      <c r="BA264" s="17">
        <v>0</v>
      </c>
      <c r="BB264" s="17">
        <v>0</v>
      </c>
      <c r="BC264" s="17">
        <v>0</v>
      </c>
      <c r="BD264" s="17">
        <v>0</v>
      </c>
      <c r="BE264" s="17">
        <v>0</v>
      </c>
      <c r="BF264" s="17">
        <v>0</v>
      </c>
      <c r="BG264" s="17">
        <v>0</v>
      </c>
      <c r="BH264" s="17">
        <v>0</v>
      </c>
      <c r="BI264" s="22">
        <f t="shared" si="76"/>
        <v>0</v>
      </c>
      <c r="BJ264" s="22">
        <f t="shared" si="77"/>
        <v>0</v>
      </c>
      <c r="BK264" s="22">
        <f t="shared" si="78"/>
        <v>0</v>
      </c>
      <c r="BL264" s="22">
        <f t="shared" si="79"/>
        <v>0</v>
      </c>
      <c r="BM264" s="22">
        <f t="shared" si="74"/>
        <v>0</v>
      </c>
      <c r="BN264" s="23" t="e">
        <f t="shared" si="75"/>
        <v>#DIV/0!</v>
      </c>
      <c r="BO264" s="23" t="e">
        <f t="shared" si="75"/>
        <v>#DIV/0!</v>
      </c>
      <c r="BP264" s="7" t="e">
        <f>VLOOKUP(A264,[1]Sheet15!B:E,4,0)</f>
        <v>#N/A</v>
      </c>
      <c r="BQ264" s="7" t="e">
        <f>VLOOKUP(A264,[1]Sheet15!B:E,3,0)</f>
        <v>#N/A</v>
      </c>
    </row>
    <row r="265" spans="1:69" ht="22.5" customHeight="1" x14ac:dyDescent="0.25">
      <c r="A265" s="15" t="s">
        <v>693</v>
      </c>
      <c r="B265" s="15" t="str">
        <f>VLOOKUP(A265,'[1]Master clients'!F261:W3808,17,0)</f>
        <v>May</v>
      </c>
      <c r="C265" s="15" t="str">
        <f>VLOOKUP(A265,'[1]Master clients'!F261:P3808,11,0)</f>
        <v>NI</v>
      </c>
      <c r="D265" s="15" t="str">
        <f>VLOOKUP(A265,'[1]Master clients'!F:M,8,0)</f>
        <v>End User</v>
      </c>
      <c r="E265" s="24" t="s">
        <v>694</v>
      </c>
      <c r="F265" s="25" t="s">
        <v>695</v>
      </c>
      <c r="G265" s="20">
        <v>0</v>
      </c>
      <c r="H265" s="20">
        <v>0</v>
      </c>
      <c r="I265" s="26">
        <v>25</v>
      </c>
      <c r="J265" s="26">
        <v>4</v>
      </c>
      <c r="K265" s="20">
        <v>0</v>
      </c>
      <c r="L265" s="20">
        <v>0</v>
      </c>
      <c r="M265" s="20">
        <v>0</v>
      </c>
      <c r="N265" s="20">
        <v>0</v>
      </c>
      <c r="O265" s="20">
        <v>0</v>
      </c>
      <c r="P265" s="20">
        <v>0</v>
      </c>
      <c r="Q265" s="20">
        <v>8</v>
      </c>
      <c r="R265" s="20">
        <v>0</v>
      </c>
      <c r="S265" s="20">
        <v>0</v>
      </c>
      <c r="T265" s="20">
        <v>0</v>
      </c>
      <c r="U265" s="20">
        <v>0</v>
      </c>
      <c r="V265" s="20">
        <v>0</v>
      </c>
      <c r="W265" s="20">
        <v>0</v>
      </c>
      <c r="X265" s="20">
        <v>0</v>
      </c>
      <c r="Y265" s="20">
        <v>0</v>
      </c>
      <c r="Z265" s="20">
        <v>0</v>
      </c>
      <c r="AA265" s="20">
        <v>0</v>
      </c>
      <c r="AB265" s="20">
        <v>0</v>
      </c>
      <c r="AC265" s="20">
        <v>0</v>
      </c>
      <c r="AD265" s="20">
        <v>0</v>
      </c>
      <c r="AE265" s="20">
        <v>0</v>
      </c>
      <c r="AF265" s="20">
        <v>0</v>
      </c>
      <c r="AG265" s="20">
        <v>0</v>
      </c>
      <c r="AH265" s="20">
        <v>0</v>
      </c>
      <c r="AI265" s="20">
        <v>0</v>
      </c>
      <c r="AJ265" s="20">
        <v>0</v>
      </c>
      <c r="AK265" s="20">
        <v>0</v>
      </c>
      <c r="AL265" s="20">
        <v>0</v>
      </c>
      <c r="AM265" s="20">
        <v>0</v>
      </c>
      <c r="AN265" s="20">
        <v>0</v>
      </c>
      <c r="AO265" s="20">
        <v>0</v>
      </c>
      <c r="AP265" s="20">
        <v>0</v>
      </c>
      <c r="AQ265" s="20">
        <v>0</v>
      </c>
      <c r="AR265" s="20">
        <v>0</v>
      </c>
      <c r="AS265" s="20">
        <v>0</v>
      </c>
      <c r="AT265" s="20">
        <v>0</v>
      </c>
      <c r="AU265" s="20">
        <v>0</v>
      </c>
      <c r="AV265" s="20">
        <v>0</v>
      </c>
      <c r="AW265" s="20">
        <v>0</v>
      </c>
      <c r="AX265" s="20">
        <v>0</v>
      </c>
      <c r="AY265" s="20">
        <v>0</v>
      </c>
      <c r="AZ265" s="20">
        <v>0</v>
      </c>
      <c r="BA265" s="20">
        <v>0</v>
      </c>
      <c r="BB265" s="27">
        <v>0</v>
      </c>
      <c r="BC265" s="20">
        <v>0</v>
      </c>
      <c r="BD265" s="20">
        <v>0</v>
      </c>
      <c r="BE265" s="21">
        <v>0</v>
      </c>
      <c r="BF265" s="21">
        <v>0</v>
      </c>
      <c r="BG265" s="20">
        <v>0</v>
      </c>
      <c r="BH265" s="20">
        <v>0</v>
      </c>
      <c r="BI265" s="22">
        <f t="shared" si="76"/>
        <v>0</v>
      </c>
      <c r="BJ265" s="22">
        <f t="shared" si="77"/>
        <v>8</v>
      </c>
      <c r="BK265" s="28">
        <f t="shared" si="78"/>
        <v>37</v>
      </c>
      <c r="BL265" s="22">
        <f t="shared" si="79"/>
        <v>25</v>
      </c>
      <c r="BM265" s="22">
        <f t="shared" si="74"/>
        <v>12</v>
      </c>
      <c r="BN265" s="23">
        <f t="shared" si="75"/>
        <v>1</v>
      </c>
      <c r="BO265" s="23">
        <f t="shared" si="75"/>
        <v>0.33333333333333331</v>
      </c>
      <c r="BP265" s="7">
        <f>VLOOKUP(A265,[1]Sheet15!B:E,4,0)</f>
        <v>10</v>
      </c>
      <c r="BQ265" s="7">
        <f>VLOOKUP(A265,[1]Sheet15!B:E,3,0)</f>
        <v>5</v>
      </c>
    </row>
    <row r="266" spans="1:69" ht="22.5" customHeight="1" x14ac:dyDescent="0.25">
      <c r="A266" s="15" t="s">
        <v>696</v>
      </c>
      <c r="B266" s="15">
        <f>VLOOKUP(A266,'[1]Master clients'!F262:W3809,17,0)</f>
        <v>0</v>
      </c>
      <c r="C266" s="15" t="str">
        <f>VLOOKUP(A266,'[1]Master clients'!F262:P3809,11,0)</f>
        <v>SI-GS</v>
      </c>
      <c r="D266" s="15" t="str">
        <f>VLOOKUP(A266,'[1]Master clients'!F:M,8,0)</f>
        <v>End User</v>
      </c>
      <c r="E266" s="16" t="s">
        <v>697</v>
      </c>
      <c r="F266" s="16" t="s">
        <v>698</v>
      </c>
      <c r="G266" s="17"/>
      <c r="H266" s="17"/>
      <c r="I266" s="31">
        <v>1</v>
      </c>
      <c r="J266" s="31">
        <v>0</v>
      </c>
      <c r="K266" s="17">
        <v>0</v>
      </c>
      <c r="L266" s="17">
        <v>0</v>
      </c>
      <c r="M266" s="17">
        <v>0</v>
      </c>
      <c r="N266" s="17">
        <v>0</v>
      </c>
      <c r="O266" s="17">
        <v>0</v>
      </c>
      <c r="P266" s="17">
        <v>0</v>
      </c>
      <c r="Q266" s="17">
        <v>0</v>
      </c>
      <c r="R266" s="17">
        <v>0</v>
      </c>
      <c r="S266" s="17">
        <v>0</v>
      </c>
      <c r="T266" s="17">
        <v>0</v>
      </c>
      <c r="U266" s="17">
        <v>0</v>
      </c>
      <c r="V266" s="17">
        <v>0</v>
      </c>
      <c r="W266" s="17">
        <v>0</v>
      </c>
      <c r="X266" s="17">
        <v>0</v>
      </c>
      <c r="Y266" s="17">
        <v>0</v>
      </c>
      <c r="Z266" s="17">
        <v>0</v>
      </c>
      <c r="AA266" s="17">
        <v>0</v>
      </c>
      <c r="AB266" s="17">
        <v>0</v>
      </c>
      <c r="AC266" s="17">
        <v>0</v>
      </c>
      <c r="AD266" s="17">
        <v>0</v>
      </c>
      <c r="AE266" s="17">
        <v>0</v>
      </c>
      <c r="AF266" s="17">
        <v>0</v>
      </c>
      <c r="AG266" s="17">
        <v>0</v>
      </c>
      <c r="AH266" s="17">
        <v>0</v>
      </c>
      <c r="AI266" s="17">
        <v>0</v>
      </c>
      <c r="AJ266" s="17">
        <v>0</v>
      </c>
      <c r="AK266" s="17">
        <v>0</v>
      </c>
      <c r="AL266" s="17">
        <v>0</v>
      </c>
      <c r="AM266" s="17">
        <v>0</v>
      </c>
      <c r="AN266" s="17">
        <v>0</v>
      </c>
      <c r="AO266" s="17">
        <v>0</v>
      </c>
      <c r="AP266" s="17">
        <v>0</v>
      </c>
      <c r="AQ266" s="17">
        <v>0</v>
      </c>
      <c r="AR266" s="17">
        <v>0</v>
      </c>
      <c r="AS266" s="17">
        <v>0</v>
      </c>
      <c r="AT266" s="17">
        <v>0</v>
      </c>
      <c r="AU266" s="17">
        <v>0</v>
      </c>
      <c r="AV266" s="17">
        <v>0</v>
      </c>
      <c r="AW266" s="17">
        <v>0</v>
      </c>
      <c r="AX266" s="17">
        <v>0</v>
      </c>
      <c r="AY266" s="17">
        <v>0</v>
      </c>
      <c r="AZ266" s="17">
        <v>0</v>
      </c>
      <c r="BA266" s="17">
        <v>0</v>
      </c>
      <c r="BB266" s="17">
        <v>0</v>
      </c>
      <c r="BC266" s="17">
        <v>0</v>
      </c>
      <c r="BD266" s="17">
        <v>0</v>
      </c>
      <c r="BE266" s="17">
        <v>0</v>
      </c>
      <c r="BF266" s="17">
        <v>0</v>
      </c>
      <c r="BG266" s="17">
        <v>0</v>
      </c>
      <c r="BH266" s="17">
        <v>0</v>
      </c>
      <c r="BI266" s="22">
        <f t="shared" si="76"/>
        <v>0</v>
      </c>
      <c r="BJ266" s="22">
        <f t="shared" si="77"/>
        <v>0</v>
      </c>
      <c r="BK266" s="22">
        <f t="shared" si="78"/>
        <v>1</v>
      </c>
      <c r="BL266" s="22">
        <f t="shared" si="79"/>
        <v>1</v>
      </c>
      <c r="BM266" s="22">
        <f t="shared" si="74"/>
        <v>0</v>
      </c>
      <c r="BN266" s="23">
        <f t="shared" si="75"/>
        <v>1</v>
      </c>
      <c r="BO266" s="23" t="e">
        <f t="shared" si="75"/>
        <v>#DIV/0!</v>
      </c>
      <c r="BP266" s="7">
        <f>VLOOKUP(A266,[1]Sheet15!B:E,4,0)</f>
        <v>1</v>
      </c>
      <c r="BQ266" s="7">
        <f>VLOOKUP(A266,[1]Sheet15!B:E,3,0)</f>
        <v>0</v>
      </c>
    </row>
    <row r="267" spans="1:69" ht="22.5" customHeight="1" x14ac:dyDescent="0.25">
      <c r="A267" s="15" t="s">
        <v>699</v>
      </c>
      <c r="B267" s="15">
        <f>VLOOKUP(A267,'[1]Master clients'!F263:W3810,17,0)</f>
        <v>0</v>
      </c>
      <c r="C267" s="15" t="str">
        <f>VLOOKUP(A267,'[1]Master clients'!F263:P3810,11,0)</f>
        <v>NI</v>
      </c>
      <c r="D267" s="15" t="str">
        <f>VLOOKUP(A267,'[1]Master clients'!F:M,8,0)</f>
        <v>End User</v>
      </c>
      <c r="E267" s="24" t="s">
        <v>700</v>
      </c>
      <c r="F267" s="25" t="s">
        <v>701</v>
      </c>
      <c r="G267" s="20">
        <v>7</v>
      </c>
      <c r="H267" s="20">
        <v>0</v>
      </c>
      <c r="I267" s="26">
        <v>13</v>
      </c>
      <c r="J267" s="26">
        <v>0</v>
      </c>
      <c r="K267" s="20">
        <v>6</v>
      </c>
      <c r="L267" s="20">
        <v>0</v>
      </c>
      <c r="M267" s="20">
        <v>0</v>
      </c>
      <c r="N267" s="20">
        <v>14</v>
      </c>
      <c r="O267" s="20">
        <v>0</v>
      </c>
      <c r="P267" s="20">
        <v>0</v>
      </c>
      <c r="Q267" s="20">
        <v>0</v>
      </c>
      <c r="R267" s="20">
        <v>0</v>
      </c>
      <c r="S267" s="20">
        <v>0</v>
      </c>
      <c r="T267" s="20">
        <v>0</v>
      </c>
      <c r="U267" s="20">
        <v>0</v>
      </c>
      <c r="V267" s="20">
        <v>0</v>
      </c>
      <c r="W267" s="20">
        <v>0</v>
      </c>
      <c r="X267" s="20">
        <v>0</v>
      </c>
      <c r="Y267" s="20">
        <v>0</v>
      </c>
      <c r="Z267" s="20">
        <v>0</v>
      </c>
      <c r="AA267" s="20">
        <v>0</v>
      </c>
      <c r="AB267" s="20">
        <v>0</v>
      </c>
      <c r="AC267" s="20">
        <v>0</v>
      </c>
      <c r="AD267" s="20">
        <v>0</v>
      </c>
      <c r="AE267" s="20">
        <v>0</v>
      </c>
      <c r="AF267" s="20">
        <v>0</v>
      </c>
      <c r="AG267" s="20">
        <v>0</v>
      </c>
      <c r="AH267" s="20">
        <v>0</v>
      </c>
      <c r="AI267" s="20">
        <v>0</v>
      </c>
      <c r="AJ267" s="20">
        <v>0</v>
      </c>
      <c r="AK267" s="20">
        <v>0</v>
      </c>
      <c r="AL267" s="20">
        <v>0</v>
      </c>
      <c r="AM267" s="20">
        <v>0</v>
      </c>
      <c r="AN267" s="20">
        <v>0</v>
      </c>
      <c r="AO267" s="20">
        <v>0</v>
      </c>
      <c r="AP267" s="20">
        <v>0</v>
      </c>
      <c r="AQ267" s="20">
        <v>0</v>
      </c>
      <c r="AR267" s="20">
        <v>0</v>
      </c>
      <c r="AS267" s="20">
        <v>0</v>
      </c>
      <c r="AT267" s="20">
        <v>0</v>
      </c>
      <c r="AU267" s="20">
        <v>0</v>
      </c>
      <c r="AV267" s="20">
        <v>0</v>
      </c>
      <c r="AW267" s="20">
        <v>0</v>
      </c>
      <c r="AX267" s="20">
        <v>0</v>
      </c>
      <c r="AY267" s="20">
        <v>0</v>
      </c>
      <c r="AZ267" s="20">
        <v>0</v>
      </c>
      <c r="BA267" s="20">
        <v>0</v>
      </c>
      <c r="BB267" s="27">
        <v>0</v>
      </c>
      <c r="BC267" s="20">
        <v>0</v>
      </c>
      <c r="BD267" s="20">
        <v>0</v>
      </c>
      <c r="BE267" s="21">
        <v>0</v>
      </c>
      <c r="BF267" s="21">
        <v>0</v>
      </c>
      <c r="BG267" s="20">
        <v>0</v>
      </c>
      <c r="BH267" s="20">
        <v>0</v>
      </c>
      <c r="BI267" s="22">
        <f t="shared" si="76"/>
        <v>6</v>
      </c>
      <c r="BJ267" s="22">
        <f t="shared" si="77"/>
        <v>14</v>
      </c>
      <c r="BK267" s="28">
        <f t="shared" si="78"/>
        <v>33</v>
      </c>
      <c r="BL267" s="22">
        <f t="shared" si="79"/>
        <v>19</v>
      </c>
      <c r="BM267" s="22">
        <f t="shared" si="74"/>
        <v>14</v>
      </c>
      <c r="BN267" s="23">
        <f t="shared" si="75"/>
        <v>0.68421052631578949</v>
      </c>
      <c r="BO267" s="23">
        <f t="shared" si="75"/>
        <v>0</v>
      </c>
      <c r="BP267" s="7">
        <f>VLOOKUP(A267,[1]Sheet15!B:E,4,0)</f>
        <v>5</v>
      </c>
      <c r="BQ267" s="7">
        <f>VLOOKUP(A267,[1]Sheet15!B:E,3,0)</f>
        <v>0</v>
      </c>
    </row>
    <row r="268" spans="1:69" ht="22.5" customHeight="1" x14ac:dyDescent="0.25">
      <c r="A268" s="15" t="s">
        <v>702</v>
      </c>
      <c r="B268" s="15">
        <f>VLOOKUP(A268,'[1]Master clients'!F264:W3811,17,0)</f>
        <v>0</v>
      </c>
      <c r="C268" s="15" t="str">
        <f>VLOOKUP(A268,'[1]Master clients'!F264:P3811,11,0)</f>
        <v>NI</v>
      </c>
      <c r="D268" s="15" t="str">
        <f>VLOOKUP(A268,'[1]Master clients'!F:M,8,0)</f>
        <v>End User</v>
      </c>
      <c r="E268" s="16" t="s">
        <v>703</v>
      </c>
      <c r="F268" s="16" t="s">
        <v>701</v>
      </c>
      <c r="G268" s="17"/>
      <c r="H268" s="17"/>
      <c r="I268" s="31">
        <v>4</v>
      </c>
      <c r="J268" s="31">
        <v>0</v>
      </c>
      <c r="K268" s="17">
        <v>0</v>
      </c>
      <c r="L268" s="17">
        <v>0</v>
      </c>
      <c r="M268" s="17">
        <v>0</v>
      </c>
      <c r="N268" s="17">
        <v>0</v>
      </c>
      <c r="O268" s="17">
        <v>0</v>
      </c>
      <c r="P268" s="17">
        <v>0</v>
      </c>
      <c r="Q268" s="17">
        <v>0</v>
      </c>
      <c r="R268" s="17">
        <v>0</v>
      </c>
      <c r="S268" s="17">
        <v>0</v>
      </c>
      <c r="T268" s="17">
        <v>0</v>
      </c>
      <c r="U268" s="17">
        <v>0</v>
      </c>
      <c r="V268" s="17">
        <v>0</v>
      </c>
      <c r="W268" s="17">
        <v>0</v>
      </c>
      <c r="X268" s="17">
        <v>0</v>
      </c>
      <c r="Y268" s="17">
        <v>0</v>
      </c>
      <c r="Z268" s="17">
        <v>0</v>
      </c>
      <c r="AA268" s="17">
        <v>0</v>
      </c>
      <c r="AB268" s="17">
        <v>0</v>
      </c>
      <c r="AC268" s="17">
        <v>0</v>
      </c>
      <c r="AD268" s="17">
        <v>0</v>
      </c>
      <c r="AE268" s="17">
        <v>0</v>
      </c>
      <c r="AF268" s="17">
        <v>0</v>
      </c>
      <c r="AG268" s="17">
        <v>0</v>
      </c>
      <c r="AH268" s="17">
        <v>0</v>
      </c>
      <c r="AI268" s="17">
        <v>0</v>
      </c>
      <c r="AJ268" s="17">
        <v>0</v>
      </c>
      <c r="AK268" s="17">
        <v>0</v>
      </c>
      <c r="AL268" s="17">
        <v>0</v>
      </c>
      <c r="AM268" s="17">
        <v>0</v>
      </c>
      <c r="AN268" s="17">
        <v>0</v>
      </c>
      <c r="AO268" s="17">
        <v>0</v>
      </c>
      <c r="AP268" s="17">
        <v>0</v>
      </c>
      <c r="AQ268" s="17">
        <v>0</v>
      </c>
      <c r="AR268" s="17">
        <v>0</v>
      </c>
      <c r="AS268" s="17">
        <v>0</v>
      </c>
      <c r="AT268" s="17">
        <v>0</v>
      </c>
      <c r="AU268" s="17">
        <v>0</v>
      </c>
      <c r="AV268" s="17">
        <v>0</v>
      </c>
      <c r="AW268" s="17">
        <v>0</v>
      </c>
      <c r="AX268" s="17">
        <v>0</v>
      </c>
      <c r="AY268" s="17">
        <v>0</v>
      </c>
      <c r="AZ268" s="17">
        <v>0</v>
      </c>
      <c r="BA268" s="17">
        <v>0</v>
      </c>
      <c r="BB268" s="17">
        <v>0</v>
      </c>
      <c r="BC268" s="17">
        <v>0</v>
      </c>
      <c r="BD268" s="17">
        <v>0</v>
      </c>
      <c r="BE268" s="17">
        <v>0</v>
      </c>
      <c r="BF268" s="17">
        <v>0</v>
      </c>
      <c r="BG268" s="17">
        <v>0</v>
      </c>
      <c r="BH268" s="17">
        <v>0</v>
      </c>
      <c r="BI268" s="22">
        <f t="shared" si="76"/>
        <v>0</v>
      </c>
      <c r="BJ268" s="22">
        <f t="shared" si="77"/>
        <v>0</v>
      </c>
      <c r="BK268" s="22">
        <f t="shared" si="78"/>
        <v>4</v>
      </c>
      <c r="BL268" s="22">
        <f t="shared" si="79"/>
        <v>4</v>
      </c>
      <c r="BM268" s="22">
        <f t="shared" si="74"/>
        <v>0</v>
      </c>
      <c r="BN268" s="23">
        <f t="shared" si="75"/>
        <v>1</v>
      </c>
      <c r="BO268" s="23" t="e">
        <f t="shared" si="75"/>
        <v>#DIV/0!</v>
      </c>
      <c r="BP268" s="7">
        <f>VLOOKUP(A268,[1]Sheet15!B:E,4,0)</f>
        <v>4</v>
      </c>
      <c r="BQ268" s="7">
        <f>VLOOKUP(A268,[1]Sheet15!B:E,3,0)</f>
        <v>0</v>
      </c>
    </row>
    <row r="269" spans="1:69" ht="22.5" customHeight="1" x14ac:dyDescent="0.25">
      <c r="A269" s="15" t="s">
        <v>704</v>
      </c>
      <c r="B269" s="15">
        <f>VLOOKUP(A269,'[1]Master clients'!F265:W3812,17,0)</f>
        <v>0</v>
      </c>
      <c r="C269" s="15" t="str">
        <f>VLOOKUP(A269,'[1]Master clients'!F265:P3812,11,0)</f>
        <v>NI</v>
      </c>
      <c r="D269" s="15" t="str">
        <f>VLOOKUP(A269,'[1]Master clients'!F:M,8,0)</f>
        <v>End User</v>
      </c>
      <c r="E269" s="16" t="s">
        <v>705</v>
      </c>
      <c r="F269" s="16" t="s">
        <v>706</v>
      </c>
      <c r="G269" s="17"/>
      <c r="H269" s="17">
        <v>8</v>
      </c>
      <c r="I269" s="31">
        <v>10</v>
      </c>
      <c r="J269" s="31">
        <v>8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  <c r="AE269" s="17">
        <v>0</v>
      </c>
      <c r="AF269" s="17">
        <v>0</v>
      </c>
      <c r="AG269" s="17">
        <v>0</v>
      </c>
      <c r="AH269" s="17">
        <v>0</v>
      </c>
      <c r="AI269" s="17">
        <v>0</v>
      </c>
      <c r="AJ269" s="17">
        <v>0</v>
      </c>
      <c r="AK269" s="17">
        <v>0</v>
      </c>
      <c r="AL269" s="17">
        <v>0</v>
      </c>
      <c r="AM269" s="17">
        <v>0</v>
      </c>
      <c r="AN269" s="17">
        <v>0</v>
      </c>
      <c r="AO269" s="17">
        <v>0</v>
      </c>
      <c r="AP269" s="17">
        <v>0</v>
      </c>
      <c r="AQ269" s="17">
        <v>0</v>
      </c>
      <c r="AR269" s="17">
        <v>0</v>
      </c>
      <c r="AS269" s="17">
        <v>0</v>
      </c>
      <c r="AT269" s="17">
        <v>0</v>
      </c>
      <c r="AU269" s="17">
        <v>0</v>
      </c>
      <c r="AV269" s="17">
        <v>0</v>
      </c>
      <c r="AW269" s="17">
        <v>0</v>
      </c>
      <c r="AX269" s="17">
        <v>0</v>
      </c>
      <c r="AY269" s="17">
        <v>0</v>
      </c>
      <c r="AZ269" s="17">
        <v>0</v>
      </c>
      <c r="BA269" s="17">
        <v>0</v>
      </c>
      <c r="BB269" s="17">
        <v>0</v>
      </c>
      <c r="BC269" s="17">
        <v>0</v>
      </c>
      <c r="BD269" s="17">
        <v>0</v>
      </c>
      <c r="BE269" s="17">
        <v>0</v>
      </c>
      <c r="BF269" s="17">
        <v>0</v>
      </c>
      <c r="BG269" s="17">
        <v>0</v>
      </c>
      <c r="BH269" s="17">
        <v>0</v>
      </c>
      <c r="BI269" s="22">
        <f t="shared" si="76"/>
        <v>0</v>
      </c>
      <c r="BJ269" s="22">
        <f t="shared" si="77"/>
        <v>0</v>
      </c>
      <c r="BK269" s="22">
        <f t="shared" si="78"/>
        <v>18</v>
      </c>
      <c r="BL269" s="22">
        <f t="shared" si="79"/>
        <v>10</v>
      </c>
      <c r="BM269" s="22">
        <f t="shared" si="74"/>
        <v>8</v>
      </c>
      <c r="BN269" s="23">
        <f t="shared" si="75"/>
        <v>1</v>
      </c>
      <c r="BO269" s="23">
        <f t="shared" si="75"/>
        <v>1</v>
      </c>
      <c r="BP269" s="7">
        <f>VLOOKUP(A269,[1]Sheet15!B:E,4,0)</f>
        <v>10</v>
      </c>
      <c r="BQ269" s="7">
        <f>VLOOKUP(A269,[1]Sheet15!B:E,3,0)</f>
        <v>8</v>
      </c>
    </row>
    <row r="270" spans="1:69" ht="22.5" customHeight="1" x14ac:dyDescent="0.25">
      <c r="A270" s="15" t="s">
        <v>707</v>
      </c>
      <c r="B270" s="15">
        <f>VLOOKUP(A270,'[1]Master clients'!F266:W3813,17,0)</f>
        <v>0</v>
      </c>
      <c r="C270" s="15" t="str">
        <f>VLOOKUP(A270,'[1]Master clients'!F266:P3813,11,0)</f>
        <v>NI</v>
      </c>
      <c r="D270" s="15" t="str">
        <f>VLOOKUP(A270,'[1]Master clients'!F:M,8,0)</f>
        <v>End User</v>
      </c>
      <c r="E270" s="33" t="s">
        <v>708</v>
      </c>
      <c r="F270" s="37" t="s">
        <v>709</v>
      </c>
      <c r="G270" s="20">
        <v>0</v>
      </c>
      <c r="H270" s="20">
        <v>0</v>
      </c>
      <c r="I270" s="26">
        <v>2</v>
      </c>
      <c r="J270" s="26">
        <v>0</v>
      </c>
      <c r="K270" s="20">
        <v>0</v>
      </c>
      <c r="L270" s="20">
        <v>0</v>
      </c>
      <c r="M270" s="20">
        <v>4</v>
      </c>
      <c r="N270" s="20">
        <v>10</v>
      </c>
      <c r="O270" s="20">
        <v>0</v>
      </c>
      <c r="P270" s="20">
        <v>0</v>
      </c>
      <c r="Q270" s="20">
        <v>0</v>
      </c>
      <c r="R270" s="20">
        <v>0</v>
      </c>
      <c r="S270" s="20">
        <v>0</v>
      </c>
      <c r="T270" s="20">
        <v>0</v>
      </c>
      <c r="U270" s="20">
        <v>0</v>
      </c>
      <c r="V270" s="20">
        <v>0</v>
      </c>
      <c r="W270" s="20">
        <v>6</v>
      </c>
      <c r="X270" s="20">
        <v>0</v>
      </c>
      <c r="Y270" s="20">
        <v>0</v>
      </c>
      <c r="Z270" s="20">
        <v>0</v>
      </c>
      <c r="AA270" s="20">
        <v>0</v>
      </c>
      <c r="AB270" s="20">
        <v>0</v>
      </c>
      <c r="AC270" s="20">
        <v>0</v>
      </c>
      <c r="AD270" s="20">
        <v>0</v>
      </c>
      <c r="AE270" s="20">
        <v>0</v>
      </c>
      <c r="AF270" s="20">
        <v>0</v>
      </c>
      <c r="AG270" s="20">
        <v>0</v>
      </c>
      <c r="AH270" s="20">
        <v>0</v>
      </c>
      <c r="AI270" s="20">
        <v>0</v>
      </c>
      <c r="AJ270" s="20">
        <v>0</v>
      </c>
      <c r="AK270" s="20">
        <v>0</v>
      </c>
      <c r="AL270" s="20">
        <v>0</v>
      </c>
      <c r="AM270" s="20">
        <v>0</v>
      </c>
      <c r="AN270" s="20">
        <v>0</v>
      </c>
      <c r="AO270" s="20">
        <v>0</v>
      </c>
      <c r="AP270" s="20">
        <v>0</v>
      </c>
      <c r="AQ270" s="20">
        <v>0</v>
      </c>
      <c r="AR270" s="20">
        <v>0</v>
      </c>
      <c r="AS270" s="20">
        <v>0</v>
      </c>
      <c r="AT270" s="20">
        <v>0</v>
      </c>
      <c r="AU270" s="20">
        <v>0</v>
      </c>
      <c r="AV270" s="20">
        <v>0</v>
      </c>
      <c r="AW270" s="20">
        <v>0</v>
      </c>
      <c r="AX270" s="20">
        <v>0</v>
      </c>
      <c r="AY270" s="20">
        <v>0</v>
      </c>
      <c r="AZ270" s="20">
        <v>0</v>
      </c>
      <c r="BA270" s="20">
        <v>0</v>
      </c>
      <c r="BB270" s="27">
        <v>0</v>
      </c>
      <c r="BC270" s="20">
        <v>0</v>
      </c>
      <c r="BD270" s="20">
        <v>0</v>
      </c>
      <c r="BE270" s="21">
        <v>0</v>
      </c>
      <c r="BF270" s="21">
        <v>0</v>
      </c>
      <c r="BG270" s="20">
        <v>0</v>
      </c>
      <c r="BH270" s="20">
        <v>0</v>
      </c>
      <c r="BI270" s="22">
        <f t="shared" si="76"/>
        <v>10</v>
      </c>
      <c r="BJ270" s="22">
        <f t="shared" si="77"/>
        <v>10</v>
      </c>
      <c r="BK270" s="28">
        <f t="shared" si="78"/>
        <v>22</v>
      </c>
      <c r="BL270" s="22">
        <f t="shared" si="79"/>
        <v>12</v>
      </c>
      <c r="BM270" s="22">
        <f t="shared" si="74"/>
        <v>10</v>
      </c>
      <c r="BN270" s="23">
        <f t="shared" si="75"/>
        <v>0.16666666666666666</v>
      </c>
      <c r="BO270" s="23">
        <f t="shared" si="75"/>
        <v>0</v>
      </c>
      <c r="BP270" s="7">
        <f>VLOOKUP(A270,[1]Sheet15!B:E,4,0)</f>
        <v>7</v>
      </c>
      <c r="BQ270" s="7">
        <f>VLOOKUP(A270,[1]Sheet15!B:E,3,0)</f>
        <v>0</v>
      </c>
    </row>
    <row r="271" spans="1:69" x14ac:dyDescent="0.25">
      <c r="A271" s="15" t="s">
        <v>710</v>
      </c>
      <c r="B271" s="15">
        <f>VLOOKUP(A271,'[1]Master clients'!F267:W3814,17,0)</f>
        <v>0</v>
      </c>
      <c r="C271" s="15" t="str">
        <f>VLOOKUP(A271,'[1]Master clients'!F267:P3814,11,0)</f>
        <v>NI</v>
      </c>
      <c r="D271" s="15" t="str">
        <f>VLOOKUP(A271,'[1]Master clients'!F:M,8,0)</f>
        <v>End User</v>
      </c>
      <c r="E271" s="16" t="s">
        <v>711</v>
      </c>
      <c r="F271" s="16" t="s">
        <v>712</v>
      </c>
      <c r="G271" s="17"/>
      <c r="H271" s="17"/>
      <c r="I271" s="31">
        <v>0</v>
      </c>
      <c r="J271" s="31">
        <v>0</v>
      </c>
      <c r="K271" s="17">
        <v>0</v>
      </c>
      <c r="L271" s="17">
        <v>0</v>
      </c>
      <c r="M271" s="17">
        <v>0</v>
      </c>
      <c r="N271" s="17">
        <v>0</v>
      </c>
      <c r="O271" s="17">
        <v>0</v>
      </c>
      <c r="P271" s="17">
        <v>0</v>
      </c>
      <c r="Q271" s="17">
        <v>0</v>
      </c>
      <c r="R271" s="17">
        <v>0</v>
      </c>
      <c r="S271" s="17">
        <v>0</v>
      </c>
      <c r="T271" s="17">
        <v>0</v>
      </c>
      <c r="U271" s="17">
        <v>0</v>
      </c>
      <c r="V271" s="17">
        <v>0</v>
      </c>
      <c r="W271" s="17">
        <v>0</v>
      </c>
      <c r="X271" s="17">
        <v>0</v>
      </c>
      <c r="Y271" s="17">
        <v>0</v>
      </c>
      <c r="Z271" s="17">
        <v>0</v>
      </c>
      <c r="AA271" s="17">
        <v>0</v>
      </c>
      <c r="AB271" s="17">
        <v>0</v>
      </c>
      <c r="AC271" s="17">
        <v>0</v>
      </c>
      <c r="AD271" s="17">
        <v>0</v>
      </c>
      <c r="AE271" s="17">
        <v>0</v>
      </c>
      <c r="AF271" s="17">
        <v>0</v>
      </c>
      <c r="AG271" s="17">
        <v>0</v>
      </c>
      <c r="AH271" s="17">
        <v>0</v>
      </c>
      <c r="AI271" s="17">
        <v>0</v>
      </c>
      <c r="AJ271" s="17">
        <v>0</v>
      </c>
      <c r="AK271" s="17">
        <v>0</v>
      </c>
      <c r="AL271" s="17">
        <v>0</v>
      </c>
      <c r="AM271" s="17">
        <v>0</v>
      </c>
      <c r="AN271" s="17">
        <v>0</v>
      </c>
      <c r="AO271" s="17">
        <v>0</v>
      </c>
      <c r="AP271" s="17">
        <v>0</v>
      </c>
      <c r="AQ271" s="17">
        <v>0</v>
      </c>
      <c r="AR271" s="17">
        <v>0</v>
      </c>
      <c r="AS271" s="17">
        <v>0</v>
      </c>
      <c r="AT271" s="17">
        <v>0</v>
      </c>
      <c r="AU271" s="17">
        <v>0</v>
      </c>
      <c r="AV271" s="17">
        <v>0</v>
      </c>
      <c r="AW271" s="17">
        <v>0</v>
      </c>
      <c r="AX271" s="17">
        <v>0</v>
      </c>
      <c r="AY271" s="17">
        <v>0</v>
      </c>
      <c r="AZ271" s="17">
        <v>0</v>
      </c>
      <c r="BA271" s="17">
        <v>0</v>
      </c>
      <c r="BB271" s="17">
        <v>0</v>
      </c>
      <c r="BC271" s="17">
        <v>0</v>
      </c>
      <c r="BD271" s="17">
        <v>0</v>
      </c>
      <c r="BE271" s="17">
        <v>0</v>
      </c>
      <c r="BF271" s="17">
        <v>0</v>
      </c>
      <c r="BG271" s="17">
        <v>0</v>
      </c>
      <c r="BH271" s="17">
        <v>0</v>
      </c>
      <c r="BI271" s="22">
        <f t="shared" si="76"/>
        <v>0</v>
      </c>
      <c r="BJ271" s="22">
        <f t="shared" si="77"/>
        <v>0</v>
      </c>
      <c r="BK271" s="22">
        <f t="shared" si="78"/>
        <v>0</v>
      </c>
      <c r="BL271" s="22">
        <f t="shared" si="79"/>
        <v>0</v>
      </c>
      <c r="BM271" s="22">
        <f t="shared" si="74"/>
        <v>0</v>
      </c>
      <c r="BN271" s="23" t="e">
        <f t="shared" si="75"/>
        <v>#DIV/0!</v>
      </c>
      <c r="BO271" s="23" t="e">
        <f t="shared" si="75"/>
        <v>#DIV/0!</v>
      </c>
      <c r="BP271" s="7" t="e">
        <f>VLOOKUP(A271,[1]Sheet15!B:E,4,0)</f>
        <v>#N/A</v>
      </c>
      <c r="BQ271" s="7" t="e">
        <f>VLOOKUP(A271,[1]Sheet15!B:E,3,0)</f>
        <v>#N/A</v>
      </c>
    </row>
    <row r="272" spans="1:69" ht="22.5" customHeight="1" x14ac:dyDescent="0.25">
      <c r="A272" s="15" t="s">
        <v>713</v>
      </c>
      <c r="B272" s="15">
        <f>VLOOKUP(A272,'[1]Master clients'!F268:W3815,17,0)</f>
        <v>0</v>
      </c>
      <c r="C272" s="15" t="str">
        <f>VLOOKUP(A272,'[1]Master clients'!F268:P3815,11,0)</f>
        <v>NI</v>
      </c>
      <c r="D272" s="15" t="str">
        <f>VLOOKUP(A272,'[1]Master clients'!F:M,8,0)</f>
        <v>End User</v>
      </c>
      <c r="E272" s="16" t="s">
        <v>714</v>
      </c>
      <c r="F272" s="16" t="s">
        <v>712</v>
      </c>
      <c r="G272" s="17"/>
      <c r="H272" s="17"/>
      <c r="I272" s="31">
        <v>12</v>
      </c>
      <c r="J272" s="31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  <c r="AE272" s="17">
        <v>0</v>
      </c>
      <c r="AF272" s="17">
        <v>0</v>
      </c>
      <c r="AG272" s="17">
        <v>0</v>
      </c>
      <c r="AH272" s="17">
        <v>0</v>
      </c>
      <c r="AI272" s="17">
        <v>0</v>
      </c>
      <c r="AJ272" s="17">
        <v>0</v>
      </c>
      <c r="AK272" s="17">
        <v>0</v>
      </c>
      <c r="AL272" s="17">
        <v>0</v>
      </c>
      <c r="AM272" s="17">
        <v>0</v>
      </c>
      <c r="AN272" s="17">
        <v>0</v>
      </c>
      <c r="AO272" s="17">
        <v>0</v>
      </c>
      <c r="AP272" s="17">
        <v>0</v>
      </c>
      <c r="AQ272" s="17">
        <v>0</v>
      </c>
      <c r="AR272" s="17">
        <v>0</v>
      </c>
      <c r="AS272" s="17">
        <v>0</v>
      </c>
      <c r="AT272" s="17">
        <v>0</v>
      </c>
      <c r="AU272" s="17">
        <v>0</v>
      </c>
      <c r="AV272" s="17">
        <v>0</v>
      </c>
      <c r="AW272" s="17">
        <v>0</v>
      </c>
      <c r="AX272" s="17">
        <v>0</v>
      </c>
      <c r="AY272" s="17">
        <v>0</v>
      </c>
      <c r="AZ272" s="17">
        <v>0</v>
      </c>
      <c r="BA272" s="17">
        <v>0</v>
      </c>
      <c r="BB272" s="17">
        <v>0</v>
      </c>
      <c r="BC272" s="17">
        <v>0</v>
      </c>
      <c r="BD272" s="17">
        <v>0</v>
      </c>
      <c r="BE272" s="17">
        <v>0</v>
      </c>
      <c r="BF272" s="17">
        <v>0</v>
      </c>
      <c r="BG272" s="17">
        <v>0</v>
      </c>
      <c r="BH272" s="17">
        <v>0</v>
      </c>
      <c r="BI272" s="22">
        <f t="shared" si="76"/>
        <v>0</v>
      </c>
      <c r="BJ272" s="22">
        <f t="shared" si="77"/>
        <v>0</v>
      </c>
      <c r="BK272" s="22">
        <f t="shared" si="78"/>
        <v>12</v>
      </c>
      <c r="BL272" s="22">
        <f t="shared" si="79"/>
        <v>12</v>
      </c>
      <c r="BM272" s="22">
        <f t="shared" si="74"/>
        <v>0</v>
      </c>
      <c r="BN272" s="23">
        <f t="shared" si="75"/>
        <v>1</v>
      </c>
      <c r="BO272" s="23" t="e">
        <f t="shared" si="75"/>
        <v>#DIV/0!</v>
      </c>
      <c r="BP272" s="7">
        <f>VLOOKUP(A272,[1]Sheet15!B:E,4,0)</f>
        <v>12</v>
      </c>
      <c r="BQ272" s="7">
        <f>VLOOKUP(A272,[1]Sheet15!B:E,3,0)</f>
        <v>0</v>
      </c>
    </row>
    <row r="273" spans="1:69" ht="22.5" customHeight="1" x14ac:dyDescent="0.25">
      <c r="A273" s="15" t="s">
        <v>715</v>
      </c>
      <c r="B273" s="15" t="e">
        <f>VLOOKUP(A273,'[1]Master clients'!F269:W3816,17,0)</f>
        <v>#N/A</v>
      </c>
      <c r="C273" s="15" t="e">
        <f>VLOOKUP(A273,'[1]Master clients'!F269:P3816,11,0)</f>
        <v>#N/A</v>
      </c>
      <c r="D273" s="15" t="e">
        <f>VLOOKUP(A273,'[1]Master clients'!F:M,8,0)</f>
        <v>#N/A</v>
      </c>
      <c r="E273" s="16" t="s">
        <v>716</v>
      </c>
      <c r="F273" s="16" t="s">
        <v>717</v>
      </c>
      <c r="G273" s="17"/>
      <c r="H273" s="17"/>
      <c r="I273" s="31">
        <v>0</v>
      </c>
      <c r="J273" s="31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  <c r="AE273" s="17">
        <v>0</v>
      </c>
      <c r="AF273" s="17">
        <v>0</v>
      </c>
      <c r="AG273" s="17">
        <v>0</v>
      </c>
      <c r="AH273" s="17">
        <v>0</v>
      </c>
      <c r="AI273" s="17">
        <v>0</v>
      </c>
      <c r="AJ273" s="17">
        <v>0</v>
      </c>
      <c r="AK273" s="17">
        <v>0</v>
      </c>
      <c r="AL273" s="17">
        <v>0</v>
      </c>
      <c r="AM273" s="17">
        <v>0</v>
      </c>
      <c r="AN273" s="17">
        <v>0</v>
      </c>
      <c r="AO273" s="17">
        <v>0</v>
      </c>
      <c r="AP273" s="17">
        <v>0</v>
      </c>
      <c r="AQ273" s="17">
        <v>0</v>
      </c>
      <c r="AR273" s="17">
        <v>0</v>
      </c>
      <c r="AS273" s="17">
        <v>0</v>
      </c>
      <c r="AT273" s="17">
        <v>0</v>
      </c>
      <c r="AU273" s="17">
        <v>0</v>
      </c>
      <c r="AV273" s="17">
        <v>0</v>
      </c>
      <c r="AW273" s="17">
        <v>0</v>
      </c>
      <c r="AX273" s="17">
        <v>0</v>
      </c>
      <c r="AY273" s="17">
        <v>0</v>
      </c>
      <c r="AZ273" s="17">
        <v>0</v>
      </c>
      <c r="BA273" s="17">
        <v>0</v>
      </c>
      <c r="BB273" s="17">
        <v>0</v>
      </c>
      <c r="BC273" s="17">
        <v>0</v>
      </c>
      <c r="BD273" s="17">
        <v>0</v>
      </c>
      <c r="BE273" s="17">
        <v>0</v>
      </c>
      <c r="BF273" s="17">
        <v>0</v>
      </c>
      <c r="BG273" s="17">
        <v>0</v>
      </c>
      <c r="BH273" s="17">
        <v>0</v>
      </c>
      <c r="BI273" s="22">
        <f t="shared" si="76"/>
        <v>0</v>
      </c>
      <c r="BJ273" s="22">
        <f t="shared" si="77"/>
        <v>0</v>
      </c>
      <c r="BK273" s="22">
        <f t="shared" si="78"/>
        <v>0</v>
      </c>
      <c r="BL273" s="22">
        <f t="shared" si="79"/>
        <v>0</v>
      </c>
      <c r="BM273" s="22">
        <f t="shared" si="74"/>
        <v>0</v>
      </c>
      <c r="BN273" s="23" t="e">
        <f t="shared" si="75"/>
        <v>#DIV/0!</v>
      </c>
      <c r="BO273" s="23" t="e">
        <f t="shared" si="75"/>
        <v>#DIV/0!</v>
      </c>
      <c r="BP273" s="7" t="e">
        <f>VLOOKUP(A273,[1]Sheet15!B:E,4,0)</f>
        <v>#N/A</v>
      </c>
      <c r="BQ273" s="7" t="e">
        <f>VLOOKUP(A273,[1]Sheet15!B:E,3,0)</f>
        <v>#N/A</v>
      </c>
    </row>
    <row r="274" spans="1:69" ht="22.5" customHeight="1" x14ac:dyDescent="0.25">
      <c r="A274" s="15" t="s">
        <v>718</v>
      </c>
      <c r="B274" s="15">
        <f>VLOOKUP(A274,'[1]Master clients'!F270:W3817,17,0)</f>
        <v>0</v>
      </c>
      <c r="C274" s="15" t="str">
        <f>VLOOKUP(A274,'[1]Master clients'!F270:P3817,11,0)</f>
        <v>AV</v>
      </c>
      <c r="D274" s="15" t="str">
        <f>VLOOKUP(A274,'[1]Master clients'!F:M,8,0)</f>
        <v>End User</v>
      </c>
      <c r="E274" s="24" t="s">
        <v>719</v>
      </c>
      <c r="F274" s="25" t="s">
        <v>720</v>
      </c>
      <c r="G274" s="20">
        <v>53</v>
      </c>
      <c r="H274" s="20">
        <v>17</v>
      </c>
      <c r="I274" s="26">
        <v>38</v>
      </c>
      <c r="J274" s="26">
        <v>2</v>
      </c>
      <c r="K274" s="20">
        <v>6</v>
      </c>
      <c r="L274" s="20">
        <v>1</v>
      </c>
      <c r="M274" s="20">
        <v>0</v>
      </c>
      <c r="N274" s="20">
        <v>0</v>
      </c>
      <c r="O274" s="20">
        <v>0</v>
      </c>
      <c r="P274" s="20">
        <v>0</v>
      </c>
      <c r="Q274" s="20">
        <v>13</v>
      </c>
      <c r="R274" s="20">
        <v>0</v>
      </c>
      <c r="S274" s="20">
        <v>0</v>
      </c>
      <c r="T274" s="20">
        <v>0</v>
      </c>
      <c r="U274" s="20">
        <v>0</v>
      </c>
      <c r="V274" s="20">
        <v>0</v>
      </c>
      <c r="W274" s="20">
        <v>0</v>
      </c>
      <c r="X274" s="20">
        <v>0</v>
      </c>
      <c r="Y274" s="20">
        <v>0</v>
      </c>
      <c r="Z274" s="20">
        <v>0</v>
      </c>
      <c r="AA274" s="20">
        <v>0</v>
      </c>
      <c r="AB274" s="20">
        <v>0</v>
      </c>
      <c r="AC274" s="20">
        <v>0</v>
      </c>
      <c r="AD274" s="20">
        <v>0</v>
      </c>
      <c r="AE274" s="20">
        <v>0</v>
      </c>
      <c r="AF274" s="20">
        <v>2</v>
      </c>
      <c r="AG274" s="20">
        <v>0</v>
      </c>
      <c r="AH274" s="20">
        <v>0</v>
      </c>
      <c r="AI274" s="20">
        <v>0</v>
      </c>
      <c r="AJ274" s="20">
        <v>0</v>
      </c>
      <c r="AK274" s="20">
        <v>0</v>
      </c>
      <c r="AL274" s="20">
        <v>0</v>
      </c>
      <c r="AM274" s="20">
        <v>0</v>
      </c>
      <c r="AN274" s="20">
        <v>0</v>
      </c>
      <c r="AO274" s="20">
        <v>0</v>
      </c>
      <c r="AP274" s="20">
        <v>0</v>
      </c>
      <c r="AQ274" s="20">
        <v>0</v>
      </c>
      <c r="AR274" s="20">
        <v>0</v>
      </c>
      <c r="AS274" s="20">
        <v>0</v>
      </c>
      <c r="AT274" s="20">
        <v>0</v>
      </c>
      <c r="AU274" s="20">
        <v>0</v>
      </c>
      <c r="AV274" s="20">
        <v>0</v>
      </c>
      <c r="AW274" s="20">
        <v>0</v>
      </c>
      <c r="AX274" s="20">
        <v>0</v>
      </c>
      <c r="AY274" s="20">
        <v>0</v>
      </c>
      <c r="AZ274" s="20">
        <v>0</v>
      </c>
      <c r="BA274" s="20">
        <v>0</v>
      </c>
      <c r="BB274" s="27">
        <v>0</v>
      </c>
      <c r="BC274" s="20">
        <v>0</v>
      </c>
      <c r="BD274" s="20">
        <v>0</v>
      </c>
      <c r="BE274" s="21">
        <v>0</v>
      </c>
      <c r="BF274" s="21">
        <v>0</v>
      </c>
      <c r="BG274" s="20">
        <v>0</v>
      </c>
      <c r="BH274" s="20">
        <v>0</v>
      </c>
      <c r="BI274" s="22">
        <f t="shared" si="76"/>
        <v>7</v>
      </c>
      <c r="BJ274" s="22">
        <f t="shared" si="77"/>
        <v>15</v>
      </c>
      <c r="BK274" s="28">
        <f t="shared" si="78"/>
        <v>62</v>
      </c>
      <c r="BL274" s="22">
        <f t="shared" si="79"/>
        <v>45</v>
      </c>
      <c r="BM274" s="22">
        <f t="shared" si="74"/>
        <v>17</v>
      </c>
      <c r="BN274" s="23">
        <f t="shared" si="75"/>
        <v>0.84444444444444444</v>
      </c>
      <c r="BO274" s="23">
        <f t="shared" si="75"/>
        <v>0.11764705882352941</v>
      </c>
      <c r="BP274" s="7">
        <f>VLOOKUP(A274,[1]Sheet15!B:E,4,0)</f>
        <v>28</v>
      </c>
      <c r="BQ274" s="7">
        <f>VLOOKUP(A274,[1]Sheet15!B:E,3,0)</f>
        <v>0</v>
      </c>
    </row>
    <row r="275" spans="1:69" ht="22.5" customHeight="1" x14ac:dyDescent="0.25">
      <c r="A275" s="15" t="s">
        <v>721</v>
      </c>
      <c r="B275" s="15">
        <f>VLOOKUP(A275,'[1]Master clients'!F271:W3818,17,0)</f>
        <v>0</v>
      </c>
      <c r="C275" s="15" t="str">
        <f>VLOOKUP(A275,'[1]Master clients'!F271:P3818,11,0)</f>
        <v>SI-GS</v>
      </c>
      <c r="D275" s="15" t="str">
        <f>VLOOKUP(A275,'[1]Master clients'!F:M,8,0)</f>
        <v>End User</v>
      </c>
      <c r="E275" s="16" t="s">
        <v>722</v>
      </c>
      <c r="F275" s="16" t="s">
        <v>723</v>
      </c>
      <c r="G275" s="17"/>
      <c r="H275" s="17"/>
      <c r="I275" s="31">
        <v>0</v>
      </c>
      <c r="J275" s="31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  <c r="AE275" s="17">
        <v>0</v>
      </c>
      <c r="AF275" s="17">
        <v>0</v>
      </c>
      <c r="AG275" s="17">
        <v>0</v>
      </c>
      <c r="AH275" s="17">
        <v>0</v>
      </c>
      <c r="AI275" s="17">
        <v>0</v>
      </c>
      <c r="AJ275" s="17">
        <v>0</v>
      </c>
      <c r="AK275" s="17">
        <v>0</v>
      </c>
      <c r="AL275" s="17">
        <v>0</v>
      </c>
      <c r="AM275" s="17">
        <v>0</v>
      </c>
      <c r="AN275" s="17">
        <v>0</v>
      </c>
      <c r="AO275" s="17">
        <v>0</v>
      </c>
      <c r="AP275" s="17">
        <v>0</v>
      </c>
      <c r="AQ275" s="17">
        <v>0</v>
      </c>
      <c r="AR275" s="17">
        <v>0</v>
      </c>
      <c r="AS275" s="17">
        <v>0</v>
      </c>
      <c r="AT275" s="17">
        <v>0</v>
      </c>
      <c r="AU275" s="17">
        <v>0</v>
      </c>
      <c r="AV275" s="17">
        <v>0</v>
      </c>
      <c r="AW275" s="17">
        <v>0</v>
      </c>
      <c r="AX275" s="17">
        <v>0</v>
      </c>
      <c r="AY275" s="17">
        <v>0</v>
      </c>
      <c r="AZ275" s="17">
        <v>0</v>
      </c>
      <c r="BA275" s="17">
        <v>0</v>
      </c>
      <c r="BB275" s="17">
        <v>0</v>
      </c>
      <c r="BC275" s="17">
        <v>0</v>
      </c>
      <c r="BD275" s="17">
        <v>0</v>
      </c>
      <c r="BE275" s="17">
        <v>0</v>
      </c>
      <c r="BF275" s="17">
        <v>0</v>
      </c>
      <c r="BG275" s="17">
        <v>0</v>
      </c>
      <c r="BH275" s="17">
        <v>0</v>
      </c>
      <c r="BI275" s="22">
        <f t="shared" si="76"/>
        <v>0</v>
      </c>
      <c r="BJ275" s="22">
        <f t="shared" si="77"/>
        <v>0</v>
      </c>
      <c r="BK275" s="22">
        <f t="shared" si="78"/>
        <v>0</v>
      </c>
      <c r="BL275" s="22">
        <f t="shared" si="79"/>
        <v>0</v>
      </c>
      <c r="BM275" s="22">
        <f t="shared" si="74"/>
        <v>0</v>
      </c>
      <c r="BN275" s="23" t="e">
        <f t="shared" si="75"/>
        <v>#DIV/0!</v>
      </c>
      <c r="BO275" s="23" t="e">
        <f t="shared" si="75"/>
        <v>#DIV/0!</v>
      </c>
      <c r="BP275" s="7" t="e">
        <f>VLOOKUP(A275,[1]Sheet15!B:E,4,0)</f>
        <v>#N/A</v>
      </c>
      <c r="BQ275" s="7" t="e">
        <f>VLOOKUP(A275,[1]Sheet15!B:E,3,0)</f>
        <v>#N/A</v>
      </c>
    </row>
    <row r="276" spans="1:69" ht="22.5" customHeight="1" x14ac:dyDescent="0.25">
      <c r="A276" s="15" t="s">
        <v>724</v>
      </c>
      <c r="B276" s="15">
        <f>VLOOKUP(A276,'[1]Master clients'!F272:W3819,17,0)</f>
        <v>0</v>
      </c>
      <c r="C276" s="15" t="str">
        <f>VLOOKUP(A276,'[1]Master clients'!F272:P3819,11,0)</f>
        <v>NI</v>
      </c>
      <c r="D276" s="15" t="str">
        <f>VLOOKUP(A276,'[1]Master clients'!F:M,8,0)</f>
        <v>Group (Mills)</v>
      </c>
      <c r="E276" s="16" t="s">
        <v>725</v>
      </c>
      <c r="F276" s="16" t="s">
        <v>726</v>
      </c>
      <c r="G276" s="17"/>
      <c r="H276" s="17">
        <v>4</v>
      </c>
      <c r="I276" s="31">
        <v>11</v>
      </c>
      <c r="J276" s="31">
        <v>4</v>
      </c>
      <c r="K276" s="17">
        <v>0</v>
      </c>
      <c r="L276" s="17">
        <v>0</v>
      </c>
      <c r="M276" s="17">
        <v>0</v>
      </c>
      <c r="N276" s="17">
        <v>0</v>
      </c>
      <c r="O276" s="17">
        <v>0</v>
      </c>
      <c r="P276" s="17">
        <v>0</v>
      </c>
      <c r="Q276" s="17">
        <v>0</v>
      </c>
      <c r="R276" s="17">
        <v>0</v>
      </c>
      <c r="S276" s="17">
        <v>0</v>
      </c>
      <c r="T276" s="17">
        <v>0</v>
      </c>
      <c r="U276" s="17">
        <v>0</v>
      </c>
      <c r="V276" s="17">
        <v>0</v>
      </c>
      <c r="W276" s="17">
        <v>0</v>
      </c>
      <c r="X276" s="17">
        <v>0</v>
      </c>
      <c r="Y276" s="17">
        <v>0</v>
      </c>
      <c r="Z276" s="17">
        <v>0</v>
      </c>
      <c r="AA276" s="17">
        <v>0</v>
      </c>
      <c r="AB276" s="17">
        <v>0</v>
      </c>
      <c r="AC276" s="17">
        <v>0</v>
      </c>
      <c r="AD276" s="17">
        <v>0</v>
      </c>
      <c r="AE276" s="17">
        <v>0</v>
      </c>
      <c r="AF276" s="17">
        <v>0</v>
      </c>
      <c r="AG276" s="17">
        <v>0</v>
      </c>
      <c r="AH276" s="17">
        <v>0</v>
      </c>
      <c r="AI276" s="17">
        <v>0</v>
      </c>
      <c r="AJ276" s="17">
        <v>0</v>
      </c>
      <c r="AK276" s="17">
        <v>0</v>
      </c>
      <c r="AL276" s="17">
        <v>0</v>
      </c>
      <c r="AM276" s="17">
        <v>0</v>
      </c>
      <c r="AN276" s="17">
        <v>0</v>
      </c>
      <c r="AO276" s="17">
        <v>0</v>
      </c>
      <c r="AP276" s="17">
        <v>0</v>
      </c>
      <c r="AQ276" s="17">
        <v>0</v>
      </c>
      <c r="AR276" s="17">
        <v>0</v>
      </c>
      <c r="AS276" s="17">
        <v>0</v>
      </c>
      <c r="AT276" s="17">
        <v>0</v>
      </c>
      <c r="AU276" s="17">
        <v>0</v>
      </c>
      <c r="AV276" s="17">
        <v>0</v>
      </c>
      <c r="AW276" s="17">
        <v>0</v>
      </c>
      <c r="AX276" s="17">
        <v>0</v>
      </c>
      <c r="AY276" s="17">
        <v>0</v>
      </c>
      <c r="AZ276" s="17">
        <v>0</v>
      </c>
      <c r="BA276" s="17">
        <v>0</v>
      </c>
      <c r="BB276" s="17">
        <v>0</v>
      </c>
      <c r="BC276" s="17">
        <v>0</v>
      </c>
      <c r="BD276" s="17">
        <v>0</v>
      </c>
      <c r="BE276" s="17">
        <v>0</v>
      </c>
      <c r="BF276" s="17">
        <v>0</v>
      </c>
      <c r="BG276" s="17">
        <v>0</v>
      </c>
      <c r="BH276" s="17">
        <v>0</v>
      </c>
      <c r="BI276" s="22">
        <f t="shared" si="76"/>
        <v>0</v>
      </c>
      <c r="BJ276" s="22">
        <f t="shared" si="77"/>
        <v>0</v>
      </c>
      <c r="BK276" s="22">
        <f t="shared" si="78"/>
        <v>15</v>
      </c>
      <c r="BL276" s="22">
        <f t="shared" si="79"/>
        <v>11</v>
      </c>
      <c r="BM276" s="22">
        <f t="shared" ref="BM276:BM330" si="80">SUM(J276+N276+O276+Q276+S276+U276+X276+AA276+AD276+AF276+AM276+AP276+AQ276+AT276+AX276+AY276+BD276+BH276)</f>
        <v>4</v>
      </c>
      <c r="BN276" s="23">
        <f t="shared" si="75"/>
        <v>1</v>
      </c>
      <c r="BO276" s="23">
        <f t="shared" si="75"/>
        <v>1</v>
      </c>
      <c r="BP276" s="7">
        <f>VLOOKUP(A276,[1]Sheet15!B:E,4,0)</f>
        <v>11</v>
      </c>
      <c r="BQ276" s="7">
        <f>VLOOKUP(A276,[1]Sheet15!B:E,3,0)</f>
        <v>4</v>
      </c>
    </row>
    <row r="277" spans="1:69" ht="22.5" customHeight="1" x14ac:dyDescent="0.25">
      <c r="A277" s="15" t="s">
        <v>727</v>
      </c>
      <c r="B277" s="35">
        <f>VLOOKUP(A277,'[1]Master clients'!F908:W4455,17,0)</f>
        <v>0</v>
      </c>
      <c r="C277" s="15" t="str">
        <f>VLOOKUP(A277,'[1]Master clients'!F908:P4455,11,0)</f>
        <v>HO</v>
      </c>
      <c r="D277" s="15">
        <f>VLOOKUP(A277,'[1]Master clients'!F:M,8,0)</f>
        <v>0</v>
      </c>
      <c r="E277" s="16" t="s">
        <v>728</v>
      </c>
      <c r="F277" s="29" t="s">
        <v>729</v>
      </c>
      <c r="G277" s="20"/>
      <c r="H277" s="20"/>
      <c r="I277" s="18">
        <v>0</v>
      </c>
      <c r="J277" s="18">
        <v>0</v>
      </c>
      <c r="K277" s="20">
        <v>0</v>
      </c>
      <c r="L277" s="20">
        <v>6</v>
      </c>
      <c r="M277" s="20">
        <v>0</v>
      </c>
      <c r="N277" s="20">
        <v>0</v>
      </c>
      <c r="O277" s="20">
        <v>0</v>
      </c>
      <c r="P277" s="20">
        <v>0</v>
      </c>
      <c r="Q277" s="20">
        <v>0</v>
      </c>
      <c r="R277" s="20">
        <v>0</v>
      </c>
      <c r="S277" s="20">
        <v>0</v>
      </c>
      <c r="T277" s="20">
        <v>0</v>
      </c>
      <c r="U277" s="20">
        <v>0</v>
      </c>
      <c r="V277" s="20">
        <v>0</v>
      </c>
      <c r="W277" s="20">
        <v>0</v>
      </c>
      <c r="X277" s="20">
        <v>0</v>
      </c>
      <c r="Y277" s="20">
        <v>0</v>
      </c>
      <c r="Z277" s="20">
        <v>0</v>
      </c>
      <c r="AA277" s="20">
        <v>0</v>
      </c>
      <c r="AB277" s="20">
        <v>0</v>
      </c>
      <c r="AC277" s="20">
        <v>0</v>
      </c>
      <c r="AD277" s="20">
        <v>0</v>
      </c>
      <c r="AE277" s="20">
        <v>0</v>
      </c>
      <c r="AF277" s="20">
        <v>0</v>
      </c>
      <c r="AG277" s="20">
        <v>0</v>
      </c>
      <c r="AH277" s="20">
        <v>0</v>
      </c>
      <c r="AI277" s="20">
        <v>0</v>
      </c>
      <c r="AJ277" s="20">
        <v>0</v>
      </c>
      <c r="AK277" s="20">
        <v>0</v>
      </c>
      <c r="AL277" s="20">
        <v>0</v>
      </c>
      <c r="AM277" s="20">
        <v>0</v>
      </c>
      <c r="AN277" s="20">
        <v>0</v>
      </c>
      <c r="AO277" s="20">
        <v>0</v>
      </c>
      <c r="AP277" s="20">
        <v>0</v>
      </c>
      <c r="AQ277" s="20">
        <v>0</v>
      </c>
      <c r="AR277" s="20">
        <v>0</v>
      </c>
      <c r="AS277" s="20">
        <v>0</v>
      </c>
      <c r="AT277" s="20">
        <v>0</v>
      </c>
      <c r="AU277" s="20">
        <v>0</v>
      </c>
      <c r="AV277" s="20">
        <v>0</v>
      </c>
      <c r="AW277" s="20">
        <v>0</v>
      </c>
      <c r="AX277" s="20">
        <v>0</v>
      </c>
      <c r="AY277" s="20">
        <v>0</v>
      </c>
      <c r="AZ277" s="20">
        <v>0</v>
      </c>
      <c r="BA277" s="20">
        <v>0</v>
      </c>
      <c r="BB277" s="20">
        <v>0</v>
      </c>
      <c r="BC277" s="20">
        <v>0</v>
      </c>
      <c r="BD277" s="20">
        <v>0</v>
      </c>
      <c r="BE277" s="20">
        <v>0</v>
      </c>
      <c r="BF277" s="20">
        <v>0</v>
      </c>
      <c r="BG277" s="20">
        <v>0</v>
      </c>
      <c r="BH277" s="20">
        <v>0</v>
      </c>
      <c r="BI277" s="22">
        <f t="shared" si="76"/>
        <v>6</v>
      </c>
      <c r="BJ277" s="22">
        <f t="shared" si="77"/>
        <v>0</v>
      </c>
      <c r="BK277" s="22">
        <f t="shared" si="78"/>
        <v>6</v>
      </c>
      <c r="BL277" s="22">
        <f t="shared" si="79"/>
        <v>6</v>
      </c>
      <c r="BM277" s="22">
        <f t="shared" si="80"/>
        <v>0</v>
      </c>
      <c r="BN277" s="23">
        <f t="shared" ref="BN277:BO292" si="81">I277/BL277</f>
        <v>0</v>
      </c>
      <c r="BO277" s="23" t="e">
        <f t="shared" si="81"/>
        <v>#DIV/0!</v>
      </c>
      <c r="BP277" s="7" t="e">
        <f>VLOOKUP(A277,[1]Sheet15!B:E,4,0)</f>
        <v>#N/A</v>
      </c>
      <c r="BQ277" s="7" t="e">
        <f>VLOOKUP(A277,[1]Sheet15!B:E,3,0)</f>
        <v>#N/A</v>
      </c>
    </row>
    <row r="278" spans="1:69" ht="22.5" customHeight="1" x14ac:dyDescent="0.25">
      <c r="A278" s="15" t="s">
        <v>730</v>
      </c>
      <c r="B278" s="15">
        <f>VLOOKUP(A278,'[1]Master clients'!F273:W3820,17,0)</f>
        <v>0</v>
      </c>
      <c r="C278" s="15" t="str">
        <f>VLOOKUP(A278,'[1]Master clients'!F273:P3820,11,0)</f>
        <v>NI</v>
      </c>
      <c r="D278" s="15" t="str">
        <f>VLOOKUP(A278,'[1]Master clients'!F:M,8,0)</f>
        <v>Trader</v>
      </c>
      <c r="E278" s="16" t="s">
        <v>731</v>
      </c>
      <c r="F278" s="16" t="s">
        <v>729</v>
      </c>
      <c r="G278" s="17"/>
      <c r="H278" s="17"/>
      <c r="I278" s="31">
        <v>2</v>
      </c>
      <c r="J278" s="31">
        <v>0</v>
      </c>
      <c r="K278" s="17">
        <v>0</v>
      </c>
      <c r="L278" s="17">
        <v>0</v>
      </c>
      <c r="M278" s="17">
        <v>0</v>
      </c>
      <c r="N278" s="17">
        <v>0</v>
      </c>
      <c r="O278" s="17">
        <v>0</v>
      </c>
      <c r="P278" s="17">
        <v>0</v>
      </c>
      <c r="Q278" s="17">
        <v>0</v>
      </c>
      <c r="R278" s="17">
        <v>0</v>
      </c>
      <c r="S278" s="17">
        <v>0</v>
      </c>
      <c r="T278" s="17">
        <v>0</v>
      </c>
      <c r="U278" s="17">
        <v>0</v>
      </c>
      <c r="V278" s="17">
        <v>0</v>
      </c>
      <c r="W278" s="17">
        <v>0</v>
      </c>
      <c r="X278" s="17">
        <v>0</v>
      </c>
      <c r="Y278" s="17">
        <v>0</v>
      </c>
      <c r="Z278" s="17">
        <v>0</v>
      </c>
      <c r="AA278" s="17">
        <v>0</v>
      </c>
      <c r="AB278" s="17">
        <v>0</v>
      </c>
      <c r="AC278" s="17">
        <v>0</v>
      </c>
      <c r="AD278" s="17">
        <v>0</v>
      </c>
      <c r="AE278" s="17">
        <v>0</v>
      </c>
      <c r="AF278" s="17">
        <v>0</v>
      </c>
      <c r="AG278" s="17">
        <v>0</v>
      </c>
      <c r="AH278" s="17">
        <v>0</v>
      </c>
      <c r="AI278" s="17">
        <v>0</v>
      </c>
      <c r="AJ278" s="17">
        <v>0</v>
      </c>
      <c r="AK278" s="17">
        <v>0</v>
      </c>
      <c r="AL278" s="17">
        <v>0</v>
      </c>
      <c r="AM278" s="17">
        <v>0</v>
      </c>
      <c r="AN278" s="17">
        <v>0</v>
      </c>
      <c r="AO278" s="17">
        <v>0</v>
      </c>
      <c r="AP278" s="17">
        <v>0</v>
      </c>
      <c r="AQ278" s="17">
        <v>0</v>
      </c>
      <c r="AR278" s="17">
        <v>0</v>
      </c>
      <c r="AS278" s="17">
        <v>0</v>
      </c>
      <c r="AT278" s="17">
        <v>0</v>
      </c>
      <c r="AU278" s="17">
        <v>0</v>
      </c>
      <c r="AV278" s="17">
        <v>0</v>
      </c>
      <c r="AW278" s="17">
        <v>0</v>
      </c>
      <c r="AX278" s="17">
        <v>0</v>
      </c>
      <c r="AY278" s="17">
        <v>0</v>
      </c>
      <c r="AZ278" s="17">
        <v>0</v>
      </c>
      <c r="BA278" s="17">
        <v>0</v>
      </c>
      <c r="BB278" s="17">
        <v>0</v>
      </c>
      <c r="BC278" s="17">
        <v>0</v>
      </c>
      <c r="BD278" s="17">
        <v>0</v>
      </c>
      <c r="BE278" s="17">
        <v>0</v>
      </c>
      <c r="BF278" s="17">
        <v>0</v>
      </c>
      <c r="BG278" s="17">
        <v>0</v>
      </c>
      <c r="BH278" s="17">
        <v>0</v>
      </c>
      <c r="BI278" s="22">
        <f t="shared" si="76"/>
        <v>0</v>
      </c>
      <c r="BJ278" s="22">
        <f t="shared" si="77"/>
        <v>0</v>
      </c>
      <c r="BK278" s="22">
        <f t="shared" si="78"/>
        <v>2</v>
      </c>
      <c r="BL278" s="22">
        <f t="shared" si="79"/>
        <v>2</v>
      </c>
      <c r="BM278" s="22">
        <f t="shared" si="80"/>
        <v>0</v>
      </c>
      <c r="BN278" s="23">
        <f t="shared" si="81"/>
        <v>1</v>
      </c>
      <c r="BO278" s="23" t="e">
        <f t="shared" si="81"/>
        <v>#DIV/0!</v>
      </c>
      <c r="BP278" s="7">
        <f>VLOOKUP(A278,[1]Sheet15!B:E,4,0)</f>
        <v>2</v>
      </c>
      <c r="BQ278" s="7">
        <f>VLOOKUP(A278,[1]Sheet15!B:E,3,0)</f>
        <v>0</v>
      </c>
    </row>
    <row r="279" spans="1:69" ht="22.5" customHeight="1" x14ac:dyDescent="0.25">
      <c r="A279" s="15" t="s">
        <v>732</v>
      </c>
      <c r="B279" s="15" t="e">
        <f>VLOOKUP(A279,'[1]Master clients'!F274:W3821,17,0)</f>
        <v>#N/A</v>
      </c>
      <c r="C279" s="15" t="e">
        <f>VLOOKUP(A279,'[1]Master clients'!F274:P3821,11,0)</f>
        <v>#N/A</v>
      </c>
      <c r="D279" s="15" t="str">
        <f>VLOOKUP(A279,'[1]Master clients'!F:M,8,0)</f>
        <v>Group (Mills)</v>
      </c>
      <c r="E279" s="24" t="s">
        <v>733</v>
      </c>
      <c r="F279" s="25" t="s">
        <v>734</v>
      </c>
      <c r="G279" s="20">
        <v>0</v>
      </c>
      <c r="H279" s="20">
        <v>0</v>
      </c>
      <c r="I279" s="26">
        <v>19</v>
      </c>
      <c r="J279" s="26">
        <v>0</v>
      </c>
      <c r="K279" s="20">
        <v>2</v>
      </c>
      <c r="L279" s="20">
        <v>0</v>
      </c>
      <c r="M279" s="20">
        <v>0</v>
      </c>
      <c r="N279" s="20">
        <v>0</v>
      </c>
      <c r="O279" s="20">
        <v>9</v>
      </c>
      <c r="P279" s="20">
        <v>0</v>
      </c>
      <c r="Q279" s="20">
        <v>4</v>
      </c>
      <c r="R279" s="20">
        <v>0</v>
      </c>
      <c r="S279" s="20">
        <v>0</v>
      </c>
      <c r="T279" s="20">
        <v>0</v>
      </c>
      <c r="U279" s="20">
        <v>0</v>
      </c>
      <c r="V279" s="20">
        <v>0</v>
      </c>
      <c r="W279" s="20">
        <v>0</v>
      </c>
      <c r="X279" s="20">
        <v>0</v>
      </c>
      <c r="Y279" s="20">
        <v>0</v>
      </c>
      <c r="Z279" s="20">
        <v>0</v>
      </c>
      <c r="AA279" s="20">
        <v>0</v>
      </c>
      <c r="AB279" s="20">
        <v>0</v>
      </c>
      <c r="AC279" s="20">
        <v>0</v>
      </c>
      <c r="AD279" s="20">
        <v>0</v>
      </c>
      <c r="AE279" s="20">
        <v>0</v>
      </c>
      <c r="AF279" s="20">
        <v>0</v>
      </c>
      <c r="AG279" s="20">
        <v>0</v>
      </c>
      <c r="AH279" s="20">
        <v>0</v>
      </c>
      <c r="AI279" s="20">
        <v>0</v>
      </c>
      <c r="AJ279" s="20">
        <v>0</v>
      </c>
      <c r="AK279" s="20">
        <v>0</v>
      </c>
      <c r="AL279" s="20">
        <v>0</v>
      </c>
      <c r="AM279" s="20">
        <v>0</v>
      </c>
      <c r="AN279" s="20">
        <v>0</v>
      </c>
      <c r="AO279" s="20">
        <v>0</v>
      </c>
      <c r="AP279" s="20">
        <v>0</v>
      </c>
      <c r="AQ279" s="20">
        <v>0</v>
      </c>
      <c r="AR279" s="20">
        <v>0</v>
      </c>
      <c r="AS279" s="20">
        <v>0</v>
      </c>
      <c r="AT279" s="20">
        <v>0</v>
      </c>
      <c r="AU279" s="19">
        <v>0</v>
      </c>
      <c r="AV279" s="20">
        <v>0</v>
      </c>
      <c r="AW279" s="20">
        <v>0</v>
      </c>
      <c r="AX279" s="20">
        <v>0</v>
      </c>
      <c r="AY279" s="20">
        <v>0</v>
      </c>
      <c r="AZ279" s="20">
        <v>1</v>
      </c>
      <c r="BA279" s="19">
        <v>0</v>
      </c>
      <c r="BB279" s="27">
        <v>0</v>
      </c>
      <c r="BC279" s="19">
        <v>0</v>
      </c>
      <c r="BD279" s="19">
        <v>0</v>
      </c>
      <c r="BE279" s="21">
        <v>0</v>
      </c>
      <c r="BF279" s="21">
        <v>0</v>
      </c>
      <c r="BG279" s="19">
        <v>0</v>
      </c>
      <c r="BH279" s="19">
        <v>0</v>
      </c>
      <c r="BI279" s="22">
        <f t="shared" si="76"/>
        <v>3</v>
      </c>
      <c r="BJ279" s="22">
        <f t="shared" si="77"/>
        <v>13</v>
      </c>
      <c r="BK279" s="28">
        <f t="shared" si="78"/>
        <v>35</v>
      </c>
      <c r="BL279" s="22">
        <f t="shared" si="79"/>
        <v>22</v>
      </c>
      <c r="BM279" s="22">
        <f t="shared" si="80"/>
        <v>13</v>
      </c>
      <c r="BN279" s="23">
        <f t="shared" si="81"/>
        <v>0.86363636363636365</v>
      </c>
      <c r="BO279" s="23">
        <f t="shared" si="81"/>
        <v>0</v>
      </c>
      <c r="BP279" s="7">
        <f>VLOOKUP(A279,[1]Sheet15!B:E,4,0)</f>
        <v>22</v>
      </c>
      <c r="BQ279" s="7">
        <f>VLOOKUP(A279,[1]Sheet15!B:E,3,0)</f>
        <v>0</v>
      </c>
    </row>
    <row r="280" spans="1:69" ht="22.5" customHeight="1" x14ac:dyDescent="0.25">
      <c r="A280" s="15" t="s">
        <v>735</v>
      </c>
      <c r="B280" s="15" t="e">
        <f>VLOOKUP(A280,'[1]Master clients'!F275:W3822,17,0)</f>
        <v>#N/A</v>
      </c>
      <c r="C280" s="15" t="e">
        <f>VLOOKUP(A280,'[1]Master clients'!F275:P3822,11,0)</f>
        <v>#N/A</v>
      </c>
      <c r="D280" s="15" t="str">
        <f>VLOOKUP(A280,'[1]Master clients'!F:M,8,0)</f>
        <v>Group (Mills)</v>
      </c>
      <c r="E280" s="24" t="s">
        <v>736</v>
      </c>
      <c r="F280" s="25" t="s">
        <v>734</v>
      </c>
      <c r="G280" s="20">
        <v>0</v>
      </c>
      <c r="H280" s="20">
        <v>0</v>
      </c>
      <c r="I280" s="26">
        <v>7</v>
      </c>
      <c r="J280" s="26">
        <v>0</v>
      </c>
      <c r="K280" s="20">
        <v>17</v>
      </c>
      <c r="L280" s="20">
        <v>0</v>
      </c>
      <c r="M280" s="20">
        <v>0</v>
      </c>
      <c r="N280" s="20">
        <v>0</v>
      </c>
      <c r="O280" s="20">
        <v>14</v>
      </c>
      <c r="P280" s="20">
        <v>0</v>
      </c>
      <c r="Q280" s="20">
        <v>1</v>
      </c>
      <c r="R280" s="20">
        <v>0</v>
      </c>
      <c r="S280" s="20">
        <v>0</v>
      </c>
      <c r="T280" s="20">
        <v>0</v>
      </c>
      <c r="U280" s="20">
        <v>0</v>
      </c>
      <c r="V280" s="20">
        <v>0</v>
      </c>
      <c r="W280" s="20">
        <v>0</v>
      </c>
      <c r="X280" s="20">
        <v>0</v>
      </c>
      <c r="Y280" s="20">
        <v>0</v>
      </c>
      <c r="Z280" s="20">
        <v>0</v>
      </c>
      <c r="AA280" s="20">
        <v>0</v>
      </c>
      <c r="AB280" s="20">
        <v>0</v>
      </c>
      <c r="AC280" s="20">
        <v>0</v>
      </c>
      <c r="AD280" s="20">
        <v>0</v>
      </c>
      <c r="AE280" s="20">
        <v>0</v>
      </c>
      <c r="AF280" s="20">
        <v>0</v>
      </c>
      <c r="AG280" s="20">
        <v>0</v>
      </c>
      <c r="AH280" s="20">
        <v>0</v>
      </c>
      <c r="AI280" s="20">
        <v>0</v>
      </c>
      <c r="AJ280" s="20">
        <v>0</v>
      </c>
      <c r="AK280" s="20">
        <v>0</v>
      </c>
      <c r="AL280" s="20">
        <v>0</v>
      </c>
      <c r="AM280" s="20">
        <v>0</v>
      </c>
      <c r="AN280" s="20">
        <v>0</v>
      </c>
      <c r="AO280" s="20">
        <v>0</v>
      </c>
      <c r="AP280" s="20">
        <v>0</v>
      </c>
      <c r="AQ280" s="20">
        <v>0</v>
      </c>
      <c r="AR280" s="20">
        <v>0</v>
      </c>
      <c r="AS280" s="20">
        <v>0</v>
      </c>
      <c r="AT280" s="20">
        <v>0</v>
      </c>
      <c r="AU280" s="19">
        <v>0</v>
      </c>
      <c r="AV280" s="20">
        <v>0</v>
      </c>
      <c r="AW280" s="20">
        <v>0</v>
      </c>
      <c r="AX280" s="20">
        <v>0</v>
      </c>
      <c r="AY280" s="20">
        <v>0</v>
      </c>
      <c r="AZ280" s="20">
        <v>0</v>
      </c>
      <c r="BA280" s="19">
        <v>0</v>
      </c>
      <c r="BB280" s="27">
        <v>0</v>
      </c>
      <c r="BC280" s="19">
        <v>0</v>
      </c>
      <c r="BD280" s="19">
        <v>0</v>
      </c>
      <c r="BE280" s="21">
        <v>0</v>
      </c>
      <c r="BF280" s="21">
        <v>0</v>
      </c>
      <c r="BG280" s="19">
        <v>0</v>
      </c>
      <c r="BH280" s="19">
        <v>0</v>
      </c>
      <c r="BI280" s="22">
        <f t="shared" si="76"/>
        <v>17</v>
      </c>
      <c r="BJ280" s="22">
        <f t="shared" si="77"/>
        <v>15</v>
      </c>
      <c r="BK280" s="28">
        <f t="shared" si="78"/>
        <v>39</v>
      </c>
      <c r="BL280" s="22">
        <f t="shared" si="79"/>
        <v>24</v>
      </c>
      <c r="BM280" s="22">
        <f t="shared" si="80"/>
        <v>15</v>
      </c>
      <c r="BN280" s="23">
        <f t="shared" si="81"/>
        <v>0.29166666666666669</v>
      </c>
      <c r="BO280" s="23">
        <f t="shared" si="81"/>
        <v>0</v>
      </c>
      <c r="BP280" s="7">
        <f>VLOOKUP(A280,[1]Sheet15!B:E,4,0)</f>
        <v>9</v>
      </c>
      <c r="BQ280" s="7">
        <f>VLOOKUP(A280,[1]Sheet15!B:E,3,0)</f>
        <v>0</v>
      </c>
    </row>
    <row r="281" spans="1:69" ht="22.5" customHeight="1" x14ac:dyDescent="0.25">
      <c r="A281" s="15" t="s">
        <v>737</v>
      </c>
      <c r="B281" s="15" t="str">
        <f>VLOOKUP(A281,'[1]Master clients'!F276:W3823,17,0)</f>
        <v>May</v>
      </c>
      <c r="C281" s="15" t="str">
        <f>VLOOKUP(A281,'[1]Master clients'!F276:P3823,11,0)</f>
        <v>NI</v>
      </c>
      <c r="D281" s="15" t="str">
        <f>VLOOKUP(A281,'[1]Master clients'!F:M,8,0)</f>
        <v>Group (Mills)</v>
      </c>
      <c r="E281" s="24" t="s">
        <v>738</v>
      </c>
      <c r="F281" s="25" t="s">
        <v>739</v>
      </c>
      <c r="G281" s="20">
        <v>0</v>
      </c>
      <c r="H281" s="20">
        <v>0</v>
      </c>
      <c r="I281" s="26">
        <v>30</v>
      </c>
      <c r="J281" s="26">
        <v>0</v>
      </c>
      <c r="K281" s="20">
        <v>2</v>
      </c>
      <c r="L281" s="20">
        <v>4</v>
      </c>
      <c r="M281" s="20">
        <v>0</v>
      </c>
      <c r="N281" s="20">
        <v>3</v>
      </c>
      <c r="O281" s="20">
        <v>3</v>
      </c>
      <c r="P281" s="20">
        <v>0</v>
      </c>
      <c r="Q281" s="20">
        <v>0</v>
      </c>
      <c r="R281" s="20">
        <v>0</v>
      </c>
      <c r="S281" s="20">
        <v>0</v>
      </c>
      <c r="T281" s="20">
        <v>1</v>
      </c>
      <c r="U281" s="20">
        <v>0</v>
      </c>
      <c r="V281" s="20">
        <v>0</v>
      </c>
      <c r="W281" s="20">
        <v>0</v>
      </c>
      <c r="X281" s="20">
        <v>0</v>
      </c>
      <c r="Y281" s="20">
        <v>0</v>
      </c>
      <c r="Z281" s="20">
        <v>0</v>
      </c>
      <c r="AA281" s="20">
        <v>0</v>
      </c>
      <c r="AB281" s="20">
        <v>0</v>
      </c>
      <c r="AC281" s="20">
        <v>0</v>
      </c>
      <c r="AD281" s="20">
        <v>0</v>
      </c>
      <c r="AE281" s="20">
        <v>0</v>
      </c>
      <c r="AF281" s="20">
        <v>0</v>
      </c>
      <c r="AG281" s="20">
        <v>0</v>
      </c>
      <c r="AH281" s="20">
        <v>0</v>
      </c>
      <c r="AI281" s="20">
        <v>0</v>
      </c>
      <c r="AJ281" s="20">
        <v>0</v>
      </c>
      <c r="AK281" s="20">
        <v>0</v>
      </c>
      <c r="AL281" s="20">
        <v>0</v>
      </c>
      <c r="AM281" s="20">
        <v>0</v>
      </c>
      <c r="AN281" s="20">
        <v>0</v>
      </c>
      <c r="AO281" s="20">
        <v>0</v>
      </c>
      <c r="AP281" s="20">
        <v>0</v>
      </c>
      <c r="AQ281" s="20">
        <v>0</v>
      </c>
      <c r="AR281" s="20">
        <v>0</v>
      </c>
      <c r="AS281" s="20">
        <v>0</v>
      </c>
      <c r="AT281" s="20">
        <v>0</v>
      </c>
      <c r="AU281" s="20">
        <v>0</v>
      </c>
      <c r="AV281" s="20">
        <v>0</v>
      </c>
      <c r="AW281" s="20">
        <v>0</v>
      </c>
      <c r="AX281" s="20">
        <v>0</v>
      </c>
      <c r="AY281" s="20">
        <v>2</v>
      </c>
      <c r="AZ281" s="20">
        <v>0</v>
      </c>
      <c r="BA281" s="20">
        <v>0</v>
      </c>
      <c r="BB281" s="27">
        <v>0</v>
      </c>
      <c r="BC281" s="20">
        <v>0</v>
      </c>
      <c r="BD281" s="20">
        <v>0</v>
      </c>
      <c r="BE281" s="21">
        <v>0</v>
      </c>
      <c r="BF281" s="21">
        <v>0</v>
      </c>
      <c r="BG281" s="20">
        <v>0</v>
      </c>
      <c r="BH281" s="20">
        <v>0</v>
      </c>
      <c r="BI281" s="22">
        <f t="shared" si="76"/>
        <v>7</v>
      </c>
      <c r="BJ281" s="22">
        <f t="shared" si="77"/>
        <v>8</v>
      </c>
      <c r="BK281" s="28">
        <f t="shared" si="78"/>
        <v>45</v>
      </c>
      <c r="BL281" s="22">
        <f t="shared" si="79"/>
        <v>37</v>
      </c>
      <c r="BM281" s="22">
        <f t="shared" si="80"/>
        <v>8</v>
      </c>
      <c r="BN281" s="23">
        <f t="shared" si="81"/>
        <v>0.81081081081081086</v>
      </c>
      <c r="BO281" s="23">
        <f t="shared" si="81"/>
        <v>0</v>
      </c>
      <c r="BP281" s="7">
        <f>VLOOKUP(A281,[1]Sheet15!B:E,4,0)</f>
        <v>5</v>
      </c>
      <c r="BQ281" s="7">
        <f>VLOOKUP(A281,[1]Sheet15!B:E,3,0)</f>
        <v>0</v>
      </c>
    </row>
    <row r="282" spans="1:69" ht="22.5" customHeight="1" x14ac:dyDescent="0.25">
      <c r="A282" s="15" t="s">
        <v>740</v>
      </c>
      <c r="B282" s="15" t="str">
        <f>VLOOKUP(A282,'[1]Master clients'!F277:W3824,17,0)</f>
        <v>May</v>
      </c>
      <c r="C282" s="15" t="str">
        <f>VLOOKUP(A282,'[1]Master clients'!F277:P3824,11,0)</f>
        <v>NI</v>
      </c>
      <c r="D282" s="15" t="str">
        <f>VLOOKUP(A282,'[1]Master clients'!F:M,8,0)</f>
        <v>End User</v>
      </c>
      <c r="E282" s="24" t="s">
        <v>741</v>
      </c>
      <c r="F282" s="25" t="s">
        <v>739</v>
      </c>
      <c r="G282" s="20">
        <v>0</v>
      </c>
      <c r="H282" s="20">
        <v>0</v>
      </c>
      <c r="I282" s="26">
        <v>1</v>
      </c>
      <c r="J282" s="26">
        <v>0</v>
      </c>
      <c r="K282" s="20">
        <v>0</v>
      </c>
      <c r="L282" s="20">
        <v>0</v>
      </c>
      <c r="M282" s="20">
        <v>0</v>
      </c>
      <c r="N282" s="20">
        <v>0</v>
      </c>
      <c r="O282" s="20">
        <v>0</v>
      </c>
      <c r="P282" s="20">
        <v>0</v>
      </c>
      <c r="Q282" s="20">
        <v>0</v>
      </c>
      <c r="R282" s="20">
        <v>0</v>
      </c>
      <c r="S282" s="20">
        <v>0</v>
      </c>
      <c r="T282" s="20">
        <v>0</v>
      </c>
      <c r="U282" s="20">
        <v>0</v>
      </c>
      <c r="V282" s="20">
        <v>0</v>
      </c>
      <c r="W282" s="20">
        <v>0</v>
      </c>
      <c r="X282" s="20">
        <v>0</v>
      </c>
      <c r="Y282" s="20">
        <v>0</v>
      </c>
      <c r="Z282" s="20">
        <v>0</v>
      </c>
      <c r="AA282" s="20">
        <v>0</v>
      </c>
      <c r="AB282" s="20">
        <v>0</v>
      </c>
      <c r="AC282" s="20">
        <v>0</v>
      </c>
      <c r="AD282" s="20">
        <v>0</v>
      </c>
      <c r="AE282" s="20">
        <v>0</v>
      </c>
      <c r="AF282" s="20">
        <v>0</v>
      </c>
      <c r="AG282" s="20">
        <v>0</v>
      </c>
      <c r="AH282" s="20">
        <v>0</v>
      </c>
      <c r="AI282" s="20">
        <v>0</v>
      </c>
      <c r="AJ282" s="20">
        <v>0</v>
      </c>
      <c r="AK282" s="20">
        <v>0</v>
      </c>
      <c r="AL282" s="20">
        <v>0</v>
      </c>
      <c r="AM282" s="20">
        <v>0</v>
      </c>
      <c r="AN282" s="20">
        <v>0</v>
      </c>
      <c r="AO282" s="20">
        <v>0</v>
      </c>
      <c r="AP282" s="20">
        <v>2</v>
      </c>
      <c r="AQ282" s="20">
        <v>0</v>
      </c>
      <c r="AR282" s="20">
        <v>0</v>
      </c>
      <c r="AS282" s="20">
        <v>0</v>
      </c>
      <c r="AT282" s="20">
        <v>0</v>
      </c>
      <c r="AU282" s="20">
        <v>0</v>
      </c>
      <c r="AV282" s="20">
        <v>0</v>
      </c>
      <c r="AW282" s="20">
        <v>0</v>
      </c>
      <c r="AX282" s="20">
        <v>0</v>
      </c>
      <c r="AY282" s="20">
        <v>0</v>
      </c>
      <c r="AZ282" s="20">
        <v>0</v>
      </c>
      <c r="BA282" s="20">
        <v>0</v>
      </c>
      <c r="BB282" s="27">
        <v>0</v>
      </c>
      <c r="BC282" s="20">
        <v>0</v>
      </c>
      <c r="BD282" s="20">
        <v>0</v>
      </c>
      <c r="BE282" s="21">
        <v>0</v>
      </c>
      <c r="BF282" s="21">
        <v>0</v>
      </c>
      <c r="BG282" s="20">
        <v>0</v>
      </c>
      <c r="BH282" s="20">
        <v>0</v>
      </c>
      <c r="BI282" s="22">
        <f t="shared" si="76"/>
        <v>0</v>
      </c>
      <c r="BJ282" s="22">
        <f t="shared" si="77"/>
        <v>2</v>
      </c>
      <c r="BK282" s="28">
        <f t="shared" si="78"/>
        <v>3</v>
      </c>
      <c r="BL282" s="22">
        <f t="shared" si="79"/>
        <v>1</v>
      </c>
      <c r="BM282" s="22">
        <f t="shared" si="80"/>
        <v>2</v>
      </c>
      <c r="BN282" s="23">
        <f t="shared" si="81"/>
        <v>1</v>
      </c>
      <c r="BO282" s="23">
        <f t="shared" si="81"/>
        <v>0</v>
      </c>
      <c r="BP282" s="7">
        <f>VLOOKUP(A282,[1]Sheet15!B:E,4,0)</f>
        <v>2</v>
      </c>
      <c r="BQ282" s="7">
        <f>VLOOKUP(A282,[1]Sheet15!B:E,3,0)</f>
        <v>0</v>
      </c>
    </row>
    <row r="283" spans="1:69" ht="22.5" customHeight="1" x14ac:dyDescent="0.25">
      <c r="A283" s="15" t="s">
        <v>742</v>
      </c>
      <c r="B283" s="15" t="str">
        <f>VLOOKUP(A283,'[1]Master clients'!F278:W3825,17,0)</f>
        <v>May</v>
      </c>
      <c r="C283" s="15" t="str">
        <f>VLOOKUP(A283,'[1]Master clients'!F278:P3825,11,0)</f>
        <v>NI</v>
      </c>
      <c r="D283" s="15" t="str">
        <f>VLOOKUP(A283,'[1]Master clients'!F:M,8,0)</f>
        <v>End User</v>
      </c>
      <c r="E283" s="24" t="s">
        <v>743</v>
      </c>
      <c r="F283" s="25" t="s">
        <v>739</v>
      </c>
      <c r="G283" s="20">
        <v>0</v>
      </c>
      <c r="H283" s="20">
        <v>0</v>
      </c>
      <c r="I283" s="26">
        <v>3</v>
      </c>
      <c r="J283" s="26">
        <v>0</v>
      </c>
      <c r="K283" s="20">
        <v>3</v>
      </c>
      <c r="L283" s="20">
        <v>0</v>
      </c>
      <c r="M283" s="20">
        <v>0</v>
      </c>
      <c r="N283" s="20">
        <v>0</v>
      </c>
      <c r="O283" s="20">
        <v>0</v>
      </c>
      <c r="P283" s="20">
        <v>0</v>
      </c>
      <c r="Q283" s="20">
        <v>0</v>
      </c>
      <c r="R283" s="20">
        <v>0</v>
      </c>
      <c r="S283" s="20">
        <v>0</v>
      </c>
      <c r="T283" s="20">
        <v>0</v>
      </c>
      <c r="U283" s="20">
        <v>0</v>
      </c>
      <c r="V283" s="20">
        <v>0</v>
      </c>
      <c r="W283" s="20">
        <v>0</v>
      </c>
      <c r="X283" s="20">
        <v>0</v>
      </c>
      <c r="Y283" s="20">
        <v>0</v>
      </c>
      <c r="Z283" s="20">
        <v>0</v>
      </c>
      <c r="AA283" s="20">
        <v>0</v>
      </c>
      <c r="AB283" s="20">
        <v>0</v>
      </c>
      <c r="AC283" s="20">
        <v>0</v>
      </c>
      <c r="AD283" s="20">
        <v>0</v>
      </c>
      <c r="AE283" s="20">
        <v>0</v>
      </c>
      <c r="AF283" s="20">
        <v>0</v>
      </c>
      <c r="AG283" s="20">
        <v>0</v>
      </c>
      <c r="AH283" s="20">
        <v>0</v>
      </c>
      <c r="AI283" s="20">
        <v>0</v>
      </c>
      <c r="AJ283" s="20">
        <v>0</v>
      </c>
      <c r="AK283" s="20">
        <v>0</v>
      </c>
      <c r="AL283" s="20">
        <v>0</v>
      </c>
      <c r="AM283" s="20">
        <v>0</v>
      </c>
      <c r="AN283" s="20">
        <v>0</v>
      </c>
      <c r="AO283" s="20">
        <v>0</v>
      </c>
      <c r="AP283" s="20">
        <v>0</v>
      </c>
      <c r="AQ283" s="20">
        <v>0</v>
      </c>
      <c r="AR283" s="20">
        <v>0</v>
      </c>
      <c r="AS283" s="20">
        <v>0</v>
      </c>
      <c r="AT283" s="20">
        <v>0</v>
      </c>
      <c r="AU283" s="20">
        <v>0</v>
      </c>
      <c r="AV283" s="20">
        <v>0</v>
      </c>
      <c r="AW283" s="20">
        <v>0</v>
      </c>
      <c r="AX283" s="20">
        <v>0</v>
      </c>
      <c r="AY283" s="20">
        <v>0</v>
      </c>
      <c r="AZ283" s="20">
        <v>0</v>
      </c>
      <c r="BA283" s="20">
        <v>0</v>
      </c>
      <c r="BB283" s="27">
        <v>0</v>
      </c>
      <c r="BC283" s="20">
        <v>0</v>
      </c>
      <c r="BD283" s="20">
        <v>0</v>
      </c>
      <c r="BE283" s="21">
        <v>0</v>
      </c>
      <c r="BF283" s="21">
        <v>0</v>
      </c>
      <c r="BG283" s="20">
        <v>0</v>
      </c>
      <c r="BH283" s="20">
        <v>0</v>
      </c>
      <c r="BI283" s="22">
        <f t="shared" si="76"/>
        <v>3</v>
      </c>
      <c r="BJ283" s="22">
        <f t="shared" si="77"/>
        <v>0</v>
      </c>
      <c r="BK283" s="28">
        <f t="shared" si="78"/>
        <v>6</v>
      </c>
      <c r="BL283" s="22">
        <f t="shared" si="79"/>
        <v>6</v>
      </c>
      <c r="BM283" s="22">
        <f t="shared" si="80"/>
        <v>0</v>
      </c>
      <c r="BN283" s="23">
        <f t="shared" si="81"/>
        <v>0.5</v>
      </c>
      <c r="BO283" s="23" t="e">
        <f t="shared" si="81"/>
        <v>#DIV/0!</v>
      </c>
      <c r="BP283" s="7">
        <f>VLOOKUP(A283,[1]Sheet15!B:E,4,0)</f>
        <v>3</v>
      </c>
      <c r="BQ283" s="7">
        <f>VLOOKUP(A283,[1]Sheet15!B:E,3,0)</f>
        <v>0</v>
      </c>
    </row>
    <row r="284" spans="1:69" ht="22.5" customHeight="1" x14ac:dyDescent="0.25">
      <c r="A284" s="15" t="s">
        <v>744</v>
      </c>
      <c r="B284" s="15" t="str">
        <f>VLOOKUP(A284,'[1]Master clients'!F279:W3826,17,0)</f>
        <v>May</v>
      </c>
      <c r="C284" s="15" t="str">
        <f>VLOOKUP(A284,'[1]Master clients'!F279:P3826,11,0)</f>
        <v>NI</v>
      </c>
      <c r="D284" s="15" t="str">
        <f>VLOOKUP(A284,'[1]Master clients'!F:M,8,0)</f>
        <v>End User</v>
      </c>
      <c r="E284" s="24" t="s">
        <v>745</v>
      </c>
      <c r="F284" s="25" t="s">
        <v>739</v>
      </c>
      <c r="G284" s="20">
        <v>0</v>
      </c>
      <c r="H284" s="20">
        <v>0</v>
      </c>
      <c r="I284" s="26">
        <v>12</v>
      </c>
      <c r="J284" s="26">
        <v>0</v>
      </c>
      <c r="K284" s="20">
        <v>0</v>
      </c>
      <c r="L284" s="20">
        <v>0</v>
      </c>
      <c r="M284" s="20">
        <v>0</v>
      </c>
      <c r="N284" s="20">
        <v>0</v>
      </c>
      <c r="O284" s="20">
        <v>0</v>
      </c>
      <c r="P284" s="20">
        <v>0</v>
      </c>
      <c r="Q284" s="20">
        <v>0</v>
      </c>
      <c r="R284" s="20">
        <v>0</v>
      </c>
      <c r="S284" s="20">
        <v>0</v>
      </c>
      <c r="T284" s="20">
        <v>2</v>
      </c>
      <c r="U284" s="20">
        <v>0</v>
      </c>
      <c r="V284" s="20">
        <v>0</v>
      </c>
      <c r="W284" s="20">
        <v>0</v>
      </c>
      <c r="X284" s="20">
        <v>6</v>
      </c>
      <c r="Y284" s="20">
        <v>0</v>
      </c>
      <c r="Z284" s="20">
        <v>0</v>
      </c>
      <c r="AA284" s="20">
        <v>0</v>
      </c>
      <c r="AB284" s="20">
        <v>0</v>
      </c>
      <c r="AC284" s="20">
        <v>0</v>
      </c>
      <c r="AD284" s="20">
        <v>0</v>
      </c>
      <c r="AE284" s="20">
        <v>0</v>
      </c>
      <c r="AF284" s="20">
        <v>0</v>
      </c>
      <c r="AG284" s="20">
        <v>0</v>
      </c>
      <c r="AH284" s="20">
        <v>0</v>
      </c>
      <c r="AI284" s="20">
        <v>0</v>
      </c>
      <c r="AJ284" s="20">
        <v>0</v>
      </c>
      <c r="AK284" s="20">
        <v>0</v>
      </c>
      <c r="AL284" s="20">
        <v>0</v>
      </c>
      <c r="AM284" s="20">
        <v>0</v>
      </c>
      <c r="AN284" s="20">
        <v>0</v>
      </c>
      <c r="AO284" s="20">
        <v>0</v>
      </c>
      <c r="AP284" s="20">
        <v>0</v>
      </c>
      <c r="AQ284" s="20">
        <v>0</v>
      </c>
      <c r="AR284" s="20">
        <v>0</v>
      </c>
      <c r="AS284" s="20">
        <v>0</v>
      </c>
      <c r="AT284" s="20">
        <v>0</v>
      </c>
      <c r="AU284" s="20">
        <v>0</v>
      </c>
      <c r="AV284" s="20">
        <v>0</v>
      </c>
      <c r="AW284" s="20">
        <v>0</v>
      </c>
      <c r="AX284" s="20">
        <v>0</v>
      </c>
      <c r="AY284" s="20">
        <v>0</v>
      </c>
      <c r="AZ284" s="20">
        <v>0</v>
      </c>
      <c r="BA284" s="20">
        <v>0</v>
      </c>
      <c r="BB284" s="27">
        <v>0</v>
      </c>
      <c r="BC284" s="20">
        <v>0</v>
      </c>
      <c r="BD284" s="20">
        <v>0</v>
      </c>
      <c r="BE284" s="21">
        <v>0</v>
      </c>
      <c r="BF284" s="21">
        <v>0</v>
      </c>
      <c r="BG284" s="20">
        <v>0</v>
      </c>
      <c r="BH284" s="20">
        <v>0</v>
      </c>
      <c r="BI284" s="22">
        <f t="shared" si="76"/>
        <v>2</v>
      </c>
      <c r="BJ284" s="22">
        <f t="shared" si="77"/>
        <v>6</v>
      </c>
      <c r="BK284" s="28">
        <f t="shared" si="78"/>
        <v>20</v>
      </c>
      <c r="BL284" s="22">
        <f t="shared" si="79"/>
        <v>14</v>
      </c>
      <c r="BM284" s="22">
        <f t="shared" si="80"/>
        <v>6</v>
      </c>
      <c r="BN284" s="23">
        <f t="shared" si="81"/>
        <v>0.8571428571428571</v>
      </c>
      <c r="BO284" s="23">
        <f t="shared" si="81"/>
        <v>0</v>
      </c>
      <c r="BP284" s="7">
        <f>VLOOKUP(A284,[1]Sheet15!B:E,4,0)</f>
        <v>10</v>
      </c>
      <c r="BQ284" s="7">
        <f>VLOOKUP(A284,[1]Sheet15!B:E,3,0)</f>
        <v>0</v>
      </c>
    </row>
    <row r="285" spans="1:69" ht="22.5" customHeight="1" x14ac:dyDescent="0.25">
      <c r="A285" s="15" t="s">
        <v>746</v>
      </c>
      <c r="B285" s="15" t="str">
        <f>VLOOKUP(A285,'[1]Master clients'!F280:W3827,17,0)</f>
        <v>May</v>
      </c>
      <c r="C285" s="15" t="str">
        <f>VLOOKUP(A285,'[1]Master clients'!F280:P3827,11,0)</f>
        <v>NI</v>
      </c>
      <c r="D285" s="15" t="str">
        <f>VLOOKUP(A285,'[1]Master clients'!F:M,8,0)</f>
        <v>End User</v>
      </c>
      <c r="E285" s="24" t="s">
        <v>747</v>
      </c>
      <c r="F285" s="25" t="s">
        <v>748</v>
      </c>
      <c r="G285" s="20">
        <v>0</v>
      </c>
      <c r="H285" s="20">
        <v>0</v>
      </c>
      <c r="I285" s="26">
        <v>32</v>
      </c>
      <c r="J285" s="26">
        <v>12</v>
      </c>
      <c r="K285" s="20">
        <v>0</v>
      </c>
      <c r="L285" s="20">
        <v>0</v>
      </c>
      <c r="M285" s="20">
        <v>0</v>
      </c>
      <c r="N285" s="20">
        <v>0</v>
      </c>
      <c r="O285" s="20">
        <v>0</v>
      </c>
      <c r="P285" s="20">
        <v>0</v>
      </c>
      <c r="Q285" s="20">
        <v>0</v>
      </c>
      <c r="R285" s="20">
        <v>0</v>
      </c>
      <c r="S285" s="20">
        <v>0</v>
      </c>
      <c r="T285" s="20">
        <v>0</v>
      </c>
      <c r="U285" s="20">
        <v>0</v>
      </c>
      <c r="V285" s="20">
        <v>0</v>
      </c>
      <c r="W285" s="20">
        <v>0</v>
      </c>
      <c r="X285" s="20">
        <v>0</v>
      </c>
      <c r="Y285" s="20">
        <v>0</v>
      </c>
      <c r="Z285" s="20">
        <v>0</v>
      </c>
      <c r="AA285" s="20">
        <v>0</v>
      </c>
      <c r="AB285" s="20">
        <v>0</v>
      </c>
      <c r="AC285" s="20">
        <v>0</v>
      </c>
      <c r="AD285" s="20">
        <v>0</v>
      </c>
      <c r="AE285" s="20">
        <v>0</v>
      </c>
      <c r="AF285" s="20">
        <v>0</v>
      </c>
      <c r="AG285" s="20">
        <v>0</v>
      </c>
      <c r="AH285" s="20">
        <v>0</v>
      </c>
      <c r="AI285" s="20">
        <v>0</v>
      </c>
      <c r="AJ285" s="20">
        <v>0</v>
      </c>
      <c r="AK285" s="20">
        <v>0</v>
      </c>
      <c r="AL285" s="20">
        <v>0</v>
      </c>
      <c r="AM285" s="20">
        <v>0</v>
      </c>
      <c r="AN285" s="20">
        <v>0</v>
      </c>
      <c r="AO285" s="20">
        <v>0</v>
      </c>
      <c r="AP285" s="20">
        <v>0</v>
      </c>
      <c r="AQ285" s="20">
        <v>0</v>
      </c>
      <c r="AR285" s="20">
        <v>0</v>
      </c>
      <c r="AS285" s="20">
        <v>0</v>
      </c>
      <c r="AT285" s="20">
        <v>0</v>
      </c>
      <c r="AU285" s="20">
        <v>0</v>
      </c>
      <c r="AV285" s="20">
        <v>0</v>
      </c>
      <c r="AW285" s="20">
        <v>0</v>
      </c>
      <c r="AX285" s="20">
        <v>0</v>
      </c>
      <c r="AY285" s="20">
        <v>0</v>
      </c>
      <c r="AZ285" s="20">
        <v>0</v>
      </c>
      <c r="BA285" s="20">
        <v>0</v>
      </c>
      <c r="BB285" s="27">
        <v>0</v>
      </c>
      <c r="BC285" s="20">
        <v>0</v>
      </c>
      <c r="BD285" s="20">
        <v>0</v>
      </c>
      <c r="BE285" s="21">
        <v>0</v>
      </c>
      <c r="BF285" s="21">
        <v>0</v>
      </c>
      <c r="BG285" s="20">
        <v>0</v>
      </c>
      <c r="BH285" s="20">
        <v>0</v>
      </c>
      <c r="BI285" s="22">
        <f t="shared" si="76"/>
        <v>0</v>
      </c>
      <c r="BJ285" s="22">
        <f t="shared" si="77"/>
        <v>0</v>
      </c>
      <c r="BK285" s="28">
        <f t="shared" si="78"/>
        <v>44</v>
      </c>
      <c r="BL285" s="22">
        <f t="shared" si="79"/>
        <v>32</v>
      </c>
      <c r="BM285" s="22">
        <f t="shared" si="80"/>
        <v>12</v>
      </c>
      <c r="BN285" s="23">
        <f t="shared" si="81"/>
        <v>1</v>
      </c>
      <c r="BO285" s="23">
        <f t="shared" si="81"/>
        <v>1</v>
      </c>
      <c r="BP285" s="7">
        <f>VLOOKUP(A285,[1]Sheet15!B:E,4,0)</f>
        <v>0</v>
      </c>
      <c r="BQ285" s="7">
        <f>VLOOKUP(A285,[1]Sheet15!B:E,3,0)</f>
        <v>3</v>
      </c>
    </row>
    <row r="286" spans="1:69" ht="22.5" customHeight="1" x14ac:dyDescent="0.25">
      <c r="A286" s="15" t="s">
        <v>749</v>
      </c>
      <c r="B286" s="15" t="e">
        <f>VLOOKUP(A286,'[1]Master clients'!F281:W3828,17,0)</f>
        <v>#N/A</v>
      </c>
      <c r="C286" s="15" t="e">
        <f>VLOOKUP(A286,'[1]Master clients'!F281:P3828,11,0)</f>
        <v>#N/A</v>
      </c>
      <c r="D286" s="15" t="str">
        <f>VLOOKUP(A286,'[1]Master clients'!F:M,8,0)</f>
        <v>End User</v>
      </c>
      <c r="E286" s="16" t="s">
        <v>750</v>
      </c>
      <c r="F286" s="16" t="s">
        <v>751</v>
      </c>
      <c r="G286" s="17"/>
      <c r="H286" s="17"/>
      <c r="I286" s="18">
        <v>1</v>
      </c>
      <c r="J286" s="18">
        <v>0</v>
      </c>
      <c r="K286" s="17">
        <v>0</v>
      </c>
      <c r="L286" s="17">
        <v>0</v>
      </c>
      <c r="M286" s="17">
        <v>0</v>
      </c>
      <c r="N286" s="17">
        <v>0</v>
      </c>
      <c r="O286" s="17">
        <v>0</v>
      </c>
      <c r="P286" s="17">
        <v>0</v>
      </c>
      <c r="Q286" s="17">
        <v>0</v>
      </c>
      <c r="R286" s="17">
        <v>0</v>
      </c>
      <c r="S286" s="17">
        <v>0</v>
      </c>
      <c r="T286" s="17">
        <v>0</v>
      </c>
      <c r="U286" s="17">
        <v>0</v>
      </c>
      <c r="V286" s="17">
        <v>0</v>
      </c>
      <c r="W286" s="17">
        <v>0</v>
      </c>
      <c r="X286" s="17">
        <v>0</v>
      </c>
      <c r="Y286" s="17">
        <v>0</v>
      </c>
      <c r="Z286" s="17">
        <v>0</v>
      </c>
      <c r="AA286" s="17">
        <v>0</v>
      </c>
      <c r="AB286" s="17">
        <v>0</v>
      </c>
      <c r="AC286" s="17">
        <v>0</v>
      </c>
      <c r="AD286" s="17">
        <v>0</v>
      </c>
      <c r="AE286" s="17">
        <v>0</v>
      </c>
      <c r="AF286" s="17">
        <v>0</v>
      </c>
      <c r="AG286" s="17">
        <v>0</v>
      </c>
      <c r="AH286" s="17">
        <v>0</v>
      </c>
      <c r="AI286" s="17">
        <v>0</v>
      </c>
      <c r="AJ286" s="17">
        <v>0</v>
      </c>
      <c r="AK286" s="17">
        <v>0</v>
      </c>
      <c r="AL286" s="17">
        <v>0</v>
      </c>
      <c r="AM286" s="17">
        <v>0</v>
      </c>
      <c r="AN286" s="17">
        <v>0</v>
      </c>
      <c r="AO286" s="17">
        <v>0</v>
      </c>
      <c r="AP286" s="17">
        <v>0</v>
      </c>
      <c r="AQ286" s="17">
        <v>0</v>
      </c>
      <c r="AR286" s="17">
        <v>0</v>
      </c>
      <c r="AS286" s="17">
        <v>0</v>
      </c>
      <c r="AT286" s="17">
        <v>0</v>
      </c>
      <c r="AU286" s="17">
        <v>0</v>
      </c>
      <c r="AV286" s="17">
        <v>0</v>
      </c>
      <c r="AW286" s="17">
        <v>0</v>
      </c>
      <c r="AX286" s="17">
        <v>0</v>
      </c>
      <c r="AY286" s="17">
        <v>0</v>
      </c>
      <c r="AZ286" s="17">
        <v>0</v>
      </c>
      <c r="BA286" s="17">
        <v>0</v>
      </c>
      <c r="BB286" s="17">
        <v>0</v>
      </c>
      <c r="BC286" s="17">
        <v>0</v>
      </c>
      <c r="BD286" s="17">
        <v>0</v>
      </c>
      <c r="BE286" s="17">
        <v>0</v>
      </c>
      <c r="BF286" s="17">
        <v>0</v>
      </c>
      <c r="BG286" s="17">
        <v>0</v>
      </c>
      <c r="BH286" s="17">
        <v>0</v>
      </c>
      <c r="BI286" s="22">
        <f t="shared" si="76"/>
        <v>0</v>
      </c>
      <c r="BJ286" s="22">
        <f t="shared" si="77"/>
        <v>0</v>
      </c>
      <c r="BK286" s="22">
        <f t="shared" si="78"/>
        <v>1</v>
      </c>
      <c r="BL286" s="22">
        <f t="shared" si="79"/>
        <v>1</v>
      </c>
      <c r="BM286" s="22">
        <f t="shared" si="80"/>
        <v>0</v>
      </c>
      <c r="BN286" s="23">
        <f t="shared" si="81"/>
        <v>1</v>
      </c>
      <c r="BO286" s="23" t="e">
        <f t="shared" si="81"/>
        <v>#DIV/0!</v>
      </c>
      <c r="BP286" s="7">
        <f>VLOOKUP(A286,[1]Sheet15!B:E,4,0)</f>
        <v>1</v>
      </c>
      <c r="BQ286" s="7">
        <f>VLOOKUP(A286,[1]Sheet15!B:E,3,0)</f>
        <v>0</v>
      </c>
    </row>
    <row r="287" spans="1:69" ht="22.5" customHeight="1" x14ac:dyDescent="0.25">
      <c r="A287" s="15" t="s">
        <v>752</v>
      </c>
      <c r="B287" s="15">
        <f>VLOOKUP(A287,'[1]Master clients'!F282:W3829,17,0)</f>
        <v>0</v>
      </c>
      <c r="C287" s="15" t="str">
        <f>VLOOKUP(A287,'[1]Master clients'!F282:P3829,11,0)</f>
        <v>NI</v>
      </c>
      <c r="D287" s="15" t="str">
        <f>VLOOKUP(A287,'[1]Master clients'!F:M,8,0)</f>
        <v>End User</v>
      </c>
      <c r="E287" s="16" t="s">
        <v>753</v>
      </c>
      <c r="F287" s="16" t="s">
        <v>620</v>
      </c>
      <c r="G287" s="17"/>
      <c r="H287" s="17"/>
      <c r="I287" s="31">
        <v>0</v>
      </c>
      <c r="J287" s="31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  <c r="AE287" s="17">
        <v>0</v>
      </c>
      <c r="AF287" s="17">
        <v>0</v>
      </c>
      <c r="AG287" s="17">
        <v>0</v>
      </c>
      <c r="AH287" s="17">
        <v>0</v>
      </c>
      <c r="AI287" s="17">
        <v>0</v>
      </c>
      <c r="AJ287" s="17">
        <v>0</v>
      </c>
      <c r="AK287" s="17">
        <v>0</v>
      </c>
      <c r="AL287" s="17">
        <v>0</v>
      </c>
      <c r="AM287" s="17">
        <v>0</v>
      </c>
      <c r="AN287" s="17">
        <v>0</v>
      </c>
      <c r="AO287" s="17">
        <v>0</v>
      </c>
      <c r="AP287" s="17">
        <v>0</v>
      </c>
      <c r="AQ287" s="17">
        <v>0</v>
      </c>
      <c r="AR287" s="17">
        <v>0</v>
      </c>
      <c r="AS287" s="17">
        <v>0</v>
      </c>
      <c r="AT287" s="17">
        <v>0</v>
      </c>
      <c r="AU287" s="17">
        <v>0</v>
      </c>
      <c r="AV287" s="17">
        <v>0</v>
      </c>
      <c r="AW287" s="17">
        <v>0</v>
      </c>
      <c r="AX287" s="17">
        <v>0</v>
      </c>
      <c r="AY287" s="17">
        <v>0</v>
      </c>
      <c r="AZ287" s="17">
        <v>0</v>
      </c>
      <c r="BA287" s="17">
        <v>0</v>
      </c>
      <c r="BB287" s="17">
        <v>0</v>
      </c>
      <c r="BC287" s="17">
        <v>0</v>
      </c>
      <c r="BD287" s="17">
        <v>0</v>
      </c>
      <c r="BE287" s="17">
        <v>0</v>
      </c>
      <c r="BF287" s="17">
        <v>0</v>
      </c>
      <c r="BG287" s="17">
        <v>0</v>
      </c>
      <c r="BH287" s="17">
        <v>0</v>
      </c>
      <c r="BI287" s="22">
        <f t="shared" si="76"/>
        <v>0</v>
      </c>
      <c r="BJ287" s="22">
        <f t="shared" si="77"/>
        <v>0</v>
      </c>
      <c r="BK287" s="22">
        <f t="shared" si="78"/>
        <v>0</v>
      </c>
      <c r="BL287" s="22">
        <f t="shared" si="79"/>
        <v>0</v>
      </c>
      <c r="BM287" s="22">
        <f t="shared" si="80"/>
        <v>0</v>
      </c>
      <c r="BN287" s="23" t="e">
        <f t="shared" si="81"/>
        <v>#DIV/0!</v>
      </c>
      <c r="BO287" s="23" t="e">
        <f t="shared" si="81"/>
        <v>#DIV/0!</v>
      </c>
      <c r="BP287" s="7" t="e">
        <f>VLOOKUP(A287,[1]Sheet15!B:E,4,0)</f>
        <v>#N/A</v>
      </c>
      <c r="BQ287" s="7" t="e">
        <f>VLOOKUP(A287,[1]Sheet15!B:E,3,0)</f>
        <v>#N/A</v>
      </c>
    </row>
    <row r="288" spans="1:69" ht="22.5" customHeight="1" x14ac:dyDescent="0.25">
      <c r="A288" s="15" t="s">
        <v>754</v>
      </c>
      <c r="B288" s="15">
        <f>VLOOKUP(A288,'[1]Master clients'!F283:W3830,17,0)</f>
        <v>0</v>
      </c>
      <c r="C288" s="15" t="str">
        <f>VLOOKUP(A288,'[1]Master clients'!F283:P3830,11,0)</f>
        <v>NI</v>
      </c>
      <c r="D288" s="15" t="str">
        <f>VLOOKUP(A288,'[1]Master clients'!F:M,8,0)</f>
        <v>Group (Mills)</v>
      </c>
      <c r="E288" s="16" t="s">
        <v>755</v>
      </c>
      <c r="F288" s="29" t="s">
        <v>620</v>
      </c>
      <c r="G288" s="20"/>
      <c r="H288" s="20"/>
      <c r="I288" s="26">
        <v>3</v>
      </c>
      <c r="J288" s="26">
        <v>0</v>
      </c>
      <c r="K288" s="20">
        <v>0</v>
      </c>
      <c r="L288" s="20">
        <v>0</v>
      </c>
      <c r="M288" s="20">
        <v>0</v>
      </c>
      <c r="N288" s="20">
        <v>14</v>
      </c>
      <c r="O288" s="20">
        <v>0</v>
      </c>
      <c r="P288" s="20">
        <v>0</v>
      </c>
      <c r="Q288" s="20">
        <v>0</v>
      </c>
      <c r="R288" s="20">
        <v>0</v>
      </c>
      <c r="S288" s="20">
        <v>0</v>
      </c>
      <c r="T288" s="20">
        <v>0</v>
      </c>
      <c r="U288" s="20">
        <v>0</v>
      </c>
      <c r="V288" s="20">
        <v>0</v>
      </c>
      <c r="W288" s="20">
        <v>0</v>
      </c>
      <c r="X288" s="20">
        <v>0</v>
      </c>
      <c r="Y288" s="20">
        <v>0</v>
      </c>
      <c r="Z288" s="20">
        <v>12</v>
      </c>
      <c r="AA288" s="20">
        <v>0</v>
      </c>
      <c r="AB288" s="20">
        <v>0</v>
      </c>
      <c r="AC288" s="20">
        <v>0</v>
      </c>
      <c r="AD288" s="20">
        <v>0</v>
      </c>
      <c r="AE288" s="20">
        <v>0</v>
      </c>
      <c r="AF288" s="20">
        <v>0</v>
      </c>
      <c r="AG288" s="20">
        <v>0</v>
      </c>
      <c r="AH288" s="20">
        <v>0</v>
      </c>
      <c r="AI288" s="20">
        <v>0</v>
      </c>
      <c r="AJ288" s="20">
        <v>0</v>
      </c>
      <c r="AK288" s="20">
        <v>0</v>
      </c>
      <c r="AL288" s="20">
        <v>0</v>
      </c>
      <c r="AM288" s="20">
        <v>0</v>
      </c>
      <c r="AN288" s="20">
        <v>0</v>
      </c>
      <c r="AO288" s="20">
        <v>0</v>
      </c>
      <c r="AP288" s="20">
        <v>0</v>
      </c>
      <c r="AQ288" s="20">
        <v>0</v>
      </c>
      <c r="AR288" s="20">
        <v>0</v>
      </c>
      <c r="AS288" s="20">
        <v>0</v>
      </c>
      <c r="AT288" s="20">
        <v>0</v>
      </c>
      <c r="AU288" s="20">
        <v>0</v>
      </c>
      <c r="AV288" s="20">
        <v>0</v>
      </c>
      <c r="AW288" s="20">
        <v>0</v>
      </c>
      <c r="AX288" s="20">
        <v>0</v>
      </c>
      <c r="AY288" s="20">
        <v>0</v>
      </c>
      <c r="AZ288" s="20">
        <v>0</v>
      </c>
      <c r="BA288" s="20">
        <v>0</v>
      </c>
      <c r="BB288" s="27">
        <v>0</v>
      </c>
      <c r="BC288" s="20">
        <v>0</v>
      </c>
      <c r="BD288" s="20">
        <v>0</v>
      </c>
      <c r="BE288" s="21">
        <v>0</v>
      </c>
      <c r="BF288" s="21">
        <v>0</v>
      </c>
      <c r="BG288" s="20">
        <v>0</v>
      </c>
      <c r="BH288" s="20">
        <v>0</v>
      </c>
      <c r="BI288" s="22">
        <f t="shared" si="76"/>
        <v>12</v>
      </c>
      <c r="BJ288" s="22">
        <f t="shared" si="77"/>
        <v>14</v>
      </c>
      <c r="BK288" s="28">
        <f t="shared" si="78"/>
        <v>29</v>
      </c>
      <c r="BL288" s="22">
        <f t="shared" si="79"/>
        <v>15</v>
      </c>
      <c r="BM288" s="22">
        <f t="shared" si="80"/>
        <v>14</v>
      </c>
      <c r="BN288" s="23">
        <f t="shared" si="81"/>
        <v>0.2</v>
      </c>
      <c r="BO288" s="23">
        <f t="shared" si="81"/>
        <v>0</v>
      </c>
      <c r="BP288" s="7">
        <f>VLOOKUP(A288,[1]Sheet15!B:E,4,0)</f>
        <v>3</v>
      </c>
      <c r="BQ288" s="7">
        <f>VLOOKUP(A288,[1]Sheet15!B:E,3,0)</f>
        <v>0</v>
      </c>
    </row>
    <row r="289" spans="1:69" ht="22.5" customHeight="1" x14ac:dyDescent="0.25">
      <c r="A289" s="15" t="s">
        <v>756</v>
      </c>
      <c r="B289" s="15">
        <f>VLOOKUP(A289,'[1]Master clients'!F284:W3831,17,0)</f>
        <v>0</v>
      </c>
      <c r="C289" s="15" t="str">
        <f>VLOOKUP(A289,'[1]Master clients'!F284:P3831,11,0)</f>
        <v>NI</v>
      </c>
      <c r="D289" s="15" t="str">
        <f>VLOOKUP(A289,'[1]Master clients'!F:M,8,0)</f>
        <v>End User</v>
      </c>
      <c r="E289" s="16" t="s">
        <v>757</v>
      </c>
      <c r="F289" s="16" t="s">
        <v>620</v>
      </c>
      <c r="G289" s="17"/>
      <c r="H289" s="17"/>
      <c r="I289" s="31">
        <v>5</v>
      </c>
      <c r="J289" s="31">
        <v>0</v>
      </c>
      <c r="K289" s="17">
        <v>0</v>
      </c>
      <c r="L289" s="17">
        <v>0</v>
      </c>
      <c r="M289" s="17">
        <v>0</v>
      </c>
      <c r="N289" s="17">
        <v>0</v>
      </c>
      <c r="O289" s="17">
        <v>0</v>
      </c>
      <c r="P289" s="17">
        <v>0</v>
      </c>
      <c r="Q289" s="17">
        <v>0</v>
      </c>
      <c r="R289" s="17">
        <v>0</v>
      </c>
      <c r="S289" s="17">
        <v>0</v>
      </c>
      <c r="T289" s="17">
        <v>0</v>
      </c>
      <c r="U289" s="17">
        <v>0</v>
      </c>
      <c r="V289" s="17">
        <v>0</v>
      </c>
      <c r="W289" s="17">
        <v>0</v>
      </c>
      <c r="X289" s="17">
        <v>0</v>
      </c>
      <c r="Y289" s="17">
        <v>0</v>
      </c>
      <c r="Z289" s="17">
        <v>0</v>
      </c>
      <c r="AA289" s="17">
        <v>0</v>
      </c>
      <c r="AB289" s="17">
        <v>0</v>
      </c>
      <c r="AC289" s="17">
        <v>0</v>
      </c>
      <c r="AD289" s="17">
        <v>0</v>
      </c>
      <c r="AE289" s="17">
        <v>0</v>
      </c>
      <c r="AF289" s="17">
        <v>0</v>
      </c>
      <c r="AG289" s="17">
        <v>0</v>
      </c>
      <c r="AH289" s="17">
        <v>0</v>
      </c>
      <c r="AI289" s="17">
        <v>0</v>
      </c>
      <c r="AJ289" s="17">
        <v>0</v>
      </c>
      <c r="AK289" s="17">
        <v>0</v>
      </c>
      <c r="AL289" s="17">
        <v>0</v>
      </c>
      <c r="AM289" s="17">
        <v>0</v>
      </c>
      <c r="AN289" s="17">
        <v>0</v>
      </c>
      <c r="AO289" s="17">
        <v>0</v>
      </c>
      <c r="AP289" s="17">
        <v>0</v>
      </c>
      <c r="AQ289" s="17">
        <v>0</v>
      </c>
      <c r="AR289" s="17">
        <v>0</v>
      </c>
      <c r="AS289" s="17">
        <v>0</v>
      </c>
      <c r="AT289" s="17">
        <v>0</v>
      </c>
      <c r="AU289" s="17">
        <v>0</v>
      </c>
      <c r="AV289" s="17">
        <v>0</v>
      </c>
      <c r="AW289" s="17">
        <v>0</v>
      </c>
      <c r="AX289" s="17">
        <v>0</v>
      </c>
      <c r="AY289" s="17">
        <v>0</v>
      </c>
      <c r="AZ289" s="17">
        <v>0</v>
      </c>
      <c r="BA289" s="17">
        <v>0</v>
      </c>
      <c r="BB289" s="17">
        <v>0</v>
      </c>
      <c r="BC289" s="17">
        <v>0</v>
      </c>
      <c r="BD289" s="17">
        <v>0</v>
      </c>
      <c r="BE289" s="17">
        <v>0</v>
      </c>
      <c r="BF289" s="17">
        <v>0</v>
      </c>
      <c r="BG289" s="17">
        <v>0</v>
      </c>
      <c r="BH289" s="17">
        <v>0</v>
      </c>
      <c r="BI289" s="22">
        <f t="shared" si="76"/>
        <v>0</v>
      </c>
      <c r="BJ289" s="22">
        <f t="shared" si="77"/>
        <v>0</v>
      </c>
      <c r="BK289" s="22">
        <f t="shared" si="78"/>
        <v>5</v>
      </c>
      <c r="BL289" s="22">
        <f t="shared" si="79"/>
        <v>5</v>
      </c>
      <c r="BM289" s="22">
        <f t="shared" si="80"/>
        <v>0</v>
      </c>
      <c r="BN289" s="23">
        <f t="shared" si="81"/>
        <v>1</v>
      </c>
      <c r="BO289" s="23" t="e">
        <f t="shared" si="81"/>
        <v>#DIV/0!</v>
      </c>
      <c r="BP289" s="7">
        <f>VLOOKUP(A289,[1]Sheet15!B:E,4,0)</f>
        <v>5</v>
      </c>
      <c r="BQ289" s="7">
        <f>VLOOKUP(A289,[1]Sheet15!B:E,3,0)</f>
        <v>0</v>
      </c>
    </row>
    <row r="290" spans="1:69" ht="22.5" customHeight="1" x14ac:dyDescent="0.25">
      <c r="A290" s="15" t="s">
        <v>758</v>
      </c>
      <c r="B290" s="15">
        <f>VLOOKUP(A290,'[1]Master clients'!F285:W3832,17,0)</f>
        <v>0</v>
      </c>
      <c r="C290" s="15" t="str">
        <f>VLOOKUP(A290,'[1]Master clients'!F285:P3832,11,0)</f>
        <v>NI</v>
      </c>
      <c r="D290" s="15">
        <f>VLOOKUP(A290,'[1]Master clients'!F:M,8,0)</f>
        <v>0</v>
      </c>
      <c r="E290" s="16" t="s">
        <v>759</v>
      </c>
      <c r="F290" s="29" t="s">
        <v>620</v>
      </c>
      <c r="G290" s="20"/>
      <c r="H290" s="20"/>
      <c r="I290" s="18">
        <v>0</v>
      </c>
      <c r="J290" s="18">
        <v>0</v>
      </c>
      <c r="K290" s="20">
        <v>0</v>
      </c>
      <c r="L290" s="20">
        <v>0</v>
      </c>
      <c r="M290" s="20">
        <v>0</v>
      </c>
      <c r="N290" s="20">
        <v>0</v>
      </c>
      <c r="O290" s="20">
        <v>0</v>
      </c>
      <c r="P290" s="20">
        <v>0</v>
      </c>
      <c r="Q290" s="20">
        <v>0</v>
      </c>
      <c r="R290" s="20">
        <v>0</v>
      </c>
      <c r="S290" s="20">
        <v>0</v>
      </c>
      <c r="T290" s="20">
        <v>0</v>
      </c>
      <c r="U290" s="20">
        <v>0</v>
      </c>
      <c r="V290" s="20">
        <v>0</v>
      </c>
      <c r="W290" s="20">
        <v>0</v>
      </c>
      <c r="X290" s="20">
        <v>0</v>
      </c>
      <c r="Y290" s="20">
        <v>0</v>
      </c>
      <c r="Z290" s="20">
        <v>0</v>
      </c>
      <c r="AA290" s="20">
        <v>0</v>
      </c>
      <c r="AB290" s="20">
        <v>0</v>
      </c>
      <c r="AC290" s="20">
        <v>0</v>
      </c>
      <c r="AD290" s="20">
        <v>0</v>
      </c>
      <c r="AE290" s="20">
        <v>0</v>
      </c>
      <c r="AF290" s="20">
        <v>0</v>
      </c>
      <c r="AG290" s="20">
        <v>0</v>
      </c>
      <c r="AH290" s="20">
        <v>0</v>
      </c>
      <c r="AI290" s="20">
        <v>0</v>
      </c>
      <c r="AJ290" s="20">
        <v>0</v>
      </c>
      <c r="AK290" s="20">
        <v>4</v>
      </c>
      <c r="AL290" s="20">
        <v>0</v>
      </c>
      <c r="AM290" s="20">
        <v>0</v>
      </c>
      <c r="AN290" s="20">
        <v>0</v>
      </c>
      <c r="AO290" s="20">
        <v>0</v>
      </c>
      <c r="AP290" s="20">
        <v>0</v>
      </c>
      <c r="AQ290" s="20">
        <v>0</v>
      </c>
      <c r="AR290" s="20">
        <v>0</v>
      </c>
      <c r="AS290" s="20">
        <v>0</v>
      </c>
      <c r="AT290" s="20">
        <v>0</v>
      </c>
      <c r="AU290" s="20">
        <v>0</v>
      </c>
      <c r="AV290" s="20">
        <v>0</v>
      </c>
      <c r="AW290" s="20">
        <v>0</v>
      </c>
      <c r="AX290" s="20">
        <v>0</v>
      </c>
      <c r="AY290" s="20">
        <v>0</v>
      </c>
      <c r="AZ290" s="20">
        <v>0</v>
      </c>
      <c r="BA290" s="20">
        <v>0</v>
      </c>
      <c r="BB290" s="20">
        <v>0</v>
      </c>
      <c r="BC290" s="20">
        <v>0</v>
      </c>
      <c r="BD290" s="20">
        <v>0</v>
      </c>
      <c r="BE290" s="20">
        <v>0</v>
      </c>
      <c r="BF290" s="20">
        <v>0</v>
      </c>
      <c r="BG290" s="20">
        <v>0</v>
      </c>
      <c r="BH290" s="20">
        <v>0</v>
      </c>
      <c r="BI290" s="22">
        <f t="shared" si="76"/>
        <v>4</v>
      </c>
      <c r="BJ290" s="22">
        <f t="shared" si="77"/>
        <v>0</v>
      </c>
      <c r="BK290" s="22">
        <f t="shared" si="78"/>
        <v>4</v>
      </c>
      <c r="BL290" s="22">
        <f t="shared" si="79"/>
        <v>4</v>
      </c>
      <c r="BM290" s="22">
        <f t="shared" si="80"/>
        <v>0</v>
      </c>
      <c r="BN290" s="23">
        <f t="shared" si="81"/>
        <v>0</v>
      </c>
      <c r="BO290" s="23" t="e">
        <f t="shared" si="81"/>
        <v>#DIV/0!</v>
      </c>
      <c r="BP290" s="7" t="e">
        <f>VLOOKUP(A290,[1]Sheet15!B:E,4,0)</f>
        <v>#N/A</v>
      </c>
      <c r="BQ290" s="7" t="e">
        <f>VLOOKUP(A290,[1]Sheet15!B:E,3,0)</f>
        <v>#N/A</v>
      </c>
    </row>
    <row r="291" spans="1:69" ht="22.5" customHeight="1" x14ac:dyDescent="0.25">
      <c r="A291" s="15" t="s">
        <v>760</v>
      </c>
      <c r="B291" s="15">
        <f>VLOOKUP(A291,'[1]Master clients'!F286:W3833,17,0)</f>
        <v>0</v>
      </c>
      <c r="C291" s="15" t="str">
        <f>VLOOKUP(A291,'[1]Master clients'!F286:P3833,11,0)</f>
        <v>NI</v>
      </c>
      <c r="D291" s="15" t="str">
        <f>VLOOKUP(A291,'[1]Master clients'!F:M,8,0)</f>
        <v>End User</v>
      </c>
      <c r="E291" s="16" t="s">
        <v>761</v>
      </c>
      <c r="F291" s="16" t="s">
        <v>620</v>
      </c>
      <c r="G291" s="17"/>
      <c r="H291" s="17"/>
      <c r="I291" s="31">
        <v>4</v>
      </c>
      <c r="J291" s="31">
        <v>0</v>
      </c>
      <c r="K291" s="17">
        <v>0</v>
      </c>
      <c r="L291" s="17">
        <v>0</v>
      </c>
      <c r="M291" s="17">
        <v>0</v>
      </c>
      <c r="N291" s="17">
        <v>0</v>
      </c>
      <c r="O291" s="17">
        <v>0</v>
      </c>
      <c r="P291" s="17">
        <v>0</v>
      </c>
      <c r="Q291" s="17">
        <v>0</v>
      </c>
      <c r="R291" s="17">
        <v>0</v>
      </c>
      <c r="S291" s="17">
        <v>0</v>
      </c>
      <c r="T291" s="17">
        <v>0</v>
      </c>
      <c r="U291" s="17">
        <v>0</v>
      </c>
      <c r="V291" s="17">
        <v>0</v>
      </c>
      <c r="W291" s="17">
        <v>0</v>
      </c>
      <c r="X291" s="17">
        <v>0</v>
      </c>
      <c r="Y291" s="17">
        <v>0</v>
      </c>
      <c r="Z291" s="17">
        <v>0</v>
      </c>
      <c r="AA291" s="17">
        <v>0</v>
      </c>
      <c r="AB291" s="17">
        <v>0</v>
      </c>
      <c r="AC291" s="17">
        <v>0</v>
      </c>
      <c r="AD291" s="17">
        <v>0</v>
      </c>
      <c r="AE291" s="17">
        <v>0</v>
      </c>
      <c r="AF291" s="17">
        <v>0</v>
      </c>
      <c r="AG291" s="17">
        <v>0</v>
      </c>
      <c r="AH291" s="17">
        <v>0</v>
      </c>
      <c r="AI291" s="17">
        <v>0</v>
      </c>
      <c r="AJ291" s="17">
        <v>0</v>
      </c>
      <c r="AK291" s="17">
        <v>0</v>
      </c>
      <c r="AL291" s="17">
        <v>0</v>
      </c>
      <c r="AM291" s="17">
        <v>0</v>
      </c>
      <c r="AN291" s="17">
        <v>0</v>
      </c>
      <c r="AO291" s="17">
        <v>0</v>
      </c>
      <c r="AP291" s="17">
        <v>0</v>
      </c>
      <c r="AQ291" s="17">
        <v>0</v>
      </c>
      <c r="AR291" s="17">
        <v>0</v>
      </c>
      <c r="AS291" s="17">
        <v>0</v>
      </c>
      <c r="AT291" s="17">
        <v>0</v>
      </c>
      <c r="AU291" s="17">
        <v>0</v>
      </c>
      <c r="AV291" s="17">
        <v>0</v>
      </c>
      <c r="AW291" s="17">
        <v>0</v>
      </c>
      <c r="AX291" s="17">
        <v>0</v>
      </c>
      <c r="AY291" s="17">
        <v>0</v>
      </c>
      <c r="AZ291" s="17">
        <v>0</v>
      </c>
      <c r="BA291" s="17">
        <v>0</v>
      </c>
      <c r="BB291" s="17">
        <v>0</v>
      </c>
      <c r="BC291" s="17">
        <v>0</v>
      </c>
      <c r="BD291" s="17">
        <v>0</v>
      </c>
      <c r="BE291" s="17">
        <v>0</v>
      </c>
      <c r="BF291" s="17">
        <v>0</v>
      </c>
      <c r="BG291" s="17">
        <v>0</v>
      </c>
      <c r="BH291" s="17">
        <v>0</v>
      </c>
      <c r="BI291" s="22">
        <f t="shared" si="76"/>
        <v>0</v>
      </c>
      <c r="BJ291" s="22">
        <f t="shared" si="77"/>
        <v>0</v>
      </c>
      <c r="BK291" s="22">
        <f t="shared" si="78"/>
        <v>4</v>
      </c>
      <c r="BL291" s="22">
        <f t="shared" si="79"/>
        <v>4</v>
      </c>
      <c r="BM291" s="22">
        <f t="shared" si="80"/>
        <v>0</v>
      </c>
      <c r="BN291" s="23">
        <f t="shared" si="81"/>
        <v>1</v>
      </c>
      <c r="BO291" s="23" t="e">
        <f t="shared" si="81"/>
        <v>#DIV/0!</v>
      </c>
      <c r="BP291" s="7">
        <f>VLOOKUP(A291,[1]Sheet15!B:E,4,0)</f>
        <v>4</v>
      </c>
      <c r="BQ291" s="7">
        <f>VLOOKUP(A291,[1]Sheet15!B:E,3,0)</f>
        <v>0</v>
      </c>
    </row>
    <row r="292" spans="1:69" ht="22.5" customHeight="1" x14ac:dyDescent="0.25">
      <c r="A292" s="15" t="s">
        <v>762</v>
      </c>
      <c r="B292" s="15">
        <f>VLOOKUP(A292,'[1]Master clients'!F287:W3834,17,0)</f>
        <v>0</v>
      </c>
      <c r="C292" s="15" t="str">
        <f>VLOOKUP(A292,'[1]Master clients'!F287:P3834,11,0)</f>
        <v>NI</v>
      </c>
      <c r="D292" s="15" t="str">
        <f>VLOOKUP(A292,'[1]Master clients'!F:M,8,0)</f>
        <v>End User</v>
      </c>
      <c r="E292" s="24" t="s">
        <v>763</v>
      </c>
      <c r="F292" s="25" t="s">
        <v>620</v>
      </c>
      <c r="G292" s="20">
        <v>2</v>
      </c>
      <c r="H292" s="20">
        <v>0</v>
      </c>
      <c r="I292" s="26">
        <v>2</v>
      </c>
      <c r="J292" s="26">
        <v>0</v>
      </c>
      <c r="K292" s="20">
        <v>0</v>
      </c>
      <c r="L292" s="20">
        <v>0</v>
      </c>
      <c r="M292" s="20">
        <v>0</v>
      </c>
      <c r="N292" s="20">
        <v>0</v>
      </c>
      <c r="O292" s="20">
        <v>0</v>
      </c>
      <c r="P292" s="20">
        <v>0</v>
      </c>
      <c r="Q292" s="20">
        <v>0</v>
      </c>
      <c r="R292" s="20">
        <v>0</v>
      </c>
      <c r="S292" s="20">
        <v>0</v>
      </c>
      <c r="T292" s="20">
        <v>0</v>
      </c>
      <c r="U292" s="20">
        <v>0</v>
      </c>
      <c r="V292" s="20">
        <v>0</v>
      </c>
      <c r="W292" s="20">
        <v>0</v>
      </c>
      <c r="X292" s="20">
        <v>0</v>
      </c>
      <c r="Y292" s="20">
        <v>0</v>
      </c>
      <c r="Z292" s="20">
        <v>0</v>
      </c>
      <c r="AA292" s="20">
        <v>0</v>
      </c>
      <c r="AB292" s="20">
        <v>0</v>
      </c>
      <c r="AC292" s="20">
        <v>0</v>
      </c>
      <c r="AD292" s="20">
        <v>0</v>
      </c>
      <c r="AE292" s="20">
        <v>0</v>
      </c>
      <c r="AF292" s="20">
        <v>0</v>
      </c>
      <c r="AG292" s="20">
        <v>0</v>
      </c>
      <c r="AH292" s="20">
        <v>0</v>
      </c>
      <c r="AI292" s="20">
        <v>0</v>
      </c>
      <c r="AJ292" s="20">
        <v>0</v>
      </c>
      <c r="AK292" s="20">
        <v>0</v>
      </c>
      <c r="AL292" s="20">
        <v>0</v>
      </c>
      <c r="AM292" s="20">
        <v>0</v>
      </c>
      <c r="AN292" s="20">
        <v>0</v>
      </c>
      <c r="AO292" s="20">
        <v>0</v>
      </c>
      <c r="AP292" s="20">
        <v>0</v>
      </c>
      <c r="AQ292" s="20">
        <v>0</v>
      </c>
      <c r="AR292" s="20">
        <v>0</v>
      </c>
      <c r="AS292" s="20">
        <v>0</v>
      </c>
      <c r="AT292" s="20">
        <v>0</v>
      </c>
      <c r="AU292" s="20">
        <v>0</v>
      </c>
      <c r="AV292" s="20">
        <v>0</v>
      </c>
      <c r="AW292" s="20">
        <v>0</v>
      </c>
      <c r="AX292" s="20">
        <v>0</v>
      </c>
      <c r="AY292" s="20">
        <v>0</v>
      </c>
      <c r="AZ292" s="20">
        <v>0</v>
      </c>
      <c r="BA292" s="20">
        <v>0</v>
      </c>
      <c r="BB292" s="27">
        <v>0</v>
      </c>
      <c r="BC292" s="20">
        <v>0</v>
      </c>
      <c r="BD292" s="20">
        <v>0</v>
      </c>
      <c r="BE292" s="21">
        <v>0</v>
      </c>
      <c r="BF292" s="21">
        <v>0</v>
      </c>
      <c r="BG292" s="20">
        <v>0</v>
      </c>
      <c r="BH292" s="20">
        <v>0</v>
      </c>
      <c r="BI292" s="22">
        <f t="shared" si="76"/>
        <v>0</v>
      </c>
      <c r="BJ292" s="22">
        <f t="shared" si="77"/>
        <v>0</v>
      </c>
      <c r="BK292" s="28">
        <f t="shared" si="78"/>
        <v>2</v>
      </c>
      <c r="BL292" s="22">
        <f t="shared" si="79"/>
        <v>2</v>
      </c>
      <c r="BM292" s="22">
        <f t="shared" si="80"/>
        <v>0</v>
      </c>
      <c r="BN292" s="23">
        <f t="shared" si="81"/>
        <v>1</v>
      </c>
      <c r="BO292" s="23" t="e">
        <f t="shared" si="81"/>
        <v>#DIV/0!</v>
      </c>
      <c r="BP292" s="7">
        <f>VLOOKUP(A292,[1]Sheet15!B:E,4,0)</f>
        <v>6</v>
      </c>
      <c r="BQ292" s="7">
        <f>VLOOKUP(A292,[1]Sheet15!B:E,3,0)</f>
        <v>0</v>
      </c>
    </row>
    <row r="293" spans="1:69" ht="22.5" customHeight="1" x14ac:dyDescent="0.25">
      <c r="A293" s="15" t="s">
        <v>764</v>
      </c>
      <c r="B293" s="15">
        <f>VLOOKUP(A293,'[1]Master clients'!F288:W3835,17,0)</f>
        <v>0</v>
      </c>
      <c r="C293" s="15" t="str">
        <f>VLOOKUP(A293,'[1]Master clients'!F288:P3835,11,0)</f>
        <v>AV</v>
      </c>
      <c r="D293" s="15" t="str">
        <f>VLOOKUP(A293,'[1]Master clients'!F:M,8,0)</f>
        <v>End User</v>
      </c>
      <c r="E293" s="16" t="s">
        <v>765</v>
      </c>
      <c r="F293" s="16" t="s">
        <v>766</v>
      </c>
      <c r="G293" s="17"/>
      <c r="H293" s="17"/>
      <c r="I293" s="31">
        <v>0</v>
      </c>
      <c r="J293" s="31">
        <v>0</v>
      </c>
      <c r="K293" s="17">
        <v>0</v>
      </c>
      <c r="L293" s="17">
        <v>0</v>
      </c>
      <c r="M293" s="17">
        <v>0</v>
      </c>
      <c r="N293" s="17">
        <v>0</v>
      </c>
      <c r="O293" s="17">
        <v>0</v>
      </c>
      <c r="P293" s="17">
        <v>0</v>
      </c>
      <c r="Q293" s="17">
        <v>0</v>
      </c>
      <c r="R293" s="17">
        <v>0</v>
      </c>
      <c r="S293" s="17">
        <v>0</v>
      </c>
      <c r="T293" s="17">
        <v>0</v>
      </c>
      <c r="U293" s="17">
        <v>0</v>
      </c>
      <c r="V293" s="17">
        <v>0</v>
      </c>
      <c r="W293" s="17">
        <v>0</v>
      </c>
      <c r="X293" s="17">
        <v>0</v>
      </c>
      <c r="Y293" s="17">
        <v>0</v>
      </c>
      <c r="Z293" s="17">
        <v>0</v>
      </c>
      <c r="AA293" s="17">
        <v>0</v>
      </c>
      <c r="AB293" s="17">
        <v>0</v>
      </c>
      <c r="AC293" s="17">
        <v>0</v>
      </c>
      <c r="AD293" s="17">
        <v>0</v>
      </c>
      <c r="AE293" s="17">
        <v>0</v>
      </c>
      <c r="AF293" s="17">
        <v>0</v>
      </c>
      <c r="AG293" s="17">
        <v>0</v>
      </c>
      <c r="AH293" s="17">
        <v>0</v>
      </c>
      <c r="AI293" s="17">
        <v>0</v>
      </c>
      <c r="AJ293" s="17">
        <v>0</v>
      </c>
      <c r="AK293" s="17">
        <v>0</v>
      </c>
      <c r="AL293" s="17">
        <v>0</v>
      </c>
      <c r="AM293" s="17">
        <v>0</v>
      </c>
      <c r="AN293" s="17">
        <v>0</v>
      </c>
      <c r="AO293" s="17">
        <v>0</v>
      </c>
      <c r="AP293" s="17">
        <v>0</v>
      </c>
      <c r="AQ293" s="17">
        <v>0</v>
      </c>
      <c r="AR293" s="17">
        <v>0</v>
      </c>
      <c r="AS293" s="17">
        <v>0</v>
      </c>
      <c r="AT293" s="17">
        <v>0</v>
      </c>
      <c r="AU293" s="17">
        <v>0</v>
      </c>
      <c r="AV293" s="17">
        <v>0</v>
      </c>
      <c r="AW293" s="17">
        <v>0</v>
      </c>
      <c r="AX293" s="17">
        <v>0</v>
      </c>
      <c r="AY293" s="17">
        <v>0</v>
      </c>
      <c r="AZ293" s="17">
        <v>0</v>
      </c>
      <c r="BA293" s="17">
        <v>0</v>
      </c>
      <c r="BB293" s="17">
        <v>0</v>
      </c>
      <c r="BC293" s="17">
        <v>0</v>
      </c>
      <c r="BD293" s="17">
        <v>0</v>
      </c>
      <c r="BE293" s="17">
        <v>0</v>
      </c>
      <c r="BF293" s="17">
        <v>0</v>
      </c>
      <c r="BG293" s="17">
        <v>0</v>
      </c>
      <c r="BH293" s="17">
        <v>0</v>
      </c>
      <c r="BI293" s="22">
        <f t="shared" si="76"/>
        <v>0</v>
      </c>
      <c r="BJ293" s="22">
        <f t="shared" si="77"/>
        <v>0</v>
      </c>
      <c r="BK293" s="22">
        <f t="shared" si="78"/>
        <v>0</v>
      </c>
      <c r="BL293" s="22">
        <f t="shared" si="79"/>
        <v>0</v>
      </c>
      <c r="BM293" s="22">
        <f t="shared" si="80"/>
        <v>0</v>
      </c>
      <c r="BN293" s="23" t="e">
        <f t="shared" ref="BN293:BO308" si="82">I293/BL293</f>
        <v>#DIV/0!</v>
      </c>
      <c r="BO293" s="23" t="e">
        <f t="shared" si="82"/>
        <v>#DIV/0!</v>
      </c>
      <c r="BP293" s="7" t="e">
        <f>VLOOKUP(A293,[1]Sheet15!B:E,4,0)</f>
        <v>#N/A</v>
      </c>
      <c r="BQ293" s="7" t="e">
        <f>VLOOKUP(A293,[1]Sheet15!B:E,3,0)</f>
        <v>#N/A</v>
      </c>
    </row>
    <row r="294" spans="1:69" ht="22.5" customHeight="1" x14ac:dyDescent="0.25">
      <c r="A294" s="15" t="s">
        <v>767</v>
      </c>
      <c r="B294" s="15">
        <f>VLOOKUP(A294,'[1]Master clients'!F289:W3836,17,0)</f>
        <v>0</v>
      </c>
      <c r="C294" s="15" t="str">
        <f>VLOOKUP(A294,'[1]Master clients'!F289:P3836,11,0)</f>
        <v>SI-GS</v>
      </c>
      <c r="D294" s="15" t="str">
        <f>VLOOKUP(A294,'[1]Master clients'!F:M,8,0)</f>
        <v>Group (Mills)</v>
      </c>
      <c r="E294" s="16" t="s">
        <v>768</v>
      </c>
      <c r="F294" s="16" t="s">
        <v>766</v>
      </c>
      <c r="G294" s="17"/>
      <c r="H294" s="17"/>
      <c r="I294" s="31">
        <v>15</v>
      </c>
      <c r="J294" s="31">
        <v>0</v>
      </c>
      <c r="K294" s="17">
        <v>0</v>
      </c>
      <c r="L294" s="17">
        <v>0</v>
      </c>
      <c r="M294" s="17">
        <v>0</v>
      </c>
      <c r="N294" s="17">
        <v>0</v>
      </c>
      <c r="O294" s="17">
        <v>0</v>
      </c>
      <c r="P294" s="17">
        <v>0</v>
      </c>
      <c r="Q294" s="17">
        <v>0</v>
      </c>
      <c r="R294" s="17">
        <v>0</v>
      </c>
      <c r="S294" s="17">
        <v>0</v>
      </c>
      <c r="T294" s="17">
        <v>0</v>
      </c>
      <c r="U294" s="17">
        <v>0</v>
      </c>
      <c r="V294" s="17">
        <v>0</v>
      </c>
      <c r="W294" s="17">
        <v>0</v>
      </c>
      <c r="X294" s="17">
        <v>0</v>
      </c>
      <c r="Y294" s="17">
        <v>0</v>
      </c>
      <c r="Z294" s="17">
        <v>0</v>
      </c>
      <c r="AA294" s="17">
        <v>0</v>
      </c>
      <c r="AB294" s="17">
        <v>0</v>
      </c>
      <c r="AC294" s="17">
        <v>0</v>
      </c>
      <c r="AD294" s="17">
        <v>0</v>
      </c>
      <c r="AE294" s="17">
        <v>0</v>
      </c>
      <c r="AF294" s="17">
        <v>0</v>
      </c>
      <c r="AG294" s="17">
        <v>0</v>
      </c>
      <c r="AH294" s="17">
        <v>0</v>
      </c>
      <c r="AI294" s="17">
        <v>0</v>
      </c>
      <c r="AJ294" s="17">
        <v>0</v>
      </c>
      <c r="AK294" s="17">
        <v>0</v>
      </c>
      <c r="AL294" s="17">
        <v>0</v>
      </c>
      <c r="AM294" s="17">
        <v>0</v>
      </c>
      <c r="AN294" s="17">
        <v>0</v>
      </c>
      <c r="AO294" s="17">
        <v>0</v>
      </c>
      <c r="AP294" s="17">
        <v>0</v>
      </c>
      <c r="AQ294" s="17">
        <v>0</v>
      </c>
      <c r="AR294" s="17">
        <v>0</v>
      </c>
      <c r="AS294" s="17">
        <v>0</v>
      </c>
      <c r="AT294" s="17">
        <v>0</v>
      </c>
      <c r="AU294" s="17">
        <v>0</v>
      </c>
      <c r="AV294" s="17">
        <v>0</v>
      </c>
      <c r="AW294" s="17">
        <v>0</v>
      </c>
      <c r="AX294" s="17">
        <v>0</v>
      </c>
      <c r="AY294" s="17">
        <v>0</v>
      </c>
      <c r="AZ294" s="17">
        <v>0</v>
      </c>
      <c r="BA294" s="17">
        <v>0</v>
      </c>
      <c r="BB294" s="17">
        <v>0</v>
      </c>
      <c r="BC294" s="17">
        <v>0</v>
      </c>
      <c r="BD294" s="17">
        <v>0</v>
      </c>
      <c r="BE294" s="17">
        <v>0</v>
      </c>
      <c r="BF294" s="17">
        <v>0</v>
      </c>
      <c r="BG294" s="17">
        <v>0</v>
      </c>
      <c r="BH294" s="17">
        <v>0</v>
      </c>
      <c r="BI294" s="22">
        <f t="shared" si="76"/>
        <v>0</v>
      </c>
      <c r="BJ294" s="22">
        <f t="shared" si="77"/>
        <v>0</v>
      </c>
      <c r="BK294" s="22">
        <f t="shared" si="78"/>
        <v>15</v>
      </c>
      <c r="BL294" s="22">
        <f t="shared" si="79"/>
        <v>15</v>
      </c>
      <c r="BM294" s="22">
        <f t="shared" si="80"/>
        <v>0</v>
      </c>
      <c r="BN294" s="23">
        <f t="shared" si="82"/>
        <v>1</v>
      </c>
      <c r="BO294" s="23" t="e">
        <f t="shared" si="82"/>
        <v>#DIV/0!</v>
      </c>
      <c r="BP294" s="7">
        <f>VLOOKUP(A294,[1]Sheet15!B:E,4,0)</f>
        <v>15</v>
      </c>
      <c r="BQ294" s="7">
        <f>VLOOKUP(A294,[1]Sheet15!B:E,3,0)</f>
        <v>0</v>
      </c>
    </row>
    <row r="295" spans="1:69" ht="22.5" customHeight="1" x14ac:dyDescent="0.25">
      <c r="A295" s="15" t="s">
        <v>769</v>
      </c>
      <c r="B295" s="15">
        <f>VLOOKUP(A295,'[1]Master clients'!F290:W3837,17,0)</f>
        <v>0</v>
      </c>
      <c r="C295" s="15" t="str">
        <f>VLOOKUP(A295,'[1]Master clients'!F290:P3837,11,0)</f>
        <v>NI</v>
      </c>
      <c r="D295" s="15" t="str">
        <f>VLOOKUP(A295,'[1]Master clients'!F:M,8,0)</f>
        <v>Group (Mills)</v>
      </c>
      <c r="E295" s="16" t="s">
        <v>770</v>
      </c>
      <c r="F295" s="16" t="s">
        <v>766</v>
      </c>
      <c r="G295" s="17"/>
      <c r="H295" s="17"/>
      <c r="I295" s="18">
        <v>35</v>
      </c>
      <c r="J295" s="18">
        <v>4</v>
      </c>
      <c r="K295" s="17">
        <v>0</v>
      </c>
      <c r="L295" s="17">
        <v>0</v>
      </c>
      <c r="M295" s="17">
        <v>0</v>
      </c>
      <c r="N295" s="17">
        <v>0</v>
      </c>
      <c r="O295" s="19">
        <v>0</v>
      </c>
      <c r="P295" s="19">
        <v>0</v>
      </c>
      <c r="Q295" s="19">
        <v>12</v>
      </c>
      <c r="R295" s="19">
        <v>0</v>
      </c>
      <c r="S295" s="19">
        <v>0</v>
      </c>
      <c r="T295" s="19">
        <v>0</v>
      </c>
      <c r="U295" s="19">
        <v>0</v>
      </c>
      <c r="V295" s="19">
        <v>0</v>
      </c>
      <c r="W295" s="19">
        <v>0</v>
      </c>
      <c r="X295" s="19">
        <v>0</v>
      </c>
      <c r="Y295" s="19">
        <v>0</v>
      </c>
      <c r="Z295" s="19">
        <v>0</v>
      </c>
      <c r="AA295" s="19">
        <v>0</v>
      </c>
      <c r="AB295" s="19">
        <v>0</v>
      </c>
      <c r="AC295" s="19">
        <v>0</v>
      </c>
      <c r="AD295" s="19">
        <v>0</v>
      </c>
      <c r="AE295" s="19">
        <v>0</v>
      </c>
      <c r="AF295" s="19">
        <v>0</v>
      </c>
      <c r="AG295" s="19">
        <v>0</v>
      </c>
      <c r="AH295" s="19">
        <v>0</v>
      </c>
      <c r="AI295" s="19">
        <v>0</v>
      </c>
      <c r="AJ295" s="19">
        <v>0</v>
      </c>
      <c r="AK295" s="19">
        <v>0</v>
      </c>
      <c r="AL295" s="19">
        <v>0</v>
      </c>
      <c r="AM295" s="19">
        <v>0</v>
      </c>
      <c r="AN295" s="19">
        <v>0</v>
      </c>
      <c r="AO295" s="19">
        <v>0</v>
      </c>
      <c r="AP295" s="19">
        <v>0</v>
      </c>
      <c r="AQ295" s="19">
        <v>0</v>
      </c>
      <c r="AR295" s="19">
        <v>0</v>
      </c>
      <c r="AS295" s="19">
        <v>0</v>
      </c>
      <c r="AT295" s="19">
        <v>0</v>
      </c>
      <c r="AU295" s="19">
        <v>0</v>
      </c>
      <c r="AV295" s="19">
        <v>0</v>
      </c>
      <c r="AW295" s="19">
        <v>0</v>
      </c>
      <c r="AX295" s="19">
        <v>0</v>
      </c>
      <c r="AY295" s="19">
        <v>0</v>
      </c>
      <c r="AZ295" s="19">
        <v>0</v>
      </c>
      <c r="BA295" s="19">
        <v>0</v>
      </c>
      <c r="BB295" s="19">
        <v>0</v>
      </c>
      <c r="BC295" s="19">
        <v>0</v>
      </c>
      <c r="BD295" s="19">
        <v>0</v>
      </c>
      <c r="BE295" s="19">
        <v>0</v>
      </c>
      <c r="BF295" s="19">
        <v>0</v>
      </c>
      <c r="BG295" s="19">
        <v>0</v>
      </c>
      <c r="BH295" s="19">
        <v>0</v>
      </c>
      <c r="BI295" s="22">
        <f t="shared" si="76"/>
        <v>0</v>
      </c>
      <c r="BJ295" s="22">
        <f t="shared" si="77"/>
        <v>12</v>
      </c>
      <c r="BK295" s="22">
        <f t="shared" si="78"/>
        <v>51</v>
      </c>
      <c r="BL295" s="22">
        <f t="shared" si="79"/>
        <v>35</v>
      </c>
      <c r="BM295" s="22">
        <f t="shared" si="80"/>
        <v>16</v>
      </c>
      <c r="BN295" s="23">
        <f t="shared" si="82"/>
        <v>1</v>
      </c>
      <c r="BO295" s="23">
        <f t="shared" si="82"/>
        <v>0.25</v>
      </c>
      <c r="BP295" s="7">
        <f>VLOOKUP(A295,[1]Sheet15!B:E,4,0)</f>
        <v>21</v>
      </c>
      <c r="BQ295" s="7">
        <f>VLOOKUP(A295,[1]Sheet15!B:E,3,0)</f>
        <v>0</v>
      </c>
    </row>
    <row r="296" spans="1:69" ht="22.5" customHeight="1" x14ac:dyDescent="0.25">
      <c r="A296" s="15" t="s">
        <v>771</v>
      </c>
      <c r="B296" s="15" t="str">
        <f>VLOOKUP(A296,'[1]Master clients'!F291:W3838,17,0)</f>
        <v>Apr</v>
      </c>
      <c r="C296" s="15" t="str">
        <f>VLOOKUP(A296,'[1]Master clients'!F291:P3838,11,0)</f>
        <v>MRK</v>
      </c>
      <c r="D296" s="15" t="str">
        <f>VLOOKUP(A296,'[1]Master clients'!F:M,8,0)</f>
        <v>End User</v>
      </c>
      <c r="E296" s="16" t="s">
        <v>772</v>
      </c>
      <c r="F296" s="16" t="s">
        <v>773</v>
      </c>
      <c r="G296" s="17">
        <v>4</v>
      </c>
      <c r="H296" s="17">
        <v>0</v>
      </c>
      <c r="I296" s="18">
        <v>6</v>
      </c>
      <c r="J296" s="18">
        <v>0</v>
      </c>
      <c r="K296" s="17">
        <v>0</v>
      </c>
      <c r="L296" s="17">
        <v>0</v>
      </c>
      <c r="M296" s="17">
        <v>0</v>
      </c>
      <c r="N296" s="17">
        <v>0</v>
      </c>
      <c r="O296" s="19">
        <v>0</v>
      </c>
      <c r="P296" s="19">
        <v>0</v>
      </c>
      <c r="Q296" s="19">
        <v>4</v>
      </c>
      <c r="R296" s="19">
        <v>0</v>
      </c>
      <c r="S296" s="19">
        <v>0</v>
      </c>
      <c r="T296" s="19">
        <v>0</v>
      </c>
      <c r="U296" s="19">
        <v>0</v>
      </c>
      <c r="V296" s="19">
        <v>0</v>
      </c>
      <c r="W296" s="20">
        <v>0</v>
      </c>
      <c r="X296" s="20">
        <v>0</v>
      </c>
      <c r="Y296" s="19">
        <v>3</v>
      </c>
      <c r="Z296" s="19">
        <v>0</v>
      </c>
      <c r="AA296" s="19">
        <v>0</v>
      </c>
      <c r="AB296" s="19">
        <v>0</v>
      </c>
      <c r="AC296" s="19">
        <v>0</v>
      </c>
      <c r="AD296" s="19">
        <v>0</v>
      </c>
      <c r="AE296" s="19">
        <v>0</v>
      </c>
      <c r="AF296" s="19">
        <v>0</v>
      </c>
      <c r="AG296" s="19">
        <v>0</v>
      </c>
      <c r="AH296" s="19">
        <v>0</v>
      </c>
      <c r="AI296" s="20">
        <v>0</v>
      </c>
      <c r="AJ296" s="20">
        <v>0</v>
      </c>
      <c r="AK296" s="19">
        <v>0</v>
      </c>
      <c r="AL296" s="20">
        <v>0</v>
      </c>
      <c r="AM296" s="19">
        <v>2</v>
      </c>
      <c r="AN296" s="19">
        <v>0</v>
      </c>
      <c r="AO296" s="19">
        <v>0</v>
      </c>
      <c r="AP296" s="19">
        <v>0</v>
      </c>
      <c r="AQ296" s="19">
        <v>0</v>
      </c>
      <c r="AR296" s="19">
        <v>0</v>
      </c>
      <c r="AS296" s="19">
        <v>0</v>
      </c>
      <c r="AT296" s="19">
        <v>0</v>
      </c>
      <c r="AU296" s="19">
        <v>0</v>
      </c>
      <c r="AV296" s="19">
        <v>0</v>
      </c>
      <c r="AW296" s="20">
        <v>0</v>
      </c>
      <c r="AX296" s="20">
        <v>0</v>
      </c>
      <c r="AY296" s="20">
        <v>0</v>
      </c>
      <c r="AZ296" s="19">
        <v>0</v>
      </c>
      <c r="BA296" s="19">
        <v>0</v>
      </c>
      <c r="BB296" s="19">
        <v>0</v>
      </c>
      <c r="BC296" s="19">
        <v>0</v>
      </c>
      <c r="BD296" s="19">
        <v>0</v>
      </c>
      <c r="BE296" s="21">
        <v>0</v>
      </c>
      <c r="BF296" s="21">
        <v>0</v>
      </c>
      <c r="BG296" s="19">
        <v>0</v>
      </c>
      <c r="BH296" s="19">
        <v>0</v>
      </c>
      <c r="BI296" s="22">
        <f t="shared" si="76"/>
        <v>3</v>
      </c>
      <c r="BJ296" s="22">
        <f t="shared" si="77"/>
        <v>6</v>
      </c>
      <c r="BK296" s="22">
        <f t="shared" si="78"/>
        <v>15</v>
      </c>
      <c r="BL296" s="22">
        <f t="shared" si="79"/>
        <v>9</v>
      </c>
      <c r="BM296" s="22">
        <f t="shared" si="80"/>
        <v>6</v>
      </c>
      <c r="BN296" s="23">
        <f t="shared" si="82"/>
        <v>0.66666666666666663</v>
      </c>
      <c r="BO296" s="23">
        <f t="shared" si="82"/>
        <v>0</v>
      </c>
      <c r="BP296" s="7" t="e">
        <f>VLOOKUP(A296,[1]Sheet15!B:E,4,0)</f>
        <v>#N/A</v>
      </c>
      <c r="BQ296" s="7" t="e">
        <f>VLOOKUP(A296,[1]Sheet15!B:E,3,0)</f>
        <v>#N/A</v>
      </c>
    </row>
    <row r="297" spans="1:69" ht="22.5" customHeight="1" x14ac:dyDescent="0.25">
      <c r="A297" s="15" t="s">
        <v>774</v>
      </c>
      <c r="B297" s="15">
        <f>VLOOKUP(A297,'[1]Master clients'!F292:W3839,17,0)</f>
        <v>0</v>
      </c>
      <c r="C297" s="15" t="str">
        <f>VLOOKUP(A297,'[1]Master clients'!F292:P3839,11,0)</f>
        <v>SI-GS</v>
      </c>
      <c r="D297" s="15" t="str">
        <f>VLOOKUP(A297,'[1]Master clients'!F:M,8,0)</f>
        <v>End User</v>
      </c>
      <c r="E297" s="16" t="s">
        <v>775</v>
      </c>
      <c r="F297" s="16" t="s">
        <v>776</v>
      </c>
      <c r="G297" s="17"/>
      <c r="H297" s="17"/>
      <c r="I297" s="31">
        <v>0</v>
      </c>
      <c r="J297" s="31">
        <v>0</v>
      </c>
      <c r="K297" s="17">
        <v>0</v>
      </c>
      <c r="L297" s="17">
        <v>0</v>
      </c>
      <c r="M297" s="17">
        <v>0</v>
      </c>
      <c r="N297" s="17">
        <v>0</v>
      </c>
      <c r="O297" s="17">
        <v>0</v>
      </c>
      <c r="P297" s="17">
        <v>0</v>
      </c>
      <c r="Q297" s="17">
        <v>0</v>
      </c>
      <c r="R297" s="17">
        <v>0</v>
      </c>
      <c r="S297" s="17">
        <v>0</v>
      </c>
      <c r="T297" s="17">
        <v>0</v>
      </c>
      <c r="U297" s="17">
        <v>0</v>
      </c>
      <c r="V297" s="17">
        <v>0</v>
      </c>
      <c r="W297" s="17">
        <v>0</v>
      </c>
      <c r="X297" s="17">
        <v>0</v>
      </c>
      <c r="Y297" s="17">
        <v>0</v>
      </c>
      <c r="Z297" s="17">
        <v>0</v>
      </c>
      <c r="AA297" s="17">
        <v>0</v>
      </c>
      <c r="AB297" s="17">
        <v>0</v>
      </c>
      <c r="AC297" s="17">
        <v>0</v>
      </c>
      <c r="AD297" s="17">
        <v>0</v>
      </c>
      <c r="AE297" s="17">
        <v>0</v>
      </c>
      <c r="AF297" s="17">
        <v>0</v>
      </c>
      <c r="AG297" s="17">
        <v>0</v>
      </c>
      <c r="AH297" s="17">
        <v>0</v>
      </c>
      <c r="AI297" s="17">
        <v>0</v>
      </c>
      <c r="AJ297" s="17">
        <v>0</v>
      </c>
      <c r="AK297" s="17">
        <v>0</v>
      </c>
      <c r="AL297" s="17">
        <v>0</v>
      </c>
      <c r="AM297" s="17">
        <v>0</v>
      </c>
      <c r="AN297" s="17">
        <v>0</v>
      </c>
      <c r="AO297" s="17">
        <v>0</v>
      </c>
      <c r="AP297" s="17">
        <v>0</v>
      </c>
      <c r="AQ297" s="17">
        <v>0</v>
      </c>
      <c r="AR297" s="17">
        <v>0</v>
      </c>
      <c r="AS297" s="17">
        <v>0</v>
      </c>
      <c r="AT297" s="17">
        <v>0</v>
      </c>
      <c r="AU297" s="17">
        <v>0</v>
      </c>
      <c r="AV297" s="17">
        <v>0</v>
      </c>
      <c r="AW297" s="17">
        <v>0</v>
      </c>
      <c r="AX297" s="17">
        <v>0</v>
      </c>
      <c r="AY297" s="17">
        <v>0</v>
      </c>
      <c r="AZ297" s="17">
        <v>0</v>
      </c>
      <c r="BA297" s="17">
        <v>0</v>
      </c>
      <c r="BB297" s="17">
        <v>0</v>
      </c>
      <c r="BC297" s="17">
        <v>0</v>
      </c>
      <c r="BD297" s="17">
        <v>0</v>
      </c>
      <c r="BE297" s="17">
        <v>0</v>
      </c>
      <c r="BF297" s="17">
        <v>0</v>
      </c>
      <c r="BG297" s="17">
        <v>0</v>
      </c>
      <c r="BH297" s="17">
        <v>0</v>
      </c>
      <c r="BI297" s="22">
        <f t="shared" si="76"/>
        <v>0</v>
      </c>
      <c r="BJ297" s="22">
        <f t="shared" si="77"/>
        <v>0</v>
      </c>
      <c r="BK297" s="22">
        <f t="shared" si="78"/>
        <v>0</v>
      </c>
      <c r="BL297" s="22">
        <f t="shared" si="79"/>
        <v>0</v>
      </c>
      <c r="BM297" s="22">
        <f t="shared" si="80"/>
        <v>0</v>
      </c>
      <c r="BN297" s="23" t="e">
        <f t="shared" si="82"/>
        <v>#DIV/0!</v>
      </c>
      <c r="BO297" s="23" t="e">
        <f t="shared" si="82"/>
        <v>#DIV/0!</v>
      </c>
      <c r="BP297" s="7" t="e">
        <f>VLOOKUP(A297,[1]Sheet15!B:E,4,0)</f>
        <v>#N/A</v>
      </c>
      <c r="BQ297" s="7" t="e">
        <f>VLOOKUP(A297,[1]Sheet15!B:E,3,0)</f>
        <v>#N/A</v>
      </c>
    </row>
    <row r="298" spans="1:69" ht="22.5" customHeight="1" x14ac:dyDescent="0.25">
      <c r="A298" s="15" t="s">
        <v>777</v>
      </c>
      <c r="B298" s="15" t="e">
        <f>VLOOKUP(A298,'[1]Master clients'!F293:W3840,17,0)</f>
        <v>#N/A</v>
      </c>
      <c r="C298" s="15" t="e">
        <f>VLOOKUP(A298,'[1]Master clients'!F293:P3840,11,0)</f>
        <v>#N/A</v>
      </c>
      <c r="D298" s="15" t="str">
        <f>VLOOKUP(A298,'[1]Master clients'!F:M,8,0)</f>
        <v>End User</v>
      </c>
      <c r="E298" s="24" t="s">
        <v>778</v>
      </c>
      <c r="F298" s="25" t="s">
        <v>779</v>
      </c>
      <c r="G298" s="20">
        <v>0</v>
      </c>
      <c r="H298" s="20">
        <v>0</v>
      </c>
      <c r="I298" s="26">
        <v>19</v>
      </c>
      <c r="J298" s="26">
        <v>0</v>
      </c>
      <c r="K298" s="20">
        <v>0</v>
      </c>
      <c r="L298" s="20">
        <v>10</v>
      </c>
      <c r="M298" s="20">
        <v>0</v>
      </c>
      <c r="N298" s="20">
        <v>0</v>
      </c>
      <c r="O298" s="20">
        <v>0</v>
      </c>
      <c r="P298" s="20">
        <v>0</v>
      </c>
      <c r="Q298" s="20">
        <v>12</v>
      </c>
      <c r="R298" s="20">
        <v>0</v>
      </c>
      <c r="S298" s="20">
        <v>0</v>
      </c>
      <c r="T298" s="20">
        <v>2</v>
      </c>
      <c r="U298" s="20">
        <v>0</v>
      </c>
      <c r="V298" s="20">
        <v>0</v>
      </c>
      <c r="W298" s="20">
        <v>0</v>
      </c>
      <c r="X298" s="20">
        <v>0</v>
      </c>
      <c r="Y298" s="20">
        <v>0</v>
      </c>
      <c r="Z298" s="20">
        <v>0</v>
      </c>
      <c r="AA298" s="20">
        <v>0</v>
      </c>
      <c r="AB298" s="20">
        <v>0</v>
      </c>
      <c r="AC298" s="20">
        <v>0</v>
      </c>
      <c r="AD298" s="20">
        <v>0</v>
      </c>
      <c r="AE298" s="20">
        <v>0</v>
      </c>
      <c r="AF298" s="20">
        <v>0</v>
      </c>
      <c r="AG298" s="20">
        <v>0</v>
      </c>
      <c r="AH298" s="20">
        <v>0</v>
      </c>
      <c r="AI298" s="20">
        <v>0</v>
      </c>
      <c r="AJ298" s="20">
        <v>0</v>
      </c>
      <c r="AK298" s="20">
        <v>0</v>
      </c>
      <c r="AL298" s="20">
        <v>0</v>
      </c>
      <c r="AM298" s="20">
        <v>0</v>
      </c>
      <c r="AN298" s="20">
        <v>0</v>
      </c>
      <c r="AO298" s="20">
        <v>0</v>
      </c>
      <c r="AP298" s="20">
        <v>0</v>
      </c>
      <c r="AQ298" s="20">
        <v>0</v>
      </c>
      <c r="AR298" s="20">
        <v>0</v>
      </c>
      <c r="AS298" s="20">
        <v>0</v>
      </c>
      <c r="AT298" s="20">
        <v>0</v>
      </c>
      <c r="AU298" s="20">
        <v>0</v>
      </c>
      <c r="AV298" s="20">
        <v>0</v>
      </c>
      <c r="AW298" s="20">
        <v>0</v>
      </c>
      <c r="AX298" s="20">
        <v>0</v>
      </c>
      <c r="AY298" s="20">
        <v>0</v>
      </c>
      <c r="AZ298" s="20">
        <v>0</v>
      </c>
      <c r="BA298" s="20">
        <v>0</v>
      </c>
      <c r="BB298" s="27">
        <v>0</v>
      </c>
      <c r="BC298" s="20">
        <v>0</v>
      </c>
      <c r="BD298" s="20">
        <v>0</v>
      </c>
      <c r="BE298" s="21">
        <v>0</v>
      </c>
      <c r="BF298" s="21">
        <v>0</v>
      </c>
      <c r="BG298" s="20">
        <v>0</v>
      </c>
      <c r="BH298" s="20">
        <v>0</v>
      </c>
      <c r="BI298" s="22">
        <f t="shared" si="76"/>
        <v>12</v>
      </c>
      <c r="BJ298" s="22">
        <f t="shared" si="77"/>
        <v>12</v>
      </c>
      <c r="BK298" s="28">
        <f t="shared" si="78"/>
        <v>43</v>
      </c>
      <c r="BL298" s="22">
        <f t="shared" si="79"/>
        <v>31</v>
      </c>
      <c r="BM298" s="22">
        <f t="shared" si="80"/>
        <v>12</v>
      </c>
      <c r="BN298" s="23">
        <f t="shared" si="82"/>
        <v>0.61290322580645162</v>
      </c>
      <c r="BO298" s="23">
        <f t="shared" si="82"/>
        <v>0</v>
      </c>
      <c r="BP298" s="7">
        <f>VLOOKUP(A298,[1]Sheet15!B:E,4,0)</f>
        <v>13</v>
      </c>
      <c r="BQ298" s="7">
        <f>VLOOKUP(A298,[1]Sheet15!B:E,3,0)</f>
        <v>0</v>
      </c>
    </row>
    <row r="299" spans="1:69" ht="22.5" customHeight="1" x14ac:dyDescent="0.25">
      <c r="A299" s="15" t="s">
        <v>780</v>
      </c>
      <c r="B299" s="15" t="e">
        <f>VLOOKUP(A299,'[1]Master clients'!F294:W3841,17,0)</f>
        <v>#N/A</v>
      </c>
      <c r="C299" s="15" t="e">
        <f>VLOOKUP(A299,'[1]Master clients'!F294:P3841,11,0)</f>
        <v>#N/A</v>
      </c>
      <c r="D299" s="15" t="str">
        <f>VLOOKUP(A299,'[1]Master clients'!F:M,8,0)</f>
        <v>End User</v>
      </c>
      <c r="E299" s="16" t="s">
        <v>781</v>
      </c>
      <c r="F299" s="16" t="s">
        <v>779</v>
      </c>
      <c r="G299" s="17"/>
      <c r="H299" s="17"/>
      <c r="I299" s="18">
        <v>1</v>
      </c>
      <c r="J299" s="18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  <c r="AE299" s="17">
        <v>0</v>
      </c>
      <c r="AF299" s="17">
        <v>0</v>
      </c>
      <c r="AG299" s="17">
        <v>0</v>
      </c>
      <c r="AH299" s="17">
        <v>0</v>
      </c>
      <c r="AI299" s="17">
        <v>0</v>
      </c>
      <c r="AJ299" s="17">
        <v>0</v>
      </c>
      <c r="AK299" s="17">
        <v>0</v>
      </c>
      <c r="AL299" s="17">
        <v>0</v>
      </c>
      <c r="AM299" s="17">
        <v>0</v>
      </c>
      <c r="AN299" s="17">
        <v>0</v>
      </c>
      <c r="AO299" s="17">
        <v>0</v>
      </c>
      <c r="AP299" s="17">
        <v>0</v>
      </c>
      <c r="AQ299" s="17">
        <v>0</v>
      </c>
      <c r="AR299" s="17">
        <v>0</v>
      </c>
      <c r="AS299" s="17">
        <v>0</v>
      </c>
      <c r="AT299" s="17">
        <v>0</v>
      </c>
      <c r="AU299" s="17">
        <v>0</v>
      </c>
      <c r="AV299" s="17">
        <v>0</v>
      </c>
      <c r="AW299" s="17">
        <v>0</v>
      </c>
      <c r="AX299" s="17">
        <v>0</v>
      </c>
      <c r="AY299" s="17">
        <v>0</v>
      </c>
      <c r="AZ299" s="17">
        <v>0</v>
      </c>
      <c r="BA299" s="17">
        <v>0</v>
      </c>
      <c r="BB299" s="17">
        <v>0</v>
      </c>
      <c r="BC299" s="17">
        <v>0</v>
      </c>
      <c r="BD299" s="17">
        <v>0</v>
      </c>
      <c r="BE299" s="17">
        <v>0</v>
      </c>
      <c r="BF299" s="17">
        <v>0</v>
      </c>
      <c r="BG299" s="17">
        <v>0</v>
      </c>
      <c r="BH299" s="17">
        <v>0</v>
      </c>
      <c r="BI299" s="22">
        <f t="shared" si="76"/>
        <v>0</v>
      </c>
      <c r="BJ299" s="22">
        <f t="shared" si="77"/>
        <v>0</v>
      </c>
      <c r="BK299" s="22">
        <f t="shared" si="78"/>
        <v>1</v>
      </c>
      <c r="BL299" s="22">
        <f t="shared" si="79"/>
        <v>1</v>
      </c>
      <c r="BM299" s="22">
        <f t="shared" si="80"/>
        <v>0</v>
      </c>
      <c r="BN299" s="23">
        <f t="shared" si="82"/>
        <v>1</v>
      </c>
      <c r="BO299" s="23" t="e">
        <f t="shared" si="82"/>
        <v>#DIV/0!</v>
      </c>
      <c r="BP299" s="7">
        <f>VLOOKUP(A299,[1]Sheet15!B:E,4,0)</f>
        <v>1</v>
      </c>
      <c r="BQ299" s="7">
        <f>VLOOKUP(A299,[1]Sheet15!B:E,3,0)</f>
        <v>0</v>
      </c>
    </row>
    <row r="300" spans="1:69" ht="22.5" customHeight="1" x14ac:dyDescent="0.25">
      <c r="A300" s="15" t="s">
        <v>782</v>
      </c>
      <c r="B300" s="15">
        <f>VLOOKUP(A300,'[1]Master clients'!F295:W3842,17,0)</f>
        <v>0</v>
      </c>
      <c r="C300" s="15" t="str">
        <f>VLOOKUP(A300,'[1]Master clients'!F295:P3842,11,0)</f>
        <v>NI</v>
      </c>
      <c r="D300" s="15" t="str">
        <f>VLOOKUP(A300,'[1]Master clients'!F:M,8,0)</f>
        <v>End User</v>
      </c>
      <c r="E300" s="24" t="s">
        <v>783</v>
      </c>
      <c r="F300" s="25" t="s">
        <v>779</v>
      </c>
      <c r="G300" s="20">
        <v>0</v>
      </c>
      <c r="H300" s="20">
        <v>0</v>
      </c>
      <c r="I300" s="26">
        <v>7</v>
      </c>
      <c r="J300" s="26">
        <v>0</v>
      </c>
      <c r="K300" s="20">
        <v>18</v>
      </c>
      <c r="L300" s="20">
        <v>0</v>
      </c>
      <c r="M300" s="20">
        <v>0</v>
      </c>
      <c r="N300" s="20">
        <v>0</v>
      </c>
      <c r="O300" s="20">
        <v>12</v>
      </c>
      <c r="P300" s="20">
        <v>0</v>
      </c>
      <c r="Q300" s="20">
        <v>0</v>
      </c>
      <c r="R300" s="20">
        <v>0</v>
      </c>
      <c r="S300" s="20">
        <v>0</v>
      </c>
      <c r="T300" s="20">
        <v>0</v>
      </c>
      <c r="U300" s="20">
        <v>0</v>
      </c>
      <c r="V300" s="20">
        <v>0</v>
      </c>
      <c r="W300" s="20">
        <v>0</v>
      </c>
      <c r="X300" s="20">
        <v>0</v>
      </c>
      <c r="Y300" s="20">
        <v>0</v>
      </c>
      <c r="Z300" s="20">
        <v>0</v>
      </c>
      <c r="AA300" s="20">
        <v>0</v>
      </c>
      <c r="AB300" s="20">
        <v>0</v>
      </c>
      <c r="AC300" s="20">
        <v>0</v>
      </c>
      <c r="AD300" s="20">
        <v>0</v>
      </c>
      <c r="AE300" s="20">
        <v>0</v>
      </c>
      <c r="AF300" s="20">
        <v>0</v>
      </c>
      <c r="AG300" s="20">
        <v>0</v>
      </c>
      <c r="AH300" s="20">
        <v>0</v>
      </c>
      <c r="AI300" s="20">
        <v>0</v>
      </c>
      <c r="AJ300" s="20">
        <v>0</v>
      </c>
      <c r="AK300" s="20">
        <v>0</v>
      </c>
      <c r="AL300" s="20">
        <v>0</v>
      </c>
      <c r="AM300" s="20">
        <v>0</v>
      </c>
      <c r="AN300" s="20">
        <v>0</v>
      </c>
      <c r="AO300" s="20">
        <v>0</v>
      </c>
      <c r="AP300" s="20">
        <v>0</v>
      </c>
      <c r="AQ300" s="20">
        <v>0</v>
      </c>
      <c r="AR300" s="20">
        <v>0</v>
      </c>
      <c r="AS300" s="20">
        <v>0</v>
      </c>
      <c r="AT300" s="20">
        <v>0</v>
      </c>
      <c r="AU300" s="20">
        <v>0</v>
      </c>
      <c r="AV300" s="20">
        <v>0</v>
      </c>
      <c r="AW300" s="20">
        <v>0</v>
      </c>
      <c r="AX300" s="20">
        <v>0</v>
      </c>
      <c r="AY300" s="20">
        <v>0</v>
      </c>
      <c r="AZ300" s="20">
        <v>0</v>
      </c>
      <c r="BA300" s="20">
        <v>0</v>
      </c>
      <c r="BB300" s="27">
        <v>0</v>
      </c>
      <c r="BC300" s="20">
        <v>0</v>
      </c>
      <c r="BD300" s="20">
        <v>0</v>
      </c>
      <c r="BE300" s="21">
        <v>0</v>
      </c>
      <c r="BF300" s="21">
        <v>0</v>
      </c>
      <c r="BG300" s="20">
        <v>0</v>
      </c>
      <c r="BH300" s="20">
        <v>0</v>
      </c>
      <c r="BI300" s="22">
        <f t="shared" si="76"/>
        <v>18</v>
      </c>
      <c r="BJ300" s="22">
        <f t="shared" si="77"/>
        <v>12</v>
      </c>
      <c r="BK300" s="28">
        <f t="shared" si="78"/>
        <v>37</v>
      </c>
      <c r="BL300" s="22">
        <f t="shared" si="79"/>
        <v>25</v>
      </c>
      <c r="BM300" s="22">
        <f t="shared" si="80"/>
        <v>12</v>
      </c>
      <c r="BN300" s="23">
        <f t="shared" si="82"/>
        <v>0.28000000000000003</v>
      </c>
      <c r="BO300" s="23">
        <f t="shared" si="82"/>
        <v>0</v>
      </c>
      <c r="BP300" s="7">
        <f>VLOOKUP(A300,[1]Sheet15!B:E,4,0)</f>
        <v>7</v>
      </c>
      <c r="BQ300" s="7">
        <f>VLOOKUP(A300,[1]Sheet15!B:E,3,0)</f>
        <v>0</v>
      </c>
    </row>
    <row r="301" spans="1:69" ht="22.5" customHeight="1" x14ac:dyDescent="0.25">
      <c r="A301" s="15" t="s">
        <v>784</v>
      </c>
      <c r="B301" s="15">
        <f>VLOOKUP(A301,'[1]Master clients'!F296:W3843,17,0)</f>
        <v>0</v>
      </c>
      <c r="C301" s="15" t="str">
        <f>VLOOKUP(A301,'[1]Master clients'!F296:P3843,11,0)</f>
        <v>NI</v>
      </c>
      <c r="D301" s="15" t="str">
        <f>VLOOKUP(A301,'[1]Master clients'!F:M,8,0)</f>
        <v>End User</v>
      </c>
      <c r="E301" s="16" t="s">
        <v>785</v>
      </c>
      <c r="F301" s="16" t="s">
        <v>779</v>
      </c>
      <c r="G301" s="17"/>
      <c r="H301" s="17"/>
      <c r="I301" s="31">
        <v>1</v>
      </c>
      <c r="J301" s="31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  <c r="AE301" s="17">
        <v>0</v>
      </c>
      <c r="AF301" s="17">
        <v>0</v>
      </c>
      <c r="AG301" s="17">
        <v>0</v>
      </c>
      <c r="AH301" s="17">
        <v>0</v>
      </c>
      <c r="AI301" s="17">
        <v>0</v>
      </c>
      <c r="AJ301" s="17">
        <v>0</v>
      </c>
      <c r="AK301" s="17">
        <v>0</v>
      </c>
      <c r="AL301" s="17">
        <v>0</v>
      </c>
      <c r="AM301" s="17">
        <v>0</v>
      </c>
      <c r="AN301" s="17">
        <v>0</v>
      </c>
      <c r="AO301" s="17">
        <v>0</v>
      </c>
      <c r="AP301" s="17">
        <v>0</v>
      </c>
      <c r="AQ301" s="17">
        <v>0</v>
      </c>
      <c r="AR301" s="17">
        <v>0</v>
      </c>
      <c r="AS301" s="17">
        <v>0</v>
      </c>
      <c r="AT301" s="17">
        <v>0</v>
      </c>
      <c r="AU301" s="17">
        <v>0</v>
      </c>
      <c r="AV301" s="17">
        <v>0</v>
      </c>
      <c r="AW301" s="17">
        <v>0</v>
      </c>
      <c r="AX301" s="17">
        <v>0</v>
      </c>
      <c r="AY301" s="17">
        <v>0</v>
      </c>
      <c r="AZ301" s="17">
        <v>0</v>
      </c>
      <c r="BA301" s="17">
        <v>0</v>
      </c>
      <c r="BB301" s="17">
        <v>0</v>
      </c>
      <c r="BC301" s="17">
        <v>0</v>
      </c>
      <c r="BD301" s="17">
        <v>0</v>
      </c>
      <c r="BE301" s="17">
        <v>0</v>
      </c>
      <c r="BF301" s="17">
        <v>0</v>
      </c>
      <c r="BG301" s="17">
        <v>0</v>
      </c>
      <c r="BH301" s="17">
        <v>0</v>
      </c>
      <c r="BI301" s="22">
        <f t="shared" si="76"/>
        <v>0</v>
      </c>
      <c r="BJ301" s="22">
        <f t="shared" si="77"/>
        <v>0</v>
      </c>
      <c r="BK301" s="22">
        <f t="shared" si="78"/>
        <v>1</v>
      </c>
      <c r="BL301" s="22">
        <f t="shared" si="79"/>
        <v>1</v>
      </c>
      <c r="BM301" s="22">
        <f t="shared" si="80"/>
        <v>0</v>
      </c>
      <c r="BN301" s="23">
        <f t="shared" si="82"/>
        <v>1</v>
      </c>
      <c r="BO301" s="23" t="e">
        <f t="shared" si="82"/>
        <v>#DIV/0!</v>
      </c>
      <c r="BP301" s="7">
        <f>VLOOKUP(A301,[1]Sheet15!B:E,4,0)</f>
        <v>2</v>
      </c>
      <c r="BQ301" s="7">
        <f>VLOOKUP(A301,[1]Sheet15!B:E,3,0)</f>
        <v>0</v>
      </c>
    </row>
    <row r="302" spans="1:69" ht="22.5" customHeight="1" x14ac:dyDescent="0.25">
      <c r="A302" s="15" t="s">
        <v>786</v>
      </c>
      <c r="B302" s="15">
        <f>VLOOKUP(A302,'[1]Master clients'!F297:W3844,17,0)</f>
        <v>0</v>
      </c>
      <c r="C302" s="15" t="str">
        <f>VLOOKUP(A302,'[1]Master clients'!F297:P3844,11,0)</f>
        <v>NI</v>
      </c>
      <c r="D302" s="15" t="str">
        <f>VLOOKUP(A302,'[1]Master clients'!F:M,8,0)</f>
        <v>End User</v>
      </c>
      <c r="E302" s="16" t="s">
        <v>787</v>
      </c>
      <c r="F302" s="16" t="s">
        <v>788</v>
      </c>
      <c r="G302" s="17"/>
      <c r="H302" s="17"/>
      <c r="I302" s="31">
        <v>3</v>
      </c>
      <c r="J302" s="31">
        <v>0</v>
      </c>
      <c r="K302" s="17">
        <v>0</v>
      </c>
      <c r="L302" s="17">
        <v>0</v>
      </c>
      <c r="M302" s="17">
        <v>0</v>
      </c>
      <c r="N302" s="17">
        <v>0</v>
      </c>
      <c r="O302" s="17">
        <v>0</v>
      </c>
      <c r="P302" s="17">
        <v>0</v>
      </c>
      <c r="Q302" s="17">
        <v>0</v>
      </c>
      <c r="R302" s="17">
        <v>0</v>
      </c>
      <c r="S302" s="17">
        <v>0</v>
      </c>
      <c r="T302" s="17">
        <v>0</v>
      </c>
      <c r="U302" s="17">
        <v>0</v>
      </c>
      <c r="V302" s="17">
        <v>0</v>
      </c>
      <c r="W302" s="17">
        <v>0</v>
      </c>
      <c r="X302" s="17">
        <v>0</v>
      </c>
      <c r="Y302" s="17">
        <v>0</v>
      </c>
      <c r="Z302" s="17">
        <v>0</v>
      </c>
      <c r="AA302" s="17">
        <v>0</v>
      </c>
      <c r="AB302" s="17">
        <v>0</v>
      </c>
      <c r="AC302" s="17">
        <v>0</v>
      </c>
      <c r="AD302" s="17">
        <v>0</v>
      </c>
      <c r="AE302" s="17">
        <v>0</v>
      </c>
      <c r="AF302" s="17">
        <v>0</v>
      </c>
      <c r="AG302" s="17">
        <v>0</v>
      </c>
      <c r="AH302" s="17">
        <v>0</v>
      </c>
      <c r="AI302" s="17">
        <v>0</v>
      </c>
      <c r="AJ302" s="17">
        <v>0</v>
      </c>
      <c r="AK302" s="17">
        <v>0</v>
      </c>
      <c r="AL302" s="17">
        <v>0</v>
      </c>
      <c r="AM302" s="17">
        <v>0</v>
      </c>
      <c r="AN302" s="17">
        <v>0</v>
      </c>
      <c r="AO302" s="17">
        <v>0</v>
      </c>
      <c r="AP302" s="17">
        <v>0</v>
      </c>
      <c r="AQ302" s="17">
        <v>0</v>
      </c>
      <c r="AR302" s="17">
        <v>0</v>
      </c>
      <c r="AS302" s="17">
        <v>0</v>
      </c>
      <c r="AT302" s="17">
        <v>0</v>
      </c>
      <c r="AU302" s="17">
        <v>0</v>
      </c>
      <c r="AV302" s="17">
        <v>0</v>
      </c>
      <c r="AW302" s="17">
        <v>0</v>
      </c>
      <c r="AX302" s="17">
        <v>0</v>
      </c>
      <c r="AY302" s="17">
        <v>0</v>
      </c>
      <c r="AZ302" s="17">
        <v>0</v>
      </c>
      <c r="BA302" s="17">
        <v>0</v>
      </c>
      <c r="BB302" s="17">
        <v>0</v>
      </c>
      <c r="BC302" s="17">
        <v>0</v>
      </c>
      <c r="BD302" s="17">
        <v>0</v>
      </c>
      <c r="BE302" s="17">
        <v>0</v>
      </c>
      <c r="BF302" s="17">
        <v>0</v>
      </c>
      <c r="BG302" s="17">
        <v>0</v>
      </c>
      <c r="BH302" s="17">
        <v>0</v>
      </c>
      <c r="BI302" s="22">
        <f t="shared" si="76"/>
        <v>0</v>
      </c>
      <c r="BJ302" s="22">
        <f t="shared" si="77"/>
        <v>0</v>
      </c>
      <c r="BK302" s="22">
        <f t="shared" si="78"/>
        <v>3</v>
      </c>
      <c r="BL302" s="22">
        <f t="shared" si="79"/>
        <v>3</v>
      </c>
      <c r="BM302" s="22">
        <f t="shared" si="80"/>
        <v>0</v>
      </c>
      <c r="BN302" s="23">
        <f t="shared" si="82"/>
        <v>1</v>
      </c>
      <c r="BO302" s="23" t="e">
        <f t="shared" si="82"/>
        <v>#DIV/0!</v>
      </c>
      <c r="BP302" s="7">
        <f>VLOOKUP(A302,[1]Sheet15!B:E,4,0)</f>
        <v>3</v>
      </c>
      <c r="BQ302" s="7">
        <f>VLOOKUP(A302,[1]Sheet15!B:E,3,0)</f>
        <v>0</v>
      </c>
    </row>
    <row r="303" spans="1:69" ht="22.5" customHeight="1" x14ac:dyDescent="0.25">
      <c r="A303" s="15" t="s">
        <v>789</v>
      </c>
      <c r="B303" s="15">
        <f>VLOOKUP(A303,'[1]Master clients'!F298:W3845,17,0)</f>
        <v>0</v>
      </c>
      <c r="C303" s="15" t="str">
        <f>VLOOKUP(A303,'[1]Master clients'!F298:P3845,11,0)</f>
        <v>VA</v>
      </c>
      <c r="D303" s="15" t="str">
        <f>VLOOKUP(A303,'[1]Master clients'!F:M,8,0)</f>
        <v>End User</v>
      </c>
      <c r="E303" s="16" t="s">
        <v>790</v>
      </c>
      <c r="F303" s="16" t="s">
        <v>791</v>
      </c>
      <c r="G303" s="17"/>
      <c r="H303" s="17"/>
      <c r="I303" s="31">
        <v>6</v>
      </c>
      <c r="J303" s="31">
        <v>0</v>
      </c>
      <c r="K303" s="17">
        <v>0</v>
      </c>
      <c r="L303" s="17">
        <v>0</v>
      </c>
      <c r="M303" s="17">
        <v>0</v>
      </c>
      <c r="N303" s="17">
        <v>0</v>
      </c>
      <c r="O303" s="17">
        <v>0</v>
      </c>
      <c r="P303" s="17">
        <v>0</v>
      </c>
      <c r="Q303" s="17">
        <v>0</v>
      </c>
      <c r="R303" s="17">
        <v>0</v>
      </c>
      <c r="S303" s="17">
        <v>0</v>
      </c>
      <c r="T303" s="17">
        <v>0</v>
      </c>
      <c r="U303" s="17">
        <v>0</v>
      </c>
      <c r="V303" s="17">
        <v>0</v>
      </c>
      <c r="W303" s="17">
        <v>0</v>
      </c>
      <c r="X303" s="17">
        <v>0</v>
      </c>
      <c r="Y303" s="17">
        <v>0</v>
      </c>
      <c r="Z303" s="17">
        <v>0</v>
      </c>
      <c r="AA303" s="17">
        <v>0</v>
      </c>
      <c r="AB303" s="17">
        <v>0</v>
      </c>
      <c r="AC303" s="17">
        <v>0</v>
      </c>
      <c r="AD303" s="17">
        <v>0</v>
      </c>
      <c r="AE303" s="17">
        <v>0</v>
      </c>
      <c r="AF303" s="17">
        <v>0</v>
      </c>
      <c r="AG303" s="17">
        <v>0</v>
      </c>
      <c r="AH303" s="17">
        <v>0</v>
      </c>
      <c r="AI303" s="17">
        <v>0</v>
      </c>
      <c r="AJ303" s="17">
        <v>0</v>
      </c>
      <c r="AK303" s="17">
        <v>0</v>
      </c>
      <c r="AL303" s="17">
        <v>0</v>
      </c>
      <c r="AM303" s="17">
        <v>0</v>
      </c>
      <c r="AN303" s="17">
        <v>0</v>
      </c>
      <c r="AO303" s="17">
        <v>0</v>
      </c>
      <c r="AP303" s="17">
        <v>0</v>
      </c>
      <c r="AQ303" s="17">
        <v>0</v>
      </c>
      <c r="AR303" s="17">
        <v>0</v>
      </c>
      <c r="AS303" s="17">
        <v>0</v>
      </c>
      <c r="AT303" s="17">
        <v>0</v>
      </c>
      <c r="AU303" s="17">
        <v>0</v>
      </c>
      <c r="AV303" s="17">
        <v>0</v>
      </c>
      <c r="AW303" s="17">
        <v>0</v>
      </c>
      <c r="AX303" s="17">
        <v>0</v>
      </c>
      <c r="AY303" s="17">
        <v>0</v>
      </c>
      <c r="AZ303" s="17">
        <v>0</v>
      </c>
      <c r="BA303" s="17">
        <v>0</v>
      </c>
      <c r="BB303" s="17">
        <v>0</v>
      </c>
      <c r="BC303" s="17">
        <v>0</v>
      </c>
      <c r="BD303" s="17">
        <v>0</v>
      </c>
      <c r="BE303" s="17">
        <v>0</v>
      </c>
      <c r="BF303" s="17">
        <v>0</v>
      </c>
      <c r="BG303" s="17">
        <v>0</v>
      </c>
      <c r="BH303" s="17">
        <v>0</v>
      </c>
      <c r="BI303" s="22">
        <f t="shared" si="76"/>
        <v>0</v>
      </c>
      <c r="BJ303" s="22">
        <f t="shared" si="77"/>
        <v>0</v>
      </c>
      <c r="BK303" s="22">
        <f t="shared" si="78"/>
        <v>6</v>
      </c>
      <c r="BL303" s="22">
        <f t="shared" si="79"/>
        <v>6</v>
      </c>
      <c r="BM303" s="22">
        <f t="shared" si="80"/>
        <v>0</v>
      </c>
      <c r="BN303" s="23">
        <f t="shared" si="82"/>
        <v>1</v>
      </c>
      <c r="BO303" s="23" t="e">
        <f t="shared" si="82"/>
        <v>#DIV/0!</v>
      </c>
      <c r="BP303" s="7">
        <f>VLOOKUP(A303,[1]Sheet15!B:E,4,0)</f>
        <v>6</v>
      </c>
      <c r="BQ303" s="7">
        <f>VLOOKUP(A303,[1]Sheet15!B:E,3,0)</f>
        <v>0</v>
      </c>
    </row>
    <row r="304" spans="1:69" ht="22.5" customHeight="1" x14ac:dyDescent="0.25">
      <c r="A304" s="15" t="s">
        <v>792</v>
      </c>
      <c r="B304" s="15">
        <f>VLOOKUP(A304,'[1]Master clients'!F299:W3846,17,0)</f>
        <v>0</v>
      </c>
      <c r="C304" s="15" t="str">
        <f>VLOOKUP(A304,'[1]Master clients'!F299:P3846,11,0)</f>
        <v>NI</v>
      </c>
      <c r="D304" s="15" t="str">
        <f>VLOOKUP(A304,'[1]Master clients'!F:M,8,0)</f>
        <v>End User</v>
      </c>
      <c r="E304" s="16" t="s">
        <v>793</v>
      </c>
      <c r="F304" s="16" t="s">
        <v>794</v>
      </c>
      <c r="G304" s="17"/>
      <c r="H304" s="17"/>
      <c r="I304" s="31">
        <v>2</v>
      </c>
      <c r="J304" s="31">
        <v>0</v>
      </c>
      <c r="K304" s="17">
        <v>0</v>
      </c>
      <c r="L304" s="17">
        <v>0</v>
      </c>
      <c r="M304" s="17">
        <v>0</v>
      </c>
      <c r="N304" s="17">
        <v>0</v>
      </c>
      <c r="O304" s="17">
        <v>0</v>
      </c>
      <c r="P304" s="17">
        <v>0</v>
      </c>
      <c r="Q304" s="17">
        <v>0</v>
      </c>
      <c r="R304" s="17">
        <v>0</v>
      </c>
      <c r="S304" s="17">
        <v>0</v>
      </c>
      <c r="T304" s="17">
        <v>0</v>
      </c>
      <c r="U304" s="17">
        <v>0</v>
      </c>
      <c r="V304" s="17">
        <v>0</v>
      </c>
      <c r="W304" s="17">
        <v>0</v>
      </c>
      <c r="X304" s="17">
        <v>0</v>
      </c>
      <c r="Y304" s="17">
        <v>0</v>
      </c>
      <c r="Z304" s="17">
        <v>0</v>
      </c>
      <c r="AA304" s="17">
        <v>0</v>
      </c>
      <c r="AB304" s="17">
        <v>0</v>
      </c>
      <c r="AC304" s="17">
        <v>0</v>
      </c>
      <c r="AD304" s="17">
        <v>0</v>
      </c>
      <c r="AE304" s="17">
        <v>0</v>
      </c>
      <c r="AF304" s="17">
        <v>0</v>
      </c>
      <c r="AG304" s="17">
        <v>0</v>
      </c>
      <c r="AH304" s="17">
        <v>0</v>
      </c>
      <c r="AI304" s="17">
        <v>0</v>
      </c>
      <c r="AJ304" s="17">
        <v>0</v>
      </c>
      <c r="AK304" s="17">
        <v>0</v>
      </c>
      <c r="AL304" s="17">
        <v>0</v>
      </c>
      <c r="AM304" s="17">
        <v>0</v>
      </c>
      <c r="AN304" s="17">
        <v>0</v>
      </c>
      <c r="AO304" s="17">
        <v>0</v>
      </c>
      <c r="AP304" s="17">
        <v>0</v>
      </c>
      <c r="AQ304" s="17">
        <v>0</v>
      </c>
      <c r="AR304" s="17">
        <v>0</v>
      </c>
      <c r="AS304" s="17">
        <v>0</v>
      </c>
      <c r="AT304" s="17">
        <v>0</v>
      </c>
      <c r="AU304" s="17">
        <v>0</v>
      </c>
      <c r="AV304" s="17">
        <v>0</v>
      </c>
      <c r="AW304" s="17">
        <v>0</v>
      </c>
      <c r="AX304" s="17">
        <v>0</v>
      </c>
      <c r="AY304" s="17">
        <v>0</v>
      </c>
      <c r="AZ304" s="17">
        <v>0</v>
      </c>
      <c r="BA304" s="17">
        <v>0</v>
      </c>
      <c r="BB304" s="17">
        <v>0</v>
      </c>
      <c r="BC304" s="17">
        <v>0</v>
      </c>
      <c r="BD304" s="17">
        <v>0</v>
      </c>
      <c r="BE304" s="17">
        <v>0</v>
      </c>
      <c r="BF304" s="17">
        <v>0</v>
      </c>
      <c r="BG304" s="17">
        <v>0</v>
      </c>
      <c r="BH304" s="17">
        <v>0</v>
      </c>
      <c r="BI304" s="22">
        <f t="shared" si="76"/>
        <v>0</v>
      </c>
      <c r="BJ304" s="22">
        <f t="shared" si="77"/>
        <v>0</v>
      </c>
      <c r="BK304" s="22">
        <f t="shared" si="78"/>
        <v>2</v>
      </c>
      <c r="BL304" s="22">
        <f t="shared" si="79"/>
        <v>2</v>
      </c>
      <c r="BM304" s="22">
        <f t="shared" si="80"/>
        <v>0</v>
      </c>
      <c r="BN304" s="23">
        <f t="shared" si="82"/>
        <v>1</v>
      </c>
      <c r="BO304" s="23" t="e">
        <f t="shared" si="82"/>
        <v>#DIV/0!</v>
      </c>
      <c r="BP304" s="7">
        <f>VLOOKUP(A304,[1]Sheet15!B:E,4,0)</f>
        <v>2</v>
      </c>
      <c r="BQ304" s="7">
        <f>VLOOKUP(A304,[1]Sheet15!B:E,3,0)</f>
        <v>0</v>
      </c>
    </row>
    <row r="305" spans="1:69" ht="22.5" customHeight="1" x14ac:dyDescent="0.25">
      <c r="A305" s="15" t="s">
        <v>795</v>
      </c>
      <c r="B305" s="15">
        <f>VLOOKUP(A305,'[1]Master clients'!F300:W3847,17,0)</f>
        <v>0</v>
      </c>
      <c r="C305" s="15" t="str">
        <f>VLOOKUP(A305,'[1]Master clients'!F300:P3847,11,0)</f>
        <v>NI</v>
      </c>
      <c r="D305" s="15" t="str">
        <f>VLOOKUP(A305,'[1]Master clients'!F:M,8,0)</f>
        <v>End User</v>
      </c>
      <c r="E305" s="24" t="s">
        <v>796</v>
      </c>
      <c r="F305" s="25" t="s">
        <v>791</v>
      </c>
      <c r="G305" s="20"/>
      <c r="H305" s="20"/>
      <c r="I305" s="26">
        <v>3</v>
      </c>
      <c r="J305" s="26">
        <v>0</v>
      </c>
      <c r="K305" s="20">
        <v>0</v>
      </c>
      <c r="L305" s="20">
        <v>0</v>
      </c>
      <c r="M305" s="20">
        <v>0</v>
      </c>
      <c r="N305" s="20">
        <v>0</v>
      </c>
      <c r="O305" s="20">
        <v>0</v>
      </c>
      <c r="P305" s="20">
        <v>0</v>
      </c>
      <c r="Q305" s="20">
        <v>0</v>
      </c>
      <c r="R305" s="20">
        <v>0</v>
      </c>
      <c r="S305" s="20">
        <v>0</v>
      </c>
      <c r="T305" s="20">
        <v>0</v>
      </c>
      <c r="U305" s="20">
        <v>0</v>
      </c>
      <c r="V305" s="20">
        <v>0</v>
      </c>
      <c r="W305" s="20">
        <v>0</v>
      </c>
      <c r="X305" s="20">
        <v>0</v>
      </c>
      <c r="Y305" s="20">
        <v>0</v>
      </c>
      <c r="Z305" s="20">
        <v>0</v>
      </c>
      <c r="AA305" s="20">
        <v>0</v>
      </c>
      <c r="AB305" s="20">
        <v>0</v>
      </c>
      <c r="AC305" s="20">
        <v>0</v>
      </c>
      <c r="AD305" s="20">
        <v>0</v>
      </c>
      <c r="AE305" s="20">
        <v>0</v>
      </c>
      <c r="AF305" s="20">
        <v>0</v>
      </c>
      <c r="AG305" s="20">
        <v>0</v>
      </c>
      <c r="AH305" s="20">
        <v>0</v>
      </c>
      <c r="AI305" s="20">
        <v>0</v>
      </c>
      <c r="AJ305" s="20">
        <v>0</v>
      </c>
      <c r="AK305" s="20">
        <v>0</v>
      </c>
      <c r="AL305" s="20">
        <v>0</v>
      </c>
      <c r="AM305" s="20">
        <v>0</v>
      </c>
      <c r="AN305" s="20">
        <v>0</v>
      </c>
      <c r="AO305" s="20">
        <v>0</v>
      </c>
      <c r="AP305" s="20">
        <v>0</v>
      </c>
      <c r="AQ305" s="20">
        <v>0</v>
      </c>
      <c r="AR305" s="20">
        <v>0</v>
      </c>
      <c r="AS305" s="20">
        <v>0</v>
      </c>
      <c r="AT305" s="20">
        <v>0</v>
      </c>
      <c r="AU305" s="20">
        <v>0</v>
      </c>
      <c r="AV305" s="20">
        <v>0</v>
      </c>
      <c r="AW305" s="20">
        <v>0</v>
      </c>
      <c r="AX305" s="20">
        <v>0</v>
      </c>
      <c r="AY305" s="20">
        <v>0</v>
      </c>
      <c r="AZ305" s="20">
        <v>0</v>
      </c>
      <c r="BA305" s="20">
        <v>0</v>
      </c>
      <c r="BB305" s="27">
        <v>0</v>
      </c>
      <c r="BC305" s="20">
        <v>0</v>
      </c>
      <c r="BD305" s="20">
        <v>0</v>
      </c>
      <c r="BE305" s="21">
        <v>0</v>
      </c>
      <c r="BF305" s="21">
        <v>0</v>
      </c>
      <c r="BG305" s="20">
        <v>0</v>
      </c>
      <c r="BH305" s="20">
        <v>0</v>
      </c>
      <c r="BI305" s="22">
        <f t="shared" si="76"/>
        <v>0</v>
      </c>
      <c r="BJ305" s="22">
        <f t="shared" si="77"/>
        <v>0</v>
      </c>
      <c r="BK305" s="28">
        <f t="shared" si="78"/>
        <v>3</v>
      </c>
      <c r="BL305" s="22">
        <f t="shared" si="79"/>
        <v>3</v>
      </c>
      <c r="BM305" s="22">
        <f t="shared" si="80"/>
        <v>0</v>
      </c>
      <c r="BN305" s="23">
        <f t="shared" si="82"/>
        <v>1</v>
      </c>
      <c r="BO305" s="23" t="e">
        <f t="shared" si="82"/>
        <v>#DIV/0!</v>
      </c>
      <c r="BP305" s="7">
        <f>VLOOKUP(A305,[1]Sheet15!B:E,4,0)</f>
        <v>3</v>
      </c>
      <c r="BQ305" s="7">
        <f>VLOOKUP(A305,[1]Sheet15!B:E,3,0)</f>
        <v>0</v>
      </c>
    </row>
    <row r="306" spans="1:69" ht="22.5" customHeight="1" x14ac:dyDescent="0.25">
      <c r="A306" s="15" t="s">
        <v>797</v>
      </c>
      <c r="B306" s="15" t="e">
        <f>VLOOKUP(A306,'[1]Master clients'!F301:W3848,17,0)</f>
        <v>#N/A</v>
      </c>
      <c r="C306" s="15" t="e">
        <f>VLOOKUP(A306,'[1]Master clients'!F301:P3848,11,0)</f>
        <v>#N/A</v>
      </c>
      <c r="D306" s="15" t="str">
        <f>VLOOKUP(A306,'[1]Master clients'!F:M,8,0)</f>
        <v>End User</v>
      </c>
      <c r="E306" s="16" t="s">
        <v>798</v>
      </c>
      <c r="F306" s="16" t="s">
        <v>799</v>
      </c>
      <c r="G306" s="17"/>
      <c r="H306" s="17"/>
      <c r="I306" s="31">
        <v>0</v>
      </c>
      <c r="J306" s="31">
        <v>0</v>
      </c>
      <c r="K306" s="17">
        <v>0</v>
      </c>
      <c r="L306" s="17">
        <v>0</v>
      </c>
      <c r="M306" s="17">
        <v>0</v>
      </c>
      <c r="N306" s="17">
        <v>0</v>
      </c>
      <c r="O306" s="17">
        <v>0</v>
      </c>
      <c r="P306" s="17">
        <v>0</v>
      </c>
      <c r="Q306" s="17">
        <v>0</v>
      </c>
      <c r="R306" s="17">
        <v>0</v>
      </c>
      <c r="S306" s="17">
        <v>0</v>
      </c>
      <c r="T306" s="17">
        <v>0</v>
      </c>
      <c r="U306" s="17">
        <v>0</v>
      </c>
      <c r="V306" s="17">
        <v>0</v>
      </c>
      <c r="W306" s="17">
        <v>0</v>
      </c>
      <c r="X306" s="17">
        <v>0</v>
      </c>
      <c r="Y306" s="17">
        <v>0</v>
      </c>
      <c r="Z306" s="17">
        <v>0</v>
      </c>
      <c r="AA306" s="17">
        <v>0</v>
      </c>
      <c r="AB306" s="17">
        <v>0</v>
      </c>
      <c r="AC306" s="17">
        <v>0</v>
      </c>
      <c r="AD306" s="17">
        <v>0</v>
      </c>
      <c r="AE306" s="17">
        <v>0</v>
      </c>
      <c r="AF306" s="17">
        <v>0</v>
      </c>
      <c r="AG306" s="17">
        <v>0</v>
      </c>
      <c r="AH306" s="17">
        <v>0</v>
      </c>
      <c r="AI306" s="17">
        <v>0</v>
      </c>
      <c r="AJ306" s="17">
        <v>0</v>
      </c>
      <c r="AK306" s="17">
        <v>0</v>
      </c>
      <c r="AL306" s="17">
        <v>0</v>
      </c>
      <c r="AM306" s="17">
        <v>0</v>
      </c>
      <c r="AN306" s="17">
        <v>0</v>
      </c>
      <c r="AO306" s="17">
        <v>0</v>
      </c>
      <c r="AP306" s="17">
        <v>0</v>
      </c>
      <c r="AQ306" s="17">
        <v>0</v>
      </c>
      <c r="AR306" s="17">
        <v>0</v>
      </c>
      <c r="AS306" s="17">
        <v>0</v>
      </c>
      <c r="AT306" s="17">
        <v>0</v>
      </c>
      <c r="AU306" s="17">
        <v>0</v>
      </c>
      <c r="AV306" s="17">
        <v>0</v>
      </c>
      <c r="AW306" s="17">
        <v>0</v>
      </c>
      <c r="AX306" s="17">
        <v>0</v>
      </c>
      <c r="AY306" s="17">
        <v>0</v>
      </c>
      <c r="AZ306" s="17">
        <v>0</v>
      </c>
      <c r="BA306" s="17">
        <v>0</v>
      </c>
      <c r="BB306" s="17">
        <v>0</v>
      </c>
      <c r="BC306" s="17">
        <v>0</v>
      </c>
      <c r="BD306" s="17">
        <v>0</v>
      </c>
      <c r="BE306" s="17">
        <v>0</v>
      </c>
      <c r="BF306" s="17">
        <v>0</v>
      </c>
      <c r="BG306" s="17">
        <v>0</v>
      </c>
      <c r="BH306" s="17">
        <v>0</v>
      </c>
      <c r="BI306" s="22">
        <f t="shared" si="76"/>
        <v>0</v>
      </c>
      <c r="BJ306" s="22">
        <f t="shared" si="77"/>
        <v>0</v>
      </c>
      <c r="BK306" s="22">
        <f t="shared" si="78"/>
        <v>0</v>
      </c>
      <c r="BL306" s="22">
        <f t="shared" si="79"/>
        <v>0</v>
      </c>
      <c r="BM306" s="22">
        <f t="shared" si="80"/>
        <v>0</v>
      </c>
      <c r="BN306" s="23" t="e">
        <f t="shared" si="82"/>
        <v>#DIV/0!</v>
      </c>
      <c r="BO306" s="23" t="e">
        <f t="shared" si="82"/>
        <v>#DIV/0!</v>
      </c>
      <c r="BP306" s="7" t="e">
        <f>VLOOKUP(A306,[1]Sheet15!B:E,4,0)</f>
        <v>#N/A</v>
      </c>
      <c r="BQ306" s="7" t="e">
        <f>VLOOKUP(A306,[1]Sheet15!B:E,3,0)</f>
        <v>#N/A</v>
      </c>
    </row>
    <row r="307" spans="1:69" ht="22.5" customHeight="1" x14ac:dyDescent="0.25">
      <c r="A307" s="38" t="s">
        <v>800</v>
      </c>
      <c r="B307" s="15" t="str">
        <f>VLOOKUP(A307,'[1]Master clients'!F302:W3849,17,0)</f>
        <v>Mar</v>
      </c>
      <c r="C307" s="15" t="str">
        <f>VLOOKUP(A307,'[1]Master clients'!F302:P3849,11,0)</f>
        <v>NI</v>
      </c>
      <c r="D307" s="15" t="str">
        <f>VLOOKUP(A307,'[1]Master clients'!F:M,8,0)</f>
        <v>End User</v>
      </c>
      <c r="E307" s="39" t="s">
        <v>801</v>
      </c>
      <c r="F307" s="16" t="s">
        <v>799</v>
      </c>
      <c r="G307" s="17"/>
      <c r="H307" s="17"/>
      <c r="I307" s="31">
        <v>0</v>
      </c>
      <c r="J307" s="31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  <c r="AE307" s="17">
        <v>0</v>
      </c>
      <c r="AF307" s="17">
        <v>0</v>
      </c>
      <c r="AG307" s="17">
        <v>0</v>
      </c>
      <c r="AH307" s="17">
        <v>0</v>
      </c>
      <c r="AI307" s="17">
        <v>0</v>
      </c>
      <c r="AJ307" s="17">
        <v>0</v>
      </c>
      <c r="AK307" s="17">
        <v>0</v>
      </c>
      <c r="AL307" s="17">
        <v>0</v>
      </c>
      <c r="AM307" s="17">
        <v>0</v>
      </c>
      <c r="AN307" s="17">
        <v>0</v>
      </c>
      <c r="AO307" s="17">
        <v>0</v>
      </c>
      <c r="AP307" s="17">
        <v>0</v>
      </c>
      <c r="AQ307" s="17">
        <v>0</v>
      </c>
      <c r="AR307" s="17">
        <v>0</v>
      </c>
      <c r="AS307" s="17">
        <v>0</v>
      </c>
      <c r="AT307" s="17">
        <v>0</v>
      </c>
      <c r="AU307" s="17">
        <v>0</v>
      </c>
      <c r="AV307" s="17">
        <v>0</v>
      </c>
      <c r="AW307" s="17">
        <v>0</v>
      </c>
      <c r="AX307" s="17">
        <v>0</v>
      </c>
      <c r="AY307" s="17">
        <v>0</v>
      </c>
      <c r="AZ307" s="17">
        <v>0</v>
      </c>
      <c r="BA307" s="17">
        <v>0</v>
      </c>
      <c r="BB307" s="17">
        <v>0</v>
      </c>
      <c r="BC307" s="17">
        <v>0</v>
      </c>
      <c r="BD307" s="17">
        <v>0</v>
      </c>
      <c r="BE307" s="17">
        <v>0</v>
      </c>
      <c r="BF307" s="17">
        <v>0</v>
      </c>
      <c r="BG307" s="17">
        <v>0</v>
      </c>
      <c r="BH307" s="17">
        <v>0</v>
      </c>
      <c r="BI307" s="22">
        <f t="shared" si="76"/>
        <v>0</v>
      </c>
      <c r="BJ307" s="22">
        <f t="shared" si="77"/>
        <v>0</v>
      </c>
      <c r="BK307" s="22">
        <f t="shared" si="78"/>
        <v>0</v>
      </c>
      <c r="BL307" s="22">
        <f t="shared" si="79"/>
        <v>0</v>
      </c>
      <c r="BM307" s="22">
        <f t="shared" si="80"/>
        <v>0</v>
      </c>
      <c r="BN307" s="23" t="e">
        <f t="shared" si="82"/>
        <v>#DIV/0!</v>
      </c>
      <c r="BO307" s="23" t="e">
        <f t="shared" si="82"/>
        <v>#DIV/0!</v>
      </c>
      <c r="BP307" s="7" t="e">
        <f>VLOOKUP(A307,[1]Sheet15!B:E,4,0)</f>
        <v>#N/A</v>
      </c>
      <c r="BQ307" s="7" t="e">
        <f>VLOOKUP(A307,[1]Sheet15!B:E,3,0)</f>
        <v>#N/A</v>
      </c>
    </row>
    <row r="308" spans="1:69" ht="22.5" customHeight="1" x14ac:dyDescent="0.25">
      <c r="A308" s="15" t="s">
        <v>802</v>
      </c>
      <c r="B308" s="15" t="e">
        <f>VLOOKUP(A308,'[1]Master clients'!F303:W3850,17,0)</f>
        <v>#N/A</v>
      </c>
      <c r="C308" s="15" t="e">
        <f>VLOOKUP(A308,'[1]Master clients'!F303:P3850,11,0)</f>
        <v>#N/A</v>
      </c>
      <c r="D308" s="15" t="str">
        <f>VLOOKUP(A308,'[1]Master clients'!F:M,8,0)</f>
        <v>End User</v>
      </c>
      <c r="E308" s="16" t="s">
        <v>803</v>
      </c>
      <c r="F308" s="16" t="s">
        <v>799</v>
      </c>
      <c r="G308" s="17"/>
      <c r="H308" s="17"/>
      <c r="I308" s="18">
        <v>3</v>
      </c>
      <c r="J308" s="18">
        <v>0</v>
      </c>
      <c r="K308" s="17">
        <v>7</v>
      </c>
      <c r="L308" s="17">
        <v>0</v>
      </c>
      <c r="M308" s="17">
        <v>0</v>
      </c>
      <c r="N308" s="17">
        <v>0</v>
      </c>
      <c r="O308" s="17">
        <v>0</v>
      </c>
      <c r="P308" s="17">
        <v>0</v>
      </c>
      <c r="Q308" s="17">
        <v>0</v>
      </c>
      <c r="R308" s="17">
        <v>0</v>
      </c>
      <c r="S308" s="17">
        <v>0</v>
      </c>
      <c r="T308" s="17">
        <v>0</v>
      </c>
      <c r="U308" s="17">
        <v>0</v>
      </c>
      <c r="V308" s="17">
        <v>0</v>
      </c>
      <c r="W308" s="17">
        <v>0</v>
      </c>
      <c r="X308" s="17">
        <v>0</v>
      </c>
      <c r="Y308" s="17">
        <v>0</v>
      </c>
      <c r="Z308" s="17">
        <v>0</v>
      </c>
      <c r="AA308" s="17">
        <v>0</v>
      </c>
      <c r="AB308" s="17">
        <v>0</v>
      </c>
      <c r="AC308" s="17">
        <v>0</v>
      </c>
      <c r="AD308" s="17">
        <v>0</v>
      </c>
      <c r="AE308" s="17">
        <v>0</v>
      </c>
      <c r="AF308" s="17">
        <v>0</v>
      </c>
      <c r="AG308" s="17">
        <v>0</v>
      </c>
      <c r="AH308" s="17">
        <v>0</v>
      </c>
      <c r="AI308" s="17">
        <v>0</v>
      </c>
      <c r="AJ308" s="17">
        <v>0</v>
      </c>
      <c r="AK308" s="17">
        <v>4</v>
      </c>
      <c r="AL308" s="17">
        <v>0</v>
      </c>
      <c r="AM308" s="17">
        <v>0</v>
      </c>
      <c r="AN308" s="17">
        <v>0</v>
      </c>
      <c r="AO308" s="17">
        <v>0</v>
      </c>
      <c r="AP308" s="17">
        <v>0</v>
      </c>
      <c r="AQ308" s="17">
        <v>0</v>
      </c>
      <c r="AR308" s="17">
        <v>0</v>
      </c>
      <c r="AS308" s="17">
        <v>0</v>
      </c>
      <c r="AT308" s="17">
        <v>0</v>
      </c>
      <c r="AU308" s="17">
        <v>0</v>
      </c>
      <c r="AV308" s="17">
        <v>0</v>
      </c>
      <c r="AW308" s="17">
        <v>0</v>
      </c>
      <c r="AX308" s="17">
        <v>0</v>
      </c>
      <c r="AY308" s="17">
        <v>0</v>
      </c>
      <c r="AZ308" s="17">
        <v>0</v>
      </c>
      <c r="BA308" s="17">
        <v>0</v>
      </c>
      <c r="BB308" s="17">
        <v>0</v>
      </c>
      <c r="BC308" s="17">
        <v>0</v>
      </c>
      <c r="BD308" s="17">
        <v>0</v>
      </c>
      <c r="BE308" s="17">
        <v>0</v>
      </c>
      <c r="BF308" s="17">
        <v>0</v>
      </c>
      <c r="BG308" s="17">
        <v>0</v>
      </c>
      <c r="BH308" s="17">
        <v>0</v>
      </c>
      <c r="BI308" s="22">
        <f t="shared" si="76"/>
        <v>11</v>
      </c>
      <c r="BJ308" s="22">
        <f t="shared" si="77"/>
        <v>0</v>
      </c>
      <c r="BK308" s="22">
        <f t="shared" si="78"/>
        <v>14</v>
      </c>
      <c r="BL308" s="22">
        <f t="shared" si="79"/>
        <v>14</v>
      </c>
      <c r="BM308" s="22">
        <f t="shared" si="80"/>
        <v>0</v>
      </c>
      <c r="BN308" s="23">
        <f t="shared" si="82"/>
        <v>0.21428571428571427</v>
      </c>
      <c r="BO308" s="23" t="e">
        <f t="shared" si="82"/>
        <v>#DIV/0!</v>
      </c>
      <c r="BP308" s="7">
        <f>VLOOKUP(A308,[1]Sheet15!B:E,4,0)</f>
        <v>3</v>
      </c>
      <c r="BQ308" s="7">
        <f>VLOOKUP(A308,[1]Sheet15!B:E,3,0)</f>
        <v>0</v>
      </c>
    </row>
    <row r="309" spans="1:69" ht="22.5" customHeight="1" x14ac:dyDescent="0.25">
      <c r="A309" s="15" t="s">
        <v>804</v>
      </c>
      <c r="B309" s="15" t="str">
        <f>VLOOKUP(A309,'[1]Master clients'!F304:W3851,17,0)</f>
        <v>Apr</v>
      </c>
      <c r="C309" s="15" t="str">
        <f>VLOOKUP(A309,'[1]Master clients'!F304:P3851,11,0)</f>
        <v>NI</v>
      </c>
      <c r="D309" s="15" t="str">
        <f>VLOOKUP(A309,'[1]Master clients'!F:M,8,0)</f>
        <v>End User</v>
      </c>
      <c r="E309" s="24" t="s">
        <v>805</v>
      </c>
      <c r="F309" s="25" t="s">
        <v>799</v>
      </c>
      <c r="G309" s="20">
        <v>0</v>
      </c>
      <c r="H309" s="20">
        <v>0</v>
      </c>
      <c r="I309" s="26">
        <v>6</v>
      </c>
      <c r="J309" s="26">
        <v>0</v>
      </c>
      <c r="K309" s="20">
        <v>0</v>
      </c>
      <c r="L309" s="20">
        <v>0</v>
      </c>
      <c r="M309" s="20">
        <v>0</v>
      </c>
      <c r="N309" s="20">
        <v>5</v>
      </c>
      <c r="O309" s="20">
        <v>0</v>
      </c>
      <c r="P309" s="20">
        <v>0</v>
      </c>
      <c r="Q309" s="20">
        <v>0</v>
      </c>
      <c r="R309" s="20">
        <v>0</v>
      </c>
      <c r="S309" s="20">
        <v>0</v>
      </c>
      <c r="T309" s="20">
        <v>0</v>
      </c>
      <c r="U309" s="20">
        <v>0</v>
      </c>
      <c r="V309" s="20">
        <v>0</v>
      </c>
      <c r="W309" s="20">
        <v>0</v>
      </c>
      <c r="X309" s="20">
        <v>0</v>
      </c>
      <c r="Y309" s="20">
        <v>0</v>
      </c>
      <c r="Z309" s="20">
        <v>0</v>
      </c>
      <c r="AA309" s="20">
        <v>0</v>
      </c>
      <c r="AB309" s="20">
        <v>0</v>
      </c>
      <c r="AC309" s="20">
        <v>0</v>
      </c>
      <c r="AD309" s="20">
        <v>0</v>
      </c>
      <c r="AE309" s="20">
        <v>0</v>
      </c>
      <c r="AF309" s="20">
        <v>0</v>
      </c>
      <c r="AG309" s="20">
        <v>0</v>
      </c>
      <c r="AH309" s="20">
        <v>0</v>
      </c>
      <c r="AI309" s="20">
        <v>0</v>
      </c>
      <c r="AJ309" s="20">
        <v>0</v>
      </c>
      <c r="AK309" s="20">
        <v>0</v>
      </c>
      <c r="AL309" s="20">
        <v>0</v>
      </c>
      <c r="AM309" s="20">
        <v>0</v>
      </c>
      <c r="AN309" s="20">
        <v>0</v>
      </c>
      <c r="AO309" s="20">
        <v>0</v>
      </c>
      <c r="AP309" s="20">
        <v>0</v>
      </c>
      <c r="AQ309" s="20">
        <v>0</v>
      </c>
      <c r="AR309" s="20">
        <v>0</v>
      </c>
      <c r="AS309" s="20">
        <v>0</v>
      </c>
      <c r="AT309" s="20">
        <v>0</v>
      </c>
      <c r="AU309" s="20">
        <v>0</v>
      </c>
      <c r="AV309" s="20">
        <v>0</v>
      </c>
      <c r="AW309" s="20">
        <v>0</v>
      </c>
      <c r="AX309" s="20">
        <v>0</v>
      </c>
      <c r="AY309" s="20">
        <v>0</v>
      </c>
      <c r="AZ309" s="20">
        <v>6</v>
      </c>
      <c r="BA309" s="20">
        <v>0</v>
      </c>
      <c r="BB309" s="27">
        <v>0</v>
      </c>
      <c r="BC309" s="20">
        <v>0</v>
      </c>
      <c r="BD309" s="20">
        <v>0</v>
      </c>
      <c r="BE309" s="21">
        <v>0</v>
      </c>
      <c r="BF309" s="21">
        <v>0</v>
      </c>
      <c r="BG309" s="20">
        <v>0</v>
      </c>
      <c r="BH309" s="20">
        <v>0</v>
      </c>
      <c r="BI309" s="22">
        <f t="shared" si="76"/>
        <v>6</v>
      </c>
      <c r="BJ309" s="22">
        <f t="shared" si="77"/>
        <v>5</v>
      </c>
      <c r="BK309" s="28">
        <f t="shared" si="78"/>
        <v>17</v>
      </c>
      <c r="BL309" s="22">
        <f t="shared" si="79"/>
        <v>12</v>
      </c>
      <c r="BM309" s="22">
        <f t="shared" si="80"/>
        <v>5</v>
      </c>
      <c r="BN309" s="23">
        <f t="shared" ref="BN309:BO324" si="83">I309/BL309</f>
        <v>0.5</v>
      </c>
      <c r="BO309" s="23">
        <f t="shared" si="83"/>
        <v>0</v>
      </c>
      <c r="BP309" s="7">
        <f>VLOOKUP(A309,[1]Sheet15!B:E,4,0)</f>
        <v>4</v>
      </c>
      <c r="BQ309" s="7">
        <f>VLOOKUP(A309,[1]Sheet15!B:E,3,0)</f>
        <v>0</v>
      </c>
    </row>
    <row r="310" spans="1:69" ht="22.5" customHeight="1" x14ac:dyDescent="0.25">
      <c r="A310" s="15" t="s">
        <v>806</v>
      </c>
      <c r="B310" s="15">
        <f>VLOOKUP(A310,'[1]Master clients'!F305:W3852,17,0)</f>
        <v>0</v>
      </c>
      <c r="C310" s="15" t="str">
        <f>VLOOKUP(A310,'[1]Master clients'!F305:P3852,11,0)</f>
        <v>NI</v>
      </c>
      <c r="D310" s="15" t="str">
        <f>VLOOKUP(A310,'[1]Master clients'!F:M,8,0)</f>
        <v>End User</v>
      </c>
      <c r="E310" s="16" t="s">
        <v>807</v>
      </c>
      <c r="F310" s="16" t="s">
        <v>808</v>
      </c>
      <c r="G310" s="17"/>
      <c r="H310" s="17"/>
      <c r="I310" s="26">
        <v>4</v>
      </c>
      <c r="J310" s="31">
        <v>0</v>
      </c>
      <c r="K310" s="17">
        <v>0</v>
      </c>
      <c r="L310" s="17">
        <v>0</v>
      </c>
      <c r="M310" s="17">
        <v>0</v>
      </c>
      <c r="N310" s="17">
        <v>0</v>
      </c>
      <c r="O310" s="17">
        <v>0</v>
      </c>
      <c r="P310" s="17">
        <v>0</v>
      </c>
      <c r="Q310" s="17">
        <v>0</v>
      </c>
      <c r="R310" s="17">
        <v>0</v>
      </c>
      <c r="S310" s="17">
        <v>0</v>
      </c>
      <c r="T310" s="17">
        <v>0</v>
      </c>
      <c r="U310" s="17">
        <v>0</v>
      </c>
      <c r="V310" s="17">
        <v>0</v>
      </c>
      <c r="W310" s="17">
        <v>0</v>
      </c>
      <c r="X310" s="17">
        <v>0</v>
      </c>
      <c r="Y310" s="17">
        <v>0</v>
      </c>
      <c r="Z310" s="17">
        <v>0</v>
      </c>
      <c r="AA310" s="17">
        <v>0</v>
      </c>
      <c r="AB310" s="17">
        <v>0</v>
      </c>
      <c r="AC310" s="17">
        <v>0</v>
      </c>
      <c r="AD310" s="17">
        <v>0</v>
      </c>
      <c r="AE310" s="17">
        <v>0</v>
      </c>
      <c r="AF310" s="17">
        <v>0</v>
      </c>
      <c r="AG310" s="17">
        <v>0</v>
      </c>
      <c r="AH310" s="17">
        <v>0</v>
      </c>
      <c r="AI310" s="17">
        <v>0</v>
      </c>
      <c r="AJ310" s="17">
        <v>0</v>
      </c>
      <c r="AK310" s="17">
        <v>0</v>
      </c>
      <c r="AL310" s="17">
        <v>0</v>
      </c>
      <c r="AM310" s="17">
        <v>0</v>
      </c>
      <c r="AN310" s="17">
        <v>0</v>
      </c>
      <c r="AO310" s="17">
        <v>0</v>
      </c>
      <c r="AP310" s="17">
        <v>0</v>
      </c>
      <c r="AQ310" s="17">
        <v>0</v>
      </c>
      <c r="AR310" s="17">
        <v>0</v>
      </c>
      <c r="AS310" s="17">
        <v>0</v>
      </c>
      <c r="AT310" s="17">
        <v>0</v>
      </c>
      <c r="AU310" s="17">
        <v>0</v>
      </c>
      <c r="AV310" s="17">
        <v>0</v>
      </c>
      <c r="AW310" s="17">
        <v>0</v>
      </c>
      <c r="AX310" s="17">
        <v>0</v>
      </c>
      <c r="AY310" s="17">
        <v>0</v>
      </c>
      <c r="AZ310" s="17">
        <v>0</v>
      </c>
      <c r="BA310" s="17">
        <v>0</v>
      </c>
      <c r="BB310" s="17">
        <v>0</v>
      </c>
      <c r="BC310" s="17">
        <v>0</v>
      </c>
      <c r="BD310" s="17">
        <v>0</v>
      </c>
      <c r="BE310" s="17">
        <v>0</v>
      </c>
      <c r="BF310" s="17">
        <v>0</v>
      </c>
      <c r="BG310" s="17">
        <v>0</v>
      </c>
      <c r="BH310" s="17">
        <v>0</v>
      </c>
      <c r="BI310" s="22">
        <f t="shared" si="76"/>
        <v>0</v>
      </c>
      <c r="BJ310" s="22">
        <f t="shared" si="77"/>
        <v>0</v>
      </c>
      <c r="BK310" s="22">
        <f t="shared" si="78"/>
        <v>4</v>
      </c>
      <c r="BL310" s="22">
        <f t="shared" si="79"/>
        <v>4</v>
      </c>
      <c r="BM310" s="22">
        <f t="shared" si="80"/>
        <v>0</v>
      </c>
      <c r="BN310" s="23">
        <f t="shared" si="83"/>
        <v>1</v>
      </c>
      <c r="BO310" s="23" t="e">
        <f t="shared" si="83"/>
        <v>#DIV/0!</v>
      </c>
      <c r="BP310" s="7">
        <f>VLOOKUP(A310,[1]Sheet15!B:E,4,0)</f>
        <v>4</v>
      </c>
      <c r="BQ310" s="7">
        <f>VLOOKUP(A310,[1]Sheet15!B:E,3,0)</f>
        <v>0</v>
      </c>
    </row>
    <row r="311" spans="1:69" ht="22.5" customHeight="1" x14ac:dyDescent="0.25">
      <c r="A311" s="15" t="s">
        <v>809</v>
      </c>
      <c r="B311" s="15">
        <f>VLOOKUP(A311,'[1]Master clients'!F306:W3853,17,0)</f>
        <v>0</v>
      </c>
      <c r="C311" s="15" t="str">
        <f>VLOOKUP(A311,'[1]Master clients'!F306:P3853,11,0)</f>
        <v>NI</v>
      </c>
      <c r="D311" s="15" t="str">
        <f>VLOOKUP(A311,'[1]Master clients'!F:M,8,0)</f>
        <v>Group (Mills)</v>
      </c>
      <c r="E311" s="16" t="s">
        <v>810</v>
      </c>
      <c r="F311" s="16" t="s">
        <v>808</v>
      </c>
      <c r="G311" s="17"/>
      <c r="H311" s="17"/>
      <c r="I311" s="31">
        <v>0</v>
      </c>
      <c r="J311" s="31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>
        <v>0</v>
      </c>
      <c r="AD311" s="17">
        <v>0</v>
      </c>
      <c r="AE311" s="17">
        <v>0</v>
      </c>
      <c r="AF311" s="17">
        <v>0</v>
      </c>
      <c r="AG311" s="17">
        <v>0</v>
      </c>
      <c r="AH311" s="17">
        <v>0</v>
      </c>
      <c r="AI311" s="17">
        <v>0</v>
      </c>
      <c r="AJ311" s="17">
        <v>0</v>
      </c>
      <c r="AK311" s="17">
        <v>0</v>
      </c>
      <c r="AL311" s="17">
        <v>0</v>
      </c>
      <c r="AM311" s="17">
        <v>0</v>
      </c>
      <c r="AN311" s="17">
        <v>0</v>
      </c>
      <c r="AO311" s="17">
        <v>0</v>
      </c>
      <c r="AP311" s="17">
        <v>0</v>
      </c>
      <c r="AQ311" s="17">
        <v>0</v>
      </c>
      <c r="AR311" s="17">
        <v>0</v>
      </c>
      <c r="AS311" s="17">
        <v>0</v>
      </c>
      <c r="AT311" s="17">
        <v>0</v>
      </c>
      <c r="AU311" s="17">
        <v>0</v>
      </c>
      <c r="AV311" s="17">
        <v>0</v>
      </c>
      <c r="AW311" s="17">
        <v>0</v>
      </c>
      <c r="AX311" s="17">
        <v>0</v>
      </c>
      <c r="AY311" s="17">
        <v>0</v>
      </c>
      <c r="AZ311" s="17">
        <v>0</v>
      </c>
      <c r="BA311" s="17">
        <v>0</v>
      </c>
      <c r="BB311" s="17">
        <v>0</v>
      </c>
      <c r="BC311" s="17">
        <v>0</v>
      </c>
      <c r="BD311" s="17">
        <v>0</v>
      </c>
      <c r="BE311" s="17">
        <v>0</v>
      </c>
      <c r="BF311" s="17">
        <v>0</v>
      </c>
      <c r="BG311" s="17">
        <v>0</v>
      </c>
      <c r="BH311" s="17">
        <v>0</v>
      </c>
      <c r="BI311" s="22">
        <f t="shared" si="76"/>
        <v>0</v>
      </c>
      <c r="BJ311" s="22">
        <f t="shared" si="77"/>
        <v>0</v>
      </c>
      <c r="BK311" s="22">
        <f t="shared" si="78"/>
        <v>0</v>
      </c>
      <c r="BL311" s="22">
        <f t="shared" si="79"/>
        <v>0</v>
      </c>
      <c r="BM311" s="22">
        <f t="shared" si="80"/>
        <v>0</v>
      </c>
      <c r="BN311" s="23" t="e">
        <f t="shared" si="83"/>
        <v>#DIV/0!</v>
      </c>
      <c r="BO311" s="23" t="e">
        <f t="shared" si="83"/>
        <v>#DIV/0!</v>
      </c>
      <c r="BP311" s="7" t="e">
        <f>VLOOKUP(A311,[1]Sheet15!B:E,4,0)</f>
        <v>#N/A</v>
      </c>
      <c r="BQ311" s="7" t="e">
        <f>VLOOKUP(A311,[1]Sheet15!B:E,3,0)</f>
        <v>#N/A</v>
      </c>
    </row>
    <row r="312" spans="1:69" ht="22.5" customHeight="1" x14ac:dyDescent="0.25">
      <c r="A312" s="15" t="s">
        <v>811</v>
      </c>
      <c r="B312" s="15" t="str">
        <f>VLOOKUP(A312,'[1]Master clients'!F307:W3854,17,0)</f>
        <v>Mar</v>
      </c>
      <c r="C312" s="15" t="str">
        <f>VLOOKUP(A312,'[1]Master clients'!F307:P3854,11,0)</f>
        <v>NI</v>
      </c>
      <c r="D312" s="15" t="str">
        <f>VLOOKUP(A312,'[1]Master clients'!F:M,8,0)</f>
        <v>End User</v>
      </c>
      <c r="E312" s="24" t="s">
        <v>812</v>
      </c>
      <c r="F312" s="25" t="s">
        <v>729</v>
      </c>
      <c r="G312" s="20">
        <v>0</v>
      </c>
      <c r="H312" s="20">
        <v>0</v>
      </c>
      <c r="I312" s="26">
        <v>27</v>
      </c>
      <c r="J312" s="26">
        <v>0</v>
      </c>
      <c r="K312" s="20">
        <v>2</v>
      </c>
      <c r="L312" s="20">
        <v>0</v>
      </c>
      <c r="M312" s="20">
        <v>0</v>
      </c>
      <c r="N312" s="20">
        <v>6</v>
      </c>
      <c r="O312" s="20">
        <v>12</v>
      </c>
      <c r="P312" s="20">
        <v>0</v>
      </c>
      <c r="Q312" s="20">
        <v>0</v>
      </c>
      <c r="R312" s="20">
        <v>0</v>
      </c>
      <c r="S312" s="20">
        <v>0</v>
      </c>
      <c r="T312" s="20">
        <v>0</v>
      </c>
      <c r="U312" s="20">
        <v>0</v>
      </c>
      <c r="V312" s="20">
        <v>0</v>
      </c>
      <c r="W312" s="20">
        <v>0</v>
      </c>
      <c r="X312" s="20">
        <v>0</v>
      </c>
      <c r="Y312" s="20">
        <v>0</v>
      </c>
      <c r="Z312" s="20">
        <v>0</v>
      </c>
      <c r="AA312" s="20">
        <v>0</v>
      </c>
      <c r="AB312" s="20">
        <v>0</v>
      </c>
      <c r="AC312" s="20">
        <v>0</v>
      </c>
      <c r="AD312" s="20">
        <v>0</v>
      </c>
      <c r="AE312" s="20">
        <v>0</v>
      </c>
      <c r="AF312" s="20">
        <v>0</v>
      </c>
      <c r="AG312" s="20">
        <v>0</v>
      </c>
      <c r="AH312" s="20">
        <v>0</v>
      </c>
      <c r="AI312" s="20">
        <v>0</v>
      </c>
      <c r="AJ312" s="20">
        <v>0</v>
      </c>
      <c r="AK312" s="20">
        <v>0</v>
      </c>
      <c r="AL312" s="20">
        <v>0</v>
      </c>
      <c r="AM312" s="20">
        <v>0</v>
      </c>
      <c r="AN312" s="20">
        <v>0</v>
      </c>
      <c r="AO312" s="20">
        <v>0</v>
      </c>
      <c r="AP312" s="20">
        <v>0</v>
      </c>
      <c r="AQ312" s="20">
        <v>0</v>
      </c>
      <c r="AR312" s="20">
        <v>0</v>
      </c>
      <c r="AS312" s="20">
        <v>0</v>
      </c>
      <c r="AT312" s="20">
        <v>0</v>
      </c>
      <c r="AU312" s="20">
        <v>0</v>
      </c>
      <c r="AV312" s="20">
        <v>0</v>
      </c>
      <c r="AW312" s="20">
        <v>0</v>
      </c>
      <c r="AX312" s="20">
        <v>0</v>
      </c>
      <c r="AY312" s="20">
        <v>0</v>
      </c>
      <c r="AZ312" s="20">
        <v>0</v>
      </c>
      <c r="BA312" s="20">
        <v>0</v>
      </c>
      <c r="BB312" s="27">
        <v>0</v>
      </c>
      <c r="BC312" s="20">
        <v>0</v>
      </c>
      <c r="BD312" s="20">
        <v>0</v>
      </c>
      <c r="BE312" s="21">
        <v>0</v>
      </c>
      <c r="BF312" s="21">
        <v>0</v>
      </c>
      <c r="BG312" s="20">
        <v>0</v>
      </c>
      <c r="BH312" s="20">
        <v>0</v>
      </c>
      <c r="BI312" s="22">
        <f t="shared" si="76"/>
        <v>2</v>
      </c>
      <c r="BJ312" s="22">
        <f t="shared" si="77"/>
        <v>18</v>
      </c>
      <c r="BK312" s="28">
        <f t="shared" si="78"/>
        <v>47</v>
      </c>
      <c r="BL312" s="22">
        <f t="shared" si="79"/>
        <v>29</v>
      </c>
      <c r="BM312" s="22">
        <f t="shared" si="80"/>
        <v>18</v>
      </c>
      <c r="BN312" s="23">
        <f t="shared" si="83"/>
        <v>0.93103448275862066</v>
      </c>
      <c r="BO312" s="23">
        <f t="shared" si="83"/>
        <v>0</v>
      </c>
      <c r="BP312" s="7" t="e">
        <f>VLOOKUP(A312,[1]Sheet15!B:E,4,0)</f>
        <v>#N/A</v>
      </c>
      <c r="BQ312" s="7" t="e">
        <f>VLOOKUP(A312,[1]Sheet15!B:E,3,0)</f>
        <v>#N/A</v>
      </c>
    </row>
    <row r="313" spans="1:69" ht="22.5" customHeight="1" x14ac:dyDescent="0.25">
      <c r="A313" s="15" t="s">
        <v>813</v>
      </c>
      <c r="B313" s="35">
        <f>VLOOKUP(A313,'[1]Master clients'!F906:W4453,17,0)</f>
        <v>0</v>
      </c>
      <c r="C313" s="15" t="str">
        <f>VLOOKUP(A313,'[1]Master clients'!F906:P4453,11,0)</f>
        <v>HO</v>
      </c>
      <c r="D313" s="15" t="str">
        <f>VLOOKUP(A313,'[1]Master clients'!F:M,8,0)</f>
        <v>End User</v>
      </c>
      <c r="E313" s="16" t="s">
        <v>814</v>
      </c>
      <c r="F313" s="29" t="s">
        <v>815</v>
      </c>
      <c r="G313" s="20"/>
      <c r="H313" s="20"/>
      <c r="I313" s="18">
        <v>0</v>
      </c>
      <c r="J313" s="18">
        <v>0</v>
      </c>
      <c r="K313" s="20">
        <v>0</v>
      </c>
      <c r="L313" s="20">
        <v>0</v>
      </c>
      <c r="M313" s="20">
        <v>0</v>
      </c>
      <c r="N313" s="20">
        <v>0</v>
      </c>
      <c r="O313" s="20">
        <v>0</v>
      </c>
      <c r="P313" s="20">
        <v>0</v>
      </c>
      <c r="Q313" s="20">
        <v>0</v>
      </c>
      <c r="R313" s="20">
        <v>0</v>
      </c>
      <c r="S313" s="20">
        <v>0</v>
      </c>
      <c r="T313" s="20">
        <v>0</v>
      </c>
      <c r="U313" s="20">
        <v>0</v>
      </c>
      <c r="V313" s="20">
        <v>0</v>
      </c>
      <c r="W313" s="20">
        <v>0</v>
      </c>
      <c r="X313" s="20">
        <v>0</v>
      </c>
      <c r="Y313" s="20">
        <v>0</v>
      </c>
      <c r="Z313" s="20">
        <v>0</v>
      </c>
      <c r="AA313" s="20">
        <v>0</v>
      </c>
      <c r="AB313" s="20">
        <v>0</v>
      </c>
      <c r="AC313" s="20">
        <v>0</v>
      </c>
      <c r="AD313" s="20">
        <v>0</v>
      </c>
      <c r="AE313" s="20">
        <v>0</v>
      </c>
      <c r="AF313" s="20">
        <v>0</v>
      </c>
      <c r="AG313" s="20">
        <v>0</v>
      </c>
      <c r="AH313" s="20">
        <v>0</v>
      </c>
      <c r="AI313" s="20">
        <v>0</v>
      </c>
      <c r="AJ313" s="20">
        <v>0</v>
      </c>
      <c r="AK313" s="20">
        <v>0</v>
      </c>
      <c r="AL313" s="20">
        <v>0</v>
      </c>
      <c r="AM313" s="20">
        <v>0</v>
      </c>
      <c r="AN313" s="20">
        <v>0</v>
      </c>
      <c r="AO313" s="20">
        <v>4</v>
      </c>
      <c r="AP313" s="20">
        <v>0</v>
      </c>
      <c r="AQ313" s="20">
        <v>0</v>
      </c>
      <c r="AR313" s="20">
        <v>0</v>
      </c>
      <c r="AS313" s="20">
        <v>0</v>
      </c>
      <c r="AT313" s="20">
        <v>0</v>
      </c>
      <c r="AU313" s="20">
        <v>0</v>
      </c>
      <c r="AV313" s="20">
        <v>0</v>
      </c>
      <c r="AW313" s="20">
        <v>0</v>
      </c>
      <c r="AX313" s="20">
        <v>0</v>
      </c>
      <c r="AY313" s="20">
        <v>0</v>
      </c>
      <c r="AZ313" s="20">
        <v>0</v>
      </c>
      <c r="BA313" s="20">
        <v>0</v>
      </c>
      <c r="BB313" s="20">
        <v>0</v>
      </c>
      <c r="BC313" s="20">
        <v>0</v>
      </c>
      <c r="BD313" s="20">
        <v>0</v>
      </c>
      <c r="BE313" s="20">
        <v>0</v>
      </c>
      <c r="BF313" s="20">
        <v>0</v>
      </c>
      <c r="BG313" s="20">
        <v>0</v>
      </c>
      <c r="BH313" s="20">
        <v>0</v>
      </c>
      <c r="BI313" s="22">
        <f t="shared" si="76"/>
        <v>4</v>
      </c>
      <c r="BJ313" s="22">
        <f t="shared" si="77"/>
        <v>0</v>
      </c>
      <c r="BK313" s="22">
        <f t="shared" si="78"/>
        <v>4</v>
      </c>
      <c r="BL313" s="22">
        <f t="shared" si="79"/>
        <v>4</v>
      </c>
      <c r="BM313" s="22">
        <f t="shared" si="80"/>
        <v>0</v>
      </c>
      <c r="BN313" s="23">
        <f t="shared" si="83"/>
        <v>0</v>
      </c>
      <c r="BO313" s="23" t="e">
        <f t="shared" si="83"/>
        <v>#DIV/0!</v>
      </c>
      <c r="BP313" s="7" t="e">
        <f>VLOOKUP(A313,[1]Sheet15!B:E,4,0)</f>
        <v>#N/A</v>
      </c>
      <c r="BQ313" s="7" t="e">
        <f>VLOOKUP(A313,[1]Sheet15!B:E,3,0)</f>
        <v>#N/A</v>
      </c>
    </row>
    <row r="314" spans="1:69" ht="22.5" customHeight="1" x14ac:dyDescent="0.25">
      <c r="A314" s="15" t="s">
        <v>816</v>
      </c>
      <c r="B314" s="15">
        <f>VLOOKUP(A314,'[1]Master clients'!F308:W3855,17,0)</f>
        <v>0</v>
      </c>
      <c r="C314" s="15" t="str">
        <f>VLOOKUP(A314,'[1]Master clients'!F308:P3855,11,0)</f>
        <v>SI-GS</v>
      </c>
      <c r="D314" s="15" t="str">
        <f>VLOOKUP(A314,'[1]Master clients'!F:M,8,0)</f>
        <v>End User</v>
      </c>
      <c r="E314" s="16" t="s">
        <v>817</v>
      </c>
      <c r="F314" s="16" t="s">
        <v>818</v>
      </c>
      <c r="G314" s="17"/>
      <c r="H314" s="17"/>
      <c r="I314" s="26">
        <v>3</v>
      </c>
      <c r="J314" s="31">
        <v>0</v>
      </c>
      <c r="K314" s="17">
        <v>0</v>
      </c>
      <c r="L314" s="17">
        <v>0</v>
      </c>
      <c r="M314" s="17">
        <v>0</v>
      </c>
      <c r="N314" s="17">
        <v>0</v>
      </c>
      <c r="O314" s="17">
        <v>0</v>
      </c>
      <c r="P314" s="17">
        <v>0</v>
      </c>
      <c r="Q314" s="17">
        <v>0</v>
      </c>
      <c r="R314" s="17">
        <v>0</v>
      </c>
      <c r="S314" s="17">
        <v>0</v>
      </c>
      <c r="T314" s="17">
        <v>0</v>
      </c>
      <c r="U314" s="17">
        <v>0</v>
      </c>
      <c r="V314" s="17">
        <v>0</v>
      </c>
      <c r="W314" s="17">
        <v>0</v>
      </c>
      <c r="X314" s="17">
        <v>0</v>
      </c>
      <c r="Y314" s="17">
        <v>0</v>
      </c>
      <c r="Z314" s="17">
        <v>0</v>
      </c>
      <c r="AA314" s="17">
        <v>0</v>
      </c>
      <c r="AB314" s="17">
        <v>0</v>
      </c>
      <c r="AC314" s="17">
        <v>0</v>
      </c>
      <c r="AD314" s="17">
        <v>0</v>
      </c>
      <c r="AE314" s="17">
        <v>0</v>
      </c>
      <c r="AF314" s="17">
        <v>0</v>
      </c>
      <c r="AG314" s="17">
        <v>0</v>
      </c>
      <c r="AH314" s="17">
        <v>0</v>
      </c>
      <c r="AI314" s="17">
        <v>0</v>
      </c>
      <c r="AJ314" s="17">
        <v>0</v>
      </c>
      <c r="AK314" s="17">
        <v>0</v>
      </c>
      <c r="AL314" s="17">
        <v>0</v>
      </c>
      <c r="AM314" s="17">
        <v>0</v>
      </c>
      <c r="AN314" s="17">
        <v>0</v>
      </c>
      <c r="AO314" s="17">
        <v>0</v>
      </c>
      <c r="AP314" s="17">
        <v>0</v>
      </c>
      <c r="AQ314" s="17">
        <v>0</v>
      </c>
      <c r="AR314" s="17">
        <v>0</v>
      </c>
      <c r="AS314" s="17">
        <v>0</v>
      </c>
      <c r="AT314" s="17">
        <v>0</v>
      </c>
      <c r="AU314" s="17">
        <v>0</v>
      </c>
      <c r="AV314" s="17">
        <v>0</v>
      </c>
      <c r="AW314" s="17">
        <v>0</v>
      </c>
      <c r="AX314" s="17">
        <v>0</v>
      </c>
      <c r="AY314" s="17">
        <v>0</v>
      </c>
      <c r="AZ314" s="17">
        <v>0</v>
      </c>
      <c r="BA314" s="17">
        <v>0</v>
      </c>
      <c r="BB314" s="17">
        <v>0</v>
      </c>
      <c r="BC314" s="17">
        <v>0</v>
      </c>
      <c r="BD314" s="17">
        <v>0</v>
      </c>
      <c r="BE314" s="17">
        <v>0</v>
      </c>
      <c r="BF314" s="17">
        <v>0</v>
      </c>
      <c r="BG314" s="17">
        <v>0</v>
      </c>
      <c r="BH314" s="17">
        <v>0</v>
      </c>
      <c r="BI314" s="22">
        <f t="shared" si="76"/>
        <v>0</v>
      </c>
      <c r="BJ314" s="22">
        <f t="shared" si="77"/>
        <v>0</v>
      </c>
      <c r="BK314" s="28">
        <f t="shared" si="78"/>
        <v>3</v>
      </c>
      <c r="BL314" s="22">
        <f t="shared" si="79"/>
        <v>3</v>
      </c>
      <c r="BM314" s="22">
        <f t="shared" si="80"/>
        <v>0</v>
      </c>
      <c r="BN314" s="23">
        <f t="shared" si="83"/>
        <v>1</v>
      </c>
      <c r="BO314" s="23" t="e">
        <f t="shared" si="83"/>
        <v>#DIV/0!</v>
      </c>
      <c r="BP314" s="7">
        <f>VLOOKUP(A314,[1]Sheet15!B:E,4,0)</f>
        <v>3</v>
      </c>
      <c r="BQ314" s="7">
        <f>VLOOKUP(A314,[1]Sheet15!B:E,3,0)</f>
        <v>0</v>
      </c>
    </row>
    <row r="315" spans="1:69" ht="22.5" customHeight="1" x14ac:dyDescent="0.25">
      <c r="A315" s="15" t="s">
        <v>819</v>
      </c>
      <c r="B315" s="15" t="e">
        <f>VLOOKUP(A315,'[1]Master clients'!F309:W3856,17,0)</f>
        <v>#N/A</v>
      </c>
      <c r="C315" s="15" t="e">
        <f>VLOOKUP(A315,'[1]Master clients'!F309:P3856,11,0)</f>
        <v>#N/A</v>
      </c>
      <c r="D315" s="15" t="str">
        <f>VLOOKUP(A315,'[1]Master clients'!F:M,8,0)</f>
        <v>End User</v>
      </c>
      <c r="E315" s="16" t="s">
        <v>820</v>
      </c>
      <c r="F315" s="16" t="s">
        <v>821</v>
      </c>
      <c r="G315" s="17">
        <v>14</v>
      </c>
      <c r="H315" s="17">
        <v>0</v>
      </c>
      <c r="I315" s="18">
        <v>12</v>
      </c>
      <c r="J315" s="18">
        <v>0</v>
      </c>
      <c r="K315" s="17">
        <v>0</v>
      </c>
      <c r="L315" s="17">
        <v>0</v>
      </c>
      <c r="M315" s="17">
        <v>0</v>
      </c>
      <c r="N315" s="17">
        <v>0</v>
      </c>
      <c r="O315" s="19">
        <v>0</v>
      </c>
      <c r="P315" s="19">
        <v>0</v>
      </c>
      <c r="Q315" s="19">
        <v>9</v>
      </c>
      <c r="R315" s="19">
        <v>2</v>
      </c>
      <c r="S315" s="19">
        <v>0</v>
      </c>
      <c r="T315" s="19">
        <v>0</v>
      </c>
      <c r="U315" s="19">
        <v>0</v>
      </c>
      <c r="V315" s="19">
        <v>0</v>
      </c>
      <c r="W315" s="20">
        <v>0</v>
      </c>
      <c r="X315" s="20">
        <v>0</v>
      </c>
      <c r="Y315" s="19">
        <v>0</v>
      </c>
      <c r="Z315" s="19">
        <v>0</v>
      </c>
      <c r="AA315" s="19">
        <v>0</v>
      </c>
      <c r="AB315" s="19">
        <v>0</v>
      </c>
      <c r="AC315" s="19">
        <v>0</v>
      </c>
      <c r="AD315" s="19">
        <v>0</v>
      </c>
      <c r="AE315" s="19">
        <v>0</v>
      </c>
      <c r="AF315" s="19">
        <v>0</v>
      </c>
      <c r="AG315" s="19">
        <v>0</v>
      </c>
      <c r="AH315" s="19">
        <v>0</v>
      </c>
      <c r="AI315" s="20">
        <v>0</v>
      </c>
      <c r="AJ315" s="20">
        <v>0</v>
      </c>
      <c r="AK315" s="19">
        <v>0</v>
      </c>
      <c r="AL315" s="20">
        <v>0</v>
      </c>
      <c r="AM315" s="19">
        <v>0</v>
      </c>
      <c r="AN315" s="19">
        <v>0</v>
      </c>
      <c r="AO315" s="19">
        <v>0</v>
      </c>
      <c r="AP315" s="19">
        <v>0</v>
      </c>
      <c r="AQ315" s="19">
        <v>0</v>
      </c>
      <c r="AR315" s="19">
        <v>0</v>
      </c>
      <c r="AS315" s="19">
        <v>0</v>
      </c>
      <c r="AT315" s="19">
        <v>0</v>
      </c>
      <c r="AU315" s="19">
        <v>0</v>
      </c>
      <c r="AV315" s="19">
        <v>0</v>
      </c>
      <c r="AW315" s="20">
        <v>0</v>
      </c>
      <c r="AX315" s="20">
        <v>0</v>
      </c>
      <c r="AY315" s="20">
        <v>0</v>
      </c>
      <c r="AZ315" s="19">
        <v>0</v>
      </c>
      <c r="BA315" s="19">
        <v>0</v>
      </c>
      <c r="BB315" s="19">
        <v>0</v>
      </c>
      <c r="BC315" s="19">
        <v>0</v>
      </c>
      <c r="BD315" s="19">
        <v>0</v>
      </c>
      <c r="BE315" s="21">
        <v>0</v>
      </c>
      <c r="BF315" s="21">
        <v>0</v>
      </c>
      <c r="BG315" s="19">
        <v>0</v>
      </c>
      <c r="BH315" s="19">
        <v>0</v>
      </c>
      <c r="BI315" s="22">
        <f t="shared" si="76"/>
        <v>2</v>
      </c>
      <c r="BJ315" s="22">
        <f t="shared" si="77"/>
        <v>9</v>
      </c>
      <c r="BK315" s="22">
        <f t="shared" si="78"/>
        <v>23</v>
      </c>
      <c r="BL315" s="22">
        <f t="shared" si="79"/>
        <v>14</v>
      </c>
      <c r="BM315" s="22">
        <f t="shared" si="80"/>
        <v>9</v>
      </c>
      <c r="BN315" s="23">
        <f t="shared" si="83"/>
        <v>0.8571428571428571</v>
      </c>
      <c r="BO315" s="23">
        <f t="shared" si="83"/>
        <v>0</v>
      </c>
      <c r="BP315" s="7">
        <f>VLOOKUP(A315,[1]Sheet15!B:E,4,0)</f>
        <v>3</v>
      </c>
      <c r="BQ315" s="7">
        <f>VLOOKUP(A315,[1]Sheet15!B:E,3,0)</f>
        <v>0</v>
      </c>
    </row>
    <row r="316" spans="1:69" ht="22.5" customHeight="1" x14ac:dyDescent="0.25">
      <c r="A316" s="15" t="s">
        <v>822</v>
      </c>
      <c r="B316" s="15">
        <f>VLOOKUP(A316,'[1]Master clients'!F310:W3857,17,0)</f>
        <v>0</v>
      </c>
      <c r="C316" s="15" t="str">
        <f>VLOOKUP(A316,'[1]Master clients'!F310:P3857,11,0)</f>
        <v>MRK</v>
      </c>
      <c r="D316" s="15" t="str">
        <f>VLOOKUP(A316,'[1]Master clients'!F:M,8,0)</f>
        <v>End User</v>
      </c>
      <c r="E316" s="24" t="s">
        <v>823</v>
      </c>
      <c r="F316" s="25" t="s">
        <v>824</v>
      </c>
      <c r="G316" s="20">
        <v>2</v>
      </c>
      <c r="H316" s="20">
        <v>0</v>
      </c>
      <c r="I316" s="26">
        <v>2</v>
      </c>
      <c r="J316" s="26">
        <v>0</v>
      </c>
      <c r="K316" s="20">
        <v>0</v>
      </c>
      <c r="L316" s="20">
        <v>0</v>
      </c>
      <c r="M316" s="20">
        <v>0</v>
      </c>
      <c r="N316" s="20">
        <v>0</v>
      </c>
      <c r="O316" s="20">
        <v>0</v>
      </c>
      <c r="P316" s="20">
        <v>6</v>
      </c>
      <c r="Q316" s="20">
        <v>7</v>
      </c>
      <c r="R316" s="20">
        <v>0</v>
      </c>
      <c r="S316" s="20">
        <v>0</v>
      </c>
      <c r="T316" s="20">
        <v>0</v>
      </c>
      <c r="U316" s="20">
        <v>0</v>
      </c>
      <c r="V316" s="20">
        <v>0</v>
      </c>
      <c r="W316" s="20">
        <v>0</v>
      </c>
      <c r="X316" s="20">
        <v>0</v>
      </c>
      <c r="Y316" s="20">
        <v>0</v>
      </c>
      <c r="Z316" s="20">
        <v>0</v>
      </c>
      <c r="AA316" s="20">
        <v>0</v>
      </c>
      <c r="AB316" s="20">
        <v>0</v>
      </c>
      <c r="AC316" s="20">
        <v>0</v>
      </c>
      <c r="AD316" s="20">
        <v>0</v>
      </c>
      <c r="AE316" s="20">
        <v>0</v>
      </c>
      <c r="AF316" s="20">
        <v>0</v>
      </c>
      <c r="AG316" s="20">
        <v>0</v>
      </c>
      <c r="AH316" s="20">
        <v>0</v>
      </c>
      <c r="AI316" s="20">
        <v>0</v>
      </c>
      <c r="AJ316" s="20">
        <v>0</v>
      </c>
      <c r="AK316" s="20">
        <v>0</v>
      </c>
      <c r="AL316" s="20">
        <v>0</v>
      </c>
      <c r="AM316" s="20">
        <v>0</v>
      </c>
      <c r="AN316" s="20">
        <v>0</v>
      </c>
      <c r="AO316" s="20">
        <v>0</v>
      </c>
      <c r="AP316" s="20">
        <v>0</v>
      </c>
      <c r="AQ316" s="20">
        <v>0</v>
      </c>
      <c r="AR316" s="20">
        <v>0</v>
      </c>
      <c r="AS316" s="20">
        <v>0</v>
      </c>
      <c r="AT316" s="20">
        <v>0</v>
      </c>
      <c r="AU316" s="20">
        <v>0</v>
      </c>
      <c r="AV316" s="20">
        <v>0</v>
      </c>
      <c r="AW316" s="20">
        <v>0</v>
      </c>
      <c r="AX316" s="20">
        <v>0</v>
      </c>
      <c r="AY316" s="20">
        <v>0</v>
      </c>
      <c r="AZ316" s="20">
        <v>0</v>
      </c>
      <c r="BA316" s="20">
        <v>0</v>
      </c>
      <c r="BB316" s="27">
        <v>0</v>
      </c>
      <c r="BC316" s="20">
        <v>0</v>
      </c>
      <c r="BD316" s="20">
        <v>0</v>
      </c>
      <c r="BE316" s="21">
        <v>0</v>
      </c>
      <c r="BF316" s="21">
        <v>0</v>
      </c>
      <c r="BG316" s="20">
        <v>0</v>
      </c>
      <c r="BH316" s="20">
        <v>0</v>
      </c>
      <c r="BI316" s="22">
        <f t="shared" si="76"/>
        <v>6</v>
      </c>
      <c r="BJ316" s="22">
        <f t="shared" si="77"/>
        <v>7</v>
      </c>
      <c r="BK316" s="28">
        <f t="shared" si="78"/>
        <v>15</v>
      </c>
      <c r="BL316" s="22">
        <f t="shared" si="79"/>
        <v>8</v>
      </c>
      <c r="BM316" s="22">
        <f t="shared" si="80"/>
        <v>7</v>
      </c>
      <c r="BN316" s="23">
        <f t="shared" si="83"/>
        <v>0.25</v>
      </c>
      <c r="BO316" s="23">
        <f t="shared" si="83"/>
        <v>0</v>
      </c>
      <c r="BP316" s="7" t="e">
        <f>VLOOKUP(A316,[1]Sheet15!B:E,4,0)</f>
        <v>#N/A</v>
      </c>
      <c r="BQ316" s="7" t="e">
        <f>VLOOKUP(A316,[1]Sheet15!B:E,3,0)</f>
        <v>#N/A</v>
      </c>
    </row>
    <row r="317" spans="1:69" ht="22.5" customHeight="1" x14ac:dyDescent="0.25">
      <c r="A317" s="15" t="s">
        <v>825</v>
      </c>
      <c r="B317" s="15" t="e">
        <f>VLOOKUP(A317,'[1]Master clients'!F311:W3858,17,0)</f>
        <v>#N/A</v>
      </c>
      <c r="C317" s="15" t="e">
        <f>VLOOKUP(A317,'[1]Master clients'!F311:P3858,11,0)</f>
        <v>#N/A</v>
      </c>
      <c r="D317" s="15" t="str">
        <f>VLOOKUP(A317,'[1]Master clients'!F:M,8,0)</f>
        <v>End User</v>
      </c>
      <c r="E317" s="16" t="s">
        <v>826</v>
      </c>
      <c r="F317" s="16" t="s">
        <v>100</v>
      </c>
      <c r="G317" s="17"/>
      <c r="H317" s="17"/>
      <c r="I317" s="18">
        <v>0</v>
      </c>
      <c r="J317" s="18">
        <v>0</v>
      </c>
      <c r="K317" s="17">
        <v>0</v>
      </c>
      <c r="L317" s="17">
        <v>0</v>
      </c>
      <c r="M317" s="17">
        <v>0</v>
      </c>
      <c r="N317" s="17">
        <v>0</v>
      </c>
      <c r="O317" s="17">
        <v>0</v>
      </c>
      <c r="P317" s="17">
        <v>0</v>
      </c>
      <c r="Q317" s="17">
        <v>0</v>
      </c>
      <c r="R317" s="17">
        <v>0</v>
      </c>
      <c r="S317" s="17">
        <v>0</v>
      </c>
      <c r="T317" s="17">
        <v>0</v>
      </c>
      <c r="U317" s="17">
        <v>0</v>
      </c>
      <c r="V317" s="17">
        <v>0</v>
      </c>
      <c r="W317" s="17">
        <v>0</v>
      </c>
      <c r="X317" s="17">
        <v>0</v>
      </c>
      <c r="Y317" s="17">
        <v>0</v>
      </c>
      <c r="Z317" s="17">
        <v>0</v>
      </c>
      <c r="AA317" s="17">
        <v>0</v>
      </c>
      <c r="AB317" s="17">
        <v>0</v>
      </c>
      <c r="AC317" s="17">
        <v>0</v>
      </c>
      <c r="AD317" s="17">
        <v>0</v>
      </c>
      <c r="AE317" s="17">
        <v>0</v>
      </c>
      <c r="AF317" s="17">
        <v>0</v>
      </c>
      <c r="AG317" s="17">
        <v>0</v>
      </c>
      <c r="AH317" s="17">
        <v>0</v>
      </c>
      <c r="AI317" s="17">
        <v>0</v>
      </c>
      <c r="AJ317" s="17">
        <v>0</v>
      </c>
      <c r="AK317" s="17">
        <v>0</v>
      </c>
      <c r="AL317" s="17">
        <v>0</v>
      </c>
      <c r="AM317" s="17">
        <v>0</v>
      </c>
      <c r="AN317" s="17">
        <v>0</v>
      </c>
      <c r="AO317" s="17">
        <v>0</v>
      </c>
      <c r="AP317" s="17">
        <v>0</v>
      </c>
      <c r="AQ317" s="17">
        <v>0</v>
      </c>
      <c r="AR317" s="17">
        <v>0</v>
      </c>
      <c r="AS317" s="17">
        <v>0</v>
      </c>
      <c r="AT317" s="17">
        <v>0</v>
      </c>
      <c r="AU317" s="17">
        <v>0</v>
      </c>
      <c r="AV317" s="17">
        <v>0</v>
      </c>
      <c r="AW317" s="17">
        <v>0</v>
      </c>
      <c r="AX317" s="17">
        <v>0</v>
      </c>
      <c r="AY317" s="17">
        <v>0</v>
      </c>
      <c r="AZ317" s="17">
        <v>0</v>
      </c>
      <c r="BA317" s="17">
        <v>0</v>
      </c>
      <c r="BB317" s="17">
        <v>0</v>
      </c>
      <c r="BC317" s="17">
        <v>0</v>
      </c>
      <c r="BD317" s="17">
        <v>0</v>
      </c>
      <c r="BE317" s="17">
        <v>0</v>
      </c>
      <c r="BF317" s="17">
        <v>0</v>
      </c>
      <c r="BG317" s="17">
        <v>0</v>
      </c>
      <c r="BH317" s="17">
        <v>0</v>
      </c>
      <c r="BI317" s="22">
        <f>SUM(M317+N317+P317+R317+T317+W317+Z317+AC317+AE317+AL317+AO317+AP317+AS317+AW317+AX317+BC317+BE317+BG317)</f>
        <v>0</v>
      </c>
      <c r="BJ317" s="22">
        <f>SUM(H317:BG317)</f>
        <v>0</v>
      </c>
      <c r="BK317" s="22">
        <f>SUM(H317+J317+K317+L317+O317+Q317+S317+U317+V317+X317+Y317+AA317+AB317+AD317+AF317+AG317+AH317+AI317+AJ317+AK317+AM317+AN317+AQ317+AR317+AT317+AU317+AV317+AY317+AZ317+BA317+BB317+BF317+BD317)</f>
        <v>0</v>
      </c>
      <c r="BL317" s="22">
        <f t="shared" ref="BL317:BM332" si="84">SUM(I317+M317+N317+P317+R317+T317+W317+Z317+AC317+AE317+AL317+AO317+AP317+AS317+AW317+AX317+BC317+BG317)</f>
        <v>0</v>
      </c>
      <c r="BM317" s="22">
        <f t="shared" si="84"/>
        <v>0</v>
      </c>
      <c r="BN317" s="23" t="e">
        <f t="shared" si="83"/>
        <v>#DIV/0!</v>
      </c>
      <c r="BO317" s="23" t="e">
        <f t="shared" si="83"/>
        <v>#DIV/0!</v>
      </c>
      <c r="BP317" s="7" t="e">
        <f>VLOOKUP(A317,[1]Sheet15!B:E,4,0)</f>
        <v>#N/A</v>
      </c>
      <c r="BQ317" s="7" t="e">
        <f>VLOOKUP(A317,[1]Sheet15!B:E,3,0)</f>
        <v>#N/A</v>
      </c>
    </row>
    <row r="318" spans="1:69" ht="22.5" customHeight="1" x14ac:dyDescent="0.25">
      <c r="A318" s="15" t="s">
        <v>827</v>
      </c>
      <c r="B318" s="15" t="str">
        <f>VLOOKUP(A318,'[1]Master clients'!F312:W3859,17,0)</f>
        <v>Apr</v>
      </c>
      <c r="C318" s="15" t="str">
        <f>VLOOKUP(A318,'[1]Master clients'!F312:P3859,11,0)</f>
        <v>AV</v>
      </c>
      <c r="D318" s="15" t="str">
        <f>VLOOKUP(A318,'[1]Master clients'!F:M,8,0)</f>
        <v>End User</v>
      </c>
      <c r="E318" s="16" t="s">
        <v>828</v>
      </c>
      <c r="F318" s="16" t="s">
        <v>100</v>
      </c>
      <c r="G318" s="17">
        <v>17</v>
      </c>
      <c r="H318" s="17">
        <v>0</v>
      </c>
      <c r="I318" s="18">
        <v>9</v>
      </c>
      <c r="J318" s="18">
        <v>0</v>
      </c>
      <c r="K318" s="17">
        <v>0</v>
      </c>
      <c r="L318" s="17">
        <v>0</v>
      </c>
      <c r="M318" s="17">
        <v>0</v>
      </c>
      <c r="N318" s="17">
        <v>0</v>
      </c>
      <c r="O318" s="19">
        <v>0</v>
      </c>
      <c r="P318" s="19">
        <v>10</v>
      </c>
      <c r="Q318" s="19">
        <v>0</v>
      </c>
      <c r="R318" s="19">
        <v>0</v>
      </c>
      <c r="S318" s="19">
        <v>0</v>
      </c>
      <c r="T318" s="19">
        <v>0</v>
      </c>
      <c r="U318" s="19">
        <v>3</v>
      </c>
      <c r="V318" s="19">
        <v>0</v>
      </c>
      <c r="W318" s="20">
        <v>0</v>
      </c>
      <c r="X318" s="20">
        <v>0</v>
      </c>
      <c r="Y318" s="19">
        <v>0</v>
      </c>
      <c r="Z318" s="19">
        <v>0</v>
      </c>
      <c r="AA318" s="19">
        <v>0</v>
      </c>
      <c r="AB318" s="19">
        <v>0</v>
      </c>
      <c r="AC318" s="19">
        <v>0</v>
      </c>
      <c r="AD318" s="19">
        <v>0</v>
      </c>
      <c r="AE318" s="19">
        <v>0</v>
      </c>
      <c r="AF318" s="19">
        <v>0</v>
      </c>
      <c r="AG318" s="19">
        <v>0</v>
      </c>
      <c r="AH318" s="19">
        <v>0</v>
      </c>
      <c r="AI318" s="20">
        <v>0</v>
      </c>
      <c r="AJ318" s="20">
        <v>0</v>
      </c>
      <c r="AK318" s="19">
        <v>0</v>
      </c>
      <c r="AL318" s="20">
        <v>0</v>
      </c>
      <c r="AM318" s="19">
        <v>0</v>
      </c>
      <c r="AN318" s="19">
        <v>0</v>
      </c>
      <c r="AO318" s="19">
        <v>0</v>
      </c>
      <c r="AP318" s="19">
        <v>0</v>
      </c>
      <c r="AQ318" s="19">
        <v>0</v>
      </c>
      <c r="AR318" s="19">
        <v>0</v>
      </c>
      <c r="AS318" s="19">
        <v>0</v>
      </c>
      <c r="AT318" s="19">
        <v>0</v>
      </c>
      <c r="AU318" s="19">
        <v>0</v>
      </c>
      <c r="AV318" s="19">
        <v>0</v>
      </c>
      <c r="AW318" s="20">
        <v>0</v>
      </c>
      <c r="AX318" s="20">
        <v>0</v>
      </c>
      <c r="AY318" s="20">
        <v>0</v>
      </c>
      <c r="AZ318" s="19">
        <v>0</v>
      </c>
      <c r="BA318" s="19">
        <v>0</v>
      </c>
      <c r="BB318" s="19">
        <v>0</v>
      </c>
      <c r="BC318" s="19">
        <v>0</v>
      </c>
      <c r="BD318" s="19">
        <v>0</v>
      </c>
      <c r="BE318" s="21">
        <v>0</v>
      </c>
      <c r="BF318" s="21">
        <v>0</v>
      </c>
      <c r="BG318" s="19">
        <v>0</v>
      </c>
      <c r="BH318" s="19">
        <v>0</v>
      </c>
      <c r="BI318" s="22">
        <f t="shared" ref="BI318:BI350" si="85">SUM(K318+L318+M318+P318+R318+T318+V318+W318+Y318+Z318+AB318+AC318+AE318+AG318+AH318+AI318+AJ318+AK318+AL318+AN318+AO318+AR318+AS318+AU318+AV318+AW318+AZ318+BA318+BB318+BC318+BE318+BG318)</f>
        <v>10</v>
      </c>
      <c r="BJ318" s="22">
        <f t="shared" ref="BJ318:BJ350" si="86">SUM(N318+O318+Q318+S318+U318+X318+AA318+AD318+AF318+AM318+AP318+AQ318+AT318+AX318+AY318+BD318+BF318+BH318)</f>
        <v>3</v>
      </c>
      <c r="BK318" s="22">
        <f t="shared" ref="BK318:BK350" si="87">SUM(I318:BH318)</f>
        <v>22</v>
      </c>
      <c r="BL318" s="22">
        <f t="shared" ref="BL318:BL350" si="88">SUM(I318+K318+L318+M318+P318+R318+T318+V318+W318+Y318+Z318+AB318+AC318+AE318+AG318+AH318+AI318+AJ318+AK318+AL318+AN318+AO318+AR318+AS318+AU318+AV318+AW318+AZ318+BA318+BB318+BC318+BG318+BE318)</f>
        <v>19</v>
      </c>
      <c r="BM318" s="22">
        <f t="shared" si="84"/>
        <v>3</v>
      </c>
      <c r="BN318" s="23">
        <f t="shared" si="83"/>
        <v>0.47368421052631576</v>
      </c>
      <c r="BO318" s="23">
        <f t="shared" si="83"/>
        <v>0</v>
      </c>
      <c r="BP318" s="7" t="e">
        <f>VLOOKUP(A318,[1]Sheet15!B:E,4,0)</f>
        <v>#N/A</v>
      </c>
      <c r="BQ318" s="7" t="e">
        <f>VLOOKUP(A318,[1]Sheet15!B:E,3,0)</f>
        <v>#N/A</v>
      </c>
    </row>
    <row r="319" spans="1:69" ht="22.5" customHeight="1" x14ac:dyDescent="0.25">
      <c r="A319" s="15" t="s">
        <v>829</v>
      </c>
      <c r="B319" s="15" t="str">
        <f>VLOOKUP(A319,'[1]Master clients'!F313:W3860,17,0)</f>
        <v>Apr</v>
      </c>
      <c r="C319" s="15" t="str">
        <f>VLOOKUP(A319,'[1]Master clients'!F313:P3860,11,0)</f>
        <v>AV</v>
      </c>
      <c r="D319" s="15" t="str">
        <f>VLOOKUP(A319,'[1]Master clients'!F:M,8,0)</f>
        <v>End User</v>
      </c>
      <c r="E319" s="16" t="s">
        <v>830</v>
      </c>
      <c r="F319" s="16" t="s">
        <v>100</v>
      </c>
      <c r="G319" s="17">
        <v>4</v>
      </c>
      <c r="H319" s="17">
        <v>0</v>
      </c>
      <c r="I319" s="18">
        <v>4</v>
      </c>
      <c r="J319" s="18">
        <v>0</v>
      </c>
      <c r="K319" s="17">
        <v>0</v>
      </c>
      <c r="L319" s="17">
        <v>0</v>
      </c>
      <c r="M319" s="17">
        <v>0</v>
      </c>
      <c r="N319" s="17">
        <v>0</v>
      </c>
      <c r="O319" s="19">
        <v>0</v>
      </c>
      <c r="P319" s="19">
        <v>10</v>
      </c>
      <c r="Q319" s="19">
        <v>7</v>
      </c>
      <c r="R319" s="19">
        <v>0</v>
      </c>
      <c r="S319" s="19">
        <v>0</v>
      </c>
      <c r="T319" s="19">
        <v>0</v>
      </c>
      <c r="U319" s="19">
        <v>0</v>
      </c>
      <c r="V319" s="19">
        <v>0</v>
      </c>
      <c r="W319" s="20">
        <v>0</v>
      </c>
      <c r="X319" s="20">
        <v>0</v>
      </c>
      <c r="Y319" s="19">
        <v>0</v>
      </c>
      <c r="Z319" s="19">
        <v>0</v>
      </c>
      <c r="AA319" s="19">
        <v>0</v>
      </c>
      <c r="AB319" s="19">
        <v>0</v>
      </c>
      <c r="AC319" s="19">
        <v>0</v>
      </c>
      <c r="AD319" s="19">
        <v>0</v>
      </c>
      <c r="AE319" s="19">
        <v>0</v>
      </c>
      <c r="AF319" s="19">
        <v>0</v>
      </c>
      <c r="AG319" s="19">
        <v>0</v>
      </c>
      <c r="AH319" s="19">
        <v>0</v>
      </c>
      <c r="AI319" s="20">
        <v>0</v>
      </c>
      <c r="AJ319" s="20">
        <v>0</v>
      </c>
      <c r="AK319" s="19">
        <v>0</v>
      </c>
      <c r="AL319" s="20">
        <v>0</v>
      </c>
      <c r="AM319" s="19">
        <v>0</v>
      </c>
      <c r="AN319" s="19">
        <v>0</v>
      </c>
      <c r="AO319" s="19">
        <v>0</v>
      </c>
      <c r="AP319" s="19">
        <v>0</v>
      </c>
      <c r="AQ319" s="19">
        <v>0</v>
      </c>
      <c r="AR319" s="19">
        <v>0</v>
      </c>
      <c r="AS319" s="19">
        <v>0</v>
      </c>
      <c r="AT319" s="19">
        <v>0</v>
      </c>
      <c r="AU319" s="19">
        <v>0</v>
      </c>
      <c r="AV319" s="19">
        <v>0</v>
      </c>
      <c r="AW319" s="20">
        <v>0</v>
      </c>
      <c r="AX319" s="20">
        <v>0</v>
      </c>
      <c r="AY319" s="20">
        <v>0</v>
      </c>
      <c r="AZ319" s="19">
        <v>0</v>
      </c>
      <c r="BA319" s="19">
        <v>0</v>
      </c>
      <c r="BB319" s="19">
        <v>0</v>
      </c>
      <c r="BC319" s="19">
        <v>0</v>
      </c>
      <c r="BD319" s="19">
        <v>0</v>
      </c>
      <c r="BE319" s="21">
        <v>0</v>
      </c>
      <c r="BF319" s="21">
        <v>0</v>
      </c>
      <c r="BG319" s="19">
        <v>0</v>
      </c>
      <c r="BH319" s="19">
        <v>0</v>
      </c>
      <c r="BI319" s="22">
        <f t="shared" si="85"/>
        <v>10</v>
      </c>
      <c r="BJ319" s="22">
        <f t="shared" si="86"/>
        <v>7</v>
      </c>
      <c r="BK319" s="22">
        <f t="shared" si="87"/>
        <v>21</v>
      </c>
      <c r="BL319" s="22">
        <f t="shared" si="88"/>
        <v>14</v>
      </c>
      <c r="BM319" s="22">
        <f t="shared" si="84"/>
        <v>7</v>
      </c>
      <c r="BN319" s="23">
        <f t="shared" si="83"/>
        <v>0.2857142857142857</v>
      </c>
      <c r="BO319" s="23">
        <f t="shared" si="83"/>
        <v>0</v>
      </c>
      <c r="BP319" s="7" t="e">
        <f>VLOOKUP(A319,[1]Sheet15!B:E,4,0)</f>
        <v>#N/A</v>
      </c>
      <c r="BQ319" s="7" t="e">
        <f>VLOOKUP(A319,[1]Sheet15!B:E,3,0)</f>
        <v>#N/A</v>
      </c>
    </row>
    <row r="320" spans="1:69" ht="22.5" customHeight="1" x14ac:dyDescent="0.25">
      <c r="A320" s="15" t="s">
        <v>831</v>
      </c>
      <c r="B320" s="15" t="str">
        <f>VLOOKUP(A320,'[1]Master clients'!F314:W3861,17,0)</f>
        <v>Mar</v>
      </c>
      <c r="C320" s="15" t="str">
        <f>VLOOKUP(A320,'[1]Master clients'!F314:P3861,11,0)</f>
        <v>NI</v>
      </c>
      <c r="D320" s="15" t="str">
        <f>VLOOKUP(A320,'[1]Master clients'!F:M,8,0)</f>
        <v>Group (Mills)</v>
      </c>
      <c r="E320" s="24" t="s">
        <v>832</v>
      </c>
      <c r="F320" s="25" t="s">
        <v>833</v>
      </c>
      <c r="G320" s="20">
        <v>0</v>
      </c>
      <c r="H320" s="20">
        <v>0</v>
      </c>
      <c r="I320" s="26">
        <v>8</v>
      </c>
      <c r="J320" s="26">
        <v>0</v>
      </c>
      <c r="K320" s="20">
        <v>0</v>
      </c>
      <c r="L320" s="20">
        <v>0</v>
      </c>
      <c r="M320" s="20">
        <v>0</v>
      </c>
      <c r="N320" s="20">
        <v>0</v>
      </c>
      <c r="O320" s="20">
        <v>2</v>
      </c>
      <c r="P320" s="20">
        <v>0</v>
      </c>
      <c r="Q320" s="20">
        <v>4</v>
      </c>
      <c r="R320" s="20">
        <v>0</v>
      </c>
      <c r="S320" s="20">
        <v>0</v>
      </c>
      <c r="T320" s="20">
        <v>0</v>
      </c>
      <c r="U320" s="20">
        <v>0</v>
      </c>
      <c r="V320" s="20">
        <v>0</v>
      </c>
      <c r="W320" s="20">
        <v>0</v>
      </c>
      <c r="X320" s="20">
        <v>4</v>
      </c>
      <c r="Y320" s="20">
        <v>0</v>
      </c>
      <c r="Z320" s="20">
        <v>0</v>
      </c>
      <c r="AA320" s="20">
        <v>0</v>
      </c>
      <c r="AB320" s="20">
        <v>0</v>
      </c>
      <c r="AC320" s="20">
        <v>0</v>
      </c>
      <c r="AD320" s="20">
        <v>0</v>
      </c>
      <c r="AE320" s="20">
        <v>0</v>
      </c>
      <c r="AF320" s="20">
        <v>0</v>
      </c>
      <c r="AG320" s="20">
        <v>0</v>
      </c>
      <c r="AH320" s="20">
        <v>0</v>
      </c>
      <c r="AI320" s="20">
        <v>0</v>
      </c>
      <c r="AJ320" s="20">
        <v>0</v>
      </c>
      <c r="AK320" s="20">
        <v>0</v>
      </c>
      <c r="AL320" s="20">
        <v>0</v>
      </c>
      <c r="AM320" s="20">
        <v>0</v>
      </c>
      <c r="AN320" s="20">
        <v>0</v>
      </c>
      <c r="AO320" s="20">
        <v>0</v>
      </c>
      <c r="AP320" s="20">
        <v>0</v>
      </c>
      <c r="AQ320" s="20">
        <v>0</v>
      </c>
      <c r="AR320" s="20">
        <v>0</v>
      </c>
      <c r="AS320" s="20">
        <v>0</v>
      </c>
      <c r="AT320" s="20">
        <v>0</v>
      </c>
      <c r="AU320" s="20">
        <v>0</v>
      </c>
      <c r="AV320" s="20">
        <v>0</v>
      </c>
      <c r="AW320" s="20">
        <v>0</v>
      </c>
      <c r="AX320" s="20">
        <v>0</v>
      </c>
      <c r="AY320" s="20">
        <v>0</v>
      </c>
      <c r="AZ320" s="20">
        <v>0</v>
      </c>
      <c r="BA320" s="20">
        <v>0</v>
      </c>
      <c r="BB320" s="27">
        <v>0</v>
      </c>
      <c r="BC320" s="20">
        <v>0</v>
      </c>
      <c r="BD320" s="20">
        <v>0</v>
      </c>
      <c r="BE320" s="21">
        <v>0</v>
      </c>
      <c r="BF320" s="21">
        <v>0</v>
      </c>
      <c r="BG320" s="20">
        <v>0</v>
      </c>
      <c r="BH320" s="20">
        <v>0</v>
      </c>
      <c r="BI320" s="22">
        <f t="shared" si="85"/>
        <v>0</v>
      </c>
      <c r="BJ320" s="22">
        <f t="shared" si="86"/>
        <v>10</v>
      </c>
      <c r="BK320" s="28">
        <f t="shared" si="87"/>
        <v>18</v>
      </c>
      <c r="BL320" s="22">
        <f t="shared" si="88"/>
        <v>8</v>
      </c>
      <c r="BM320" s="22">
        <f t="shared" si="84"/>
        <v>10</v>
      </c>
      <c r="BN320" s="23">
        <f t="shared" si="83"/>
        <v>1</v>
      </c>
      <c r="BO320" s="23">
        <f t="shared" si="83"/>
        <v>0</v>
      </c>
      <c r="BP320" s="7">
        <f>VLOOKUP(A320,[1]Sheet15!B:E,4,0)</f>
        <v>10</v>
      </c>
      <c r="BQ320" s="7">
        <f>VLOOKUP(A320,[1]Sheet15!B:E,3,0)</f>
        <v>0</v>
      </c>
    </row>
    <row r="321" spans="1:69" ht="22.5" customHeight="1" x14ac:dyDescent="0.25">
      <c r="A321" s="15" t="s">
        <v>834</v>
      </c>
      <c r="B321" s="15" t="e">
        <f>VLOOKUP(A321,'[1]Master clients'!F315:W3862,17,0)</f>
        <v>#N/A</v>
      </c>
      <c r="C321" s="15" t="e">
        <f>VLOOKUP(A321,'[1]Master clients'!F315:P3862,11,0)</f>
        <v>#N/A</v>
      </c>
      <c r="D321" s="15" t="str">
        <f>VLOOKUP(A321,'[1]Master clients'!F:M,8,0)</f>
        <v>End User</v>
      </c>
      <c r="E321" s="24" t="s">
        <v>835</v>
      </c>
      <c r="F321" s="25" t="s">
        <v>836</v>
      </c>
      <c r="G321" s="20">
        <v>0</v>
      </c>
      <c r="H321" s="20">
        <v>0</v>
      </c>
      <c r="I321" s="26">
        <v>21</v>
      </c>
      <c r="J321" s="26">
        <v>1</v>
      </c>
      <c r="K321" s="20">
        <v>0</v>
      </c>
      <c r="L321" s="20">
        <v>2</v>
      </c>
      <c r="M321" s="20">
        <v>0</v>
      </c>
      <c r="N321" s="20">
        <v>14</v>
      </c>
      <c r="O321" s="20">
        <v>2</v>
      </c>
      <c r="P321" s="20">
        <v>0</v>
      </c>
      <c r="Q321" s="20">
        <v>0</v>
      </c>
      <c r="R321" s="20">
        <v>0</v>
      </c>
      <c r="S321" s="20">
        <v>0</v>
      </c>
      <c r="T321" s="20">
        <v>0</v>
      </c>
      <c r="U321" s="20">
        <v>0</v>
      </c>
      <c r="V321" s="20">
        <v>0</v>
      </c>
      <c r="W321" s="20">
        <v>0</v>
      </c>
      <c r="X321" s="20">
        <v>0</v>
      </c>
      <c r="Y321" s="20">
        <v>0</v>
      </c>
      <c r="Z321" s="20">
        <v>0</v>
      </c>
      <c r="AA321" s="20">
        <v>0</v>
      </c>
      <c r="AB321" s="20">
        <v>0</v>
      </c>
      <c r="AC321" s="20">
        <v>0</v>
      </c>
      <c r="AD321" s="20">
        <v>0</v>
      </c>
      <c r="AE321" s="20">
        <v>0</v>
      </c>
      <c r="AF321" s="20">
        <v>0</v>
      </c>
      <c r="AG321" s="20">
        <v>0</v>
      </c>
      <c r="AH321" s="20">
        <v>0</v>
      </c>
      <c r="AI321" s="20">
        <v>0</v>
      </c>
      <c r="AJ321" s="20">
        <v>0</v>
      </c>
      <c r="AK321" s="20">
        <v>0</v>
      </c>
      <c r="AL321" s="20">
        <v>0</v>
      </c>
      <c r="AM321" s="20">
        <v>0</v>
      </c>
      <c r="AN321" s="20">
        <v>0</v>
      </c>
      <c r="AO321" s="20">
        <v>0</v>
      </c>
      <c r="AP321" s="20">
        <v>0</v>
      </c>
      <c r="AQ321" s="20">
        <v>0</v>
      </c>
      <c r="AR321" s="20">
        <v>0</v>
      </c>
      <c r="AS321" s="20">
        <v>0</v>
      </c>
      <c r="AT321" s="20">
        <v>0</v>
      </c>
      <c r="AU321" s="19">
        <v>0</v>
      </c>
      <c r="AV321" s="20">
        <v>0</v>
      </c>
      <c r="AW321" s="20">
        <v>0</v>
      </c>
      <c r="AX321" s="20">
        <v>0</v>
      </c>
      <c r="AY321" s="20">
        <v>0</v>
      </c>
      <c r="AZ321" s="20">
        <v>0</v>
      </c>
      <c r="BA321" s="19">
        <v>0</v>
      </c>
      <c r="BB321" s="27">
        <v>0</v>
      </c>
      <c r="BC321" s="19">
        <v>0</v>
      </c>
      <c r="BD321" s="19">
        <v>0</v>
      </c>
      <c r="BE321" s="21">
        <v>0</v>
      </c>
      <c r="BF321" s="21">
        <v>0</v>
      </c>
      <c r="BG321" s="19">
        <v>0</v>
      </c>
      <c r="BH321" s="19">
        <v>0</v>
      </c>
      <c r="BI321" s="22">
        <f t="shared" si="85"/>
        <v>2</v>
      </c>
      <c r="BJ321" s="22">
        <f t="shared" si="86"/>
        <v>16</v>
      </c>
      <c r="BK321" s="28">
        <f t="shared" si="87"/>
        <v>40</v>
      </c>
      <c r="BL321" s="22">
        <f t="shared" si="88"/>
        <v>23</v>
      </c>
      <c r="BM321" s="22">
        <f t="shared" si="84"/>
        <v>17</v>
      </c>
      <c r="BN321" s="23">
        <f t="shared" si="83"/>
        <v>0.91304347826086951</v>
      </c>
      <c r="BO321" s="23">
        <f t="shared" si="83"/>
        <v>5.8823529411764705E-2</v>
      </c>
      <c r="BP321" s="7">
        <f>VLOOKUP(A321,[1]Sheet15!B:E,4,0)</f>
        <v>11</v>
      </c>
      <c r="BQ321" s="7">
        <f>VLOOKUP(A321,[1]Sheet15!B:E,3,0)</f>
        <v>2</v>
      </c>
    </row>
    <row r="322" spans="1:69" ht="22.5" customHeight="1" x14ac:dyDescent="0.25">
      <c r="A322" s="15" t="s">
        <v>837</v>
      </c>
      <c r="B322" s="15">
        <f>VLOOKUP(A322,'[1]Master clients'!F316:W3863,17,0)</f>
        <v>0</v>
      </c>
      <c r="C322" s="15" t="str">
        <f>VLOOKUP(A322,'[1]Master clients'!F316:P3863,11,0)</f>
        <v>NI</v>
      </c>
      <c r="D322" s="15" t="str">
        <f>VLOOKUP(A322,'[1]Master clients'!F:M,8,0)</f>
        <v>End User</v>
      </c>
      <c r="E322" s="24" t="s">
        <v>838</v>
      </c>
      <c r="F322" s="25" t="s">
        <v>836</v>
      </c>
      <c r="G322" s="20">
        <v>0</v>
      </c>
      <c r="H322" s="20">
        <v>0</v>
      </c>
      <c r="I322" s="26">
        <v>14</v>
      </c>
      <c r="J322" s="26">
        <v>0</v>
      </c>
      <c r="K322" s="20">
        <v>2</v>
      </c>
      <c r="L322" s="20">
        <v>7</v>
      </c>
      <c r="M322" s="20">
        <v>0</v>
      </c>
      <c r="N322" s="20">
        <v>6</v>
      </c>
      <c r="O322" s="20">
        <v>8</v>
      </c>
      <c r="P322" s="20">
        <v>0</v>
      </c>
      <c r="Q322" s="20">
        <v>4</v>
      </c>
      <c r="R322" s="20">
        <v>0</v>
      </c>
      <c r="S322" s="20">
        <v>0</v>
      </c>
      <c r="T322" s="20">
        <v>0</v>
      </c>
      <c r="U322" s="20">
        <v>0</v>
      </c>
      <c r="V322" s="20">
        <v>0</v>
      </c>
      <c r="W322" s="20">
        <v>0</v>
      </c>
      <c r="X322" s="20">
        <v>0</v>
      </c>
      <c r="Y322" s="20">
        <v>0</v>
      </c>
      <c r="Z322" s="20">
        <v>0</v>
      </c>
      <c r="AA322" s="20">
        <v>0</v>
      </c>
      <c r="AB322" s="20">
        <v>0</v>
      </c>
      <c r="AC322" s="20">
        <v>0</v>
      </c>
      <c r="AD322" s="20">
        <v>0</v>
      </c>
      <c r="AE322" s="20">
        <v>0</v>
      </c>
      <c r="AF322" s="20">
        <v>0</v>
      </c>
      <c r="AG322" s="20">
        <v>0</v>
      </c>
      <c r="AH322" s="20">
        <v>0</v>
      </c>
      <c r="AI322" s="20">
        <v>0</v>
      </c>
      <c r="AJ322" s="20">
        <v>0</v>
      </c>
      <c r="AK322" s="20">
        <v>0</v>
      </c>
      <c r="AL322" s="20">
        <v>0</v>
      </c>
      <c r="AM322" s="20">
        <v>0</v>
      </c>
      <c r="AN322" s="20">
        <v>0</v>
      </c>
      <c r="AO322" s="20">
        <v>0</v>
      </c>
      <c r="AP322" s="20">
        <v>0</v>
      </c>
      <c r="AQ322" s="20">
        <v>0</v>
      </c>
      <c r="AR322" s="20">
        <v>0</v>
      </c>
      <c r="AS322" s="20">
        <v>0</v>
      </c>
      <c r="AT322" s="20">
        <v>0</v>
      </c>
      <c r="AU322" s="20">
        <v>0</v>
      </c>
      <c r="AV322" s="20">
        <v>0</v>
      </c>
      <c r="AW322" s="20">
        <v>0</v>
      </c>
      <c r="AX322" s="20">
        <v>0</v>
      </c>
      <c r="AY322" s="20">
        <v>0</v>
      </c>
      <c r="AZ322" s="20">
        <v>0</v>
      </c>
      <c r="BA322" s="20">
        <v>0</v>
      </c>
      <c r="BB322" s="27">
        <v>0</v>
      </c>
      <c r="BC322" s="20">
        <v>0</v>
      </c>
      <c r="BD322" s="20">
        <v>0</v>
      </c>
      <c r="BE322" s="21">
        <v>0</v>
      </c>
      <c r="BF322" s="21">
        <v>0</v>
      </c>
      <c r="BG322" s="20">
        <v>0</v>
      </c>
      <c r="BH322" s="20">
        <v>0</v>
      </c>
      <c r="BI322" s="22">
        <f t="shared" si="85"/>
        <v>9</v>
      </c>
      <c r="BJ322" s="22">
        <f t="shared" si="86"/>
        <v>18</v>
      </c>
      <c r="BK322" s="28">
        <f t="shared" si="87"/>
        <v>41</v>
      </c>
      <c r="BL322" s="22">
        <f t="shared" si="88"/>
        <v>23</v>
      </c>
      <c r="BM322" s="22">
        <f t="shared" si="84"/>
        <v>18</v>
      </c>
      <c r="BN322" s="23">
        <f t="shared" si="83"/>
        <v>0.60869565217391308</v>
      </c>
      <c r="BO322" s="23">
        <f t="shared" si="83"/>
        <v>0</v>
      </c>
      <c r="BP322" s="7">
        <f>VLOOKUP(A322,[1]Sheet15!B:E,4,0)</f>
        <v>8</v>
      </c>
      <c r="BQ322" s="7">
        <f>VLOOKUP(A322,[1]Sheet15!B:E,3,0)</f>
        <v>0</v>
      </c>
    </row>
    <row r="323" spans="1:69" ht="22.5" customHeight="1" x14ac:dyDescent="0.25">
      <c r="A323" s="15" t="s">
        <v>839</v>
      </c>
      <c r="B323" s="15">
        <f>VLOOKUP(A323,'[1]Master clients'!F317:W3864,17,0)</f>
        <v>0</v>
      </c>
      <c r="C323" s="15" t="str">
        <f>VLOOKUP(A323,'[1]Master clients'!F317:P3864,11,0)</f>
        <v>NI</v>
      </c>
      <c r="D323" s="15" t="str">
        <f>VLOOKUP(A323,'[1]Master clients'!F:M,8,0)</f>
        <v>End User</v>
      </c>
      <c r="E323" s="16" t="s">
        <v>840</v>
      </c>
      <c r="F323" s="16" t="s">
        <v>836</v>
      </c>
      <c r="G323" s="17"/>
      <c r="H323" s="17"/>
      <c r="I323" s="31">
        <v>0</v>
      </c>
      <c r="J323" s="31">
        <v>0</v>
      </c>
      <c r="K323" s="17">
        <v>0</v>
      </c>
      <c r="L323" s="17">
        <v>0</v>
      </c>
      <c r="M323" s="17">
        <v>0</v>
      </c>
      <c r="N323" s="17">
        <v>0</v>
      </c>
      <c r="O323" s="17">
        <v>0</v>
      </c>
      <c r="P323" s="17">
        <v>0</v>
      </c>
      <c r="Q323" s="17">
        <v>0</v>
      </c>
      <c r="R323" s="17">
        <v>0</v>
      </c>
      <c r="S323" s="17">
        <v>0</v>
      </c>
      <c r="T323" s="17">
        <v>0</v>
      </c>
      <c r="U323" s="17">
        <v>0</v>
      </c>
      <c r="V323" s="17">
        <v>0</v>
      </c>
      <c r="W323" s="17">
        <v>0</v>
      </c>
      <c r="X323" s="17">
        <v>0</v>
      </c>
      <c r="Y323" s="17">
        <v>0</v>
      </c>
      <c r="Z323" s="17">
        <v>0</v>
      </c>
      <c r="AA323" s="17">
        <v>0</v>
      </c>
      <c r="AB323" s="17">
        <v>0</v>
      </c>
      <c r="AC323" s="17">
        <v>0</v>
      </c>
      <c r="AD323" s="17">
        <v>0</v>
      </c>
      <c r="AE323" s="17">
        <v>0</v>
      </c>
      <c r="AF323" s="17">
        <v>0</v>
      </c>
      <c r="AG323" s="17">
        <v>0</v>
      </c>
      <c r="AH323" s="17">
        <v>0</v>
      </c>
      <c r="AI323" s="17">
        <v>0</v>
      </c>
      <c r="AJ323" s="17">
        <v>0</v>
      </c>
      <c r="AK323" s="17">
        <v>0</v>
      </c>
      <c r="AL323" s="17">
        <v>0</v>
      </c>
      <c r="AM323" s="17">
        <v>0</v>
      </c>
      <c r="AN323" s="17">
        <v>0</v>
      </c>
      <c r="AO323" s="17">
        <v>0</v>
      </c>
      <c r="AP323" s="17">
        <v>0</v>
      </c>
      <c r="AQ323" s="17">
        <v>0</v>
      </c>
      <c r="AR323" s="17">
        <v>0</v>
      </c>
      <c r="AS323" s="17">
        <v>0</v>
      </c>
      <c r="AT323" s="17">
        <v>0</v>
      </c>
      <c r="AU323" s="17">
        <v>0</v>
      </c>
      <c r="AV323" s="17">
        <v>0</v>
      </c>
      <c r="AW323" s="17">
        <v>0</v>
      </c>
      <c r="AX323" s="17">
        <v>0</v>
      </c>
      <c r="AY323" s="17">
        <v>0</v>
      </c>
      <c r="AZ323" s="17">
        <v>0</v>
      </c>
      <c r="BA323" s="17">
        <v>0</v>
      </c>
      <c r="BB323" s="17">
        <v>0</v>
      </c>
      <c r="BC323" s="17">
        <v>0</v>
      </c>
      <c r="BD323" s="17">
        <v>0</v>
      </c>
      <c r="BE323" s="17">
        <v>0</v>
      </c>
      <c r="BF323" s="17">
        <v>0</v>
      </c>
      <c r="BG323" s="17">
        <v>0</v>
      </c>
      <c r="BH323" s="17">
        <v>0</v>
      </c>
      <c r="BI323" s="22">
        <f t="shared" si="85"/>
        <v>0</v>
      </c>
      <c r="BJ323" s="22">
        <f t="shared" si="86"/>
        <v>0</v>
      </c>
      <c r="BK323" s="22">
        <f t="shared" si="87"/>
        <v>0</v>
      </c>
      <c r="BL323" s="22">
        <f t="shared" si="88"/>
        <v>0</v>
      </c>
      <c r="BM323" s="22">
        <f t="shared" si="84"/>
        <v>0</v>
      </c>
      <c r="BN323" s="23" t="e">
        <f t="shared" si="83"/>
        <v>#DIV/0!</v>
      </c>
      <c r="BO323" s="23" t="e">
        <f t="shared" si="83"/>
        <v>#DIV/0!</v>
      </c>
      <c r="BP323" s="7" t="e">
        <f>VLOOKUP(A323,[1]Sheet15!B:E,4,0)</f>
        <v>#N/A</v>
      </c>
      <c r="BQ323" s="7" t="e">
        <f>VLOOKUP(A323,[1]Sheet15!B:E,3,0)</f>
        <v>#N/A</v>
      </c>
    </row>
    <row r="324" spans="1:69" ht="22.5" customHeight="1" x14ac:dyDescent="0.25">
      <c r="A324" s="15" t="s">
        <v>841</v>
      </c>
      <c r="B324" s="15">
        <f>VLOOKUP(A324,'[1]Master clients'!F318:W3865,17,0)</f>
        <v>0</v>
      </c>
      <c r="C324" s="15" t="str">
        <f>VLOOKUP(A324,'[1]Master clients'!F318:P3865,11,0)</f>
        <v>NI</v>
      </c>
      <c r="D324" s="15" t="str">
        <f>VLOOKUP(A324,'[1]Master clients'!F:M,8,0)</f>
        <v>End User</v>
      </c>
      <c r="E324" s="16" t="s">
        <v>842</v>
      </c>
      <c r="F324" s="16" t="s">
        <v>836</v>
      </c>
      <c r="G324" s="17"/>
      <c r="H324" s="17"/>
      <c r="I324" s="26">
        <v>1</v>
      </c>
      <c r="J324" s="31">
        <v>0</v>
      </c>
      <c r="K324" s="17">
        <v>0</v>
      </c>
      <c r="L324" s="17">
        <v>0</v>
      </c>
      <c r="M324" s="17">
        <v>0</v>
      </c>
      <c r="N324" s="17">
        <v>0</v>
      </c>
      <c r="O324" s="17">
        <v>0</v>
      </c>
      <c r="P324" s="17">
        <v>0</v>
      </c>
      <c r="Q324" s="17">
        <v>0</v>
      </c>
      <c r="R324" s="17">
        <v>0</v>
      </c>
      <c r="S324" s="17">
        <v>0</v>
      </c>
      <c r="T324" s="17">
        <v>0</v>
      </c>
      <c r="U324" s="17">
        <v>0</v>
      </c>
      <c r="V324" s="17">
        <v>0</v>
      </c>
      <c r="W324" s="17">
        <v>0</v>
      </c>
      <c r="X324" s="17">
        <v>0</v>
      </c>
      <c r="Y324" s="17">
        <v>0</v>
      </c>
      <c r="Z324" s="17">
        <v>0</v>
      </c>
      <c r="AA324" s="17">
        <v>0</v>
      </c>
      <c r="AB324" s="17">
        <v>0</v>
      </c>
      <c r="AC324" s="17">
        <v>0</v>
      </c>
      <c r="AD324" s="17">
        <v>0</v>
      </c>
      <c r="AE324" s="17">
        <v>0</v>
      </c>
      <c r="AF324" s="17">
        <v>0</v>
      </c>
      <c r="AG324" s="17">
        <v>0</v>
      </c>
      <c r="AH324" s="17">
        <v>0</v>
      </c>
      <c r="AI324" s="17">
        <v>0</v>
      </c>
      <c r="AJ324" s="17">
        <v>0</v>
      </c>
      <c r="AK324" s="17">
        <v>0</v>
      </c>
      <c r="AL324" s="17">
        <v>0</v>
      </c>
      <c r="AM324" s="17">
        <v>0</v>
      </c>
      <c r="AN324" s="17">
        <v>0</v>
      </c>
      <c r="AO324" s="17">
        <v>0</v>
      </c>
      <c r="AP324" s="17">
        <v>0</v>
      </c>
      <c r="AQ324" s="17">
        <v>0</v>
      </c>
      <c r="AR324" s="17">
        <v>0</v>
      </c>
      <c r="AS324" s="17">
        <v>0</v>
      </c>
      <c r="AT324" s="17">
        <v>0</v>
      </c>
      <c r="AU324" s="17">
        <v>0</v>
      </c>
      <c r="AV324" s="17">
        <v>0</v>
      </c>
      <c r="AW324" s="17">
        <v>0</v>
      </c>
      <c r="AX324" s="17">
        <v>0</v>
      </c>
      <c r="AY324" s="17">
        <v>0</v>
      </c>
      <c r="AZ324" s="17">
        <v>0</v>
      </c>
      <c r="BA324" s="17">
        <v>0</v>
      </c>
      <c r="BB324" s="17">
        <v>0</v>
      </c>
      <c r="BC324" s="17">
        <v>0</v>
      </c>
      <c r="BD324" s="17">
        <v>0</v>
      </c>
      <c r="BE324" s="17">
        <v>0</v>
      </c>
      <c r="BF324" s="17">
        <v>0</v>
      </c>
      <c r="BG324" s="17">
        <v>0</v>
      </c>
      <c r="BH324" s="17">
        <v>0</v>
      </c>
      <c r="BI324" s="22">
        <f t="shared" si="85"/>
        <v>0</v>
      </c>
      <c r="BJ324" s="22">
        <f t="shared" si="86"/>
        <v>0</v>
      </c>
      <c r="BK324" s="28">
        <f t="shared" si="87"/>
        <v>1</v>
      </c>
      <c r="BL324" s="22">
        <f t="shared" si="88"/>
        <v>1</v>
      </c>
      <c r="BM324" s="22">
        <f t="shared" si="84"/>
        <v>0</v>
      </c>
      <c r="BN324" s="23">
        <f t="shared" si="83"/>
        <v>1</v>
      </c>
      <c r="BO324" s="23" t="e">
        <f t="shared" si="83"/>
        <v>#DIV/0!</v>
      </c>
      <c r="BP324" s="7">
        <f>VLOOKUP(A324,[1]Sheet15!B:E,4,0)</f>
        <v>1</v>
      </c>
      <c r="BQ324" s="7">
        <f>VLOOKUP(A324,[1]Sheet15!B:E,3,0)</f>
        <v>0</v>
      </c>
    </row>
    <row r="325" spans="1:69" ht="22.5" customHeight="1" x14ac:dyDescent="0.25">
      <c r="A325" s="15" t="s">
        <v>843</v>
      </c>
      <c r="B325" s="15" t="str">
        <f>VLOOKUP(A325,'[1]Master clients'!F319:W3866,17,0)</f>
        <v>Mar</v>
      </c>
      <c r="C325" s="15" t="str">
        <f>VLOOKUP(A325,'[1]Master clients'!F319:P3866,11,0)</f>
        <v>NI</v>
      </c>
      <c r="D325" s="15" t="str">
        <f>VLOOKUP(A325,'[1]Master clients'!F:M,8,0)</f>
        <v>Group (Mills)</v>
      </c>
      <c r="E325" s="24" t="s">
        <v>844</v>
      </c>
      <c r="F325" s="25" t="s">
        <v>845</v>
      </c>
      <c r="G325" s="20">
        <v>29</v>
      </c>
      <c r="H325" s="20">
        <v>0</v>
      </c>
      <c r="I325" s="26">
        <v>30</v>
      </c>
      <c r="J325" s="26">
        <v>0</v>
      </c>
      <c r="K325" s="20">
        <v>0</v>
      </c>
      <c r="L325" s="20">
        <v>4</v>
      </c>
      <c r="M325" s="20">
        <v>0</v>
      </c>
      <c r="N325" s="20">
        <v>0</v>
      </c>
      <c r="O325" s="20">
        <v>0</v>
      </c>
      <c r="P325" s="20">
        <v>0</v>
      </c>
      <c r="Q325" s="20">
        <v>4</v>
      </c>
      <c r="R325" s="20">
        <v>0</v>
      </c>
      <c r="S325" s="20">
        <v>0</v>
      </c>
      <c r="T325" s="20">
        <v>0</v>
      </c>
      <c r="U325" s="20">
        <v>0</v>
      </c>
      <c r="V325" s="20">
        <v>0</v>
      </c>
      <c r="W325" s="20">
        <v>0</v>
      </c>
      <c r="X325" s="20">
        <v>3</v>
      </c>
      <c r="Y325" s="20">
        <v>0</v>
      </c>
      <c r="Z325" s="20">
        <v>0</v>
      </c>
      <c r="AA325" s="20">
        <v>0</v>
      </c>
      <c r="AB325" s="20">
        <v>0</v>
      </c>
      <c r="AC325" s="20">
        <v>0</v>
      </c>
      <c r="AD325" s="20">
        <v>0</v>
      </c>
      <c r="AE325" s="20">
        <v>0</v>
      </c>
      <c r="AF325" s="20">
        <v>0</v>
      </c>
      <c r="AG325" s="20">
        <v>0</v>
      </c>
      <c r="AH325" s="20">
        <v>0</v>
      </c>
      <c r="AI325" s="20">
        <v>0</v>
      </c>
      <c r="AJ325" s="20">
        <v>0</v>
      </c>
      <c r="AK325" s="20">
        <v>0</v>
      </c>
      <c r="AL325" s="20">
        <v>0</v>
      </c>
      <c r="AM325" s="20">
        <v>0</v>
      </c>
      <c r="AN325" s="20">
        <v>0</v>
      </c>
      <c r="AO325" s="20">
        <v>0</v>
      </c>
      <c r="AP325" s="20">
        <v>0</v>
      </c>
      <c r="AQ325" s="20">
        <v>0</v>
      </c>
      <c r="AR325" s="20">
        <v>0</v>
      </c>
      <c r="AS325" s="20">
        <v>0</v>
      </c>
      <c r="AT325" s="20">
        <v>0</v>
      </c>
      <c r="AU325" s="20">
        <v>0</v>
      </c>
      <c r="AV325" s="20">
        <v>0</v>
      </c>
      <c r="AW325" s="20">
        <v>0</v>
      </c>
      <c r="AX325" s="20">
        <v>0</v>
      </c>
      <c r="AY325" s="20">
        <v>0</v>
      </c>
      <c r="AZ325" s="20">
        <v>0</v>
      </c>
      <c r="BA325" s="20">
        <v>0</v>
      </c>
      <c r="BB325" s="27">
        <v>0</v>
      </c>
      <c r="BC325" s="20">
        <v>0</v>
      </c>
      <c r="BD325" s="20">
        <v>0</v>
      </c>
      <c r="BE325" s="21">
        <v>0</v>
      </c>
      <c r="BF325" s="21">
        <v>0</v>
      </c>
      <c r="BG325" s="20">
        <v>0</v>
      </c>
      <c r="BH325" s="20">
        <v>0</v>
      </c>
      <c r="BI325" s="22">
        <f t="shared" si="85"/>
        <v>4</v>
      </c>
      <c r="BJ325" s="22">
        <f t="shared" si="86"/>
        <v>7</v>
      </c>
      <c r="BK325" s="28">
        <f t="shared" si="87"/>
        <v>41</v>
      </c>
      <c r="BL325" s="22">
        <f t="shared" si="88"/>
        <v>34</v>
      </c>
      <c r="BM325" s="22">
        <f t="shared" si="84"/>
        <v>7</v>
      </c>
      <c r="BN325" s="23">
        <f t="shared" ref="BN325:BO340" si="89">I325/BL325</f>
        <v>0.88235294117647056</v>
      </c>
      <c r="BO325" s="23">
        <f t="shared" si="89"/>
        <v>0</v>
      </c>
      <c r="BP325" s="7">
        <f>VLOOKUP(A325,[1]Sheet15!B:E,4,0)</f>
        <v>26</v>
      </c>
      <c r="BQ325" s="7">
        <f>VLOOKUP(A325,[1]Sheet15!B:E,3,0)</f>
        <v>0</v>
      </c>
    </row>
    <row r="326" spans="1:69" ht="22.5" customHeight="1" x14ac:dyDescent="0.25">
      <c r="A326" s="15" t="s">
        <v>846</v>
      </c>
      <c r="B326" s="15" t="e">
        <f>VLOOKUP(A326,'[1]Master clients'!F320:W3867,17,0)</f>
        <v>#N/A</v>
      </c>
      <c r="C326" s="15" t="e">
        <f>VLOOKUP(A326,'[1]Master clients'!F320:P3867,11,0)</f>
        <v>#N/A</v>
      </c>
      <c r="D326" s="15" t="str">
        <f>VLOOKUP(A326,'[1]Master clients'!F:M,8,0)</f>
        <v>Group (Mills)</v>
      </c>
      <c r="E326" s="16" t="s">
        <v>847</v>
      </c>
      <c r="F326" s="16" t="s">
        <v>848</v>
      </c>
      <c r="G326" s="17"/>
      <c r="H326" s="17"/>
      <c r="I326" s="26">
        <v>2</v>
      </c>
      <c r="J326" s="18">
        <v>0</v>
      </c>
      <c r="K326" s="17">
        <v>0</v>
      </c>
      <c r="L326" s="17">
        <v>0</v>
      </c>
      <c r="M326" s="17">
        <v>0</v>
      </c>
      <c r="N326" s="17">
        <v>0</v>
      </c>
      <c r="O326" s="17">
        <v>0</v>
      </c>
      <c r="P326" s="17">
        <v>0</v>
      </c>
      <c r="Q326" s="17">
        <v>0</v>
      </c>
      <c r="R326" s="17">
        <v>0</v>
      </c>
      <c r="S326" s="17">
        <v>0</v>
      </c>
      <c r="T326" s="17">
        <v>0</v>
      </c>
      <c r="U326" s="17">
        <v>0</v>
      </c>
      <c r="V326" s="17">
        <v>0</v>
      </c>
      <c r="W326" s="17">
        <v>0</v>
      </c>
      <c r="X326" s="17">
        <v>0</v>
      </c>
      <c r="Y326" s="17">
        <v>0</v>
      </c>
      <c r="Z326" s="17">
        <v>0</v>
      </c>
      <c r="AA326" s="17">
        <v>0</v>
      </c>
      <c r="AB326" s="17">
        <v>0</v>
      </c>
      <c r="AC326" s="17">
        <v>0</v>
      </c>
      <c r="AD326" s="17">
        <v>0</v>
      </c>
      <c r="AE326" s="17">
        <v>0</v>
      </c>
      <c r="AF326" s="17">
        <v>0</v>
      </c>
      <c r="AG326" s="17">
        <v>0</v>
      </c>
      <c r="AH326" s="17">
        <v>0</v>
      </c>
      <c r="AI326" s="17">
        <v>0</v>
      </c>
      <c r="AJ326" s="17">
        <v>0</v>
      </c>
      <c r="AK326" s="17">
        <v>0</v>
      </c>
      <c r="AL326" s="17">
        <v>0</v>
      </c>
      <c r="AM326" s="17">
        <v>0</v>
      </c>
      <c r="AN326" s="17">
        <v>0</v>
      </c>
      <c r="AO326" s="17">
        <v>0</v>
      </c>
      <c r="AP326" s="17">
        <v>0</v>
      </c>
      <c r="AQ326" s="17">
        <v>0</v>
      </c>
      <c r="AR326" s="17">
        <v>0</v>
      </c>
      <c r="AS326" s="17">
        <v>0</v>
      </c>
      <c r="AT326" s="17">
        <v>0</v>
      </c>
      <c r="AU326" s="17">
        <v>0</v>
      </c>
      <c r="AV326" s="17">
        <v>0</v>
      </c>
      <c r="AW326" s="17">
        <v>0</v>
      </c>
      <c r="AX326" s="17">
        <v>0</v>
      </c>
      <c r="AY326" s="17">
        <v>0</v>
      </c>
      <c r="AZ326" s="17">
        <v>0</v>
      </c>
      <c r="BA326" s="17">
        <v>0</v>
      </c>
      <c r="BB326" s="17">
        <v>0</v>
      </c>
      <c r="BC326" s="17">
        <v>0</v>
      </c>
      <c r="BD326" s="17">
        <v>0</v>
      </c>
      <c r="BE326" s="17">
        <v>0</v>
      </c>
      <c r="BF326" s="17">
        <v>0</v>
      </c>
      <c r="BG326" s="17">
        <v>0</v>
      </c>
      <c r="BH326" s="17">
        <v>0</v>
      </c>
      <c r="BI326" s="22">
        <f t="shared" si="85"/>
        <v>0</v>
      </c>
      <c r="BJ326" s="22">
        <f t="shared" si="86"/>
        <v>0</v>
      </c>
      <c r="BK326" s="22">
        <f t="shared" si="87"/>
        <v>2</v>
      </c>
      <c r="BL326" s="22">
        <f t="shared" si="88"/>
        <v>2</v>
      </c>
      <c r="BM326" s="22">
        <f t="shared" si="84"/>
        <v>0</v>
      </c>
      <c r="BN326" s="23">
        <f t="shared" si="89"/>
        <v>1</v>
      </c>
      <c r="BO326" s="23" t="e">
        <f t="shared" si="89"/>
        <v>#DIV/0!</v>
      </c>
      <c r="BP326" s="7">
        <f>VLOOKUP(A326,[1]Sheet15!B:E,4,0)</f>
        <v>2</v>
      </c>
      <c r="BQ326" s="7">
        <f>VLOOKUP(A326,[1]Sheet15!B:E,3,0)</f>
        <v>0</v>
      </c>
    </row>
    <row r="327" spans="1:69" ht="22.5" customHeight="1" x14ac:dyDescent="0.25">
      <c r="A327" s="15" t="s">
        <v>849</v>
      </c>
      <c r="B327" s="15">
        <f>VLOOKUP(A327,'[1]Master clients'!F321:W3868,17,0)</f>
        <v>0</v>
      </c>
      <c r="C327" s="15" t="str">
        <f>VLOOKUP(A327,'[1]Master clients'!F321:P3868,11,0)</f>
        <v>NI</v>
      </c>
      <c r="D327" s="15" t="str">
        <f>VLOOKUP(A327,'[1]Master clients'!F:M,8,0)</f>
        <v>End User</v>
      </c>
      <c r="E327" s="24" t="s">
        <v>850</v>
      </c>
      <c r="F327" s="25" t="s">
        <v>848</v>
      </c>
      <c r="G327" s="20">
        <v>0</v>
      </c>
      <c r="H327" s="20">
        <v>0</v>
      </c>
      <c r="I327" s="26">
        <v>22</v>
      </c>
      <c r="J327" s="26">
        <v>0</v>
      </c>
      <c r="K327" s="20">
        <v>24</v>
      </c>
      <c r="L327" s="20">
        <v>0</v>
      </c>
      <c r="M327" s="20">
        <v>0</v>
      </c>
      <c r="N327" s="20">
        <v>6</v>
      </c>
      <c r="O327" s="20">
        <v>0</v>
      </c>
      <c r="P327" s="20">
        <v>0</v>
      </c>
      <c r="Q327" s="20">
        <v>12</v>
      </c>
      <c r="R327" s="20">
        <v>0</v>
      </c>
      <c r="S327" s="20">
        <v>0</v>
      </c>
      <c r="T327" s="20">
        <v>0</v>
      </c>
      <c r="U327" s="20">
        <v>0</v>
      </c>
      <c r="V327" s="20">
        <v>0</v>
      </c>
      <c r="W327" s="20">
        <v>0</v>
      </c>
      <c r="X327" s="20">
        <v>0</v>
      </c>
      <c r="Y327" s="20">
        <v>0</v>
      </c>
      <c r="Z327" s="20">
        <v>0</v>
      </c>
      <c r="AA327" s="20">
        <v>0</v>
      </c>
      <c r="AB327" s="20">
        <v>0</v>
      </c>
      <c r="AC327" s="20">
        <v>0</v>
      </c>
      <c r="AD327" s="20">
        <v>0</v>
      </c>
      <c r="AE327" s="20">
        <v>0</v>
      </c>
      <c r="AF327" s="20">
        <v>0</v>
      </c>
      <c r="AG327" s="20">
        <v>0</v>
      </c>
      <c r="AH327" s="20">
        <v>0</v>
      </c>
      <c r="AI327" s="20">
        <v>0</v>
      </c>
      <c r="AJ327" s="20">
        <v>0</v>
      </c>
      <c r="AK327" s="20">
        <v>8</v>
      </c>
      <c r="AL327" s="20">
        <v>0</v>
      </c>
      <c r="AM327" s="20">
        <v>0</v>
      </c>
      <c r="AN327" s="20">
        <v>0</v>
      </c>
      <c r="AO327" s="20">
        <v>0</v>
      </c>
      <c r="AP327" s="20">
        <v>0</v>
      </c>
      <c r="AQ327" s="20">
        <v>0</v>
      </c>
      <c r="AR327" s="20">
        <v>0</v>
      </c>
      <c r="AS327" s="20">
        <v>0</v>
      </c>
      <c r="AT327" s="20">
        <v>0</v>
      </c>
      <c r="AU327" s="20">
        <v>0</v>
      </c>
      <c r="AV327" s="20">
        <v>0</v>
      </c>
      <c r="AW327" s="20">
        <v>0</v>
      </c>
      <c r="AX327" s="20">
        <v>0</v>
      </c>
      <c r="AY327" s="20">
        <v>0</v>
      </c>
      <c r="AZ327" s="20">
        <v>0</v>
      </c>
      <c r="BA327" s="20">
        <v>0</v>
      </c>
      <c r="BB327" s="27">
        <v>0</v>
      </c>
      <c r="BC327" s="20">
        <v>0</v>
      </c>
      <c r="BD327" s="20">
        <v>0</v>
      </c>
      <c r="BE327" s="21">
        <v>0</v>
      </c>
      <c r="BF327" s="21">
        <v>0</v>
      </c>
      <c r="BG327" s="20">
        <v>0</v>
      </c>
      <c r="BH327" s="20">
        <v>0</v>
      </c>
      <c r="BI327" s="22">
        <f t="shared" si="85"/>
        <v>32</v>
      </c>
      <c r="BJ327" s="22">
        <f t="shared" si="86"/>
        <v>18</v>
      </c>
      <c r="BK327" s="28">
        <f t="shared" si="87"/>
        <v>72</v>
      </c>
      <c r="BL327" s="22">
        <f t="shared" si="88"/>
        <v>54</v>
      </c>
      <c r="BM327" s="22">
        <f t="shared" si="84"/>
        <v>18</v>
      </c>
      <c r="BN327" s="23">
        <f t="shared" si="89"/>
        <v>0.40740740740740738</v>
      </c>
      <c r="BO327" s="23">
        <f t="shared" si="89"/>
        <v>0</v>
      </c>
      <c r="BP327" s="7">
        <f>VLOOKUP(A327,[1]Sheet15!B:E,4,0)</f>
        <v>2</v>
      </c>
      <c r="BQ327" s="7">
        <f>VLOOKUP(A327,[1]Sheet15!B:E,3,0)</f>
        <v>0</v>
      </c>
    </row>
    <row r="328" spans="1:69" ht="22.5" customHeight="1" x14ac:dyDescent="0.25">
      <c r="A328" s="15" t="s">
        <v>851</v>
      </c>
      <c r="B328" s="15" t="e">
        <f>VLOOKUP(A328,'[1]Master clients'!F322:W3869,17,0)</f>
        <v>#N/A</v>
      </c>
      <c r="C328" s="15" t="e">
        <f>VLOOKUP(A328,'[1]Master clients'!F322:P3869,11,0)</f>
        <v>#N/A</v>
      </c>
      <c r="D328" s="15" t="str">
        <f>VLOOKUP(A328,'[1]Master clients'!F:M,8,0)</f>
        <v>Group (Mills)</v>
      </c>
      <c r="E328" s="16" t="s">
        <v>852</v>
      </c>
      <c r="F328" s="16" t="s">
        <v>848</v>
      </c>
      <c r="G328" s="17"/>
      <c r="H328" s="17"/>
      <c r="I328" s="31">
        <v>0</v>
      </c>
      <c r="J328" s="31">
        <v>0</v>
      </c>
      <c r="K328" s="17">
        <v>0</v>
      </c>
      <c r="L328" s="17">
        <v>0</v>
      </c>
      <c r="M328" s="17">
        <v>0</v>
      </c>
      <c r="N328" s="17">
        <v>0</v>
      </c>
      <c r="O328" s="17">
        <v>0</v>
      </c>
      <c r="P328" s="17">
        <v>0</v>
      </c>
      <c r="Q328" s="17">
        <v>0</v>
      </c>
      <c r="R328" s="17">
        <v>0</v>
      </c>
      <c r="S328" s="17">
        <v>0</v>
      </c>
      <c r="T328" s="17">
        <v>0</v>
      </c>
      <c r="U328" s="17">
        <v>0</v>
      </c>
      <c r="V328" s="17">
        <v>0</v>
      </c>
      <c r="W328" s="17">
        <v>0</v>
      </c>
      <c r="X328" s="17">
        <v>0</v>
      </c>
      <c r="Y328" s="17">
        <v>0</v>
      </c>
      <c r="Z328" s="17">
        <v>0</v>
      </c>
      <c r="AA328" s="17">
        <v>0</v>
      </c>
      <c r="AB328" s="17">
        <v>0</v>
      </c>
      <c r="AC328" s="17">
        <v>0</v>
      </c>
      <c r="AD328" s="17">
        <v>0</v>
      </c>
      <c r="AE328" s="17">
        <v>0</v>
      </c>
      <c r="AF328" s="17">
        <v>0</v>
      </c>
      <c r="AG328" s="17">
        <v>0</v>
      </c>
      <c r="AH328" s="17">
        <v>0</v>
      </c>
      <c r="AI328" s="17">
        <v>0</v>
      </c>
      <c r="AJ328" s="17">
        <v>0</v>
      </c>
      <c r="AK328" s="17">
        <v>0</v>
      </c>
      <c r="AL328" s="17">
        <v>0</v>
      </c>
      <c r="AM328" s="17">
        <v>0</v>
      </c>
      <c r="AN328" s="17">
        <v>0</v>
      </c>
      <c r="AO328" s="17">
        <v>0</v>
      </c>
      <c r="AP328" s="17">
        <v>0</v>
      </c>
      <c r="AQ328" s="17">
        <v>0</v>
      </c>
      <c r="AR328" s="17">
        <v>0</v>
      </c>
      <c r="AS328" s="17">
        <v>0</v>
      </c>
      <c r="AT328" s="17">
        <v>0</v>
      </c>
      <c r="AU328" s="17">
        <v>0</v>
      </c>
      <c r="AV328" s="17">
        <v>0</v>
      </c>
      <c r="AW328" s="17">
        <v>0</v>
      </c>
      <c r="AX328" s="17">
        <v>0</v>
      </c>
      <c r="AY328" s="17">
        <v>0</v>
      </c>
      <c r="AZ328" s="17">
        <v>0</v>
      </c>
      <c r="BA328" s="17">
        <v>0</v>
      </c>
      <c r="BB328" s="17">
        <v>0</v>
      </c>
      <c r="BC328" s="17">
        <v>0</v>
      </c>
      <c r="BD328" s="17">
        <v>0</v>
      </c>
      <c r="BE328" s="17">
        <v>0</v>
      </c>
      <c r="BF328" s="17">
        <v>0</v>
      </c>
      <c r="BG328" s="17">
        <v>0</v>
      </c>
      <c r="BH328" s="17">
        <v>0</v>
      </c>
      <c r="BI328" s="22">
        <f t="shared" si="85"/>
        <v>0</v>
      </c>
      <c r="BJ328" s="22">
        <f t="shared" si="86"/>
        <v>0</v>
      </c>
      <c r="BK328" s="22">
        <f t="shared" si="87"/>
        <v>0</v>
      </c>
      <c r="BL328" s="22">
        <f t="shared" si="88"/>
        <v>0</v>
      </c>
      <c r="BM328" s="22">
        <f t="shared" si="84"/>
        <v>0</v>
      </c>
      <c r="BN328" s="23" t="e">
        <f t="shared" si="89"/>
        <v>#DIV/0!</v>
      </c>
      <c r="BO328" s="23" t="e">
        <f t="shared" si="89"/>
        <v>#DIV/0!</v>
      </c>
      <c r="BP328" s="7" t="e">
        <f>VLOOKUP(A328,[1]Sheet15!B:E,4,0)</f>
        <v>#N/A</v>
      </c>
      <c r="BQ328" s="7" t="e">
        <f>VLOOKUP(A328,[1]Sheet15!B:E,3,0)</f>
        <v>#N/A</v>
      </c>
    </row>
    <row r="329" spans="1:69" ht="22.5" customHeight="1" x14ac:dyDescent="0.25">
      <c r="A329" s="15" t="s">
        <v>853</v>
      </c>
      <c r="B329" s="15" t="e">
        <f>VLOOKUP(A329,'[1]Master clients'!F323:W3870,17,0)</f>
        <v>#N/A</v>
      </c>
      <c r="C329" s="15" t="e">
        <f>VLOOKUP(A329,'[1]Master clients'!F323:P3870,11,0)</f>
        <v>#N/A</v>
      </c>
      <c r="D329" s="15" t="str">
        <f>VLOOKUP(A329,'[1]Master clients'!F:M,8,0)</f>
        <v>Group (Mills)</v>
      </c>
      <c r="E329" s="24" t="s">
        <v>854</v>
      </c>
      <c r="F329" s="25" t="s">
        <v>848</v>
      </c>
      <c r="G329" s="20">
        <v>27</v>
      </c>
      <c r="H329" s="20">
        <v>0</v>
      </c>
      <c r="I329" s="26">
        <v>26</v>
      </c>
      <c r="J329" s="26">
        <v>0</v>
      </c>
      <c r="K329" s="20">
        <v>0</v>
      </c>
      <c r="L329" s="20">
        <v>0</v>
      </c>
      <c r="M329" s="20">
        <v>0</v>
      </c>
      <c r="N329" s="20">
        <v>0</v>
      </c>
      <c r="O329" s="20">
        <v>0</v>
      </c>
      <c r="P329" s="20">
        <v>0</v>
      </c>
      <c r="Q329" s="20">
        <v>15</v>
      </c>
      <c r="R329" s="20">
        <v>0</v>
      </c>
      <c r="S329" s="20">
        <v>0</v>
      </c>
      <c r="T329" s="20">
        <v>0</v>
      </c>
      <c r="U329" s="20">
        <v>0</v>
      </c>
      <c r="V329" s="20">
        <v>0</v>
      </c>
      <c r="W329" s="20">
        <v>0</v>
      </c>
      <c r="X329" s="20">
        <v>0</v>
      </c>
      <c r="Y329" s="20">
        <v>0</v>
      </c>
      <c r="Z329" s="20">
        <v>0</v>
      </c>
      <c r="AA329" s="20">
        <v>0</v>
      </c>
      <c r="AB329" s="20">
        <v>0</v>
      </c>
      <c r="AC329" s="20">
        <v>0</v>
      </c>
      <c r="AD329" s="20">
        <v>0</v>
      </c>
      <c r="AE329" s="20">
        <v>0</v>
      </c>
      <c r="AF329" s="20">
        <v>0</v>
      </c>
      <c r="AG329" s="20">
        <v>0</v>
      </c>
      <c r="AH329" s="20">
        <v>0</v>
      </c>
      <c r="AI329" s="20">
        <v>0</v>
      </c>
      <c r="AJ329" s="20">
        <v>5</v>
      </c>
      <c r="AK329" s="20">
        <v>0</v>
      </c>
      <c r="AL329" s="20">
        <v>0</v>
      </c>
      <c r="AM329" s="20">
        <v>0</v>
      </c>
      <c r="AN329" s="20">
        <v>0</v>
      </c>
      <c r="AO329" s="20">
        <v>0</v>
      </c>
      <c r="AP329" s="20">
        <v>0</v>
      </c>
      <c r="AQ329" s="20">
        <v>0</v>
      </c>
      <c r="AR329" s="20">
        <v>0</v>
      </c>
      <c r="AS329" s="20">
        <v>0</v>
      </c>
      <c r="AT329" s="20">
        <v>0</v>
      </c>
      <c r="AU329" s="20">
        <v>0</v>
      </c>
      <c r="AV329" s="20">
        <v>0</v>
      </c>
      <c r="AW329" s="20">
        <v>0</v>
      </c>
      <c r="AX329" s="20">
        <v>0</v>
      </c>
      <c r="AY329" s="20">
        <v>0</v>
      </c>
      <c r="AZ329" s="20">
        <v>0</v>
      </c>
      <c r="BA329" s="20">
        <v>0</v>
      </c>
      <c r="BB329" s="27">
        <v>0</v>
      </c>
      <c r="BC329" s="20">
        <v>0</v>
      </c>
      <c r="BD329" s="20">
        <v>0</v>
      </c>
      <c r="BE329" s="21">
        <v>0</v>
      </c>
      <c r="BF329" s="21">
        <v>0</v>
      </c>
      <c r="BG329" s="20">
        <v>0</v>
      </c>
      <c r="BH329" s="20">
        <v>0</v>
      </c>
      <c r="BI329" s="22">
        <f t="shared" si="85"/>
        <v>5</v>
      </c>
      <c r="BJ329" s="22">
        <f t="shared" si="86"/>
        <v>15</v>
      </c>
      <c r="BK329" s="28">
        <f t="shared" si="87"/>
        <v>46</v>
      </c>
      <c r="BL329" s="22">
        <f t="shared" si="88"/>
        <v>31</v>
      </c>
      <c r="BM329" s="22">
        <f t="shared" si="84"/>
        <v>15</v>
      </c>
      <c r="BN329" s="23">
        <f t="shared" si="89"/>
        <v>0.83870967741935487</v>
      </c>
      <c r="BO329" s="23">
        <f t="shared" si="89"/>
        <v>0</v>
      </c>
      <c r="BP329" s="7">
        <f>VLOOKUP(A329,[1]Sheet15!B:E,4,0)</f>
        <v>24</v>
      </c>
      <c r="BQ329" s="7">
        <f>VLOOKUP(A329,[1]Sheet15!B:E,3,0)</f>
        <v>0</v>
      </c>
    </row>
    <row r="330" spans="1:69" ht="22.5" customHeight="1" x14ac:dyDescent="0.25">
      <c r="A330" s="15" t="s">
        <v>855</v>
      </c>
      <c r="B330" s="15" t="e">
        <f>VLOOKUP(A330,'[1]Master clients'!F324:W3871,17,0)</f>
        <v>#N/A</v>
      </c>
      <c r="C330" s="15" t="e">
        <f>VLOOKUP(A330,'[1]Master clients'!F324:P3871,11,0)</f>
        <v>#N/A</v>
      </c>
      <c r="D330" s="15" t="str">
        <f>VLOOKUP(A330,'[1]Master clients'!F:M,8,0)</f>
        <v>Group (Mills)</v>
      </c>
      <c r="E330" s="24" t="s">
        <v>856</v>
      </c>
      <c r="F330" s="25" t="s">
        <v>848</v>
      </c>
      <c r="G330" s="20">
        <v>0</v>
      </c>
      <c r="H330" s="20">
        <v>0</v>
      </c>
      <c r="I330" s="26">
        <v>18</v>
      </c>
      <c r="J330" s="26">
        <v>3</v>
      </c>
      <c r="K330" s="20">
        <v>12</v>
      </c>
      <c r="L330" s="20">
        <v>0</v>
      </c>
      <c r="M330" s="20">
        <v>0</v>
      </c>
      <c r="N330" s="20">
        <v>4</v>
      </c>
      <c r="O330" s="20">
        <v>0</v>
      </c>
      <c r="P330" s="20">
        <v>0</v>
      </c>
      <c r="Q330" s="20">
        <v>16</v>
      </c>
      <c r="R330" s="20">
        <v>0</v>
      </c>
      <c r="S330" s="20">
        <v>0</v>
      </c>
      <c r="T330" s="20">
        <v>0</v>
      </c>
      <c r="U330" s="20">
        <v>0</v>
      </c>
      <c r="V330" s="20">
        <v>0</v>
      </c>
      <c r="W330" s="20">
        <v>0</v>
      </c>
      <c r="X330" s="20">
        <v>0</v>
      </c>
      <c r="Y330" s="20">
        <v>0</v>
      </c>
      <c r="Z330" s="20">
        <v>0</v>
      </c>
      <c r="AA330" s="20">
        <v>0</v>
      </c>
      <c r="AB330" s="20">
        <v>0</v>
      </c>
      <c r="AC330" s="20">
        <v>0</v>
      </c>
      <c r="AD330" s="20">
        <v>0</v>
      </c>
      <c r="AE330" s="20">
        <v>0</v>
      </c>
      <c r="AF330" s="20">
        <v>0</v>
      </c>
      <c r="AG330" s="20">
        <v>0</v>
      </c>
      <c r="AH330" s="20">
        <v>0</v>
      </c>
      <c r="AI330" s="20">
        <v>0</v>
      </c>
      <c r="AJ330" s="20">
        <v>0</v>
      </c>
      <c r="AK330" s="20">
        <v>4</v>
      </c>
      <c r="AL330" s="20">
        <v>0</v>
      </c>
      <c r="AM330" s="20">
        <v>0</v>
      </c>
      <c r="AN330" s="20">
        <v>0</v>
      </c>
      <c r="AO330" s="20">
        <v>0</v>
      </c>
      <c r="AP330" s="20">
        <v>0</v>
      </c>
      <c r="AQ330" s="20">
        <v>0</v>
      </c>
      <c r="AR330" s="20">
        <v>0</v>
      </c>
      <c r="AS330" s="20">
        <v>0</v>
      </c>
      <c r="AT330" s="20">
        <v>0</v>
      </c>
      <c r="AU330" s="19">
        <v>0</v>
      </c>
      <c r="AV330" s="20">
        <v>0</v>
      </c>
      <c r="AW330" s="20">
        <v>0</v>
      </c>
      <c r="AX330" s="20">
        <v>0</v>
      </c>
      <c r="AY330" s="20">
        <v>0</v>
      </c>
      <c r="AZ330" s="20">
        <v>0</v>
      </c>
      <c r="BA330" s="19">
        <v>0</v>
      </c>
      <c r="BB330" s="27">
        <v>0</v>
      </c>
      <c r="BC330" s="19">
        <v>0</v>
      </c>
      <c r="BD330" s="19">
        <v>0</v>
      </c>
      <c r="BE330" s="21">
        <v>0</v>
      </c>
      <c r="BF330" s="21">
        <v>0</v>
      </c>
      <c r="BG330" s="19">
        <v>0</v>
      </c>
      <c r="BH330" s="19">
        <v>0</v>
      </c>
      <c r="BI330" s="22">
        <f t="shared" si="85"/>
        <v>16</v>
      </c>
      <c r="BJ330" s="22">
        <f t="shared" si="86"/>
        <v>20</v>
      </c>
      <c r="BK330" s="28">
        <f t="shared" si="87"/>
        <v>57</v>
      </c>
      <c r="BL330" s="22">
        <f t="shared" si="88"/>
        <v>34</v>
      </c>
      <c r="BM330" s="22">
        <f t="shared" si="84"/>
        <v>23</v>
      </c>
      <c r="BN330" s="23">
        <f t="shared" si="89"/>
        <v>0.52941176470588236</v>
      </c>
      <c r="BO330" s="23">
        <f t="shared" si="89"/>
        <v>0.13043478260869565</v>
      </c>
      <c r="BP330" s="7">
        <f>VLOOKUP(A330,[1]Sheet15!B:E,4,0)</f>
        <v>5</v>
      </c>
      <c r="BQ330" s="7">
        <f>VLOOKUP(A330,[1]Sheet15!B:E,3,0)</f>
        <v>0</v>
      </c>
    </row>
    <row r="331" spans="1:69" ht="22.5" customHeight="1" x14ac:dyDescent="0.25">
      <c r="A331" s="15" t="s">
        <v>857</v>
      </c>
      <c r="B331" s="15">
        <f>VLOOKUP(A331,'[1]Master clients'!F325:W3872,17,0)</f>
        <v>0</v>
      </c>
      <c r="C331" s="15" t="str">
        <f>VLOOKUP(A331,'[1]Master clients'!F325:P3872,11,0)</f>
        <v>NI</v>
      </c>
      <c r="D331" s="15" t="str">
        <f>VLOOKUP(A331,'[1]Master clients'!F:M,8,0)</f>
        <v>End User</v>
      </c>
      <c r="E331" s="24" t="s">
        <v>858</v>
      </c>
      <c r="F331" s="25" t="s">
        <v>848</v>
      </c>
      <c r="G331" s="20">
        <v>0</v>
      </c>
      <c r="H331" s="20">
        <v>0</v>
      </c>
      <c r="I331" s="26">
        <v>2</v>
      </c>
      <c r="J331" s="26">
        <v>0</v>
      </c>
      <c r="K331" s="20">
        <v>8</v>
      </c>
      <c r="L331" s="20">
        <v>0</v>
      </c>
      <c r="M331" s="20">
        <v>0</v>
      </c>
      <c r="N331" s="20">
        <v>4</v>
      </c>
      <c r="O331" s="20">
        <v>0</v>
      </c>
      <c r="P331" s="20">
        <v>0</v>
      </c>
      <c r="Q331" s="20">
        <v>8</v>
      </c>
      <c r="R331" s="20">
        <v>0</v>
      </c>
      <c r="S331" s="20">
        <v>0</v>
      </c>
      <c r="T331" s="20">
        <v>0</v>
      </c>
      <c r="U331" s="20">
        <v>0</v>
      </c>
      <c r="V331" s="20">
        <v>0</v>
      </c>
      <c r="W331" s="20">
        <v>0</v>
      </c>
      <c r="X331" s="20">
        <v>0</v>
      </c>
      <c r="Y331" s="20">
        <v>0</v>
      </c>
      <c r="Z331" s="20">
        <v>0</v>
      </c>
      <c r="AA331" s="20">
        <v>0</v>
      </c>
      <c r="AB331" s="20">
        <v>0</v>
      </c>
      <c r="AC331" s="20">
        <v>0</v>
      </c>
      <c r="AD331" s="20">
        <v>0</v>
      </c>
      <c r="AE331" s="20">
        <v>4</v>
      </c>
      <c r="AF331" s="20">
        <v>0</v>
      </c>
      <c r="AG331" s="20">
        <v>0</v>
      </c>
      <c r="AH331" s="20">
        <v>0</v>
      </c>
      <c r="AI331" s="20">
        <v>0</v>
      </c>
      <c r="AJ331" s="20">
        <v>0</v>
      </c>
      <c r="AK331" s="20">
        <v>0</v>
      </c>
      <c r="AL331" s="20">
        <v>0</v>
      </c>
      <c r="AM331" s="20">
        <v>0</v>
      </c>
      <c r="AN331" s="20">
        <v>0</v>
      </c>
      <c r="AO331" s="20">
        <v>0</v>
      </c>
      <c r="AP331" s="20">
        <v>0</v>
      </c>
      <c r="AQ331" s="20">
        <v>0</v>
      </c>
      <c r="AR331" s="20">
        <v>0</v>
      </c>
      <c r="AS331" s="20">
        <v>0</v>
      </c>
      <c r="AT331" s="20">
        <v>0</v>
      </c>
      <c r="AU331" s="20">
        <v>0</v>
      </c>
      <c r="AV331" s="20">
        <v>0</v>
      </c>
      <c r="AW331" s="20">
        <v>0</v>
      </c>
      <c r="AX331" s="20">
        <v>0</v>
      </c>
      <c r="AY331" s="20">
        <v>0</v>
      </c>
      <c r="AZ331" s="20">
        <v>0</v>
      </c>
      <c r="BA331" s="20">
        <v>0</v>
      </c>
      <c r="BB331" s="27">
        <v>0</v>
      </c>
      <c r="BC331" s="20">
        <v>0</v>
      </c>
      <c r="BD331" s="20">
        <v>0</v>
      </c>
      <c r="BE331" s="21">
        <v>0</v>
      </c>
      <c r="BF331" s="21">
        <v>0</v>
      </c>
      <c r="BG331" s="20">
        <v>0</v>
      </c>
      <c r="BH331" s="20">
        <v>0</v>
      </c>
      <c r="BI331" s="22">
        <f t="shared" si="85"/>
        <v>12</v>
      </c>
      <c r="BJ331" s="22">
        <f t="shared" si="86"/>
        <v>12</v>
      </c>
      <c r="BK331" s="28">
        <f t="shared" si="87"/>
        <v>26</v>
      </c>
      <c r="BL331" s="22">
        <f t="shared" si="88"/>
        <v>14</v>
      </c>
      <c r="BM331" s="22">
        <f t="shared" si="84"/>
        <v>12</v>
      </c>
      <c r="BN331" s="23">
        <f t="shared" si="89"/>
        <v>0.14285714285714285</v>
      </c>
      <c r="BO331" s="23">
        <f t="shared" si="89"/>
        <v>0</v>
      </c>
      <c r="BP331" s="7" t="e">
        <f>VLOOKUP(A331,[1]Sheet15!B:E,4,0)</f>
        <v>#N/A</v>
      </c>
      <c r="BQ331" s="7" t="e">
        <f>VLOOKUP(A331,[1]Sheet15!B:E,3,0)</f>
        <v>#N/A</v>
      </c>
    </row>
    <row r="332" spans="1:69" ht="22.5" customHeight="1" x14ac:dyDescent="0.25">
      <c r="A332" s="15" t="s">
        <v>859</v>
      </c>
      <c r="B332" s="15" t="e">
        <f>VLOOKUP(A332,'[1]Master clients'!F326:W3873,17,0)</f>
        <v>#N/A</v>
      </c>
      <c r="C332" s="15" t="e">
        <f>VLOOKUP(A332,'[1]Master clients'!F326:P3873,11,0)</f>
        <v>#N/A</v>
      </c>
      <c r="D332" s="15" t="str">
        <f>VLOOKUP(A332,'[1]Master clients'!F:M,8,0)</f>
        <v>Group (Mills)</v>
      </c>
      <c r="E332" s="16" t="s">
        <v>860</v>
      </c>
      <c r="F332" s="16" t="s">
        <v>848</v>
      </c>
      <c r="G332" s="17"/>
      <c r="H332" s="17"/>
      <c r="I332" s="31">
        <v>0</v>
      </c>
      <c r="J332" s="31">
        <v>0</v>
      </c>
      <c r="K332" s="17">
        <v>0</v>
      </c>
      <c r="L332" s="17">
        <v>0</v>
      </c>
      <c r="M332" s="17">
        <v>0</v>
      </c>
      <c r="N332" s="17">
        <v>0</v>
      </c>
      <c r="O332" s="17">
        <v>0</v>
      </c>
      <c r="P332" s="17">
        <v>0</v>
      </c>
      <c r="Q332" s="17">
        <v>0</v>
      </c>
      <c r="R332" s="17">
        <v>0</v>
      </c>
      <c r="S332" s="17">
        <v>0</v>
      </c>
      <c r="T332" s="17">
        <v>0</v>
      </c>
      <c r="U332" s="17">
        <v>0</v>
      </c>
      <c r="V332" s="17">
        <v>0</v>
      </c>
      <c r="W332" s="17">
        <v>0</v>
      </c>
      <c r="X332" s="17">
        <v>0</v>
      </c>
      <c r="Y332" s="17">
        <v>0</v>
      </c>
      <c r="Z332" s="17">
        <v>0</v>
      </c>
      <c r="AA332" s="17">
        <v>0</v>
      </c>
      <c r="AB332" s="17">
        <v>0</v>
      </c>
      <c r="AC332" s="17">
        <v>0</v>
      </c>
      <c r="AD332" s="17">
        <v>0</v>
      </c>
      <c r="AE332" s="17">
        <v>0</v>
      </c>
      <c r="AF332" s="17">
        <v>0</v>
      </c>
      <c r="AG332" s="17">
        <v>0</v>
      </c>
      <c r="AH332" s="17">
        <v>0</v>
      </c>
      <c r="AI332" s="17">
        <v>0</v>
      </c>
      <c r="AJ332" s="17">
        <v>0</v>
      </c>
      <c r="AK332" s="17">
        <v>0</v>
      </c>
      <c r="AL332" s="17">
        <v>0</v>
      </c>
      <c r="AM332" s="17">
        <v>0</v>
      </c>
      <c r="AN332" s="17">
        <v>0</v>
      </c>
      <c r="AO332" s="17">
        <v>0</v>
      </c>
      <c r="AP332" s="17">
        <v>0</v>
      </c>
      <c r="AQ332" s="17">
        <v>0</v>
      </c>
      <c r="AR332" s="17">
        <v>0</v>
      </c>
      <c r="AS332" s="17">
        <v>0</v>
      </c>
      <c r="AT332" s="17">
        <v>0</v>
      </c>
      <c r="AU332" s="17">
        <v>0</v>
      </c>
      <c r="AV332" s="17">
        <v>0</v>
      </c>
      <c r="AW332" s="17">
        <v>0</v>
      </c>
      <c r="AX332" s="17">
        <v>0</v>
      </c>
      <c r="AY332" s="17">
        <v>0</v>
      </c>
      <c r="AZ332" s="17">
        <v>0</v>
      </c>
      <c r="BA332" s="17">
        <v>0</v>
      </c>
      <c r="BB332" s="17">
        <v>0</v>
      </c>
      <c r="BC332" s="17">
        <v>0</v>
      </c>
      <c r="BD332" s="17">
        <v>0</v>
      </c>
      <c r="BE332" s="17">
        <v>0</v>
      </c>
      <c r="BF332" s="17">
        <v>0</v>
      </c>
      <c r="BG332" s="17">
        <v>0</v>
      </c>
      <c r="BH332" s="17">
        <v>0</v>
      </c>
      <c r="BI332" s="22">
        <f t="shared" si="85"/>
        <v>0</v>
      </c>
      <c r="BJ332" s="22">
        <f t="shared" si="86"/>
        <v>0</v>
      </c>
      <c r="BK332" s="22">
        <f t="shared" si="87"/>
        <v>0</v>
      </c>
      <c r="BL332" s="22">
        <f t="shared" si="88"/>
        <v>0</v>
      </c>
      <c r="BM332" s="22">
        <f t="shared" si="84"/>
        <v>0</v>
      </c>
      <c r="BN332" s="23" t="e">
        <f t="shared" si="89"/>
        <v>#DIV/0!</v>
      </c>
      <c r="BO332" s="23" t="e">
        <f t="shared" si="89"/>
        <v>#DIV/0!</v>
      </c>
      <c r="BP332" s="7" t="e">
        <f>VLOOKUP(A332,[1]Sheet15!B:E,4,0)</f>
        <v>#N/A</v>
      </c>
      <c r="BQ332" s="7" t="e">
        <f>VLOOKUP(A332,[1]Sheet15!B:E,3,0)</f>
        <v>#N/A</v>
      </c>
    </row>
    <row r="333" spans="1:69" ht="22.5" customHeight="1" x14ac:dyDescent="0.25">
      <c r="A333" s="15" t="s">
        <v>861</v>
      </c>
      <c r="B333" s="15" t="e">
        <f>VLOOKUP(A333,'[1]Master clients'!F327:W3874,17,0)</f>
        <v>#N/A</v>
      </c>
      <c r="C333" s="15" t="e">
        <f>VLOOKUP(A333,'[1]Master clients'!F327:P3874,11,0)</f>
        <v>#N/A</v>
      </c>
      <c r="D333" s="15" t="str">
        <f>VLOOKUP(A333,'[1]Master clients'!F:M,8,0)</f>
        <v>End User</v>
      </c>
      <c r="E333" s="16" t="s">
        <v>862</v>
      </c>
      <c r="F333" s="16" t="s">
        <v>848</v>
      </c>
      <c r="G333" s="17"/>
      <c r="H333" s="17"/>
      <c r="I333" s="26">
        <v>9</v>
      </c>
      <c r="J333" s="31">
        <v>0</v>
      </c>
      <c r="K333" s="17">
        <v>0</v>
      </c>
      <c r="L333" s="17">
        <v>0</v>
      </c>
      <c r="M333" s="17">
        <v>0</v>
      </c>
      <c r="N333" s="17">
        <v>0</v>
      </c>
      <c r="O333" s="17">
        <v>0</v>
      </c>
      <c r="P333" s="17">
        <v>0</v>
      </c>
      <c r="Q333" s="17">
        <v>0</v>
      </c>
      <c r="R333" s="17">
        <v>0</v>
      </c>
      <c r="S333" s="17">
        <v>0</v>
      </c>
      <c r="T333" s="17">
        <v>0</v>
      </c>
      <c r="U333" s="17">
        <v>0</v>
      </c>
      <c r="V333" s="17">
        <v>0</v>
      </c>
      <c r="W333" s="17">
        <v>0</v>
      </c>
      <c r="X333" s="17">
        <v>0</v>
      </c>
      <c r="Y333" s="17">
        <v>0</v>
      </c>
      <c r="Z333" s="17">
        <v>0</v>
      </c>
      <c r="AA333" s="17">
        <v>0</v>
      </c>
      <c r="AB333" s="17">
        <v>0</v>
      </c>
      <c r="AC333" s="17">
        <v>0</v>
      </c>
      <c r="AD333" s="17">
        <v>0</v>
      </c>
      <c r="AE333" s="17">
        <v>0</v>
      </c>
      <c r="AF333" s="17">
        <v>0</v>
      </c>
      <c r="AG333" s="17">
        <v>0</v>
      </c>
      <c r="AH333" s="17">
        <v>0</v>
      </c>
      <c r="AI333" s="17">
        <v>0</v>
      </c>
      <c r="AJ333" s="17">
        <v>0</v>
      </c>
      <c r="AK333" s="17">
        <v>0</v>
      </c>
      <c r="AL333" s="17">
        <v>0</v>
      </c>
      <c r="AM333" s="17">
        <v>0</v>
      </c>
      <c r="AN333" s="17">
        <v>0</v>
      </c>
      <c r="AO333" s="17">
        <v>0</v>
      </c>
      <c r="AP333" s="17">
        <v>0</v>
      </c>
      <c r="AQ333" s="17">
        <v>0</v>
      </c>
      <c r="AR333" s="17">
        <v>0</v>
      </c>
      <c r="AS333" s="17">
        <v>0</v>
      </c>
      <c r="AT333" s="17">
        <v>0</v>
      </c>
      <c r="AU333" s="17">
        <v>0</v>
      </c>
      <c r="AV333" s="17">
        <v>0</v>
      </c>
      <c r="AW333" s="17">
        <v>0</v>
      </c>
      <c r="AX333" s="17">
        <v>0</v>
      </c>
      <c r="AY333" s="17">
        <v>0</v>
      </c>
      <c r="AZ333" s="17">
        <v>0</v>
      </c>
      <c r="BA333" s="17">
        <v>0</v>
      </c>
      <c r="BB333" s="17">
        <v>0</v>
      </c>
      <c r="BC333" s="17">
        <v>0</v>
      </c>
      <c r="BD333" s="17">
        <v>0</v>
      </c>
      <c r="BE333" s="17">
        <v>0</v>
      </c>
      <c r="BF333" s="17">
        <v>0</v>
      </c>
      <c r="BG333" s="17">
        <v>0</v>
      </c>
      <c r="BH333" s="17">
        <v>0</v>
      </c>
      <c r="BI333" s="22">
        <f t="shared" si="85"/>
        <v>0</v>
      </c>
      <c r="BJ333" s="22">
        <f t="shared" si="86"/>
        <v>0</v>
      </c>
      <c r="BK333" s="22">
        <f t="shared" si="87"/>
        <v>9</v>
      </c>
      <c r="BL333" s="22">
        <f t="shared" si="88"/>
        <v>9</v>
      </c>
      <c r="BM333" s="22">
        <f t="shared" ref="BM333:BM365" si="90">SUM(J333+N333+O333+Q333+S333+U333+X333+AA333+AD333+AF333+AM333+AP333+AQ333+AT333+AX333+AY333+BD333+BH333)</f>
        <v>0</v>
      </c>
      <c r="BN333" s="23">
        <f t="shared" si="89"/>
        <v>1</v>
      </c>
      <c r="BO333" s="23" t="e">
        <f t="shared" si="89"/>
        <v>#DIV/0!</v>
      </c>
      <c r="BP333" s="7">
        <f>VLOOKUP(A333,[1]Sheet15!B:E,4,0)</f>
        <v>9</v>
      </c>
      <c r="BQ333" s="7">
        <f>VLOOKUP(A333,[1]Sheet15!B:E,3,0)</f>
        <v>0</v>
      </c>
    </row>
    <row r="334" spans="1:69" ht="22.5" customHeight="1" x14ac:dyDescent="0.25">
      <c r="A334" s="15" t="s">
        <v>863</v>
      </c>
      <c r="B334" s="15" t="str">
        <f>VLOOKUP(A334,'[1]Master clients'!F328:W3875,17,0)</f>
        <v>May</v>
      </c>
      <c r="C334" s="15" t="str">
        <f>VLOOKUP(A334,'[1]Master clients'!F328:P3875,11,0)</f>
        <v>NI</v>
      </c>
      <c r="D334" s="15" t="str">
        <f>VLOOKUP(A334,'[1]Master clients'!F:M,8,0)</f>
        <v>End User</v>
      </c>
      <c r="E334" s="16" t="s">
        <v>864</v>
      </c>
      <c r="F334" s="16" t="s">
        <v>848</v>
      </c>
      <c r="G334" s="17"/>
      <c r="H334" s="17"/>
      <c r="I334" s="31">
        <v>0</v>
      </c>
      <c r="J334" s="31">
        <v>0</v>
      </c>
      <c r="K334" s="17">
        <v>0</v>
      </c>
      <c r="L334" s="17">
        <v>0</v>
      </c>
      <c r="M334" s="17">
        <v>0</v>
      </c>
      <c r="N334" s="17">
        <v>0</v>
      </c>
      <c r="O334" s="17">
        <v>0</v>
      </c>
      <c r="P334" s="17">
        <v>0</v>
      </c>
      <c r="Q334" s="17">
        <v>0</v>
      </c>
      <c r="R334" s="17">
        <v>0</v>
      </c>
      <c r="S334" s="17">
        <v>0</v>
      </c>
      <c r="T334" s="17">
        <v>0</v>
      </c>
      <c r="U334" s="17">
        <v>0</v>
      </c>
      <c r="V334" s="17">
        <v>0</v>
      </c>
      <c r="W334" s="17">
        <v>0</v>
      </c>
      <c r="X334" s="17">
        <v>0</v>
      </c>
      <c r="Y334" s="17">
        <v>0</v>
      </c>
      <c r="Z334" s="17">
        <v>0</v>
      </c>
      <c r="AA334" s="17">
        <v>0</v>
      </c>
      <c r="AB334" s="17">
        <v>0</v>
      </c>
      <c r="AC334" s="17">
        <v>0</v>
      </c>
      <c r="AD334" s="17">
        <v>0</v>
      </c>
      <c r="AE334" s="17">
        <v>0</v>
      </c>
      <c r="AF334" s="17">
        <v>0</v>
      </c>
      <c r="AG334" s="17">
        <v>0</v>
      </c>
      <c r="AH334" s="17">
        <v>0</v>
      </c>
      <c r="AI334" s="17">
        <v>0</v>
      </c>
      <c r="AJ334" s="17">
        <v>4</v>
      </c>
      <c r="AK334" s="17">
        <v>0</v>
      </c>
      <c r="AL334" s="17">
        <v>0</v>
      </c>
      <c r="AM334" s="17">
        <v>0</v>
      </c>
      <c r="AN334" s="17">
        <v>0</v>
      </c>
      <c r="AO334" s="17">
        <v>4</v>
      </c>
      <c r="AP334" s="17">
        <v>0</v>
      </c>
      <c r="AQ334" s="17">
        <v>0</v>
      </c>
      <c r="AR334" s="17">
        <v>0</v>
      </c>
      <c r="AS334" s="17">
        <v>0</v>
      </c>
      <c r="AT334" s="17">
        <v>0</v>
      </c>
      <c r="AU334" s="17">
        <v>0</v>
      </c>
      <c r="AV334" s="17">
        <v>0</v>
      </c>
      <c r="AW334" s="17">
        <v>0</v>
      </c>
      <c r="AX334" s="17">
        <v>0</v>
      </c>
      <c r="AY334" s="17">
        <v>0</v>
      </c>
      <c r="AZ334" s="17">
        <v>0</v>
      </c>
      <c r="BA334" s="17">
        <v>0</v>
      </c>
      <c r="BB334" s="17">
        <v>0</v>
      </c>
      <c r="BC334" s="17">
        <v>0</v>
      </c>
      <c r="BD334" s="17">
        <v>0</v>
      </c>
      <c r="BE334" s="17">
        <v>0</v>
      </c>
      <c r="BF334" s="17">
        <v>0</v>
      </c>
      <c r="BG334" s="17">
        <v>0</v>
      </c>
      <c r="BH334" s="17">
        <v>0</v>
      </c>
      <c r="BI334" s="22">
        <f t="shared" si="85"/>
        <v>8</v>
      </c>
      <c r="BJ334" s="22">
        <f t="shared" si="86"/>
        <v>0</v>
      </c>
      <c r="BK334" s="22">
        <f t="shared" si="87"/>
        <v>8</v>
      </c>
      <c r="BL334" s="22">
        <f t="shared" si="88"/>
        <v>8</v>
      </c>
      <c r="BM334" s="22">
        <f t="shared" si="90"/>
        <v>0</v>
      </c>
      <c r="BN334" s="23">
        <f t="shared" si="89"/>
        <v>0</v>
      </c>
      <c r="BO334" s="23" t="e">
        <f t="shared" si="89"/>
        <v>#DIV/0!</v>
      </c>
      <c r="BP334" s="7" t="e">
        <f>VLOOKUP(A334,[1]Sheet15!B:E,4,0)</f>
        <v>#N/A</v>
      </c>
      <c r="BQ334" s="7" t="e">
        <f>VLOOKUP(A334,[1]Sheet15!B:E,3,0)</f>
        <v>#N/A</v>
      </c>
    </row>
    <row r="335" spans="1:69" ht="22.5" customHeight="1" x14ac:dyDescent="0.25">
      <c r="A335" s="15" t="s">
        <v>865</v>
      </c>
      <c r="B335" s="15" t="e">
        <f>VLOOKUP(A335,'[1]Master clients'!F329:W3876,17,0)</f>
        <v>#N/A</v>
      </c>
      <c r="C335" s="15" t="e">
        <f>VLOOKUP(A335,'[1]Master clients'!F329:P3876,11,0)</f>
        <v>#N/A</v>
      </c>
      <c r="D335" s="15" t="str">
        <f>VLOOKUP(A335,'[1]Master clients'!F:M,8,0)</f>
        <v>End User</v>
      </c>
      <c r="E335" s="16" t="s">
        <v>866</v>
      </c>
      <c r="F335" s="16" t="s">
        <v>867</v>
      </c>
      <c r="G335" s="17"/>
      <c r="H335" s="17"/>
      <c r="I335" s="31">
        <v>0</v>
      </c>
      <c r="J335" s="31">
        <v>0</v>
      </c>
      <c r="K335" s="17">
        <v>0</v>
      </c>
      <c r="L335" s="17">
        <v>0</v>
      </c>
      <c r="M335" s="17">
        <v>0</v>
      </c>
      <c r="N335" s="17">
        <v>0</v>
      </c>
      <c r="O335" s="17">
        <v>0</v>
      </c>
      <c r="P335" s="17">
        <v>0</v>
      </c>
      <c r="Q335" s="17">
        <v>0</v>
      </c>
      <c r="R335" s="17">
        <v>0</v>
      </c>
      <c r="S335" s="17">
        <v>0</v>
      </c>
      <c r="T335" s="17">
        <v>0</v>
      </c>
      <c r="U335" s="17">
        <v>0</v>
      </c>
      <c r="V335" s="17">
        <v>0</v>
      </c>
      <c r="W335" s="17">
        <v>0</v>
      </c>
      <c r="X335" s="17">
        <v>0</v>
      </c>
      <c r="Y335" s="17">
        <v>0</v>
      </c>
      <c r="Z335" s="17">
        <v>0</v>
      </c>
      <c r="AA335" s="17">
        <v>0</v>
      </c>
      <c r="AB335" s="17">
        <v>0</v>
      </c>
      <c r="AC335" s="17">
        <v>0</v>
      </c>
      <c r="AD335" s="17">
        <v>0</v>
      </c>
      <c r="AE335" s="17">
        <v>0</v>
      </c>
      <c r="AF335" s="17">
        <v>0</v>
      </c>
      <c r="AG335" s="17">
        <v>0</v>
      </c>
      <c r="AH335" s="17">
        <v>0</v>
      </c>
      <c r="AI335" s="17">
        <v>0</v>
      </c>
      <c r="AJ335" s="17">
        <v>0</v>
      </c>
      <c r="AK335" s="17">
        <v>0</v>
      </c>
      <c r="AL335" s="17">
        <v>0</v>
      </c>
      <c r="AM335" s="17">
        <v>0</v>
      </c>
      <c r="AN335" s="17">
        <v>0</v>
      </c>
      <c r="AO335" s="17">
        <v>0</v>
      </c>
      <c r="AP335" s="17">
        <v>0</v>
      </c>
      <c r="AQ335" s="17">
        <v>0</v>
      </c>
      <c r="AR335" s="17">
        <v>0</v>
      </c>
      <c r="AS335" s="17">
        <v>0</v>
      </c>
      <c r="AT335" s="17">
        <v>0</v>
      </c>
      <c r="AU335" s="17">
        <v>0</v>
      </c>
      <c r="AV335" s="17">
        <v>0</v>
      </c>
      <c r="AW335" s="17">
        <v>0</v>
      </c>
      <c r="AX335" s="17">
        <v>0</v>
      </c>
      <c r="AY335" s="17">
        <v>0</v>
      </c>
      <c r="AZ335" s="17">
        <v>0</v>
      </c>
      <c r="BA335" s="17">
        <v>0</v>
      </c>
      <c r="BB335" s="17">
        <v>0</v>
      </c>
      <c r="BC335" s="17">
        <v>0</v>
      </c>
      <c r="BD335" s="17">
        <v>0</v>
      </c>
      <c r="BE335" s="17">
        <v>0</v>
      </c>
      <c r="BF335" s="17">
        <v>0</v>
      </c>
      <c r="BG335" s="17">
        <v>0</v>
      </c>
      <c r="BH335" s="17">
        <v>0</v>
      </c>
      <c r="BI335" s="22">
        <f t="shared" si="85"/>
        <v>0</v>
      </c>
      <c r="BJ335" s="22">
        <f t="shared" si="86"/>
        <v>0</v>
      </c>
      <c r="BK335" s="22">
        <f t="shared" si="87"/>
        <v>0</v>
      </c>
      <c r="BL335" s="22">
        <f t="shared" si="88"/>
        <v>0</v>
      </c>
      <c r="BM335" s="22">
        <f t="shared" si="90"/>
        <v>0</v>
      </c>
      <c r="BN335" s="23" t="e">
        <f t="shared" si="89"/>
        <v>#DIV/0!</v>
      </c>
      <c r="BO335" s="23" t="e">
        <f t="shared" si="89"/>
        <v>#DIV/0!</v>
      </c>
      <c r="BP335" s="7" t="e">
        <f>VLOOKUP(A335,[1]Sheet15!B:E,4,0)</f>
        <v>#N/A</v>
      </c>
      <c r="BQ335" s="7" t="e">
        <f>VLOOKUP(A335,[1]Sheet15!B:E,3,0)</f>
        <v>#N/A</v>
      </c>
    </row>
    <row r="336" spans="1:69" ht="22.5" customHeight="1" x14ac:dyDescent="0.25">
      <c r="A336" s="15" t="s">
        <v>868</v>
      </c>
      <c r="B336" s="15">
        <f>VLOOKUP(A336,'[1]Master clients'!F330:W3877,17,0)</f>
        <v>0</v>
      </c>
      <c r="C336" s="15" t="str">
        <f>VLOOKUP(A336,'[1]Master clients'!F330:P3877,11,0)</f>
        <v>NI</v>
      </c>
      <c r="D336" s="15" t="str">
        <f>VLOOKUP(A336,'[1]Master clients'!F:M,8,0)</f>
        <v>End User</v>
      </c>
      <c r="E336" s="16" t="s">
        <v>869</v>
      </c>
      <c r="F336" s="16" t="s">
        <v>867</v>
      </c>
      <c r="G336" s="17"/>
      <c r="H336" s="17"/>
      <c r="I336" s="26">
        <v>1</v>
      </c>
      <c r="J336" s="31">
        <v>0</v>
      </c>
      <c r="K336" s="17">
        <v>0</v>
      </c>
      <c r="L336" s="17">
        <v>0</v>
      </c>
      <c r="M336" s="17">
        <v>0</v>
      </c>
      <c r="N336" s="17">
        <v>0</v>
      </c>
      <c r="O336" s="17">
        <v>0</v>
      </c>
      <c r="P336" s="17">
        <v>0</v>
      </c>
      <c r="Q336" s="17">
        <v>0</v>
      </c>
      <c r="R336" s="17">
        <v>0</v>
      </c>
      <c r="S336" s="17">
        <v>0</v>
      </c>
      <c r="T336" s="17">
        <v>0</v>
      </c>
      <c r="U336" s="17">
        <v>0</v>
      </c>
      <c r="V336" s="17">
        <v>0</v>
      </c>
      <c r="W336" s="17">
        <v>0</v>
      </c>
      <c r="X336" s="17">
        <v>0</v>
      </c>
      <c r="Y336" s="17">
        <v>0</v>
      </c>
      <c r="Z336" s="17">
        <v>0</v>
      </c>
      <c r="AA336" s="17">
        <v>0</v>
      </c>
      <c r="AB336" s="17">
        <v>0</v>
      </c>
      <c r="AC336" s="17">
        <v>0</v>
      </c>
      <c r="AD336" s="17">
        <v>0</v>
      </c>
      <c r="AE336" s="17">
        <v>0</v>
      </c>
      <c r="AF336" s="17">
        <v>0</v>
      </c>
      <c r="AG336" s="17">
        <v>0</v>
      </c>
      <c r="AH336" s="17">
        <v>0</v>
      </c>
      <c r="AI336" s="17">
        <v>0</v>
      </c>
      <c r="AJ336" s="17">
        <v>0</v>
      </c>
      <c r="AK336" s="17">
        <v>0</v>
      </c>
      <c r="AL336" s="17">
        <v>0</v>
      </c>
      <c r="AM336" s="17">
        <v>0</v>
      </c>
      <c r="AN336" s="17">
        <v>0</v>
      </c>
      <c r="AO336" s="17">
        <v>0</v>
      </c>
      <c r="AP336" s="17">
        <v>0</v>
      </c>
      <c r="AQ336" s="17">
        <v>0</v>
      </c>
      <c r="AR336" s="17">
        <v>0</v>
      </c>
      <c r="AS336" s="17">
        <v>0</v>
      </c>
      <c r="AT336" s="17">
        <v>0</v>
      </c>
      <c r="AU336" s="17">
        <v>0</v>
      </c>
      <c r="AV336" s="17">
        <v>0</v>
      </c>
      <c r="AW336" s="17">
        <v>0</v>
      </c>
      <c r="AX336" s="17">
        <v>0</v>
      </c>
      <c r="AY336" s="17">
        <v>0</v>
      </c>
      <c r="AZ336" s="17">
        <v>0</v>
      </c>
      <c r="BA336" s="17">
        <v>0</v>
      </c>
      <c r="BB336" s="17">
        <v>0</v>
      </c>
      <c r="BC336" s="17">
        <v>0</v>
      </c>
      <c r="BD336" s="17">
        <v>0</v>
      </c>
      <c r="BE336" s="17">
        <v>0</v>
      </c>
      <c r="BF336" s="17">
        <v>0</v>
      </c>
      <c r="BG336" s="17">
        <v>0</v>
      </c>
      <c r="BH336" s="17">
        <v>0</v>
      </c>
      <c r="BI336" s="22">
        <f t="shared" si="85"/>
        <v>0</v>
      </c>
      <c r="BJ336" s="22">
        <f t="shared" si="86"/>
        <v>0</v>
      </c>
      <c r="BK336" s="22">
        <f t="shared" si="87"/>
        <v>1</v>
      </c>
      <c r="BL336" s="22">
        <f t="shared" si="88"/>
        <v>1</v>
      </c>
      <c r="BM336" s="22">
        <f t="shared" si="90"/>
        <v>0</v>
      </c>
      <c r="BN336" s="23">
        <f t="shared" si="89"/>
        <v>1</v>
      </c>
      <c r="BO336" s="23" t="e">
        <f t="shared" si="89"/>
        <v>#DIV/0!</v>
      </c>
      <c r="BP336" s="7">
        <f>VLOOKUP(A336,[1]Sheet15!B:E,4,0)</f>
        <v>1</v>
      </c>
      <c r="BQ336" s="7">
        <f>VLOOKUP(A336,[1]Sheet15!B:E,3,0)</f>
        <v>0</v>
      </c>
    </row>
    <row r="337" spans="1:69" ht="22.5" customHeight="1" x14ac:dyDescent="0.25">
      <c r="A337" s="15" t="s">
        <v>870</v>
      </c>
      <c r="B337" s="15">
        <f>VLOOKUP(A337,'[1]Master clients'!F331:W3878,17,0)</f>
        <v>0</v>
      </c>
      <c r="C337" s="15" t="str">
        <f>VLOOKUP(A337,'[1]Master clients'!F331:P3878,11,0)</f>
        <v>NI</v>
      </c>
      <c r="D337" s="15" t="str">
        <f>VLOOKUP(A337,'[1]Master clients'!F:M,8,0)</f>
        <v>End User</v>
      </c>
      <c r="E337" s="16" t="s">
        <v>871</v>
      </c>
      <c r="F337" s="16" t="s">
        <v>867</v>
      </c>
      <c r="G337" s="17"/>
      <c r="H337" s="17"/>
      <c r="I337" s="26">
        <v>2</v>
      </c>
      <c r="J337" s="31">
        <v>0</v>
      </c>
      <c r="K337" s="17">
        <v>0</v>
      </c>
      <c r="L337" s="17">
        <v>0</v>
      </c>
      <c r="M337" s="17">
        <v>0</v>
      </c>
      <c r="N337" s="17">
        <v>0</v>
      </c>
      <c r="O337" s="17">
        <v>0</v>
      </c>
      <c r="P337" s="17">
        <v>0</v>
      </c>
      <c r="Q337" s="17">
        <v>0</v>
      </c>
      <c r="R337" s="17">
        <v>0</v>
      </c>
      <c r="S337" s="17">
        <v>0</v>
      </c>
      <c r="T337" s="17">
        <v>0</v>
      </c>
      <c r="U337" s="17">
        <v>0</v>
      </c>
      <c r="V337" s="17">
        <v>0</v>
      </c>
      <c r="W337" s="17">
        <v>0</v>
      </c>
      <c r="X337" s="17">
        <v>0</v>
      </c>
      <c r="Y337" s="17">
        <v>0</v>
      </c>
      <c r="Z337" s="17">
        <v>0</v>
      </c>
      <c r="AA337" s="17">
        <v>0</v>
      </c>
      <c r="AB337" s="17">
        <v>0</v>
      </c>
      <c r="AC337" s="17">
        <v>0</v>
      </c>
      <c r="AD337" s="17">
        <v>0</v>
      </c>
      <c r="AE337" s="17">
        <v>0</v>
      </c>
      <c r="AF337" s="17">
        <v>0</v>
      </c>
      <c r="AG337" s="17">
        <v>0</v>
      </c>
      <c r="AH337" s="17">
        <v>0</v>
      </c>
      <c r="AI337" s="17">
        <v>0</v>
      </c>
      <c r="AJ337" s="17">
        <v>0</v>
      </c>
      <c r="AK337" s="17">
        <v>0</v>
      </c>
      <c r="AL337" s="17">
        <v>0</v>
      </c>
      <c r="AM337" s="17">
        <v>0</v>
      </c>
      <c r="AN337" s="17">
        <v>0</v>
      </c>
      <c r="AO337" s="17">
        <v>0</v>
      </c>
      <c r="AP337" s="17">
        <v>0</v>
      </c>
      <c r="AQ337" s="17">
        <v>0</v>
      </c>
      <c r="AR337" s="17">
        <v>0</v>
      </c>
      <c r="AS337" s="17">
        <v>0</v>
      </c>
      <c r="AT337" s="17">
        <v>0</v>
      </c>
      <c r="AU337" s="17">
        <v>0</v>
      </c>
      <c r="AV337" s="17">
        <v>0</v>
      </c>
      <c r="AW337" s="17">
        <v>0</v>
      </c>
      <c r="AX337" s="17">
        <v>0</v>
      </c>
      <c r="AY337" s="17">
        <v>0</v>
      </c>
      <c r="AZ337" s="17">
        <v>0</v>
      </c>
      <c r="BA337" s="17">
        <v>0</v>
      </c>
      <c r="BB337" s="17">
        <v>0</v>
      </c>
      <c r="BC337" s="17">
        <v>0</v>
      </c>
      <c r="BD337" s="17">
        <v>0</v>
      </c>
      <c r="BE337" s="17">
        <v>0</v>
      </c>
      <c r="BF337" s="17">
        <v>0</v>
      </c>
      <c r="BG337" s="17">
        <v>0</v>
      </c>
      <c r="BH337" s="17">
        <v>0</v>
      </c>
      <c r="BI337" s="22">
        <f t="shared" si="85"/>
        <v>0</v>
      </c>
      <c r="BJ337" s="22">
        <f t="shared" si="86"/>
        <v>0</v>
      </c>
      <c r="BK337" s="28">
        <f t="shared" si="87"/>
        <v>2</v>
      </c>
      <c r="BL337" s="22">
        <f t="shared" si="88"/>
        <v>2</v>
      </c>
      <c r="BM337" s="22">
        <f t="shared" si="90"/>
        <v>0</v>
      </c>
      <c r="BN337" s="23">
        <f t="shared" si="89"/>
        <v>1</v>
      </c>
      <c r="BO337" s="23" t="e">
        <f t="shared" si="89"/>
        <v>#DIV/0!</v>
      </c>
      <c r="BP337" s="7">
        <f>VLOOKUP(A337,[1]Sheet15!B:E,4,0)</f>
        <v>2</v>
      </c>
      <c r="BQ337" s="7">
        <f>VLOOKUP(A337,[1]Sheet15!B:E,3,0)</f>
        <v>0</v>
      </c>
    </row>
    <row r="338" spans="1:69" ht="22.5" customHeight="1" x14ac:dyDescent="0.25">
      <c r="A338" s="15" t="s">
        <v>872</v>
      </c>
      <c r="B338" s="15" t="e">
        <f>VLOOKUP(A338,'[1]Master clients'!F332:W3879,17,0)</f>
        <v>#N/A</v>
      </c>
      <c r="C338" s="15" t="e">
        <f>VLOOKUP(A338,'[1]Master clients'!F332:P3879,11,0)</f>
        <v>#N/A</v>
      </c>
      <c r="D338" s="15" t="str">
        <f>VLOOKUP(A338,'[1]Master clients'!F:M,8,0)</f>
        <v>End User</v>
      </c>
      <c r="E338" s="16" t="s">
        <v>873</v>
      </c>
      <c r="F338" s="16" t="s">
        <v>874</v>
      </c>
      <c r="G338" s="17"/>
      <c r="H338" s="17"/>
      <c r="I338" s="18">
        <v>2</v>
      </c>
      <c r="J338" s="18">
        <v>0</v>
      </c>
      <c r="K338" s="17">
        <v>0</v>
      </c>
      <c r="L338" s="17">
        <v>0</v>
      </c>
      <c r="M338" s="17">
        <v>0</v>
      </c>
      <c r="N338" s="17">
        <v>0</v>
      </c>
      <c r="O338" s="17">
        <v>0</v>
      </c>
      <c r="P338" s="17">
        <v>0</v>
      </c>
      <c r="Q338" s="17">
        <v>0</v>
      </c>
      <c r="R338" s="17">
        <v>0</v>
      </c>
      <c r="S338" s="17">
        <v>0</v>
      </c>
      <c r="T338" s="17">
        <v>0</v>
      </c>
      <c r="U338" s="17">
        <v>0</v>
      </c>
      <c r="V338" s="17">
        <v>0</v>
      </c>
      <c r="W338" s="17">
        <v>0</v>
      </c>
      <c r="X338" s="17">
        <v>0</v>
      </c>
      <c r="Y338" s="17">
        <v>0</v>
      </c>
      <c r="Z338" s="17">
        <v>0</v>
      </c>
      <c r="AA338" s="17">
        <v>0</v>
      </c>
      <c r="AB338" s="17">
        <v>0</v>
      </c>
      <c r="AC338" s="17">
        <v>0</v>
      </c>
      <c r="AD338" s="17">
        <v>0</v>
      </c>
      <c r="AE338" s="17">
        <v>0</v>
      </c>
      <c r="AF338" s="17">
        <v>0</v>
      </c>
      <c r="AG338" s="17">
        <v>0</v>
      </c>
      <c r="AH338" s="17">
        <v>0</v>
      </c>
      <c r="AI338" s="17">
        <v>0</v>
      </c>
      <c r="AJ338" s="17">
        <v>0</v>
      </c>
      <c r="AK338" s="17">
        <v>0</v>
      </c>
      <c r="AL338" s="17">
        <v>0</v>
      </c>
      <c r="AM338" s="17">
        <v>0</v>
      </c>
      <c r="AN338" s="17">
        <v>0</v>
      </c>
      <c r="AO338" s="17">
        <v>0</v>
      </c>
      <c r="AP338" s="17">
        <v>0</v>
      </c>
      <c r="AQ338" s="17">
        <v>0</v>
      </c>
      <c r="AR338" s="17">
        <v>0</v>
      </c>
      <c r="AS338" s="17">
        <v>0</v>
      </c>
      <c r="AT338" s="17">
        <v>0</v>
      </c>
      <c r="AU338" s="17">
        <v>0</v>
      </c>
      <c r="AV338" s="17">
        <v>0</v>
      </c>
      <c r="AW338" s="17">
        <v>0</v>
      </c>
      <c r="AX338" s="17">
        <v>0</v>
      </c>
      <c r="AY338" s="17">
        <v>0</v>
      </c>
      <c r="AZ338" s="17">
        <v>0</v>
      </c>
      <c r="BA338" s="17">
        <v>0</v>
      </c>
      <c r="BB338" s="17">
        <v>0</v>
      </c>
      <c r="BC338" s="17">
        <v>0</v>
      </c>
      <c r="BD338" s="17">
        <v>0</v>
      </c>
      <c r="BE338" s="17">
        <v>0</v>
      </c>
      <c r="BF338" s="17">
        <v>0</v>
      </c>
      <c r="BG338" s="17">
        <v>0</v>
      </c>
      <c r="BH338" s="17">
        <v>0</v>
      </c>
      <c r="BI338" s="22">
        <f t="shared" si="85"/>
        <v>0</v>
      </c>
      <c r="BJ338" s="22">
        <f t="shared" si="86"/>
        <v>0</v>
      </c>
      <c r="BK338" s="22">
        <f t="shared" si="87"/>
        <v>2</v>
      </c>
      <c r="BL338" s="22">
        <f t="shared" si="88"/>
        <v>2</v>
      </c>
      <c r="BM338" s="22">
        <f t="shared" si="90"/>
        <v>0</v>
      </c>
      <c r="BN338" s="23">
        <f t="shared" si="89"/>
        <v>1</v>
      </c>
      <c r="BO338" s="23" t="e">
        <f t="shared" si="89"/>
        <v>#DIV/0!</v>
      </c>
      <c r="BP338" s="7">
        <f>VLOOKUP(A338,[1]Sheet15!B:E,4,0)</f>
        <v>2</v>
      </c>
      <c r="BQ338" s="7">
        <f>VLOOKUP(A338,[1]Sheet15!B:E,3,0)</f>
        <v>0</v>
      </c>
    </row>
    <row r="339" spans="1:69" ht="22.5" customHeight="1" x14ac:dyDescent="0.25">
      <c r="A339" s="15" t="s">
        <v>875</v>
      </c>
      <c r="B339" s="15" t="e">
        <f>VLOOKUP(A339,'[1]Master clients'!F333:W3880,17,0)</f>
        <v>#N/A</v>
      </c>
      <c r="C339" s="15" t="e">
        <f>VLOOKUP(A339,'[1]Master clients'!F333:P3880,11,0)</f>
        <v>#N/A</v>
      </c>
      <c r="D339" s="15" t="str">
        <f>VLOOKUP(A339,'[1]Master clients'!F:M,8,0)</f>
        <v>End User</v>
      </c>
      <c r="E339" s="16" t="s">
        <v>876</v>
      </c>
      <c r="F339" s="16" t="s">
        <v>874</v>
      </c>
      <c r="G339" s="17"/>
      <c r="H339" s="17"/>
      <c r="I339" s="26">
        <v>2</v>
      </c>
      <c r="J339" s="18">
        <v>0</v>
      </c>
      <c r="K339" s="17">
        <v>0</v>
      </c>
      <c r="L339" s="17">
        <v>0</v>
      </c>
      <c r="M339" s="17">
        <v>0</v>
      </c>
      <c r="N339" s="17">
        <v>0</v>
      </c>
      <c r="O339" s="17">
        <v>0</v>
      </c>
      <c r="P339" s="17">
        <v>0</v>
      </c>
      <c r="Q339" s="17">
        <v>0</v>
      </c>
      <c r="R339" s="17">
        <v>0</v>
      </c>
      <c r="S339" s="17">
        <v>0</v>
      </c>
      <c r="T339" s="17">
        <v>0</v>
      </c>
      <c r="U339" s="17">
        <v>0</v>
      </c>
      <c r="V339" s="17">
        <v>0</v>
      </c>
      <c r="W339" s="17">
        <v>0</v>
      </c>
      <c r="X339" s="17">
        <v>0</v>
      </c>
      <c r="Y339" s="17">
        <v>0</v>
      </c>
      <c r="Z339" s="17">
        <v>0</v>
      </c>
      <c r="AA339" s="17">
        <v>0</v>
      </c>
      <c r="AB339" s="17">
        <v>0</v>
      </c>
      <c r="AC339" s="17">
        <v>0</v>
      </c>
      <c r="AD339" s="17">
        <v>0</v>
      </c>
      <c r="AE339" s="17">
        <v>0</v>
      </c>
      <c r="AF339" s="17">
        <v>0</v>
      </c>
      <c r="AG339" s="17">
        <v>0</v>
      </c>
      <c r="AH339" s="17">
        <v>0</v>
      </c>
      <c r="AI339" s="17">
        <v>0</v>
      </c>
      <c r="AJ339" s="17">
        <v>0</v>
      </c>
      <c r="AK339" s="17">
        <v>0</v>
      </c>
      <c r="AL339" s="17">
        <v>0</v>
      </c>
      <c r="AM339" s="17">
        <v>0</v>
      </c>
      <c r="AN339" s="17">
        <v>0</v>
      </c>
      <c r="AO339" s="17">
        <v>0</v>
      </c>
      <c r="AP339" s="17">
        <v>0</v>
      </c>
      <c r="AQ339" s="17">
        <v>0</v>
      </c>
      <c r="AR339" s="17">
        <v>0</v>
      </c>
      <c r="AS339" s="17">
        <v>0</v>
      </c>
      <c r="AT339" s="17">
        <v>0</v>
      </c>
      <c r="AU339" s="17">
        <v>0</v>
      </c>
      <c r="AV339" s="17">
        <v>0</v>
      </c>
      <c r="AW339" s="17">
        <v>0</v>
      </c>
      <c r="AX339" s="17">
        <v>0</v>
      </c>
      <c r="AY339" s="17">
        <v>0</v>
      </c>
      <c r="AZ339" s="17">
        <v>0</v>
      </c>
      <c r="BA339" s="17">
        <v>0</v>
      </c>
      <c r="BB339" s="17">
        <v>0</v>
      </c>
      <c r="BC339" s="17">
        <v>0</v>
      </c>
      <c r="BD339" s="17">
        <v>0</v>
      </c>
      <c r="BE339" s="17">
        <v>0</v>
      </c>
      <c r="BF339" s="17">
        <v>0</v>
      </c>
      <c r="BG339" s="17">
        <v>0</v>
      </c>
      <c r="BH339" s="17">
        <v>0</v>
      </c>
      <c r="BI339" s="22">
        <f t="shared" si="85"/>
        <v>0</v>
      </c>
      <c r="BJ339" s="22">
        <f t="shared" si="86"/>
        <v>0</v>
      </c>
      <c r="BK339" s="22">
        <f t="shared" si="87"/>
        <v>2</v>
      </c>
      <c r="BL339" s="22">
        <f t="shared" si="88"/>
        <v>2</v>
      </c>
      <c r="BM339" s="22">
        <f t="shared" si="90"/>
        <v>0</v>
      </c>
      <c r="BN339" s="23">
        <f t="shared" si="89"/>
        <v>1</v>
      </c>
      <c r="BO339" s="23" t="e">
        <f t="shared" si="89"/>
        <v>#DIV/0!</v>
      </c>
      <c r="BP339" s="7">
        <f>VLOOKUP(A339,[1]Sheet15!B:E,4,0)</f>
        <v>2</v>
      </c>
      <c r="BQ339" s="7">
        <f>VLOOKUP(A339,[1]Sheet15!B:E,3,0)</f>
        <v>0</v>
      </c>
    </row>
    <row r="340" spans="1:69" ht="22.5" customHeight="1" x14ac:dyDescent="0.25">
      <c r="A340" s="15" t="s">
        <v>877</v>
      </c>
      <c r="B340" s="15" t="e">
        <f>VLOOKUP(A340,'[1]Master clients'!F334:W3881,17,0)</f>
        <v>#N/A</v>
      </c>
      <c r="C340" s="15" t="e">
        <f>VLOOKUP(A340,'[1]Master clients'!F334:P3881,11,0)</f>
        <v>#N/A</v>
      </c>
      <c r="D340" s="15" t="str">
        <f>VLOOKUP(A340,'[1]Master clients'!F:M,8,0)</f>
        <v>End User</v>
      </c>
      <c r="E340" s="24" t="s">
        <v>878</v>
      </c>
      <c r="F340" s="25" t="s">
        <v>874</v>
      </c>
      <c r="G340" s="20">
        <v>0</v>
      </c>
      <c r="H340" s="20">
        <v>0</v>
      </c>
      <c r="I340" s="26">
        <v>2</v>
      </c>
      <c r="J340" s="26">
        <v>0</v>
      </c>
      <c r="K340" s="20">
        <v>0</v>
      </c>
      <c r="L340" s="20">
        <v>0</v>
      </c>
      <c r="M340" s="20">
        <v>0</v>
      </c>
      <c r="N340" s="20">
        <v>0</v>
      </c>
      <c r="O340" s="20">
        <v>0</v>
      </c>
      <c r="P340" s="20">
        <v>0</v>
      </c>
      <c r="Q340" s="20">
        <v>0</v>
      </c>
      <c r="R340" s="20">
        <v>0</v>
      </c>
      <c r="S340" s="20">
        <v>0</v>
      </c>
      <c r="T340" s="20">
        <v>0</v>
      </c>
      <c r="U340" s="20">
        <v>0</v>
      </c>
      <c r="V340" s="20">
        <v>0</v>
      </c>
      <c r="W340" s="20">
        <v>0</v>
      </c>
      <c r="X340" s="20">
        <v>0</v>
      </c>
      <c r="Y340" s="20">
        <v>0</v>
      </c>
      <c r="Z340" s="20">
        <v>0</v>
      </c>
      <c r="AA340" s="20">
        <v>0</v>
      </c>
      <c r="AB340" s="20">
        <v>0</v>
      </c>
      <c r="AC340" s="20">
        <v>0</v>
      </c>
      <c r="AD340" s="20">
        <v>0</v>
      </c>
      <c r="AE340" s="20">
        <v>0</v>
      </c>
      <c r="AF340" s="20">
        <v>0</v>
      </c>
      <c r="AG340" s="20">
        <v>0</v>
      </c>
      <c r="AH340" s="20">
        <v>0</v>
      </c>
      <c r="AI340" s="20">
        <v>0</v>
      </c>
      <c r="AJ340" s="20">
        <v>0</v>
      </c>
      <c r="AK340" s="20">
        <v>0</v>
      </c>
      <c r="AL340" s="20">
        <v>0</v>
      </c>
      <c r="AM340" s="20">
        <v>0</v>
      </c>
      <c r="AN340" s="20">
        <v>0</v>
      </c>
      <c r="AO340" s="20">
        <v>3</v>
      </c>
      <c r="AP340" s="20">
        <v>0</v>
      </c>
      <c r="AQ340" s="20">
        <v>0</v>
      </c>
      <c r="AR340" s="20">
        <v>0</v>
      </c>
      <c r="AS340" s="20">
        <v>0</v>
      </c>
      <c r="AT340" s="20">
        <v>0</v>
      </c>
      <c r="AU340" s="19">
        <v>0</v>
      </c>
      <c r="AV340" s="20">
        <v>0</v>
      </c>
      <c r="AW340" s="20">
        <v>0</v>
      </c>
      <c r="AX340" s="20">
        <v>0</v>
      </c>
      <c r="AY340" s="20">
        <v>0</v>
      </c>
      <c r="AZ340" s="20">
        <v>0</v>
      </c>
      <c r="BA340" s="19">
        <v>0</v>
      </c>
      <c r="BB340" s="27">
        <v>0</v>
      </c>
      <c r="BC340" s="19">
        <v>0</v>
      </c>
      <c r="BD340" s="19">
        <v>0</v>
      </c>
      <c r="BE340" s="21">
        <v>0</v>
      </c>
      <c r="BF340" s="21">
        <v>0</v>
      </c>
      <c r="BG340" s="19">
        <v>0</v>
      </c>
      <c r="BH340" s="19">
        <v>0</v>
      </c>
      <c r="BI340" s="22">
        <f t="shared" si="85"/>
        <v>3</v>
      </c>
      <c r="BJ340" s="22">
        <f t="shared" si="86"/>
        <v>0</v>
      </c>
      <c r="BK340" s="28">
        <f t="shared" si="87"/>
        <v>5</v>
      </c>
      <c r="BL340" s="22">
        <f t="shared" si="88"/>
        <v>5</v>
      </c>
      <c r="BM340" s="22">
        <f t="shared" si="90"/>
        <v>0</v>
      </c>
      <c r="BN340" s="23">
        <f t="shared" si="89"/>
        <v>0.4</v>
      </c>
      <c r="BO340" s="23" t="e">
        <f t="shared" si="89"/>
        <v>#DIV/0!</v>
      </c>
      <c r="BP340" s="7">
        <f>VLOOKUP(A340,[1]Sheet15!B:E,4,0)</f>
        <v>4</v>
      </c>
      <c r="BQ340" s="7">
        <f>VLOOKUP(A340,[1]Sheet15!B:E,3,0)</f>
        <v>0</v>
      </c>
    </row>
    <row r="341" spans="1:69" ht="22.5" customHeight="1" x14ac:dyDescent="0.25">
      <c r="A341" s="15" t="s">
        <v>879</v>
      </c>
      <c r="B341" s="15">
        <f>VLOOKUP(A341,'[1]Master clients'!F335:W3882,17,0)</f>
        <v>0</v>
      </c>
      <c r="C341" s="15" t="str">
        <f>VLOOKUP(A341,'[1]Master clients'!F335:P3882,11,0)</f>
        <v>NI</v>
      </c>
      <c r="D341" s="15" t="str">
        <f>VLOOKUP(A341,'[1]Master clients'!F:M,8,0)</f>
        <v>End User</v>
      </c>
      <c r="E341" s="24" t="s">
        <v>880</v>
      </c>
      <c r="F341" s="25" t="s">
        <v>874</v>
      </c>
      <c r="G341" s="20">
        <v>10</v>
      </c>
      <c r="H341" s="20">
        <v>0</v>
      </c>
      <c r="I341" s="26">
        <v>10</v>
      </c>
      <c r="J341" s="26">
        <v>0</v>
      </c>
      <c r="K341" s="20">
        <v>0</v>
      </c>
      <c r="L341" s="20">
        <v>0</v>
      </c>
      <c r="M341" s="20">
        <v>0</v>
      </c>
      <c r="N341" s="20">
        <v>7</v>
      </c>
      <c r="O341" s="20">
        <v>0</v>
      </c>
      <c r="P341" s="20">
        <v>0</v>
      </c>
      <c r="Q341" s="20">
        <v>0</v>
      </c>
      <c r="R341" s="20">
        <v>0</v>
      </c>
      <c r="S341" s="20">
        <v>0</v>
      </c>
      <c r="T341" s="20">
        <v>5</v>
      </c>
      <c r="U341" s="20">
        <v>0</v>
      </c>
      <c r="V341" s="20">
        <v>0</v>
      </c>
      <c r="W341" s="20">
        <v>0</v>
      </c>
      <c r="X341" s="20">
        <v>0</v>
      </c>
      <c r="Y341" s="20">
        <v>0</v>
      </c>
      <c r="Z341" s="20">
        <v>0</v>
      </c>
      <c r="AA341" s="20">
        <v>0</v>
      </c>
      <c r="AB341" s="20">
        <v>0</v>
      </c>
      <c r="AC341" s="20">
        <v>0</v>
      </c>
      <c r="AD341" s="20">
        <v>0</v>
      </c>
      <c r="AE341" s="20">
        <v>0</v>
      </c>
      <c r="AF341" s="20">
        <v>0</v>
      </c>
      <c r="AG341" s="20">
        <v>0</v>
      </c>
      <c r="AH341" s="20">
        <v>0</v>
      </c>
      <c r="AI341" s="20">
        <v>0</v>
      </c>
      <c r="AJ341" s="20">
        <v>0</v>
      </c>
      <c r="AK341" s="20">
        <v>0</v>
      </c>
      <c r="AL341" s="20">
        <v>0</v>
      </c>
      <c r="AM341" s="20">
        <v>0</v>
      </c>
      <c r="AN341" s="20">
        <v>0</v>
      </c>
      <c r="AO341" s="20">
        <v>0</v>
      </c>
      <c r="AP341" s="20">
        <v>0</v>
      </c>
      <c r="AQ341" s="20">
        <v>0</v>
      </c>
      <c r="AR341" s="20">
        <v>0</v>
      </c>
      <c r="AS341" s="20">
        <v>0</v>
      </c>
      <c r="AT341" s="20">
        <v>0</v>
      </c>
      <c r="AU341" s="20">
        <v>0</v>
      </c>
      <c r="AV341" s="20">
        <v>0</v>
      </c>
      <c r="AW341" s="20">
        <v>0</v>
      </c>
      <c r="AX341" s="20">
        <v>0</v>
      </c>
      <c r="AY341" s="20">
        <v>0</v>
      </c>
      <c r="AZ341" s="20">
        <v>0</v>
      </c>
      <c r="BA341" s="20">
        <v>0</v>
      </c>
      <c r="BB341" s="27">
        <v>0</v>
      </c>
      <c r="BC341" s="20">
        <v>0</v>
      </c>
      <c r="BD341" s="20">
        <v>0</v>
      </c>
      <c r="BE341" s="21">
        <v>0</v>
      </c>
      <c r="BF341" s="21">
        <v>0</v>
      </c>
      <c r="BG341" s="20">
        <v>0</v>
      </c>
      <c r="BH341" s="20">
        <v>0</v>
      </c>
      <c r="BI341" s="22">
        <f t="shared" si="85"/>
        <v>5</v>
      </c>
      <c r="BJ341" s="22">
        <f t="shared" si="86"/>
        <v>7</v>
      </c>
      <c r="BK341" s="28">
        <f t="shared" si="87"/>
        <v>22</v>
      </c>
      <c r="BL341" s="22">
        <f t="shared" si="88"/>
        <v>15</v>
      </c>
      <c r="BM341" s="22">
        <f t="shared" si="90"/>
        <v>7</v>
      </c>
      <c r="BN341" s="23">
        <f t="shared" ref="BN341:BO356" si="91">I341/BL341</f>
        <v>0.66666666666666663</v>
      </c>
      <c r="BO341" s="23">
        <f t="shared" si="91"/>
        <v>0</v>
      </c>
      <c r="BP341" s="7" t="e">
        <f>VLOOKUP(A341,[1]Sheet15!B:E,4,0)</f>
        <v>#N/A</v>
      </c>
      <c r="BQ341" s="7" t="e">
        <f>VLOOKUP(A341,[1]Sheet15!B:E,3,0)</f>
        <v>#N/A</v>
      </c>
    </row>
    <row r="342" spans="1:69" ht="22.5" customHeight="1" x14ac:dyDescent="0.25">
      <c r="A342" s="15" t="s">
        <v>881</v>
      </c>
      <c r="B342" s="15">
        <f>VLOOKUP(A342,'[1]Master clients'!F336:W3883,17,0)</f>
        <v>0</v>
      </c>
      <c r="C342" s="15" t="str">
        <f>VLOOKUP(A342,'[1]Master clients'!F336:P3883,11,0)</f>
        <v>NI</v>
      </c>
      <c r="D342" s="15" t="str">
        <f>VLOOKUP(A342,'[1]Master clients'!F:M,8,0)</f>
        <v>End User</v>
      </c>
      <c r="E342" s="16" t="s">
        <v>882</v>
      </c>
      <c r="F342" s="16" t="s">
        <v>874</v>
      </c>
      <c r="G342" s="17"/>
      <c r="H342" s="17"/>
      <c r="I342" s="26">
        <v>4</v>
      </c>
      <c r="J342" s="31">
        <v>0</v>
      </c>
      <c r="K342" s="17">
        <v>0</v>
      </c>
      <c r="L342" s="17">
        <v>0</v>
      </c>
      <c r="M342" s="17">
        <v>0</v>
      </c>
      <c r="N342" s="17">
        <v>0</v>
      </c>
      <c r="O342" s="17">
        <v>0</v>
      </c>
      <c r="P342" s="17">
        <v>0</v>
      </c>
      <c r="Q342" s="17">
        <v>0</v>
      </c>
      <c r="R342" s="17">
        <v>0</v>
      </c>
      <c r="S342" s="17">
        <v>0</v>
      </c>
      <c r="T342" s="17">
        <v>0</v>
      </c>
      <c r="U342" s="17">
        <v>0</v>
      </c>
      <c r="V342" s="17">
        <v>0</v>
      </c>
      <c r="W342" s="17">
        <v>0</v>
      </c>
      <c r="X342" s="17">
        <v>0</v>
      </c>
      <c r="Y342" s="17">
        <v>0</v>
      </c>
      <c r="Z342" s="17">
        <v>0</v>
      </c>
      <c r="AA342" s="17">
        <v>0</v>
      </c>
      <c r="AB342" s="17">
        <v>0</v>
      </c>
      <c r="AC342" s="17">
        <v>0</v>
      </c>
      <c r="AD342" s="17">
        <v>0</v>
      </c>
      <c r="AE342" s="17">
        <v>0</v>
      </c>
      <c r="AF342" s="17">
        <v>0</v>
      </c>
      <c r="AG342" s="17">
        <v>0</v>
      </c>
      <c r="AH342" s="17">
        <v>0</v>
      </c>
      <c r="AI342" s="17">
        <v>0</v>
      </c>
      <c r="AJ342" s="17">
        <v>0</v>
      </c>
      <c r="AK342" s="17">
        <v>0</v>
      </c>
      <c r="AL342" s="17">
        <v>0</v>
      </c>
      <c r="AM342" s="17">
        <v>0</v>
      </c>
      <c r="AN342" s="17">
        <v>0</v>
      </c>
      <c r="AO342" s="17">
        <v>0</v>
      </c>
      <c r="AP342" s="17">
        <v>0</v>
      </c>
      <c r="AQ342" s="17">
        <v>0</v>
      </c>
      <c r="AR342" s="17">
        <v>0</v>
      </c>
      <c r="AS342" s="17">
        <v>0</v>
      </c>
      <c r="AT342" s="17">
        <v>0</v>
      </c>
      <c r="AU342" s="17">
        <v>0</v>
      </c>
      <c r="AV342" s="17">
        <v>0</v>
      </c>
      <c r="AW342" s="17">
        <v>0</v>
      </c>
      <c r="AX342" s="17">
        <v>0</v>
      </c>
      <c r="AY342" s="17">
        <v>0</v>
      </c>
      <c r="AZ342" s="17">
        <v>0</v>
      </c>
      <c r="BA342" s="17">
        <v>0</v>
      </c>
      <c r="BB342" s="17">
        <v>0</v>
      </c>
      <c r="BC342" s="17">
        <v>0</v>
      </c>
      <c r="BD342" s="17">
        <v>0</v>
      </c>
      <c r="BE342" s="17">
        <v>0</v>
      </c>
      <c r="BF342" s="17">
        <v>0</v>
      </c>
      <c r="BG342" s="17">
        <v>0</v>
      </c>
      <c r="BH342" s="17">
        <v>0</v>
      </c>
      <c r="BI342" s="22">
        <f t="shared" si="85"/>
        <v>0</v>
      </c>
      <c r="BJ342" s="22">
        <f t="shared" si="86"/>
        <v>0</v>
      </c>
      <c r="BK342" s="28">
        <f t="shared" si="87"/>
        <v>4</v>
      </c>
      <c r="BL342" s="22">
        <f t="shared" si="88"/>
        <v>4</v>
      </c>
      <c r="BM342" s="22">
        <f t="shared" si="90"/>
        <v>0</v>
      </c>
      <c r="BN342" s="23">
        <f t="shared" si="91"/>
        <v>1</v>
      </c>
      <c r="BO342" s="23" t="e">
        <f t="shared" si="91"/>
        <v>#DIV/0!</v>
      </c>
      <c r="BP342" s="7">
        <f>VLOOKUP(A342,[1]Sheet15!B:E,4,0)</f>
        <v>4</v>
      </c>
      <c r="BQ342" s="7">
        <f>VLOOKUP(A342,[1]Sheet15!B:E,3,0)</f>
        <v>0</v>
      </c>
    </row>
    <row r="343" spans="1:69" ht="35.25" customHeight="1" x14ac:dyDescent="0.25">
      <c r="A343" s="15" t="s">
        <v>883</v>
      </c>
      <c r="B343" s="15">
        <f>VLOOKUP(A343,'[1]Master clients'!F337:W3884,17,0)</f>
        <v>0</v>
      </c>
      <c r="C343" s="15" t="str">
        <f>VLOOKUP(A343,'[1]Master clients'!F337:P3884,11,0)</f>
        <v>NI</v>
      </c>
      <c r="D343" s="15" t="str">
        <f>VLOOKUP(A343,'[1]Master clients'!F:M,8,0)</f>
        <v>End User</v>
      </c>
      <c r="E343" s="16" t="s">
        <v>884</v>
      </c>
      <c r="F343" s="16" t="s">
        <v>885</v>
      </c>
      <c r="G343" s="17"/>
      <c r="H343" s="17"/>
      <c r="I343" s="26">
        <v>1</v>
      </c>
      <c r="J343" s="31">
        <v>0</v>
      </c>
      <c r="K343" s="17">
        <v>0</v>
      </c>
      <c r="L343" s="17">
        <v>0</v>
      </c>
      <c r="M343" s="17">
        <v>0</v>
      </c>
      <c r="N343" s="17">
        <v>0</v>
      </c>
      <c r="O343" s="17">
        <v>0</v>
      </c>
      <c r="P343" s="17">
        <v>0</v>
      </c>
      <c r="Q343" s="17">
        <v>0</v>
      </c>
      <c r="R343" s="17">
        <v>0</v>
      </c>
      <c r="S343" s="17">
        <v>0</v>
      </c>
      <c r="T343" s="17">
        <v>0</v>
      </c>
      <c r="U343" s="17">
        <v>0</v>
      </c>
      <c r="V343" s="17">
        <v>0</v>
      </c>
      <c r="W343" s="17">
        <v>0</v>
      </c>
      <c r="X343" s="17">
        <v>0</v>
      </c>
      <c r="Y343" s="17">
        <v>0</v>
      </c>
      <c r="Z343" s="17">
        <v>0</v>
      </c>
      <c r="AA343" s="17">
        <v>0</v>
      </c>
      <c r="AB343" s="17">
        <v>0</v>
      </c>
      <c r="AC343" s="17">
        <v>0</v>
      </c>
      <c r="AD343" s="17">
        <v>0</v>
      </c>
      <c r="AE343" s="17">
        <v>0</v>
      </c>
      <c r="AF343" s="17">
        <v>0</v>
      </c>
      <c r="AG343" s="17">
        <v>0</v>
      </c>
      <c r="AH343" s="17">
        <v>0</v>
      </c>
      <c r="AI343" s="17">
        <v>0</v>
      </c>
      <c r="AJ343" s="17">
        <v>0</v>
      </c>
      <c r="AK343" s="17">
        <v>0</v>
      </c>
      <c r="AL343" s="17">
        <v>0</v>
      </c>
      <c r="AM343" s="17">
        <v>0</v>
      </c>
      <c r="AN343" s="17">
        <v>0</v>
      </c>
      <c r="AO343" s="17">
        <v>0</v>
      </c>
      <c r="AP343" s="17">
        <v>0</v>
      </c>
      <c r="AQ343" s="17">
        <v>0</v>
      </c>
      <c r="AR343" s="17">
        <v>0</v>
      </c>
      <c r="AS343" s="17">
        <v>0</v>
      </c>
      <c r="AT343" s="17">
        <v>0</v>
      </c>
      <c r="AU343" s="17">
        <v>0</v>
      </c>
      <c r="AV343" s="17">
        <v>0</v>
      </c>
      <c r="AW343" s="17">
        <v>0</v>
      </c>
      <c r="AX343" s="17">
        <v>0</v>
      </c>
      <c r="AY343" s="17">
        <v>0</v>
      </c>
      <c r="AZ343" s="17">
        <v>0</v>
      </c>
      <c r="BA343" s="17">
        <v>0</v>
      </c>
      <c r="BB343" s="17">
        <v>0</v>
      </c>
      <c r="BC343" s="17">
        <v>0</v>
      </c>
      <c r="BD343" s="17">
        <v>0</v>
      </c>
      <c r="BE343" s="17">
        <v>0</v>
      </c>
      <c r="BF343" s="17">
        <v>0</v>
      </c>
      <c r="BG343" s="17">
        <v>0</v>
      </c>
      <c r="BH343" s="17">
        <v>0</v>
      </c>
      <c r="BI343" s="22">
        <f t="shared" si="85"/>
        <v>0</v>
      </c>
      <c r="BJ343" s="22">
        <f t="shared" si="86"/>
        <v>0</v>
      </c>
      <c r="BK343" s="22">
        <f t="shared" si="87"/>
        <v>1</v>
      </c>
      <c r="BL343" s="22">
        <f t="shared" si="88"/>
        <v>1</v>
      </c>
      <c r="BM343" s="22">
        <f t="shared" si="90"/>
        <v>0</v>
      </c>
      <c r="BN343" s="23">
        <f t="shared" si="91"/>
        <v>1</v>
      </c>
      <c r="BO343" s="23" t="e">
        <f t="shared" si="91"/>
        <v>#DIV/0!</v>
      </c>
      <c r="BP343" s="7">
        <f>VLOOKUP(A343,[1]Sheet15!B:E,4,0)</f>
        <v>1</v>
      </c>
      <c r="BQ343" s="7">
        <f>VLOOKUP(A343,[1]Sheet15!B:E,3,0)</f>
        <v>0</v>
      </c>
    </row>
    <row r="344" spans="1:69" ht="22.5" customHeight="1" x14ac:dyDescent="0.25">
      <c r="A344" s="15" t="s">
        <v>886</v>
      </c>
      <c r="B344" s="15">
        <f>VLOOKUP(A344,'[1]Master clients'!F338:W3885,17,0)</f>
        <v>0</v>
      </c>
      <c r="C344" s="15" t="str">
        <f>VLOOKUP(A344,'[1]Master clients'!F338:P3885,11,0)</f>
        <v>NI</v>
      </c>
      <c r="D344" s="15" t="str">
        <f>VLOOKUP(A344,'[1]Master clients'!F:M,8,0)</f>
        <v>End User</v>
      </c>
      <c r="E344" s="16" t="s">
        <v>887</v>
      </c>
      <c r="F344" s="16" t="s">
        <v>885</v>
      </c>
      <c r="G344" s="17"/>
      <c r="H344" s="17"/>
      <c r="I344" s="26">
        <v>2</v>
      </c>
      <c r="J344" s="31">
        <v>0</v>
      </c>
      <c r="K344" s="17">
        <v>0</v>
      </c>
      <c r="L344" s="17">
        <v>0</v>
      </c>
      <c r="M344" s="17">
        <v>0</v>
      </c>
      <c r="N344" s="17">
        <v>0</v>
      </c>
      <c r="O344" s="17">
        <v>0</v>
      </c>
      <c r="P344" s="17">
        <v>0</v>
      </c>
      <c r="Q344" s="17">
        <v>0</v>
      </c>
      <c r="R344" s="17">
        <v>0</v>
      </c>
      <c r="S344" s="17">
        <v>0</v>
      </c>
      <c r="T344" s="17">
        <v>0</v>
      </c>
      <c r="U344" s="17">
        <v>0</v>
      </c>
      <c r="V344" s="17">
        <v>0</v>
      </c>
      <c r="W344" s="17">
        <v>0</v>
      </c>
      <c r="X344" s="17">
        <v>0</v>
      </c>
      <c r="Y344" s="17">
        <v>0</v>
      </c>
      <c r="Z344" s="17">
        <v>0</v>
      </c>
      <c r="AA344" s="17">
        <v>0</v>
      </c>
      <c r="AB344" s="17">
        <v>0</v>
      </c>
      <c r="AC344" s="17">
        <v>0</v>
      </c>
      <c r="AD344" s="17">
        <v>0</v>
      </c>
      <c r="AE344" s="17">
        <v>0</v>
      </c>
      <c r="AF344" s="17">
        <v>0</v>
      </c>
      <c r="AG344" s="17">
        <v>0</v>
      </c>
      <c r="AH344" s="17">
        <v>0</v>
      </c>
      <c r="AI344" s="17">
        <v>0</v>
      </c>
      <c r="AJ344" s="17">
        <v>0</v>
      </c>
      <c r="AK344" s="17">
        <v>0</v>
      </c>
      <c r="AL344" s="17">
        <v>0</v>
      </c>
      <c r="AM344" s="17">
        <v>0</v>
      </c>
      <c r="AN344" s="17">
        <v>0</v>
      </c>
      <c r="AO344" s="17">
        <v>0</v>
      </c>
      <c r="AP344" s="17">
        <v>0</v>
      </c>
      <c r="AQ344" s="17">
        <v>0</v>
      </c>
      <c r="AR344" s="17">
        <v>0</v>
      </c>
      <c r="AS344" s="17">
        <v>0</v>
      </c>
      <c r="AT344" s="17">
        <v>0</v>
      </c>
      <c r="AU344" s="17">
        <v>0</v>
      </c>
      <c r="AV344" s="17">
        <v>0</v>
      </c>
      <c r="AW344" s="17">
        <v>0</v>
      </c>
      <c r="AX344" s="17">
        <v>0</v>
      </c>
      <c r="AY344" s="17">
        <v>0</v>
      </c>
      <c r="AZ344" s="17">
        <v>0</v>
      </c>
      <c r="BA344" s="17">
        <v>0</v>
      </c>
      <c r="BB344" s="17">
        <v>0</v>
      </c>
      <c r="BC344" s="17">
        <v>0</v>
      </c>
      <c r="BD344" s="17">
        <v>0</v>
      </c>
      <c r="BE344" s="17">
        <v>0</v>
      </c>
      <c r="BF344" s="17">
        <v>0</v>
      </c>
      <c r="BG344" s="17">
        <v>0</v>
      </c>
      <c r="BH344" s="17">
        <v>0</v>
      </c>
      <c r="BI344" s="22">
        <f t="shared" si="85"/>
        <v>0</v>
      </c>
      <c r="BJ344" s="22">
        <f t="shared" si="86"/>
        <v>0</v>
      </c>
      <c r="BK344" s="22">
        <f t="shared" si="87"/>
        <v>2</v>
      </c>
      <c r="BL344" s="22">
        <f t="shared" si="88"/>
        <v>2</v>
      </c>
      <c r="BM344" s="22">
        <f t="shared" si="90"/>
        <v>0</v>
      </c>
      <c r="BN344" s="23">
        <f t="shared" si="91"/>
        <v>1</v>
      </c>
      <c r="BO344" s="23" t="e">
        <f t="shared" si="91"/>
        <v>#DIV/0!</v>
      </c>
      <c r="BP344" s="7">
        <f>VLOOKUP(A344,[1]Sheet15!B:E,4,0)</f>
        <v>2</v>
      </c>
      <c r="BQ344" s="7">
        <f>VLOOKUP(A344,[1]Sheet15!B:E,3,0)</f>
        <v>0</v>
      </c>
    </row>
    <row r="345" spans="1:69" ht="22.5" customHeight="1" x14ac:dyDescent="0.25">
      <c r="A345" s="15" t="s">
        <v>888</v>
      </c>
      <c r="B345" s="15">
        <f>VLOOKUP(A345,'[1]Master clients'!F339:W3886,17,0)</f>
        <v>0</v>
      </c>
      <c r="C345" s="15" t="str">
        <f>VLOOKUP(A345,'[1]Master clients'!F339:P3886,11,0)</f>
        <v>NI</v>
      </c>
      <c r="D345" s="15" t="str">
        <f>VLOOKUP(A345,'[1]Master clients'!F:M,8,0)</f>
        <v>End User</v>
      </c>
      <c r="E345" s="16" t="s">
        <v>889</v>
      </c>
      <c r="F345" s="16" t="s">
        <v>890</v>
      </c>
      <c r="G345" s="17"/>
      <c r="H345" s="17"/>
      <c r="I345" s="26">
        <v>2</v>
      </c>
      <c r="J345" s="31">
        <v>0</v>
      </c>
      <c r="K345" s="17">
        <v>0</v>
      </c>
      <c r="L345" s="17">
        <v>0</v>
      </c>
      <c r="M345" s="17">
        <v>0</v>
      </c>
      <c r="N345" s="17">
        <v>0</v>
      </c>
      <c r="O345" s="17">
        <v>0</v>
      </c>
      <c r="P345" s="17">
        <v>0</v>
      </c>
      <c r="Q345" s="17">
        <v>0</v>
      </c>
      <c r="R345" s="17">
        <v>0</v>
      </c>
      <c r="S345" s="17">
        <v>0</v>
      </c>
      <c r="T345" s="17">
        <v>0</v>
      </c>
      <c r="U345" s="17">
        <v>0</v>
      </c>
      <c r="V345" s="17">
        <v>0</v>
      </c>
      <c r="W345" s="17">
        <v>0</v>
      </c>
      <c r="X345" s="17">
        <v>0</v>
      </c>
      <c r="Y345" s="17">
        <v>0</v>
      </c>
      <c r="Z345" s="17">
        <v>0</v>
      </c>
      <c r="AA345" s="17">
        <v>0</v>
      </c>
      <c r="AB345" s="17">
        <v>0</v>
      </c>
      <c r="AC345" s="17">
        <v>0</v>
      </c>
      <c r="AD345" s="17">
        <v>0</v>
      </c>
      <c r="AE345" s="17">
        <v>0</v>
      </c>
      <c r="AF345" s="17">
        <v>0</v>
      </c>
      <c r="AG345" s="17">
        <v>0</v>
      </c>
      <c r="AH345" s="17">
        <v>0</v>
      </c>
      <c r="AI345" s="17">
        <v>0</v>
      </c>
      <c r="AJ345" s="17">
        <v>0</v>
      </c>
      <c r="AK345" s="17">
        <v>0</v>
      </c>
      <c r="AL345" s="17">
        <v>0</v>
      </c>
      <c r="AM345" s="17">
        <v>0</v>
      </c>
      <c r="AN345" s="17">
        <v>0</v>
      </c>
      <c r="AO345" s="17">
        <v>0</v>
      </c>
      <c r="AP345" s="17">
        <v>0</v>
      </c>
      <c r="AQ345" s="17">
        <v>0</v>
      </c>
      <c r="AR345" s="17">
        <v>0</v>
      </c>
      <c r="AS345" s="17">
        <v>0</v>
      </c>
      <c r="AT345" s="17">
        <v>0</v>
      </c>
      <c r="AU345" s="17">
        <v>0</v>
      </c>
      <c r="AV345" s="17">
        <v>0</v>
      </c>
      <c r="AW345" s="17">
        <v>0</v>
      </c>
      <c r="AX345" s="17">
        <v>0</v>
      </c>
      <c r="AY345" s="17">
        <v>0</v>
      </c>
      <c r="AZ345" s="17">
        <v>0</v>
      </c>
      <c r="BA345" s="17">
        <v>0</v>
      </c>
      <c r="BB345" s="17">
        <v>0</v>
      </c>
      <c r="BC345" s="17">
        <v>0</v>
      </c>
      <c r="BD345" s="17">
        <v>0</v>
      </c>
      <c r="BE345" s="17">
        <v>0</v>
      </c>
      <c r="BF345" s="17">
        <v>0</v>
      </c>
      <c r="BG345" s="17">
        <v>0</v>
      </c>
      <c r="BH345" s="17">
        <v>0</v>
      </c>
      <c r="BI345" s="22">
        <f t="shared" si="85"/>
        <v>0</v>
      </c>
      <c r="BJ345" s="22">
        <f t="shared" si="86"/>
        <v>0</v>
      </c>
      <c r="BK345" s="28">
        <f t="shared" si="87"/>
        <v>2</v>
      </c>
      <c r="BL345" s="22">
        <f t="shared" si="88"/>
        <v>2</v>
      </c>
      <c r="BM345" s="22">
        <f t="shared" si="90"/>
        <v>0</v>
      </c>
      <c r="BN345" s="23">
        <f t="shared" si="91"/>
        <v>1</v>
      </c>
      <c r="BO345" s="23" t="e">
        <f t="shared" si="91"/>
        <v>#DIV/0!</v>
      </c>
      <c r="BP345" s="7">
        <f>VLOOKUP(A345,[1]Sheet15!B:E,4,0)</f>
        <v>2</v>
      </c>
      <c r="BQ345" s="7">
        <f>VLOOKUP(A345,[1]Sheet15!B:E,3,0)</f>
        <v>0</v>
      </c>
    </row>
    <row r="346" spans="1:69" ht="22.5" customHeight="1" x14ac:dyDescent="0.25">
      <c r="A346" s="15" t="s">
        <v>891</v>
      </c>
      <c r="B346" s="15" t="e">
        <f>VLOOKUP(A346,'[1]Master clients'!F340:W3887,17,0)</f>
        <v>#N/A</v>
      </c>
      <c r="C346" s="15" t="e">
        <f>VLOOKUP(A346,'[1]Master clients'!F340:P3887,11,0)</f>
        <v>#N/A</v>
      </c>
      <c r="D346" s="15" t="str">
        <f>VLOOKUP(A346,'[1]Master clients'!F:M,8,0)</f>
        <v>End User</v>
      </c>
      <c r="E346" s="16" t="s">
        <v>892</v>
      </c>
      <c r="F346" s="16" t="s">
        <v>893</v>
      </c>
      <c r="G346" s="17"/>
      <c r="H346" s="17"/>
      <c r="I346" s="26">
        <v>1</v>
      </c>
      <c r="J346" s="31">
        <v>0</v>
      </c>
      <c r="K346" s="17">
        <v>0</v>
      </c>
      <c r="L346" s="17">
        <v>0</v>
      </c>
      <c r="M346" s="17">
        <v>0</v>
      </c>
      <c r="N346" s="17">
        <v>0</v>
      </c>
      <c r="O346" s="17">
        <v>0</v>
      </c>
      <c r="P346" s="17">
        <v>0</v>
      </c>
      <c r="Q346" s="17">
        <v>0</v>
      </c>
      <c r="R346" s="17">
        <v>0</v>
      </c>
      <c r="S346" s="17">
        <v>0</v>
      </c>
      <c r="T346" s="17">
        <v>0</v>
      </c>
      <c r="U346" s="17">
        <v>0</v>
      </c>
      <c r="V346" s="17">
        <v>0</v>
      </c>
      <c r="W346" s="17">
        <v>0</v>
      </c>
      <c r="X346" s="17">
        <v>0</v>
      </c>
      <c r="Y346" s="17">
        <v>0</v>
      </c>
      <c r="Z346" s="17">
        <v>0</v>
      </c>
      <c r="AA346" s="17">
        <v>0</v>
      </c>
      <c r="AB346" s="17">
        <v>0</v>
      </c>
      <c r="AC346" s="17">
        <v>0</v>
      </c>
      <c r="AD346" s="17">
        <v>0</v>
      </c>
      <c r="AE346" s="17">
        <v>0</v>
      </c>
      <c r="AF346" s="17">
        <v>0</v>
      </c>
      <c r="AG346" s="17">
        <v>0</v>
      </c>
      <c r="AH346" s="17">
        <v>0</v>
      </c>
      <c r="AI346" s="17">
        <v>0</v>
      </c>
      <c r="AJ346" s="17">
        <v>0</v>
      </c>
      <c r="AK346" s="17">
        <v>0</v>
      </c>
      <c r="AL346" s="17">
        <v>0</v>
      </c>
      <c r="AM346" s="17">
        <v>0</v>
      </c>
      <c r="AN346" s="17">
        <v>0</v>
      </c>
      <c r="AO346" s="17">
        <v>0</v>
      </c>
      <c r="AP346" s="17">
        <v>0</v>
      </c>
      <c r="AQ346" s="17">
        <v>0</v>
      </c>
      <c r="AR346" s="17">
        <v>0</v>
      </c>
      <c r="AS346" s="17">
        <v>0</v>
      </c>
      <c r="AT346" s="17">
        <v>0</v>
      </c>
      <c r="AU346" s="17">
        <v>0</v>
      </c>
      <c r="AV346" s="17">
        <v>0</v>
      </c>
      <c r="AW346" s="17">
        <v>0</v>
      </c>
      <c r="AX346" s="17">
        <v>0</v>
      </c>
      <c r="AY346" s="17">
        <v>0</v>
      </c>
      <c r="AZ346" s="17">
        <v>0</v>
      </c>
      <c r="BA346" s="17">
        <v>0</v>
      </c>
      <c r="BB346" s="17">
        <v>0</v>
      </c>
      <c r="BC346" s="17">
        <v>0</v>
      </c>
      <c r="BD346" s="17">
        <v>0</v>
      </c>
      <c r="BE346" s="17">
        <v>0</v>
      </c>
      <c r="BF346" s="17">
        <v>0</v>
      </c>
      <c r="BG346" s="17">
        <v>0</v>
      </c>
      <c r="BH346" s="17">
        <v>0</v>
      </c>
      <c r="BI346" s="22">
        <f t="shared" si="85"/>
        <v>0</v>
      </c>
      <c r="BJ346" s="22">
        <f t="shared" si="86"/>
        <v>0</v>
      </c>
      <c r="BK346" s="22">
        <f t="shared" si="87"/>
        <v>1</v>
      </c>
      <c r="BL346" s="22">
        <f t="shared" si="88"/>
        <v>1</v>
      </c>
      <c r="BM346" s="22">
        <f t="shared" si="90"/>
        <v>0</v>
      </c>
      <c r="BN346" s="23">
        <f t="shared" si="91"/>
        <v>1</v>
      </c>
      <c r="BO346" s="23" t="e">
        <f t="shared" si="91"/>
        <v>#DIV/0!</v>
      </c>
      <c r="BP346" s="7">
        <f>VLOOKUP(A346,[1]Sheet15!B:E,4,0)</f>
        <v>1</v>
      </c>
      <c r="BQ346" s="7">
        <f>VLOOKUP(A346,[1]Sheet15!B:E,3,0)</f>
        <v>0</v>
      </c>
    </row>
    <row r="347" spans="1:69" ht="22.5" customHeight="1" x14ac:dyDescent="0.25">
      <c r="A347" s="15" t="s">
        <v>894</v>
      </c>
      <c r="B347" s="15">
        <f>VLOOKUP(A347,'[1]Master clients'!F341:W3888,17,0)</f>
        <v>0</v>
      </c>
      <c r="C347" s="15" t="str">
        <f>VLOOKUP(A347,'[1]Master clients'!F341:P3888,11,0)</f>
        <v>NI</v>
      </c>
      <c r="D347" s="15" t="str">
        <f>VLOOKUP(A347,'[1]Master clients'!F:M,8,0)</f>
        <v>End User</v>
      </c>
      <c r="E347" s="16" t="s">
        <v>895</v>
      </c>
      <c r="F347" s="16" t="s">
        <v>893</v>
      </c>
      <c r="G347" s="17"/>
      <c r="H347" s="17"/>
      <c r="I347" s="26">
        <v>1</v>
      </c>
      <c r="J347" s="31">
        <v>0</v>
      </c>
      <c r="K347" s="17">
        <v>0</v>
      </c>
      <c r="L347" s="17">
        <v>0</v>
      </c>
      <c r="M347" s="17">
        <v>0</v>
      </c>
      <c r="N347" s="17">
        <v>0</v>
      </c>
      <c r="O347" s="17">
        <v>0</v>
      </c>
      <c r="P347" s="17">
        <v>0</v>
      </c>
      <c r="Q347" s="17">
        <v>0</v>
      </c>
      <c r="R347" s="17">
        <v>0</v>
      </c>
      <c r="S347" s="17">
        <v>0</v>
      </c>
      <c r="T347" s="17">
        <v>0</v>
      </c>
      <c r="U347" s="17">
        <v>0</v>
      </c>
      <c r="V347" s="17">
        <v>0</v>
      </c>
      <c r="W347" s="17">
        <v>0</v>
      </c>
      <c r="X347" s="17">
        <v>0</v>
      </c>
      <c r="Y347" s="17">
        <v>0</v>
      </c>
      <c r="Z347" s="17">
        <v>0</v>
      </c>
      <c r="AA347" s="17">
        <v>0</v>
      </c>
      <c r="AB347" s="17">
        <v>0</v>
      </c>
      <c r="AC347" s="17">
        <v>0</v>
      </c>
      <c r="AD347" s="17">
        <v>0</v>
      </c>
      <c r="AE347" s="17">
        <v>0</v>
      </c>
      <c r="AF347" s="17">
        <v>0</v>
      </c>
      <c r="AG347" s="17">
        <v>0</v>
      </c>
      <c r="AH347" s="17">
        <v>0</v>
      </c>
      <c r="AI347" s="17">
        <v>0</v>
      </c>
      <c r="AJ347" s="17">
        <v>0</v>
      </c>
      <c r="AK347" s="17">
        <v>0</v>
      </c>
      <c r="AL347" s="17">
        <v>0</v>
      </c>
      <c r="AM347" s="17">
        <v>0</v>
      </c>
      <c r="AN347" s="17">
        <v>0</v>
      </c>
      <c r="AO347" s="17">
        <v>0</v>
      </c>
      <c r="AP347" s="17">
        <v>0</v>
      </c>
      <c r="AQ347" s="17">
        <v>0</v>
      </c>
      <c r="AR347" s="17">
        <v>0</v>
      </c>
      <c r="AS347" s="17">
        <v>0</v>
      </c>
      <c r="AT347" s="17">
        <v>0</v>
      </c>
      <c r="AU347" s="17">
        <v>0</v>
      </c>
      <c r="AV347" s="17">
        <v>0</v>
      </c>
      <c r="AW347" s="17">
        <v>0</v>
      </c>
      <c r="AX347" s="17">
        <v>0</v>
      </c>
      <c r="AY347" s="17">
        <v>0</v>
      </c>
      <c r="AZ347" s="17">
        <v>0</v>
      </c>
      <c r="BA347" s="17">
        <v>0</v>
      </c>
      <c r="BB347" s="17">
        <v>0</v>
      </c>
      <c r="BC347" s="17">
        <v>0</v>
      </c>
      <c r="BD347" s="17">
        <v>0</v>
      </c>
      <c r="BE347" s="17">
        <v>0</v>
      </c>
      <c r="BF347" s="17">
        <v>0</v>
      </c>
      <c r="BG347" s="17">
        <v>0</v>
      </c>
      <c r="BH347" s="17">
        <v>0</v>
      </c>
      <c r="BI347" s="22">
        <f t="shared" si="85"/>
        <v>0</v>
      </c>
      <c r="BJ347" s="22">
        <f t="shared" si="86"/>
        <v>0</v>
      </c>
      <c r="BK347" s="22">
        <f t="shared" si="87"/>
        <v>1</v>
      </c>
      <c r="BL347" s="22">
        <f t="shared" si="88"/>
        <v>1</v>
      </c>
      <c r="BM347" s="22">
        <f t="shared" si="90"/>
        <v>0</v>
      </c>
      <c r="BN347" s="23">
        <f t="shared" si="91"/>
        <v>1</v>
      </c>
      <c r="BO347" s="23" t="e">
        <f t="shared" si="91"/>
        <v>#DIV/0!</v>
      </c>
      <c r="BP347" s="7">
        <f>VLOOKUP(A347,[1]Sheet15!B:E,4,0)</f>
        <v>1</v>
      </c>
      <c r="BQ347" s="7">
        <f>VLOOKUP(A347,[1]Sheet15!B:E,3,0)</f>
        <v>0</v>
      </c>
    </row>
    <row r="348" spans="1:69" ht="22.5" customHeight="1" x14ac:dyDescent="0.25">
      <c r="A348" s="15" t="s">
        <v>896</v>
      </c>
      <c r="B348" s="15">
        <f>VLOOKUP(A348,'[1]Master clients'!F342:W3889,17,0)</f>
        <v>0</v>
      </c>
      <c r="C348" s="15" t="str">
        <f>VLOOKUP(A348,'[1]Master clients'!F342:P3889,11,0)</f>
        <v>NI</v>
      </c>
      <c r="D348" s="15" t="str">
        <f>VLOOKUP(A348,'[1]Master clients'!F:M,8,0)</f>
        <v>End User</v>
      </c>
      <c r="E348" s="24" t="s">
        <v>897</v>
      </c>
      <c r="F348" s="25" t="s">
        <v>898</v>
      </c>
      <c r="G348" s="20">
        <v>0</v>
      </c>
      <c r="H348" s="20">
        <v>0</v>
      </c>
      <c r="I348" s="26">
        <v>6</v>
      </c>
      <c r="J348" s="26">
        <v>0</v>
      </c>
      <c r="K348" s="20">
        <v>0</v>
      </c>
      <c r="L348" s="20">
        <v>0</v>
      </c>
      <c r="M348" s="20">
        <v>0</v>
      </c>
      <c r="N348" s="20">
        <v>9</v>
      </c>
      <c r="O348" s="20">
        <v>0</v>
      </c>
      <c r="P348" s="20">
        <v>0</v>
      </c>
      <c r="Q348" s="20">
        <v>0</v>
      </c>
      <c r="R348" s="20">
        <v>0</v>
      </c>
      <c r="S348" s="20">
        <v>0</v>
      </c>
      <c r="T348" s="20">
        <v>6</v>
      </c>
      <c r="U348" s="20">
        <v>0</v>
      </c>
      <c r="V348" s="20">
        <v>0</v>
      </c>
      <c r="W348" s="20">
        <v>0</v>
      </c>
      <c r="X348" s="20">
        <v>0</v>
      </c>
      <c r="Y348" s="20">
        <v>0</v>
      </c>
      <c r="Z348" s="20">
        <v>0</v>
      </c>
      <c r="AA348" s="20">
        <v>0</v>
      </c>
      <c r="AB348" s="20">
        <v>0</v>
      </c>
      <c r="AC348" s="20">
        <v>0</v>
      </c>
      <c r="AD348" s="20">
        <v>0</v>
      </c>
      <c r="AE348" s="20">
        <v>0</v>
      </c>
      <c r="AF348" s="20">
        <v>0</v>
      </c>
      <c r="AG348" s="20">
        <v>0</v>
      </c>
      <c r="AH348" s="20">
        <v>0</v>
      </c>
      <c r="AI348" s="20">
        <v>0</v>
      </c>
      <c r="AJ348" s="20">
        <v>0</v>
      </c>
      <c r="AK348" s="20">
        <v>0</v>
      </c>
      <c r="AL348" s="20">
        <v>0</v>
      </c>
      <c r="AM348" s="20">
        <v>0</v>
      </c>
      <c r="AN348" s="20">
        <v>0</v>
      </c>
      <c r="AO348" s="20">
        <v>0</v>
      </c>
      <c r="AP348" s="20">
        <v>0</v>
      </c>
      <c r="AQ348" s="20">
        <v>0</v>
      </c>
      <c r="AR348" s="20">
        <v>0</v>
      </c>
      <c r="AS348" s="20">
        <v>0</v>
      </c>
      <c r="AT348" s="20">
        <v>0</v>
      </c>
      <c r="AU348" s="20">
        <v>0</v>
      </c>
      <c r="AV348" s="20">
        <v>0</v>
      </c>
      <c r="AW348" s="20">
        <v>0</v>
      </c>
      <c r="AX348" s="20">
        <v>0</v>
      </c>
      <c r="AY348" s="20">
        <v>0</v>
      </c>
      <c r="AZ348" s="20">
        <v>0</v>
      </c>
      <c r="BA348" s="20">
        <v>0</v>
      </c>
      <c r="BB348" s="27">
        <v>0</v>
      </c>
      <c r="BC348" s="20">
        <v>0</v>
      </c>
      <c r="BD348" s="20">
        <v>0</v>
      </c>
      <c r="BE348" s="21">
        <v>0</v>
      </c>
      <c r="BF348" s="21">
        <v>0</v>
      </c>
      <c r="BG348" s="20">
        <v>0</v>
      </c>
      <c r="BH348" s="20">
        <v>0</v>
      </c>
      <c r="BI348" s="22">
        <f t="shared" si="85"/>
        <v>6</v>
      </c>
      <c r="BJ348" s="22">
        <f t="shared" si="86"/>
        <v>9</v>
      </c>
      <c r="BK348" s="28">
        <f t="shared" si="87"/>
        <v>21</v>
      </c>
      <c r="BL348" s="22">
        <f t="shared" si="88"/>
        <v>12</v>
      </c>
      <c r="BM348" s="22">
        <f t="shared" si="90"/>
        <v>9</v>
      </c>
      <c r="BN348" s="23">
        <f t="shared" si="91"/>
        <v>0.5</v>
      </c>
      <c r="BO348" s="23">
        <f t="shared" si="91"/>
        <v>0</v>
      </c>
      <c r="BP348" s="7">
        <f>VLOOKUP(A348,[1]Sheet15!B:E,4,0)</f>
        <v>7</v>
      </c>
      <c r="BQ348" s="7">
        <f>VLOOKUP(A348,[1]Sheet15!B:E,3,0)</f>
        <v>0</v>
      </c>
    </row>
    <row r="349" spans="1:69" ht="22.5" customHeight="1" x14ac:dyDescent="0.25">
      <c r="A349" s="15" t="s">
        <v>899</v>
      </c>
      <c r="B349" s="15">
        <f>VLOOKUP(A349,'[1]Master clients'!F343:W3890,17,0)</f>
        <v>0</v>
      </c>
      <c r="C349" s="15" t="str">
        <f>VLOOKUP(A349,'[1]Master clients'!F343:P3890,11,0)</f>
        <v>NI</v>
      </c>
      <c r="D349" s="15" t="str">
        <f>VLOOKUP(A349,'[1]Master clients'!F:M,8,0)</f>
        <v>End User</v>
      </c>
      <c r="E349" s="24" t="s">
        <v>900</v>
      </c>
      <c r="F349" s="25" t="s">
        <v>898</v>
      </c>
      <c r="G349" s="20">
        <v>0</v>
      </c>
      <c r="H349" s="20">
        <v>0</v>
      </c>
      <c r="I349" s="26">
        <v>17</v>
      </c>
      <c r="J349" s="26">
        <v>0</v>
      </c>
      <c r="K349" s="20">
        <v>0</v>
      </c>
      <c r="L349" s="20">
        <v>0</v>
      </c>
      <c r="M349" s="20">
        <v>0</v>
      </c>
      <c r="N349" s="20">
        <v>10</v>
      </c>
      <c r="O349" s="20">
        <v>0</v>
      </c>
      <c r="P349" s="20">
        <v>0</v>
      </c>
      <c r="Q349" s="20">
        <v>0</v>
      </c>
      <c r="R349" s="20">
        <v>0</v>
      </c>
      <c r="S349" s="20">
        <v>0</v>
      </c>
      <c r="T349" s="20">
        <v>0</v>
      </c>
      <c r="U349" s="20">
        <v>0</v>
      </c>
      <c r="V349" s="20">
        <v>0</v>
      </c>
      <c r="W349" s="20">
        <v>0</v>
      </c>
      <c r="X349" s="20">
        <v>0</v>
      </c>
      <c r="Y349" s="20">
        <v>0</v>
      </c>
      <c r="Z349" s="20">
        <v>0</v>
      </c>
      <c r="AA349" s="20">
        <v>0</v>
      </c>
      <c r="AB349" s="20">
        <v>0</v>
      </c>
      <c r="AC349" s="20">
        <v>0</v>
      </c>
      <c r="AD349" s="20">
        <v>0</v>
      </c>
      <c r="AE349" s="20">
        <v>0</v>
      </c>
      <c r="AF349" s="20">
        <v>0</v>
      </c>
      <c r="AG349" s="20">
        <v>0</v>
      </c>
      <c r="AH349" s="20">
        <v>0</v>
      </c>
      <c r="AI349" s="20">
        <v>0</v>
      </c>
      <c r="AJ349" s="20">
        <v>0</v>
      </c>
      <c r="AK349" s="20">
        <v>0</v>
      </c>
      <c r="AL349" s="20">
        <v>0</v>
      </c>
      <c r="AM349" s="20">
        <v>0</v>
      </c>
      <c r="AN349" s="20">
        <v>0</v>
      </c>
      <c r="AO349" s="20">
        <v>0</v>
      </c>
      <c r="AP349" s="20">
        <v>0</v>
      </c>
      <c r="AQ349" s="20">
        <v>0</v>
      </c>
      <c r="AR349" s="20">
        <v>0</v>
      </c>
      <c r="AS349" s="20">
        <v>0</v>
      </c>
      <c r="AT349" s="20">
        <v>0</v>
      </c>
      <c r="AU349" s="20">
        <v>0</v>
      </c>
      <c r="AV349" s="20">
        <v>0</v>
      </c>
      <c r="AW349" s="20">
        <v>0</v>
      </c>
      <c r="AX349" s="20">
        <v>0</v>
      </c>
      <c r="AY349" s="20">
        <v>0</v>
      </c>
      <c r="AZ349" s="20">
        <v>0</v>
      </c>
      <c r="BA349" s="20">
        <v>0</v>
      </c>
      <c r="BB349" s="27">
        <v>0</v>
      </c>
      <c r="BC349" s="20">
        <v>0</v>
      </c>
      <c r="BD349" s="20">
        <v>0</v>
      </c>
      <c r="BE349" s="21">
        <v>0</v>
      </c>
      <c r="BF349" s="21">
        <v>0</v>
      </c>
      <c r="BG349" s="20">
        <v>0</v>
      </c>
      <c r="BH349" s="20">
        <v>0</v>
      </c>
      <c r="BI349" s="22">
        <f t="shared" si="85"/>
        <v>0</v>
      </c>
      <c r="BJ349" s="22">
        <f t="shared" si="86"/>
        <v>10</v>
      </c>
      <c r="BK349" s="28">
        <f t="shared" si="87"/>
        <v>27</v>
      </c>
      <c r="BL349" s="22">
        <f t="shared" si="88"/>
        <v>17</v>
      </c>
      <c r="BM349" s="22">
        <f t="shared" si="90"/>
        <v>10</v>
      </c>
      <c r="BN349" s="23">
        <f t="shared" si="91"/>
        <v>1</v>
      </c>
      <c r="BO349" s="23">
        <f t="shared" si="91"/>
        <v>0</v>
      </c>
      <c r="BP349" s="7">
        <f>VLOOKUP(A349,[1]Sheet15!B:E,4,0)</f>
        <v>9</v>
      </c>
      <c r="BQ349" s="7">
        <f>VLOOKUP(A349,[1]Sheet15!B:E,3,0)</f>
        <v>0</v>
      </c>
    </row>
    <row r="350" spans="1:69" ht="22.5" customHeight="1" x14ac:dyDescent="0.25">
      <c r="A350" s="15" t="s">
        <v>901</v>
      </c>
      <c r="B350" s="15">
        <f>VLOOKUP(A350,'[1]Master clients'!F344:W3891,17,0)</f>
        <v>0</v>
      </c>
      <c r="C350" s="15" t="str">
        <f>VLOOKUP(A350,'[1]Master clients'!F344:P3891,11,0)</f>
        <v>NI</v>
      </c>
      <c r="D350" s="15" t="str">
        <f>VLOOKUP(A350,'[1]Master clients'!F:M,8,0)</f>
        <v>End User</v>
      </c>
      <c r="E350" s="24" t="s">
        <v>902</v>
      </c>
      <c r="F350" s="25" t="s">
        <v>898</v>
      </c>
      <c r="G350" s="20">
        <v>0</v>
      </c>
      <c r="H350" s="20">
        <v>0</v>
      </c>
      <c r="I350" s="26">
        <v>14</v>
      </c>
      <c r="J350" s="26">
        <v>0</v>
      </c>
      <c r="K350" s="20">
        <v>0</v>
      </c>
      <c r="L350" s="20">
        <v>0</v>
      </c>
      <c r="M350" s="20">
        <v>0</v>
      </c>
      <c r="N350" s="20">
        <v>10</v>
      </c>
      <c r="O350" s="20">
        <v>0</v>
      </c>
      <c r="P350" s="20">
        <v>0</v>
      </c>
      <c r="Q350" s="20">
        <v>0</v>
      </c>
      <c r="R350" s="20">
        <v>0</v>
      </c>
      <c r="S350" s="20">
        <v>0</v>
      </c>
      <c r="T350" s="20">
        <v>0</v>
      </c>
      <c r="U350" s="20">
        <v>0</v>
      </c>
      <c r="V350" s="20">
        <v>0</v>
      </c>
      <c r="W350" s="20">
        <v>0</v>
      </c>
      <c r="X350" s="20">
        <v>0</v>
      </c>
      <c r="Y350" s="20">
        <v>0</v>
      </c>
      <c r="Z350" s="20">
        <v>0</v>
      </c>
      <c r="AA350" s="20">
        <v>0</v>
      </c>
      <c r="AB350" s="20">
        <v>0</v>
      </c>
      <c r="AC350" s="20">
        <v>0</v>
      </c>
      <c r="AD350" s="20">
        <v>0</v>
      </c>
      <c r="AE350" s="20">
        <v>0</v>
      </c>
      <c r="AF350" s="20">
        <v>0</v>
      </c>
      <c r="AG350" s="20">
        <v>0</v>
      </c>
      <c r="AH350" s="20">
        <v>0</v>
      </c>
      <c r="AI350" s="20">
        <v>0</v>
      </c>
      <c r="AJ350" s="20">
        <v>0</v>
      </c>
      <c r="AK350" s="20">
        <v>0</v>
      </c>
      <c r="AL350" s="20">
        <v>0</v>
      </c>
      <c r="AM350" s="20">
        <v>0</v>
      </c>
      <c r="AN350" s="20">
        <v>0</v>
      </c>
      <c r="AO350" s="20">
        <v>0</v>
      </c>
      <c r="AP350" s="20">
        <v>0</v>
      </c>
      <c r="AQ350" s="20">
        <v>0</v>
      </c>
      <c r="AR350" s="20">
        <v>0</v>
      </c>
      <c r="AS350" s="20">
        <v>0</v>
      </c>
      <c r="AT350" s="20">
        <v>0</v>
      </c>
      <c r="AU350" s="20">
        <v>0</v>
      </c>
      <c r="AV350" s="20">
        <v>0</v>
      </c>
      <c r="AW350" s="20">
        <v>0</v>
      </c>
      <c r="AX350" s="20">
        <v>0</v>
      </c>
      <c r="AY350" s="20">
        <v>0</v>
      </c>
      <c r="AZ350" s="20">
        <v>0</v>
      </c>
      <c r="BA350" s="20">
        <v>0</v>
      </c>
      <c r="BB350" s="27">
        <v>0</v>
      </c>
      <c r="BC350" s="20">
        <v>0</v>
      </c>
      <c r="BD350" s="20">
        <v>0</v>
      </c>
      <c r="BE350" s="21">
        <v>0</v>
      </c>
      <c r="BF350" s="21">
        <v>0</v>
      </c>
      <c r="BG350" s="20">
        <v>0</v>
      </c>
      <c r="BH350" s="20">
        <v>0</v>
      </c>
      <c r="BI350" s="22">
        <f t="shared" si="85"/>
        <v>0</v>
      </c>
      <c r="BJ350" s="22">
        <f t="shared" si="86"/>
        <v>10</v>
      </c>
      <c r="BK350" s="28">
        <f t="shared" si="87"/>
        <v>24</v>
      </c>
      <c r="BL350" s="22">
        <f t="shared" si="88"/>
        <v>14</v>
      </c>
      <c r="BM350" s="22">
        <f t="shared" si="90"/>
        <v>10</v>
      </c>
      <c r="BN350" s="23">
        <f t="shared" si="91"/>
        <v>1</v>
      </c>
      <c r="BO350" s="23">
        <f t="shared" si="91"/>
        <v>0</v>
      </c>
      <c r="BP350" s="7">
        <f>VLOOKUP(A350,[1]Sheet15!B:E,4,0)</f>
        <v>10</v>
      </c>
      <c r="BQ350" s="7">
        <f>VLOOKUP(A350,[1]Sheet15!B:E,3,0)</f>
        <v>0</v>
      </c>
    </row>
    <row r="351" spans="1:69" ht="22.5" customHeight="1" x14ac:dyDescent="0.25">
      <c r="A351" s="15" t="s">
        <v>903</v>
      </c>
      <c r="B351" s="15">
        <f>VLOOKUP(A351,'[1]Master clients'!F345:W3892,17,0)</f>
        <v>0</v>
      </c>
      <c r="C351" s="15" t="str">
        <f>VLOOKUP(A351,'[1]Master clients'!F345:P3892,11,0)</f>
        <v>AV</v>
      </c>
      <c r="D351" s="15" t="str">
        <f>VLOOKUP(A351,'[1]Master clients'!F:M,8,0)</f>
        <v>End User</v>
      </c>
      <c r="E351" s="16" t="s">
        <v>904</v>
      </c>
      <c r="F351" s="16" t="s">
        <v>905</v>
      </c>
      <c r="G351" s="17"/>
      <c r="H351" s="17"/>
      <c r="I351" s="26">
        <v>2</v>
      </c>
      <c r="J351" s="18">
        <v>0</v>
      </c>
      <c r="K351" s="17">
        <v>0</v>
      </c>
      <c r="L351" s="17">
        <v>0</v>
      </c>
      <c r="M351" s="17">
        <v>0</v>
      </c>
      <c r="N351" s="17">
        <v>0</v>
      </c>
      <c r="O351" s="17">
        <v>0</v>
      </c>
      <c r="P351" s="17">
        <v>0</v>
      </c>
      <c r="Q351" s="17">
        <v>0</v>
      </c>
      <c r="R351" s="17">
        <v>0</v>
      </c>
      <c r="S351" s="17">
        <v>0</v>
      </c>
      <c r="T351" s="17">
        <v>0</v>
      </c>
      <c r="U351" s="17">
        <v>0</v>
      </c>
      <c r="V351" s="17">
        <v>0</v>
      </c>
      <c r="W351" s="17">
        <v>0</v>
      </c>
      <c r="X351" s="17">
        <v>0</v>
      </c>
      <c r="Y351" s="17">
        <v>0</v>
      </c>
      <c r="Z351" s="17">
        <v>0</v>
      </c>
      <c r="AA351" s="17">
        <v>0</v>
      </c>
      <c r="AB351" s="17">
        <v>0</v>
      </c>
      <c r="AC351" s="17">
        <v>0</v>
      </c>
      <c r="AD351" s="17">
        <v>0</v>
      </c>
      <c r="AE351" s="17">
        <v>0</v>
      </c>
      <c r="AF351" s="17">
        <v>0</v>
      </c>
      <c r="AG351" s="17">
        <v>0</v>
      </c>
      <c r="AH351" s="17">
        <v>0</v>
      </c>
      <c r="AI351" s="17">
        <v>0</v>
      </c>
      <c r="AJ351" s="17">
        <v>0</v>
      </c>
      <c r="AK351" s="17">
        <v>0</v>
      </c>
      <c r="AL351" s="17">
        <v>0</v>
      </c>
      <c r="AM351" s="17">
        <v>0</v>
      </c>
      <c r="AN351" s="17">
        <v>0</v>
      </c>
      <c r="AO351" s="17">
        <v>0</v>
      </c>
      <c r="AP351" s="17">
        <v>0</v>
      </c>
      <c r="AQ351" s="17">
        <v>0</v>
      </c>
      <c r="AR351" s="17">
        <v>0</v>
      </c>
      <c r="AS351" s="17">
        <v>0</v>
      </c>
      <c r="AT351" s="17">
        <v>0</v>
      </c>
      <c r="AU351" s="17">
        <v>0</v>
      </c>
      <c r="AV351" s="17">
        <v>0</v>
      </c>
      <c r="AW351" s="17">
        <v>0</v>
      </c>
      <c r="AX351" s="17">
        <v>0</v>
      </c>
      <c r="AY351" s="17">
        <v>0</v>
      </c>
      <c r="AZ351" s="17">
        <v>0</v>
      </c>
      <c r="BA351" s="17">
        <v>0</v>
      </c>
      <c r="BB351" s="17">
        <v>0</v>
      </c>
      <c r="BC351" s="17">
        <v>0</v>
      </c>
      <c r="BD351" s="17">
        <v>0</v>
      </c>
      <c r="BE351" s="17">
        <v>0</v>
      </c>
      <c r="BF351" s="17">
        <v>0</v>
      </c>
      <c r="BG351" s="17">
        <v>0</v>
      </c>
      <c r="BH351" s="17">
        <v>0</v>
      </c>
      <c r="BI351" s="22">
        <f>SUM(M351+N351+P351+R351+T351+W351+Z351+AC351+AE351+AL351+AO351+AP351+AS351+AW351+AX351+BC351+BE351+BG351)</f>
        <v>0</v>
      </c>
      <c r="BJ351" s="22">
        <f>SUM(H351:BG351)</f>
        <v>2</v>
      </c>
      <c r="BK351" s="22">
        <f>SUM(H351+J351+K351+L351+O351+Q351+S351+U351+V351+X351+Y351+AA351+AB351+AD351+AF351+AG351+AH351+AI351+AJ351+AK351+AM351+AN351+AQ351+AR351+AT351+AU351+AV351+AY351+AZ351+BA351+BB351+BF351+BD351)</f>
        <v>0</v>
      </c>
      <c r="BL351" s="22">
        <f t="shared" ref="BL351:BM356" si="92">SUM(I351+M351+N351+P351+R351+T351+W351+Z351+AC351+AE351+AL351+AO351+AP351+AS351+AW351+AX351+BC351+BG351)</f>
        <v>2</v>
      </c>
      <c r="BM351" s="22">
        <f t="shared" si="92"/>
        <v>0</v>
      </c>
      <c r="BN351" s="23">
        <f t="shared" si="91"/>
        <v>1</v>
      </c>
      <c r="BO351" s="23" t="e">
        <f t="shared" si="91"/>
        <v>#DIV/0!</v>
      </c>
      <c r="BP351" s="7">
        <f>VLOOKUP(A351,[1]Sheet15!B:E,4,0)</f>
        <v>2</v>
      </c>
      <c r="BQ351" s="7">
        <f>VLOOKUP(A351,[1]Sheet15!B:E,3,0)</f>
        <v>0</v>
      </c>
    </row>
    <row r="352" spans="1:69" ht="22.5" customHeight="1" x14ac:dyDescent="0.25">
      <c r="A352" s="15" t="s">
        <v>906</v>
      </c>
      <c r="B352" s="15">
        <f>VLOOKUP(A352,'[1]Master clients'!F346:W3893,17,0)</f>
        <v>0</v>
      </c>
      <c r="C352" s="15" t="str">
        <f>VLOOKUP(A352,'[1]Master clients'!F346:P3893,11,0)</f>
        <v>AV</v>
      </c>
      <c r="D352" s="15" t="str">
        <f>VLOOKUP(A352,'[1]Master clients'!F:M,8,0)</f>
        <v>End User</v>
      </c>
      <c r="E352" s="16" t="s">
        <v>907</v>
      </c>
      <c r="F352" s="16" t="s">
        <v>905</v>
      </c>
      <c r="G352" s="17">
        <v>30</v>
      </c>
      <c r="H352" s="17">
        <v>0</v>
      </c>
      <c r="I352" s="18">
        <v>25</v>
      </c>
      <c r="J352" s="18">
        <v>0</v>
      </c>
      <c r="K352" s="17">
        <v>0</v>
      </c>
      <c r="L352" s="17">
        <v>0</v>
      </c>
      <c r="M352" s="17">
        <v>0</v>
      </c>
      <c r="N352" s="17">
        <v>0</v>
      </c>
      <c r="O352" s="19">
        <v>0</v>
      </c>
      <c r="P352" s="19">
        <v>0</v>
      </c>
      <c r="Q352" s="19">
        <v>4</v>
      </c>
      <c r="R352" s="19">
        <v>0</v>
      </c>
      <c r="S352" s="19">
        <v>0</v>
      </c>
      <c r="T352" s="19">
        <v>0</v>
      </c>
      <c r="U352" s="19">
        <v>0</v>
      </c>
      <c r="V352" s="19">
        <v>0</v>
      </c>
      <c r="W352" s="20">
        <v>0</v>
      </c>
      <c r="X352" s="20">
        <v>0</v>
      </c>
      <c r="Y352" s="19">
        <v>0</v>
      </c>
      <c r="Z352" s="19">
        <v>0</v>
      </c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>
        <v>0</v>
      </c>
      <c r="AI352" s="20">
        <v>0</v>
      </c>
      <c r="AJ352" s="20">
        <v>0</v>
      </c>
      <c r="AK352" s="19">
        <v>0</v>
      </c>
      <c r="AL352" s="20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>
        <v>0</v>
      </c>
      <c r="AS352" s="19">
        <v>0</v>
      </c>
      <c r="AT352" s="19">
        <v>0</v>
      </c>
      <c r="AU352" s="19">
        <v>0</v>
      </c>
      <c r="AV352" s="19">
        <v>0</v>
      </c>
      <c r="AW352" s="20">
        <v>0</v>
      </c>
      <c r="AX352" s="20">
        <v>0</v>
      </c>
      <c r="AY352" s="20">
        <v>0</v>
      </c>
      <c r="AZ352" s="19">
        <v>0</v>
      </c>
      <c r="BA352" s="19">
        <v>0</v>
      </c>
      <c r="BB352" s="19">
        <v>0</v>
      </c>
      <c r="BC352" s="19">
        <v>0</v>
      </c>
      <c r="BD352" s="19">
        <v>0</v>
      </c>
      <c r="BE352" s="21">
        <v>0</v>
      </c>
      <c r="BF352" s="21">
        <v>0</v>
      </c>
      <c r="BG352" s="19">
        <v>0</v>
      </c>
      <c r="BH352" s="19">
        <v>0</v>
      </c>
      <c r="BI352" s="22">
        <f t="shared" ref="BI352:BI356" si="93">SUM(K352+L352+M352+P352+R352+T352+V352+W352+Y352+Z352+AB352+AC352+AE352+AG352+AH352+AI352+AJ352+AK352+AL352+AN352+AO352+AR352+AS352+AU352+AV352+AW352+AZ352+BA352+BB352+BC352+BE352+BG352)</f>
        <v>0</v>
      </c>
      <c r="BJ352" s="22">
        <f t="shared" ref="BJ352:BJ356" si="94">SUM(N352+O352+Q352+S352+U352+X352+AA352+AD352+AF352+AM352+AP352+AQ352+AT352+AX352+AY352+BD352+BF352+BH352)</f>
        <v>4</v>
      </c>
      <c r="BK352" s="22">
        <f t="shared" ref="BK352:BK356" si="95">SUM(I352:BH352)</f>
        <v>29</v>
      </c>
      <c r="BL352" s="22">
        <f t="shared" ref="BL352:BL356" si="96">SUM(I352+K352+L352+M352+P352+R352+T352+V352+W352+Y352+Z352+AB352+AC352+AE352+AG352+AH352+AI352+AJ352+AK352+AL352+AN352+AO352+AR352+AS352+AU352+AV352+AW352+AZ352+BA352+BB352+BC352+BG352+BE352)</f>
        <v>25</v>
      </c>
      <c r="BM352" s="22">
        <f t="shared" si="92"/>
        <v>4</v>
      </c>
      <c r="BN352" s="23">
        <f t="shared" si="91"/>
        <v>1</v>
      </c>
      <c r="BO352" s="23">
        <f t="shared" si="91"/>
        <v>0</v>
      </c>
      <c r="BP352" s="7">
        <f>VLOOKUP(A352,[1]Sheet15!B:E,4,0)</f>
        <v>19</v>
      </c>
      <c r="BQ352" s="7">
        <f>VLOOKUP(A352,[1]Sheet15!B:E,3,0)</f>
        <v>0</v>
      </c>
    </row>
    <row r="353" spans="1:69" ht="22.5" customHeight="1" x14ac:dyDescent="0.25">
      <c r="A353" s="15" t="s">
        <v>908</v>
      </c>
      <c r="B353" s="15">
        <f>VLOOKUP(A353,'[1]Master clients'!F347:W3894,17,0)</f>
        <v>0</v>
      </c>
      <c r="C353" s="15" t="str">
        <f>VLOOKUP(A353,'[1]Master clients'!F347:P3894,11,0)</f>
        <v>AV</v>
      </c>
      <c r="D353" s="15" t="str">
        <f>VLOOKUP(A353,'[1]Master clients'!F:M,8,0)</f>
        <v>End User</v>
      </c>
      <c r="E353" s="16" t="s">
        <v>909</v>
      </c>
      <c r="F353" s="16" t="s">
        <v>905</v>
      </c>
      <c r="G353" s="17">
        <v>24</v>
      </c>
      <c r="H353" s="17">
        <v>0</v>
      </c>
      <c r="I353" s="18">
        <v>16</v>
      </c>
      <c r="J353" s="18">
        <v>0</v>
      </c>
      <c r="K353" s="17">
        <v>0</v>
      </c>
      <c r="L353" s="17">
        <v>0</v>
      </c>
      <c r="M353" s="17">
        <v>0</v>
      </c>
      <c r="N353" s="17">
        <v>0</v>
      </c>
      <c r="O353" s="19">
        <v>0</v>
      </c>
      <c r="P353" s="19">
        <v>0</v>
      </c>
      <c r="Q353" s="19">
        <v>4</v>
      </c>
      <c r="R353" s="19">
        <v>0</v>
      </c>
      <c r="S353" s="19">
        <v>0</v>
      </c>
      <c r="T353" s="19">
        <v>0</v>
      </c>
      <c r="U353" s="19">
        <v>0</v>
      </c>
      <c r="V353" s="19">
        <v>0</v>
      </c>
      <c r="W353" s="20">
        <v>0</v>
      </c>
      <c r="X353" s="20">
        <v>0</v>
      </c>
      <c r="Y353" s="19">
        <v>0</v>
      </c>
      <c r="Z353" s="19">
        <v>0</v>
      </c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>
        <v>0</v>
      </c>
      <c r="AI353" s="20">
        <v>0</v>
      </c>
      <c r="AJ353" s="20">
        <v>0</v>
      </c>
      <c r="AK353" s="19">
        <v>0</v>
      </c>
      <c r="AL353" s="20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>
        <v>0</v>
      </c>
      <c r="AS353" s="19">
        <v>0</v>
      </c>
      <c r="AT353" s="19">
        <v>0</v>
      </c>
      <c r="AU353" s="19">
        <v>0</v>
      </c>
      <c r="AV353" s="19">
        <v>0</v>
      </c>
      <c r="AW353" s="20">
        <v>0</v>
      </c>
      <c r="AX353" s="20">
        <v>0</v>
      </c>
      <c r="AY353" s="20">
        <v>0</v>
      </c>
      <c r="AZ353" s="19">
        <v>0</v>
      </c>
      <c r="BA353" s="19">
        <v>0</v>
      </c>
      <c r="BB353" s="19">
        <v>0</v>
      </c>
      <c r="BC353" s="19">
        <v>0</v>
      </c>
      <c r="BD353" s="19">
        <v>0</v>
      </c>
      <c r="BE353" s="21">
        <v>0</v>
      </c>
      <c r="BF353" s="21">
        <v>0</v>
      </c>
      <c r="BG353" s="19">
        <v>0</v>
      </c>
      <c r="BH353" s="19">
        <v>0</v>
      </c>
      <c r="BI353" s="22">
        <f t="shared" si="93"/>
        <v>0</v>
      </c>
      <c r="BJ353" s="22">
        <f t="shared" si="94"/>
        <v>4</v>
      </c>
      <c r="BK353" s="22">
        <f t="shared" si="95"/>
        <v>20</v>
      </c>
      <c r="BL353" s="22">
        <f t="shared" si="96"/>
        <v>16</v>
      </c>
      <c r="BM353" s="22">
        <f t="shared" si="92"/>
        <v>4</v>
      </c>
      <c r="BN353" s="23">
        <f t="shared" si="91"/>
        <v>1</v>
      </c>
      <c r="BO353" s="23">
        <f t="shared" si="91"/>
        <v>0</v>
      </c>
      <c r="BP353" s="7">
        <f>VLOOKUP(A353,[1]Sheet15!B:E,4,0)</f>
        <v>15</v>
      </c>
      <c r="BQ353" s="7">
        <f>VLOOKUP(A353,[1]Sheet15!B:E,3,0)</f>
        <v>0</v>
      </c>
    </row>
    <row r="354" spans="1:69" ht="22.5" customHeight="1" x14ac:dyDescent="0.25">
      <c r="A354" s="15" t="s">
        <v>910</v>
      </c>
      <c r="B354" s="15">
        <f>VLOOKUP(A354,'[1]Master clients'!F348:W3895,17,0)</f>
        <v>0</v>
      </c>
      <c r="C354" s="15" t="str">
        <f>VLOOKUP(A354,'[1]Master clients'!F348:P3895,11,0)</f>
        <v>AV</v>
      </c>
      <c r="D354" s="15" t="str">
        <f>VLOOKUP(A354,'[1]Master clients'!F:M,8,0)</f>
        <v>Group (Mills)</v>
      </c>
      <c r="E354" s="16" t="s">
        <v>911</v>
      </c>
      <c r="F354" s="16" t="s">
        <v>905</v>
      </c>
      <c r="G354" s="17"/>
      <c r="H354" s="17"/>
      <c r="I354" s="31">
        <v>10</v>
      </c>
      <c r="J354" s="31">
        <v>3</v>
      </c>
      <c r="K354" s="17">
        <v>0</v>
      </c>
      <c r="L354" s="17">
        <v>0</v>
      </c>
      <c r="M354" s="17">
        <v>0</v>
      </c>
      <c r="N354" s="17">
        <v>0</v>
      </c>
      <c r="O354" s="17">
        <v>0</v>
      </c>
      <c r="P354" s="17">
        <v>0</v>
      </c>
      <c r="Q354" s="17">
        <v>3</v>
      </c>
      <c r="R354" s="17">
        <v>2</v>
      </c>
      <c r="S354" s="17">
        <v>0</v>
      </c>
      <c r="T354" s="17">
        <v>1</v>
      </c>
      <c r="U354" s="17">
        <v>0</v>
      </c>
      <c r="V354" s="17">
        <v>0</v>
      </c>
      <c r="W354" s="17">
        <v>0</v>
      </c>
      <c r="X354" s="17">
        <v>0</v>
      </c>
      <c r="Y354" s="17">
        <v>0</v>
      </c>
      <c r="Z354" s="17">
        <v>0</v>
      </c>
      <c r="AA354" s="17">
        <v>0</v>
      </c>
      <c r="AB354" s="17">
        <v>0</v>
      </c>
      <c r="AC354" s="17">
        <v>0</v>
      </c>
      <c r="AD354" s="17">
        <v>0</v>
      </c>
      <c r="AE354" s="17">
        <v>0</v>
      </c>
      <c r="AF354" s="17">
        <v>0</v>
      </c>
      <c r="AG354" s="17">
        <v>0</v>
      </c>
      <c r="AH354" s="17">
        <v>0</v>
      </c>
      <c r="AI354" s="17">
        <v>0</v>
      </c>
      <c r="AJ354" s="17">
        <v>0</v>
      </c>
      <c r="AK354" s="17">
        <v>0</v>
      </c>
      <c r="AL354" s="17">
        <v>0</v>
      </c>
      <c r="AM354" s="17">
        <v>0</v>
      </c>
      <c r="AN354" s="17">
        <v>0</v>
      </c>
      <c r="AO354" s="17">
        <v>0</v>
      </c>
      <c r="AP354" s="17">
        <v>0</v>
      </c>
      <c r="AQ354" s="17">
        <v>0</v>
      </c>
      <c r="AR354" s="17">
        <v>0</v>
      </c>
      <c r="AS354" s="17">
        <v>0</v>
      </c>
      <c r="AT354" s="17">
        <v>0</v>
      </c>
      <c r="AU354" s="17">
        <v>0</v>
      </c>
      <c r="AV354" s="17">
        <v>0</v>
      </c>
      <c r="AW354" s="17">
        <v>0</v>
      </c>
      <c r="AX354" s="17">
        <v>0</v>
      </c>
      <c r="AY354" s="17">
        <v>0</v>
      </c>
      <c r="AZ354" s="17">
        <v>0</v>
      </c>
      <c r="BA354" s="17">
        <v>0</v>
      </c>
      <c r="BB354" s="17">
        <v>0</v>
      </c>
      <c r="BC354" s="17">
        <v>0</v>
      </c>
      <c r="BD354" s="17">
        <v>0</v>
      </c>
      <c r="BE354" s="17">
        <v>0</v>
      </c>
      <c r="BF354" s="17">
        <v>0</v>
      </c>
      <c r="BG354" s="17">
        <v>0</v>
      </c>
      <c r="BH354" s="17">
        <v>0</v>
      </c>
      <c r="BI354" s="22">
        <f t="shared" si="93"/>
        <v>3</v>
      </c>
      <c r="BJ354" s="22">
        <f t="shared" si="94"/>
        <v>3</v>
      </c>
      <c r="BK354" s="22">
        <f t="shared" si="95"/>
        <v>19</v>
      </c>
      <c r="BL354" s="22">
        <f t="shared" si="96"/>
        <v>13</v>
      </c>
      <c r="BM354" s="22">
        <f t="shared" si="92"/>
        <v>6</v>
      </c>
      <c r="BN354" s="23">
        <f t="shared" si="91"/>
        <v>0.76923076923076927</v>
      </c>
      <c r="BO354" s="23">
        <f t="shared" si="91"/>
        <v>0.5</v>
      </c>
      <c r="BP354" s="7" t="e">
        <f>VLOOKUP(A354,[1]Sheet15!B:E,4,0)</f>
        <v>#N/A</v>
      </c>
      <c r="BQ354" s="7" t="e">
        <f>VLOOKUP(A354,[1]Sheet15!B:E,3,0)</f>
        <v>#N/A</v>
      </c>
    </row>
    <row r="355" spans="1:69" ht="22.5" customHeight="1" x14ac:dyDescent="0.25">
      <c r="A355" s="15" t="s">
        <v>912</v>
      </c>
      <c r="B355" s="15">
        <f>VLOOKUP(A355,'[1]Master clients'!F349:W3896,17,0)</f>
        <v>0</v>
      </c>
      <c r="C355" s="15" t="str">
        <f>VLOOKUP(A355,'[1]Master clients'!F349:P3896,11,0)</f>
        <v>AV</v>
      </c>
      <c r="D355" s="15" t="str">
        <f>VLOOKUP(A355,'[1]Master clients'!F:M,8,0)</f>
        <v>End User</v>
      </c>
      <c r="E355" s="16" t="s">
        <v>913</v>
      </c>
      <c r="F355" s="16" t="s">
        <v>905</v>
      </c>
      <c r="G355" s="17"/>
      <c r="H355" s="17"/>
      <c r="I355" s="26">
        <v>1</v>
      </c>
      <c r="J355" s="31">
        <v>0</v>
      </c>
      <c r="K355" s="17">
        <v>0</v>
      </c>
      <c r="L355" s="17">
        <v>0</v>
      </c>
      <c r="M355" s="17">
        <v>0</v>
      </c>
      <c r="N355" s="17">
        <v>0</v>
      </c>
      <c r="O355" s="17">
        <v>0</v>
      </c>
      <c r="P355" s="17">
        <v>0</v>
      </c>
      <c r="Q355" s="17">
        <v>0</v>
      </c>
      <c r="R355" s="17">
        <v>0</v>
      </c>
      <c r="S355" s="17">
        <v>0</v>
      </c>
      <c r="T355" s="17">
        <v>0</v>
      </c>
      <c r="U355" s="17">
        <v>0</v>
      </c>
      <c r="V355" s="17">
        <v>0</v>
      </c>
      <c r="W355" s="17">
        <v>0</v>
      </c>
      <c r="X355" s="17">
        <v>0</v>
      </c>
      <c r="Y355" s="17">
        <v>0</v>
      </c>
      <c r="Z355" s="17">
        <v>0</v>
      </c>
      <c r="AA355" s="17">
        <v>0</v>
      </c>
      <c r="AB355" s="17">
        <v>0</v>
      </c>
      <c r="AC355" s="17">
        <v>0</v>
      </c>
      <c r="AD355" s="17">
        <v>0</v>
      </c>
      <c r="AE355" s="17">
        <v>0</v>
      </c>
      <c r="AF355" s="17">
        <v>0</v>
      </c>
      <c r="AG355" s="17">
        <v>0</v>
      </c>
      <c r="AH355" s="17">
        <v>0</v>
      </c>
      <c r="AI355" s="17">
        <v>0</v>
      </c>
      <c r="AJ355" s="17">
        <v>0</v>
      </c>
      <c r="AK355" s="17">
        <v>0</v>
      </c>
      <c r="AL355" s="17">
        <v>0</v>
      </c>
      <c r="AM355" s="17">
        <v>0</v>
      </c>
      <c r="AN355" s="17">
        <v>0</v>
      </c>
      <c r="AO355" s="17">
        <v>0</v>
      </c>
      <c r="AP355" s="17">
        <v>0</v>
      </c>
      <c r="AQ355" s="17">
        <v>0</v>
      </c>
      <c r="AR355" s="17">
        <v>0</v>
      </c>
      <c r="AS355" s="17">
        <v>0</v>
      </c>
      <c r="AT355" s="17">
        <v>0</v>
      </c>
      <c r="AU355" s="17">
        <v>0</v>
      </c>
      <c r="AV355" s="17">
        <v>0</v>
      </c>
      <c r="AW355" s="17">
        <v>0</v>
      </c>
      <c r="AX355" s="17">
        <v>0</v>
      </c>
      <c r="AY355" s="17">
        <v>0</v>
      </c>
      <c r="AZ355" s="17">
        <v>0</v>
      </c>
      <c r="BA355" s="17">
        <v>0</v>
      </c>
      <c r="BB355" s="17">
        <v>0</v>
      </c>
      <c r="BC355" s="17">
        <v>0</v>
      </c>
      <c r="BD355" s="17">
        <v>0</v>
      </c>
      <c r="BE355" s="17">
        <v>0</v>
      </c>
      <c r="BF355" s="17">
        <v>0</v>
      </c>
      <c r="BG355" s="17">
        <v>0</v>
      </c>
      <c r="BH355" s="17">
        <v>0</v>
      </c>
      <c r="BI355" s="22">
        <f t="shared" si="93"/>
        <v>0</v>
      </c>
      <c r="BJ355" s="22">
        <f t="shared" si="94"/>
        <v>0</v>
      </c>
      <c r="BK355" s="28">
        <f t="shared" si="95"/>
        <v>1</v>
      </c>
      <c r="BL355" s="22">
        <f t="shared" si="96"/>
        <v>1</v>
      </c>
      <c r="BM355" s="22">
        <f t="shared" si="92"/>
        <v>0</v>
      </c>
      <c r="BN355" s="23">
        <f t="shared" si="91"/>
        <v>1</v>
      </c>
      <c r="BO355" s="23" t="e">
        <f t="shared" si="91"/>
        <v>#DIV/0!</v>
      </c>
      <c r="BP355" s="7">
        <f>VLOOKUP(A355,[1]Sheet15!B:E,4,0)</f>
        <v>1</v>
      </c>
      <c r="BQ355" s="7">
        <f>VLOOKUP(A355,[1]Sheet15!B:E,3,0)</f>
        <v>0</v>
      </c>
    </row>
    <row r="356" spans="1:69" ht="22.5" customHeight="1" x14ac:dyDescent="0.25">
      <c r="A356" s="15" t="s">
        <v>914</v>
      </c>
      <c r="B356" s="15">
        <f>VLOOKUP(A356,'[1]Master clients'!F350:W3897,17,0)</f>
        <v>0</v>
      </c>
      <c r="C356" s="15" t="str">
        <f>VLOOKUP(A356,'[1]Master clients'!F350:P3897,11,0)</f>
        <v>AV</v>
      </c>
      <c r="D356" s="15" t="str">
        <f>VLOOKUP(A356,'[1]Master clients'!F:M,8,0)</f>
        <v>Group (Mills)</v>
      </c>
      <c r="E356" s="16" t="s">
        <v>915</v>
      </c>
      <c r="F356" s="16" t="s">
        <v>905</v>
      </c>
      <c r="G356" s="17">
        <v>11</v>
      </c>
      <c r="H356" s="17">
        <v>10</v>
      </c>
      <c r="I356" s="18">
        <v>6</v>
      </c>
      <c r="J356" s="18">
        <v>4</v>
      </c>
      <c r="K356" s="17">
        <v>0</v>
      </c>
      <c r="L356" s="17">
        <v>0</v>
      </c>
      <c r="M356" s="17">
        <v>0</v>
      </c>
      <c r="N356" s="17">
        <v>0</v>
      </c>
      <c r="O356" s="19">
        <v>0</v>
      </c>
      <c r="P356" s="19">
        <v>0</v>
      </c>
      <c r="Q356" s="19">
        <v>2</v>
      </c>
      <c r="R356" s="19">
        <v>2</v>
      </c>
      <c r="S356" s="19">
        <v>0</v>
      </c>
      <c r="T356" s="19">
        <v>4</v>
      </c>
      <c r="U356" s="19">
        <v>0</v>
      </c>
      <c r="V356" s="19">
        <v>0</v>
      </c>
      <c r="W356" s="20">
        <v>0</v>
      </c>
      <c r="X356" s="20">
        <v>0</v>
      </c>
      <c r="Y356" s="19">
        <v>0</v>
      </c>
      <c r="Z356" s="19">
        <v>0</v>
      </c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>
        <v>0</v>
      </c>
      <c r="AI356" s="20">
        <v>0</v>
      </c>
      <c r="AJ356" s="20">
        <v>0</v>
      </c>
      <c r="AK356" s="19">
        <v>0</v>
      </c>
      <c r="AL356" s="20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>
        <v>0</v>
      </c>
      <c r="AS356" s="19">
        <v>0</v>
      </c>
      <c r="AT356" s="19">
        <v>0</v>
      </c>
      <c r="AU356" s="19">
        <v>0</v>
      </c>
      <c r="AV356" s="19">
        <v>0</v>
      </c>
      <c r="AW356" s="20">
        <v>0</v>
      </c>
      <c r="AX356" s="20">
        <v>0</v>
      </c>
      <c r="AY356" s="20">
        <v>0</v>
      </c>
      <c r="AZ356" s="19">
        <v>0</v>
      </c>
      <c r="BA356" s="19">
        <v>0</v>
      </c>
      <c r="BB356" s="19">
        <v>0</v>
      </c>
      <c r="BC356" s="19">
        <v>0</v>
      </c>
      <c r="BD356" s="19">
        <v>0</v>
      </c>
      <c r="BE356" s="21">
        <v>0</v>
      </c>
      <c r="BF356" s="21">
        <v>0</v>
      </c>
      <c r="BG356" s="19">
        <v>0</v>
      </c>
      <c r="BH356" s="19">
        <v>0</v>
      </c>
      <c r="BI356" s="22">
        <f t="shared" si="93"/>
        <v>6</v>
      </c>
      <c r="BJ356" s="22">
        <f t="shared" si="94"/>
        <v>2</v>
      </c>
      <c r="BK356" s="22">
        <f t="shared" si="95"/>
        <v>18</v>
      </c>
      <c r="BL356" s="22">
        <f t="shared" si="96"/>
        <v>12</v>
      </c>
      <c r="BM356" s="22">
        <f t="shared" si="92"/>
        <v>6</v>
      </c>
      <c r="BN356" s="23">
        <f t="shared" si="91"/>
        <v>0.5</v>
      </c>
      <c r="BO356" s="23">
        <f t="shared" si="91"/>
        <v>0.66666666666666663</v>
      </c>
      <c r="BP356" s="7">
        <f>VLOOKUP(A356,[1]Sheet15!B:E,4,0)</f>
        <v>0</v>
      </c>
      <c r="BQ356" s="7">
        <f>VLOOKUP(A356,[1]Sheet15!B:E,3,0)</f>
        <v>2</v>
      </c>
    </row>
    <row r="357" spans="1:69" ht="22.5" customHeight="1" x14ac:dyDescent="0.25">
      <c r="A357" s="15" t="s">
        <v>916</v>
      </c>
      <c r="B357" s="15">
        <f>VLOOKUP(A357,'[1]Master clients'!F351:W3898,17,0)</f>
        <v>0</v>
      </c>
      <c r="C357" s="15" t="str">
        <f>VLOOKUP(A357,'[1]Master clients'!F351:P3898,11,0)</f>
        <v>AV</v>
      </c>
      <c r="D357" s="15" t="str">
        <f>VLOOKUP(A357,'[1]Master clients'!F:M,8,0)</f>
        <v>End User</v>
      </c>
      <c r="E357" s="16" t="s">
        <v>917</v>
      </c>
      <c r="F357" s="16" t="s">
        <v>918</v>
      </c>
      <c r="G357" s="17"/>
      <c r="H357" s="17"/>
      <c r="I357" s="26">
        <v>4</v>
      </c>
      <c r="J357" s="18">
        <v>0</v>
      </c>
      <c r="K357" s="17">
        <v>0</v>
      </c>
      <c r="L357" s="17">
        <v>0</v>
      </c>
      <c r="M357" s="17">
        <v>0</v>
      </c>
      <c r="N357" s="17">
        <v>0</v>
      </c>
      <c r="O357" s="17">
        <v>0</v>
      </c>
      <c r="P357" s="17">
        <v>0</v>
      </c>
      <c r="Q357" s="17">
        <v>0</v>
      </c>
      <c r="R357" s="17">
        <v>0</v>
      </c>
      <c r="S357" s="17">
        <v>0</v>
      </c>
      <c r="T357" s="17">
        <v>0</v>
      </c>
      <c r="U357" s="17">
        <v>0</v>
      </c>
      <c r="V357" s="17">
        <v>0</v>
      </c>
      <c r="W357" s="17">
        <v>0</v>
      </c>
      <c r="X357" s="17">
        <v>0</v>
      </c>
      <c r="Y357" s="17">
        <v>0</v>
      </c>
      <c r="Z357" s="17">
        <v>0</v>
      </c>
      <c r="AA357" s="17">
        <v>0</v>
      </c>
      <c r="AB357" s="17">
        <v>0</v>
      </c>
      <c r="AC357" s="17">
        <v>0</v>
      </c>
      <c r="AD357" s="17">
        <v>0</v>
      </c>
      <c r="AE357" s="17">
        <v>0</v>
      </c>
      <c r="AF357" s="17">
        <v>0</v>
      </c>
      <c r="AG357" s="17">
        <v>0</v>
      </c>
      <c r="AH357" s="17">
        <v>0</v>
      </c>
      <c r="AI357" s="17">
        <v>0</v>
      </c>
      <c r="AJ357" s="17">
        <v>0</v>
      </c>
      <c r="AK357" s="17">
        <v>0</v>
      </c>
      <c r="AL357" s="17">
        <v>0</v>
      </c>
      <c r="AM357" s="17">
        <v>0</v>
      </c>
      <c r="AN357" s="17">
        <v>0</v>
      </c>
      <c r="AO357" s="17">
        <v>0</v>
      </c>
      <c r="AP357" s="17">
        <v>0</v>
      </c>
      <c r="AQ357" s="17">
        <v>0</v>
      </c>
      <c r="AR357" s="17">
        <v>0</v>
      </c>
      <c r="AS357" s="17">
        <v>0</v>
      </c>
      <c r="AT357" s="17">
        <v>0</v>
      </c>
      <c r="AU357" s="17">
        <v>0</v>
      </c>
      <c r="AV357" s="17">
        <v>0</v>
      </c>
      <c r="AW357" s="17">
        <v>0</v>
      </c>
      <c r="AX357" s="17">
        <v>0</v>
      </c>
      <c r="AY357" s="17">
        <v>0</v>
      </c>
      <c r="AZ357" s="17">
        <v>0</v>
      </c>
      <c r="BA357" s="17">
        <v>0</v>
      </c>
      <c r="BB357" s="17">
        <v>0</v>
      </c>
      <c r="BC357" s="17">
        <v>0</v>
      </c>
      <c r="BD357" s="17">
        <v>0</v>
      </c>
      <c r="BE357" s="17">
        <v>0</v>
      </c>
      <c r="BF357" s="17">
        <v>0</v>
      </c>
      <c r="BG357" s="17">
        <v>0</v>
      </c>
      <c r="BH357" s="17">
        <v>0</v>
      </c>
      <c r="BI357" s="22">
        <f>SUM(M357+N357+P357+R357+T357+W357+Z357+AC357+AE357+AL357+AO357+AP357+AS357+AW357+AX357+BC357+BE357+BG357)</f>
        <v>0</v>
      </c>
      <c r="BJ357" s="22">
        <f>SUM(H357:BG357)</f>
        <v>4</v>
      </c>
      <c r="BK357" s="22">
        <f>SUM(H357+J357+K357+L357+O357+Q357+S357+U357+V357+X357+Y357+AA357+AB357+AD357+AF357+AG357+AH357+AI357+AJ357+AK357+AM357+AN357+AQ357+AR357+AT357+AU357+AV357+AY357+AZ357+BA357+BB357+BF357+BD357)</f>
        <v>0</v>
      </c>
      <c r="BL357" s="22">
        <f t="shared" ref="BL357:BM372" si="97">SUM(I357+M357+N357+P357+R357+T357+W357+Z357+AC357+AE357+AL357+AO357+AP357+AS357+AW357+AX357+BC357+BG357)</f>
        <v>4</v>
      </c>
      <c r="BM357" s="22">
        <f t="shared" si="97"/>
        <v>0</v>
      </c>
      <c r="BN357" s="23">
        <f t="shared" ref="BN357:BO372" si="98">I357/BL357</f>
        <v>1</v>
      </c>
      <c r="BO357" s="23" t="e">
        <f t="shared" si="98"/>
        <v>#DIV/0!</v>
      </c>
      <c r="BP357" s="7">
        <f>VLOOKUP(A357,[1]Sheet15!B:E,4,0)</f>
        <v>4</v>
      </c>
      <c r="BQ357" s="7">
        <f>VLOOKUP(A357,[1]Sheet15!B:E,3,0)</f>
        <v>0</v>
      </c>
    </row>
    <row r="358" spans="1:69" ht="22.5" customHeight="1" x14ac:dyDescent="0.25">
      <c r="A358" s="15" t="s">
        <v>919</v>
      </c>
      <c r="B358" s="15">
        <f>VLOOKUP(A358,'[1]Master clients'!F352:W3899,17,0)</f>
        <v>0</v>
      </c>
      <c r="C358" s="15" t="str">
        <f>VLOOKUP(A358,'[1]Master clients'!F352:P3899,11,0)</f>
        <v>AV</v>
      </c>
      <c r="D358" s="15" t="str">
        <f>VLOOKUP(A358,'[1]Master clients'!F:M,8,0)</f>
        <v>Group (Mills)</v>
      </c>
      <c r="E358" s="16" t="s">
        <v>920</v>
      </c>
      <c r="F358" s="16" t="s">
        <v>921</v>
      </c>
      <c r="G358" s="17">
        <v>29</v>
      </c>
      <c r="H358" s="17">
        <v>0</v>
      </c>
      <c r="I358" s="18">
        <v>34</v>
      </c>
      <c r="J358" s="18">
        <v>0</v>
      </c>
      <c r="K358" s="17">
        <v>8</v>
      </c>
      <c r="L358" s="17">
        <v>0</v>
      </c>
      <c r="M358" s="17">
        <v>0</v>
      </c>
      <c r="N358" s="17">
        <v>1</v>
      </c>
      <c r="O358" s="19">
        <v>0</v>
      </c>
      <c r="P358" s="19">
        <v>0</v>
      </c>
      <c r="Q358" s="19">
        <v>17</v>
      </c>
      <c r="R358" s="19">
        <v>0</v>
      </c>
      <c r="S358" s="19">
        <v>0</v>
      </c>
      <c r="T358" s="19">
        <v>0</v>
      </c>
      <c r="U358" s="19">
        <v>0</v>
      </c>
      <c r="V358" s="19">
        <v>0</v>
      </c>
      <c r="W358" s="20">
        <v>0</v>
      </c>
      <c r="X358" s="20">
        <v>0</v>
      </c>
      <c r="Y358" s="19">
        <v>0</v>
      </c>
      <c r="Z358" s="19">
        <v>0</v>
      </c>
      <c r="AA358" s="19">
        <v>0</v>
      </c>
      <c r="AB358" s="19">
        <v>0</v>
      </c>
      <c r="AC358" s="19">
        <v>0</v>
      </c>
      <c r="AD358" s="19">
        <v>0</v>
      </c>
      <c r="AE358" s="19">
        <v>0</v>
      </c>
      <c r="AF358" s="19">
        <v>0</v>
      </c>
      <c r="AG358" s="19">
        <v>0</v>
      </c>
      <c r="AH358" s="19">
        <v>0</v>
      </c>
      <c r="AI358" s="20">
        <v>0</v>
      </c>
      <c r="AJ358" s="20">
        <v>0</v>
      </c>
      <c r="AK358" s="19">
        <v>0</v>
      </c>
      <c r="AL358" s="20">
        <v>0</v>
      </c>
      <c r="AM358" s="19">
        <v>0</v>
      </c>
      <c r="AN358" s="19">
        <v>0</v>
      </c>
      <c r="AO358" s="19">
        <v>0</v>
      </c>
      <c r="AP358" s="19">
        <v>0</v>
      </c>
      <c r="AQ358" s="19">
        <v>0</v>
      </c>
      <c r="AR358" s="19">
        <v>0</v>
      </c>
      <c r="AS358" s="19">
        <v>0</v>
      </c>
      <c r="AT358" s="19">
        <v>0</v>
      </c>
      <c r="AU358" s="19">
        <v>0</v>
      </c>
      <c r="AV358" s="19">
        <v>0</v>
      </c>
      <c r="AW358" s="20">
        <v>0</v>
      </c>
      <c r="AX358" s="20">
        <v>0</v>
      </c>
      <c r="AY358" s="20">
        <v>0</v>
      </c>
      <c r="AZ358" s="19">
        <v>0</v>
      </c>
      <c r="BA358" s="19">
        <v>0</v>
      </c>
      <c r="BB358" s="19">
        <v>0</v>
      </c>
      <c r="BC358" s="19">
        <v>0</v>
      </c>
      <c r="BD358" s="19">
        <v>0</v>
      </c>
      <c r="BE358" s="21">
        <v>0</v>
      </c>
      <c r="BF358" s="21">
        <v>0</v>
      </c>
      <c r="BG358" s="19">
        <v>0</v>
      </c>
      <c r="BH358" s="19">
        <v>0</v>
      </c>
      <c r="BI358" s="22">
        <f t="shared" ref="BI358:BI377" si="99">SUM(K358+L358+M358+P358+R358+T358+V358+W358+Y358+Z358+AB358+AC358+AE358+AG358+AH358+AI358+AJ358+AK358+AL358+AN358+AO358+AR358+AS358+AU358+AV358+AW358+AZ358+BA358+BB358+BC358+BE358+BG358)</f>
        <v>8</v>
      </c>
      <c r="BJ358" s="22">
        <f t="shared" ref="BJ358:BJ377" si="100">SUM(N358+O358+Q358+S358+U358+X358+AA358+AD358+AF358+AM358+AP358+AQ358+AT358+AX358+AY358+BD358+BF358+BH358)</f>
        <v>18</v>
      </c>
      <c r="BK358" s="22">
        <f t="shared" ref="BK358:BK377" si="101">SUM(I358:BH358)</f>
        <v>60</v>
      </c>
      <c r="BL358" s="22">
        <f t="shared" ref="BL358:BL377" si="102">SUM(I358+K358+L358+M358+P358+R358+T358+V358+W358+Y358+Z358+AB358+AC358+AE358+AG358+AH358+AI358+AJ358+AK358+AL358+AN358+AO358+AR358+AS358+AU358+AV358+AW358+AZ358+BA358+BB358+BC358+BG358+BE358)</f>
        <v>42</v>
      </c>
      <c r="BM358" s="22">
        <f t="shared" si="97"/>
        <v>18</v>
      </c>
      <c r="BN358" s="23">
        <f t="shared" si="98"/>
        <v>0.80952380952380953</v>
      </c>
      <c r="BO358" s="23">
        <f t="shared" si="98"/>
        <v>0</v>
      </c>
      <c r="BP358" s="7" t="e">
        <f>VLOOKUP(A358,[1]Sheet15!B:E,4,0)</f>
        <v>#N/A</v>
      </c>
      <c r="BQ358" s="7" t="e">
        <f>VLOOKUP(A358,[1]Sheet15!B:E,3,0)</f>
        <v>#N/A</v>
      </c>
    </row>
    <row r="359" spans="1:69" ht="22.5" customHeight="1" x14ac:dyDescent="0.25">
      <c r="A359" s="15" t="s">
        <v>919</v>
      </c>
      <c r="B359" s="15">
        <f>VLOOKUP(A359,'[1]Master clients'!F353:W3900,17,0)</f>
        <v>0</v>
      </c>
      <c r="C359" s="15" t="str">
        <f>VLOOKUP(A359,'[1]Master clients'!F353:P3900,11,0)</f>
        <v>AV</v>
      </c>
      <c r="D359" s="15" t="str">
        <f>VLOOKUP(A359,'[1]Master clients'!F:M,8,0)</f>
        <v>Group (Mills)</v>
      </c>
      <c r="E359" s="16" t="s">
        <v>920</v>
      </c>
      <c r="F359" s="16" t="s">
        <v>922</v>
      </c>
      <c r="G359" s="17"/>
      <c r="H359" s="17"/>
      <c r="I359" s="31">
        <v>34</v>
      </c>
      <c r="J359" s="31">
        <v>0</v>
      </c>
      <c r="K359" s="17">
        <v>8</v>
      </c>
      <c r="L359" s="17">
        <v>0</v>
      </c>
      <c r="M359" s="17">
        <v>0</v>
      </c>
      <c r="N359" s="17">
        <v>1</v>
      </c>
      <c r="O359" s="17">
        <v>0</v>
      </c>
      <c r="P359" s="17">
        <v>0</v>
      </c>
      <c r="Q359" s="17">
        <v>17</v>
      </c>
      <c r="R359" s="17">
        <v>0</v>
      </c>
      <c r="S359" s="17">
        <v>0</v>
      </c>
      <c r="T359" s="17">
        <v>0</v>
      </c>
      <c r="U359" s="17">
        <v>0</v>
      </c>
      <c r="V359" s="17">
        <v>0</v>
      </c>
      <c r="W359" s="17">
        <v>0</v>
      </c>
      <c r="X359" s="17">
        <v>0</v>
      </c>
      <c r="Y359" s="17">
        <v>0</v>
      </c>
      <c r="Z359" s="17">
        <v>0</v>
      </c>
      <c r="AA359" s="17">
        <v>0</v>
      </c>
      <c r="AB359" s="17">
        <v>0</v>
      </c>
      <c r="AC359" s="17">
        <v>0</v>
      </c>
      <c r="AD359" s="17">
        <v>0</v>
      </c>
      <c r="AE359" s="17">
        <v>0</v>
      </c>
      <c r="AF359" s="17">
        <v>0</v>
      </c>
      <c r="AG359" s="17">
        <v>0</v>
      </c>
      <c r="AH359" s="17">
        <v>0</v>
      </c>
      <c r="AI359" s="17">
        <v>0</v>
      </c>
      <c r="AJ359" s="17">
        <v>0</v>
      </c>
      <c r="AK359" s="17">
        <v>0</v>
      </c>
      <c r="AL359" s="17">
        <v>0</v>
      </c>
      <c r="AM359" s="17">
        <v>0</v>
      </c>
      <c r="AN359" s="17">
        <v>0</v>
      </c>
      <c r="AO359" s="17">
        <v>0</v>
      </c>
      <c r="AP359" s="17">
        <v>0</v>
      </c>
      <c r="AQ359" s="17">
        <v>0</v>
      </c>
      <c r="AR359" s="17">
        <v>0</v>
      </c>
      <c r="AS359" s="17">
        <v>0</v>
      </c>
      <c r="AT359" s="17">
        <v>0</v>
      </c>
      <c r="AU359" s="17">
        <v>0</v>
      </c>
      <c r="AV359" s="17">
        <v>0</v>
      </c>
      <c r="AW359" s="17">
        <v>0</v>
      </c>
      <c r="AX359" s="17">
        <v>0</v>
      </c>
      <c r="AY359" s="17">
        <v>0</v>
      </c>
      <c r="AZ359" s="17">
        <v>0</v>
      </c>
      <c r="BA359" s="17">
        <v>0</v>
      </c>
      <c r="BB359" s="17">
        <v>0</v>
      </c>
      <c r="BC359" s="17">
        <v>0</v>
      </c>
      <c r="BD359" s="17">
        <v>0</v>
      </c>
      <c r="BE359" s="17">
        <v>0</v>
      </c>
      <c r="BF359" s="17">
        <v>0</v>
      </c>
      <c r="BG359" s="17">
        <v>0</v>
      </c>
      <c r="BH359" s="17">
        <v>0</v>
      </c>
      <c r="BI359" s="22">
        <f t="shared" si="99"/>
        <v>8</v>
      </c>
      <c r="BJ359" s="22">
        <f t="shared" si="100"/>
        <v>18</v>
      </c>
      <c r="BK359" s="22">
        <f t="shared" si="101"/>
        <v>60</v>
      </c>
      <c r="BL359" s="22">
        <f t="shared" si="102"/>
        <v>42</v>
      </c>
      <c r="BM359" s="22">
        <f t="shared" si="97"/>
        <v>18</v>
      </c>
      <c r="BN359" s="23">
        <f t="shared" si="98"/>
        <v>0.80952380952380953</v>
      </c>
      <c r="BO359" s="23">
        <f t="shared" si="98"/>
        <v>0</v>
      </c>
      <c r="BP359" s="7" t="e">
        <f>VLOOKUP(A359,[1]Sheet15!B:E,4,0)</f>
        <v>#N/A</v>
      </c>
      <c r="BQ359" s="7" t="e">
        <f>VLOOKUP(A359,[1]Sheet15!B:E,3,0)</f>
        <v>#N/A</v>
      </c>
    </row>
    <row r="360" spans="1:69" ht="22.5" customHeight="1" x14ac:dyDescent="0.25">
      <c r="A360" s="15" t="s">
        <v>923</v>
      </c>
      <c r="B360" s="15">
        <f>VLOOKUP(A360,'[1]Master clients'!F354:W3901,17,0)</f>
        <v>0</v>
      </c>
      <c r="C360" s="15" t="str">
        <f>VLOOKUP(A360,'[1]Master clients'!F354:P3901,11,0)</f>
        <v>AV</v>
      </c>
      <c r="D360" s="15" t="str">
        <f>VLOOKUP(A360,'[1]Master clients'!F:M,8,0)</f>
        <v>Group (Mills)</v>
      </c>
      <c r="E360" s="16" t="s">
        <v>924</v>
      </c>
      <c r="F360" s="16" t="s">
        <v>922</v>
      </c>
      <c r="G360" s="17"/>
      <c r="H360" s="17"/>
      <c r="I360" s="31">
        <v>0</v>
      </c>
      <c r="J360" s="31">
        <v>0</v>
      </c>
      <c r="K360" s="17">
        <v>0</v>
      </c>
      <c r="L360" s="17">
        <v>0</v>
      </c>
      <c r="M360" s="17">
        <v>0</v>
      </c>
      <c r="N360" s="17">
        <v>0</v>
      </c>
      <c r="O360" s="17">
        <v>0</v>
      </c>
      <c r="P360" s="17">
        <v>0</v>
      </c>
      <c r="Q360" s="17">
        <v>0</v>
      </c>
      <c r="R360" s="17">
        <v>0</v>
      </c>
      <c r="S360" s="17">
        <v>0</v>
      </c>
      <c r="T360" s="17">
        <v>0</v>
      </c>
      <c r="U360" s="17">
        <v>0</v>
      </c>
      <c r="V360" s="17">
        <v>0</v>
      </c>
      <c r="W360" s="17">
        <v>0</v>
      </c>
      <c r="X360" s="17">
        <v>0</v>
      </c>
      <c r="Y360" s="17">
        <v>0</v>
      </c>
      <c r="Z360" s="17">
        <v>0</v>
      </c>
      <c r="AA360" s="17">
        <v>0</v>
      </c>
      <c r="AB360" s="17">
        <v>0</v>
      </c>
      <c r="AC360" s="17">
        <v>0</v>
      </c>
      <c r="AD360" s="17">
        <v>0</v>
      </c>
      <c r="AE360" s="17">
        <v>0</v>
      </c>
      <c r="AF360" s="17">
        <v>0</v>
      </c>
      <c r="AG360" s="17">
        <v>0</v>
      </c>
      <c r="AH360" s="17">
        <v>0</v>
      </c>
      <c r="AI360" s="17">
        <v>0</v>
      </c>
      <c r="AJ360" s="17">
        <v>0</v>
      </c>
      <c r="AK360" s="17">
        <v>0</v>
      </c>
      <c r="AL360" s="17">
        <v>0</v>
      </c>
      <c r="AM360" s="17">
        <v>0</v>
      </c>
      <c r="AN360" s="17">
        <v>0</v>
      </c>
      <c r="AO360" s="17">
        <v>0</v>
      </c>
      <c r="AP360" s="17">
        <v>0</v>
      </c>
      <c r="AQ360" s="17">
        <v>0</v>
      </c>
      <c r="AR360" s="17">
        <v>0</v>
      </c>
      <c r="AS360" s="17">
        <v>0</v>
      </c>
      <c r="AT360" s="17">
        <v>0</v>
      </c>
      <c r="AU360" s="17">
        <v>0</v>
      </c>
      <c r="AV360" s="17">
        <v>0</v>
      </c>
      <c r="AW360" s="17">
        <v>0</v>
      </c>
      <c r="AX360" s="17">
        <v>0</v>
      </c>
      <c r="AY360" s="17">
        <v>0</v>
      </c>
      <c r="AZ360" s="17">
        <v>0</v>
      </c>
      <c r="BA360" s="17">
        <v>0</v>
      </c>
      <c r="BB360" s="17">
        <v>0</v>
      </c>
      <c r="BC360" s="17">
        <v>0</v>
      </c>
      <c r="BD360" s="17">
        <v>0</v>
      </c>
      <c r="BE360" s="17">
        <v>0</v>
      </c>
      <c r="BF360" s="17">
        <v>0</v>
      </c>
      <c r="BG360" s="17">
        <v>0</v>
      </c>
      <c r="BH360" s="17">
        <v>0</v>
      </c>
      <c r="BI360" s="22">
        <f t="shared" si="99"/>
        <v>0</v>
      </c>
      <c r="BJ360" s="22">
        <f t="shared" si="100"/>
        <v>0</v>
      </c>
      <c r="BK360" s="22">
        <f t="shared" si="101"/>
        <v>0</v>
      </c>
      <c r="BL360" s="22">
        <f t="shared" si="102"/>
        <v>0</v>
      </c>
      <c r="BM360" s="22">
        <f t="shared" si="97"/>
        <v>0</v>
      </c>
      <c r="BN360" s="23" t="e">
        <f t="shared" si="98"/>
        <v>#DIV/0!</v>
      </c>
      <c r="BO360" s="23" t="e">
        <f t="shared" si="98"/>
        <v>#DIV/0!</v>
      </c>
      <c r="BP360" s="7" t="e">
        <f>VLOOKUP(A360,[1]Sheet15!B:E,4,0)</f>
        <v>#N/A</v>
      </c>
      <c r="BQ360" s="7" t="e">
        <f>VLOOKUP(A360,[1]Sheet15!B:E,3,0)</f>
        <v>#N/A</v>
      </c>
    </row>
    <row r="361" spans="1:69" ht="22.5" customHeight="1" x14ac:dyDescent="0.25">
      <c r="A361" s="15" t="s">
        <v>925</v>
      </c>
      <c r="B361" s="15">
        <f>VLOOKUP(A361,'[1]Master clients'!F355:W3902,17,0)</f>
        <v>0</v>
      </c>
      <c r="C361" s="15" t="str">
        <f>VLOOKUP(A361,'[1]Master clients'!F355:P3902,11,0)</f>
        <v>NI</v>
      </c>
      <c r="D361" s="15" t="str">
        <f>VLOOKUP(A361,'[1]Master clients'!F:M,8,0)</f>
        <v>End User</v>
      </c>
      <c r="E361" s="16" t="s">
        <v>926</v>
      </c>
      <c r="F361" s="16" t="s">
        <v>927</v>
      </c>
      <c r="G361" s="17"/>
      <c r="H361" s="17"/>
      <c r="I361" s="26">
        <v>1</v>
      </c>
      <c r="J361" s="31">
        <v>0</v>
      </c>
      <c r="K361" s="17">
        <v>0</v>
      </c>
      <c r="L361" s="17">
        <v>0</v>
      </c>
      <c r="M361" s="17">
        <v>0</v>
      </c>
      <c r="N361" s="17">
        <v>0</v>
      </c>
      <c r="O361" s="17">
        <v>0</v>
      </c>
      <c r="P361" s="17">
        <v>0</v>
      </c>
      <c r="Q361" s="17">
        <v>0</v>
      </c>
      <c r="R361" s="17">
        <v>0</v>
      </c>
      <c r="S361" s="17">
        <v>0</v>
      </c>
      <c r="T361" s="17">
        <v>0</v>
      </c>
      <c r="U361" s="17">
        <v>0</v>
      </c>
      <c r="V361" s="17">
        <v>0</v>
      </c>
      <c r="W361" s="17">
        <v>0</v>
      </c>
      <c r="X361" s="17">
        <v>0</v>
      </c>
      <c r="Y361" s="17">
        <v>0</v>
      </c>
      <c r="Z361" s="17">
        <v>0</v>
      </c>
      <c r="AA361" s="17">
        <v>0</v>
      </c>
      <c r="AB361" s="17">
        <v>0</v>
      </c>
      <c r="AC361" s="17">
        <v>0</v>
      </c>
      <c r="AD361" s="17">
        <v>0</v>
      </c>
      <c r="AE361" s="17">
        <v>0</v>
      </c>
      <c r="AF361" s="17">
        <v>0</v>
      </c>
      <c r="AG361" s="17">
        <v>0</v>
      </c>
      <c r="AH361" s="17">
        <v>0</v>
      </c>
      <c r="AI361" s="17">
        <v>0</v>
      </c>
      <c r="AJ361" s="17">
        <v>0</v>
      </c>
      <c r="AK361" s="17">
        <v>0</v>
      </c>
      <c r="AL361" s="17">
        <v>0</v>
      </c>
      <c r="AM361" s="17">
        <v>0</v>
      </c>
      <c r="AN361" s="17">
        <v>0</v>
      </c>
      <c r="AO361" s="17">
        <v>0</v>
      </c>
      <c r="AP361" s="17">
        <v>0</v>
      </c>
      <c r="AQ361" s="17">
        <v>0</v>
      </c>
      <c r="AR361" s="17">
        <v>0</v>
      </c>
      <c r="AS361" s="17">
        <v>0</v>
      </c>
      <c r="AT361" s="17">
        <v>0</v>
      </c>
      <c r="AU361" s="17">
        <v>0</v>
      </c>
      <c r="AV361" s="17">
        <v>0</v>
      </c>
      <c r="AW361" s="17">
        <v>0</v>
      </c>
      <c r="AX361" s="17">
        <v>0</v>
      </c>
      <c r="AY361" s="17">
        <v>0</v>
      </c>
      <c r="AZ361" s="17">
        <v>0</v>
      </c>
      <c r="BA361" s="17">
        <v>0</v>
      </c>
      <c r="BB361" s="17">
        <v>0</v>
      </c>
      <c r="BC361" s="17">
        <v>0</v>
      </c>
      <c r="BD361" s="17">
        <v>0</v>
      </c>
      <c r="BE361" s="17">
        <v>0</v>
      </c>
      <c r="BF361" s="17">
        <v>0</v>
      </c>
      <c r="BG361" s="17">
        <v>0</v>
      </c>
      <c r="BH361" s="17">
        <v>0</v>
      </c>
      <c r="BI361" s="22">
        <f t="shared" si="99"/>
        <v>0</v>
      </c>
      <c r="BJ361" s="22">
        <f t="shared" si="100"/>
        <v>0</v>
      </c>
      <c r="BK361" s="22">
        <f t="shared" si="101"/>
        <v>1</v>
      </c>
      <c r="BL361" s="22">
        <f t="shared" si="102"/>
        <v>1</v>
      </c>
      <c r="BM361" s="22">
        <f t="shared" si="97"/>
        <v>0</v>
      </c>
      <c r="BN361" s="23">
        <f t="shared" si="98"/>
        <v>1</v>
      </c>
      <c r="BO361" s="23" t="e">
        <f t="shared" si="98"/>
        <v>#DIV/0!</v>
      </c>
      <c r="BP361" s="7">
        <f>VLOOKUP(A361,[1]Sheet15!B:E,4,0)</f>
        <v>1</v>
      </c>
      <c r="BQ361" s="7">
        <f>VLOOKUP(A361,[1]Sheet15!B:E,3,0)</f>
        <v>0</v>
      </c>
    </row>
    <row r="362" spans="1:69" ht="22.5" customHeight="1" x14ac:dyDescent="0.25">
      <c r="A362" s="15" t="s">
        <v>928</v>
      </c>
      <c r="B362" s="15" t="e">
        <f>VLOOKUP(A362,'[1]Master clients'!F356:W3903,17,0)</f>
        <v>#N/A</v>
      </c>
      <c r="C362" s="15" t="e">
        <f>VLOOKUP(A362,'[1]Master clients'!F356:P3903,11,0)</f>
        <v>#N/A</v>
      </c>
      <c r="D362" s="15" t="str">
        <f>VLOOKUP(A362,'[1]Master clients'!F:M,8,0)</f>
        <v>End User</v>
      </c>
      <c r="E362" s="24" t="s">
        <v>929</v>
      </c>
      <c r="F362" s="25" t="s">
        <v>930</v>
      </c>
      <c r="G362" s="20">
        <v>0</v>
      </c>
      <c r="H362" s="20">
        <v>0</v>
      </c>
      <c r="I362" s="26">
        <v>13</v>
      </c>
      <c r="J362" s="26">
        <v>0</v>
      </c>
      <c r="K362" s="20">
        <v>0</v>
      </c>
      <c r="L362" s="20">
        <v>0</v>
      </c>
      <c r="M362" s="20">
        <v>0</v>
      </c>
      <c r="N362" s="20">
        <v>7</v>
      </c>
      <c r="O362" s="20">
        <v>0</v>
      </c>
      <c r="P362" s="20">
        <v>0</v>
      </c>
      <c r="Q362" s="20">
        <v>0</v>
      </c>
      <c r="R362" s="20">
        <v>0</v>
      </c>
      <c r="S362" s="20">
        <v>0</v>
      </c>
      <c r="T362" s="20">
        <v>0</v>
      </c>
      <c r="U362" s="20">
        <v>0</v>
      </c>
      <c r="V362" s="20">
        <v>0</v>
      </c>
      <c r="W362" s="20">
        <v>0</v>
      </c>
      <c r="X362" s="20">
        <v>0</v>
      </c>
      <c r="Y362" s="20">
        <v>0</v>
      </c>
      <c r="Z362" s="20">
        <v>0</v>
      </c>
      <c r="AA362" s="20">
        <v>0</v>
      </c>
      <c r="AB362" s="20">
        <v>0</v>
      </c>
      <c r="AC362" s="20">
        <v>0</v>
      </c>
      <c r="AD362" s="20">
        <v>0</v>
      </c>
      <c r="AE362" s="20">
        <v>0</v>
      </c>
      <c r="AF362" s="20">
        <v>0</v>
      </c>
      <c r="AG362" s="20">
        <v>0</v>
      </c>
      <c r="AH362" s="20">
        <v>0</v>
      </c>
      <c r="AI362" s="20">
        <v>0</v>
      </c>
      <c r="AJ362" s="20">
        <v>0</v>
      </c>
      <c r="AK362" s="20">
        <v>0</v>
      </c>
      <c r="AL362" s="20">
        <v>0</v>
      </c>
      <c r="AM362" s="20">
        <v>0</v>
      </c>
      <c r="AN362" s="20">
        <v>0</v>
      </c>
      <c r="AO362" s="20">
        <v>0</v>
      </c>
      <c r="AP362" s="20">
        <v>0</v>
      </c>
      <c r="AQ362" s="20">
        <v>0</v>
      </c>
      <c r="AR362" s="20">
        <v>0</v>
      </c>
      <c r="AS362" s="20">
        <v>0</v>
      </c>
      <c r="AT362" s="20">
        <v>0</v>
      </c>
      <c r="AU362" s="20">
        <v>0</v>
      </c>
      <c r="AV362" s="20">
        <v>0</v>
      </c>
      <c r="AW362" s="20">
        <v>0</v>
      </c>
      <c r="AX362" s="20">
        <v>0</v>
      </c>
      <c r="AY362" s="20">
        <v>0</v>
      </c>
      <c r="AZ362" s="20">
        <v>8</v>
      </c>
      <c r="BA362" s="20">
        <v>0</v>
      </c>
      <c r="BB362" s="27">
        <v>0</v>
      </c>
      <c r="BC362" s="20">
        <v>0</v>
      </c>
      <c r="BD362" s="20">
        <v>0</v>
      </c>
      <c r="BE362" s="21">
        <v>0</v>
      </c>
      <c r="BF362" s="21">
        <v>0</v>
      </c>
      <c r="BG362" s="20">
        <v>0</v>
      </c>
      <c r="BH362" s="20">
        <v>0</v>
      </c>
      <c r="BI362" s="22">
        <f t="shared" si="99"/>
        <v>8</v>
      </c>
      <c r="BJ362" s="22">
        <f t="shared" si="100"/>
        <v>7</v>
      </c>
      <c r="BK362" s="28">
        <f t="shared" si="101"/>
        <v>28</v>
      </c>
      <c r="BL362" s="22">
        <f t="shared" si="102"/>
        <v>21</v>
      </c>
      <c r="BM362" s="22">
        <f t="shared" si="97"/>
        <v>7</v>
      </c>
      <c r="BN362" s="23">
        <f t="shared" si="98"/>
        <v>0.61904761904761907</v>
      </c>
      <c r="BO362" s="23">
        <f t="shared" si="98"/>
        <v>0</v>
      </c>
      <c r="BP362" s="7">
        <f>VLOOKUP(A362,[1]Sheet15!B:E,4,0)</f>
        <v>16</v>
      </c>
      <c r="BQ362" s="7">
        <f>VLOOKUP(A362,[1]Sheet15!B:E,3,0)</f>
        <v>0</v>
      </c>
    </row>
    <row r="363" spans="1:69" ht="22.5" customHeight="1" x14ac:dyDescent="0.25">
      <c r="A363" s="15" t="s">
        <v>931</v>
      </c>
      <c r="B363" s="15" t="e">
        <f>VLOOKUP(A363,'[1]Master clients'!F357:W3904,17,0)</f>
        <v>#N/A</v>
      </c>
      <c r="C363" s="15" t="e">
        <f>VLOOKUP(A363,'[1]Master clients'!F357:P3904,11,0)</f>
        <v>#N/A</v>
      </c>
      <c r="D363" s="15" t="str">
        <f>VLOOKUP(A363,'[1]Master clients'!F:M,8,0)</f>
        <v>End User</v>
      </c>
      <c r="E363" s="16" t="s">
        <v>932</v>
      </c>
      <c r="F363" s="16" t="s">
        <v>933</v>
      </c>
      <c r="G363" s="17"/>
      <c r="H363" s="17"/>
      <c r="I363" s="26">
        <v>2</v>
      </c>
      <c r="J363" s="31">
        <v>0</v>
      </c>
      <c r="K363" s="17">
        <v>0</v>
      </c>
      <c r="L363" s="17">
        <v>0</v>
      </c>
      <c r="M363" s="17">
        <v>0</v>
      </c>
      <c r="N363" s="17">
        <v>0</v>
      </c>
      <c r="O363" s="17">
        <v>0</v>
      </c>
      <c r="P363" s="17">
        <v>0</v>
      </c>
      <c r="Q363" s="17">
        <v>0</v>
      </c>
      <c r="R363" s="17">
        <v>0</v>
      </c>
      <c r="S363" s="17">
        <v>0</v>
      </c>
      <c r="T363" s="17">
        <v>0</v>
      </c>
      <c r="U363" s="17">
        <v>0</v>
      </c>
      <c r="V363" s="17">
        <v>0</v>
      </c>
      <c r="W363" s="17">
        <v>0</v>
      </c>
      <c r="X363" s="17">
        <v>0</v>
      </c>
      <c r="Y363" s="17">
        <v>0</v>
      </c>
      <c r="Z363" s="17">
        <v>0</v>
      </c>
      <c r="AA363" s="17">
        <v>0</v>
      </c>
      <c r="AB363" s="17">
        <v>0</v>
      </c>
      <c r="AC363" s="17">
        <v>0</v>
      </c>
      <c r="AD363" s="17">
        <v>0</v>
      </c>
      <c r="AE363" s="17">
        <v>0</v>
      </c>
      <c r="AF363" s="17">
        <v>0</v>
      </c>
      <c r="AG363" s="17">
        <v>0</v>
      </c>
      <c r="AH363" s="17">
        <v>0</v>
      </c>
      <c r="AI363" s="17">
        <v>0</v>
      </c>
      <c r="AJ363" s="17">
        <v>0</v>
      </c>
      <c r="AK363" s="17">
        <v>0</v>
      </c>
      <c r="AL363" s="17">
        <v>0</v>
      </c>
      <c r="AM363" s="17">
        <v>0</v>
      </c>
      <c r="AN363" s="17">
        <v>0</v>
      </c>
      <c r="AO363" s="17">
        <v>0</v>
      </c>
      <c r="AP363" s="17">
        <v>0</v>
      </c>
      <c r="AQ363" s="17">
        <v>0</v>
      </c>
      <c r="AR363" s="17">
        <v>0</v>
      </c>
      <c r="AS363" s="17">
        <v>0</v>
      </c>
      <c r="AT363" s="17">
        <v>0</v>
      </c>
      <c r="AU363" s="17">
        <v>0</v>
      </c>
      <c r="AV363" s="17">
        <v>0</v>
      </c>
      <c r="AW363" s="17">
        <v>0</v>
      </c>
      <c r="AX363" s="17">
        <v>0</v>
      </c>
      <c r="AY363" s="17">
        <v>0</v>
      </c>
      <c r="AZ363" s="17">
        <v>0</v>
      </c>
      <c r="BA363" s="17">
        <v>0</v>
      </c>
      <c r="BB363" s="17">
        <v>0</v>
      </c>
      <c r="BC363" s="17">
        <v>0</v>
      </c>
      <c r="BD363" s="17">
        <v>0</v>
      </c>
      <c r="BE363" s="17">
        <v>0</v>
      </c>
      <c r="BF363" s="17">
        <v>0</v>
      </c>
      <c r="BG363" s="17">
        <v>0</v>
      </c>
      <c r="BH363" s="17">
        <v>0</v>
      </c>
      <c r="BI363" s="22">
        <f t="shared" si="99"/>
        <v>0</v>
      </c>
      <c r="BJ363" s="22">
        <f t="shared" si="100"/>
        <v>0</v>
      </c>
      <c r="BK363" s="22">
        <f t="shared" si="101"/>
        <v>2</v>
      </c>
      <c r="BL363" s="22">
        <f t="shared" si="102"/>
        <v>2</v>
      </c>
      <c r="BM363" s="22">
        <f t="shared" si="97"/>
        <v>0</v>
      </c>
      <c r="BN363" s="23">
        <f t="shared" si="98"/>
        <v>1</v>
      </c>
      <c r="BO363" s="23" t="e">
        <f t="shared" si="98"/>
        <v>#DIV/0!</v>
      </c>
      <c r="BP363" s="7">
        <f>VLOOKUP(A363,[1]Sheet15!B:E,4,0)</f>
        <v>2</v>
      </c>
      <c r="BQ363" s="7">
        <f>VLOOKUP(A363,[1]Sheet15!B:E,3,0)</f>
        <v>0</v>
      </c>
    </row>
    <row r="364" spans="1:69" ht="22.5" customHeight="1" x14ac:dyDescent="0.25">
      <c r="A364" s="15" t="s">
        <v>934</v>
      </c>
      <c r="B364" s="15" t="e">
        <f>VLOOKUP(A364,'[1]Master clients'!F358:W3905,17,0)</f>
        <v>#N/A</v>
      </c>
      <c r="C364" s="15" t="e">
        <f>VLOOKUP(A364,'[1]Master clients'!F358:P3905,11,0)</f>
        <v>#N/A</v>
      </c>
      <c r="D364" s="15" t="str">
        <f>VLOOKUP(A364,'[1]Master clients'!F:M,8,0)</f>
        <v>End User</v>
      </c>
      <c r="E364" s="24" t="s">
        <v>935</v>
      </c>
      <c r="F364" s="25" t="s">
        <v>936</v>
      </c>
      <c r="G364" s="20">
        <v>0</v>
      </c>
      <c r="H364" s="20">
        <v>0</v>
      </c>
      <c r="I364" s="26">
        <v>4</v>
      </c>
      <c r="J364" s="26">
        <v>0</v>
      </c>
      <c r="K364" s="20">
        <v>2</v>
      </c>
      <c r="L364" s="20">
        <v>0</v>
      </c>
      <c r="M364" s="20">
        <v>0</v>
      </c>
      <c r="N364" s="20">
        <v>0</v>
      </c>
      <c r="O364" s="20">
        <v>0</v>
      </c>
      <c r="P364" s="20">
        <v>0</v>
      </c>
      <c r="Q364" s="20">
        <v>0</v>
      </c>
      <c r="R364" s="20">
        <v>0</v>
      </c>
      <c r="S364" s="20">
        <v>0</v>
      </c>
      <c r="T364" s="20">
        <v>0</v>
      </c>
      <c r="U364" s="20">
        <v>0</v>
      </c>
      <c r="V364" s="20">
        <v>0</v>
      </c>
      <c r="W364" s="20">
        <v>0</v>
      </c>
      <c r="X364" s="20">
        <v>0</v>
      </c>
      <c r="Y364" s="20">
        <v>0</v>
      </c>
      <c r="Z364" s="20">
        <v>0</v>
      </c>
      <c r="AA364" s="20">
        <v>0</v>
      </c>
      <c r="AB364" s="20">
        <v>0</v>
      </c>
      <c r="AC364" s="20">
        <v>0</v>
      </c>
      <c r="AD364" s="20">
        <v>0</v>
      </c>
      <c r="AE364" s="20">
        <v>0</v>
      </c>
      <c r="AF364" s="20">
        <v>0</v>
      </c>
      <c r="AG364" s="20">
        <v>0</v>
      </c>
      <c r="AH364" s="20">
        <v>0</v>
      </c>
      <c r="AI364" s="20">
        <v>0</v>
      </c>
      <c r="AJ364" s="20">
        <v>0</v>
      </c>
      <c r="AK364" s="20">
        <v>0</v>
      </c>
      <c r="AL364" s="20">
        <v>0</v>
      </c>
      <c r="AM364" s="20">
        <v>0</v>
      </c>
      <c r="AN364" s="20">
        <v>0</v>
      </c>
      <c r="AO364" s="20">
        <v>0</v>
      </c>
      <c r="AP364" s="20">
        <v>0</v>
      </c>
      <c r="AQ364" s="20">
        <v>0</v>
      </c>
      <c r="AR364" s="20">
        <v>0</v>
      </c>
      <c r="AS364" s="20">
        <v>0</v>
      </c>
      <c r="AT364" s="20">
        <v>0</v>
      </c>
      <c r="AU364" s="19">
        <v>0</v>
      </c>
      <c r="AV364" s="20">
        <v>0</v>
      </c>
      <c r="AW364" s="20">
        <v>0</v>
      </c>
      <c r="AX364" s="20">
        <v>0</v>
      </c>
      <c r="AY364" s="20">
        <v>0</v>
      </c>
      <c r="AZ364" s="20">
        <v>0</v>
      </c>
      <c r="BA364" s="19">
        <v>0</v>
      </c>
      <c r="BB364" s="27">
        <v>0</v>
      </c>
      <c r="BC364" s="19">
        <v>0</v>
      </c>
      <c r="BD364" s="19">
        <v>0</v>
      </c>
      <c r="BE364" s="21">
        <v>0</v>
      </c>
      <c r="BF364" s="21">
        <v>0</v>
      </c>
      <c r="BG364" s="19">
        <v>0</v>
      </c>
      <c r="BH364" s="19">
        <v>0</v>
      </c>
      <c r="BI364" s="22">
        <f t="shared" si="99"/>
        <v>2</v>
      </c>
      <c r="BJ364" s="22">
        <f t="shared" si="100"/>
        <v>0</v>
      </c>
      <c r="BK364" s="28">
        <f t="shared" si="101"/>
        <v>6</v>
      </c>
      <c r="BL364" s="22">
        <f t="shared" si="102"/>
        <v>6</v>
      </c>
      <c r="BM364" s="22">
        <f t="shared" si="97"/>
        <v>0</v>
      </c>
      <c r="BN364" s="23">
        <f t="shared" si="98"/>
        <v>0.66666666666666663</v>
      </c>
      <c r="BO364" s="23" t="e">
        <f t="shared" si="98"/>
        <v>#DIV/0!</v>
      </c>
      <c r="BP364" s="7">
        <f>VLOOKUP(A364,[1]Sheet15!B:E,4,0)</f>
        <v>15</v>
      </c>
      <c r="BQ364" s="7">
        <f>VLOOKUP(A364,[1]Sheet15!B:E,3,0)</f>
        <v>0</v>
      </c>
    </row>
    <row r="365" spans="1:69" ht="22.5" customHeight="1" x14ac:dyDescent="0.25">
      <c r="A365" s="15" t="s">
        <v>937</v>
      </c>
      <c r="B365" s="15">
        <f>VLOOKUP(A365,'[1]Master clients'!F359:W3906,17,0)</f>
        <v>0</v>
      </c>
      <c r="C365" s="15" t="str">
        <f>VLOOKUP(A365,'[1]Master clients'!F359:P3906,11,0)</f>
        <v>NI</v>
      </c>
      <c r="D365" s="15" t="str">
        <f>VLOOKUP(A365,'[1]Master clients'!F:M,8,0)</f>
        <v>End User</v>
      </c>
      <c r="E365" s="24" t="s">
        <v>938</v>
      </c>
      <c r="F365" s="25" t="s">
        <v>939</v>
      </c>
      <c r="G365" s="20">
        <v>2</v>
      </c>
      <c r="H365" s="20">
        <v>2</v>
      </c>
      <c r="I365" s="20">
        <v>2</v>
      </c>
      <c r="J365" s="20">
        <v>2</v>
      </c>
      <c r="K365" s="20">
        <v>0</v>
      </c>
      <c r="L365" s="20">
        <v>0</v>
      </c>
      <c r="M365" s="20">
        <v>0</v>
      </c>
      <c r="N365" s="20">
        <v>5</v>
      </c>
      <c r="O365" s="20">
        <v>0</v>
      </c>
      <c r="P365" s="20">
        <v>0</v>
      </c>
      <c r="Q365" s="20">
        <v>0</v>
      </c>
      <c r="R365" s="20">
        <v>6</v>
      </c>
      <c r="S365" s="20">
        <v>0</v>
      </c>
      <c r="T365" s="20">
        <v>1</v>
      </c>
      <c r="U365" s="20">
        <v>0</v>
      </c>
      <c r="V365" s="20">
        <v>0</v>
      </c>
      <c r="W365" s="20">
        <v>0</v>
      </c>
      <c r="X365" s="20">
        <v>0</v>
      </c>
      <c r="Y365" s="20">
        <v>0</v>
      </c>
      <c r="Z365" s="20">
        <v>0</v>
      </c>
      <c r="AA365" s="20">
        <v>0</v>
      </c>
      <c r="AB365" s="20">
        <v>0</v>
      </c>
      <c r="AC365" s="20">
        <v>0</v>
      </c>
      <c r="AD365" s="20">
        <v>0</v>
      </c>
      <c r="AE365" s="20">
        <v>0</v>
      </c>
      <c r="AF365" s="20">
        <v>0</v>
      </c>
      <c r="AG365" s="20">
        <v>0</v>
      </c>
      <c r="AH365" s="20">
        <v>0</v>
      </c>
      <c r="AI365" s="20">
        <v>0</v>
      </c>
      <c r="AJ365" s="20">
        <v>0</v>
      </c>
      <c r="AK365" s="20">
        <v>0</v>
      </c>
      <c r="AL365" s="20">
        <v>0</v>
      </c>
      <c r="AM365" s="20">
        <v>0</v>
      </c>
      <c r="AN365" s="20">
        <v>0</v>
      </c>
      <c r="AO365" s="20">
        <v>0</v>
      </c>
      <c r="AP365" s="20">
        <v>0</v>
      </c>
      <c r="AQ365" s="20">
        <v>0</v>
      </c>
      <c r="AR365" s="20">
        <v>0</v>
      </c>
      <c r="AS365" s="20">
        <v>0</v>
      </c>
      <c r="AT365" s="20">
        <v>0</v>
      </c>
      <c r="AU365" s="20">
        <v>0</v>
      </c>
      <c r="AV365" s="20">
        <v>0</v>
      </c>
      <c r="AW365" s="20">
        <v>0</v>
      </c>
      <c r="AX365" s="20">
        <v>0</v>
      </c>
      <c r="AY365" s="20">
        <v>0</v>
      </c>
      <c r="AZ365" s="20">
        <v>0</v>
      </c>
      <c r="BA365" s="20">
        <v>0</v>
      </c>
      <c r="BB365" s="27">
        <v>0</v>
      </c>
      <c r="BC365" s="20">
        <v>0</v>
      </c>
      <c r="BD365" s="20">
        <v>0</v>
      </c>
      <c r="BE365" s="21">
        <v>0</v>
      </c>
      <c r="BF365" s="21">
        <v>0</v>
      </c>
      <c r="BG365" s="20">
        <v>0</v>
      </c>
      <c r="BH365" s="20">
        <v>0</v>
      </c>
      <c r="BI365" s="22">
        <f t="shared" si="99"/>
        <v>7</v>
      </c>
      <c r="BJ365" s="22">
        <f t="shared" si="100"/>
        <v>5</v>
      </c>
      <c r="BK365" s="28">
        <f t="shared" si="101"/>
        <v>16</v>
      </c>
      <c r="BL365" s="22">
        <f t="shared" si="102"/>
        <v>9</v>
      </c>
      <c r="BM365" s="22">
        <f t="shared" si="97"/>
        <v>7</v>
      </c>
      <c r="BN365" s="23">
        <f t="shared" si="98"/>
        <v>0.22222222222222221</v>
      </c>
      <c r="BO365" s="23">
        <f t="shared" si="98"/>
        <v>0.2857142857142857</v>
      </c>
      <c r="BP365" s="7">
        <f>VLOOKUP(A365,[1]Sheet15!B:E,4,0)</f>
        <v>0</v>
      </c>
      <c r="BQ365" s="7">
        <f>VLOOKUP(A365,[1]Sheet15!B:E,3,0)</f>
        <v>2</v>
      </c>
    </row>
    <row r="366" spans="1:69" ht="22.5" customHeight="1" x14ac:dyDescent="0.25">
      <c r="A366" s="15" t="s">
        <v>940</v>
      </c>
      <c r="B366" s="15">
        <f>VLOOKUP(A366,'[1]Master clients'!F360:W3907,17,0)</f>
        <v>0</v>
      </c>
      <c r="C366" s="15" t="str">
        <f>VLOOKUP(A366,'[1]Master clients'!F360:P3907,11,0)</f>
        <v>-</v>
      </c>
      <c r="D366" s="15" t="str">
        <f>VLOOKUP(A366,'[1]Master clients'!F:M,8,0)</f>
        <v>End User</v>
      </c>
      <c r="E366" s="24" t="s">
        <v>941</v>
      </c>
      <c r="F366" s="25" t="s">
        <v>942</v>
      </c>
      <c r="G366" s="20">
        <v>0</v>
      </c>
      <c r="H366" s="20">
        <v>0</v>
      </c>
      <c r="I366" s="26">
        <v>11</v>
      </c>
      <c r="J366" s="26">
        <v>0</v>
      </c>
      <c r="K366" s="20">
        <v>8</v>
      </c>
      <c r="L366" s="20">
        <v>0</v>
      </c>
      <c r="M366" s="20">
        <v>0</v>
      </c>
      <c r="N366" s="20">
        <v>0</v>
      </c>
      <c r="O366" s="20">
        <v>3</v>
      </c>
      <c r="P366" s="20">
        <v>0</v>
      </c>
      <c r="Q366" s="20">
        <v>7</v>
      </c>
      <c r="R366" s="20">
        <v>0</v>
      </c>
      <c r="S366" s="20">
        <v>0</v>
      </c>
      <c r="T366" s="20">
        <v>0</v>
      </c>
      <c r="U366" s="20">
        <v>0</v>
      </c>
      <c r="V366" s="20">
        <v>0</v>
      </c>
      <c r="W366" s="20">
        <v>0</v>
      </c>
      <c r="X366" s="20">
        <v>0</v>
      </c>
      <c r="Y366" s="20">
        <v>0</v>
      </c>
      <c r="Z366" s="20">
        <v>0</v>
      </c>
      <c r="AA366" s="20">
        <v>0</v>
      </c>
      <c r="AB366" s="20">
        <v>0</v>
      </c>
      <c r="AC366" s="20">
        <v>0</v>
      </c>
      <c r="AD366" s="20">
        <v>0</v>
      </c>
      <c r="AE366" s="20">
        <v>0</v>
      </c>
      <c r="AF366" s="20">
        <v>0</v>
      </c>
      <c r="AG366" s="20">
        <v>0</v>
      </c>
      <c r="AH366" s="20">
        <v>0</v>
      </c>
      <c r="AI366" s="20">
        <v>0</v>
      </c>
      <c r="AJ366" s="20">
        <v>0</v>
      </c>
      <c r="AK366" s="20">
        <v>0</v>
      </c>
      <c r="AL366" s="20">
        <v>0</v>
      </c>
      <c r="AM366" s="20">
        <v>0</v>
      </c>
      <c r="AN366" s="20">
        <v>0</v>
      </c>
      <c r="AO366" s="20">
        <v>0</v>
      </c>
      <c r="AP366" s="20">
        <v>0</v>
      </c>
      <c r="AQ366" s="20">
        <v>0</v>
      </c>
      <c r="AR366" s="20">
        <v>0</v>
      </c>
      <c r="AS366" s="20">
        <v>0</v>
      </c>
      <c r="AT366" s="20">
        <v>0</v>
      </c>
      <c r="AU366" s="20">
        <v>0</v>
      </c>
      <c r="AV366" s="20">
        <v>0</v>
      </c>
      <c r="AW366" s="20">
        <v>0</v>
      </c>
      <c r="AX366" s="20">
        <v>0</v>
      </c>
      <c r="AY366" s="20">
        <v>0</v>
      </c>
      <c r="AZ366" s="20">
        <v>0</v>
      </c>
      <c r="BA366" s="20">
        <v>0</v>
      </c>
      <c r="BB366" s="27">
        <v>0</v>
      </c>
      <c r="BC366" s="20">
        <v>0</v>
      </c>
      <c r="BD366" s="20">
        <v>0</v>
      </c>
      <c r="BE366" s="21">
        <v>0</v>
      </c>
      <c r="BF366" s="21">
        <v>0</v>
      </c>
      <c r="BG366" s="20">
        <v>0</v>
      </c>
      <c r="BH366" s="20">
        <v>0</v>
      </c>
      <c r="BI366" s="22">
        <f t="shared" si="99"/>
        <v>8</v>
      </c>
      <c r="BJ366" s="22">
        <f t="shared" si="100"/>
        <v>10</v>
      </c>
      <c r="BK366" s="28">
        <f t="shared" si="101"/>
        <v>29</v>
      </c>
      <c r="BL366" s="22">
        <f t="shared" si="102"/>
        <v>19</v>
      </c>
      <c r="BM366" s="22">
        <f t="shared" si="97"/>
        <v>10</v>
      </c>
      <c r="BN366" s="23">
        <f t="shared" si="98"/>
        <v>0.57894736842105265</v>
      </c>
      <c r="BO366" s="23">
        <f t="shared" si="98"/>
        <v>0</v>
      </c>
      <c r="BP366" s="7" t="e">
        <f>VLOOKUP(A366,[1]Sheet15!B:E,4,0)</f>
        <v>#N/A</v>
      </c>
      <c r="BQ366" s="7" t="e">
        <f>VLOOKUP(A366,[1]Sheet15!B:E,3,0)</f>
        <v>#N/A</v>
      </c>
    </row>
    <row r="367" spans="1:69" ht="22.5" customHeight="1" x14ac:dyDescent="0.25">
      <c r="A367" s="15" t="s">
        <v>943</v>
      </c>
      <c r="B367" s="15" t="str">
        <f>VLOOKUP(A367,'[1]Master clients'!F361:W3908,17,0)</f>
        <v>May</v>
      </c>
      <c r="C367" s="15" t="str">
        <f>VLOOKUP(A367,'[1]Master clients'!F361:P3908,11,0)</f>
        <v>NI</v>
      </c>
      <c r="D367" s="15" t="str">
        <f>VLOOKUP(A367,'[1]Master clients'!F:M,8,0)</f>
        <v>Group (Mills)</v>
      </c>
      <c r="E367" s="24" t="s">
        <v>944</v>
      </c>
      <c r="F367" s="25" t="s">
        <v>942</v>
      </c>
      <c r="G367" s="20">
        <v>0</v>
      </c>
      <c r="H367" s="20">
        <v>0</v>
      </c>
      <c r="I367" s="26">
        <v>6</v>
      </c>
      <c r="J367" s="26">
        <v>0</v>
      </c>
      <c r="K367" s="20">
        <v>0</v>
      </c>
      <c r="L367" s="20">
        <v>12</v>
      </c>
      <c r="M367" s="20">
        <v>0</v>
      </c>
      <c r="N367" s="20">
        <v>5</v>
      </c>
      <c r="O367" s="20">
        <v>6</v>
      </c>
      <c r="P367" s="20">
        <v>0</v>
      </c>
      <c r="Q367" s="20">
        <v>2</v>
      </c>
      <c r="R367" s="20">
        <v>0</v>
      </c>
      <c r="S367" s="20">
        <v>0</v>
      </c>
      <c r="T367" s="20">
        <v>0</v>
      </c>
      <c r="U367" s="20">
        <v>0</v>
      </c>
      <c r="V367" s="20">
        <v>0</v>
      </c>
      <c r="W367" s="20">
        <v>0</v>
      </c>
      <c r="X367" s="20">
        <v>0</v>
      </c>
      <c r="Y367" s="20">
        <v>0</v>
      </c>
      <c r="Z367" s="20">
        <v>0</v>
      </c>
      <c r="AA367" s="20">
        <v>0</v>
      </c>
      <c r="AB367" s="20">
        <v>0</v>
      </c>
      <c r="AC367" s="20">
        <v>0</v>
      </c>
      <c r="AD367" s="20">
        <v>0</v>
      </c>
      <c r="AE367" s="20">
        <v>0</v>
      </c>
      <c r="AF367" s="20">
        <v>0</v>
      </c>
      <c r="AG367" s="20">
        <v>0</v>
      </c>
      <c r="AH367" s="20">
        <v>0</v>
      </c>
      <c r="AI367" s="20">
        <v>0</v>
      </c>
      <c r="AJ367" s="20">
        <v>0</v>
      </c>
      <c r="AK367" s="20">
        <v>0</v>
      </c>
      <c r="AL367" s="20">
        <v>0</v>
      </c>
      <c r="AM367" s="20">
        <v>0</v>
      </c>
      <c r="AN367" s="20">
        <v>0</v>
      </c>
      <c r="AO367" s="20">
        <v>0</v>
      </c>
      <c r="AP367" s="20">
        <v>0</v>
      </c>
      <c r="AQ367" s="20">
        <v>0</v>
      </c>
      <c r="AR367" s="20">
        <v>0</v>
      </c>
      <c r="AS367" s="20">
        <v>0</v>
      </c>
      <c r="AT367" s="20">
        <v>0</v>
      </c>
      <c r="AU367" s="20">
        <v>0</v>
      </c>
      <c r="AV367" s="20">
        <v>0</v>
      </c>
      <c r="AW367" s="20">
        <v>0</v>
      </c>
      <c r="AX367" s="20">
        <v>0</v>
      </c>
      <c r="AY367" s="20">
        <v>0</v>
      </c>
      <c r="AZ367" s="20">
        <v>0</v>
      </c>
      <c r="BA367" s="20">
        <v>0</v>
      </c>
      <c r="BB367" s="27">
        <v>0</v>
      </c>
      <c r="BC367" s="20">
        <v>0</v>
      </c>
      <c r="BD367" s="20">
        <v>0</v>
      </c>
      <c r="BE367" s="21">
        <v>0</v>
      </c>
      <c r="BF367" s="21">
        <v>0</v>
      </c>
      <c r="BG367" s="20">
        <v>0</v>
      </c>
      <c r="BH367" s="20">
        <v>0</v>
      </c>
      <c r="BI367" s="22">
        <f t="shared" si="99"/>
        <v>12</v>
      </c>
      <c r="BJ367" s="22">
        <f t="shared" si="100"/>
        <v>13</v>
      </c>
      <c r="BK367" s="28">
        <f t="shared" si="101"/>
        <v>31</v>
      </c>
      <c r="BL367" s="22">
        <f t="shared" si="102"/>
        <v>18</v>
      </c>
      <c r="BM367" s="22">
        <f t="shared" si="97"/>
        <v>13</v>
      </c>
      <c r="BN367" s="23">
        <f t="shared" si="98"/>
        <v>0.33333333333333331</v>
      </c>
      <c r="BO367" s="23">
        <f t="shared" si="98"/>
        <v>0</v>
      </c>
      <c r="BP367" s="7">
        <f>VLOOKUP(A367,[1]Sheet15!B:E,4,0)</f>
        <v>6</v>
      </c>
      <c r="BQ367" s="7">
        <f>VLOOKUP(A367,[1]Sheet15!B:E,3,0)</f>
        <v>0</v>
      </c>
    </row>
    <row r="368" spans="1:69" ht="22.5" customHeight="1" x14ac:dyDescent="0.25">
      <c r="A368" s="15" t="s">
        <v>945</v>
      </c>
      <c r="B368" s="15">
        <f>VLOOKUP(A368,'[1]Master clients'!F362:W3909,17,0)</f>
        <v>0</v>
      </c>
      <c r="C368" s="15" t="str">
        <f>VLOOKUP(A368,'[1]Master clients'!F362:P3909,11,0)</f>
        <v>NI</v>
      </c>
      <c r="D368" s="15" t="str">
        <f>VLOOKUP(A368,'[1]Master clients'!F:M,8,0)</f>
        <v>End User</v>
      </c>
      <c r="E368" s="24" t="s">
        <v>946</v>
      </c>
      <c r="F368" s="25" t="s">
        <v>947</v>
      </c>
      <c r="G368" s="20">
        <v>0</v>
      </c>
      <c r="H368" s="20">
        <v>0</v>
      </c>
      <c r="I368" s="26">
        <v>14</v>
      </c>
      <c r="J368" s="26">
        <v>3</v>
      </c>
      <c r="K368" s="20">
        <v>0</v>
      </c>
      <c r="L368" s="20">
        <v>0</v>
      </c>
      <c r="M368" s="20">
        <v>0</v>
      </c>
      <c r="N368" s="20">
        <v>6</v>
      </c>
      <c r="O368" s="20">
        <v>0</v>
      </c>
      <c r="P368" s="20">
        <v>0</v>
      </c>
      <c r="Q368" s="20">
        <v>0</v>
      </c>
      <c r="R368" s="20">
        <v>0</v>
      </c>
      <c r="S368" s="20">
        <v>0</v>
      </c>
      <c r="T368" s="20">
        <v>0</v>
      </c>
      <c r="U368" s="20">
        <v>0</v>
      </c>
      <c r="V368" s="20">
        <v>0</v>
      </c>
      <c r="W368" s="20">
        <v>0</v>
      </c>
      <c r="X368" s="20">
        <v>0</v>
      </c>
      <c r="Y368" s="20">
        <v>0</v>
      </c>
      <c r="Z368" s="20">
        <v>0</v>
      </c>
      <c r="AA368" s="20">
        <v>0</v>
      </c>
      <c r="AB368" s="20">
        <v>0</v>
      </c>
      <c r="AC368" s="20">
        <v>0</v>
      </c>
      <c r="AD368" s="20">
        <v>0</v>
      </c>
      <c r="AE368" s="20">
        <v>0</v>
      </c>
      <c r="AF368" s="20">
        <v>0</v>
      </c>
      <c r="AG368" s="20">
        <v>0</v>
      </c>
      <c r="AH368" s="20">
        <v>0</v>
      </c>
      <c r="AI368" s="20">
        <v>0</v>
      </c>
      <c r="AJ368" s="20">
        <v>0</v>
      </c>
      <c r="AK368" s="20">
        <v>0</v>
      </c>
      <c r="AL368" s="20">
        <v>0</v>
      </c>
      <c r="AM368" s="20">
        <v>0</v>
      </c>
      <c r="AN368" s="20">
        <v>0</v>
      </c>
      <c r="AO368" s="20">
        <v>0</v>
      </c>
      <c r="AP368" s="20">
        <v>0</v>
      </c>
      <c r="AQ368" s="20">
        <v>0</v>
      </c>
      <c r="AR368" s="20">
        <v>0</v>
      </c>
      <c r="AS368" s="20">
        <v>0</v>
      </c>
      <c r="AT368" s="20">
        <v>0</v>
      </c>
      <c r="AU368" s="19">
        <v>0</v>
      </c>
      <c r="AV368" s="20">
        <v>0</v>
      </c>
      <c r="AW368" s="20">
        <v>0</v>
      </c>
      <c r="AX368" s="20">
        <v>0</v>
      </c>
      <c r="AY368" s="20">
        <v>0</v>
      </c>
      <c r="AZ368" s="20">
        <v>0</v>
      </c>
      <c r="BA368" s="19">
        <v>0</v>
      </c>
      <c r="BB368" s="27">
        <v>0</v>
      </c>
      <c r="BC368" s="19">
        <v>0</v>
      </c>
      <c r="BD368" s="19">
        <v>0</v>
      </c>
      <c r="BE368" s="21">
        <v>0</v>
      </c>
      <c r="BF368" s="21">
        <v>0</v>
      </c>
      <c r="BG368" s="19">
        <v>0</v>
      </c>
      <c r="BH368" s="19">
        <v>0</v>
      </c>
      <c r="BI368" s="22">
        <f t="shared" si="99"/>
        <v>0</v>
      </c>
      <c r="BJ368" s="22">
        <f t="shared" si="100"/>
        <v>6</v>
      </c>
      <c r="BK368" s="28">
        <f t="shared" si="101"/>
        <v>23</v>
      </c>
      <c r="BL368" s="22">
        <f t="shared" si="102"/>
        <v>14</v>
      </c>
      <c r="BM368" s="22">
        <f t="shared" si="97"/>
        <v>9</v>
      </c>
      <c r="BN368" s="23">
        <f t="shared" si="98"/>
        <v>1</v>
      </c>
      <c r="BO368" s="23">
        <f t="shared" si="98"/>
        <v>0.33333333333333331</v>
      </c>
      <c r="BP368" s="7" t="e">
        <f>VLOOKUP(A368,[1]Sheet15!B:E,4,0)</f>
        <v>#N/A</v>
      </c>
      <c r="BQ368" s="7" t="e">
        <f>VLOOKUP(A368,[1]Sheet15!B:E,3,0)</f>
        <v>#N/A</v>
      </c>
    </row>
    <row r="369" spans="1:69" ht="22.5" customHeight="1" x14ac:dyDescent="0.25">
      <c r="A369" s="15" t="s">
        <v>948</v>
      </c>
      <c r="B369" s="15">
        <f>VLOOKUP(A369,'[1]Master clients'!F363:W3910,17,0)</f>
        <v>0</v>
      </c>
      <c r="C369" s="15" t="str">
        <f>VLOOKUP(A369,'[1]Master clients'!F363:P3910,11,0)</f>
        <v>NI</v>
      </c>
      <c r="D369" s="15" t="str">
        <f>VLOOKUP(A369,'[1]Master clients'!F:M,8,0)</f>
        <v>End User</v>
      </c>
      <c r="E369" s="24" t="s">
        <v>949</v>
      </c>
      <c r="F369" s="25"/>
      <c r="G369" s="20">
        <v>16</v>
      </c>
      <c r="H369" s="20">
        <v>0</v>
      </c>
      <c r="I369" s="26">
        <v>16</v>
      </c>
      <c r="J369" s="26">
        <v>0</v>
      </c>
      <c r="K369" s="20">
        <v>0</v>
      </c>
      <c r="L369" s="20">
        <v>0</v>
      </c>
      <c r="M369" s="20">
        <v>0</v>
      </c>
      <c r="N369" s="20">
        <v>0</v>
      </c>
      <c r="O369" s="20">
        <v>0</v>
      </c>
      <c r="P369" s="20">
        <v>0</v>
      </c>
      <c r="Q369" s="20">
        <v>0</v>
      </c>
      <c r="R369" s="20">
        <v>0</v>
      </c>
      <c r="S369" s="20">
        <v>0</v>
      </c>
      <c r="T369" s="20">
        <v>0</v>
      </c>
      <c r="U369" s="20">
        <v>0</v>
      </c>
      <c r="V369" s="20">
        <v>0</v>
      </c>
      <c r="W369" s="20">
        <v>0</v>
      </c>
      <c r="X369" s="20">
        <v>0</v>
      </c>
      <c r="Y369" s="20">
        <v>0</v>
      </c>
      <c r="Z369" s="20">
        <v>0</v>
      </c>
      <c r="AA369" s="20">
        <v>0</v>
      </c>
      <c r="AB369" s="20">
        <v>0</v>
      </c>
      <c r="AC369" s="20">
        <v>0</v>
      </c>
      <c r="AD369" s="20">
        <v>0</v>
      </c>
      <c r="AE369" s="20">
        <v>0</v>
      </c>
      <c r="AF369" s="20">
        <v>0</v>
      </c>
      <c r="AG369" s="20">
        <v>0</v>
      </c>
      <c r="AH369" s="20">
        <v>0</v>
      </c>
      <c r="AI369" s="20">
        <v>0</v>
      </c>
      <c r="AJ369" s="20">
        <v>0</v>
      </c>
      <c r="AK369" s="20">
        <v>0</v>
      </c>
      <c r="AL369" s="20">
        <v>0</v>
      </c>
      <c r="AM369" s="20">
        <v>0</v>
      </c>
      <c r="AN369" s="20">
        <v>0</v>
      </c>
      <c r="AO369" s="20">
        <v>0</v>
      </c>
      <c r="AP369" s="20">
        <v>0</v>
      </c>
      <c r="AQ369" s="20">
        <v>0</v>
      </c>
      <c r="AR369" s="20">
        <v>0</v>
      </c>
      <c r="AS369" s="20">
        <v>0</v>
      </c>
      <c r="AT369" s="20">
        <v>0</v>
      </c>
      <c r="AU369" s="19">
        <v>0</v>
      </c>
      <c r="AV369" s="20">
        <v>0</v>
      </c>
      <c r="AW369" s="20">
        <v>0</v>
      </c>
      <c r="AX369" s="20">
        <v>0</v>
      </c>
      <c r="AY369" s="20">
        <v>0</v>
      </c>
      <c r="AZ369" s="20">
        <v>0</v>
      </c>
      <c r="BA369" s="19">
        <v>0</v>
      </c>
      <c r="BB369" s="27">
        <v>0</v>
      </c>
      <c r="BC369" s="19">
        <v>0</v>
      </c>
      <c r="BD369" s="19">
        <v>0</v>
      </c>
      <c r="BE369" s="21">
        <v>0</v>
      </c>
      <c r="BF369" s="21">
        <v>0</v>
      </c>
      <c r="BG369" s="19">
        <v>0</v>
      </c>
      <c r="BH369" s="19">
        <v>0</v>
      </c>
      <c r="BI369" s="22">
        <f t="shared" si="99"/>
        <v>0</v>
      </c>
      <c r="BJ369" s="22">
        <f t="shared" si="100"/>
        <v>0</v>
      </c>
      <c r="BK369" s="28">
        <f t="shared" si="101"/>
        <v>16</v>
      </c>
      <c r="BL369" s="22">
        <f t="shared" si="102"/>
        <v>16</v>
      </c>
      <c r="BM369" s="22">
        <f t="shared" si="97"/>
        <v>0</v>
      </c>
      <c r="BN369" s="23">
        <f t="shared" si="98"/>
        <v>1</v>
      </c>
      <c r="BO369" s="23" t="e">
        <f t="shared" si="98"/>
        <v>#DIV/0!</v>
      </c>
      <c r="BP369" s="7">
        <f>VLOOKUP(A369,[1]Sheet15!B:E,4,0)</f>
        <v>2</v>
      </c>
      <c r="BQ369" s="7">
        <f>VLOOKUP(A369,[1]Sheet15!B:E,3,0)</f>
        <v>0</v>
      </c>
    </row>
    <row r="370" spans="1:69" ht="22.5" customHeight="1" x14ac:dyDescent="0.25">
      <c r="A370" s="15" t="s">
        <v>950</v>
      </c>
      <c r="B370" s="15">
        <f>VLOOKUP(A370,'[1]Master clients'!F364:W3911,17,0)</f>
        <v>0</v>
      </c>
      <c r="C370" s="15" t="str">
        <f>VLOOKUP(A370,'[1]Master clients'!F364:P3911,11,0)</f>
        <v>NI</v>
      </c>
      <c r="D370" s="15" t="str">
        <f>VLOOKUP(A370,'[1]Master clients'!F:M,8,0)</f>
        <v>End User</v>
      </c>
      <c r="E370" s="16" t="s">
        <v>951</v>
      </c>
      <c r="F370" s="16" t="s">
        <v>952</v>
      </c>
      <c r="G370" s="17"/>
      <c r="H370" s="17"/>
      <c r="I370" s="26">
        <v>7</v>
      </c>
      <c r="J370" s="31">
        <v>0</v>
      </c>
      <c r="K370" s="17">
        <v>0</v>
      </c>
      <c r="L370" s="17">
        <v>0</v>
      </c>
      <c r="M370" s="17">
        <v>0</v>
      </c>
      <c r="N370" s="17">
        <v>0</v>
      </c>
      <c r="O370" s="17">
        <v>0</v>
      </c>
      <c r="P370" s="17">
        <v>0</v>
      </c>
      <c r="Q370" s="17">
        <v>0</v>
      </c>
      <c r="R370" s="17">
        <v>0</v>
      </c>
      <c r="S370" s="17">
        <v>0</v>
      </c>
      <c r="T370" s="17">
        <v>0</v>
      </c>
      <c r="U370" s="17">
        <v>0</v>
      </c>
      <c r="V370" s="17">
        <v>0</v>
      </c>
      <c r="W370" s="17">
        <v>0</v>
      </c>
      <c r="X370" s="17">
        <v>0</v>
      </c>
      <c r="Y370" s="17">
        <v>0</v>
      </c>
      <c r="Z370" s="17">
        <v>0</v>
      </c>
      <c r="AA370" s="17">
        <v>0</v>
      </c>
      <c r="AB370" s="17">
        <v>0</v>
      </c>
      <c r="AC370" s="17">
        <v>0</v>
      </c>
      <c r="AD370" s="17">
        <v>0</v>
      </c>
      <c r="AE370" s="17">
        <v>0</v>
      </c>
      <c r="AF370" s="17">
        <v>0</v>
      </c>
      <c r="AG370" s="17">
        <v>0</v>
      </c>
      <c r="AH370" s="17">
        <v>0</v>
      </c>
      <c r="AI370" s="17">
        <v>0</v>
      </c>
      <c r="AJ370" s="17">
        <v>0</v>
      </c>
      <c r="AK370" s="17">
        <v>0</v>
      </c>
      <c r="AL370" s="17">
        <v>0</v>
      </c>
      <c r="AM370" s="17">
        <v>0</v>
      </c>
      <c r="AN370" s="17">
        <v>0</v>
      </c>
      <c r="AO370" s="17">
        <v>0</v>
      </c>
      <c r="AP370" s="17">
        <v>0</v>
      </c>
      <c r="AQ370" s="17">
        <v>0</v>
      </c>
      <c r="AR370" s="17">
        <v>0</v>
      </c>
      <c r="AS370" s="17">
        <v>0</v>
      </c>
      <c r="AT370" s="17">
        <v>0</v>
      </c>
      <c r="AU370" s="17">
        <v>0</v>
      </c>
      <c r="AV370" s="17">
        <v>0</v>
      </c>
      <c r="AW370" s="17">
        <v>0</v>
      </c>
      <c r="AX370" s="17">
        <v>0</v>
      </c>
      <c r="AY370" s="17">
        <v>0</v>
      </c>
      <c r="AZ370" s="17">
        <v>0</v>
      </c>
      <c r="BA370" s="17">
        <v>0</v>
      </c>
      <c r="BB370" s="17">
        <v>0</v>
      </c>
      <c r="BC370" s="17">
        <v>0</v>
      </c>
      <c r="BD370" s="17">
        <v>0</v>
      </c>
      <c r="BE370" s="17">
        <v>0</v>
      </c>
      <c r="BF370" s="17">
        <v>0</v>
      </c>
      <c r="BG370" s="17">
        <v>0</v>
      </c>
      <c r="BH370" s="17">
        <v>0</v>
      </c>
      <c r="BI370" s="22">
        <f t="shared" si="99"/>
        <v>0</v>
      </c>
      <c r="BJ370" s="22">
        <f t="shared" si="100"/>
        <v>0</v>
      </c>
      <c r="BK370" s="22">
        <f t="shared" si="101"/>
        <v>7</v>
      </c>
      <c r="BL370" s="22">
        <f t="shared" si="102"/>
        <v>7</v>
      </c>
      <c r="BM370" s="22">
        <f t="shared" si="97"/>
        <v>0</v>
      </c>
      <c r="BN370" s="23">
        <f t="shared" si="98"/>
        <v>1</v>
      </c>
      <c r="BO370" s="23" t="e">
        <f t="shared" si="98"/>
        <v>#DIV/0!</v>
      </c>
      <c r="BP370" s="7">
        <f>VLOOKUP(A370,[1]Sheet15!B:E,4,0)</f>
        <v>7</v>
      </c>
      <c r="BQ370" s="7">
        <f>VLOOKUP(A370,[1]Sheet15!B:E,3,0)</f>
        <v>0</v>
      </c>
    </row>
    <row r="371" spans="1:69" ht="22.5" customHeight="1" x14ac:dyDescent="0.25">
      <c r="A371" s="15" t="s">
        <v>953</v>
      </c>
      <c r="B371" s="15" t="str">
        <f>VLOOKUP(A371,'[1]Master clients'!F365:W3912,17,0)</f>
        <v>Mar</v>
      </c>
      <c r="C371" s="15" t="str">
        <f>VLOOKUP(A371,'[1]Master clients'!F365:P3912,11,0)</f>
        <v>NI</v>
      </c>
      <c r="D371" s="15" t="str">
        <f>VLOOKUP(A371,'[1]Master clients'!F:M,8,0)</f>
        <v>End User</v>
      </c>
      <c r="E371" s="16" t="s">
        <v>954</v>
      </c>
      <c r="F371" s="16" t="s">
        <v>955</v>
      </c>
      <c r="G371" s="17"/>
      <c r="H371" s="17"/>
      <c r="I371" s="26">
        <v>2</v>
      </c>
      <c r="J371" s="31">
        <v>0</v>
      </c>
      <c r="K371" s="17">
        <v>0</v>
      </c>
      <c r="L371" s="17">
        <v>0</v>
      </c>
      <c r="M371" s="17">
        <v>0</v>
      </c>
      <c r="N371" s="17">
        <v>0</v>
      </c>
      <c r="O371" s="17">
        <v>0</v>
      </c>
      <c r="P371" s="17">
        <v>0</v>
      </c>
      <c r="Q371" s="17">
        <v>0</v>
      </c>
      <c r="R371" s="17">
        <v>0</v>
      </c>
      <c r="S371" s="17">
        <v>0</v>
      </c>
      <c r="T371" s="17">
        <v>0</v>
      </c>
      <c r="U371" s="17">
        <v>0</v>
      </c>
      <c r="V371" s="17">
        <v>0</v>
      </c>
      <c r="W371" s="17">
        <v>0</v>
      </c>
      <c r="X371" s="17">
        <v>0</v>
      </c>
      <c r="Y371" s="17">
        <v>0</v>
      </c>
      <c r="Z371" s="17">
        <v>0</v>
      </c>
      <c r="AA371" s="17">
        <v>0</v>
      </c>
      <c r="AB371" s="17">
        <v>0</v>
      </c>
      <c r="AC371" s="17">
        <v>0</v>
      </c>
      <c r="AD371" s="17">
        <v>0</v>
      </c>
      <c r="AE371" s="17">
        <v>0</v>
      </c>
      <c r="AF371" s="17">
        <v>0</v>
      </c>
      <c r="AG371" s="17">
        <v>0</v>
      </c>
      <c r="AH371" s="17">
        <v>0</v>
      </c>
      <c r="AI371" s="17">
        <v>0</v>
      </c>
      <c r="AJ371" s="17">
        <v>0</v>
      </c>
      <c r="AK371" s="17">
        <v>0</v>
      </c>
      <c r="AL371" s="17">
        <v>0</v>
      </c>
      <c r="AM371" s="17">
        <v>0</v>
      </c>
      <c r="AN371" s="17">
        <v>0</v>
      </c>
      <c r="AO371" s="17">
        <v>0</v>
      </c>
      <c r="AP371" s="17">
        <v>0</v>
      </c>
      <c r="AQ371" s="17">
        <v>0</v>
      </c>
      <c r="AR371" s="17">
        <v>0</v>
      </c>
      <c r="AS371" s="17">
        <v>0</v>
      </c>
      <c r="AT371" s="17">
        <v>0</v>
      </c>
      <c r="AU371" s="17">
        <v>0</v>
      </c>
      <c r="AV371" s="17">
        <v>0</v>
      </c>
      <c r="AW371" s="17">
        <v>0</v>
      </c>
      <c r="AX371" s="17">
        <v>0</v>
      </c>
      <c r="AY371" s="17">
        <v>0</v>
      </c>
      <c r="AZ371" s="17">
        <v>0</v>
      </c>
      <c r="BA371" s="17">
        <v>0</v>
      </c>
      <c r="BB371" s="17">
        <v>0</v>
      </c>
      <c r="BC371" s="17">
        <v>0</v>
      </c>
      <c r="BD371" s="17">
        <v>0</v>
      </c>
      <c r="BE371" s="17">
        <v>0</v>
      </c>
      <c r="BF371" s="17">
        <v>0</v>
      </c>
      <c r="BG371" s="17">
        <v>0</v>
      </c>
      <c r="BH371" s="17">
        <v>0</v>
      </c>
      <c r="BI371" s="22">
        <f t="shared" si="99"/>
        <v>0</v>
      </c>
      <c r="BJ371" s="22">
        <f t="shared" si="100"/>
        <v>0</v>
      </c>
      <c r="BK371" s="28">
        <f t="shared" si="101"/>
        <v>2</v>
      </c>
      <c r="BL371" s="22">
        <f t="shared" si="102"/>
        <v>2</v>
      </c>
      <c r="BM371" s="22">
        <f t="shared" si="97"/>
        <v>0</v>
      </c>
      <c r="BN371" s="23">
        <f t="shared" si="98"/>
        <v>1</v>
      </c>
      <c r="BO371" s="23" t="e">
        <f t="shared" si="98"/>
        <v>#DIV/0!</v>
      </c>
      <c r="BP371" s="7">
        <f>VLOOKUP(A371,[1]Sheet15!B:E,4,0)</f>
        <v>2</v>
      </c>
      <c r="BQ371" s="7">
        <f>VLOOKUP(A371,[1]Sheet15!B:E,3,0)</f>
        <v>0</v>
      </c>
    </row>
    <row r="372" spans="1:69" ht="22.5" customHeight="1" x14ac:dyDescent="0.25">
      <c r="A372" s="15" t="s">
        <v>956</v>
      </c>
      <c r="B372" s="15">
        <f>VLOOKUP(A372,'[1]Master clients'!F366:W3913,17,0)</f>
        <v>0</v>
      </c>
      <c r="C372" s="15" t="str">
        <f>VLOOKUP(A372,'[1]Master clients'!F366:P3913,11,0)</f>
        <v>NI</v>
      </c>
      <c r="D372" s="15" t="str">
        <f>VLOOKUP(A372,'[1]Master clients'!F:M,8,0)</f>
        <v>End User</v>
      </c>
      <c r="E372" s="24" t="s">
        <v>957</v>
      </c>
      <c r="F372" s="25" t="s">
        <v>958</v>
      </c>
      <c r="G372" s="20">
        <v>0</v>
      </c>
      <c r="H372" s="20">
        <v>0</v>
      </c>
      <c r="I372" s="26">
        <v>14</v>
      </c>
      <c r="J372" s="26">
        <v>12</v>
      </c>
      <c r="K372" s="20">
        <v>0</v>
      </c>
      <c r="L372" s="20">
        <v>0</v>
      </c>
      <c r="M372" s="20">
        <v>0</v>
      </c>
      <c r="N372" s="20">
        <v>0</v>
      </c>
      <c r="O372" s="20">
        <v>0</v>
      </c>
      <c r="P372" s="20">
        <v>0</v>
      </c>
      <c r="Q372" s="20">
        <v>1</v>
      </c>
      <c r="R372" s="20">
        <v>0</v>
      </c>
      <c r="S372" s="20">
        <v>0</v>
      </c>
      <c r="T372" s="20">
        <v>0</v>
      </c>
      <c r="U372" s="20">
        <v>0</v>
      </c>
      <c r="V372" s="20">
        <v>0</v>
      </c>
      <c r="W372" s="20">
        <v>0</v>
      </c>
      <c r="X372" s="20">
        <v>0</v>
      </c>
      <c r="Y372" s="20">
        <v>0</v>
      </c>
      <c r="Z372" s="20">
        <v>0</v>
      </c>
      <c r="AA372" s="20">
        <v>0</v>
      </c>
      <c r="AB372" s="20">
        <v>0</v>
      </c>
      <c r="AC372" s="20">
        <v>0</v>
      </c>
      <c r="AD372" s="20">
        <v>0</v>
      </c>
      <c r="AE372" s="20">
        <v>0</v>
      </c>
      <c r="AF372" s="20">
        <v>0</v>
      </c>
      <c r="AG372" s="20">
        <v>0</v>
      </c>
      <c r="AH372" s="20">
        <v>0</v>
      </c>
      <c r="AI372" s="20">
        <v>0</v>
      </c>
      <c r="AJ372" s="20">
        <v>0</v>
      </c>
      <c r="AK372" s="20">
        <v>0</v>
      </c>
      <c r="AL372" s="20">
        <v>0</v>
      </c>
      <c r="AM372" s="20">
        <v>0</v>
      </c>
      <c r="AN372" s="20">
        <v>0</v>
      </c>
      <c r="AO372" s="20">
        <v>0</v>
      </c>
      <c r="AP372" s="20">
        <v>0</v>
      </c>
      <c r="AQ372" s="20">
        <v>0</v>
      </c>
      <c r="AR372" s="20">
        <v>0</v>
      </c>
      <c r="AS372" s="20">
        <v>0</v>
      </c>
      <c r="AT372" s="20">
        <v>0</v>
      </c>
      <c r="AU372" s="19">
        <v>0</v>
      </c>
      <c r="AV372" s="20">
        <v>0</v>
      </c>
      <c r="AW372" s="20">
        <v>0</v>
      </c>
      <c r="AX372" s="20">
        <v>0</v>
      </c>
      <c r="AY372" s="20">
        <v>0</v>
      </c>
      <c r="AZ372" s="20">
        <v>0</v>
      </c>
      <c r="BA372" s="19">
        <v>0</v>
      </c>
      <c r="BB372" s="27">
        <v>0</v>
      </c>
      <c r="BC372" s="19">
        <v>0</v>
      </c>
      <c r="BD372" s="19">
        <v>0</v>
      </c>
      <c r="BE372" s="21">
        <v>0</v>
      </c>
      <c r="BF372" s="21">
        <v>0</v>
      </c>
      <c r="BG372" s="19">
        <v>0</v>
      </c>
      <c r="BH372" s="19">
        <v>0</v>
      </c>
      <c r="BI372" s="22">
        <f t="shared" si="99"/>
        <v>0</v>
      </c>
      <c r="BJ372" s="22">
        <f t="shared" si="100"/>
        <v>1</v>
      </c>
      <c r="BK372" s="28">
        <f t="shared" si="101"/>
        <v>27</v>
      </c>
      <c r="BL372" s="22">
        <f t="shared" si="102"/>
        <v>14</v>
      </c>
      <c r="BM372" s="22">
        <f t="shared" si="97"/>
        <v>13</v>
      </c>
      <c r="BN372" s="23">
        <f t="shared" si="98"/>
        <v>1</v>
      </c>
      <c r="BO372" s="23">
        <f t="shared" si="98"/>
        <v>0.92307692307692313</v>
      </c>
      <c r="BP372" s="7" t="e">
        <f>VLOOKUP(A372,[1]Sheet15!B:E,4,0)</f>
        <v>#N/A</v>
      </c>
      <c r="BQ372" s="7" t="e">
        <f>VLOOKUP(A372,[1]Sheet15!B:E,3,0)</f>
        <v>#N/A</v>
      </c>
    </row>
    <row r="373" spans="1:69" ht="22.5" customHeight="1" x14ac:dyDescent="0.25">
      <c r="A373" s="15" t="s">
        <v>959</v>
      </c>
      <c r="B373" s="15" t="e">
        <f>VLOOKUP(A373,'[1]Master clients'!F367:W3914,17,0)</f>
        <v>#N/A</v>
      </c>
      <c r="C373" s="15" t="e">
        <f>VLOOKUP(A373,'[1]Master clients'!F367:P3914,11,0)</f>
        <v>#N/A</v>
      </c>
      <c r="D373" s="15" t="str">
        <f>VLOOKUP(A373,'[1]Master clients'!F:M,8,0)</f>
        <v>Group (Mills)</v>
      </c>
      <c r="E373" s="16" t="s">
        <v>960</v>
      </c>
      <c r="F373" s="16" t="s">
        <v>961</v>
      </c>
      <c r="G373" s="17"/>
      <c r="H373" s="17"/>
      <c r="I373" s="26">
        <v>2</v>
      </c>
      <c r="J373" s="31">
        <v>0</v>
      </c>
      <c r="K373" s="17">
        <v>0</v>
      </c>
      <c r="L373" s="17">
        <v>0</v>
      </c>
      <c r="M373" s="17">
        <v>0</v>
      </c>
      <c r="N373" s="17">
        <v>0</v>
      </c>
      <c r="O373" s="17">
        <v>0</v>
      </c>
      <c r="P373" s="17">
        <v>0</v>
      </c>
      <c r="Q373" s="17">
        <v>0</v>
      </c>
      <c r="R373" s="17">
        <v>0</v>
      </c>
      <c r="S373" s="17">
        <v>0</v>
      </c>
      <c r="T373" s="17">
        <v>0</v>
      </c>
      <c r="U373" s="17">
        <v>0</v>
      </c>
      <c r="V373" s="17">
        <v>0</v>
      </c>
      <c r="W373" s="17">
        <v>0</v>
      </c>
      <c r="X373" s="17">
        <v>0</v>
      </c>
      <c r="Y373" s="17">
        <v>0</v>
      </c>
      <c r="Z373" s="17">
        <v>0</v>
      </c>
      <c r="AA373" s="17">
        <v>0</v>
      </c>
      <c r="AB373" s="17">
        <v>0</v>
      </c>
      <c r="AC373" s="17">
        <v>0</v>
      </c>
      <c r="AD373" s="17">
        <v>0</v>
      </c>
      <c r="AE373" s="17">
        <v>0</v>
      </c>
      <c r="AF373" s="17">
        <v>0</v>
      </c>
      <c r="AG373" s="17">
        <v>0</v>
      </c>
      <c r="AH373" s="17">
        <v>0</v>
      </c>
      <c r="AI373" s="17">
        <v>0</v>
      </c>
      <c r="AJ373" s="17">
        <v>0</v>
      </c>
      <c r="AK373" s="17">
        <v>0</v>
      </c>
      <c r="AL373" s="17">
        <v>0</v>
      </c>
      <c r="AM373" s="17">
        <v>0</v>
      </c>
      <c r="AN373" s="17">
        <v>0</v>
      </c>
      <c r="AO373" s="17">
        <v>0</v>
      </c>
      <c r="AP373" s="17">
        <v>0</v>
      </c>
      <c r="AQ373" s="17">
        <v>0</v>
      </c>
      <c r="AR373" s="17">
        <v>0</v>
      </c>
      <c r="AS373" s="17">
        <v>0</v>
      </c>
      <c r="AT373" s="17">
        <v>0</v>
      </c>
      <c r="AU373" s="17">
        <v>0</v>
      </c>
      <c r="AV373" s="17">
        <v>0</v>
      </c>
      <c r="AW373" s="17">
        <v>0</v>
      </c>
      <c r="AX373" s="17">
        <v>0</v>
      </c>
      <c r="AY373" s="17">
        <v>0</v>
      </c>
      <c r="AZ373" s="17">
        <v>0</v>
      </c>
      <c r="BA373" s="17">
        <v>0</v>
      </c>
      <c r="BB373" s="17">
        <v>0</v>
      </c>
      <c r="BC373" s="17">
        <v>0</v>
      </c>
      <c r="BD373" s="17">
        <v>0</v>
      </c>
      <c r="BE373" s="17">
        <v>0</v>
      </c>
      <c r="BF373" s="17">
        <v>0</v>
      </c>
      <c r="BG373" s="17">
        <v>0</v>
      </c>
      <c r="BH373" s="17">
        <v>0</v>
      </c>
      <c r="BI373" s="22">
        <f t="shared" si="99"/>
        <v>0</v>
      </c>
      <c r="BJ373" s="22">
        <f t="shared" si="100"/>
        <v>0</v>
      </c>
      <c r="BK373" s="22">
        <f t="shared" si="101"/>
        <v>2</v>
      </c>
      <c r="BL373" s="22">
        <f t="shared" si="102"/>
        <v>2</v>
      </c>
      <c r="BM373" s="22">
        <f t="shared" ref="BM373:BM392" si="103">SUM(J373+N373+O373+Q373+S373+U373+X373+AA373+AD373+AF373+AM373+AP373+AQ373+AT373+AX373+AY373+BD373+BH373)</f>
        <v>0</v>
      </c>
      <c r="BN373" s="23">
        <f t="shared" ref="BN373:BO388" si="104">I373/BL373</f>
        <v>1</v>
      </c>
      <c r="BO373" s="23" t="e">
        <f t="shared" si="104"/>
        <v>#DIV/0!</v>
      </c>
      <c r="BP373" s="7">
        <f>VLOOKUP(A373,[1]Sheet15!B:E,4,0)</f>
        <v>2</v>
      </c>
      <c r="BQ373" s="7">
        <f>VLOOKUP(A373,[1]Sheet15!B:E,3,0)</f>
        <v>0</v>
      </c>
    </row>
    <row r="374" spans="1:69" ht="22.5" customHeight="1" x14ac:dyDescent="0.25">
      <c r="A374" s="15" t="s">
        <v>962</v>
      </c>
      <c r="B374" s="15">
        <f>VLOOKUP(A374,'[1]Master clients'!F368:W3915,17,0)</f>
        <v>0</v>
      </c>
      <c r="C374" s="15" t="str">
        <f>VLOOKUP(A374,'[1]Master clients'!F368:P3915,11,0)</f>
        <v>NI</v>
      </c>
      <c r="D374" s="15" t="str">
        <f>VLOOKUP(A374,'[1]Master clients'!F:M,8,0)</f>
        <v>End User</v>
      </c>
      <c r="E374" s="24" t="s">
        <v>963</v>
      </c>
      <c r="F374" s="25" t="s">
        <v>961</v>
      </c>
      <c r="G374" s="20"/>
      <c r="H374" s="20"/>
      <c r="I374" s="26">
        <v>0</v>
      </c>
      <c r="J374" s="26">
        <v>0</v>
      </c>
      <c r="K374" s="20">
        <v>0</v>
      </c>
      <c r="L374" s="20">
        <v>0</v>
      </c>
      <c r="M374" s="20">
        <v>0</v>
      </c>
      <c r="N374" s="20">
        <v>0</v>
      </c>
      <c r="O374" s="20">
        <v>0</v>
      </c>
      <c r="P374" s="20">
        <v>0</v>
      </c>
      <c r="Q374" s="20">
        <v>0</v>
      </c>
      <c r="R374" s="20">
        <v>0</v>
      </c>
      <c r="S374" s="20">
        <v>0</v>
      </c>
      <c r="T374" s="20">
        <v>0</v>
      </c>
      <c r="U374" s="20">
        <v>0</v>
      </c>
      <c r="V374" s="20">
        <v>0</v>
      </c>
      <c r="W374" s="20">
        <v>0</v>
      </c>
      <c r="X374" s="20">
        <v>0</v>
      </c>
      <c r="Y374" s="20">
        <v>0</v>
      </c>
      <c r="Z374" s="20">
        <v>0</v>
      </c>
      <c r="AA374" s="20">
        <v>0</v>
      </c>
      <c r="AB374" s="20">
        <v>0</v>
      </c>
      <c r="AC374" s="20">
        <v>0</v>
      </c>
      <c r="AD374" s="20">
        <v>0</v>
      </c>
      <c r="AE374" s="20">
        <v>0</v>
      </c>
      <c r="AF374" s="20">
        <v>0</v>
      </c>
      <c r="AG374" s="20">
        <v>0</v>
      </c>
      <c r="AH374" s="20">
        <v>0</v>
      </c>
      <c r="AI374" s="20">
        <v>0</v>
      </c>
      <c r="AJ374" s="20">
        <v>0</v>
      </c>
      <c r="AK374" s="20">
        <v>0</v>
      </c>
      <c r="AL374" s="20">
        <v>0</v>
      </c>
      <c r="AM374" s="20">
        <v>0</v>
      </c>
      <c r="AN374" s="20">
        <v>0</v>
      </c>
      <c r="AO374" s="20">
        <v>0</v>
      </c>
      <c r="AP374" s="20">
        <v>0</v>
      </c>
      <c r="AQ374" s="20">
        <v>0</v>
      </c>
      <c r="AR374" s="20">
        <v>0</v>
      </c>
      <c r="AS374" s="20">
        <v>0</v>
      </c>
      <c r="AT374" s="20">
        <v>0</v>
      </c>
      <c r="AU374" s="20">
        <v>0</v>
      </c>
      <c r="AV374" s="20">
        <v>0</v>
      </c>
      <c r="AW374" s="20">
        <v>0</v>
      </c>
      <c r="AX374" s="20">
        <v>0</v>
      </c>
      <c r="AY374" s="20">
        <v>0</v>
      </c>
      <c r="AZ374" s="20">
        <v>0</v>
      </c>
      <c r="BA374" s="20">
        <v>0</v>
      </c>
      <c r="BB374" s="27">
        <v>0</v>
      </c>
      <c r="BC374" s="20">
        <v>0</v>
      </c>
      <c r="BD374" s="20">
        <v>0</v>
      </c>
      <c r="BE374" s="21">
        <v>0</v>
      </c>
      <c r="BF374" s="21">
        <v>0</v>
      </c>
      <c r="BG374" s="20">
        <v>0</v>
      </c>
      <c r="BH374" s="20">
        <v>0</v>
      </c>
      <c r="BI374" s="22">
        <f t="shared" si="99"/>
        <v>0</v>
      </c>
      <c r="BJ374" s="22">
        <f t="shared" si="100"/>
        <v>0</v>
      </c>
      <c r="BK374" s="28">
        <f t="shared" si="101"/>
        <v>0</v>
      </c>
      <c r="BL374" s="22">
        <f t="shared" si="102"/>
        <v>0</v>
      </c>
      <c r="BM374" s="22">
        <f t="shared" si="103"/>
        <v>0</v>
      </c>
      <c r="BN374" s="23" t="e">
        <f t="shared" si="104"/>
        <v>#DIV/0!</v>
      </c>
      <c r="BO374" s="23" t="e">
        <f t="shared" si="104"/>
        <v>#DIV/0!</v>
      </c>
      <c r="BP374" s="7" t="e">
        <f>VLOOKUP(A374,[1]Sheet15!B:E,4,0)</f>
        <v>#N/A</v>
      </c>
      <c r="BQ374" s="7" t="e">
        <f>VLOOKUP(A374,[1]Sheet15!B:E,3,0)</f>
        <v>#N/A</v>
      </c>
    </row>
    <row r="375" spans="1:69" ht="22.5" customHeight="1" x14ac:dyDescent="0.25">
      <c r="A375" s="15" t="s">
        <v>964</v>
      </c>
      <c r="B375" s="15" t="e">
        <f>VLOOKUP(A375,'[1]Master clients'!F369:W3916,17,0)</f>
        <v>#N/A</v>
      </c>
      <c r="C375" s="15" t="e">
        <f>VLOOKUP(A375,'[1]Master clients'!F369:P3916,11,0)</f>
        <v>#N/A</v>
      </c>
      <c r="D375" s="15" t="str">
        <f>VLOOKUP(A375,'[1]Master clients'!F:M,8,0)</f>
        <v>End User</v>
      </c>
      <c r="E375" s="16" t="s">
        <v>965</v>
      </c>
      <c r="F375" s="29" t="s">
        <v>553</v>
      </c>
      <c r="G375" s="20"/>
      <c r="H375" s="20"/>
      <c r="I375" s="26">
        <v>13</v>
      </c>
      <c r="J375" s="26">
        <v>4</v>
      </c>
      <c r="K375" s="20">
        <v>0</v>
      </c>
      <c r="L375" s="20">
        <v>0</v>
      </c>
      <c r="M375" s="20">
        <v>0</v>
      </c>
      <c r="N375" s="20">
        <v>9</v>
      </c>
      <c r="O375" s="20">
        <v>0</v>
      </c>
      <c r="P375" s="20">
        <v>0</v>
      </c>
      <c r="Q375" s="20">
        <v>0</v>
      </c>
      <c r="R375" s="20">
        <v>0</v>
      </c>
      <c r="S375" s="20">
        <v>0</v>
      </c>
      <c r="T375" s="20">
        <v>0</v>
      </c>
      <c r="U375" s="20">
        <v>0</v>
      </c>
      <c r="V375" s="20">
        <v>0</v>
      </c>
      <c r="W375" s="20">
        <v>0</v>
      </c>
      <c r="X375" s="20">
        <v>0</v>
      </c>
      <c r="Y375" s="20">
        <v>0</v>
      </c>
      <c r="Z375" s="20">
        <v>0</v>
      </c>
      <c r="AA375" s="20">
        <v>0</v>
      </c>
      <c r="AB375" s="20">
        <v>0</v>
      </c>
      <c r="AC375" s="20">
        <v>0</v>
      </c>
      <c r="AD375" s="20">
        <v>0</v>
      </c>
      <c r="AE375" s="20">
        <v>0</v>
      </c>
      <c r="AF375" s="20">
        <v>0</v>
      </c>
      <c r="AG375" s="20">
        <v>0</v>
      </c>
      <c r="AH375" s="20">
        <v>0</v>
      </c>
      <c r="AI375" s="20">
        <v>0</v>
      </c>
      <c r="AJ375" s="20">
        <v>0</v>
      </c>
      <c r="AK375" s="20">
        <v>0</v>
      </c>
      <c r="AL375" s="20">
        <v>0</v>
      </c>
      <c r="AM375" s="20">
        <v>0</v>
      </c>
      <c r="AN375" s="20">
        <v>0</v>
      </c>
      <c r="AO375" s="20">
        <v>0</v>
      </c>
      <c r="AP375" s="20">
        <v>0</v>
      </c>
      <c r="AQ375" s="20">
        <v>0</v>
      </c>
      <c r="AR375" s="20">
        <v>0</v>
      </c>
      <c r="AS375" s="20">
        <v>0</v>
      </c>
      <c r="AT375" s="20">
        <v>0</v>
      </c>
      <c r="AU375" s="20">
        <v>0</v>
      </c>
      <c r="AV375" s="20">
        <v>0</v>
      </c>
      <c r="AW375" s="20">
        <v>0</v>
      </c>
      <c r="AX375" s="20">
        <v>0</v>
      </c>
      <c r="AY375" s="20">
        <v>0</v>
      </c>
      <c r="AZ375" s="20">
        <v>0</v>
      </c>
      <c r="BA375" s="20">
        <v>0</v>
      </c>
      <c r="BB375" s="20">
        <v>0</v>
      </c>
      <c r="BC375" s="20">
        <v>0</v>
      </c>
      <c r="BD375" s="20">
        <v>0</v>
      </c>
      <c r="BE375" s="20">
        <v>0</v>
      </c>
      <c r="BF375" s="20">
        <v>0</v>
      </c>
      <c r="BG375" s="20">
        <v>0</v>
      </c>
      <c r="BH375" s="20">
        <v>0</v>
      </c>
      <c r="BI375" s="22">
        <f t="shared" si="99"/>
        <v>0</v>
      </c>
      <c r="BJ375" s="22">
        <f t="shared" si="100"/>
        <v>9</v>
      </c>
      <c r="BK375" s="28">
        <f t="shared" si="101"/>
        <v>26</v>
      </c>
      <c r="BL375" s="22">
        <f t="shared" si="102"/>
        <v>13</v>
      </c>
      <c r="BM375" s="22">
        <f t="shared" si="103"/>
        <v>13</v>
      </c>
      <c r="BN375" s="23">
        <f t="shared" si="104"/>
        <v>1</v>
      </c>
      <c r="BO375" s="23">
        <f t="shared" si="104"/>
        <v>0.30769230769230771</v>
      </c>
      <c r="BP375" s="7">
        <f>VLOOKUP(A375,[1]Sheet15!B:E,4,0)</f>
        <v>10</v>
      </c>
      <c r="BQ375" s="7">
        <f>VLOOKUP(A375,[1]Sheet15!B:E,3,0)</f>
        <v>5</v>
      </c>
    </row>
    <row r="376" spans="1:69" ht="22.5" customHeight="1" x14ac:dyDescent="0.25">
      <c r="A376" s="15" t="s">
        <v>966</v>
      </c>
      <c r="B376" s="15">
        <f>VLOOKUP(A376,'[1]Master clients'!F370:W3917,17,0)</f>
        <v>0</v>
      </c>
      <c r="C376" s="15" t="str">
        <f>VLOOKUP(A376,'[1]Master clients'!F370:P3917,11,0)</f>
        <v>NI</v>
      </c>
      <c r="D376" s="15" t="str">
        <f>VLOOKUP(A376,'[1]Master clients'!F:M,8,0)</f>
        <v>End User</v>
      </c>
      <c r="E376" s="16" t="s">
        <v>967</v>
      </c>
      <c r="F376" s="29" t="s">
        <v>553</v>
      </c>
      <c r="G376" s="20"/>
      <c r="H376" s="20"/>
      <c r="I376" s="26">
        <v>10</v>
      </c>
      <c r="J376" s="18">
        <v>0</v>
      </c>
      <c r="K376" s="20">
        <v>2</v>
      </c>
      <c r="L376" s="20">
        <v>0</v>
      </c>
      <c r="M376" s="20">
        <v>0</v>
      </c>
      <c r="N376" s="20">
        <v>0</v>
      </c>
      <c r="O376" s="20">
        <v>3</v>
      </c>
      <c r="P376" s="20">
        <v>0</v>
      </c>
      <c r="Q376" s="20">
        <v>7</v>
      </c>
      <c r="R376" s="20">
        <v>0</v>
      </c>
      <c r="S376" s="20">
        <v>0</v>
      </c>
      <c r="T376" s="20">
        <v>0</v>
      </c>
      <c r="U376" s="20">
        <v>0</v>
      </c>
      <c r="V376" s="20">
        <v>0</v>
      </c>
      <c r="W376" s="20">
        <v>0</v>
      </c>
      <c r="X376" s="20">
        <v>0</v>
      </c>
      <c r="Y376" s="20">
        <v>0</v>
      </c>
      <c r="Z376" s="20">
        <v>0</v>
      </c>
      <c r="AA376" s="20">
        <v>0</v>
      </c>
      <c r="AB376" s="20">
        <v>0</v>
      </c>
      <c r="AC376" s="20">
        <v>0</v>
      </c>
      <c r="AD376" s="20">
        <v>0</v>
      </c>
      <c r="AE376" s="20">
        <v>0</v>
      </c>
      <c r="AF376" s="20">
        <v>0</v>
      </c>
      <c r="AG376" s="20">
        <v>0</v>
      </c>
      <c r="AH376" s="20">
        <v>0</v>
      </c>
      <c r="AI376" s="20">
        <v>0</v>
      </c>
      <c r="AJ376" s="20">
        <v>0</v>
      </c>
      <c r="AK376" s="20">
        <v>0</v>
      </c>
      <c r="AL376" s="20">
        <v>0</v>
      </c>
      <c r="AM376" s="20">
        <v>0</v>
      </c>
      <c r="AN376" s="20">
        <v>0</v>
      </c>
      <c r="AO376" s="20">
        <v>0</v>
      </c>
      <c r="AP376" s="20">
        <v>0</v>
      </c>
      <c r="AQ376" s="20">
        <v>0</v>
      </c>
      <c r="AR376" s="20">
        <v>0</v>
      </c>
      <c r="AS376" s="20">
        <v>0</v>
      </c>
      <c r="AT376" s="20">
        <v>0</v>
      </c>
      <c r="AU376" s="20">
        <v>0</v>
      </c>
      <c r="AV376" s="20">
        <v>0</v>
      </c>
      <c r="AW376" s="20">
        <v>0</v>
      </c>
      <c r="AX376" s="20">
        <v>0</v>
      </c>
      <c r="AY376" s="20">
        <v>0</v>
      </c>
      <c r="AZ376" s="20">
        <v>0</v>
      </c>
      <c r="BA376" s="20">
        <v>0</v>
      </c>
      <c r="BB376" s="20">
        <v>0</v>
      </c>
      <c r="BC376" s="20">
        <v>0</v>
      </c>
      <c r="BD376" s="20">
        <v>0</v>
      </c>
      <c r="BE376" s="20">
        <v>0</v>
      </c>
      <c r="BF376" s="20">
        <v>0</v>
      </c>
      <c r="BG376" s="20">
        <v>0</v>
      </c>
      <c r="BH376" s="20">
        <v>0</v>
      </c>
      <c r="BI376" s="22">
        <f t="shared" si="99"/>
        <v>2</v>
      </c>
      <c r="BJ376" s="22">
        <f t="shared" si="100"/>
        <v>10</v>
      </c>
      <c r="BK376" s="28">
        <f t="shared" si="101"/>
        <v>22</v>
      </c>
      <c r="BL376" s="22">
        <f t="shared" si="102"/>
        <v>12</v>
      </c>
      <c r="BM376" s="22">
        <f t="shared" si="103"/>
        <v>10</v>
      </c>
      <c r="BN376" s="23">
        <f t="shared" si="104"/>
        <v>0.83333333333333337</v>
      </c>
      <c r="BO376" s="23">
        <f t="shared" si="104"/>
        <v>0</v>
      </c>
      <c r="BP376" s="7">
        <f>VLOOKUP(A376,[1]Sheet15!B:E,4,0)</f>
        <v>19</v>
      </c>
      <c r="BQ376" s="7">
        <f>VLOOKUP(A376,[1]Sheet15!B:E,3,0)</f>
        <v>0</v>
      </c>
    </row>
    <row r="377" spans="1:69" ht="22.5" customHeight="1" x14ac:dyDescent="0.25">
      <c r="A377" s="15" t="s">
        <v>968</v>
      </c>
      <c r="B377" s="15">
        <f>VLOOKUP(A377,'[1]Master clients'!F371:W3918,17,0)</f>
        <v>0</v>
      </c>
      <c r="C377" s="15" t="str">
        <f>VLOOKUP(A377,'[1]Master clients'!F371:P3918,11,0)</f>
        <v>SI-GS</v>
      </c>
      <c r="D377" s="15" t="str">
        <f>VLOOKUP(A377,'[1]Master clients'!F:M,8,0)</f>
        <v>End User</v>
      </c>
      <c r="E377" s="16" t="s">
        <v>969</v>
      </c>
      <c r="F377" s="16" t="s">
        <v>970</v>
      </c>
      <c r="G377" s="17"/>
      <c r="H377" s="17"/>
      <c r="I377" s="26">
        <v>3</v>
      </c>
      <c r="J377" s="31">
        <v>0</v>
      </c>
      <c r="K377" s="17">
        <v>0</v>
      </c>
      <c r="L377" s="17">
        <v>0</v>
      </c>
      <c r="M377" s="17">
        <v>0</v>
      </c>
      <c r="N377" s="17">
        <v>0</v>
      </c>
      <c r="O377" s="17">
        <v>0</v>
      </c>
      <c r="P377" s="17">
        <v>0</v>
      </c>
      <c r="Q377" s="17">
        <v>0</v>
      </c>
      <c r="R377" s="17">
        <v>0</v>
      </c>
      <c r="S377" s="17">
        <v>0</v>
      </c>
      <c r="T377" s="17">
        <v>0</v>
      </c>
      <c r="U377" s="17">
        <v>0</v>
      </c>
      <c r="V377" s="17">
        <v>0</v>
      </c>
      <c r="W377" s="17">
        <v>0</v>
      </c>
      <c r="X377" s="17">
        <v>0</v>
      </c>
      <c r="Y377" s="17">
        <v>0</v>
      </c>
      <c r="Z377" s="17">
        <v>0</v>
      </c>
      <c r="AA377" s="17">
        <v>0</v>
      </c>
      <c r="AB377" s="17">
        <v>0</v>
      </c>
      <c r="AC377" s="17">
        <v>0</v>
      </c>
      <c r="AD377" s="17">
        <v>0</v>
      </c>
      <c r="AE377" s="17">
        <v>0</v>
      </c>
      <c r="AF377" s="17">
        <v>0</v>
      </c>
      <c r="AG377" s="17">
        <v>0</v>
      </c>
      <c r="AH377" s="17">
        <v>0</v>
      </c>
      <c r="AI377" s="17">
        <v>0</v>
      </c>
      <c r="AJ377" s="17">
        <v>0</v>
      </c>
      <c r="AK377" s="17">
        <v>0</v>
      </c>
      <c r="AL377" s="17">
        <v>0</v>
      </c>
      <c r="AM377" s="17">
        <v>0</v>
      </c>
      <c r="AN377" s="17">
        <v>0</v>
      </c>
      <c r="AO377" s="17">
        <v>0</v>
      </c>
      <c r="AP377" s="17">
        <v>0</v>
      </c>
      <c r="AQ377" s="17">
        <v>0</v>
      </c>
      <c r="AR377" s="17">
        <v>0</v>
      </c>
      <c r="AS377" s="17">
        <v>0</v>
      </c>
      <c r="AT377" s="17">
        <v>0</v>
      </c>
      <c r="AU377" s="17">
        <v>0</v>
      </c>
      <c r="AV377" s="17">
        <v>0</v>
      </c>
      <c r="AW377" s="17">
        <v>0</v>
      </c>
      <c r="AX377" s="17">
        <v>0</v>
      </c>
      <c r="AY377" s="17">
        <v>0</v>
      </c>
      <c r="AZ377" s="17">
        <v>0</v>
      </c>
      <c r="BA377" s="17">
        <v>0</v>
      </c>
      <c r="BB377" s="17">
        <v>0</v>
      </c>
      <c r="BC377" s="17">
        <v>0</v>
      </c>
      <c r="BD377" s="17">
        <v>0</v>
      </c>
      <c r="BE377" s="17">
        <v>0</v>
      </c>
      <c r="BF377" s="17">
        <v>0</v>
      </c>
      <c r="BG377" s="17">
        <v>0</v>
      </c>
      <c r="BH377" s="17">
        <v>0</v>
      </c>
      <c r="BI377" s="22">
        <f t="shared" si="99"/>
        <v>0</v>
      </c>
      <c r="BJ377" s="22">
        <f t="shared" si="100"/>
        <v>0</v>
      </c>
      <c r="BK377" s="28">
        <f t="shared" si="101"/>
        <v>3</v>
      </c>
      <c r="BL377" s="22">
        <f t="shared" si="102"/>
        <v>3</v>
      </c>
      <c r="BM377" s="22">
        <f t="shared" si="103"/>
        <v>0</v>
      </c>
      <c r="BN377" s="23">
        <f t="shared" si="104"/>
        <v>1</v>
      </c>
      <c r="BO377" s="23" t="e">
        <f t="shared" si="104"/>
        <v>#DIV/0!</v>
      </c>
      <c r="BP377" s="7">
        <f>VLOOKUP(A377,[1]Sheet15!B:E,4,0)</f>
        <v>3</v>
      </c>
      <c r="BQ377" s="7">
        <f>VLOOKUP(A377,[1]Sheet15!B:E,3,0)</f>
        <v>0</v>
      </c>
    </row>
    <row r="378" spans="1:69" ht="22.5" customHeight="1" x14ac:dyDescent="0.25">
      <c r="A378" s="15" t="s">
        <v>971</v>
      </c>
      <c r="B378" s="15" t="e">
        <f>VLOOKUP(A378,'[1]Master clients'!F372:W3919,17,0)</f>
        <v>#N/A</v>
      </c>
      <c r="C378" s="15" t="e">
        <f>VLOOKUP(A378,'[1]Master clients'!F372:P3919,11,0)</f>
        <v>#N/A</v>
      </c>
      <c r="D378" s="15" t="str">
        <f>VLOOKUP(A378,'[1]Master clients'!F:M,8,0)</f>
        <v>Group (Mills)</v>
      </c>
      <c r="E378" s="16" t="s">
        <v>972</v>
      </c>
      <c r="F378" s="16" t="s">
        <v>973</v>
      </c>
      <c r="G378" s="17"/>
      <c r="H378" s="17"/>
      <c r="I378" s="31">
        <v>0</v>
      </c>
      <c r="J378" s="31">
        <v>0</v>
      </c>
      <c r="K378" s="17">
        <v>0</v>
      </c>
      <c r="L378" s="17">
        <v>0</v>
      </c>
      <c r="M378" s="17">
        <v>0</v>
      </c>
      <c r="N378" s="17">
        <v>0</v>
      </c>
      <c r="O378" s="17">
        <v>0</v>
      </c>
      <c r="P378" s="17">
        <v>0</v>
      </c>
      <c r="Q378" s="17">
        <v>0</v>
      </c>
      <c r="R378" s="17">
        <v>0</v>
      </c>
      <c r="S378" s="17">
        <v>0</v>
      </c>
      <c r="T378" s="17">
        <v>0</v>
      </c>
      <c r="U378" s="17">
        <v>0</v>
      </c>
      <c r="V378" s="17">
        <v>0</v>
      </c>
      <c r="W378" s="17">
        <v>0</v>
      </c>
      <c r="X378" s="17">
        <v>0</v>
      </c>
      <c r="Y378" s="17">
        <v>0</v>
      </c>
      <c r="Z378" s="17">
        <v>0</v>
      </c>
      <c r="AA378" s="17">
        <v>0</v>
      </c>
      <c r="AB378" s="17">
        <v>0</v>
      </c>
      <c r="AC378" s="17">
        <v>0</v>
      </c>
      <c r="AD378" s="17">
        <v>0</v>
      </c>
      <c r="AE378" s="17">
        <v>0</v>
      </c>
      <c r="AF378" s="17">
        <v>0</v>
      </c>
      <c r="AG378" s="17">
        <v>0</v>
      </c>
      <c r="AH378" s="17">
        <v>0</v>
      </c>
      <c r="AI378" s="17">
        <v>0</v>
      </c>
      <c r="AJ378" s="17">
        <v>0</v>
      </c>
      <c r="AK378" s="17">
        <v>0</v>
      </c>
      <c r="AL378" s="17">
        <v>0</v>
      </c>
      <c r="AM378" s="17">
        <v>0</v>
      </c>
      <c r="AN378" s="17">
        <v>0</v>
      </c>
      <c r="AO378" s="17">
        <v>0</v>
      </c>
      <c r="AP378" s="17">
        <v>0</v>
      </c>
      <c r="AQ378" s="17">
        <v>0</v>
      </c>
      <c r="AR378" s="17">
        <v>0</v>
      </c>
      <c r="AS378" s="17">
        <v>0</v>
      </c>
      <c r="AT378" s="17">
        <v>0</v>
      </c>
      <c r="AU378" s="17">
        <v>0</v>
      </c>
      <c r="AV378" s="17">
        <v>0</v>
      </c>
      <c r="AW378" s="17">
        <v>0</v>
      </c>
      <c r="AX378" s="17">
        <v>0</v>
      </c>
      <c r="AY378" s="17">
        <v>0</v>
      </c>
      <c r="AZ378" s="17">
        <v>0</v>
      </c>
      <c r="BA378" s="17">
        <v>0</v>
      </c>
      <c r="BB378" s="17">
        <v>0</v>
      </c>
      <c r="BC378" s="17">
        <v>0</v>
      </c>
      <c r="BD378" s="17">
        <v>0</v>
      </c>
      <c r="BE378" s="17">
        <v>0</v>
      </c>
      <c r="BF378" s="17">
        <v>0</v>
      </c>
      <c r="BG378" s="17">
        <v>0</v>
      </c>
      <c r="BH378" s="17">
        <v>0</v>
      </c>
      <c r="BI378" s="22">
        <f>SUM(M378+N378+P378+R378+T378+W378+Z378+AC378+AE378+AL378+AO378+AP378+AS378+AW378+AX378+BC378+BE378+BG378)</f>
        <v>0</v>
      </c>
      <c r="BJ378" s="22">
        <f>SUM(H378:BG378)</f>
        <v>0</v>
      </c>
      <c r="BK378" s="22">
        <f>SUM(H378+J378+K378+L378+O378+Q378+S378+U378+V378+X378+Y378+AA378+AB378+AD378+AF378+AG378+AH378+AI378+AJ378+AK378+AM378+AN378+AQ378+AR378+AT378+AU378+AV378+AY378+AZ378+BA378+BB378+BF378+BD378)</f>
        <v>0</v>
      </c>
      <c r="BL378" s="22">
        <f t="shared" ref="BL378:BM393" si="105">SUM(I378+M378+N378+P378+R378+T378+W378+Z378+AC378+AE378+AL378+AO378+AP378+AS378+AW378+AX378+BC378+BG378)</f>
        <v>0</v>
      </c>
      <c r="BM378" s="22">
        <f t="shared" si="105"/>
        <v>0</v>
      </c>
      <c r="BN378" s="23" t="e">
        <f t="shared" si="104"/>
        <v>#DIV/0!</v>
      </c>
      <c r="BO378" s="23" t="e">
        <f t="shared" si="104"/>
        <v>#DIV/0!</v>
      </c>
      <c r="BP378" s="7" t="e">
        <f>VLOOKUP(A378,[1]Sheet15!B:E,4,0)</f>
        <v>#N/A</v>
      </c>
      <c r="BQ378" s="7" t="e">
        <f>VLOOKUP(A378,[1]Sheet15!B:E,3,0)</f>
        <v>#N/A</v>
      </c>
    </row>
    <row r="379" spans="1:69" ht="22.5" customHeight="1" x14ac:dyDescent="0.25">
      <c r="A379" s="15" t="s">
        <v>974</v>
      </c>
      <c r="B379" s="15" t="e">
        <f>VLOOKUP(A379,'[1]Master clients'!F373:W3920,17,0)</f>
        <v>#N/A</v>
      </c>
      <c r="C379" s="15" t="e">
        <f>VLOOKUP(A379,'[1]Master clients'!F373:P3920,11,0)</f>
        <v>#N/A</v>
      </c>
      <c r="D379" s="15" t="str">
        <f>VLOOKUP(A379,'[1]Master clients'!F:M,8,0)</f>
        <v>End User</v>
      </c>
      <c r="E379" s="16" t="s">
        <v>975</v>
      </c>
      <c r="F379" s="16" t="s">
        <v>976</v>
      </c>
      <c r="G379" s="17"/>
      <c r="H379" s="17"/>
      <c r="I379" s="18">
        <v>0</v>
      </c>
      <c r="J379" s="18">
        <v>0</v>
      </c>
      <c r="K379" s="17">
        <v>0</v>
      </c>
      <c r="L379" s="17">
        <v>0</v>
      </c>
      <c r="M379" s="17">
        <v>0</v>
      </c>
      <c r="N379" s="17">
        <v>0</v>
      </c>
      <c r="O379" s="17">
        <v>0</v>
      </c>
      <c r="P379" s="17">
        <v>0</v>
      </c>
      <c r="Q379" s="17">
        <v>0</v>
      </c>
      <c r="R379" s="17">
        <v>0</v>
      </c>
      <c r="S379" s="17">
        <v>0</v>
      </c>
      <c r="T379" s="17">
        <v>0</v>
      </c>
      <c r="U379" s="17">
        <v>0</v>
      </c>
      <c r="V379" s="17">
        <v>0</v>
      </c>
      <c r="W379" s="17">
        <v>0</v>
      </c>
      <c r="X379" s="17">
        <v>0</v>
      </c>
      <c r="Y379" s="17">
        <v>0</v>
      </c>
      <c r="Z379" s="17">
        <v>0</v>
      </c>
      <c r="AA379" s="17">
        <v>0</v>
      </c>
      <c r="AB379" s="17">
        <v>0</v>
      </c>
      <c r="AC379" s="17">
        <v>0</v>
      </c>
      <c r="AD379" s="17">
        <v>0</v>
      </c>
      <c r="AE379" s="17">
        <v>0</v>
      </c>
      <c r="AF379" s="17">
        <v>0</v>
      </c>
      <c r="AG379" s="17">
        <v>0</v>
      </c>
      <c r="AH379" s="17">
        <v>0</v>
      </c>
      <c r="AI379" s="17">
        <v>0</v>
      </c>
      <c r="AJ379" s="17">
        <v>0</v>
      </c>
      <c r="AK379" s="17">
        <v>0</v>
      </c>
      <c r="AL379" s="17">
        <v>0</v>
      </c>
      <c r="AM379" s="17">
        <v>0</v>
      </c>
      <c r="AN379" s="17">
        <v>0</v>
      </c>
      <c r="AO379" s="17">
        <v>0</v>
      </c>
      <c r="AP379" s="17">
        <v>0</v>
      </c>
      <c r="AQ379" s="17">
        <v>0</v>
      </c>
      <c r="AR379" s="17">
        <v>0</v>
      </c>
      <c r="AS379" s="17">
        <v>0</v>
      </c>
      <c r="AT379" s="17">
        <v>0</v>
      </c>
      <c r="AU379" s="17">
        <v>0</v>
      </c>
      <c r="AV379" s="17">
        <v>0</v>
      </c>
      <c r="AW379" s="17">
        <v>0</v>
      </c>
      <c r="AX379" s="17">
        <v>0</v>
      </c>
      <c r="AY379" s="17">
        <v>0</v>
      </c>
      <c r="AZ379" s="17">
        <v>0</v>
      </c>
      <c r="BA379" s="17">
        <v>0</v>
      </c>
      <c r="BB379" s="17">
        <v>0</v>
      </c>
      <c r="BC379" s="17">
        <v>0</v>
      </c>
      <c r="BD379" s="17">
        <v>0</v>
      </c>
      <c r="BE379" s="17">
        <v>0</v>
      </c>
      <c r="BF379" s="17">
        <v>0</v>
      </c>
      <c r="BG379" s="17">
        <v>0</v>
      </c>
      <c r="BH379" s="17">
        <v>0</v>
      </c>
      <c r="BI379" s="22">
        <f t="shared" ref="BI379:BI399" si="106">SUM(K379+L379+M379+P379+R379+T379+V379+W379+Y379+Z379+AB379+AC379+AE379+AG379+AH379+AI379+AJ379+AK379+AL379+AN379+AO379+AR379+AS379+AU379+AV379+AW379+AZ379+BA379+BB379+BC379+BE379+BG379)</f>
        <v>0</v>
      </c>
      <c r="BJ379" s="22">
        <f t="shared" ref="BJ379:BJ399" si="107">SUM(N379+O379+Q379+S379+U379+X379+AA379+AD379+AF379+AM379+AP379+AQ379+AT379+AX379+AY379+BD379+BF379+BH379)</f>
        <v>0</v>
      </c>
      <c r="BK379" s="22">
        <f t="shared" ref="BK379:BK399" si="108">SUM(I379:BH379)</f>
        <v>0</v>
      </c>
      <c r="BL379" s="22">
        <f t="shared" ref="BL379:BL399" si="109">SUM(I379+K379+L379+M379+P379+R379+T379+V379+W379+Y379+Z379+AB379+AC379+AE379+AG379+AH379+AI379+AJ379+AK379+AL379+AN379+AO379+AR379+AS379+AU379+AV379+AW379+AZ379+BA379+BB379+BC379+BG379+BE379)</f>
        <v>0</v>
      </c>
      <c r="BM379" s="22">
        <f t="shared" si="105"/>
        <v>0</v>
      </c>
      <c r="BN379" s="23" t="e">
        <f t="shared" si="104"/>
        <v>#DIV/0!</v>
      </c>
      <c r="BO379" s="23" t="e">
        <f t="shared" si="104"/>
        <v>#DIV/0!</v>
      </c>
      <c r="BP379" s="7" t="e">
        <f>VLOOKUP(A379,[1]Sheet15!B:E,4,0)</f>
        <v>#N/A</v>
      </c>
      <c r="BQ379" s="7" t="e">
        <f>VLOOKUP(A379,[1]Sheet15!B:E,3,0)</f>
        <v>#N/A</v>
      </c>
    </row>
    <row r="380" spans="1:69" ht="22.5" customHeight="1" x14ac:dyDescent="0.25">
      <c r="A380" s="15" t="s">
        <v>977</v>
      </c>
      <c r="B380" s="15" t="e">
        <f>VLOOKUP(A380,'[1]Master clients'!F374:W3921,17,0)</f>
        <v>#N/A</v>
      </c>
      <c r="C380" s="15" t="e">
        <f>VLOOKUP(A380,'[1]Master clients'!F374:P3921,11,0)</f>
        <v>#N/A</v>
      </c>
      <c r="D380" s="15" t="str">
        <f>VLOOKUP(A380,'[1]Master clients'!F:M,8,0)</f>
        <v>End User</v>
      </c>
      <c r="E380" s="16" t="s">
        <v>978</v>
      </c>
      <c r="F380" s="16" t="s">
        <v>976</v>
      </c>
      <c r="G380" s="17"/>
      <c r="H380" s="17"/>
      <c r="I380" s="26">
        <v>2</v>
      </c>
      <c r="J380" s="18">
        <v>0</v>
      </c>
      <c r="K380" s="17">
        <v>0</v>
      </c>
      <c r="L380" s="17">
        <v>0</v>
      </c>
      <c r="M380" s="17">
        <v>0</v>
      </c>
      <c r="N380" s="17">
        <v>0</v>
      </c>
      <c r="O380" s="17">
        <v>0</v>
      </c>
      <c r="P380" s="17">
        <v>0</v>
      </c>
      <c r="Q380" s="17">
        <v>0</v>
      </c>
      <c r="R380" s="17">
        <v>0</v>
      </c>
      <c r="S380" s="17">
        <v>0</v>
      </c>
      <c r="T380" s="17">
        <v>0</v>
      </c>
      <c r="U380" s="17">
        <v>0</v>
      </c>
      <c r="V380" s="17">
        <v>0</v>
      </c>
      <c r="W380" s="17">
        <v>0</v>
      </c>
      <c r="X380" s="17">
        <v>0</v>
      </c>
      <c r="Y380" s="17">
        <v>0</v>
      </c>
      <c r="Z380" s="17">
        <v>0</v>
      </c>
      <c r="AA380" s="17">
        <v>0</v>
      </c>
      <c r="AB380" s="17">
        <v>0</v>
      </c>
      <c r="AC380" s="17">
        <v>0</v>
      </c>
      <c r="AD380" s="17">
        <v>0</v>
      </c>
      <c r="AE380" s="17">
        <v>0</v>
      </c>
      <c r="AF380" s="17">
        <v>0</v>
      </c>
      <c r="AG380" s="17">
        <v>0</v>
      </c>
      <c r="AH380" s="17">
        <v>0</v>
      </c>
      <c r="AI380" s="17">
        <v>0</v>
      </c>
      <c r="AJ380" s="17">
        <v>0</v>
      </c>
      <c r="AK380" s="17">
        <v>0</v>
      </c>
      <c r="AL380" s="17">
        <v>0</v>
      </c>
      <c r="AM380" s="17">
        <v>0</v>
      </c>
      <c r="AN380" s="17">
        <v>0</v>
      </c>
      <c r="AO380" s="17">
        <v>0</v>
      </c>
      <c r="AP380" s="17">
        <v>0</v>
      </c>
      <c r="AQ380" s="17">
        <v>0</v>
      </c>
      <c r="AR380" s="17">
        <v>0</v>
      </c>
      <c r="AS380" s="17">
        <v>0</v>
      </c>
      <c r="AT380" s="17">
        <v>0</v>
      </c>
      <c r="AU380" s="17">
        <v>0</v>
      </c>
      <c r="AV380" s="17">
        <v>0</v>
      </c>
      <c r="AW380" s="17">
        <v>0</v>
      </c>
      <c r="AX380" s="17">
        <v>0</v>
      </c>
      <c r="AY380" s="17">
        <v>0</v>
      </c>
      <c r="AZ380" s="17">
        <v>0</v>
      </c>
      <c r="BA380" s="17">
        <v>0</v>
      </c>
      <c r="BB380" s="17">
        <v>0</v>
      </c>
      <c r="BC380" s="17">
        <v>0</v>
      </c>
      <c r="BD380" s="17">
        <v>0</v>
      </c>
      <c r="BE380" s="17">
        <v>0</v>
      </c>
      <c r="BF380" s="17">
        <v>0</v>
      </c>
      <c r="BG380" s="17">
        <v>0</v>
      </c>
      <c r="BH380" s="17">
        <v>0</v>
      </c>
      <c r="BI380" s="22">
        <f t="shared" si="106"/>
        <v>0</v>
      </c>
      <c r="BJ380" s="22">
        <f t="shared" si="107"/>
        <v>0</v>
      </c>
      <c r="BK380" s="22">
        <f t="shared" si="108"/>
        <v>2</v>
      </c>
      <c r="BL380" s="22">
        <f t="shared" si="109"/>
        <v>2</v>
      </c>
      <c r="BM380" s="22">
        <f t="shared" si="105"/>
        <v>0</v>
      </c>
      <c r="BN380" s="23">
        <f t="shared" si="104"/>
        <v>1</v>
      </c>
      <c r="BO380" s="23" t="e">
        <f t="shared" si="104"/>
        <v>#DIV/0!</v>
      </c>
      <c r="BP380" s="7">
        <f>VLOOKUP(A380,[1]Sheet15!B:E,4,0)</f>
        <v>2</v>
      </c>
      <c r="BQ380" s="7">
        <f>VLOOKUP(A380,[1]Sheet15!B:E,3,0)</f>
        <v>0</v>
      </c>
    </row>
    <row r="381" spans="1:69" ht="22.5" customHeight="1" x14ac:dyDescent="0.25">
      <c r="A381" s="15" t="s">
        <v>979</v>
      </c>
      <c r="B381" s="15" t="e">
        <f>VLOOKUP(A381,'[1]Master clients'!F375:W3922,17,0)</f>
        <v>#N/A</v>
      </c>
      <c r="C381" s="15" t="e">
        <f>VLOOKUP(A381,'[1]Master clients'!F375:P3922,11,0)</f>
        <v>#N/A</v>
      </c>
      <c r="D381" s="15" t="str">
        <f>VLOOKUP(A381,'[1]Master clients'!F:M,8,0)</f>
        <v>End User</v>
      </c>
      <c r="E381" s="16" t="s">
        <v>980</v>
      </c>
      <c r="F381" s="16" t="s">
        <v>976</v>
      </c>
      <c r="G381" s="17"/>
      <c r="H381" s="17"/>
      <c r="I381" s="18">
        <v>4</v>
      </c>
      <c r="J381" s="18">
        <v>0</v>
      </c>
      <c r="K381" s="20">
        <v>0</v>
      </c>
      <c r="L381" s="20">
        <v>0</v>
      </c>
      <c r="M381" s="20">
        <v>0</v>
      </c>
      <c r="N381" s="20">
        <v>0</v>
      </c>
      <c r="O381" s="20">
        <v>0</v>
      </c>
      <c r="P381" s="20">
        <v>0</v>
      </c>
      <c r="Q381" s="20">
        <v>0</v>
      </c>
      <c r="R381" s="20">
        <v>0</v>
      </c>
      <c r="S381" s="20">
        <v>0</v>
      </c>
      <c r="T381" s="20">
        <v>0</v>
      </c>
      <c r="U381" s="20">
        <v>0</v>
      </c>
      <c r="V381" s="20">
        <v>0</v>
      </c>
      <c r="W381" s="20">
        <v>0</v>
      </c>
      <c r="X381" s="20">
        <v>0</v>
      </c>
      <c r="Y381" s="20">
        <v>0</v>
      </c>
      <c r="Z381" s="20">
        <v>0</v>
      </c>
      <c r="AA381" s="20">
        <v>0</v>
      </c>
      <c r="AB381" s="20">
        <v>0</v>
      </c>
      <c r="AC381" s="20">
        <v>0</v>
      </c>
      <c r="AD381" s="20">
        <v>0</v>
      </c>
      <c r="AE381" s="20">
        <v>0</v>
      </c>
      <c r="AF381" s="20">
        <v>0</v>
      </c>
      <c r="AG381" s="20">
        <v>0</v>
      </c>
      <c r="AH381" s="20">
        <v>0</v>
      </c>
      <c r="AI381" s="20">
        <v>0</v>
      </c>
      <c r="AJ381" s="20">
        <v>0</v>
      </c>
      <c r="AK381" s="20">
        <v>0</v>
      </c>
      <c r="AL381" s="20">
        <v>0</v>
      </c>
      <c r="AM381" s="20">
        <v>0</v>
      </c>
      <c r="AN381" s="20">
        <v>0</v>
      </c>
      <c r="AO381" s="20">
        <v>0</v>
      </c>
      <c r="AP381" s="20">
        <v>0</v>
      </c>
      <c r="AQ381" s="20">
        <v>0</v>
      </c>
      <c r="AR381" s="20">
        <v>0</v>
      </c>
      <c r="AS381" s="20">
        <v>0</v>
      </c>
      <c r="AT381" s="20">
        <v>0</v>
      </c>
      <c r="AU381" s="20">
        <v>0</v>
      </c>
      <c r="AV381" s="20">
        <v>0</v>
      </c>
      <c r="AW381" s="20">
        <v>0</v>
      </c>
      <c r="AX381" s="20">
        <v>0</v>
      </c>
      <c r="AY381" s="20">
        <v>0</v>
      </c>
      <c r="AZ381" s="20">
        <v>0</v>
      </c>
      <c r="BA381" s="20">
        <v>0</v>
      </c>
      <c r="BB381" s="20">
        <v>0</v>
      </c>
      <c r="BC381" s="20">
        <v>0</v>
      </c>
      <c r="BD381" s="20">
        <v>0</v>
      </c>
      <c r="BE381" s="20">
        <v>0</v>
      </c>
      <c r="BF381" s="20">
        <v>0</v>
      </c>
      <c r="BG381" s="20">
        <v>0</v>
      </c>
      <c r="BH381" s="20">
        <v>0</v>
      </c>
      <c r="BI381" s="22">
        <f t="shared" si="106"/>
        <v>0</v>
      </c>
      <c r="BJ381" s="22">
        <f t="shared" si="107"/>
        <v>0</v>
      </c>
      <c r="BK381" s="22">
        <f t="shared" si="108"/>
        <v>4</v>
      </c>
      <c r="BL381" s="22">
        <f t="shared" si="109"/>
        <v>4</v>
      </c>
      <c r="BM381" s="22">
        <f t="shared" si="105"/>
        <v>0</v>
      </c>
      <c r="BN381" s="23">
        <f t="shared" si="104"/>
        <v>1</v>
      </c>
      <c r="BO381" s="23" t="e">
        <f t="shared" si="104"/>
        <v>#DIV/0!</v>
      </c>
      <c r="BP381" s="7">
        <f>VLOOKUP(A381,[1]Sheet15!B:E,4,0)</f>
        <v>5</v>
      </c>
      <c r="BQ381" s="7">
        <f>VLOOKUP(A381,[1]Sheet15!B:E,3,0)</f>
        <v>0</v>
      </c>
    </row>
    <row r="382" spans="1:69" ht="22.5" customHeight="1" x14ac:dyDescent="0.25">
      <c r="A382" s="15" t="s">
        <v>981</v>
      </c>
      <c r="B382" s="15">
        <f>VLOOKUP(A382,'[1]Master clients'!F376:W3923,17,0)</f>
        <v>0</v>
      </c>
      <c r="C382" s="15" t="str">
        <f>VLOOKUP(A382,'[1]Master clients'!F376:P3923,11,0)</f>
        <v>NI</v>
      </c>
      <c r="D382" s="15" t="str">
        <f>VLOOKUP(A382,'[1]Master clients'!F:M,8,0)</f>
        <v>End User</v>
      </c>
      <c r="E382" s="16" t="s">
        <v>982</v>
      </c>
      <c r="F382" s="16" t="s">
        <v>976</v>
      </c>
      <c r="G382" s="17"/>
      <c r="H382" s="17"/>
      <c r="I382" s="26">
        <v>1</v>
      </c>
      <c r="J382" s="31">
        <v>0</v>
      </c>
      <c r="K382" s="17">
        <v>0</v>
      </c>
      <c r="L382" s="17">
        <v>0</v>
      </c>
      <c r="M382" s="17">
        <v>0</v>
      </c>
      <c r="N382" s="17">
        <v>0</v>
      </c>
      <c r="O382" s="17">
        <v>0</v>
      </c>
      <c r="P382" s="17">
        <v>0</v>
      </c>
      <c r="Q382" s="17">
        <v>0</v>
      </c>
      <c r="R382" s="17">
        <v>0</v>
      </c>
      <c r="S382" s="17">
        <v>0</v>
      </c>
      <c r="T382" s="17">
        <v>0</v>
      </c>
      <c r="U382" s="17">
        <v>0</v>
      </c>
      <c r="V382" s="17">
        <v>0</v>
      </c>
      <c r="W382" s="17">
        <v>0</v>
      </c>
      <c r="X382" s="17">
        <v>0</v>
      </c>
      <c r="Y382" s="17">
        <v>0</v>
      </c>
      <c r="Z382" s="17">
        <v>0</v>
      </c>
      <c r="AA382" s="17">
        <v>0</v>
      </c>
      <c r="AB382" s="17">
        <v>0</v>
      </c>
      <c r="AC382" s="17">
        <v>0</v>
      </c>
      <c r="AD382" s="17">
        <v>0</v>
      </c>
      <c r="AE382" s="17">
        <v>0</v>
      </c>
      <c r="AF382" s="17">
        <v>0</v>
      </c>
      <c r="AG382" s="17">
        <v>0</v>
      </c>
      <c r="AH382" s="17">
        <v>0</v>
      </c>
      <c r="AI382" s="17">
        <v>0</v>
      </c>
      <c r="AJ382" s="17">
        <v>0</v>
      </c>
      <c r="AK382" s="17">
        <v>0</v>
      </c>
      <c r="AL382" s="17">
        <v>0</v>
      </c>
      <c r="AM382" s="17">
        <v>0</v>
      </c>
      <c r="AN382" s="17">
        <v>0</v>
      </c>
      <c r="AO382" s="17">
        <v>0</v>
      </c>
      <c r="AP382" s="17">
        <v>0</v>
      </c>
      <c r="AQ382" s="17">
        <v>0</v>
      </c>
      <c r="AR382" s="17">
        <v>0</v>
      </c>
      <c r="AS382" s="17">
        <v>0</v>
      </c>
      <c r="AT382" s="17">
        <v>0</v>
      </c>
      <c r="AU382" s="17">
        <v>0</v>
      </c>
      <c r="AV382" s="17">
        <v>0</v>
      </c>
      <c r="AW382" s="17">
        <v>0</v>
      </c>
      <c r="AX382" s="17">
        <v>0</v>
      </c>
      <c r="AY382" s="17">
        <v>0</v>
      </c>
      <c r="AZ382" s="17">
        <v>0</v>
      </c>
      <c r="BA382" s="17">
        <v>0</v>
      </c>
      <c r="BB382" s="17">
        <v>0</v>
      </c>
      <c r="BC382" s="17">
        <v>0</v>
      </c>
      <c r="BD382" s="17">
        <v>0</v>
      </c>
      <c r="BE382" s="17">
        <v>0</v>
      </c>
      <c r="BF382" s="17">
        <v>0</v>
      </c>
      <c r="BG382" s="17">
        <v>0</v>
      </c>
      <c r="BH382" s="17">
        <v>0</v>
      </c>
      <c r="BI382" s="22">
        <f t="shared" si="106"/>
        <v>0</v>
      </c>
      <c r="BJ382" s="22">
        <f t="shared" si="107"/>
        <v>0</v>
      </c>
      <c r="BK382" s="28">
        <f t="shared" si="108"/>
        <v>1</v>
      </c>
      <c r="BL382" s="22">
        <f t="shared" si="109"/>
        <v>1</v>
      </c>
      <c r="BM382" s="22">
        <f t="shared" si="105"/>
        <v>0</v>
      </c>
      <c r="BN382" s="23">
        <f t="shared" si="104"/>
        <v>1</v>
      </c>
      <c r="BO382" s="23" t="e">
        <f t="shared" si="104"/>
        <v>#DIV/0!</v>
      </c>
      <c r="BP382" s="7">
        <f>VLOOKUP(A382,[1]Sheet15!B:E,4,0)</f>
        <v>1</v>
      </c>
      <c r="BQ382" s="7">
        <f>VLOOKUP(A382,[1]Sheet15!B:E,3,0)</f>
        <v>0</v>
      </c>
    </row>
    <row r="383" spans="1:69" ht="22.5" customHeight="1" x14ac:dyDescent="0.25">
      <c r="A383" s="15" t="s">
        <v>983</v>
      </c>
      <c r="B383" s="15">
        <f>VLOOKUP(A383,'[1]Master clients'!F377:W3924,17,0)</f>
        <v>0</v>
      </c>
      <c r="C383" s="15" t="str">
        <f>VLOOKUP(A383,'[1]Master clients'!F377:P3924,11,0)</f>
        <v>NI</v>
      </c>
      <c r="D383" s="15" t="str">
        <f>VLOOKUP(A383,'[1]Master clients'!F:M,8,0)</f>
        <v>End User</v>
      </c>
      <c r="E383" s="16" t="s">
        <v>984</v>
      </c>
      <c r="F383" s="16" t="s">
        <v>976</v>
      </c>
      <c r="G383" s="17"/>
      <c r="H383" s="17"/>
      <c r="I383" s="18">
        <v>4</v>
      </c>
      <c r="J383" s="18">
        <v>0</v>
      </c>
      <c r="K383" s="17">
        <v>0</v>
      </c>
      <c r="L383" s="17">
        <v>0</v>
      </c>
      <c r="M383" s="17">
        <v>0</v>
      </c>
      <c r="N383" s="17">
        <v>0</v>
      </c>
      <c r="O383" s="17">
        <v>0</v>
      </c>
      <c r="P383" s="17">
        <v>0</v>
      </c>
      <c r="Q383" s="17">
        <v>0</v>
      </c>
      <c r="R383" s="17">
        <v>0</v>
      </c>
      <c r="S383" s="17">
        <v>0</v>
      </c>
      <c r="T383" s="17">
        <v>0</v>
      </c>
      <c r="U383" s="17">
        <v>0</v>
      </c>
      <c r="V383" s="17">
        <v>0</v>
      </c>
      <c r="W383" s="17">
        <v>0</v>
      </c>
      <c r="X383" s="17">
        <v>0</v>
      </c>
      <c r="Y383" s="17">
        <v>0</v>
      </c>
      <c r="Z383" s="17">
        <v>0</v>
      </c>
      <c r="AA383" s="17">
        <v>0</v>
      </c>
      <c r="AB383" s="17">
        <v>0</v>
      </c>
      <c r="AC383" s="17">
        <v>0</v>
      </c>
      <c r="AD383" s="17">
        <v>0</v>
      </c>
      <c r="AE383" s="17">
        <v>0</v>
      </c>
      <c r="AF383" s="17">
        <v>0</v>
      </c>
      <c r="AG383" s="17">
        <v>0</v>
      </c>
      <c r="AH383" s="17">
        <v>0</v>
      </c>
      <c r="AI383" s="17">
        <v>0</v>
      </c>
      <c r="AJ383" s="17">
        <v>0</v>
      </c>
      <c r="AK383" s="17">
        <v>0</v>
      </c>
      <c r="AL383" s="17">
        <v>0</v>
      </c>
      <c r="AM383" s="17">
        <v>0</v>
      </c>
      <c r="AN383" s="17">
        <v>0</v>
      </c>
      <c r="AO383" s="17">
        <v>0</v>
      </c>
      <c r="AP383" s="17">
        <v>0</v>
      </c>
      <c r="AQ383" s="17">
        <v>0</v>
      </c>
      <c r="AR383" s="17">
        <v>0</v>
      </c>
      <c r="AS383" s="17">
        <v>0</v>
      </c>
      <c r="AT383" s="17">
        <v>0</v>
      </c>
      <c r="AU383" s="17">
        <v>0</v>
      </c>
      <c r="AV383" s="17">
        <v>0</v>
      </c>
      <c r="AW383" s="17">
        <v>0</v>
      </c>
      <c r="AX383" s="17">
        <v>0</v>
      </c>
      <c r="AY383" s="17">
        <v>0</v>
      </c>
      <c r="AZ383" s="17">
        <v>0</v>
      </c>
      <c r="BA383" s="17">
        <v>0</v>
      </c>
      <c r="BB383" s="17">
        <v>0</v>
      </c>
      <c r="BC383" s="17">
        <v>0</v>
      </c>
      <c r="BD383" s="17">
        <v>0</v>
      </c>
      <c r="BE383" s="17">
        <v>0</v>
      </c>
      <c r="BF383" s="17">
        <v>0</v>
      </c>
      <c r="BG383" s="17">
        <v>0</v>
      </c>
      <c r="BH383" s="17">
        <v>0</v>
      </c>
      <c r="BI383" s="22">
        <f t="shared" si="106"/>
        <v>0</v>
      </c>
      <c r="BJ383" s="22">
        <f t="shared" si="107"/>
        <v>0</v>
      </c>
      <c r="BK383" s="22">
        <f t="shared" si="108"/>
        <v>4</v>
      </c>
      <c r="BL383" s="22">
        <f t="shared" si="109"/>
        <v>4</v>
      </c>
      <c r="BM383" s="22">
        <f t="shared" si="105"/>
        <v>0</v>
      </c>
      <c r="BN383" s="23">
        <f t="shared" si="104"/>
        <v>1</v>
      </c>
      <c r="BO383" s="23" t="e">
        <f t="shared" si="104"/>
        <v>#DIV/0!</v>
      </c>
      <c r="BP383" s="7">
        <f>VLOOKUP(A383,[1]Sheet15!B:E,4,0)</f>
        <v>6</v>
      </c>
      <c r="BQ383" s="7">
        <f>VLOOKUP(A383,[1]Sheet15!B:E,3,0)</f>
        <v>0</v>
      </c>
    </row>
    <row r="384" spans="1:69" ht="22.5" customHeight="1" x14ac:dyDescent="0.25">
      <c r="A384" s="15" t="s">
        <v>985</v>
      </c>
      <c r="B384" s="15">
        <f>VLOOKUP(A384,'[1]Master clients'!F378:W3925,17,0)</f>
        <v>0</v>
      </c>
      <c r="C384" s="15" t="str">
        <f>VLOOKUP(A384,'[1]Master clients'!F378:P3925,11,0)</f>
        <v>NI</v>
      </c>
      <c r="D384" s="15" t="str">
        <f>VLOOKUP(A384,'[1]Master clients'!F:M,8,0)</f>
        <v>End User</v>
      </c>
      <c r="E384" s="16" t="s">
        <v>986</v>
      </c>
      <c r="F384" s="16" t="s">
        <v>976</v>
      </c>
      <c r="G384" s="17"/>
      <c r="H384" s="17"/>
      <c r="I384" s="26">
        <v>12</v>
      </c>
      <c r="J384" s="31">
        <v>0</v>
      </c>
      <c r="K384" s="17">
        <v>0</v>
      </c>
      <c r="L384" s="17">
        <v>0</v>
      </c>
      <c r="M384" s="17">
        <v>0</v>
      </c>
      <c r="N384" s="17">
        <v>0</v>
      </c>
      <c r="O384" s="17">
        <v>0</v>
      </c>
      <c r="P384" s="17">
        <v>0</v>
      </c>
      <c r="Q384" s="17">
        <v>0</v>
      </c>
      <c r="R384" s="17">
        <v>0</v>
      </c>
      <c r="S384" s="17">
        <v>0</v>
      </c>
      <c r="T384" s="17">
        <v>0</v>
      </c>
      <c r="U384" s="17">
        <v>0</v>
      </c>
      <c r="V384" s="17">
        <v>0</v>
      </c>
      <c r="W384" s="17">
        <v>0</v>
      </c>
      <c r="X384" s="17">
        <v>0</v>
      </c>
      <c r="Y384" s="17">
        <v>0</v>
      </c>
      <c r="Z384" s="17">
        <v>0</v>
      </c>
      <c r="AA384" s="17">
        <v>0</v>
      </c>
      <c r="AB384" s="17">
        <v>0</v>
      </c>
      <c r="AC384" s="17">
        <v>0</v>
      </c>
      <c r="AD384" s="17">
        <v>0</v>
      </c>
      <c r="AE384" s="17">
        <v>0</v>
      </c>
      <c r="AF384" s="17">
        <v>0</v>
      </c>
      <c r="AG384" s="17">
        <v>0</v>
      </c>
      <c r="AH384" s="17">
        <v>0</v>
      </c>
      <c r="AI384" s="17">
        <v>0</v>
      </c>
      <c r="AJ384" s="17">
        <v>0</v>
      </c>
      <c r="AK384" s="17">
        <v>0</v>
      </c>
      <c r="AL384" s="17">
        <v>0</v>
      </c>
      <c r="AM384" s="17">
        <v>0</v>
      </c>
      <c r="AN384" s="17">
        <v>0</v>
      </c>
      <c r="AO384" s="17">
        <v>0</v>
      </c>
      <c r="AP384" s="17">
        <v>0</v>
      </c>
      <c r="AQ384" s="17">
        <v>0</v>
      </c>
      <c r="AR384" s="17">
        <v>0</v>
      </c>
      <c r="AS384" s="17">
        <v>0</v>
      </c>
      <c r="AT384" s="17">
        <v>0</v>
      </c>
      <c r="AU384" s="17">
        <v>0</v>
      </c>
      <c r="AV384" s="17">
        <v>0</v>
      </c>
      <c r="AW384" s="17">
        <v>0</v>
      </c>
      <c r="AX384" s="17">
        <v>0</v>
      </c>
      <c r="AY384" s="17">
        <v>0</v>
      </c>
      <c r="AZ384" s="17">
        <v>0</v>
      </c>
      <c r="BA384" s="17">
        <v>0</v>
      </c>
      <c r="BB384" s="17">
        <v>0</v>
      </c>
      <c r="BC384" s="17">
        <v>0</v>
      </c>
      <c r="BD384" s="17">
        <v>0</v>
      </c>
      <c r="BE384" s="17">
        <v>0</v>
      </c>
      <c r="BF384" s="17">
        <v>0</v>
      </c>
      <c r="BG384" s="17">
        <v>0</v>
      </c>
      <c r="BH384" s="17">
        <v>0</v>
      </c>
      <c r="BI384" s="22">
        <f t="shared" si="106"/>
        <v>0</v>
      </c>
      <c r="BJ384" s="22">
        <f t="shared" si="107"/>
        <v>0</v>
      </c>
      <c r="BK384" s="22">
        <f t="shared" si="108"/>
        <v>12</v>
      </c>
      <c r="BL384" s="22">
        <f t="shared" si="109"/>
        <v>12</v>
      </c>
      <c r="BM384" s="22">
        <f t="shared" si="105"/>
        <v>0</v>
      </c>
      <c r="BN384" s="23">
        <f t="shared" si="104"/>
        <v>1</v>
      </c>
      <c r="BO384" s="23" t="e">
        <f t="shared" si="104"/>
        <v>#DIV/0!</v>
      </c>
      <c r="BP384" s="7">
        <f>VLOOKUP(A384,[1]Sheet15!B:E,4,0)</f>
        <v>12</v>
      </c>
      <c r="BQ384" s="7">
        <f>VLOOKUP(A384,[1]Sheet15!B:E,3,0)</f>
        <v>0</v>
      </c>
    </row>
    <row r="385" spans="1:69" ht="22.5" customHeight="1" x14ac:dyDescent="0.25">
      <c r="A385" s="15" t="s">
        <v>987</v>
      </c>
      <c r="B385" s="15">
        <f>VLOOKUP(A385,'[1]Master clients'!F379:W3926,17,0)</f>
        <v>0</v>
      </c>
      <c r="C385" s="15" t="str">
        <f>VLOOKUP(A385,'[1]Master clients'!F379:P3926,11,0)</f>
        <v>NI</v>
      </c>
      <c r="D385" s="15" t="str">
        <f>VLOOKUP(A385,'[1]Master clients'!F:M,8,0)</f>
        <v>End User</v>
      </c>
      <c r="E385" s="16" t="s">
        <v>988</v>
      </c>
      <c r="F385" s="16" t="s">
        <v>976</v>
      </c>
      <c r="G385" s="17"/>
      <c r="H385" s="17"/>
      <c r="I385" s="26">
        <v>14</v>
      </c>
      <c r="J385" s="31">
        <v>0</v>
      </c>
      <c r="K385" s="17">
        <v>0</v>
      </c>
      <c r="L385" s="17">
        <v>0</v>
      </c>
      <c r="M385" s="17">
        <v>0</v>
      </c>
      <c r="N385" s="17">
        <v>0</v>
      </c>
      <c r="O385" s="17">
        <v>0</v>
      </c>
      <c r="P385" s="17">
        <v>0</v>
      </c>
      <c r="Q385" s="17">
        <v>0</v>
      </c>
      <c r="R385" s="17">
        <v>0</v>
      </c>
      <c r="S385" s="17">
        <v>0</v>
      </c>
      <c r="T385" s="17">
        <v>0</v>
      </c>
      <c r="U385" s="17">
        <v>0</v>
      </c>
      <c r="V385" s="17">
        <v>0</v>
      </c>
      <c r="W385" s="17">
        <v>0</v>
      </c>
      <c r="X385" s="17">
        <v>0</v>
      </c>
      <c r="Y385" s="17">
        <v>0</v>
      </c>
      <c r="Z385" s="17">
        <v>0</v>
      </c>
      <c r="AA385" s="17">
        <v>0</v>
      </c>
      <c r="AB385" s="17">
        <v>0</v>
      </c>
      <c r="AC385" s="17">
        <v>0</v>
      </c>
      <c r="AD385" s="17">
        <v>0</v>
      </c>
      <c r="AE385" s="17">
        <v>0</v>
      </c>
      <c r="AF385" s="17">
        <v>0</v>
      </c>
      <c r="AG385" s="17">
        <v>0</v>
      </c>
      <c r="AH385" s="17">
        <v>0</v>
      </c>
      <c r="AI385" s="17">
        <v>0</v>
      </c>
      <c r="AJ385" s="17">
        <v>0</v>
      </c>
      <c r="AK385" s="17">
        <v>0</v>
      </c>
      <c r="AL385" s="17">
        <v>0</v>
      </c>
      <c r="AM385" s="17">
        <v>0</v>
      </c>
      <c r="AN385" s="17">
        <v>0</v>
      </c>
      <c r="AO385" s="17">
        <v>0</v>
      </c>
      <c r="AP385" s="17">
        <v>0</v>
      </c>
      <c r="AQ385" s="17">
        <v>0</v>
      </c>
      <c r="AR385" s="17">
        <v>0</v>
      </c>
      <c r="AS385" s="17">
        <v>0</v>
      </c>
      <c r="AT385" s="17">
        <v>0</v>
      </c>
      <c r="AU385" s="17">
        <v>0</v>
      </c>
      <c r="AV385" s="17">
        <v>0</v>
      </c>
      <c r="AW385" s="17">
        <v>0</v>
      </c>
      <c r="AX385" s="17">
        <v>0</v>
      </c>
      <c r="AY385" s="17">
        <v>0</v>
      </c>
      <c r="AZ385" s="17">
        <v>0</v>
      </c>
      <c r="BA385" s="17">
        <v>0</v>
      </c>
      <c r="BB385" s="17">
        <v>0</v>
      </c>
      <c r="BC385" s="17">
        <v>0</v>
      </c>
      <c r="BD385" s="17">
        <v>0</v>
      </c>
      <c r="BE385" s="17">
        <v>0</v>
      </c>
      <c r="BF385" s="17">
        <v>0</v>
      </c>
      <c r="BG385" s="17">
        <v>0</v>
      </c>
      <c r="BH385" s="17">
        <v>0</v>
      </c>
      <c r="BI385" s="22">
        <f t="shared" si="106"/>
        <v>0</v>
      </c>
      <c r="BJ385" s="22">
        <f t="shared" si="107"/>
        <v>0</v>
      </c>
      <c r="BK385" s="22">
        <f t="shared" si="108"/>
        <v>14</v>
      </c>
      <c r="BL385" s="22">
        <f t="shared" si="109"/>
        <v>14</v>
      </c>
      <c r="BM385" s="22">
        <f t="shared" si="105"/>
        <v>0</v>
      </c>
      <c r="BN385" s="23">
        <f t="shared" si="104"/>
        <v>1</v>
      </c>
      <c r="BO385" s="23" t="e">
        <f t="shared" si="104"/>
        <v>#DIV/0!</v>
      </c>
      <c r="BP385" s="7">
        <f>VLOOKUP(A385,[1]Sheet15!B:E,4,0)</f>
        <v>14</v>
      </c>
      <c r="BQ385" s="7">
        <f>VLOOKUP(A385,[1]Sheet15!B:E,3,0)</f>
        <v>0</v>
      </c>
    </row>
    <row r="386" spans="1:69" ht="22.5" customHeight="1" x14ac:dyDescent="0.25">
      <c r="A386" s="15" t="s">
        <v>989</v>
      </c>
      <c r="B386" s="15">
        <f>VLOOKUP(A386,'[1]Master clients'!F380:W3927,17,0)</f>
        <v>0</v>
      </c>
      <c r="C386" s="15" t="str">
        <f>VLOOKUP(A386,'[1]Master clients'!F380:P3927,11,0)</f>
        <v>NI</v>
      </c>
      <c r="D386" s="15" t="str">
        <f>VLOOKUP(A386,'[1]Master clients'!F:M,8,0)</f>
        <v>End User</v>
      </c>
      <c r="E386" s="16" t="s">
        <v>990</v>
      </c>
      <c r="F386" s="16" t="s">
        <v>976</v>
      </c>
      <c r="G386" s="17"/>
      <c r="H386" s="17"/>
      <c r="I386" s="26">
        <v>4</v>
      </c>
      <c r="J386" s="31">
        <v>0</v>
      </c>
      <c r="K386" s="17">
        <v>0</v>
      </c>
      <c r="L386" s="17">
        <v>0</v>
      </c>
      <c r="M386" s="17">
        <v>0</v>
      </c>
      <c r="N386" s="17">
        <v>0</v>
      </c>
      <c r="O386" s="17">
        <v>0</v>
      </c>
      <c r="P386" s="17">
        <v>0</v>
      </c>
      <c r="Q386" s="17">
        <v>0</v>
      </c>
      <c r="R386" s="17">
        <v>0</v>
      </c>
      <c r="S386" s="17">
        <v>0</v>
      </c>
      <c r="T386" s="17">
        <v>0</v>
      </c>
      <c r="U386" s="17">
        <v>0</v>
      </c>
      <c r="V386" s="17">
        <v>0</v>
      </c>
      <c r="W386" s="17">
        <v>0</v>
      </c>
      <c r="X386" s="17">
        <v>0</v>
      </c>
      <c r="Y386" s="17">
        <v>0</v>
      </c>
      <c r="Z386" s="17">
        <v>0</v>
      </c>
      <c r="AA386" s="17">
        <v>0</v>
      </c>
      <c r="AB386" s="17">
        <v>0</v>
      </c>
      <c r="AC386" s="17">
        <v>0</v>
      </c>
      <c r="AD386" s="17">
        <v>0</v>
      </c>
      <c r="AE386" s="17">
        <v>0</v>
      </c>
      <c r="AF386" s="17">
        <v>0</v>
      </c>
      <c r="AG386" s="17">
        <v>0</v>
      </c>
      <c r="AH386" s="17">
        <v>0</v>
      </c>
      <c r="AI386" s="17">
        <v>0</v>
      </c>
      <c r="AJ386" s="17">
        <v>0</v>
      </c>
      <c r="AK386" s="17">
        <v>0</v>
      </c>
      <c r="AL386" s="17">
        <v>0</v>
      </c>
      <c r="AM386" s="17">
        <v>0</v>
      </c>
      <c r="AN386" s="17">
        <v>0</v>
      </c>
      <c r="AO386" s="17">
        <v>0</v>
      </c>
      <c r="AP386" s="17">
        <v>0</v>
      </c>
      <c r="AQ386" s="17">
        <v>0</v>
      </c>
      <c r="AR386" s="17">
        <v>0</v>
      </c>
      <c r="AS386" s="17">
        <v>0</v>
      </c>
      <c r="AT386" s="17">
        <v>0</v>
      </c>
      <c r="AU386" s="17">
        <v>0</v>
      </c>
      <c r="AV386" s="17">
        <v>0</v>
      </c>
      <c r="AW386" s="17">
        <v>0</v>
      </c>
      <c r="AX386" s="17">
        <v>0</v>
      </c>
      <c r="AY386" s="17">
        <v>0</v>
      </c>
      <c r="AZ386" s="17">
        <v>0</v>
      </c>
      <c r="BA386" s="17">
        <v>0</v>
      </c>
      <c r="BB386" s="17">
        <v>0</v>
      </c>
      <c r="BC386" s="17">
        <v>0</v>
      </c>
      <c r="BD386" s="17">
        <v>0</v>
      </c>
      <c r="BE386" s="17">
        <v>0</v>
      </c>
      <c r="BF386" s="17">
        <v>0</v>
      </c>
      <c r="BG386" s="17">
        <v>0</v>
      </c>
      <c r="BH386" s="17">
        <v>0</v>
      </c>
      <c r="BI386" s="22">
        <f t="shared" si="106"/>
        <v>0</v>
      </c>
      <c r="BJ386" s="22">
        <f t="shared" si="107"/>
        <v>0</v>
      </c>
      <c r="BK386" s="22">
        <f t="shared" si="108"/>
        <v>4</v>
      </c>
      <c r="BL386" s="22">
        <f t="shared" si="109"/>
        <v>4</v>
      </c>
      <c r="BM386" s="22">
        <f t="shared" si="105"/>
        <v>0</v>
      </c>
      <c r="BN386" s="23">
        <f t="shared" si="104"/>
        <v>1</v>
      </c>
      <c r="BO386" s="23" t="e">
        <f t="shared" si="104"/>
        <v>#DIV/0!</v>
      </c>
      <c r="BP386" s="7">
        <f>VLOOKUP(A386,[1]Sheet15!B:E,4,0)</f>
        <v>4</v>
      </c>
      <c r="BQ386" s="7">
        <f>VLOOKUP(A386,[1]Sheet15!B:E,3,0)</f>
        <v>0</v>
      </c>
    </row>
    <row r="387" spans="1:69" ht="22.5" customHeight="1" x14ac:dyDescent="0.25">
      <c r="A387" s="15" t="s">
        <v>991</v>
      </c>
      <c r="B387" s="15">
        <f>VLOOKUP(A387,'[1]Master clients'!F381:W3928,17,0)</f>
        <v>0</v>
      </c>
      <c r="C387" s="15" t="str">
        <f>VLOOKUP(A387,'[1]Master clients'!F381:P3928,11,0)</f>
        <v>NI</v>
      </c>
      <c r="D387" s="15" t="str">
        <f>VLOOKUP(A387,'[1]Master clients'!F:M,8,0)</f>
        <v>End User</v>
      </c>
      <c r="E387" s="16" t="s">
        <v>992</v>
      </c>
      <c r="F387" s="16" t="s">
        <v>976</v>
      </c>
      <c r="G387" s="17"/>
      <c r="H387" s="17"/>
      <c r="I387" s="18">
        <v>4</v>
      </c>
      <c r="J387" s="18">
        <v>0</v>
      </c>
      <c r="K387" s="17">
        <v>0</v>
      </c>
      <c r="L387" s="17">
        <v>0</v>
      </c>
      <c r="M387" s="17">
        <v>0</v>
      </c>
      <c r="N387" s="17">
        <v>0</v>
      </c>
      <c r="O387" s="17">
        <v>0</v>
      </c>
      <c r="P387" s="17">
        <v>0</v>
      </c>
      <c r="Q387" s="17">
        <v>0</v>
      </c>
      <c r="R387" s="17">
        <v>0</v>
      </c>
      <c r="S387" s="17">
        <v>0</v>
      </c>
      <c r="T387" s="17">
        <v>0</v>
      </c>
      <c r="U387" s="17">
        <v>0</v>
      </c>
      <c r="V387" s="17">
        <v>0</v>
      </c>
      <c r="W387" s="17">
        <v>0</v>
      </c>
      <c r="X387" s="17">
        <v>0</v>
      </c>
      <c r="Y387" s="17">
        <v>0</v>
      </c>
      <c r="Z387" s="17">
        <v>0</v>
      </c>
      <c r="AA387" s="17">
        <v>0</v>
      </c>
      <c r="AB387" s="17">
        <v>0</v>
      </c>
      <c r="AC387" s="17">
        <v>0</v>
      </c>
      <c r="AD387" s="17">
        <v>0</v>
      </c>
      <c r="AE387" s="17">
        <v>0</v>
      </c>
      <c r="AF387" s="17">
        <v>0</v>
      </c>
      <c r="AG387" s="17">
        <v>0</v>
      </c>
      <c r="AH387" s="17">
        <v>0</v>
      </c>
      <c r="AI387" s="17">
        <v>0</v>
      </c>
      <c r="AJ387" s="17">
        <v>0</v>
      </c>
      <c r="AK387" s="17">
        <v>0</v>
      </c>
      <c r="AL387" s="17">
        <v>0</v>
      </c>
      <c r="AM387" s="17">
        <v>0</v>
      </c>
      <c r="AN387" s="17">
        <v>0</v>
      </c>
      <c r="AO387" s="17">
        <v>0</v>
      </c>
      <c r="AP387" s="17">
        <v>0</v>
      </c>
      <c r="AQ387" s="17">
        <v>0</v>
      </c>
      <c r="AR387" s="17">
        <v>0</v>
      </c>
      <c r="AS387" s="17">
        <v>0</v>
      </c>
      <c r="AT387" s="17">
        <v>0</v>
      </c>
      <c r="AU387" s="17">
        <v>0</v>
      </c>
      <c r="AV387" s="17">
        <v>0</v>
      </c>
      <c r="AW387" s="17">
        <v>0</v>
      </c>
      <c r="AX387" s="17">
        <v>0</v>
      </c>
      <c r="AY387" s="17">
        <v>0</v>
      </c>
      <c r="AZ387" s="17">
        <v>0</v>
      </c>
      <c r="BA387" s="17">
        <v>0</v>
      </c>
      <c r="BB387" s="17">
        <v>0</v>
      </c>
      <c r="BC387" s="17">
        <v>0</v>
      </c>
      <c r="BD387" s="17">
        <v>0</v>
      </c>
      <c r="BE387" s="17">
        <v>0</v>
      </c>
      <c r="BF387" s="17">
        <v>0</v>
      </c>
      <c r="BG387" s="17">
        <v>0</v>
      </c>
      <c r="BH387" s="17">
        <v>0</v>
      </c>
      <c r="BI387" s="22">
        <f t="shared" si="106"/>
        <v>0</v>
      </c>
      <c r="BJ387" s="22">
        <f t="shared" si="107"/>
        <v>0</v>
      </c>
      <c r="BK387" s="22">
        <f t="shared" si="108"/>
        <v>4</v>
      </c>
      <c r="BL387" s="22">
        <f t="shared" si="109"/>
        <v>4</v>
      </c>
      <c r="BM387" s="22">
        <f t="shared" si="105"/>
        <v>0</v>
      </c>
      <c r="BN387" s="23">
        <f t="shared" si="104"/>
        <v>1</v>
      </c>
      <c r="BO387" s="23" t="e">
        <f t="shared" si="104"/>
        <v>#DIV/0!</v>
      </c>
      <c r="BP387" s="7">
        <f>VLOOKUP(A387,[1]Sheet15!B:E,4,0)</f>
        <v>10</v>
      </c>
      <c r="BQ387" s="7">
        <f>VLOOKUP(A387,[1]Sheet15!B:E,3,0)</f>
        <v>0</v>
      </c>
    </row>
    <row r="388" spans="1:69" ht="22.5" customHeight="1" x14ac:dyDescent="0.25">
      <c r="A388" s="15" t="s">
        <v>993</v>
      </c>
      <c r="B388" s="15">
        <f>VLOOKUP(A388,'[1]Master clients'!F382:W3929,17,0)</f>
        <v>0</v>
      </c>
      <c r="C388" s="15" t="str">
        <f>VLOOKUP(A388,'[1]Master clients'!F382:P3929,11,0)</f>
        <v>NI</v>
      </c>
      <c r="D388" s="15" t="str">
        <f>VLOOKUP(A388,'[1]Master clients'!F:M,8,0)</f>
        <v>Head Office</v>
      </c>
      <c r="E388" s="16" t="s">
        <v>994</v>
      </c>
      <c r="F388" s="16" t="s">
        <v>976</v>
      </c>
      <c r="G388" s="17"/>
      <c r="H388" s="17"/>
      <c r="I388" s="26">
        <v>4</v>
      </c>
      <c r="J388" s="31">
        <v>0</v>
      </c>
      <c r="K388" s="17">
        <v>0</v>
      </c>
      <c r="L388" s="17">
        <v>0</v>
      </c>
      <c r="M388" s="17">
        <v>0</v>
      </c>
      <c r="N388" s="17">
        <v>0</v>
      </c>
      <c r="O388" s="17">
        <v>0</v>
      </c>
      <c r="P388" s="17">
        <v>0</v>
      </c>
      <c r="Q388" s="17">
        <v>0</v>
      </c>
      <c r="R388" s="17">
        <v>0</v>
      </c>
      <c r="S388" s="17">
        <v>0</v>
      </c>
      <c r="T388" s="17">
        <v>0</v>
      </c>
      <c r="U388" s="17">
        <v>0</v>
      </c>
      <c r="V388" s="17">
        <v>0</v>
      </c>
      <c r="W388" s="17">
        <v>0</v>
      </c>
      <c r="X388" s="17">
        <v>0</v>
      </c>
      <c r="Y388" s="17">
        <v>0</v>
      </c>
      <c r="Z388" s="17">
        <v>0</v>
      </c>
      <c r="AA388" s="17">
        <v>0</v>
      </c>
      <c r="AB388" s="17">
        <v>0</v>
      </c>
      <c r="AC388" s="17">
        <v>0</v>
      </c>
      <c r="AD388" s="17">
        <v>0</v>
      </c>
      <c r="AE388" s="17">
        <v>0</v>
      </c>
      <c r="AF388" s="17">
        <v>0</v>
      </c>
      <c r="AG388" s="17">
        <v>0</v>
      </c>
      <c r="AH388" s="17">
        <v>0</v>
      </c>
      <c r="AI388" s="17">
        <v>0</v>
      </c>
      <c r="AJ388" s="17">
        <v>0</v>
      </c>
      <c r="AK388" s="17">
        <v>0</v>
      </c>
      <c r="AL388" s="17">
        <v>0</v>
      </c>
      <c r="AM388" s="17">
        <v>0</v>
      </c>
      <c r="AN388" s="17">
        <v>0</v>
      </c>
      <c r="AO388" s="17">
        <v>0</v>
      </c>
      <c r="AP388" s="17">
        <v>0</v>
      </c>
      <c r="AQ388" s="17">
        <v>0</v>
      </c>
      <c r="AR388" s="17">
        <v>0</v>
      </c>
      <c r="AS388" s="17">
        <v>0</v>
      </c>
      <c r="AT388" s="17">
        <v>0</v>
      </c>
      <c r="AU388" s="17">
        <v>0</v>
      </c>
      <c r="AV388" s="17">
        <v>0</v>
      </c>
      <c r="AW388" s="17">
        <v>0</v>
      </c>
      <c r="AX388" s="17">
        <v>0</v>
      </c>
      <c r="AY388" s="17">
        <v>0</v>
      </c>
      <c r="AZ388" s="17">
        <v>0</v>
      </c>
      <c r="BA388" s="17">
        <v>0</v>
      </c>
      <c r="BB388" s="17">
        <v>0</v>
      </c>
      <c r="BC388" s="17">
        <v>0</v>
      </c>
      <c r="BD388" s="17">
        <v>0</v>
      </c>
      <c r="BE388" s="17">
        <v>0</v>
      </c>
      <c r="BF388" s="17">
        <v>0</v>
      </c>
      <c r="BG388" s="17">
        <v>0</v>
      </c>
      <c r="BH388" s="17">
        <v>0</v>
      </c>
      <c r="BI388" s="22">
        <f t="shared" si="106"/>
        <v>0</v>
      </c>
      <c r="BJ388" s="22">
        <f t="shared" si="107"/>
        <v>0</v>
      </c>
      <c r="BK388" s="22">
        <f t="shared" si="108"/>
        <v>4</v>
      </c>
      <c r="BL388" s="22">
        <f t="shared" si="109"/>
        <v>4</v>
      </c>
      <c r="BM388" s="22">
        <f t="shared" si="105"/>
        <v>0</v>
      </c>
      <c r="BN388" s="23">
        <f t="shared" si="104"/>
        <v>1</v>
      </c>
      <c r="BO388" s="23" t="e">
        <f t="shared" si="104"/>
        <v>#DIV/0!</v>
      </c>
      <c r="BP388" s="7">
        <f>VLOOKUP(A388,[1]Sheet15!B:E,4,0)</f>
        <v>4</v>
      </c>
      <c r="BQ388" s="7">
        <f>VLOOKUP(A388,[1]Sheet15!B:E,3,0)</f>
        <v>0</v>
      </c>
    </row>
    <row r="389" spans="1:69" ht="22.5" customHeight="1" x14ac:dyDescent="0.25">
      <c r="A389" s="15" t="s">
        <v>995</v>
      </c>
      <c r="B389" s="15">
        <f>VLOOKUP(A389,'[1]Master clients'!F383:W3930,17,0)</f>
        <v>0</v>
      </c>
      <c r="C389" s="15" t="str">
        <f>VLOOKUP(A389,'[1]Master clients'!F383:P3930,11,0)</f>
        <v>NI</v>
      </c>
      <c r="D389" s="15" t="str">
        <f>VLOOKUP(A389,'[1]Master clients'!F:M,8,0)</f>
        <v>End User</v>
      </c>
      <c r="E389" s="16" t="s">
        <v>996</v>
      </c>
      <c r="F389" s="16" t="s">
        <v>976</v>
      </c>
      <c r="G389" s="17"/>
      <c r="H389" s="17"/>
      <c r="I389" s="26">
        <v>1</v>
      </c>
      <c r="J389" s="31">
        <v>0</v>
      </c>
      <c r="K389" s="17">
        <v>0</v>
      </c>
      <c r="L389" s="17">
        <v>0</v>
      </c>
      <c r="M389" s="17">
        <v>0</v>
      </c>
      <c r="N389" s="17">
        <v>0</v>
      </c>
      <c r="O389" s="17">
        <v>0</v>
      </c>
      <c r="P389" s="17">
        <v>0</v>
      </c>
      <c r="Q389" s="17">
        <v>0</v>
      </c>
      <c r="R389" s="17">
        <v>0</v>
      </c>
      <c r="S389" s="17">
        <v>0</v>
      </c>
      <c r="T389" s="17">
        <v>0</v>
      </c>
      <c r="U389" s="17">
        <v>0</v>
      </c>
      <c r="V389" s="17">
        <v>0</v>
      </c>
      <c r="W389" s="17">
        <v>0</v>
      </c>
      <c r="X389" s="17">
        <v>0</v>
      </c>
      <c r="Y389" s="17">
        <v>0</v>
      </c>
      <c r="Z389" s="17">
        <v>0</v>
      </c>
      <c r="AA389" s="17">
        <v>0</v>
      </c>
      <c r="AB389" s="17">
        <v>0</v>
      </c>
      <c r="AC389" s="17">
        <v>0</v>
      </c>
      <c r="AD389" s="17">
        <v>0</v>
      </c>
      <c r="AE389" s="17">
        <v>0</v>
      </c>
      <c r="AF389" s="17">
        <v>0</v>
      </c>
      <c r="AG389" s="17">
        <v>0</v>
      </c>
      <c r="AH389" s="17">
        <v>0</v>
      </c>
      <c r="AI389" s="17">
        <v>0</v>
      </c>
      <c r="AJ389" s="17">
        <v>0</v>
      </c>
      <c r="AK389" s="17">
        <v>0</v>
      </c>
      <c r="AL389" s="17">
        <v>0</v>
      </c>
      <c r="AM389" s="17">
        <v>0</v>
      </c>
      <c r="AN389" s="17">
        <v>0</v>
      </c>
      <c r="AO389" s="17">
        <v>0</v>
      </c>
      <c r="AP389" s="17">
        <v>0</v>
      </c>
      <c r="AQ389" s="17">
        <v>0</v>
      </c>
      <c r="AR389" s="17">
        <v>0</v>
      </c>
      <c r="AS389" s="17">
        <v>0</v>
      </c>
      <c r="AT389" s="17">
        <v>0</v>
      </c>
      <c r="AU389" s="17">
        <v>0</v>
      </c>
      <c r="AV389" s="17">
        <v>0</v>
      </c>
      <c r="AW389" s="17">
        <v>0</v>
      </c>
      <c r="AX389" s="17">
        <v>0</v>
      </c>
      <c r="AY389" s="17">
        <v>0</v>
      </c>
      <c r="AZ389" s="17">
        <v>0</v>
      </c>
      <c r="BA389" s="17">
        <v>0</v>
      </c>
      <c r="BB389" s="17">
        <v>0</v>
      </c>
      <c r="BC389" s="17">
        <v>0</v>
      </c>
      <c r="BD389" s="17">
        <v>0</v>
      </c>
      <c r="BE389" s="17">
        <v>0</v>
      </c>
      <c r="BF389" s="17">
        <v>0</v>
      </c>
      <c r="BG389" s="17">
        <v>0</v>
      </c>
      <c r="BH389" s="17">
        <v>0</v>
      </c>
      <c r="BI389" s="22">
        <f t="shared" si="106"/>
        <v>0</v>
      </c>
      <c r="BJ389" s="22">
        <f t="shared" si="107"/>
        <v>0</v>
      </c>
      <c r="BK389" s="22">
        <f t="shared" si="108"/>
        <v>1</v>
      </c>
      <c r="BL389" s="22">
        <f t="shared" si="109"/>
        <v>1</v>
      </c>
      <c r="BM389" s="22">
        <f t="shared" si="105"/>
        <v>0</v>
      </c>
      <c r="BN389" s="23">
        <f t="shared" ref="BN389:BO404" si="110">I389/BL389</f>
        <v>1</v>
      </c>
      <c r="BO389" s="23" t="e">
        <f t="shared" si="110"/>
        <v>#DIV/0!</v>
      </c>
      <c r="BP389" s="7">
        <f>VLOOKUP(A389,[1]Sheet15!B:E,4,0)</f>
        <v>1</v>
      </c>
      <c r="BQ389" s="7">
        <f>VLOOKUP(A389,[1]Sheet15!B:E,3,0)</f>
        <v>0</v>
      </c>
    </row>
    <row r="390" spans="1:69" ht="22.5" customHeight="1" x14ac:dyDescent="0.25">
      <c r="A390" s="15" t="s">
        <v>997</v>
      </c>
      <c r="B390" s="15">
        <f>VLOOKUP(A390,'[1]Master clients'!F384:W3931,17,0)</f>
        <v>0</v>
      </c>
      <c r="C390" s="15" t="str">
        <f>VLOOKUP(A390,'[1]Master clients'!F384:P3931,11,0)</f>
        <v>NI</v>
      </c>
      <c r="D390" s="15" t="str">
        <f>VLOOKUP(A390,'[1]Master clients'!F:M,8,0)</f>
        <v>End User</v>
      </c>
      <c r="E390" s="16" t="s">
        <v>998</v>
      </c>
      <c r="F390" s="16" t="s">
        <v>976</v>
      </c>
      <c r="G390" s="17"/>
      <c r="H390" s="17"/>
      <c r="I390" s="26">
        <v>3</v>
      </c>
      <c r="J390" s="31">
        <v>0</v>
      </c>
      <c r="K390" s="17">
        <v>0</v>
      </c>
      <c r="L390" s="17">
        <v>0</v>
      </c>
      <c r="M390" s="17">
        <v>0</v>
      </c>
      <c r="N390" s="17">
        <v>0</v>
      </c>
      <c r="O390" s="17">
        <v>0</v>
      </c>
      <c r="P390" s="17">
        <v>0</v>
      </c>
      <c r="Q390" s="17">
        <v>0</v>
      </c>
      <c r="R390" s="17">
        <v>0</v>
      </c>
      <c r="S390" s="17">
        <v>0</v>
      </c>
      <c r="T390" s="17">
        <v>0</v>
      </c>
      <c r="U390" s="17">
        <v>0</v>
      </c>
      <c r="V390" s="17">
        <v>0</v>
      </c>
      <c r="W390" s="17">
        <v>0</v>
      </c>
      <c r="X390" s="17">
        <v>0</v>
      </c>
      <c r="Y390" s="17">
        <v>0</v>
      </c>
      <c r="Z390" s="17">
        <v>0</v>
      </c>
      <c r="AA390" s="17">
        <v>0</v>
      </c>
      <c r="AB390" s="17">
        <v>0</v>
      </c>
      <c r="AC390" s="17">
        <v>0</v>
      </c>
      <c r="AD390" s="17">
        <v>0</v>
      </c>
      <c r="AE390" s="17">
        <v>0</v>
      </c>
      <c r="AF390" s="17">
        <v>0</v>
      </c>
      <c r="AG390" s="17">
        <v>0</v>
      </c>
      <c r="AH390" s="17">
        <v>0</v>
      </c>
      <c r="AI390" s="17">
        <v>0</v>
      </c>
      <c r="AJ390" s="17">
        <v>0</v>
      </c>
      <c r="AK390" s="17">
        <v>0</v>
      </c>
      <c r="AL390" s="17">
        <v>0</v>
      </c>
      <c r="AM390" s="17">
        <v>0</v>
      </c>
      <c r="AN390" s="17">
        <v>0</v>
      </c>
      <c r="AO390" s="17">
        <v>0</v>
      </c>
      <c r="AP390" s="17">
        <v>0</v>
      </c>
      <c r="AQ390" s="17">
        <v>0</v>
      </c>
      <c r="AR390" s="17">
        <v>0</v>
      </c>
      <c r="AS390" s="17">
        <v>0</v>
      </c>
      <c r="AT390" s="17">
        <v>0</v>
      </c>
      <c r="AU390" s="17">
        <v>0</v>
      </c>
      <c r="AV390" s="17">
        <v>0</v>
      </c>
      <c r="AW390" s="17">
        <v>0</v>
      </c>
      <c r="AX390" s="17">
        <v>0</v>
      </c>
      <c r="AY390" s="17">
        <v>0</v>
      </c>
      <c r="AZ390" s="17">
        <v>0</v>
      </c>
      <c r="BA390" s="17">
        <v>0</v>
      </c>
      <c r="BB390" s="17">
        <v>0</v>
      </c>
      <c r="BC390" s="17">
        <v>0</v>
      </c>
      <c r="BD390" s="17">
        <v>0</v>
      </c>
      <c r="BE390" s="17">
        <v>0</v>
      </c>
      <c r="BF390" s="17">
        <v>0</v>
      </c>
      <c r="BG390" s="17">
        <v>0</v>
      </c>
      <c r="BH390" s="17">
        <v>0</v>
      </c>
      <c r="BI390" s="22">
        <f t="shared" si="106"/>
        <v>0</v>
      </c>
      <c r="BJ390" s="22">
        <f t="shared" si="107"/>
        <v>0</v>
      </c>
      <c r="BK390" s="28">
        <f t="shared" si="108"/>
        <v>3</v>
      </c>
      <c r="BL390" s="22">
        <f t="shared" si="109"/>
        <v>3</v>
      </c>
      <c r="BM390" s="22">
        <f t="shared" si="105"/>
        <v>0</v>
      </c>
      <c r="BN390" s="23">
        <f t="shared" si="110"/>
        <v>1</v>
      </c>
      <c r="BO390" s="23" t="e">
        <f t="shared" si="110"/>
        <v>#DIV/0!</v>
      </c>
      <c r="BP390" s="7">
        <f>VLOOKUP(A390,[1]Sheet15!B:E,4,0)</f>
        <v>3</v>
      </c>
      <c r="BQ390" s="7">
        <f>VLOOKUP(A390,[1]Sheet15!B:E,3,0)</f>
        <v>0</v>
      </c>
    </row>
    <row r="391" spans="1:69" ht="22.5" customHeight="1" x14ac:dyDescent="0.25">
      <c r="A391" s="15" t="s">
        <v>999</v>
      </c>
      <c r="B391" s="15">
        <f>VLOOKUP(A391,'[1]Master clients'!F385:W3932,17,0)</f>
        <v>0</v>
      </c>
      <c r="C391" s="15" t="str">
        <f>VLOOKUP(A391,'[1]Master clients'!F385:P3932,11,0)</f>
        <v>NI</v>
      </c>
      <c r="D391" s="15" t="str">
        <f>VLOOKUP(A391,'[1]Master clients'!F:M,8,0)</f>
        <v>End User</v>
      </c>
      <c r="E391" s="24" t="s">
        <v>1000</v>
      </c>
      <c r="F391" s="25" t="s">
        <v>976</v>
      </c>
      <c r="G391" s="20"/>
      <c r="H391" s="20"/>
      <c r="I391" s="26">
        <v>1</v>
      </c>
      <c r="J391" s="26">
        <v>0</v>
      </c>
      <c r="K391" s="20">
        <v>0</v>
      </c>
      <c r="L391" s="20">
        <v>0</v>
      </c>
      <c r="M391" s="20">
        <v>0</v>
      </c>
      <c r="N391" s="20">
        <v>0</v>
      </c>
      <c r="O391" s="20">
        <v>0</v>
      </c>
      <c r="P391" s="20">
        <v>0</v>
      </c>
      <c r="Q391" s="20">
        <v>0</v>
      </c>
      <c r="R391" s="20">
        <v>0</v>
      </c>
      <c r="S391" s="20">
        <v>0</v>
      </c>
      <c r="T391" s="20">
        <v>0</v>
      </c>
      <c r="U391" s="20">
        <v>0</v>
      </c>
      <c r="V391" s="20">
        <v>0</v>
      </c>
      <c r="W391" s="20">
        <v>0</v>
      </c>
      <c r="X391" s="20">
        <v>0</v>
      </c>
      <c r="Y391" s="20">
        <v>0</v>
      </c>
      <c r="Z391" s="20">
        <v>0</v>
      </c>
      <c r="AA391" s="20">
        <v>0</v>
      </c>
      <c r="AB391" s="20">
        <v>0</v>
      </c>
      <c r="AC391" s="20">
        <v>0</v>
      </c>
      <c r="AD391" s="20">
        <v>0</v>
      </c>
      <c r="AE391" s="20">
        <v>0</v>
      </c>
      <c r="AF391" s="20">
        <v>0</v>
      </c>
      <c r="AG391" s="20">
        <v>0</v>
      </c>
      <c r="AH391" s="20">
        <v>0</v>
      </c>
      <c r="AI391" s="20">
        <v>0</v>
      </c>
      <c r="AJ391" s="20">
        <v>0</v>
      </c>
      <c r="AK391" s="20">
        <v>0</v>
      </c>
      <c r="AL391" s="20">
        <v>0</v>
      </c>
      <c r="AM391" s="20">
        <v>0</v>
      </c>
      <c r="AN391" s="20">
        <v>0</v>
      </c>
      <c r="AO391" s="20">
        <v>0</v>
      </c>
      <c r="AP391" s="20">
        <v>0</v>
      </c>
      <c r="AQ391" s="20">
        <v>0</v>
      </c>
      <c r="AR391" s="20">
        <v>0</v>
      </c>
      <c r="AS391" s="20">
        <v>0</v>
      </c>
      <c r="AT391" s="20">
        <v>0</v>
      </c>
      <c r="AU391" s="20">
        <v>0</v>
      </c>
      <c r="AV391" s="20">
        <v>0</v>
      </c>
      <c r="AW391" s="20">
        <v>0</v>
      </c>
      <c r="AX391" s="20">
        <v>0</v>
      </c>
      <c r="AY391" s="20">
        <v>0</v>
      </c>
      <c r="AZ391" s="20">
        <v>0</v>
      </c>
      <c r="BA391" s="20">
        <v>0</v>
      </c>
      <c r="BB391" s="27">
        <v>0</v>
      </c>
      <c r="BC391" s="20">
        <v>0</v>
      </c>
      <c r="BD391" s="20">
        <v>0</v>
      </c>
      <c r="BE391" s="21">
        <v>0</v>
      </c>
      <c r="BF391" s="21">
        <v>0</v>
      </c>
      <c r="BG391" s="20">
        <v>0</v>
      </c>
      <c r="BH391" s="20">
        <v>0</v>
      </c>
      <c r="BI391" s="22">
        <f t="shared" si="106"/>
        <v>0</v>
      </c>
      <c r="BJ391" s="22">
        <f t="shared" si="107"/>
        <v>0</v>
      </c>
      <c r="BK391" s="28">
        <f t="shared" si="108"/>
        <v>1</v>
      </c>
      <c r="BL391" s="22">
        <f t="shared" si="109"/>
        <v>1</v>
      </c>
      <c r="BM391" s="22">
        <f t="shared" si="105"/>
        <v>0</v>
      </c>
      <c r="BN391" s="23">
        <f t="shared" si="110"/>
        <v>1</v>
      </c>
      <c r="BO391" s="23" t="e">
        <f t="shared" si="110"/>
        <v>#DIV/0!</v>
      </c>
      <c r="BP391" s="7">
        <f>VLOOKUP(A391,[1]Sheet15!B:E,4,0)</f>
        <v>1</v>
      </c>
      <c r="BQ391" s="7">
        <f>VLOOKUP(A391,[1]Sheet15!B:E,3,0)</f>
        <v>0</v>
      </c>
    </row>
    <row r="392" spans="1:69" ht="22.5" customHeight="1" x14ac:dyDescent="0.25">
      <c r="A392" s="15" t="s">
        <v>1001</v>
      </c>
      <c r="B392" s="15">
        <f>VLOOKUP(A392,'[1]Master clients'!F386:W3933,17,0)</f>
        <v>0</v>
      </c>
      <c r="C392" s="15" t="str">
        <f>VLOOKUP(A392,'[1]Master clients'!F386:P3933,11,0)</f>
        <v>NI</v>
      </c>
      <c r="D392" s="15" t="str">
        <f>VLOOKUP(A392,'[1]Master clients'!F:M,8,0)</f>
        <v>End User</v>
      </c>
      <c r="E392" s="24" t="s">
        <v>1002</v>
      </c>
      <c r="F392" s="25" t="s">
        <v>976</v>
      </c>
      <c r="G392" s="20"/>
      <c r="H392" s="20"/>
      <c r="I392" s="26">
        <v>1</v>
      </c>
      <c r="J392" s="26">
        <v>0</v>
      </c>
      <c r="K392" s="20">
        <v>0</v>
      </c>
      <c r="L392" s="20">
        <v>0</v>
      </c>
      <c r="M392" s="20">
        <v>0</v>
      </c>
      <c r="N392" s="20">
        <v>0</v>
      </c>
      <c r="O392" s="20">
        <v>0</v>
      </c>
      <c r="P392" s="20">
        <v>0</v>
      </c>
      <c r="Q392" s="20">
        <v>0</v>
      </c>
      <c r="R392" s="20">
        <v>0</v>
      </c>
      <c r="S392" s="20">
        <v>0</v>
      </c>
      <c r="T392" s="20">
        <v>0</v>
      </c>
      <c r="U392" s="20">
        <v>0</v>
      </c>
      <c r="V392" s="20">
        <v>0</v>
      </c>
      <c r="W392" s="20">
        <v>0</v>
      </c>
      <c r="X392" s="20">
        <v>0</v>
      </c>
      <c r="Y392" s="20">
        <v>0</v>
      </c>
      <c r="Z392" s="20">
        <v>0</v>
      </c>
      <c r="AA392" s="20">
        <v>0</v>
      </c>
      <c r="AB392" s="20">
        <v>0</v>
      </c>
      <c r="AC392" s="20">
        <v>0</v>
      </c>
      <c r="AD392" s="20">
        <v>0</v>
      </c>
      <c r="AE392" s="20">
        <v>0</v>
      </c>
      <c r="AF392" s="20">
        <v>0</v>
      </c>
      <c r="AG392" s="20">
        <v>0</v>
      </c>
      <c r="AH392" s="20">
        <v>0</v>
      </c>
      <c r="AI392" s="20">
        <v>0</v>
      </c>
      <c r="AJ392" s="20">
        <v>0</v>
      </c>
      <c r="AK392" s="20">
        <v>0</v>
      </c>
      <c r="AL392" s="20">
        <v>0</v>
      </c>
      <c r="AM392" s="20">
        <v>0</v>
      </c>
      <c r="AN392" s="20">
        <v>0</v>
      </c>
      <c r="AO392" s="20">
        <v>0</v>
      </c>
      <c r="AP392" s="20">
        <v>0</v>
      </c>
      <c r="AQ392" s="20">
        <v>0</v>
      </c>
      <c r="AR392" s="20">
        <v>0</v>
      </c>
      <c r="AS392" s="20">
        <v>0</v>
      </c>
      <c r="AT392" s="20">
        <v>0</v>
      </c>
      <c r="AU392" s="20">
        <v>0</v>
      </c>
      <c r="AV392" s="20">
        <v>0</v>
      </c>
      <c r="AW392" s="20">
        <v>0</v>
      </c>
      <c r="AX392" s="20">
        <v>0</v>
      </c>
      <c r="AY392" s="20">
        <v>0</v>
      </c>
      <c r="AZ392" s="20">
        <v>0</v>
      </c>
      <c r="BA392" s="20">
        <v>0</v>
      </c>
      <c r="BB392" s="27">
        <v>0</v>
      </c>
      <c r="BC392" s="20">
        <v>0</v>
      </c>
      <c r="BD392" s="20">
        <v>0</v>
      </c>
      <c r="BE392" s="21">
        <v>0</v>
      </c>
      <c r="BF392" s="21">
        <v>0</v>
      </c>
      <c r="BG392" s="20">
        <v>0</v>
      </c>
      <c r="BH392" s="20">
        <v>0</v>
      </c>
      <c r="BI392" s="22">
        <f t="shared" si="106"/>
        <v>0</v>
      </c>
      <c r="BJ392" s="22">
        <f t="shared" si="107"/>
        <v>0</v>
      </c>
      <c r="BK392" s="28">
        <f t="shared" si="108"/>
        <v>1</v>
      </c>
      <c r="BL392" s="22">
        <f t="shared" si="109"/>
        <v>1</v>
      </c>
      <c r="BM392" s="22">
        <f t="shared" si="105"/>
        <v>0</v>
      </c>
      <c r="BN392" s="23">
        <f t="shared" si="110"/>
        <v>1</v>
      </c>
      <c r="BO392" s="23" t="e">
        <f t="shared" si="110"/>
        <v>#DIV/0!</v>
      </c>
      <c r="BP392" s="7">
        <f>VLOOKUP(A392,[1]Sheet15!B:E,4,0)</f>
        <v>1</v>
      </c>
      <c r="BQ392" s="7">
        <f>VLOOKUP(A392,[1]Sheet15!B:E,3,0)</f>
        <v>0</v>
      </c>
    </row>
    <row r="393" spans="1:69" ht="22.5" customHeight="1" x14ac:dyDescent="0.25">
      <c r="A393" s="15" t="s">
        <v>1003</v>
      </c>
      <c r="B393" s="15">
        <f>VLOOKUP(A393,'[1]Master clients'!F387:W3934,17,0)</f>
        <v>0</v>
      </c>
      <c r="C393" s="15" t="str">
        <f>VLOOKUP(A393,'[1]Master clients'!F387:P3934,11,0)</f>
        <v>NI</v>
      </c>
      <c r="D393" s="15" t="str">
        <f>VLOOKUP(A393,'[1]Master clients'!F:M,8,0)</f>
        <v>End User</v>
      </c>
      <c r="E393" s="24" t="s">
        <v>1004</v>
      </c>
      <c r="F393" s="25" t="s">
        <v>1005</v>
      </c>
      <c r="G393" s="20">
        <v>0</v>
      </c>
      <c r="H393" s="20">
        <v>0</v>
      </c>
      <c r="I393" s="26">
        <v>3</v>
      </c>
      <c r="J393" s="26">
        <v>0</v>
      </c>
      <c r="K393" s="20">
        <v>0</v>
      </c>
      <c r="L393" s="20">
        <v>0</v>
      </c>
      <c r="M393" s="20">
        <v>0</v>
      </c>
      <c r="N393" s="20">
        <v>0</v>
      </c>
      <c r="O393" s="20">
        <v>8</v>
      </c>
      <c r="P393" s="20">
        <v>0</v>
      </c>
      <c r="Q393" s="20">
        <v>0</v>
      </c>
      <c r="R393" s="20">
        <v>0</v>
      </c>
      <c r="S393" s="20">
        <v>0</v>
      </c>
      <c r="T393" s="20">
        <v>0</v>
      </c>
      <c r="U393" s="20">
        <v>0</v>
      </c>
      <c r="V393" s="20">
        <v>0</v>
      </c>
      <c r="W393" s="20">
        <v>0</v>
      </c>
      <c r="X393" s="20">
        <v>0</v>
      </c>
      <c r="Y393" s="20">
        <v>0</v>
      </c>
      <c r="Z393" s="20">
        <v>0</v>
      </c>
      <c r="AA393" s="20">
        <v>0</v>
      </c>
      <c r="AB393" s="20">
        <v>0</v>
      </c>
      <c r="AC393" s="20">
        <v>0</v>
      </c>
      <c r="AD393" s="20">
        <v>0</v>
      </c>
      <c r="AE393" s="20">
        <v>0</v>
      </c>
      <c r="AF393" s="20">
        <v>0</v>
      </c>
      <c r="AG393" s="20">
        <v>0</v>
      </c>
      <c r="AH393" s="20">
        <v>0</v>
      </c>
      <c r="AI393" s="20">
        <v>0</v>
      </c>
      <c r="AJ393" s="20">
        <v>10</v>
      </c>
      <c r="AK393" s="20">
        <v>0</v>
      </c>
      <c r="AL393" s="20">
        <v>0</v>
      </c>
      <c r="AM393" s="20">
        <v>0</v>
      </c>
      <c r="AN393" s="20">
        <v>0</v>
      </c>
      <c r="AO393" s="20">
        <v>0</v>
      </c>
      <c r="AP393" s="20">
        <v>0</v>
      </c>
      <c r="AQ393" s="20">
        <v>0</v>
      </c>
      <c r="AR393" s="20">
        <v>0</v>
      </c>
      <c r="AS393" s="20">
        <v>0</v>
      </c>
      <c r="AT393" s="20">
        <v>0</v>
      </c>
      <c r="AU393" s="20">
        <v>0</v>
      </c>
      <c r="AV393" s="20">
        <v>0</v>
      </c>
      <c r="AW393" s="20">
        <v>0</v>
      </c>
      <c r="AX393" s="20">
        <v>0</v>
      </c>
      <c r="AY393" s="20">
        <v>0</v>
      </c>
      <c r="AZ393" s="20">
        <v>0</v>
      </c>
      <c r="BA393" s="20">
        <v>0</v>
      </c>
      <c r="BB393" s="27">
        <v>0</v>
      </c>
      <c r="BC393" s="20">
        <v>0</v>
      </c>
      <c r="BD393" s="20">
        <v>0</v>
      </c>
      <c r="BE393" s="21">
        <v>0</v>
      </c>
      <c r="BF393" s="21">
        <v>0</v>
      </c>
      <c r="BG393" s="20">
        <v>0</v>
      </c>
      <c r="BH393" s="20">
        <v>0</v>
      </c>
      <c r="BI393" s="22">
        <f t="shared" si="106"/>
        <v>10</v>
      </c>
      <c r="BJ393" s="22">
        <f t="shared" si="107"/>
        <v>8</v>
      </c>
      <c r="BK393" s="28">
        <f t="shared" si="108"/>
        <v>21</v>
      </c>
      <c r="BL393" s="22">
        <f t="shared" si="109"/>
        <v>13</v>
      </c>
      <c r="BM393" s="22">
        <f t="shared" si="105"/>
        <v>8</v>
      </c>
      <c r="BN393" s="23">
        <f t="shared" si="110"/>
        <v>0.23076923076923078</v>
      </c>
      <c r="BO393" s="23">
        <f t="shared" si="110"/>
        <v>0</v>
      </c>
      <c r="BP393" s="7">
        <f>VLOOKUP(A393,[1]Sheet15!B:E,4,0)</f>
        <v>10</v>
      </c>
      <c r="BQ393" s="7">
        <f>VLOOKUP(A393,[1]Sheet15!B:E,3,0)</f>
        <v>0</v>
      </c>
    </row>
    <row r="394" spans="1:69" ht="22.5" customHeight="1" x14ac:dyDescent="0.25">
      <c r="A394" s="15" t="s">
        <v>1006</v>
      </c>
      <c r="B394" s="15">
        <f>VLOOKUP(A394,'[1]Master clients'!F388:W3935,17,0)</f>
        <v>0</v>
      </c>
      <c r="C394" s="15" t="str">
        <f>VLOOKUP(A394,'[1]Master clients'!F388:P3935,11,0)</f>
        <v>NI</v>
      </c>
      <c r="D394" s="15" t="str">
        <f>VLOOKUP(A394,'[1]Master clients'!F:M,8,0)</f>
        <v>End User</v>
      </c>
      <c r="E394" s="24" t="s">
        <v>1007</v>
      </c>
      <c r="F394" s="25" t="s">
        <v>1005</v>
      </c>
      <c r="G394" s="20">
        <v>0</v>
      </c>
      <c r="H394" s="20">
        <v>0</v>
      </c>
      <c r="I394" s="26">
        <v>11</v>
      </c>
      <c r="J394" s="26">
        <v>0</v>
      </c>
      <c r="K394" s="20">
        <v>0</v>
      </c>
      <c r="L394" s="20">
        <v>0</v>
      </c>
      <c r="M394" s="20">
        <v>0</v>
      </c>
      <c r="N394" s="20">
        <v>6</v>
      </c>
      <c r="O394" s="20">
        <v>0</v>
      </c>
      <c r="P394" s="20">
        <v>0</v>
      </c>
      <c r="Q394" s="20">
        <v>0</v>
      </c>
      <c r="R394" s="20">
        <v>0</v>
      </c>
      <c r="S394" s="20">
        <v>0</v>
      </c>
      <c r="T394" s="20">
        <v>0</v>
      </c>
      <c r="U394" s="20">
        <v>0</v>
      </c>
      <c r="V394" s="20">
        <v>0</v>
      </c>
      <c r="W394" s="20">
        <v>0</v>
      </c>
      <c r="X394" s="20">
        <v>0</v>
      </c>
      <c r="Y394" s="20">
        <v>0</v>
      </c>
      <c r="Z394" s="20">
        <v>0</v>
      </c>
      <c r="AA394" s="20">
        <v>0</v>
      </c>
      <c r="AB394" s="20">
        <v>0</v>
      </c>
      <c r="AC394" s="20">
        <v>0</v>
      </c>
      <c r="AD394" s="20">
        <v>0</v>
      </c>
      <c r="AE394" s="20">
        <v>0</v>
      </c>
      <c r="AF394" s="20">
        <v>0</v>
      </c>
      <c r="AG394" s="20">
        <v>0</v>
      </c>
      <c r="AH394" s="20">
        <v>0</v>
      </c>
      <c r="AI394" s="20">
        <v>0</v>
      </c>
      <c r="AJ394" s="20">
        <v>0</v>
      </c>
      <c r="AK394" s="20">
        <v>0</v>
      </c>
      <c r="AL394" s="20">
        <v>0</v>
      </c>
      <c r="AM394" s="20">
        <v>0</v>
      </c>
      <c r="AN394" s="20">
        <v>0</v>
      </c>
      <c r="AO394" s="20">
        <v>0</v>
      </c>
      <c r="AP394" s="20">
        <v>0</v>
      </c>
      <c r="AQ394" s="20">
        <v>0</v>
      </c>
      <c r="AR394" s="20">
        <v>0</v>
      </c>
      <c r="AS394" s="20">
        <v>0</v>
      </c>
      <c r="AT394" s="20">
        <v>0</v>
      </c>
      <c r="AU394" s="20">
        <v>0</v>
      </c>
      <c r="AV394" s="20">
        <v>0</v>
      </c>
      <c r="AW394" s="20">
        <v>0</v>
      </c>
      <c r="AX394" s="20">
        <v>0</v>
      </c>
      <c r="AY394" s="20">
        <v>0</v>
      </c>
      <c r="AZ394" s="20">
        <v>0</v>
      </c>
      <c r="BA394" s="20">
        <v>0</v>
      </c>
      <c r="BB394" s="27">
        <v>0</v>
      </c>
      <c r="BC394" s="20">
        <v>0</v>
      </c>
      <c r="BD394" s="20">
        <v>0</v>
      </c>
      <c r="BE394" s="21">
        <v>0</v>
      </c>
      <c r="BF394" s="21">
        <v>0</v>
      </c>
      <c r="BG394" s="20">
        <v>0</v>
      </c>
      <c r="BH394" s="20">
        <v>0</v>
      </c>
      <c r="BI394" s="22">
        <f t="shared" si="106"/>
        <v>0</v>
      </c>
      <c r="BJ394" s="22">
        <f t="shared" si="107"/>
        <v>6</v>
      </c>
      <c r="BK394" s="28">
        <f t="shared" si="108"/>
        <v>17</v>
      </c>
      <c r="BL394" s="22">
        <f t="shared" si="109"/>
        <v>11</v>
      </c>
      <c r="BM394" s="22">
        <f t="shared" ref="BM394:BM414" si="111">SUM(J394+N394+O394+Q394+S394+U394+X394+AA394+AD394+AF394+AM394+AP394+AQ394+AT394+AX394+AY394+BD394+BH394)</f>
        <v>6</v>
      </c>
      <c r="BN394" s="23">
        <f t="shared" si="110"/>
        <v>1</v>
      </c>
      <c r="BO394" s="23">
        <f t="shared" si="110"/>
        <v>0</v>
      </c>
      <c r="BP394" s="7">
        <f>VLOOKUP(A394,[1]Sheet15!B:E,4,0)</f>
        <v>11</v>
      </c>
      <c r="BQ394" s="7">
        <f>VLOOKUP(A394,[1]Sheet15!B:E,3,0)</f>
        <v>0</v>
      </c>
    </row>
    <row r="395" spans="1:69" ht="22.5" customHeight="1" x14ac:dyDescent="0.25">
      <c r="A395" s="15" t="s">
        <v>1008</v>
      </c>
      <c r="B395" s="15">
        <f>VLOOKUP(A395,'[1]Master clients'!F389:W3936,17,0)</f>
        <v>0</v>
      </c>
      <c r="C395" s="15" t="str">
        <f>VLOOKUP(A395,'[1]Master clients'!F389:P3936,11,0)</f>
        <v>NI</v>
      </c>
      <c r="D395" s="15" t="str">
        <f>VLOOKUP(A395,'[1]Master clients'!F:M,8,0)</f>
        <v>End User</v>
      </c>
      <c r="E395" s="24" t="s">
        <v>1009</v>
      </c>
      <c r="F395" s="25" t="s">
        <v>1010</v>
      </c>
      <c r="G395" s="20">
        <v>0</v>
      </c>
      <c r="H395" s="20">
        <v>0</v>
      </c>
      <c r="I395" s="26">
        <v>5</v>
      </c>
      <c r="J395" s="26">
        <v>0</v>
      </c>
      <c r="K395" s="20">
        <v>0</v>
      </c>
      <c r="L395" s="20">
        <v>0</v>
      </c>
      <c r="M395" s="20">
        <v>0</v>
      </c>
      <c r="N395" s="20">
        <v>0</v>
      </c>
      <c r="O395" s="20">
        <v>0</v>
      </c>
      <c r="P395" s="20">
        <v>0</v>
      </c>
      <c r="Q395" s="20">
        <v>0</v>
      </c>
      <c r="R395" s="20">
        <v>0</v>
      </c>
      <c r="S395" s="20">
        <v>0</v>
      </c>
      <c r="T395" s="20">
        <v>0</v>
      </c>
      <c r="U395" s="20">
        <v>0</v>
      </c>
      <c r="V395" s="20">
        <v>0</v>
      </c>
      <c r="W395" s="20">
        <v>0</v>
      </c>
      <c r="X395" s="20">
        <v>0</v>
      </c>
      <c r="Y395" s="20">
        <v>0</v>
      </c>
      <c r="Z395" s="20">
        <v>0</v>
      </c>
      <c r="AA395" s="20">
        <v>0</v>
      </c>
      <c r="AB395" s="20">
        <v>0</v>
      </c>
      <c r="AC395" s="20">
        <v>0</v>
      </c>
      <c r="AD395" s="20">
        <v>0</v>
      </c>
      <c r="AE395" s="20">
        <v>0</v>
      </c>
      <c r="AF395" s="20">
        <v>0</v>
      </c>
      <c r="AG395" s="20">
        <v>0</v>
      </c>
      <c r="AH395" s="20">
        <v>0</v>
      </c>
      <c r="AI395" s="20">
        <v>0</v>
      </c>
      <c r="AJ395" s="20">
        <v>0</v>
      </c>
      <c r="AK395" s="20">
        <v>0</v>
      </c>
      <c r="AL395" s="20">
        <v>0</v>
      </c>
      <c r="AM395" s="20">
        <v>0</v>
      </c>
      <c r="AN395" s="20">
        <v>0</v>
      </c>
      <c r="AO395" s="20">
        <v>0</v>
      </c>
      <c r="AP395" s="20">
        <v>0</v>
      </c>
      <c r="AQ395" s="20">
        <v>0</v>
      </c>
      <c r="AR395" s="20">
        <v>0</v>
      </c>
      <c r="AS395" s="20">
        <v>0</v>
      </c>
      <c r="AT395" s="20">
        <v>0</v>
      </c>
      <c r="AU395" s="20">
        <v>0</v>
      </c>
      <c r="AV395" s="20">
        <v>0</v>
      </c>
      <c r="AW395" s="20">
        <v>0</v>
      </c>
      <c r="AX395" s="20">
        <v>0</v>
      </c>
      <c r="AY395" s="20">
        <v>0</v>
      </c>
      <c r="AZ395" s="20">
        <v>0</v>
      </c>
      <c r="BA395" s="20">
        <v>0</v>
      </c>
      <c r="BB395" s="27">
        <v>0</v>
      </c>
      <c r="BC395" s="20">
        <v>0</v>
      </c>
      <c r="BD395" s="20">
        <v>0</v>
      </c>
      <c r="BE395" s="21">
        <v>0</v>
      </c>
      <c r="BF395" s="21">
        <v>0</v>
      </c>
      <c r="BG395" s="20">
        <v>0</v>
      </c>
      <c r="BH395" s="20">
        <v>0</v>
      </c>
      <c r="BI395" s="22">
        <f t="shared" si="106"/>
        <v>0</v>
      </c>
      <c r="BJ395" s="22">
        <f t="shared" si="107"/>
        <v>0</v>
      </c>
      <c r="BK395" s="28">
        <f t="shared" si="108"/>
        <v>5</v>
      </c>
      <c r="BL395" s="22">
        <f t="shared" si="109"/>
        <v>5</v>
      </c>
      <c r="BM395" s="22">
        <f t="shared" si="111"/>
        <v>0</v>
      </c>
      <c r="BN395" s="23">
        <f t="shared" si="110"/>
        <v>1</v>
      </c>
      <c r="BO395" s="23" t="e">
        <f t="shared" si="110"/>
        <v>#DIV/0!</v>
      </c>
      <c r="BP395" s="7">
        <f>VLOOKUP(A395,[1]Sheet15!B:E,4,0)</f>
        <v>3</v>
      </c>
      <c r="BQ395" s="7">
        <f>VLOOKUP(A395,[1]Sheet15!B:E,3,0)</f>
        <v>0</v>
      </c>
    </row>
    <row r="396" spans="1:69" ht="22.5" customHeight="1" x14ac:dyDescent="0.25">
      <c r="A396" s="15" t="s">
        <v>1011</v>
      </c>
      <c r="B396" s="15" t="e">
        <f>VLOOKUP(A396,'[1]Master clients'!F390:W3937,17,0)</f>
        <v>#N/A</v>
      </c>
      <c r="C396" s="15" t="e">
        <f>VLOOKUP(A396,'[1]Master clients'!F390:P3937,11,0)</f>
        <v>#N/A</v>
      </c>
      <c r="D396" s="15" t="str">
        <f>VLOOKUP(A396,'[1]Master clients'!F:M,8,0)</f>
        <v>Group (Mills)</v>
      </c>
      <c r="E396" s="24" t="s">
        <v>1012</v>
      </c>
      <c r="F396" s="25" t="s">
        <v>1013</v>
      </c>
      <c r="G396" s="20">
        <v>6</v>
      </c>
      <c r="H396" s="20">
        <v>0</v>
      </c>
      <c r="I396" s="26">
        <v>6</v>
      </c>
      <c r="J396" s="26">
        <v>0</v>
      </c>
      <c r="K396" s="20">
        <v>0</v>
      </c>
      <c r="L396" s="20">
        <v>0</v>
      </c>
      <c r="M396" s="20">
        <v>0</v>
      </c>
      <c r="N396" s="20">
        <v>0</v>
      </c>
      <c r="O396" s="20">
        <v>0</v>
      </c>
      <c r="P396" s="20">
        <v>0</v>
      </c>
      <c r="Q396" s="20">
        <v>0</v>
      </c>
      <c r="R396" s="20">
        <v>0</v>
      </c>
      <c r="S396" s="20">
        <v>0</v>
      </c>
      <c r="T396" s="20">
        <v>0</v>
      </c>
      <c r="U396" s="20">
        <v>0</v>
      </c>
      <c r="V396" s="20">
        <v>0</v>
      </c>
      <c r="W396" s="20">
        <v>0</v>
      </c>
      <c r="X396" s="20">
        <v>0</v>
      </c>
      <c r="Y396" s="20">
        <v>0</v>
      </c>
      <c r="Z396" s="20">
        <v>0</v>
      </c>
      <c r="AA396" s="20">
        <v>0</v>
      </c>
      <c r="AB396" s="20">
        <v>0</v>
      </c>
      <c r="AC396" s="20">
        <v>0</v>
      </c>
      <c r="AD396" s="20">
        <v>0</v>
      </c>
      <c r="AE396" s="20">
        <v>0</v>
      </c>
      <c r="AF396" s="20">
        <v>0</v>
      </c>
      <c r="AG396" s="20">
        <v>0</v>
      </c>
      <c r="AH396" s="20">
        <v>0</v>
      </c>
      <c r="AI396" s="20">
        <v>0</v>
      </c>
      <c r="AJ396" s="20">
        <v>0</v>
      </c>
      <c r="AK396" s="20">
        <v>0</v>
      </c>
      <c r="AL396" s="20">
        <v>0</v>
      </c>
      <c r="AM396" s="20">
        <v>0</v>
      </c>
      <c r="AN396" s="20">
        <v>0</v>
      </c>
      <c r="AO396" s="20">
        <v>0</v>
      </c>
      <c r="AP396" s="20">
        <v>0</v>
      </c>
      <c r="AQ396" s="20">
        <v>0</v>
      </c>
      <c r="AR396" s="20">
        <v>0</v>
      </c>
      <c r="AS396" s="20">
        <v>0</v>
      </c>
      <c r="AT396" s="20">
        <v>0</v>
      </c>
      <c r="AU396" s="20">
        <v>0</v>
      </c>
      <c r="AV396" s="20">
        <v>0</v>
      </c>
      <c r="AW396" s="20">
        <v>0</v>
      </c>
      <c r="AX396" s="20">
        <v>0</v>
      </c>
      <c r="AY396" s="20">
        <v>0</v>
      </c>
      <c r="AZ396" s="20">
        <v>0</v>
      </c>
      <c r="BA396" s="20">
        <v>0</v>
      </c>
      <c r="BB396" s="27">
        <v>0</v>
      </c>
      <c r="BC396" s="20">
        <v>0</v>
      </c>
      <c r="BD396" s="20">
        <v>0</v>
      </c>
      <c r="BE396" s="21">
        <v>0</v>
      </c>
      <c r="BF396" s="21">
        <v>0</v>
      </c>
      <c r="BG396" s="20">
        <v>0</v>
      </c>
      <c r="BH396" s="20">
        <v>0</v>
      </c>
      <c r="BI396" s="22">
        <f t="shared" si="106"/>
        <v>0</v>
      </c>
      <c r="BJ396" s="22">
        <f t="shared" si="107"/>
        <v>0</v>
      </c>
      <c r="BK396" s="28">
        <f t="shared" si="108"/>
        <v>6</v>
      </c>
      <c r="BL396" s="22">
        <f t="shared" si="109"/>
        <v>6</v>
      </c>
      <c r="BM396" s="22">
        <f t="shared" si="111"/>
        <v>0</v>
      </c>
      <c r="BN396" s="23">
        <f t="shared" si="110"/>
        <v>1</v>
      </c>
      <c r="BO396" s="23" t="e">
        <f t="shared" si="110"/>
        <v>#DIV/0!</v>
      </c>
      <c r="BP396" s="7">
        <f>VLOOKUP(A396,[1]Sheet15!B:E,4,0)</f>
        <v>13</v>
      </c>
      <c r="BQ396" s="7">
        <f>VLOOKUP(A396,[1]Sheet15!B:E,3,0)</f>
        <v>0</v>
      </c>
    </row>
    <row r="397" spans="1:69" ht="22.5" customHeight="1" x14ac:dyDescent="0.25">
      <c r="A397" s="15" t="s">
        <v>1014</v>
      </c>
      <c r="B397" s="15" t="e">
        <f>VLOOKUP(A397,'[1]Master clients'!F391:W3938,17,0)</f>
        <v>#N/A</v>
      </c>
      <c r="C397" s="15" t="e">
        <f>VLOOKUP(A397,'[1]Master clients'!F391:P3938,11,0)</f>
        <v>#N/A</v>
      </c>
      <c r="D397" s="15" t="str">
        <f>VLOOKUP(A397,'[1]Master clients'!F:M,8,0)</f>
        <v>Group (Mills)</v>
      </c>
      <c r="E397" s="24" t="s">
        <v>1015</v>
      </c>
      <c r="F397" s="25" t="s">
        <v>1013</v>
      </c>
      <c r="G397" s="20">
        <v>14</v>
      </c>
      <c r="H397" s="20">
        <v>0</v>
      </c>
      <c r="I397" s="26">
        <v>13</v>
      </c>
      <c r="J397" s="26">
        <v>0</v>
      </c>
      <c r="K397" s="20">
        <v>0</v>
      </c>
      <c r="L397" s="20">
        <v>0</v>
      </c>
      <c r="M397" s="20">
        <v>0</v>
      </c>
      <c r="N397" s="20">
        <v>0</v>
      </c>
      <c r="O397" s="20">
        <v>0</v>
      </c>
      <c r="P397" s="20">
        <v>0</v>
      </c>
      <c r="Q397" s="20">
        <v>0</v>
      </c>
      <c r="R397" s="20">
        <v>0</v>
      </c>
      <c r="S397" s="20">
        <v>0</v>
      </c>
      <c r="T397" s="20">
        <v>0</v>
      </c>
      <c r="U397" s="20">
        <v>0</v>
      </c>
      <c r="V397" s="20">
        <v>0</v>
      </c>
      <c r="W397" s="20">
        <v>0</v>
      </c>
      <c r="X397" s="20">
        <v>0</v>
      </c>
      <c r="Y397" s="20">
        <v>0</v>
      </c>
      <c r="Z397" s="20">
        <v>0</v>
      </c>
      <c r="AA397" s="20">
        <v>0</v>
      </c>
      <c r="AB397" s="20">
        <v>0</v>
      </c>
      <c r="AC397" s="20">
        <v>0</v>
      </c>
      <c r="AD397" s="20">
        <v>0</v>
      </c>
      <c r="AE397" s="20">
        <v>0</v>
      </c>
      <c r="AF397" s="20">
        <v>0</v>
      </c>
      <c r="AG397" s="20">
        <v>0</v>
      </c>
      <c r="AH397" s="20">
        <v>0</v>
      </c>
      <c r="AI397" s="20">
        <v>0</v>
      </c>
      <c r="AJ397" s="20">
        <v>0</v>
      </c>
      <c r="AK397" s="20">
        <v>0</v>
      </c>
      <c r="AL397" s="20">
        <v>0</v>
      </c>
      <c r="AM397" s="20">
        <v>0</v>
      </c>
      <c r="AN397" s="20">
        <v>0</v>
      </c>
      <c r="AO397" s="20">
        <v>0</v>
      </c>
      <c r="AP397" s="20">
        <v>0</v>
      </c>
      <c r="AQ397" s="20">
        <v>0</v>
      </c>
      <c r="AR397" s="20">
        <v>0</v>
      </c>
      <c r="AS397" s="20">
        <v>0</v>
      </c>
      <c r="AT397" s="20">
        <v>0</v>
      </c>
      <c r="AU397" s="20">
        <v>0</v>
      </c>
      <c r="AV397" s="20">
        <v>0</v>
      </c>
      <c r="AW397" s="20">
        <v>0</v>
      </c>
      <c r="AX397" s="20">
        <v>0</v>
      </c>
      <c r="AY397" s="20">
        <v>0</v>
      </c>
      <c r="AZ397" s="20">
        <v>0</v>
      </c>
      <c r="BA397" s="20">
        <v>0</v>
      </c>
      <c r="BB397" s="27">
        <v>0</v>
      </c>
      <c r="BC397" s="20">
        <v>0</v>
      </c>
      <c r="BD397" s="20">
        <v>0</v>
      </c>
      <c r="BE397" s="21">
        <v>0</v>
      </c>
      <c r="BF397" s="21">
        <v>0</v>
      </c>
      <c r="BG397" s="20">
        <v>0</v>
      </c>
      <c r="BH397" s="20">
        <v>0</v>
      </c>
      <c r="BI397" s="22">
        <f t="shared" si="106"/>
        <v>0</v>
      </c>
      <c r="BJ397" s="22">
        <f t="shared" si="107"/>
        <v>0</v>
      </c>
      <c r="BK397" s="28">
        <f t="shared" si="108"/>
        <v>13</v>
      </c>
      <c r="BL397" s="22">
        <f t="shared" si="109"/>
        <v>13</v>
      </c>
      <c r="BM397" s="22">
        <f t="shared" si="111"/>
        <v>0</v>
      </c>
      <c r="BN397" s="23">
        <f t="shared" si="110"/>
        <v>1</v>
      </c>
      <c r="BO397" s="23" t="e">
        <f t="shared" si="110"/>
        <v>#DIV/0!</v>
      </c>
      <c r="BP397" s="7">
        <f>VLOOKUP(A397,[1]Sheet15!B:E,4,0)</f>
        <v>1</v>
      </c>
      <c r="BQ397" s="7">
        <f>VLOOKUP(A397,[1]Sheet15!B:E,3,0)</f>
        <v>0</v>
      </c>
    </row>
    <row r="398" spans="1:69" ht="22.5" customHeight="1" x14ac:dyDescent="0.25">
      <c r="A398" s="15" t="s">
        <v>1016</v>
      </c>
      <c r="B398" s="15" t="str">
        <f>VLOOKUP(A398,'[1]Master clients'!F392:W3939,17,0)</f>
        <v>Feb</v>
      </c>
      <c r="C398" s="15" t="str">
        <f>VLOOKUP(A398,'[1]Master clients'!F392:P3939,11,0)</f>
        <v>NI</v>
      </c>
      <c r="D398" s="15" t="str">
        <f>VLOOKUP(A398,'[1]Master clients'!F:M,8,0)</f>
        <v>End User</v>
      </c>
      <c r="E398" s="16" t="s">
        <v>1017</v>
      </c>
      <c r="F398" s="16" t="s">
        <v>1013</v>
      </c>
      <c r="G398" s="17"/>
      <c r="H398" s="17"/>
      <c r="I398" s="31">
        <v>0</v>
      </c>
      <c r="J398" s="31">
        <v>0</v>
      </c>
      <c r="K398" s="17">
        <v>0</v>
      </c>
      <c r="L398" s="17">
        <v>0</v>
      </c>
      <c r="M398" s="17">
        <v>0</v>
      </c>
      <c r="N398" s="17">
        <v>0</v>
      </c>
      <c r="O398" s="17">
        <v>0</v>
      </c>
      <c r="P398" s="17">
        <v>0</v>
      </c>
      <c r="Q398" s="17">
        <v>0</v>
      </c>
      <c r="R398" s="17">
        <v>0</v>
      </c>
      <c r="S398" s="17">
        <v>0</v>
      </c>
      <c r="T398" s="17">
        <v>0</v>
      </c>
      <c r="U398" s="17">
        <v>0</v>
      </c>
      <c r="V398" s="17">
        <v>0</v>
      </c>
      <c r="W398" s="17">
        <v>0</v>
      </c>
      <c r="X398" s="17">
        <v>0</v>
      </c>
      <c r="Y398" s="17">
        <v>0</v>
      </c>
      <c r="Z398" s="17">
        <v>0</v>
      </c>
      <c r="AA398" s="17">
        <v>0</v>
      </c>
      <c r="AB398" s="17">
        <v>0</v>
      </c>
      <c r="AC398" s="17">
        <v>0</v>
      </c>
      <c r="AD398" s="17">
        <v>0</v>
      </c>
      <c r="AE398" s="17">
        <v>0</v>
      </c>
      <c r="AF398" s="17">
        <v>0</v>
      </c>
      <c r="AG398" s="17">
        <v>0</v>
      </c>
      <c r="AH398" s="17">
        <v>0</v>
      </c>
      <c r="AI398" s="17">
        <v>0</v>
      </c>
      <c r="AJ398" s="17">
        <v>0</v>
      </c>
      <c r="AK398" s="17">
        <v>0</v>
      </c>
      <c r="AL398" s="17">
        <v>0</v>
      </c>
      <c r="AM398" s="17">
        <v>0</v>
      </c>
      <c r="AN398" s="17">
        <v>0</v>
      </c>
      <c r="AO398" s="17">
        <v>0</v>
      </c>
      <c r="AP398" s="17">
        <v>0</v>
      </c>
      <c r="AQ398" s="17">
        <v>0</v>
      </c>
      <c r="AR398" s="17">
        <v>0</v>
      </c>
      <c r="AS398" s="17">
        <v>0</v>
      </c>
      <c r="AT398" s="17">
        <v>0</v>
      </c>
      <c r="AU398" s="17">
        <v>0</v>
      </c>
      <c r="AV398" s="17">
        <v>0</v>
      </c>
      <c r="AW398" s="17">
        <v>0</v>
      </c>
      <c r="AX398" s="17">
        <v>0</v>
      </c>
      <c r="AY398" s="17">
        <v>0</v>
      </c>
      <c r="AZ398" s="17">
        <v>0</v>
      </c>
      <c r="BA398" s="17">
        <v>0</v>
      </c>
      <c r="BB398" s="17">
        <v>0</v>
      </c>
      <c r="BC398" s="17">
        <v>0</v>
      </c>
      <c r="BD398" s="17">
        <v>0</v>
      </c>
      <c r="BE398" s="17">
        <v>0</v>
      </c>
      <c r="BF398" s="17">
        <v>0</v>
      </c>
      <c r="BG398" s="17">
        <v>0</v>
      </c>
      <c r="BH398" s="17">
        <v>0</v>
      </c>
      <c r="BI398" s="22">
        <f t="shared" si="106"/>
        <v>0</v>
      </c>
      <c r="BJ398" s="22">
        <f t="shared" si="107"/>
        <v>0</v>
      </c>
      <c r="BK398" s="22">
        <f t="shared" si="108"/>
        <v>0</v>
      </c>
      <c r="BL398" s="22">
        <f t="shared" si="109"/>
        <v>0</v>
      </c>
      <c r="BM398" s="22">
        <f t="shared" si="111"/>
        <v>0</v>
      </c>
      <c r="BN398" s="23" t="e">
        <f t="shared" si="110"/>
        <v>#DIV/0!</v>
      </c>
      <c r="BO398" s="23" t="e">
        <f t="shared" si="110"/>
        <v>#DIV/0!</v>
      </c>
      <c r="BP398" s="7" t="e">
        <f>VLOOKUP(A398,[1]Sheet15!B:E,4,0)</f>
        <v>#N/A</v>
      </c>
      <c r="BQ398" s="7" t="e">
        <f>VLOOKUP(A398,[1]Sheet15!B:E,3,0)</f>
        <v>#N/A</v>
      </c>
    </row>
    <row r="399" spans="1:69" ht="22.5" customHeight="1" x14ac:dyDescent="0.25">
      <c r="A399" s="15" t="s">
        <v>1018</v>
      </c>
      <c r="B399" s="15" t="str">
        <f>VLOOKUP(A399,'[1]Master clients'!F393:W3940,17,0)</f>
        <v>Feb</v>
      </c>
      <c r="C399" s="15" t="str">
        <f>VLOOKUP(A399,'[1]Master clients'!F393:P3940,11,0)</f>
        <v>NI</v>
      </c>
      <c r="D399" s="15" t="str">
        <f>VLOOKUP(A399,'[1]Master clients'!F:M,8,0)</f>
        <v>End User</v>
      </c>
      <c r="E399" s="24" t="s">
        <v>1019</v>
      </c>
      <c r="F399" s="25" t="s">
        <v>1013</v>
      </c>
      <c r="G399" s="20">
        <v>0</v>
      </c>
      <c r="H399" s="20">
        <v>0</v>
      </c>
      <c r="I399" s="26">
        <v>27</v>
      </c>
      <c r="J399" s="26">
        <v>0</v>
      </c>
      <c r="K399" s="20">
        <v>0</v>
      </c>
      <c r="L399" s="20">
        <v>0</v>
      </c>
      <c r="M399" s="20">
        <v>0</v>
      </c>
      <c r="N399" s="20">
        <v>0</v>
      </c>
      <c r="O399" s="20">
        <v>0</v>
      </c>
      <c r="P399" s="20">
        <v>0</v>
      </c>
      <c r="Q399" s="20">
        <v>13</v>
      </c>
      <c r="R399" s="20">
        <v>0</v>
      </c>
      <c r="S399" s="20">
        <v>0</v>
      </c>
      <c r="T399" s="20">
        <v>0</v>
      </c>
      <c r="U399" s="20">
        <v>0</v>
      </c>
      <c r="V399" s="20">
        <v>0</v>
      </c>
      <c r="W399" s="20">
        <v>0</v>
      </c>
      <c r="X399" s="20">
        <v>0</v>
      </c>
      <c r="Y399" s="20">
        <v>0</v>
      </c>
      <c r="Z399" s="20">
        <v>0</v>
      </c>
      <c r="AA399" s="20">
        <v>0</v>
      </c>
      <c r="AB399" s="20">
        <v>0</v>
      </c>
      <c r="AC399" s="20">
        <v>0</v>
      </c>
      <c r="AD399" s="20">
        <v>0</v>
      </c>
      <c r="AE399" s="20">
        <v>0</v>
      </c>
      <c r="AF399" s="20">
        <v>0</v>
      </c>
      <c r="AG399" s="20">
        <v>0</v>
      </c>
      <c r="AH399" s="20">
        <v>0</v>
      </c>
      <c r="AI399" s="20">
        <v>0</v>
      </c>
      <c r="AJ399" s="20">
        <v>0</v>
      </c>
      <c r="AK399" s="20">
        <v>0</v>
      </c>
      <c r="AL399" s="20">
        <v>0</v>
      </c>
      <c r="AM399" s="20">
        <v>0</v>
      </c>
      <c r="AN399" s="20">
        <v>0</v>
      </c>
      <c r="AO399" s="20">
        <v>0</v>
      </c>
      <c r="AP399" s="20">
        <v>0</v>
      </c>
      <c r="AQ399" s="20">
        <v>0</v>
      </c>
      <c r="AR399" s="20">
        <v>0</v>
      </c>
      <c r="AS399" s="20">
        <v>0</v>
      </c>
      <c r="AT399" s="20">
        <v>0</v>
      </c>
      <c r="AU399" s="20">
        <v>0</v>
      </c>
      <c r="AV399" s="20">
        <v>0</v>
      </c>
      <c r="AW399" s="20">
        <v>0</v>
      </c>
      <c r="AX399" s="20">
        <v>0</v>
      </c>
      <c r="AY399" s="20">
        <v>0</v>
      </c>
      <c r="AZ399" s="20">
        <v>0</v>
      </c>
      <c r="BA399" s="20">
        <v>0</v>
      </c>
      <c r="BB399" s="27">
        <v>0</v>
      </c>
      <c r="BC399" s="20">
        <v>0</v>
      </c>
      <c r="BD399" s="20">
        <v>0</v>
      </c>
      <c r="BE399" s="21">
        <v>0</v>
      </c>
      <c r="BF399" s="21">
        <v>0</v>
      </c>
      <c r="BG399" s="20">
        <v>0</v>
      </c>
      <c r="BH399" s="20">
        <v>0</v>
      </c>
      <c r="BI399" s="22">
        <f t="shared" si="106"/>
        <v>0</v>
      </c>
      <c r="BJ399" s="22">
        <f t="shared" si="107"/>
        <v>13</v>
      </c>
      <c r="BK399" s="28">
        <f t="shared" si="108"/>
        <v>40</v>
      </c>
      <c r="BL399" s="22">
        <f t="shared" si="109"/>
        <v>27</v>
      </c>
      <c r="BM399" s="22">
        <f t="shared" si="111"/>
        <v>13</v>
      </c>
      <c r="BN399" s="23">
        <f t="shared" si="110"/>
        <v>1</v>
      </c>
      <c r="BO399" s="23">
        <f t="shared" si="110"/>
        <v>0</v>
      </c>
      <c r="BP399" s="7">
        <f>VLOOKUP(A399,[1]Sheet15!B:E,4,0)</f>
        <v>3</v>
      </c>
      <c r="BQ399" s="7">
        <f>VLOOKUP(A399,[1]Sheet15!B:E,3,0)</f>
        <v>0</v>
      </c>
    </row>
    <row r="400" spans="1:69" ht="22.5" customHeight="1" x14ac:dyDescent="0.25">
      <c r="A400" s="15" t="s">
        <v>1020</v>
      </c>
      <c r="B400" s="15" t="e">
        <f>VLOOKUP(A400,'[1]Master clients'!F394:W3941,17,0)</f>
        <v>#N/A</v>
      </c>
      <c r="C400" s="15" t="e">
        <f>VLOOKUP(A400,'[1]Master clients'!F394:P3941,11,0)</f>
        <v>#N/A</v>
      </c>
      <c r="D400" s="15" t="str">
        <f>VLOOKUP(A400,'[1]Master clients'!F:M,8,0)</f>
        <v>Group (Mills)</v>
      </c>
      <c r="E400" s="16" t="s">
        <v>1021</v>
      </c>
      <c r="F400" s="16" t="s">
        <v>1022</v>
      </c>
      <c r="G400" s="17"/>
      <c r="H400" s="17"/>
      <c r="I400" s="31">
        <v>0</v>
      </c>
      <c r="J400" s="31">
        <v>0</v>
      </c>
      <c r="K400" s="17">
        <v>0</v>
      </c>
      <c r="L400" s="17">
        <v>0</v>
      </c>
      <c r="M400" s="17">
        <v>0</v>
      </c>
      <c r="N400" s="17">
        <v>0</v>
      </c>
      <c r="O400" s="17">
        <v>0</v>
      </c>
      <c r="P400" s="17">
        <v>0</v>
      </c>
      <c r="Q400" s="17">
        <v>0</v>
      </c>
      <c r="R400" s="17">
        <v>0</v>
      </c>
      <c r="S400" s="17">
        <v>0</v>
      </c>
      <c r="T400" s="17">
        <v>0</v>
      </c>
      <c r="U400" s="17">
        <v>0</v>
      </c>
      <c r="V400" s="17">
        <v>0</v>
      </c>
      <c r="W400" s="17">
        <v>0</v>
      </c>
      <c r="X400" s="17">
        <v>0</v>
      </c>
      <c r="Y400" s="17">
        <v>0</v>
      </c>
      <c r="Z400" s="17">
        <v>0</v>
      </c>
      <c r="AA400" s="17">
        <v>0</v>
      </c>
      <c r="AB400" s="17">
        <v>0</v>
      </c>
      <c r="AC400" s="17">
        <v>0</v>
      </c>
      <c r="AD400" s="17">
        <v>0</v>
      </c>
      <c r="AE400" s="17">
        <v>0</v>
      </c>
      <c r="AF400" s="17">
        <v>0</v>
      </c>
      <c r="AG400" s="17">
        <v>0</v>
      </c>
      <c r="AH400" s="17">
        <v>0</v>
      </c>
      <c r="AI400" s="17">
        <v>0</v>
      </c>
      <c r="AJ400" s="17">
        <v>0</v>
      </c>
      <c r="AK400" s="17">
        <v>0</v>
      </c>
      <c r="AL400" s="17">
        <v>0</v>
      </c>
      <c r="AM400" s="17">
        <v>0</v>
      </c>
      <c r="AN400" s="17">
        <v>0</v>
      </c>
      <c r="AO400" s="17">
        <v>0</v>
      </c>
      <c r="AP400" s="17">
        <v>0</v>
      </c>
      <c r="AQ400" s="17">
        <v>0</v>
      </c>
      <c r="AR400" s="17">
        <v>0</v>
      </c>
      <c r="AS400" s="17">
        <v>0</v>
      </c>
      <c r="AT400" s="17">
        <v>0</v>
      </c>
      <c r="AU400" s="17">
        <v>0</v>
      </c>
      <c r="AV400" s="17">
        <v>0</v>
      </c>
      <c r="AW400" s="17">
        <v>0</v>
      </c>
      <c r="AX400" s="17">
        <v>0</v>
      </c>
      <c r="AY400" s="17">
        <v>0</v>
      </c>
      <c r="AZ400" s="17">
        <v>0</v>
      </c>
      <c r="BA400" s="17">
        <v>0</v>
      </c>
      <c r="BB400" s="17">
        <v>0</v>
      </c>
      <c r="BC400" s="17">
        <v>0</v>
      </c>
      <c r="BD400" s="17">
        <v>0</v>
      </c>
      <c r="BE400" s="17">
        <v>0</v>
      </c>
      <c r="BF400" s="17">
        <v>0</v>
      </c>
      <c r="BG400" s="17">
        <v>0</v>
      </c>
      <c r="BH400" s="17">
        <v>0</v>
      </c>
      <c r="BI400" s="22">
        <f>SUM(M400+N400+P400+R400+T400+W400+Z400+AC400+AE400+AL400+AO400+AP400+AS400+AW400+AX400+BC400+BE400+BG400)</f>
        <v>0</v>
      </c>
      <c r="BJ400" s="22">
        <f>SUM(H400:BG400)</f>
        <v>0</v>
      </c>
      <c r="BK400" s="22">
        <f>SUM(H400+J400+K400+L400+O400+Q400+S400+U400+V400+X400+Y400+AA400+AB400+AD400+AF400+AG400+AH400+AI400+AJ400+AK400+AM400+AN400+AQ400+AR400+AT400+AU400+AV400+AY400+AZ400+BA400+BB400+BF400+BD400)</f>
        <v>0</v>
      </c>
      <c r="BL400" s="22">
        <f t="shared" ref="BL400:BM415" si="112">SUM(I400+M400+N400+P400+R400+T400+W400+Z400+AC400+AE400+AL400+AO400+AP400+AS400+AW400+AX400+BC400+BG400)</f>
        <v>0</v>
      </c>
      <c r="BM400" s="22">
        <f t="shared" si="112"/>
        <v>0</v>
      </c>
      <c r="BN400" s="23" t="e">
        <f t="shared" si="110"/>
        <v>#DIV/0!</v>
      </c>
      <c r="BO400" s="23" t="e">
        <f t="shared" si="110"/>
        <v>#DIV/0!</v>
      </c>
      <c r="BP400" s="7" t="e">
        <f>VLOOKUP(A400,[1]Sheet15!B:E,4,0)</f>
        <v>#N/A</v>
      </c>
      <c r="BQ400" s="7" t="e">
        <f>VLOOKUP(A400,[1]Sheet15!B:E,3,0)</f>
        <v>#N/A</v>
      </c>
    </row>
    <row r="401" spans="1:69" ht="22.5" customHeight="1" x14ac:dyDescent="0.25">
      <c r="A401" s="15" t="s">
        <v>1023</v>
      </c>
      <c r="B401" s="15" t="str">
        <f>VLOOKUP(A401,'[1]Master clients'!F395:W3942,17,0)</f>
        <v>Apr</v>
      </c>
      <c r="C401" s="15" t="str">
        <f>VLOOKUP(A401,'[1]Master clients'!F395:P3942,11,0)</f>
        <v>NI</v>
      </c>
      <c r="D401" s="15" t="str">
        <f>VLOOKUP(A401,'[1]Master clients'!F:M,8,0)</f>
        <v>End User</v>
      </c>
      <c r="E401" s="16" t="s">
        <v>1024</v>
      </c>
      <c r="F401" s="16" t="s">
        <v>1025</v>
      </c>
      <c r="G401" s="17">
        <v>2</v>
      </c>
      <c r="H401" s="17">
        <v>0</v>
      </c>
      <c r="I401" s="18">
        <v>2</v>
      </c>
      <c r="J401" s="18">
        <v>0</v>
      </c>
      <c r="K401" s="17">
        <v>6</v>
      </c>
      <c r="L401" s="17">
        <v>0</v>
      </c>
      <c r="M401" s="17">
        <v>0</v>
      </c>
      <c r="N401" s="17">
        <v>0</v>
      </c>
      <c r="O401" s="17">
        <v>0</v>
      </c>
      <c r="P401" s="17">
        <v>0</v>
      </c>
      <c r="Q401" s="17">
        <v>0</v>
      </c>
      <c r="R401" s="17">
        <v>0</v>
      </c>
      <c r="S401" s="17">
        <v>0</v>
      </c>
      <c r="T401" s="17">
        <v>0</v>
      </c>
      <c r="U401" s="17">
        <v>0</v>
      </c>
      <c r="V401" s="17">
        <v>0</v>
      </c>
      <c r="W401" s="17">
        <v>0</v>
      </c>
      <c r="X401" s="17">
        <v>0</v>
      </c>
      <c r="Y401" s="17">
        <v>0</v>
      </c>
      <c r="Z401" s="17">
        <v>0</v>
      </c>
      <c r="AA401" s="17">
        <v>0</v>
      </c>
      <c r="AB401" s="17">
        <v>0</v>
      </c>
      <c r="AC401" s="17">
        <v>0</v>
      </c>
      <c r="AD401" s="17">
        <v>0</v>
      </c>
      <c r="AE401" s="17">
        <v>0</v>
      </c>
      <c r="AF401" s="17">
        <v>0</v>
      </c>
      <c r="AG401" s="17">
        <v>0</v>
      </c>
      <c r="AH401" s="17">
        <v>1</v>
      </c>
      <c r="AI401" s="17">
        <v>0</v>
      </c>
      <c r="AJ401" s="17">
        <v>0</v>
      </c>
      <c r="AK401" s="17">
        <v>0</v>
      </c>
      <c r="AL401" s="17">
        <v>0</v>
      </c>
      <c r="AM401" s="17">
        <v>0</v>
      </c>
      <c r="AN401" s="17">
        <v>0</v>
      </c>
      <c r="AO401" s="17">
        <v>0</v>
      </c>
      <c r="AP401" s="17">
        <v>0</v>
      </c>
      <c r="AQ401" s="17">
        <v>0</v>
      </c>
      <c r="AR401" s="17">
        <v>0</v>
      </c>
      <c r="AS401" s="17">
        <v>0</v>
      </c>
      <c r="AT401" s="17">
        <v>0</v>
      </c>
      <c r="AU401" s="17">
        <v>0</v>
      </c>
      <c r="AV401" s="17">
        <v>0</v>
      </c>
      <c r="AW401" s="17">
        <v>0</v>
      </c>
      <c r="AX401" s="17">
        <v>0</v>
      </c>
      <c r="AY401" s="17">
        <v>0</v>
      </c>
      <c r="AZ401" s="17">
        <v>0</v>
      </c>
      <c r="BA401" s="17">
        <v>0</v>
      </c>
      <c r="BB401" s="17">
        <v>0</v>
      </c>
      <c r="BC401" s="17">
        <v>0</v>
      </c>
      <c r="BD401" s="17">
        <v>0</v>
      </c>
      <c r="BE401" s="17">
        <v>0</v>
      </c>
      <c r="BF401" s="17">
        <v>0</v>
      </c>
      <c r="BG401" s="17">
        <v>0</v>
      </c>
      <c r="BH401" s="17">
        <v>0</v>
      </c>
      <c r="BI401" s="22">
        <f t="shared" ref="BI401:BI425" si="113">SUM(K401+L401+M401+P401+R401+T401+V401+W401+Y401+Z401+AB401+AC401+AE401+AG401+AH401+AI401+AJ401+AK401+AL401+AN401+AO401+AR401+AS401+AU401+AV401+AW401+AZ401+BA401+BB401+BC401+BE401+BG401)</f>
        <v>7</v>
      </c>
      <c r="BJ401" s="22">
        <f t="shared" ref="BJ401:BJ425" si="114">SUM(N401+O401+Q401+S401+U401+X401+AA401+AD401+AF401+AM401+AP401+AQ401+AT401+AX401+AY401+BD401+BF401+BH401)</f>
        <v>0</v>
      </c>
      <c r="BK401" s="22">
        <f t="shared" ref="BK401:BK425" si="115">SUM(I401:BH401)</f>
        <v>9</v>
      </c>
      <c r="BL401" s="22">
        <f t="shared" ref="BL401:BL425" si="116">SUM(I401+K401+L401+M401+P401+R401+T401+V401+W401+Y401+Z401+AB401+AC401+AE401+AG401+AH401+AI401+AJ401+AK401+AL401+AN401+AO401+AR401+AS401+AU401+AV401+AW401+AZ401+BA401+BB401+BC401+BG401+BE401)</f>
        <v>9</v>
      </c>
      <c r="BM401" s="22">
        <f t="shared" si="112"/>
        <v>0</v>
      </c>
      <c r="BN401" s="23">
        <f t="shared" si="110"/>
        <v>0.22222222222222221</v>
      </c>
      <c r="BO401" s="23" t="e">
        <f t="shared" si="110"/>
        <v>#DIV/0!</v>
      </c>
      <c r="BP401" s="7" t="e">
        <f>VLOOKUP(A401,[1]Sheet15!B:E,4,0)</f>
        <v>#N/A</v>
      </c>
      <c r="BQ401" s="7" t="e">
        <f>VLOOKUP(A401,[1]Sheet15!B:E,3,0)</f>
        <v>#N/A</v>
      </c>
    </row>
    <row r="402" spans="1:69" ht="22.5" customHeight="1" x14ac:dyDescent="0.25">
      <c r="A402" s="15" t="s">
        <v>1026</v>
      </c>
      <c r="B402" s="15">
        <f>VLOOKUP(A402,'[1]Master clients'!F396:W3943,17,0)</f>
        <v>0</v>
      </c>
      <c r="C402" s="15" t="str">
        <f>VLOOKUP(A402,'[1]Master clients'!F396:P3943,11,0)</f>
        <v>HO</v>
      </c>
      <c r="D402" s="15" t="str">
        <f>VLOOKUP(A402,'[1]Master clients'!F:M,8,0)</f>
        <v>End User</v>
      </c>
      <c r="E402" s="24" t="s">
        <v>1027</v>
      </c>
      <c r="F402" s="25" t="s">
        <v>1025</v>
      </c>
      <c r="G402" s="20">
        <v>0</v>
      </c>
      <c r="H402" s="20">
        <v>0</v>
      </c>
      <c r="I402" s="26">
        <v>0</v>
      </c>
      <c r="J402" s="26">
        <v>0</v>
      </c>
      <c r="K402" s="20">
        <v>14</v>
      </c>
      <c r="L402" s="20">
        <v>0</v>
      </c>
      <c r="M402" s="20">
        <v>0</v>
      </c>
      <c r="N402" s="20">
        <v>0</v>
      </c>
      <c r="O402" s="20">
        <v>0</v>
      </c>
      <c r="P402" s="20">
        <v>0</v>
      </c>
      <c r="Q402" s="20">
        <v>0</v>
      </c>
      <c r="R402" s="20">
        <v>0</v>
      </c>
      <c r="S402" s="20">
        <v>0</v>
      </c>
      <c r="T402" s="20">
        <v>0</v>
      </c>
      <c r="U402" s="20">
        <v>0</v>
      </c>
      <c r="V402" s="20">
        <v>0</v>
      </c>
      <c r="W402" s="20">
        <v>0</v>
      </c>
      <c r="X402" s="20">
        <v>0</v>
      </c>
      <c r="Y402" s="20">
        <v>0</v>
      </c>
      <c r="Z402" s="20">
        <v>0</v>
      </c>
      <c r="AA402" s="20">
        <v>0</v>
      </c>
      <c r="AB402" s="20">
        <v>0</v>
      </c>
      <c r="AC402" s="20">
        <v>0</v>
      </c>
      <c r="AD402" s="20">
        <v>0</v>
      </c>
      <c r="AE402" s="20">
        <v>0</v>
      </c>
      <c r="AF402" s="20">
        <v>0</v>
      </c>
      <c r="AG402" s="20">
        <v>0</v>
      </c>
      <c r="AH402" s="20">
        <v>0</v>
      </c>
      <c r="AI402" s="20">
        <v>0</v>
      </c>
      <c r="AJ402" s="20">
        <v>0</v>
      </c>
      <c r="AK402" s="20">
        <v>0</v>
      </c>
      <c r="AL402" s="20">
        <v>0</v>
      </c>
      <c r="AM402" s="20">
        <v>0</v>
      </c>
      <c r="AN402" s="20">
        <v>0</v>
      </c>
      <c r="AO402" s="20">
        <v>0</v>
      </c>
      <c r="AP402" s="20">
        <v>0</v>
      </c>
      <c r="AQ402" s="20">
        <v>0</v>
      </c>
      <c r="AR402" s="20">
        <v>0</v>
      </c>
      <c r="AS402" s="20">
        <v>0</v>
      </c>
      <c r="AT402" s="20">
        <v>0</v>
      </c>
      <c r="AU402" s="20">
        <v>0</v>
      </c>
      <c r="AV402" s="20">
        <v>0</v>
      </c>
      <c r="AW402" s="20">
        <v>0</v>
      </c>
      <c r="AX402" s="20">
        <v>0</v>
      </c>
      <c r="AY402" s="20">
        <v>0</v>
      </c>
      <c r="AZ402" s="20">
        <v>0</v>
      </c>
      <c r="BA402" s="20">
        <v>0</v>
      </c>
      <c r="BB402" s="27">
        <v>0</v>
      </c>
      <c r="BC402" s="20">
        <v>0</v>
      </c>
      <c r="BD402" s="20">
        <v>0</v>
      </c>
      <c r="BE402" s="21">
        <v>0</v>
      </c>
      <c r="BF402" s="21">
        <v>0</v>
      </c>
      <c r="BG402" s="20">
        <v>0</v>
      </c>
      <c r="BH402" s="20">
        <v>0</v>
      </c>
      <c r="BI402" s="22">
        <f t="shared" si="113"/>
        <v>14</v>
      </c>
      <c r="BJ402" s="22">
        <f t="shared" si="114"/>
        <v>0</v>
      </c>
      <c r="BK402" s="28">
        <f t="shared" si="115"/>
        <v>14</v>
      </c>
      <c r="BL402" s="22">
        <f t="shared" si="116"/>
        <v>14</v>
      </c>
      <c r="BM402" s="22">
        <f t="shared" si="112"/>
        <v>0</v>
      </c>
      <c r="BN402" s="23">
        <f t="shared" si="110"/>
        <v>0</v>
      </c>
      <c r="BO402" s="23" t="e">
        <f t="shared" si="110"/>
        <v>#DIV/0!</v>
      </c>
      <c r="BP402" s="7" t="e">
        <f>VLOOKUP(A402,[1]Sheet15!B:E,4,0)</f>
        <v>#N/A</v>
      </c>
      <c r="BQ402" s="7" t="e">
        <f>VLOOKUP(A402,[1]Sheet15!B:E,3,0)</f>
        <v>#N/A</v>
      </c>
    </row>
    <row r="403" spans="1:69" ht="22.5" customHeight="1" x14ac:dyDescent="0.25">
      <c r="A403" s="15" t="s">
        <v>1028</v>
      </c>
      <c r="B403" s="15" t="e">
        <f>VLOOKUP(A403,'[1]Master clients'!F397:W3944,17,0)</f>
        <v>#N/A</v>
      </c>
      <c r="C403" s="15" t="e">
        <f>VLOOKUP(A403,'[1]Master clients'!F397:P3944,11,0)</f>
        <v>#N/A</v>
      </c>
      <c r="D403" s="15" t="str">
        <f>VLOOKUP(A403,'[1]Master clients'!F:M,8,0)</f>
        <v>End User</v>
      </c>
      <c r="E403" s="16" t="s">
        <v>1029</v>
      </c>
      <c r="F403" s="16" t="s">
        <v>1025</v>
      </c>
      <c r="G403" s="17"/>
      <c r="H403" s="17"/>
      <c r="I403" s="26">
        <v>8</v>
      </c>
      <c r="J403" s="31">
        <v>0</v>
      </c>
      <c r="K403" s="17">
        <v>0</v>
      </c>
      <c r="L403" s="17">
        <v>0</v>
      </c>
      <c r="M403" s="17">
        <v>0</v>
      </c>
      <c r="N403" s="17">
        <v>0</v>
      </c>
      <c r="O403" s="17">
        <v>0</v>
      </c>
      <c r="P403" s="17">
        <v>0</v>
      </c>
      <c r="Q403" s="17">
        <v>0</v>
      </c>
      <c r="R403" s="17">
        <v>0</v>
      </c>
      <c r="S403" s="17">
        <v>0</v>
      </c>
      <c r="T403" s="17">
        <v>0</v>
      </c>
      <c r="U403" s="17">
        <v>0</v>
      </c>
      <c r="V403" s="17">
        <v>0</v>
      </c>
      <c r="W403" s="17">
        <v>0</v>
      </c>
      <c r="X403" s="17">
        <v>0</v>
      </c>
      <c r="Y403" s="17">
        <v>0</v>
      </c>
      <c r="Z403" s="17">
        <v>0</v>
      </c>
      <c r="AA403" s="17">
        <v>0</v>
      </c>
      <c r="AB403" s="17">
        <v>0</v>
      </c>
      <c r="AC403" s="17">
        <v>0</v>
      </c>
      <c r="AD403" s="17">
        <v>0</v>
      </c>
      <c r="AE403" s="17">
        <v>0</v>
      </c>
      <c r="AF403" s="17">
        <v>0</v>
      </c>
      <c r="AG403" s="17">
        <v>0</v>
      </c>
      <c r="AH403" s="17">
        <v>0</v>
      </c>
      <c r="AI403" s="17">
        <v>0</v>
      </c>
      <c r="AJ403" s="17">
        <v>0</v>
      </c>
      <c r="AK403" s="17">
        <v>0</v>
      </c>
      <c r="AL403" s="17">
        <v>0</v>
      </c>
      <c r="AM403" s="17">
        <v>0</v>
      </c>
      <c r="AN403" s="17">
        <v>0</v>
      </c>
      <c r="AO403" s="17">
        <v>0</v>
      </c>
      <c r="AP403" s="17">
        <v>0</v>
      </c>
      <c r="AQ403" s="17">
        <v>0</v>
      </c>
      <c r="AR403" s="17">
        <v>0</v>
      </c>
      <c r="AS403" s="17">
        <v>0</v>
      </c>
      <c r="AT403" s="17">
        <v>0</v>
      </c>
      <c r="AU403" s="17">
        <v>0</v>
      </c>
      <c r="AV403" s="17">
        <v>0</v>
      </c>
      <c r="AW403" s="17">
        <v>0</v>
      </c>
      <c r="AX403" s="17">
        <v>0</v>
      </c>
      <c r="AY403" s="17">
        <v>0</v>
      </c>
      <c r="AZ403" s="17">
        <v>0</v>
      </c>
      <c r="BA403" s="17">
        <v>0</v>
      </c>
      <c r="BB403" s="17">
        <v>0</v>
      </c>
      <c r="BC403" s="17">
        <v>0</v>
      </c>
      <c r="BD403" s="17">
        <v>0</v>
      </c>
      <c r="BE403" s="17">
        <v>0</v>
      </c>
      <c r="BF403" s="17">
        <v>0</v>
      </c>
      <c r="BG403" s="17">
        <v>0</v>
      </c>
      <c r="BH403" s="17">
        <v>0</v>
      </c>
      <c r="BI403" s="22">
        <f t="shared" si="113"/>
        <v>0</v>
      </c>
      <c r="BJ403" s="22">
        <f t="shared" si="114"/>
        <v>0</v>
      </c>
      <c r="BK403" s="22">
        <f t="shared" si="115"/>
        <v>8</v>
      </c>
      <c r="BL403" s="22">
        <f t="shared" si="116"/>
        <v>8</v>
      </c>
      <c r="BM403" s="22">
        <f t="shared" si="112"/>
        <v>0</v>
      </c>
      <c r="BN403" s="23">
        <f t="shared" si="110"/>
        <v>1</v>
      </c>
      <c r="BO403" s="23" t="e">
        <f t="shared" si="110"/>
        <v>#DIV/0!</v>
      </c>
      <c r="BP403" s="7">
        <f>VLOOKUP(A403,[1]Sheet15!B:E,4,0)</f>
        <v>8</v>
      </c>
      <c r="BQ403" s="7">
        <f>VLOOKUP(A403,[1]Sheet15!B:E,3,0)</f>
        <v>0</v>
      </c>
    </row>
    <row r="404" spans="1:69" ht="22.5" customHeight="1" x14ac:dyDescent="0.25">
      <c r="A404" s="15" t="s">
        <v>1030</v>
      </c>
      <c r="B404" s="15">
        <f>VLOOKUP(A404,'[1]Master clients'!F398:W3945,17,0)</f>
        <v>0</v>
      </c>
      <c r="C404" s="15" t="str">
        <f>VLOOKUP(A404,'[1]Master clients'!F398:P3945,11,0)</f>
        <v>NI</v>
      </c>
      <c r="D404" s="15" t="str">
        <f>VLOOKUP(A404,'[1]Master clients'!F:M,8,0)</f>
        <v>End User</v>
      </c>
      <c r="E404" s="24" t="s">
        <v>1031</v>
      </c>
      <c r="F404" s="25" t="s">
        <v>1025</v>
      </c>
      <c r="G404" s="20">
        <v>0</v>
      </c>
      <c r="H404" s="20">
        <v>0</v>
      </c>
      <c r="I404" s="26">
        <v>15</v>
      </c>
      <c r="J404" s="26">
        <v>0</v>
      </c>
      <c r="K404" s="20">
        <v>0</v>
      </c>
      <c r="L404" s="20">
        <v>0</v>
      </c>
      <c r="M404" s="20">
        <v>0</v>
      </c>
      <c r="N404" s="20">
        <v>0</v>
      </c>
      <c r="O404" s="20">
        <v>0</v>
      </c>
      <c r="P404" s="20">
        <v>0</v>
      </c>
      <c r="Q404" s="20">
        <v>0</v>
      </c>
      <c r="R404" s="20">
        <v>0</v>
      </c>
      <c r="S404" s="20">
        <v>0</v>
      </c>
      <c r="T404" s="20">
        <v>0</v>
      </c>
      <c r="U404" s="20">
        <v>0</v>
      </c>
      <c r="V404" s="20">
        <v>0</v>
      </c>
      <c r="W404" s="20">
        <v>0</v>
      </c>
      <c r="X404" s="20">
        <v>0</v>
      </c>
      <c r="Y404" s="20">
        <v>0</v>
      </c>
      <c r="Z404" s="20">
        <v>0</v>
      </c>
      <c r="AA404" s="20">
        <v>0</v>
      </c>
      <c r="AB404" s="20">
        <v>0</v>
      </c>
      <c r="AC404" s="20">
        <v>0</v>
      </c>
      <c r="AD404" s="20">
        <v>0</v>
      </c>
      <c r="AE404" s="20">
        <v>0</v>
      </c>
      <c r="AF404" s="20">
        <v>0</v>
      </c>
      <c r="AG404" s="20">
        <v>0</v>
      </c>
      <c r="AH404" s="20">
        <v>0</v>
      </c>
      <c r="AI404" s="20">
        <v>0</v>
      </c>
      <c r="AJ404" s="20">
        <v>0</v>
      </c>
      <c r="AK404" s="20">
        <v>0</v>
      </c>
      <c r="AL404" s="20">
        <v>0</v>
      </c>
      <c r="AM404" s="20">
        <v>0</v>
      </c>
      <c r="AN404" s="20">
        <v>0</v>
      </c>
      <c r="AO404" s="20">
        <v>0</v>
      </c>
      <c r="AP404" s="20">
        <v>0</v>
      </c>
      <c r="AQ404" s="20">
        <v>0</v>
      </c>
      <c r="AR404" s="20">
        <v>0</v>
      </c>
      <c r="AS404" s="20">
        <v>0</v>
      </c>
      <c r="AT404" s="20">
        <v>0</v>
      </c>
      <c r="AU404" s="20">
        <v>0</v>
      </c>
      <c r="AV404" s="20">
        <v>0</v>
      </c>
      <c r="AW404" s="20">
        <v>0</v>
      </c>
      <c r="AX404" s="20">
        <v>0</v>
      </c>
      <c r="AY404" s="20">
        <v>0</v>
      </c>
      <c r="AZ404" s="20">
        <v>0</v>
      </c>
      <c r="BA404" s="20">
        <v>0</v>
      </c>
      <c r="BB404" s="27">
        <v>0</v>
      </c>
      <c r="BC404" s="20">
        <v>0</v>
      </c>
      <c r="BD404" s="20">
        <v>0</v>
      </c>
      <c r="BE404" s="21">
        <v>0</v>
      </c>
      <c r="BF404" s="21">
        <v>0</v>
      </c>
      <c r="BG404" s="20">
        <v>0</v>
      </c>
      <c r="BH404" s="20">
        <v>0</v>
      </c>
      <c r="BI404" s="22">
        <f t="shared" si="113"/>
        <v>0</v>
      </c>
      <c r="BJ404" s="22">
        <f t="shared" si="114"/>
        <v>0</v>
      </c>
      <c r="BK404" s="28">
        <f t="shared" si="115"/>
        <v>15</v>
      </c>
      <c r="BL404" s="22">
        <f t="shared" si="116"/>
        <v>15</v>
      </c>
      <c r="BM404" s="22">
        <f t="shared" si="112"/>
        <v>0</v>
      </c>
      <c r="BN404" s="23">
        <f t="shared" si="110"/>
        <v>1</v>
      </c>
      <c r="BO404" s="23" t="e">
        <f t="shared" si="110"/>
        <v>#DIV/0!</v>
      </c>
      <c r="BP404" s="7">
        <f>VLOOKUP(A404,[1]Sheet15!B:E,4,0)</f>
        <v>21</v>
      </c>
      <c r="BQ404" s="7">
        <f>VLOOKUP(A404,[1]Sheet15!B:E,3,0)</f>
        <v>0</v>
      </c>
    </row>
    <row r="405" spans="1:69" ht="22.5" customHeight="1" x14ac:dyDescent="0.25">
      <c r="A405" s="15" t="s">
        <v>1032</v>
      </c>
      <c r="B405" s="15">
        <f>VLOOKUP(A405,'[1]Master clients'!F399:W3946,17,0)</f>
        <v>0</v>
      </c>
      <c r="C405" s="15" t="str">
        <f>VLOOKUP(A405,'[1]Master clients'!F399:P3946,11,0)</f>
        <v>NI</v>
      </c>
      <c r="D405" s="15" t="str">
        <f>VLOOKUP(A405,'[1]Master clients'!F:M,8,0)</f>
        <v>End User</v>
      </c>
      <c r="E405" s="16" t="s">
        <v>1033</v>
      </c>
      <c r="F405" s="16" t="s">
        <v>1025</v>
      </c>
      <c r="G405" s="17"/>
      <c r="H405" s="17"/>
      <c r="I405" s="26">
        <v>16</v>
      </c>
      <c r="J405" s="31">
        <v>0</v>
      </c>
      <c r="K405" s="17">
        <v>0</v>
      </c>
      <c r="L405" s="17">
        <v>0</v>
      </c>
      <c r="M405" s="17">
        <v>0</v>
      </c>
      <c r="N405" s="17">
        <v>0</v>
      </c>
      <c r="O405" s="17">
        <v>0</v>
      </c>
      <c r="P405" s="17">
        <v>0</v>
      </c>
      <c r="Q405" s="17">
        <v>0</v>
      </c>
      <c r="R405" s="17">
        <v>0</v>
      </c>
      <c r="S405" s="17">
        <v>0</v>
      </c>
      <c r="T405" s="17">
        <v>0</v>
      </c>
      <c r="U405" s="17">
        <v>0</v>
      </c>
      <c r="V405" s="17">
        <v>0</v>
      </c>
      <c r="W405" s="17">
        <v>0</v>
      </c>
      <c r="X405" s="17">
        <v>0</v>
      </c>
      <c r="Y405" s="17">
        <v>0</v>
      </c>
      <c r="Z405" s="17">
        <v>0</v>
      </c>
      <c r="AA405" s="17">
        <v>0</v>
      </c>
      <c r="AB405" s="17">
        <v>0</v>
      </c>
      <c r="AC405" s="17">
        <v>0</v>
      </c>
      <c r="AD405" s="17">
        <v>0</v>
      </c>
      <c r="AE405" s="17">
        <v>0</v>
      </c>
      <c r="AF405" s="17">
        <v>0</v>
      </c>
      <c r="AG405" s="17">
        <v>0</v>
      </c>
      <c r="AH405" s="17">
        <v>0</v>
      </c>
      <c r="AI405" s="17">
        <v>0</v>
      </c>
      <c r="AJ405" s="17">
        <v>0</v>
      </c>
      <c r="AK405" s="17">
        <v>0</v>
      </c>
      <c r="AL405" s="17">
        <v>0</v>
      </c>
      <c r="AM405" s="17">
        <v>0</v>
      </c>
      <c r="AN405" s="17">
        <v>0</v>
      </c>
      <c r="AO405" s="17">
        <v>0</v>
      </c>
      <c r="AP405" s="17">
        <v>0</v>
      </c>
      <c r="AQ405" s="17">
        <v>0</v>
      </c>
      <c r="AR405" s="17">
        <v>0</v>
      </c>
      <c r="AS405" s="17">
        <v>0</v>
      </c>
      <c r="AT405" s="17">
        <v>0</v>
      </c>
      <c r="AU405" s="17">
        <v>0</v>
      </c>
      <c r="AV405" s="17">
        <v>0</v>
      </c>
      <c r="AW405" s="17">
        <v>0</v>
      </c>
      <c r="AX405" s="17">
        <v>0</v>
      </c>
      <c r="AY405" s="17">
        <v>0</v>
      </c>
      <c r="AZ405" s="17">
        <v>0</v>
      </c>
      <c r="BA405" s="17">
        <v>0</v>
      </c>
      <c r="BB405" s="17">
        <v>0</v>
      </c>
      <c r="BC405" s="17">
        <v>0</v>
      </c>
      <c r="BD405" s="17">
        <v>0</v>
      </c>
      <c r="BE405" s="17">
        <v>0</v>
      </c>
      <c r="BF405" s="17">
        <v>0</v>
      </c>
      <c r="BG405" s="17">
        <v>0</v>
      </c>
      <c r="BH405" s="17">
        <v>0</v>
      </c>
      <c r="BI405" s="22">
        <f t="shared" si="113"/>
        <v>0</v>
      </c>
      <c r="BJ405" s="22">
        <f t="shared" si="114"/>
        <v>0</v>
      </c>
      <c r="BK405" s="22">
        <f t="shared" si="115"/>
        <v>16</v>
      </c>
      <c r="BL405" s="22">
        <f t="shared" si="116"/>
        <v>16</v>
      </c>
      <c r="BM405" s="22">
        <f t="shared" si="112"/>
        <v>0</v>
      </c>
      <c r="BN405" s="23">
        <f t="shared" ref="BN405:BO420" si="117">I405/BL405</f>
        <v>1</v>
      </c>
      <c r="BO405" s="23" t="e">
        <f t="shared" si="117"/>
        <v>#DIV/0!</v>
      </c>
      <c r="BP405" s="7">
        <f>VLOOKUP(A405,[1]Sheet15!B:E,4,0)</f>
        <v>16</v>
      </c>
      <c r="BQ405" s="7">
        <f>VLOOKUP(A405,[1]Sheet15!B:E,3,0)</f>
        <v>0</v>
      </c>
    </row>
    <row r="406" spans="1:69" ht="22.5" customHeight="1" x14ac:dyDescent="0.25">
      <c r="A406" s="15" t="s">
        <v>1032</v>
      </c>
      <c r="B406" s="15">
        <f>VLOOKUP(A406,'[1]Master clients'!F400:W3947,17,0)</f>
        <v>0</v>
      </c>
      <c r="C406" s="15" t="str">
        <f>VLOOKUP(A406,'[1]Master clients'!F400:P3947,11,0)</f>
        <v>NI</v>
      </c>
      <c r="D406" s="15" t="str">
        <f>VLOOKUP(A406,'[1]Master clients'!F:M,8,0)</f>
        <v>End User</v>
      </c>
      <c r="E406" s="16" t="s">
        <v>1034</v>
      </c>
      <c r="F406" s="16" t="s">
        <v>1035</v>
      </c>
      <c r="G406" s="17"/>
      <c r="H406" s="17"/>
      <c r="I406" s="18">
        <v>15</v>
      </c>
      <c r="J406" s="18">
        <v>0</v>
      </c>
      <c r="K406" s="17">
        <v>2</v>
      </c>
      <c r="L406" s="17">
        <v>0</v>
      </c>
      <c r="M406" s="17">
        <v>0</v>
      </c>
      <c r="N406" s="17">
        <v>0</v>
      </c>
      <c r="O406" s="19">
        <v>0</v>
      </c>
      <c r="P406" s="19">
        <v>0</v>
      </c>
      <c r="Q406" s="19">
        <v>0</v>
      </c>
      <c r="R406" s="19">
        <v>0</v>
      </c>
      <c r="S406" s="19">
        <v>0</v>
      </c>
      <c r="T406" s="19">
        <v>0</v>
      </c>
      <c r="U406" s="19">
        <v>0</v>
      </c>
      <c r="V406" s="19">
        <v>0</v>
      </c>
      <c r="W406" s="20">
        <v>0</v>
      </c>
      <c r="X406" s="20">
        <v>0</v>
      </c>
      <c r="Y406" s="20">
        <v>0</v>
      </c>
      <c r="Z406" s="20">
        <v>0</v>
      </c>
      <c r="AA406" s="20">
        <v>0</v>
      </c>
      <c r="AB406" s="20">
        <v>0</v>
      </c>
      <c r="AC406" s="20">
        <v>0</v>
      </c>
      <c r="AD406" s="20">
        <v>0</v>
      </c>
      <c r="AE406" s="20">
        <v>0</v>
      </c>
      <c r="AF406" s="20">
        <v>0</v>
      </c>
      <c r="AG406" s="20">
        <v>0</v>
      </c>
      <c r="AH406" s="20">
        <v>0</v>
      </c>
      <c r="AI406" s="20">
        <v>0</v>
      </c>
      <c r="AJ406" s="20">
        <v>0</v>
      </c>
      <c r="AK406" s="20">
        <v>0</v>
      </c>
      <c r="AL406" s="20">
        <v>0</v>
      </c>
      <c r="AM406" s="20">
        <v>0</v>
      </c>
      <c r="AN406" s="20">
        <v>0</v>
      </c>
      <c r="AO406" s="20">
        <v>0</v>
      </c>
      <c r="AP406" s="20">
        <v>0</v>
      </c>
      <c r="AQ406" s="20">
        <v>0</v>
      </c>
      <c r="AR406" s="20">
        <v>0</v>
      </c>
      <c r="AS406" s="20">
        <v>0</v>
      </c>
      <c r="AT406" s="20">
        <v>0</v>
      </c>
      <c r="AU406" s="20">
        <v>0</v>
      </c>
      <c r="AV406" s="20">
        <v>0</v>
      </c>
      <c r="AW406" s="20">
        <v>0</v>
      </c>
      <c r="AX406" s="20">
        <v>0</v>
      </c>
      <c r="AY406" s="20">
        <v>0</v>
      </c>
      <c r="AZ406" s="20">
        <v>0</v>
      </c>
      <c r="BA406" s="20">
        <v>0</v>
      </c>
      <c r="BB406" s="20">
        <v>0</v>
      </c>
      <c r="BC406" s="20">
        <v>0</v>
      </c>
      <c r="BD406" s="20">
        <v>0</v>
      </c>
      <c r="BE406" s="20">
        <v>0</v>
      </c>
      <c r="BF406" s="20">
        <v>0</v>
      </c>
      <c r="BG406" s="20">
        <v>0</v>
      </c>
      <c r="BH406" s="20">
        <v>0</v>
      </c>
      <c r="BI406" s="22">
        <f t="shared" si="113"/>
        <v>2</v>
      </c>
      <c r="BJ406" s="22">
        <f t="shared" si="114"/>
        <v>0</v>
      </c>
      <c r="BK406" s="22">
        <f t="shared" si="115"/>
        <v>17</v>
      </c>
      <c r="BL406" s="22">
        <f t="shared" si="116"/>
        <v>17</v>
      </c>
      <c r="BM406" s="22">
        <f t="shared" si="112"/>
        <v>0</v>
      </c>
      <c r="BN406" s="23">
        <f t="shared" si="117"/>
        <v>0.88235294117647056</v>
      </c>
      <c r="BO406" s="23" t="e">
        <f t="shared" si="117"/>
        <v>#DIV/0!</v>
      </c>
      <c r="BP406" s="7">
        <f>VLOOKUP(A406,[1]Sheet15!B:E,4,0)</f>
        <v>16</v>
      </c>
      <c r="BQ406" s="7">
        <f>VLOOKUP(A406,[1]Sheet15!B:E,3,0)</f>
        <v>0</v>
      </c>
    </row>
    <row r="407" spans="1:69" ht="22.5" customHeight="1" x14ac:dyDescent="0.25">
      <c r="A407" s="15" t="s">
        <v>1036</v>
      </c>
      <c r="B407" s="15">
        <f>VLOOKUP(A407,'[1]Master clients'!F401:W3948,17,0)</f>
        <v>0</v>
      </c>
      <c r="C407" s="15" t="str">
        <f>VLOOKUP(A407,'[1]Master clients'!F401:P3948,11,0)</f>
        <v>NI</v>
      </c>
      <c r="D407" s="15" t="str">
        <f>VLOOKUP(A407,'[1]Master clients'!F:M,8,0)</f>
        <v>End User</v>
      </c>
      <c r="E407" s="24" t="s">
        <v>1037</v>
      </c>
      <c r="F407" s="25" t="s">
        <v>1025</v>
      </c>
      <c r="G407" s="20">
        <v>0</v>
      </c>
      <c r="H407" s="20">
        <v>0</v>
      </c>
      <c r="I407" s="26">
        <v>1</v>
      </c>
      <c r="J407" s="26">
        <v>0</v>
      </c>
      <c r="K407" s="20">
        <v>6</v>
      </c>
      <c r="L407" s="20">
        <v>0</v>
      </c>
      <c r="M407" s="20">
        <v>0</v>
      </c>
      <c r="N407" s="20">
        <v>0</v>
      </c>
      <c r="O407" s="20">
        <v>0</v>
      </c>
      <c r="P407" s="20">
        <v>0</v>
      </c>
      <c r="Q407" s="20">
        <v>0</v>
      </c>
      <c r="R407" s="20">
        <v>0</v>
      </c>
      <c r="S407" s="20">
        <v>0</v>
      </c>
      <c r="T407" s="20">
        <v>0</v>
      </c>
      <c r="U407" s="20">
        <v>0</v>
      </c>
      <c r="V407" s="20">
        <v>0</v>
      </c>
      <c r="W407" s="20">
        <v>0</v>
      </c>
      <c r="X407" s="20">
        <v>0</v>
      </c>
      <c r="Y407" s="20">
        <v>0</v>
      </c>
      <c r="Z407" s="20">
        <v>0</v>
      </c>
      <c r="AA407" s="20">
        <v>0</v>
      </c>
      <c r="AB407" s="20">
        <v>0</v>
      </c>
      <c r="AC407" s="20">
        <v>0</v>
      </c>
      <c r="AD407" s="20">
        <v>0</v>
      </c>
      <c r="AE407" s="20">
        <v>0</v>
      </c>
      <c r="AF407" s="20">
        <v>0</v>
      </c>
      <c r="AG407" s="20">
        <v>0</v>
      </c>
      <c r="AH407" s="20">
        <v>0</v>
      </c>
      <c r="AI407" s="20">
        <v>0</v>
      </c>
      <c r="AJ407" s="20">
        <v>0</v>
      </c>
      <c r="AK407" s="20">
        <v>1</v>
      </c>
      <c r="AL407" s="20">
        <v>0</v>
      </c>
      <c r="AM407" s="20">
        <v>0</v>
      </c>
      <c r="AN407" s="20">
        <v>0</v>
      </c>
      <c r="AO407" s="20">
        <v>0</v>
      </c>
      <c r="AP407" s="20">
        <v>0</v>
      </c>
      <c r="AQ407" s="20">
        <v>0</v>
      </c>
      <c r="AR407" s="20">
        <v>0</v>
      </c>
      <c r="AS407" s="20">
        <v>0</v>
      </c>
      <c r="AT407" s="20">
        <v>0</v>
      </c>
      <c r="AU407" s="20">
        <v>0</v>
      </c>
      <c r="AV407" s="20">
        <v>0</v>
      </c>
      <c r="AW407" s="20">
        <v>0</v>
      </c>
      <c r="AX407" s="20">
        <v>0</v>
      </c>
      <c r="AY407" s="20">
        <v>0</v>
      </c>
      <c r="AZ407" s="20">
        <v>0</v>
      </c>
      <c r="BA407" s="20">
        <v>0</v>
      </c>
      <c r="BB407" s="27">
        <v>0</v>
      </c>
      <c r="BC407" s="20">
        <v>0</v>
      </c>
      <c r="BD407" s="20">
        <v>0</v>
      </c>
      <c r="BE407" s="21">
        <v>0</v>
      </c>
      <c r="BF407" s="21">
        <v>0</v>
      </c>
      <c r="BG407" s="20">
        <v>0</v>
      </c>
      <c r="BH407" s="20">
        <v>0</v>
      </c>
      <c r="BI407" s="22">
        <f t="shared" si="113"/>
        <v>7</v>
      </c>
      <c r="BJ407" s="22">
        <f t="shared" si="114"/>
        <v>0</v>
      </c>
      <c r="BK407" s="28">
        <f t="shared" si="115"/>
        <v>8</v>
      </c>
      <c r="BL407" s="22">
        <f t="shared" si="116"/>
        <v>8</v>
      </c>
      <c r="BM407" s="22">
        <f t="shared" si="112"/>
        <v>0</v>
      </c>
      <c r="BN407" s="23">
        <f t="shared" si="117"/>
        <v>0.125</v>
      </c>
      <c r="BO407" s="23" t="e">
        <f t="shared" si="117"/>
        <v>#DIV/0!</v>
      </c>
      <c r="BP407" s="7">
        <f>VLOOKUP(A407,[1]Sheet15!B:E,4,0)</f>
        <v>1</v>
      </c>
      <c r="BQ407" s="7">
        <f>VLOOKUP(A407,[1]Sheet15!B:E,3,0)</f>
        <v>0</v>
      </c>
    </row>
    <row r="408" spans="1:69" ht="22.5" customHeight="1" x14ac:dyDescent="0.25">
      <c r="A408" s="15" t="s">
        <v>1038</v>
      </c>
      <c r="B408" s="15" t="e">
        <f>VLOOKUP(A408,'[1]Master clients'!F402:W3949,17,0)</f>
        <v>#N/A</v>
      </c>
      <c r="C408" s="15" t="e">
        <f>VLOOKUP(A408,'[1]Master clients'!F402:P3949,11,0)</f>
        <v>#N/A</v>
      </c>
      <c r="D408" s="15" t="str">
        <f>VLOOKUP(A408,'[1]Master clients'!F:M,8,0)</f>
        <v>End User</v>
      </c>
      <c r="E408" s="16" t="s">
        <v>1039</v>
      </c>
      <c r="F408" s="16" t="s">
        <v>1040</v>
      </c>
      <c r="G408" s="17"/>
      <c r="H408" s="17"/>
      <c r="I408" s="18">
        <v>1</v>
      </c>
      <c r="J408" s="18">
        <v>0</v>
      </c>
      <c r="K408" s="17">
        <v>0</v>
      </c>
      <c r="L408" s="17">
        <v>0</v>
      </c>
      <c r="M408" s="17">
        <v>0</v>
      </c>
      <c r="N408" s="17">
        <v>5</v>
      </c>
      <c r="O408" s="17">
        <v>0</v>
      </c>
      <c r="P408" s="17">
        <v>0</v>
      </c>
      <c r="Q408" s="17">
        <v>2</v>
      </c>
      <c r="R408" s="17">
        <v>0</v>
      </c>
      <c r="S408" s="17">
        <v>0</v>
      </c>
      <c r="T408" s="17">
        <v>0</v>
      </c>
      <c r="U408" s="17">
        <v>0</v>
      </c>
      <c r="V408" s="17">
        <v>0</v>
      </c>
      <c r="W408" s="17">
        <v>10</v>
      </c>
      <c r="X408" s="17">
        <v>0</v>
      </c>
      <c r="Y408" s="17">
        <v>0</v>
      </c>
      <c r="Z408" s="17">
        <v>0</v>
      </c>
      <c r="AA408" s="17">
        <v>0</v>
      </c>
      <c r="AB408" s="17">
        <v>0</v>
      </c>
      <c r="AC408" s="17">
        <v>0</v>
      </c>
      <c r="AD408" s="17">
        <v>0</v>
      </c>
      <c r="AE408" s="17">
        <v>0</v>
      </c>
      <c r="AF408" s="17">
        <v>0</v>
      </c>
      <c r="AG408" s="17">
        <v>0</v>
      </c>
      <c r="AH408" s="17">
        <v>0</v>
      </c>
      <c r="AI408" s="17">
        <v>0</v>
      </c>
      <c r="AJ408" s="17">
        <v>0</v>
      </c>
      <c r="AK408" s="17">
        <v>0</v>
      </c>
      <c r="AL408" s="17">
        <v>0</v>
      </c>
      <c r="AM408" s="17">
        <v>0</v>
      </c>
      <c r="AN408" s="17">
        <v>0</v>
      </c>
      <c r="AO408" s="17">
        <v>0</v>
      </c>
      <c r="AP408" s="17">
        <v>0</v>
      </c>
      <c r="AQ408" s="17">
        <v>0</v>
      </c>
      <c r="AR408" s="17">
        <v>0</v>
      </c>
      <c r="AS408" s="17">
        <v>0</v>
      </c>
      <c r="AT408" s="17">
        <v>0</v>
      </c>
      <c r="AU408" s="17">
        <v>0</v>
      </c>
      <c r="AV408" s="17">
        <v>0</v>
      </c>
      <c r="AW408" s="17">
        <v>0</v>
      </c>
      <c r="AX408" s="17">
        <v>0</v>
      </c>
      <c r="AY408" s="17">
        <v>0</v>
      </c>
      <c r="AZ408" s="17">
        <v>0</v>
      </c>
      <c r="BA408" s="17">
        <v>0</v>
      </c>
      <c r="BB408" s="17">
        <v>0</v>
      </c>
      <c r="BC408" s="17">
        <v>0</v>
      </c>
      <c r="BD408" s="17">
        <v>0</v>
      </c>
      <c r="BE408" s="17">
        <v>0</v>
      </c>
      <c r="BF408" s="17">
        <v>0</v>
      </c>
      <c r="BG408" s="17">
        <v>0</v>
      </c>
      <c r="BH408" s="17">
        <v>0</v>
      </c>
      <c r="BI408" s="22">
        <f t="shared" si="113"/>
        <v>10</v>
      </c>
      <c r="BJ408" s="22">
        <f t="shared" si="114"/>
        <v>7</v>
      </c>
      <c r="BK408" s="22">
        <f t="shared" si="115"/>
        <v>18</v>
      </c>
      <c r="BL408" s="22">
        <f t="shared" si="116"/>
        <v>11</v>
      </c>
      <c r="BM408" s="22">
        <f t="shared" si="112"/>
        <v>7</v>
      </c>
      <c r="BN408" s="23">
        <f t="shared" si="117"/>
        <v>9.0909090909090912E-2</v>
      </c>
      <c r="BO408" s="23">
        <f t="shared" si="117"/>
        <v>0</v>
      </c>
      <c r="BP408" s="7" t="e">
        <f>VLOOKUP(A408,[1]Sheet15!B:E,4,0)</f>
        <v>#N/A</v>
      </c>
      <c r="BQ408" s="7" t="e">
        <f>VLOOKUP(A408,[1]Sheet15!B:E,3,0)</f>
        <v>#N/A</v>
      </c>
    </row>
    <row r="409" spans="1:69" ht="22.5" customHeight="1" x14ac:dyDescent="0.25">
      <c r="A409" s="15" t="s">
        <v>1041</v>
      </c>
      <c r="B409" s="15">
        <f>VLOOKUP(A409,'[1]Master clients'!F403:W3950,17,0)</f>
        <v>0</v>
      </c>
      <c r="C409" s="15" t="str">
        <f>VLOOKUP(A409,'[1]Master clients'!F403:P3950,11,0)</f>
        <v>NI</v>
      </c>
      <c r="D409" s="15" t="str">
        <f>VLOOKUP(A409,'[1]Master clients'!F:M,8,0)</f>
        <v>End User</v>
      </c>
      <c r="E409" s="24" t="s">
        <v>1042</v>
      </c>
      <c r="F409" s="25" t="s">
        <v>1043</v>
      </c>
      <c r="G409" s="20">
        <v>0</v>
      </c>
      <c r="H409" s="20">
        <v>0</v>
      </c>
      <c r="I409" s="26">
        <v>11</v>
      </c>
      <c r="J409" s="26">
        <v>7</v>
      </c>
      <c r="K409" s="20">
        <v>0</v>
      </c>
      <c r="L409" s="20">
        <v>0</v>
      </c>
      <c r="M409" s="20">
        <v>0</v>
      </c>
      <c r="N409" s="20">
        <v>2</v>
      </c>
      <c r="O409" s="20">
        <v>0</v>
      </c>
      <c r="P409" s="20">
        <v>0</v>
      </c>
      <c r="Q409" s="20">
        <v>0</v>
      </c>
      <c r="R409" s="20">
        <v>0</v>
      </c>
      <c r="S409" s="20">
        <v>0</v>
      </c>
      <c r="T409" s="20">
        <v>0</v>
      </c>
      <c r="U409" s="20">
        <v>0</v>
      </c>
      <c r="V409" s="20">
        <v>0</v>
      </c>
      <c r="W409" s="20">
        <v>0</v>
      </c>
      <c r="X409" s="20">
        <v>0</v>
      </c>
      <c r="Y409" s="20">
        <v>0</v>
      </c>
      <c r="Z409" s="20">
        <v>0</v>
      </c>
      <c r="AA409" s="20">
        <v>0</v>
      </c>
      <c r="AB409" s="20">
        <v>0</v>
      </c>
      <c r="AC409" s="20">
        <v>0</v>
      </c>
      <c r="AD409" s="20">
        <v>0</v>
      </c>
      <c r="AE409" s="20">
        <v>0</v>
      </c>
      <c r="AF409" s="20">
        <v>0</v>
      </c>
      <c r="AG409" s="20">
        <v>0</v>
      </c>
      <c r="AH409" s="20">
        <v>0</v>
      </c>
      <c r="AI409" s="20">
        <v>0</v>
      </c>
      <c r="AJ409" s="20">
        <v>0</v>
      </c>
      <c r="AK409" s="20">
        <v>0</v>
      </c>
      <c r="AL409" s="20">
        <v>0</v>
      </c>
      <c r="AM409" s="20">
        <v>0</v>
      </c>
      <c r="AN409" s="20">
        <v>0</v>
      </c>
      <c r="AO409" s="20">
        <v>0</v>
      </c>
      <c r="AP409" s="20">
        <v>0</v>
      </c>
      <c r="AQ409" s="20">
        <v>0</v>
      </c>
      <c r="AR409" s="20">
        <v>0</v>
      </c>
      <c r="AS409" s="20">
        <v>0</v>
      </c>
      <c r="AT409" s="20">
        <v>0</v>
      </c>
      <c r="AU409" s="20">
        <v>0</v>
      </c>
      <c r="AV409" s="20">
        <v>0</v>
      </c>
      <c r="AW409" s="20">
        <v>0</v>
      </c>
      <c r="AX409" s="20">
        <v>0</v>
      </c>
      <c r="AY409" s="20">
        <v>0</v>
      </c>
      <c r="AZ409" s="20">
        <v>0</v>
      </c>
      <c r="BA409" s="20">
        <v>0</v>
      </c>
      <c r="BB409" s="27">
        <v>0</v>
      </c>
      <c r="BC409" s="20">
        <v>0</v>
      </c>
      <c r="BD409" s="20">
        <v>0</v>
      </c>
      <c r="BE409" s="21">
        <v>0</v>
      </c>
      <c r="BF409" s="21">
        <v>0</v>
      </c>
      <c r="BG409" s="20">
        <v>0</v>
      </c>
      <c r="BH409" s="20">
        <v>0</v>
      </c>
      <c r="BI409" s="22">
        <f t="shared" si="113"/>
        <v>0</v>
      </c>
      <c r="BJ409" s="22">
        <f t="shared" si="114"/>
        <v>2</v>
      </c>
      <c r="BK409" s="28">
        <f t="shared" si="115"/>
        <v>20</v>
      </c>
      <c r="BL409" s="22">
        <f t="shared" si="116"/>
        <v>11</v>
      </c>
      <c r="BM409" s="22">
        <f t="shared" si="112"/>
        <v>9</v>
      </c>
      <c r="BN409" s="23">
        <f t="shared" si="117"/>
        <v>1</v>
      </c>
      <c r="BO409" s="23">
        <f t="shared" si="117"/>
        <v>0.77777777777777779</v>
      </c>
      <c r="BP409" s="7">
        <f>VLOOKUP(A409,[1]Sheet15!B:E,4,0)</f>
        <v>4</v>
      </c>
      <c r="BQ409" s="7">
        <f>VLOOKUP(A409,[1]Sheet15!B:E,3,0)</f>
        <v>1</v>
      </c>
    </row>
    <row r="410" spans="1:69" ht="22.5" customHeight="1" x14ac:dyDescent="0.25">
      <c r="A410" s="15" t="s">
        <v>1044</v>
      </c>
      <c r="B410" s="15" t="e">
        <f>VLOOKUP(A410,'[1]Master clients'!F404:W3951,17,0)</f>
        <v>#N/A</v>
      </c>
      <c r="C410" s="15" t="e">
        <f>VLOOKUP(A410,'[1]Master clients'!F404:P3951,11,0)</f>
        <v>#N/A</v>
      </c>
      <c r="D410" s="15" t="str">
        <f>VLOOKUP(A410,'[1]Master clients'!F:M,8,0)</f>
        <v>End User</v>
      </c>
      <c r="E410" s="16" t="s">
        <v>1045</v>
      </c>
      <c r="F410" s="16" t="s">
        <v>1046</v>
      </c>
      <c r="G410" s="17"/>
      <c r="H410" s="17">
        <v>2</v>
      </c>
      <c r="I410" s="26">
        <v>2</v>
      </c>
      <c r="J410" s="31">
        <v>2</v>
      </c>
      <c r="K410" s="17">
        <v>0</v>
      </c>
      <c r="L410" s="17">
        <v>0</v>
      </c>
      <c r="M410" s="17">
        <v>0</v>
      </c>
      <c r="N410" s="17">
        <v>0</v>
      </c>
      <c r="O410" s="17">
        <v>0</v>
      </c>
      <c r="P410" s="17">
        <v>0</v>
      </c>
      <c r="Q410" s="17">
        <v>0</v>
      </c>
      <c r="R410" s="17">
        <v>0</v>
      </c>
      <c r="S410" s="17">
        <v>0</v>
      </c>
      <c r="T410" s="17">
        <v>0</v>
      </c>
      <c r="U410" s="17">
        <v>0</v>
      </c>
      <c r="V410" s="17">
        <v>0</v>
      </c>
      <c r="W410" s="17">
        <v>0</v>
      </c>
      <c r="X410" s="17">
        <v>0</v>
      </c>
      <c r="Y410" s="17">
        <v>0</v>
      </c>
      <c r="Z410" s="17">
        <v>0</v>
      </c>
      <c r="AA410" s="17">
        <v>0</v>
      </c>
      <c r="AB410" s="17">
        <v>0</v>
      </c>
      <c r="AC410" s="17">
        <v>0</v>
      </c>
      <c r="AD410" s="17">
        <v>0</v>
      </c>
      <c r="AE410" s="17">
        <v>0</v>
      </c>
      <c r="AF410" s="17">
        <v>0</v>
      </c>
      <c r="AG410" s="17">
        <v>0</v>
      </c>
      <c r="AH410" s="17">
        <v>0</v>
      </c>
      <c r="AI410" s="17">
        <v>0</v>
      </c>
      <c r="AJ410" s="17">
        <v>0</v>
      </c>
      <c r="AK410" s="17">
        <v>0</v>
      </c>
      <c r="AL410" s="17">
        <v>0</v>
      </c>
      <c r="AM410" s="17">
        <v>0</v>
      </c>
      <c r="AN410" s="17">
        <v>0</v>
      </c>
      <c r="AO410" s="17">
        <v>0</v>
      </c>
      <c r="AP410" s="17">
        <v>0</v>
      </c>
      <c r="AQ410" s="17">
        <v>0</v>
      </c>
      <c r="AR410" s="17">
        <v>0</v>
      </c>
      <c r="AS410" s="17">
        <v>0</v>
      </c>
      <c r="AT410" s="17">
        <v>0</v>
      </c>
      <c r="AU410" s="17">
        <v>0</v>
      </c>
      <c r="AV410" s="17">
        <v>0</v>
      </c>
      <c r="AW410" s="17">
        <v>0</v>
      </c>
      <c r="AX410" s="17">
        <v>0</v>
      </c>
      <c r="AY410" s="17">
        <v>0</v>
      </c>
      <c r="AZ410" s="17">
        <v>0</v>
      </c>
      <c r="BA410" s="17">
        <v>0</v>
      </c>
      <c r="BB410" s="17">
        <v>0</v>
      </c>
      <c r="BC410" s="17">
        <v>0</v>
      </c>
      <c r="BD410" s="17">
        <v>0</v>
      </c>
      <c r="BE410" s="17">
        <v>0</v>
      </c>
      <c r="BF410" s="17">
        <v>0</v>
      </c>
      <c r="BG410" s="17">
        <v>0</v>
      </c>
      <c r="BH410" s="17">
        <v>0</v>
      </c>
      <c r="BI410" s="22">
        <f t="shared" si="113"/>
        <v>0</v>
      </c>
      <c r="BJ410" s="22">
        <f t="shared" si="114"/>
        <v>0</v>
      </c>
      <c r="BK410" s="22">
        <f t="shared" si="115"/>
        <v>4</v>
      </c>
      <c r="BL410" s="22">
        <f t="shared" si="116"/>
        <v>2</v>
      </c>
      <c r="BM410" s="22">
        <f t="shared" si="112"/>
        <v>2</v>
      </c>
      <c r="BN410" s="23">
        <f t="shared" si="117"/>
        <v>1</v>
      </c>
      <c r="BO410" s="23">
        <f t="shared" si="117"/>
        <v>1</v>
      </c>
      <c r="BP410" s="7">
        <f>VLOOKUP(A410,[1]Sheet15!B:E,4,0)</f>
        <v>2</v>
      </c>
      <c r="BQ410" s="7">
        <f>VLOOKUP(A410,[1]Sheet15!B:E,3,0)</f>
        <v>2</v>
      </c>
    </row>
    <row r="411" spans="1:69" ht="22.5" customHeight="1" x14ac:dyDescent="0.25">
      <c r="A411" s="15" t="s">
        <v>1047</v>
      </c>
      <c r="B411" s="15" t="e">
        <f>VLOOKUP(A411,'[1]Master clients'!F405:W3952,17,0)</f>
        <v>#N/A</v>
      </c>
      <c r="C411" s="15" t="e">
        <f>VLOOKUP(A411,'[1]Master clients'!F405:P3952,11,0)</f>
        <v>#N/A</v>
      </c>
      <c r="D411" s="15" t="str">
        <f>VLOOKUP(A411,'[1]Master clients'!F:M,8,0)</f>
        <v>Group (Mills)</v>
      </c>
      <c r="E411" s="24" t="s">
        <v>1048</v>
      </c>
      <c r="F411" s="25" t="s">
        <v>1049</v>
      </c>
      <c r="G411" s="20">
        <v>7</v>
      </c>
      <c r="H411" s="20">
        <v>0</v>
      </c>
      <c r="I411" s="26">
        <v>9</v>
      </c>
      <c r="J411" s="26">
        <v>0</v>
      </c>
      <c r="K411" s="20">
        <v>24</v>
      </c>
      <c r="L411" s="20">
        <v>0</v>
      </c>
      <c r="M411" s="20">
        <v>0</v>
      </c>
      <c r="N411" s="20">
        <v>0</v>
      </c>
      <c r="O411" s="20">
        <v>12</v>
      </c>
      <c r="P411" s="20">
        <v>0</v>
      </c>
      <c r="Q411" s="20">
        <v>0</v>
      </c>
      <c r="R411" s="20">
        <v>0</v>
      </c>
      <c r="S411" s="20">
        <v>0</v>
      </c>
      <c r="T411" s="20">
        <v>0</v>
      </c>
      <c r="U411" s="20">
        <v>0</v>
      </c>
      <c r="V411" s="20">
        <v>0</v>
      </c>
      <c r="W411" s="20">
        <v>0</v>
      </c>
      <c r="X411" s="20">
        <v>0</v>
      </c>
      <c r="Y411" s="20">
        <v>0</v>
      </c>
      <c r="Z411" s="20">
        <v>0</v>
      </c>
      <c r="AA411" s="20">
        <v>0</v>
      </c>
      <c r="AB411" s="20">
        <v>0</v>
      </c>
      <c r="AC411" s="20">
        <v>0</v>
      </c>
      <c r="AD411" s="20">
        <v>0</v>
      </c>
      <c r="AE411" s="20">
        <v>0</v>
      </c>
      <c r="AF411" s="20">
        <v>0</v>
      </c>
      <c r="AG411" s="20">
        <v>0</v>
      </c>
      <c r="AH411" s="20">
        <v>0</v>
      </c>
      <c r="AI411" s="20">
        <v>0</v>
      </c>
      <c r="AJ411" s="20">
        <v>0</v>
      </c>
      <c r="AK411" s="20">
        <v>0</v>
      </c>
      <c r="AL411" s="20">
        <v>0</v>
      </c>
      <c r="AM411" s="20">
        <v>0</v>
      </c>
      <c r="AN411" s="20">
        <v>0</v>
      </c>
      <c r="AO411" s="20">
        <v>0</v>
      </c>
      <c r="AP411" s="20">
        <v>0</v>
      </c>
      <c r="AQ411" s="20">
        <v>0</v>
      </c>
      <c r="AR411" s="20">
        <v>0</v>
      </c>
      <c r="AS411" s="20">
        <v>0</v>
      </c>
      <c r="AT411" s="20">
        <v>0</v>
      </c>
      <c r="AU411" s="19">
        <v>0</v>
      </c>
      <c r="AV411" s="20">
        <v>0</v>
      </c>
      <c r="AW411" s="20">
        <v>0</v>
      </c>
      <c r="AX411" s="20">
        <v>0</v>
      </c>
      <c r="AY411" s="20">
        <v>0</v>
      </c>
      <c r="AZ411" s="20">
        <v>0</v>
      </c>
      <c r="BA411" s="19">
        <v>0</v>
      </c>
      <c r="BB411" s="27">
        <v>0</v>
      </c>
      <c r="BC411" s="19">
        <v>0</v>
      </c>
      <c r="BD411" s="19">
        <v>0</v>
      </c>
      <c r="BE411" s="21">
        <v>0</v>
      </c>
      <c r="BF411" s="21">
        <v>0</v>
      </c>
      <c r="BG411" s="19">
        <v>0</v>
      </c>
      <c r="BH411" s="19">
        <v>0</v>
      </c>
      <c r="BI411" s="22">
        <f t="shared" si="113"/>
        <v>24</v>
      </c>
      <c r="BJ411" s="22">
        <f t="shared" si="114"/>
        <v>12</v>
      </c>
      <c r="BK411" s="28">
        <f t="shared" si="115"/>
        <v>45</v>
      </c>
      <c r="BL411" s="22">
        <f t="shared" si="116"/>
        <v>33</v>
      </c>
      <c r="BM411" s="22">
        <f t="shared" si="112"/>
        <v>12</v>
      </c>
      <c r="BN411" s="23">
        <f t="shared" si="117"/>
        <v>0.27272727272727271</v>
      </c>
      <c r="BO411" s="23">
        <f t="shared" si="117"/>
        <v>0</v>
      </c>
      <c r="BP411" s="7">
        <f>VLOOKUP(A411,[1]Sheet15!B:E,4,0)</f>
        <v>7</v>
      </c>
      <c r="BQ411" s="7">
        <f>VLOOKUP(A411,[1]Sheet15!B:E,3,0)</f>
        <v>0</v>
      </c>
    </row>
    <row r="412" spans="1:69" ht="22.5" customHeight="1" x14ac:dyDescent="0.25">
      <c r="A412" s="15" t="s">
        <v>1050</v>
      </c>
      <c r="B412" s="15" t="e">
        <f>VLOOKUP(A412,'[1]Master clients'!F406:W3953,17,0)</f>
        <v>#N/A</v>
      </c>
      <c r="C412" s="15" t="e">
        <f>VLOOKUP(A412,'[1]Master clients'!F406:P3953,11,0)</f>
        <v>#N/A</v>
      </c>
      <c r="D412" s="15" t="str">
        <f>VLOOKUP(A412,'[1]Master clients'!F:M,8,0)</f>
        <v>Group (Mills)</v>
      </c>
      <c r="E412" s="24" t="s">
        <v>1051</v>
      </c>
      <c r="F412" s="25" t="s">
        <v>1049</v>
      </c>
      <c r="G412" s="20">
        <v>0</v>
      </c>
      <c r="H412" s="20">
        <v>0</v>
      </c>
      <c r="I412" s="26">
        <v>15</v>
      </c>
      <c r="J412" s="26">
        <v>0</v>
      </c>
      <c r="K412" s="20">
        <v>0</v>
      </c>
      <c r="L412" s="20">
        <v>2</v>
      </c>
      <c r="M412" s="20">
        <v>0</v>
      </c>
      <c r="N412" s="20">
        <v>0</v>
      </c>
      <c r="O412" s="20">
        <v>8</v>
      </c>
      <c r="P412" s="20">
        <v>0</v>
      </c>
      <c r="Q412" s="20">
        <v>2</v>
      </c>
      <c r="R412" s="20">
        <v>8</v>
      </c>
      <c r="S412" s="20">
        <v>0</v>
      </c>
      <c r="T412" s="20">
        <v>0</v>
      </c>
      <c r="U412" s="20">
        <v>0</v>
      </c>
      <c r="V412" s="20">
        <v>0</v>
      </c>
      <c r="W412" s="20">
        <v>0</v>
      </c>
      <c r="X412" s="20">
        <v>4</v>
      </c>
      <c r="Y412" s="20">
        <v>0</v>
      </c>
      <c r="Z412" s="20">
        <v>0</v>
      </c>
      <c r="AA412" s="20">
        <v>0</v>
      </c>
      <c r="AB412" s="20">
        <v>0</v>
      </c>
      <c r="AC412" s="20">
        <v>0</v>
      </c>
      <c r="AD412" s="20">
        <v>0</v>
      </c>
      <c r="AE412" s="20">
        <v>0</v>
      </c>
      <c r="AF412" s="20">
        <v>0</v>
      </c>
      <c r="AG412" s="20">
        <v>0</v>
      </c>
      <c r="AH412" s="20">
        <v>0</v>
      </c>
      <c r="AI412" s="20">
        <v>0</v>
      </c>
      <c r="AJ412" s="20">
        <v>0</v>
      </c>
      <c r="AK412" s="20">
        <v>0</v>
      </c>
      <c r="AL412" s="20">
        <v>0</v>
      </c>
      <c r="AM412" s="20">
        <v>0</v>
      </c>
      <c r="AN412" s="20">
        <v>0</v>
      </c>
      <c r="AO412" s="20">
        <v>0</v>
      </c>
      <c r="AP412" s="20">
        <v>0</v>
      </c>
      <c r="AQ412" s="20">
        <v>0</v>
      </c>
      <c r="AR412" s="20">
        <v>0</v>
      </c>
      <c r="AS412" s="20">
        <v>0</v>
      </c>
      <c r="AT412" s="20">
        <v>0</v>
      </c>
      <c r="AU412" s="19">
        <v>0</v>
      </c>
      <c r="AV412" s="20">
        <v>0</v>
      </c>
      <c r="AW412" s="20">
        <v>0</v>
      </c>
      <c r="AX412" s="20">
        <v>0</v>
      </c>
      <c r="AY412" s="20">
        <v>0</v>
      </c>
      <c r="AZ412" s="20">
        <v>0</v>
      </c>
      <c r="BA412" s="19">
        <v>0</v>
      </c>
      <c r="BB412" s="27">
        <v>0</v>
      </c>
      <c r="BC412" s="19">
        <v>0</v>
      </c>
      <c r="BD412" s="19">
        <v>0</v>
      </c>
      <c r="BE412" s="21">
        <v>0</v>
      </c>
      <c r="BF412" s="21">
        <v>0</v>
      </c>
      <c r="BG412" s="19">
        <v>0</v>
      </c>
      <c r="BH412" s="19">
        <v>0</v>
      </c>
      <c r="BI412" s="22">
        <f t="shared" si="113"/>
        <v>10</v>
      </c>
      <c r="BJ412" s="22">
        <f t="shared" si="114"/>
        <v>14</v>
      </c>
      <c r="BK412" s="28">
        <f t="shared" si="115"/>
        <v>39</v>
      </c>
      <c r="BL412" s="22">
        <f t="shared" si="116"/>
        <v>25</v>
      </c>
      <c r="BM412" s="22">
        <f t="shared" si="112"/>
        <v>14</v>
      </c>
      <c r="BN412" s="23">
        <f t="shared" si="117"/>
        <v>0.6</v>
      </c>
      <c r="BO412" s="23">
        <f t="shared" si="117"/>
        <v>0</v>
      </c>
      <c r="BP412" s="7">
        <f>VLOOKUP(A412,[1]Sheet15!B:E,4,0)</f>
        <v>14</v>
      </c>
      <c r="BQ412" s="7">
        <f>VLOOKUP(A412,[1]Sheet15!B:E,3,0)</f>
        <v>0</v>
      </c>
    </row>
    <row r="413" spans="1:69" ht="22.5" customHeight="1" x14ac:dyDescent="0.25">
      <c r="A413" s="15" t="s">
        <v>1052</v>
      </c>
      <c r="B413" s="15" t="e">
        <f>VLOOKUP(A413,'[1]Master clients'!F407:W3954,17,0)</f>
        <v>#N/A</v>
      </c>
      <c r="C413" s="15" t="e">
        <f>VLOOKUP(A413,'[1]Master clients'!F407:P3954,11,0)</f>
        <v>#N/A</v>
      </c>
      <c r="D413" s="15" t="str">
        <f>VLOOKUP(A413,'[1]Master clients'!F:M,8,0)</f>
        <v>Group (Mills)</v>
      </c>
      <c r="E413" s="24" t="s">
        <v>1053</v>
      </c>
      <c r="F413" s="25" t="s">
        <v>1049</v>
      </c>
      <c r="G413" s="20">
        <v>15</v>
      </c>
      <c r="H413" s="20">
        <v>0</v>
      </c>
      <c r="I413" s="26">
        <v>19</v>
      </c>
      <c r="J413" s="26">
        <v>0</v>
      </c>
      <c r="K413" s="20">
        <v>0</v>
      </c>
      <c r="L413" s="20">
        <v>12</v>
      </c>
      <c r="M413" s="20">
        <v>0</v>
      </c>
      <c r="N413" s="20">
        <v>6</v>
      </c>
      <c r="O413" s="20">
        <v>4</v>
      </c>
      <c r="P413" s="20">
        <v>0</v>
      </c>
      <c r="Q413" s="20">
        <v>0</v>
      </c>
      <c r="R413" s="20">
        <v>0</v>
      </c>
      <c r="S413" s="20">
        <v>0</v>
      </c>
      <c r="T413" s="20">
        <v>0</v>
      </c>
      <c r="U413" s="20">
        <v>0</v>
      </c>
      <c r="V413" s="20">
        <v>0</v>
      </c>
      <c r="W413" s="20">
        <v>0</v>
      </c>
      <c r="X413" s="20">
        <v>0</v>
      </c>
      <c r="Y413" s="20">
        <v>0</v>
      </c>
      <c r="Z413" s="20">
        <v>0</v>
      </c>
      <c r="AA413" s="20">
        <v>0</v>
      </c>
      <c r="AB413" s="20">
        <v>0</v>
      </c>
      <c r="AC413" s="20">
        <v>0</v>
      </c>
      <c r="AD413" s="20">
        <v>0</v>
      </c>
      <c r="AE413" s="20">
        <v>0</v>
      </c>
      <c r="AF413" s="20">
        <v>0</v>
      </c>
      <c r="AG413" s="20">
        <v>0</v>
      </c>
      <c r="AH413" s="20">
        <v>0</v>
      </c>
      <c r="AI413" s="20">
        <v>0</v>
      </c>
      <c r="AJ413" s="20">
        <v>0</v>
      </c>
      <c r="AK413" s="20">
        <v>0</v>
      </c>
      <c r="AL413" s="20">
        <v>0</v>
      </c>
      <c r="AM413" s="20">
        <v>0</v>
      </c>
      <c r="AN413" s="20">
        <v>0</v>
      </c>
      <c r="AO413" s="20">
        <v>0</v>
      </c>
      <c r="AP413" s="20">
        <v>0</v>
      </c>
      <c r="AQ413" s="20">
        <v>0</v>
      </c>
      <c r="AR413" s="20">
        <v>0</v>
      </c>
      <c r="AS413" s="20">
        <v>0</v>
      </c>
      <c r="AT413" s="20">
        <v>0</v>
      </c>
      <c r="AU413" s="19">
        <v>0</v>
      </c>
      <c r="AV413" s="20">
        <v>0</v>
      </c>
      <c r="AW413" s="20">
        <v>0</v>
      </c>
      <c r="AX413" s="20">
        <v>0</v>
      </c>
      <c r="AY413" s="20">
        <v>0</v>
      </c>
      <c r="AZ413" s="20">
        <v>0</v>
      </c>
      <c r="BA413" s="19">
        <v>0</v>
      </c>
      <c r="BB413" s="27">
        <v>0</v>
      </c>
      <c r="BC413" s="19">
        <v>0</v>
      </c>
      <c r="BD413" s="19">
        <v>0</v>
      </c>
      <c r="BE413" s="21">
        <v>0</v>
      </c>
      <c r="BF413" s="21">
        <v>0</v>
      </c>
      <c r="BG413" s="19">
        <v>0</v>
      </c>
      <c r="BH413" s="19">
        <v>0</v>
      </c>
      <c r="BI413" s="22">
        <f t="shared" si="113"/>
        <v>12</v>
      </c>
      <c r="BJ413" s="22">
        <f t="shared" si="114"/>
        <v>10</v>
      </c>
      <c r="BK413" s="28">
        <f t="shared" si="115"/>
        <v>41</v>
      </c>
      <c r="BL413" s="22">
        <f t="shared" si="116"/>
        <v>31</v>
      </c>
      <c r="BM413" s="22">
        <f t="shared" si="112"/>
        <v>10</v>
      </c>
      <c r="BN413" s="23">
        <f t="shared" si="117"/>
        <v>0.61290322580645162</v>
      </c>
      <c r="BO413" s="23">
        <f t="shared" si="117"/>
        <v>0</v>
      </c>
      <c r="BP413" s="7">
        <f>VLOOKUP(A413,[1]Sheet15!B:E,4,0)</f>
        <v>11</v>
      </c>
      <c r="BQ413" s="7">
        <f>VLOOKUP(A413,[1]Sheet15!B:E,3,0)</f>
        <v>0</v>
      </c>
    </row>
    <row r="414" spans="1:69" ht="22.5" customHeight="1" x14ac:dyDescent="0.25">
      <c r="A414" s="15" t="s">
        <v>1054</v>
      </c>
      <c r="B414" s="15" t="e">
        <f>VLOOKUP(A414,'[1]Master clients'!F408:W3955,17,0)</f>
        <v>#N/A</v>
      </c>
      <c r="C414" s="15" t="e">
        <f>VLOOKUP(A414,'[1]Master clients'!F408:P3955,11,0)</f>
        <v>#N/A</v>
      </c>
      <c r="D414" s="15" t="str">
        <f>VLOOKUP(A414,'[1]Master clients'!F:M,8,0)</f>
        <v>Group (Mills)</v>
      </c>
      <c r="E414" s="24" t="s">
        <v>1055</v>
      </c>
      <c r="F414" s="25" t="s">
        <v>1049</v>
      </c>
      <c r="G414" s="20">
        <v>0</v>
      </c>
      <c r="H414" s="20">
        <v>0</v>
      </c>
      <c r="I414" s="26">
        <v>8</v>
      </c>
      <c r="J414" s="26">
        <v>0</v>
      </c>
      <c r="K414" s="20">
        <v>45</v>
      </c>
      <c r="L414" s="20">
        <v>0</v>
      </c>
      <c r="M414" s="20">
        <v>0</v>
      </c>
      <c r="N414" s="20">
        <v>0</v>
      </c>
      <c r="O414" s="20">
        <v>0</v>
      </c>
      <c r="P414" s="20">
        <v>0</v>
      </c>
      <c r="Q414" s="20">
        <v>14</v>
      </c>
      <c r="R414" s="20">
        <v>0</v>
      </c>
      <c r="S414" s="20">
        <v>0</v>
      </c>
      <c r="T414" s="20">
        <v>0</v>
      </c>
      <c r="U414" s="20">
        <v>0</v>
      </c>
      <c r="V414" s="20">
        <v>0</v>
      </c>
      <c r="W414" s="20">
        <v>0</v>
      </c>
      <c r="X414" s="20">
        <v>0</v>
      </c>
      <c r="Y414" s="20">
        <v>0</v>
      </c>
      <c r="Z414" s="20">
        <v>0</v>
      </c>
      <c r="AA414" s="20">
        <v>0</v>
      </c>
      <c r="AB414" s="20">
        <v>0</v>
      </c>
      <c r="AC414" s="20">
        <v>0</v>
      </c>
      <c r="AD414" s="20">
        <v>0</v>
      </c>
      <c r="AE414" s="20">
        <v>0</v>
      </c>
      <c r="AF414" s="20">
        <v>0</v>
      </c>
      <c r="AG414" s="20">
        <v>0</v>
      </c>
      <c r="AH414" s="20">
        <v>0</v>
      </c>
      <c r="AI414" s="20">
        <v>0</v>
      </c>
      <c r="AJ414" s="20">
        <v>0</v>
      </c>
      <c r="AK414" s="20">
        <v>0</v>
      </c>
      <c r="AL414" s="20">
        <v>0</v>
      </c>
      <c r="AM414" s="20">
        <v>0</v>
      </c>
      <c r="AN414" s="20">
        <v>0</v>
      </c>
      <c r="AO414" s="20">
        <v>0</v>
      </c>
      <c r="AP414" s="20">
        <v>0</v>
      </c>
      <c r="AQ414" s="20">
        <v>0</v>
      </c>
      <c r="AR414" s="20">
        <v>0</v>
      </c>
      <c r="AS414" s="20">
        <v>0</v>
      </c>
      <c r="AT414" s="20">
        <v>0</v>
      </c>
      <c r="AU414" s="20">
        <v>0</v>
      </c>
      <c r="AV414" s="20">
        <v>0</v>
      </c>
      <c r="AW414" s="20">
        <v>0</v>
      </c>
      <c r="AX414" s="20">
        <v>0</v>
      </c>
      <c r="AY414" s="20">
        <v>0</v>
      </c>
      <c r="AZ414" s="20">
        <v>0</v>
      </c>
      <c r="BA414" s="20">
        <v>0</v>
      </c>
      <c r="BB414" s="27">
        <v>0</v>
      </c>
      <c r="BC414" s="20">
        <v>0</v>
      </c>
      <c r="BD414" s="20">
        <v>0</v>
      </c>
      <c r="BE414" s="21">
        <v>0</v>
      </c>
      <c r="BF414" s="21">
        <v>0</v>
      </c>
      <c r="BG414" s="20">
        <v>0</v>
      </c>
      <c r="BH414" s="20">
        <v>0</v>
      </c>
      <c r="BI414" s="22">
        <f t="shared" si="113"/>
        <v>45</v>
      </c>
      <c r="BJ414" s="22">
        <f t="shared" si="114"/>
        <v>14</v>
      </c>
      <c r="BK414" s="28">
        <f t="shared" si="115"/>
        <v>67</v>
      </c>
      <c r="BL414" s="22">
        <f t="shared" si="116"/>
        <v>53</v>
      </c>
      <c r="BM414" s="22">
        <f t="shared" si="112"/>
        <v>14</v>
      </c>
      <c r="BN414" s="23">
        <f t="shared" si="117"/>
        <v>0.15094339622641509</v>
      </c>
      <c r="BO414" s="23">
        <f t="shared" si="117"/>
        <v>0</v>
      </c>
      <c r="BP414" s="7">
        <f>VLOOKUP(A414,[1]Sheet15!B:E,4,0)</f>
        <v>5</v>
      </c>
      <c r="BQ414" s="7">
        <f>VLOOKUP(A414,[1]Sheet15!B:E,3,0)</f>
        <v>0</v>
      </c>
    </row>
    <row r="415" spans="1:69" ht="22.5" customHeight="1" x14ac:dyDescent="0.25">
      <c r="A415" s="15" t="s">
        <v>1056</v>
      </c>
      <c r="B415" s="15">
        <f>VLOOKUP(A415,'[1]Master clients'!F409:W3956,17,0)</f>
        <v>0</v>
      </c>
      <c r="C415" s="15" t="str">
        <f>VLOOKUP(A415,'[1]Master clients'!F409:P3956,11,0)</f>
        <v>HO</v>
      </c>
      <c r="D415" s="15" t="str">
        <f>VLOOKUP(A415,'[1]Master clients'!F:M,8,0)</f>
        <v>End User</v>
      </c>
      <c r="E415" s="24" t="s">
        <v>1057</v>
      </c>
      <c r="F415" s="25" t="s">
        <v>1049</v>
      </c>
      <c r="G415" s="20">
        <v>55</v>
      </c>
      <c r="H415" s="20">
        <v>6</v>
      </c>
      <c r="I415" s="26">
        <v>31</v>
      </c>
      <c r="J415" s="26">
        <v>4</v>
      </c>
      <c r="K415" s="20">
        <v>0</v>
      </c>
      <c r="L415" s="20">
        <v>0</v>
      </c>
      <c r="M415" s="20">
        <v>0</v>
      </c>
      <c r="N415" s="20">
        <v>0</v>
      </c>
      <c r="O415" s="20">
        <v>0</v>
      </c>
      <c r="P415" s="20">
        <v>0</v>
      </c>
      <c r="Q415" s="20">
        <v>8</v>
      </c>
      <c r="R415" s="20">
        <v>0</v>
      </c>
      <c r="S415" s="20">
        <v>0</v>
      </c>
      <c r="T415" s="20">
        <v>0</v>
      </c>
      <c r="U415" s="20">
        <v>0</v>
      </c>
      <c r="V415" s="20">
        <v>0</v>
      </c>
      <c r="W415" s="20">
        <v>0</v>
      </c>
      <c r="X415" s="20">
        <v>0</v>
      </c>
      <c r="Y415" s="20">
        <v>0</v>
      </c>
      <c r="Z415" s="20">
        <v>0</v>
      </c>
      <c r="AA415" s="20">
        <v>0</v>
      </c>
      <c r="AB415" s="20">
        <v>0</v>
      </c>
      <c r="AC415" s="20">
        <v>0</v>
      </c>
      <c r="AD415" s="20">
        <v>0</v>
      </c>
      <c r="AE415" s="20">
        <v>0</v>
      </c>
      <c r="AF415" s="20">
        <v>0</v>
      </c>
      <c r="AG415" s="20">
        <v>0</v>
      </c>
      <c r="AH415" s="20">
        <v>0</v>
      </c>
      <c r="AI415" s="20">
        <v>0</v>
      </c>
      <c r="AJ415" s="20">
        <v>0</v>
      </c>
      <c r="AK415" s="20">
        <v>0</v>
      </c>
      <c r="AL415" s="20">
        <v>0</v>
      </c>
      <c r="AM415" s="20">
        <v>0</v>
      </c>
      <c r="AN415" s="20">
        <v>0</v>
      </c>
      <c r="AO415" s="20">
        <v>0</v>
      </c>
      <c r="AP415" s="20">
        <v>0</v>
      </c>
      <c r="AQ415" s="20">
        <v>0</v>
      </c>
      <c r="AR415" s="20">
        <v>0</v>
      </c>
      <c r="AS415" s="20">
        <v>0</v>
      </c>
      <c r="AT415" s="20">
        <v>0</v>
      </c>
      <c r="AU415" s="20">
        <v>0</v>
      </c>
      <c r="AV415" s="20">
        <v>0</v>
      </c>
      <c r="AW415" s="20">
        <v>0</v>
      </c>
      <c r="AX415" s="20">
        <v>0</v>
      </c>
      <c r="AY415" s="20">
        <v>0</v>
      </c>
      <c r="AZ415" s="20">
        <v>0</v>
      </c>
      <c r="BA415" s="20">
        <v>0</v>
      </c>
      <c r="BB415" s="27">
        <v>0</v>
      </c>
      <c r="BC415" s="20">
        <v>0</v>
      </c>
      <c r="BD415" s="20">
        <v>0</v>
      </c>
      <c r="BE415" s="21">
        <v>0</v>
      </c>
      <c r="BF415" s="21">
        <v>0</v>
      </c>
      <c r="BG415" s="20">
        <v>0</v>
      </c>
      <c r="BH415" s="20">
        <v>0</v>
      </c>
      <c r="BI415" s="22">
        <f t="shared" si="113"/>
        <v>0</v>
      </c>
      <c r="BJ415" s="22">
        <f t="shared" si="114"/>
        <v>8</v>
      </c>
      <c r="BK415" s="28">
        <f t="shared" si="115"/>
        <v>43</v>
      </c>
      <c r="BL415" s="22">
        <f t="shared" si="116"/>
        <v>31</v>
      </c>
      <c r="BM415" s="22">
        <f t="shared" si="112"/>
        <v>12</v>
      </c>
      <c r="BN415" s="23">
        <f t="shared" si="117"/>
        <v>1</v>
      </c>
      <c r="BO415" s="23">
        <f t="shared" si="117"/>
        <v>0.33333333333333331</v>
      </c>
      <c r="BP415" s="7">
        <f>VLOOKUP(A415,[1]Sheet15!B:E,4,0)</f>
        <v>16</v>
      </c>
      <c r="BQ415" s="7">
        <f>VLOOKUP(A415,[1]Sheet15!B:E,3,0)</f>
        <v>0</v>
      </c>
    </row>
    <row r="416" spans="1:69" ht="22.5" customHeight="1" x14ac:dyDescent="0.25">
      <c r="A416" s="15" t="s">
        <v>1058</v>
      </c>
      <c r="B416" s="15">
        <f>VLOOKUP(A416,'[1]Master clients'!F410:W3957,17,0)</f>
        <v>0</v>
      </c>
      <c r="C416" s="15" t="str">
        <f>VLOOKUP(A416,'[1]Master clients'!F410:P3957,11,0)</f>
        <v>NI</v>
      </c>
      <c r="D416" s="15" t="str">
        <f>VLOOKUP(A416,'[1]Master clients'!F:M,8,0)</f>
        <v>End User</v>
      </c>
      <c r="E416" s="16" t="s">
        <v>1059</v>
      </c>
      <c r="F416" s="29" t="s">
        <v>679</v>
      </c>
      <c r="G416" s="20"/>
      <c r="H416" s="20"/>
      <c r="I416" s="26">
        <v>9</v>
      </c>
      <c r="J416" s="26">
        <v>4</v>
      </c>
      <c r="K416" s="20">
        <v>0</v>
      </c>
      <c r="L416" s="20">
        <v>0</v>
      </c>
      <c r="M416" s="20">
        <v>0</v>
      </c>
      <c r="N416" s="20">
        <v>0</v>
      </c>
      <c r="O416" s="20">
        <v>0</v>
      </c>
      <c r="P416" s="20">
        <v>0</v>
      </c>
      <c r="Q416" s="20">
        <v>0</v>
      </c>
      <c r="R416" s="20">
        <v>0</v>
      </c>
      <c r="S416" s="20">
        <v>0</v>
      </c>
      <c r="T416" s="20">
        <v>0</v>
      </c>
      <c r="U416" s="20">
        <v>0</v>
      </c>
      <c r="V416" s="20">
        <v>0</v>
      </c>
      <c r="W416" s="20">
        <v>0</v>
      </c>
      <c r="X416" s="20">
        <v>0</v>
      </c>
      <c r="Y416" s="20">
        <v>0</v>
      </c>
      <c r="Z416" s="20">
        <v>0</v>
      </c>
      <c r="AA416" s="20">
        <v>0</v>
      </c>
      <c r="AB416" s="20">
        <v>0</v>
      </c>
      <c r="AC416" s="20">
        <v>0</v>
      </c>
      <c r="AD416" s="20">
        <v>0</v>
      </c>
      <c r="AE416" s="20">
        <v>0</v>
      </c>
      <c r="AF416" s="20">
        <v>0</v>
      </c>
      <c r="AG416" s="20">
        <v>0</v>
      </c>
      <c r="AH416" s="20">
        <v>0</v>
      </c>
      <c r="AI416" s="20">
        <v>0</v>
      </c>
      <c r="AJ416" s="20">
        <v>0</v>
      </c>
      <c r="AK416" s="20">
        <v>0</v>
      </c>
      <c r="AL416" s="20">
        <v>0</v>
      </c>
      <c r="AM416" s="20">
        <v>0</v>
      </c>
      <c r="AN416" s="20">
        <v>0</v>
      </c>
      <c r="AO416" s="20">
        <v>0</v>
      </c>
      <c r="AP416" s="20">
        <v>0</v>
      </c>
      <c r="AQ416" s="20">
        <v>0</v>
      </c>
      <c r="AR416" s="20">
        <v>0</v>
      </c>
      <c r="AS416" s="20">
        <v>0</v>
      </c>
      <c r="AT416" s="20">
        <v>0</v>
      </c>
      <c r="AU416" s="20">
        <v>0</v>
      </c>
      <c r="AV416" s="20">
        <v>0</v>
      </c>
      <c r="AW416" s="20">
        <v>0</v>
      </c>
      <c r="AX416" s="20">
        <v>0</v>
      </c>
      <c r="AY416" s="20">
        <v>0</v>
      </c>
      <c r="AZ416" s="20">
        <v>0</v>
      </c>
      <c r="BA416" s="20">
        <v>0</v>
      </c>
      <c r="BB416" s="20">
        <v>0</v>
      </c>
      <c r="BC416" s="20">
        <v>0</v>
      </c>
      <c r="BD416" s="20">
        <v>0</v>
      </c>
      <c r="BE416" s="20">
        <v>0</v>
      </c>
      <c r="BF416" s="20">
        <v>0</v>
      </c>
      <c r="BG416" s="20">
        <v>0</v>
      </c>
      <c r="BH416" s="20">
        <v>0</v>
      </c>
      <c r="BI416" s="22">
        <f t="shared" si="113"/>
        <v>0</v>
      </c>
      <c r="BJ416" s="22">
        <f t="shared" si="114"/>
        <v>0</v>
      </c>
      <c r="BK416" s="28">
        <f t="shared" si="115"/>
        <v>13</v>
      </c>
      <c r="BL416" s="22">
        <f t="shared" si="116"/>
        <v>9</v>
      </c>
      <c r="BM416" s="22">
        <f t="shared" ref="BM416:BM440" si="118">SUM(J416+N416+O416+Q416+S416+U416+X416+AA416+AD416+AF416+AM416+AP416+AQ416+AT416+AX416+AY416+BD416+BH416)</f>
        <v>4</v>
      </c>
      <c r="BN416" s="23">
        <f t="shared" si="117"/>
        <v>1</v>
      </c>
      <c r="BO416" s="23">
        <f t="shared" si="117"/>
        <v>1</v>
      </c>
      <c r="BP416" s="7">
        <f>VLOOKUP(A416,[1]Sheet15!B:E,4,0)</f>
        <v>8</v>
      </c>
      <c r="BQ416" s="7">
        <f>VLOOKUP(A416,[1]Sheet15!B:E,3,0)</f>
        <v>2</v>
      </c>
    </row>
    <row r="417" spans="1:69" ht="22.5" customHeight="1" x14ac:dyDescent="0.25">
      <c r="A417" s="15" t="s">
        <v>1060</v>
      </c>
      <c r="B417" s="15">
        <f>VLOOKUP(A417,'[1]Master clients'!F411:W3958,17,0)</f>
        <v>0</v>
      </c>
      <c r="C417" s="15" t="str">
        <f>VLOOKUP(A417,'[1]Master clients'!F411:P3958,11,0)</f>
        <v>SI-GS</v>
      </c>
      <c r="D417" s="15" t="str">
        <f>VLOOKUP(A417,'[1]Master clients'!F:M,8,0)</f>
        <v>End User</v>
      </c>
      <c r="E417" s="16" t="s">
        <v>1061</v>
      </c>
      <c r="F417" s="16" t="s">
        <v>1062</v>
      </c>
      <c r="G417" s="17"/>
      <c r="H417" s="17"/>
      <c r="I417" s="31">
        <v>0</v>
      </c>
      <c r="J417" s="31">
        <v>0</v>
      </c>
      <c r="K417" s="17">
        <v>0</v>
      </c>
      <c r="L417" s="17">
        <v>0</v>
      </c>
      <c r="M417" s="17">
        <v>0</v>
      </c>
      <c r="N417" s="17">
        <v>0</v>
      </c>
      <c r="O417" s="17">
        <v>0</v>
      </c>
      <c r="P417" s="17">
        <v>0</v>
      </c>
      <c r="Q417" s="17">
        <v>0</v>
      </c>
      <c r="R417" s="17">
        <v>0</v>
      </c>
      <c r="S417" s="17">
        <v>0</v>
      </c>
      <c r="T417" s="17">
        <v>0</v>
      </c>
      <c r="U417" s="17">
        <v>0</v>
      </c>
      <c r="V417" s="17">
        <v>0</v>
      </c>
      <c r="W417" s="17">
        <v>0</v>
      </c>
      <c r="X417" s="17">
        <v>0</v>
      </c>
      <c r="Y417" s="17">
        <v>0</v>
      </c>
      <c r="Z417" s="17">
        <v>0</v>
      </c>
      <c r="AA417" s="17">
        <v>0</v>
      </c>
      <c r="AB417" s="17">
        <v>0</v>
      </c>
      <c r="AC417" s="17">
        <v>0</v>
      </c>
      <c r="AD417" s="17">
        <v>0</v>
      </c>
      <c r="AE417" s="17">
        <v>0</v>
      </c>
      <c r="AF417" s="17">
        <v>0</v>
      </c>
      <c r="AG417" s="17">
        <v>0</v>
      </c>
      <c r="AH417" s="17">
        <v>0</v>
      </c>
      <c r="AI417" s="17">
        <v>0</v>
      </c>
      <c r="AJ417" s="17">
        <v>0</v>
      </c>
      <c r="AK417" s="17">
        <v>0</v>
      </c>
      <c r="AL417" s="17">
        <v>0</v>
      </c>
      <c r="AM417" s="17">
        <v>0</v>
      </c>
      <c r="AN417" s="17">
        <v>0</v>
      </c>
      <c r="AO417" s="17">
        <v>0</v>
      </c>
      <c r="AP417" s="17">
        <v>0</v>
      </c>
      <c r="AQ417" s="17">
        <v>0</v>
      </c>
      <c r="AR417" s="17">
        <v>0</v>
      </c>
      <c r="AS417" s="17">
        <v>0</v>
      </c>
      <c r="AT417" s="17">
        <v>0</v>
      </c>
      <c r="AU417" s="17">
        <v>0</v>
      </c>
      <c r="AV417" s="17">
        <v>0</v>
      </c>
      <c r="AW417" s="17">
        <v>0</v>
      </c>
      <c r="AX417" s="17">
        <v>0</v>
      </c>
      <c r="AY417" s="17">
        <v>0</v>
      </c>
      <c r="AZ417" s="17">
        <v>0</v>
      </c>
      <c r="BA417" s="17">
        <v>0</v>
      </c>
      <c r="BB417" s="17">
        <v>0</v>
      </c>
      <c r="BC417" s="17">
        <v>0</v>
      </c>
      <c r="BD417" s="17">
        <v>0</v>
      </c>
      <c r="BE417" s="17">
        <v>0</v>
      </c>
      <c r="BF417" s="17">
        <v>0</v>
      </c>
      <c r="BG417" s="17">
        <v>0</v>
      </c>
      <c r="BH417" s="17">
        <v>0</v>
      </c>
      <c r="BI417" s="22">
        <f t="shared" si="113"/>
        <v>0</v>
      </c>
      <c r="BJ417" s="22">
        <f t="shared" si="114"/>
        <v>0</v>
      </c>
      <c r="BK417" s="22">
        <f t="shared" si="115"/>
        <v>0</v>
      </c>
      <c r="BL417" s="22">
        <f t="shared" si="116"/>
        <v>0</v>
      </c>
      <c r="BM417" s="22">
        <f t="shared" si="118"/>
        <v>0</v>
      </c>
      <c r="BN417" s="23" t="e">
        <f t="shared" si="117"/>
        <v>#DIV/0!</v>
      </c>
      <c r="BO417" s="23" t="e">
        <f t="shared" si="117"/>
        <v>#DIV/0!</v>
      </c>
      <c r="BP417" s="7" t="e">
        <f>VLOOKUP(A417,[1]Sheet15!B:E,4,0)</f>
        <v>#N/A</v>
      </c>
      <c r="BQ417" s="7" t="e">
        <f>VLOOKUP(A417,[1]Sheet15!B:E,3,0)</f>
        <v>#N/A</v>
      </c>
    </row>
    <row r="418" spans="1:69" ht="22.5" customHeight="1" x14ac:dyDescent="0.25">
      <c r="A418" s="15" t="s">
        <v>1063</v>
      </c>
      <c r="B418" s="15">
        <f>VLOOKUP(A418,'[1]Master clients'!F412:W3959,17,0)</f>
        <v>0</v>
      </c>
      <c r="C418" s="15" t="str">
        <f>VLOOKUP(A418,'[1]Master clients'!F412:P3959,11,0)</f>
        <v>SI-GS</v>
      </c>
      <c r="D418" s="15" t="str">
        <f>VLOOKUP(A418,'[1]Master clients'!F:M,8,0)</f>
        <v>End User</v>
      </c>
      <c r="E418" s="16" t="s">
        <v>1064</v>
      </c>
      <c r="F418" s="16" t="s">
        <v>1062</v>
      </c>
      <c r="G418" s="17"/>
      <c r="H418" s="17"/>
      <c r="I418" s="26">
        <v>5</v>
      </c>
      <c r="J418" s="31">
        <v>0</v>
      </c>
      <c r="K418" s="17">
        <v>0</v>
      </c>
      <c r="L418" s="17">
        <v>0</v>
      </c>
      <c r="M418" s="17">
        <v>0</v>
      </c>
      <c r="N418" s="17">
        <v>0</v>
      </c>
      <c r="O418" s="17">
        <v>0</v>
      </c>
      <c r="P418" s="17">
        <v>0</v>
      </c>
      <c r="Q418" s="17">
        <v>0</v>
      </c>
      <c r="R418" s="17">
        <v>0</v>
      </c>
      <c r="S418" s="17">
        <v>0</v>
      </c>
      <c r="T418" s="17">
        <v>0</v>
      </c>
      <c r="U418" s="17">
        <v>0</v>
      </c>
      <c r="V418" s="17">
        <v>0</v>
      </c>
      <c r="W418" s="17">
        <v>0</v>
      </c>
      <c r="X418" s="17">
        <v>0</v>
      </c>
      <c r="Y418" s="17">
        <v>0</v>
      </c>
      <c r="Z418" s="17">
        <v>0</v>
      </c>
      <c r="AA418" s="17">
        <v>0</v>
      </c>
      <c r="AB418" s="17">
        <v>0</v>
      </c>
      <c r="AC418" s="17">
        <v>0</v>
      </c>
      <c r="AD418" s="17">
        <v>0</v>
      </c>
      <c r="AE418" s="17">
        <v>0</v>
      </c>
      <c r="AF418" s="17">
        <v>0</v>
      </c>
      <c r="AG418" s="17">
        <v>0</v>
      </c>
      <c r="AH418" s="17">
        <v>0</v>
      </c>
      <c r="AI418" s="17">
        <v>0</v>
      </c>
      <c r="AJ418" s="17">
        <v>0</v>
      </c>
      <c r="AK418" s="17">
        <v>0</v>
      </c>
      <c r="AL418" s="17">
        <v>0</v>
      </c>
      <c r="AM418" s="17">
        <v>0</v>
      </c>
      <c r="AN418" s="17">
        <v>0</v>
      </c>
      <c r="AO418" s="17">
        <v>0</v>
      </c>
      <c r="AP418" s="17">
        <v>0</v>
      </c>
      <c r="AQ418" s="17">
        <v>0</v>
      </c>
      <c r="AR418" s="17">
        <v>0</v>
      </c>
      <c r="AS418" s="17">
        <v>0</v>
      </c>
      <c r="AT418" s="17">
        <v>0</v>
      </c>
      <c r="AU418" s="17">
        <v>0</v>
      </c>
      <c r="AV418" s="17">
        <v>0</v>
      </c>
      <c r="AW418" s="17">
        <v>0</v>
      </c>
      <c r="AX418" s="17">
        <v>0</v>
      </c>
      <c r="AY418" s="17">
        <v>0</v>
      </c>
      <c r="AZ418" s="17">
        <v>0</v>
      </c>
      <c r="BA418" s="17">
        <v>0</v>
      </c>
      <c r="BB418" s="17">
        <v>0</v>
      </c>
      <c r="BC418" s="17">
        <v>0</v>
      </c>
      <c r="BD418" s="17">
        <v>0</v>
      </c>
      <c r="BE418" s="17">
        <v>0</v>
      </c>
      <c r="BF418" s="17">
        <v>0</v>
      </c>
      <c r="BG418" s="17">
        <v>0</v>
      </c>
      <c r="BH418" s="17">
        <v>0</v>
      </c>
      <c r="BI418" s="22">
        <f t="shared" si="113"/>
        <v>0</v>
      </c>
      <c r="BJ418" s="22">
        <f t="shared" si="114"/>
        <v>0</v>
      </c>
      <c r="BK418" s="22">
        <f t="shared" si="115"/>
        <v>5</v>
      </c>
      <c r="BL418" s="22">
        <f t="shared" si="116"/>
        <v>5</v>
      </c>
      <c r="BM418" s="22">
        <f t="shared" si="118"/>
        <v>0</v>
      </c>
      <c r="BN418" s="23">
        <f t="shared" si="117"/>
        <v>1</v>
      </c>
      <c r="BO418" s="23" t="e">
        <f t="shared" si="117"/>
        <v>#DIV/0!</v>
      </c>
      <c r="BP418" s="7">
        <f>VLOOKUP(A418,[1]Sheet15!B:E,4,0)</f>
        <v>5</v>
      </c>
      <c r="BQ418" s="7">
        <f>VLOOKUP(A418,[1]Sheet15!B:E,3,0)</f>
        <v>0</v>
      </c>
    </row>
    <row r="419" spans="1:69" ht="22.5" customHeight="1" x14ac:dyDescent="0.25">
      <c r="A419" s="15" t="s">
        <v>1065</v>
      </c>
      <c r="B419" s="15" t="str">
        <f>VLOOKUP(A419,'[1]Master clients'!F413:W3960,17,0)</f>
        <v>Feb</v>
      </c>
      <c r="C419" s="15" t="str">
        <f>VLOOKUP(A419,'[1]Master clients'!F413:P3960,11,0)</f>
        <v>NI</v>
      </c>
      <c r="D419" s="15" t="str">
        <f>VLOOKUP(A419,'[1]Master clients'!F:M,8,0)</f>
        <v>Group (Mills)</v>
      </c>
      <c r="E419" s="24" t="s">
        <v>1066</v>
      </c>
      <c r="F419" s="25" t="s">
        <v>1067</v>
      </c>
      <c r="G419" s="20">
        <v>33</v>
      </c>
      <c r="H419" s="20">
        <v>2</v>
      </c>
      <c r="I419" s="26">
        <v>26</v>
      </c>
      <c r="J419" s="26">
        <v>2</v>
      </c>
      <c r="K419" s="20">
        <v>5</v>
      </c>
      <c r="L419" s="20">
        <v>0</v>
      </c>
      <c r="M419" s="20">
        <v>0</v>
      </c>
      <c r="N419" s="20">
        <v>11</v>
      </c>
      <c r="O419" s="20">
        <v>2</v>
      </c>
      <c r="P419" s="20">
        <v>0</v>
      </c>
      <c r="Q419" s="20">
        <v>0</v>
      </c>
      <c r="R419" s="20">
        <v>0</v>
      </c>
      <c r="S419" s="20">
        <v>0</v>
      </c>
      <c r="T419" s="20">
        <v>0</v>
      </c>
      <c r="U419" s="20">
        <v>0</v>
      </c>
      <c r="V419" s="20">
        <v>0</v>
      </c>
      <c r="W419" s="20">
        <v>0</v>
      </c>
      <c r="X419" s="20">
        <v>0</v>
      </c>
      <c r="Y419" s="20">
        <v>0</v>
      </c>
      <c r="Z419" s="20">
        <v>0</v>
      </c>
      <c r="AA419" s="20">
        <v>0</v>
      </c>
      <c r="AB419" s="20">
        <v>0</v>
      </c>
      <c r="AC419" s="20">
        <v>0</v>
      </c>
      <c r="AD419" s="20">
        <v>0</v>
      </c>
      <c r="AE419" s="20">
        <v>0</v>
      </c>
      <c r="AF419" s="20">
        <v>0</v>
      </c>
      <c r="AG419" s="20">
        <v>0</v>
      </c>
      <c r="AH419" s="20">
        <v>0</v>
      </c>
      <c r="AI419" s="20">
        <v>0</v>
      </c>
      <c r="AJ419" s="20">
        <v>0</v>
      </c>
      <c r="AK419" s="20">
        <v>0</v>
      </c>
      <c r="AL419" s="20">
        <v>0</v>
      </c>
      <c r="AM419" s="20">
        <v>0</v>
      </c>
      <c r="AN419" s="20">
        <v>0</v>
      </c>
      <c r="AO419" s="20">
        <v>0</v>
      </c>
      <c r="AP419" s="20">
        <v>0</v>
      </c>
      <c r="AQ419" s="20">
        <v>0</v>
      </c>
      <c r="AR419" s="20">
        <v>0</v>
      </c>
      <c r="AS419" s="20">
        <v>0</v>
      </c>
      <c r="AT419" s="20">
        <v>0</v>
      </c>
      <c r="AU419" s="20">
        <v>0</v>
      </c>
      <c r="AV419" s="20">
        <v>0</v>
      </c>
      <c r="AW419" s="20">
        <v>0</v>
      </c>
      <c r="AX419" s="20">
        <v>0</v>
      </c>
      <c r="AY419" s="20">
        <v>0</v>
      </c>
      <c r="AZ419" s="20">
        <v>0</v>
      </c>
      <c r="BA419" s="20">
        <v>0</v>
      </c>
      <c r="BB419" s="27">
        <v>0</v>
      </c>
      <c r="BC419" s="20">
        <v>0</v>
      </c>
      <c r="BD419" s="20">
        <v>0</v>
      </c>
      <c r="BE419" s="21">
        <v>0</v>
      </c>
      <c r="BF419" s="21">
        <v>0</v>
      </c>
      <c r="BG419" s="20">
        <v>0</v>
      </c>
      <c r="BH419" s="20">
        <v>0</v>
      </c>
      <c r="BI419" s="22">
        <f t="shared" si="113"/>
        <v>5</v>
      </c>
      <c r="BJ419" s="22">
        <f t="shared" si="114"/>
        <v>13</v>
      </c>
      <c r="BK419" s="28">
        <f t="shared" si="115"/>
        <v>46</v>
      </c>
      <c r="BL419" s="22">
        <f t="shared" si="116"/>
        <v>31</v>
      </c>
      <c r="BM419" s="22">
        <f t="shared" si="118"/>
        <v>15</v>
      </c>
      <c r="BN419" s="23">
        <f t="shared" si="117"/>
        <v>0.83870967741935487</v>
      </c>
      <c r="BO419" s="23">
        <f t="shared" si="117"/>
        <v>0.13333333333333333</v>
      </c>
      <c r="BP419" s="7">
        <f>VLOOKUP(A419,[1]Sheet15!B:E,4,0)</f>
        <v>27</v>
      </c>
      <c r="BQ419" s="7">
        <f>VLOOKUP(A419,[1]Sheet15!B:E,3,0)</f>
        <v>0</v>
      </c>
    </row>
    <row r="420" spans="1:69" ht="22.5" customHeight="1" x14ac:dyDescent="0.25">
      <c r="A420" s="15" t="s">
        <v>1068</v>
      </c>
      <c r="B420" s="15">
        <f>VLOOKUP(A420,'[1]Master clients'!F414:W3961,17,0)</f>
        <v>0</v>
      </c>
      <c r="C420" s="15" t="str">
        <f>VLOOKUP(A420,'[1]Master clients'!F414:P3961,11,0)</f>
        <v>NI</v>
      </c>
      <c r="D420" s="15" t="str">
        <f>VLOOKUP(A420,'[1]Master clients'!F:M,8,0)</f>
        <v>End User</v>
      </c>
      <c r="E420" s="24" t="s">
        <v>1069</v>
      </c>
      <c r="F420" s="25" t="s">
        <v>570</v>
      </c>
      <c r="G420" s="20">
        <v>0</v>
      </c>
      <c r="H420" s="20">
        <v>0</v>
      </c>
      <c r="I420" s="26">
        <v>21</v>
      </c>
      <c r="J420" s="26">
        <v>0</v>
      </c>
      <c r="K420" s="20">
        <v>13</v>
      </c>
      <c r="L420" s="20">
        <v>0</v>
      </c>
      <c r="M420" s="20">
        <v>0</v>
      </c>
      <c r="N420" s="20">
        <v>9</v>
      </c>
      <c r="O420" s="20">
        <v>0</v>
      </c>
      <c r="P420" s="20">
        <v>0</v>
      </c>
      <c r="Q420" s="20">
        <v>0</v>
      </c>
      <c r="R420" s="20">
        <v>0</v>
      </c>
      <c r="S420" s="20">
        <v>0</v>
      </c>
      <c r="T420" s="20">
        <v>0</v>
      </c>
      <c r="U420" s="20">
        <v>0</v>
      </c>
      <c r="V420" s="20">
        <v>0</v>
      </c>
      <c r="W420" s="20">
        <v>0</v>
      </c>
      <c r="X420" s="20">
        <v>0</v>
      </c>
      <c r="Y420" s="20">
        <v>0</v>
      </c>
      <c r="Z420" s="20">
        <v>0</v>
      </c>
      <c r="AA420" s="20">
        <v>0</v>
      </c>
      <c r="AB420" s="20">
        <v>0</v>
      </c>
      <c r="AC420" s="20">
        <v>0</v>
      </c>
      <c r="AD420" s="20">
        <v>0</v>
      </c>
      <c r="AE420" s="20">
        <v>0</v>
      </c>
      <c r="AF420" s="20">
        <v>0</v>
      </c>
      <c r="AG420" s="20">
        <v>0</v>
      </c>
      <c r="AH420" s="20">
        <v>0</v>
      </c>
      <c r="AI420" s="20">
        <v>0</v>
      </c>
      <c r="AJ420" s="20">
        <v>0</v>
      </c>
      <c r="AK420" s="20">
        <v>0</v>
      </c>
      <c r="AL420" s="20">
        <v>0</v>
      </c>
      <c r="AM420" s="20">
        <v>0</v>
      </c>
      <c r="AN420" s="20">
        <v>0</v>
      </c>
      <c r="AO420" s="20">
        <v>0</v>
      </c>
      <c r="AP420" s="20">
        <v>0</v>
      </c>
      <c r="AQ420" s="20">
        <v>0</v>
      </c>
      <c r="AR420" s="20">
        <v>0</v>
      </c>
      <c r="AS420" s="20">
        <v>0</v>
      </c>
      <c r="AT420" s="20">
        <v>0</v>
      </c>
      <c r="AU420" s="20">
        <v>0</v>
      </c>
      <c r="AV420" s="20">
        <v>0</v>
      </c>
      <c r="AW420" s="20">
        <v>0</v>
      </c>
      <c r="AX420" s="20">
        <v>0</v>
      </c>
      <c r="AY420" s="20">
        <v>0</v>
      </c>
      <c r="AZ420" s="20">
        <v>0</v>
      </c>
      <c r="BA420" s="20">
        <v>0</v>
      </c>
      <c r="BB420" s="27">
        <v>0</v>
      </c>
      <c r="BC420" s="20">
        <v>0</v>
      </c>
      <c r="BD420" s="20">
        <v>0</v>
      </c>
      <c r="BE420" s="21">
        <v>0</v>
      </c>
      <c r="BF420" s="21">
        <v>0</v>
      </c>
      <c r="BG420" s="20">
        <v>0</v>
      </c>
      <c r="BH420" s="20">
        <v>0</v>
      </c>
      <c r="BI420" s="22">
        <f t="shared" si="113"/>
        <v>13</v>
      </c>
      <c r="BJ420" s="22">
        <f t="shared" si="114"/>
        <v>9</v>
      </c>
      <c r="BK420" s="28">
        <f t="shared" si="115"/>
        <v>43</v>
      </c>
      <c r="BL420" s="22">
        <f t="shared" si="116"/>
        <v>34</v>
      </c>
      <c r="BM420" s="22">
        <f t="shared" si="118"/>
        <v>9</v>
      </c>
      <c r="BN420" s="23">
        <f t="shared" si="117"/>
        <v>0.61764705882352944</v>
      </c>
      <c r="BO420" s="23">
        <f t="shared" si="117"/>
        <v>0</v>
      </c>
      <c r="BP420" s="7">
        <f>VLOOKUP(A420,[1]Sheet15!B:E,4,0)</f>
        <v>15</v>
      </c>
      <c r="BQ420" s="7">
        <f>VLOOKUP(A420,[1]Sheet15!B:E,3,0)</f>
        <v>0</v>
      </c>
    </row>
    <row r="421" spans="1:69" ht="22.5" customHeight="1" x14ac:dyDescent="0.25">
      <c r="A421" s="15" t="s">
        <v>1070</v>
      </c>
      <c r="B421" s="15">
        <f>VLOOKUP(A421,'[1]Master clients'!F415:W3962,17,0)</f>
        <v>0</v>
      </c>
      <c r="C421" s="15" t="str">
        <f>VLOOKUP(A421,'[1]Master clients'!F415:P3962,11,0)</f>
        <v>NI</v>
      </c>
      <c r="D421" s="15" t="str">
        <f>VLOOKUP(A421,'[1]Master clients'!F:M,8,0)</f>
        <v>End User</v>
      </c>
      <c r="E421" s="24" t="s">
        <v>1071</v>
      </c>
      <c r="F421" s="25" t="s">
        <v>570</v>
      </c>
      <c r="G421" s="20">
        <v>0</v>
      </c>
      <c r="H421" s="20">
        <v>0</v>
      </c>
      <c r="I421" s="26">
        <v>6</v>
      </c>
      <c r="J421" s="26">
        <v>0</v>
      </c>
      <c r="K421" s="20">
        <v>8</v>
      </c>
      <c r="L421" s="20">
        <v>0</v>
      </c>
      <c r="M421" s="20">
        <v>0</v>
      </c>
      <c r="N421" s="20">
        <v>0</v>
      </c>
      <c r="O421" s="20">
        <v>0</v>
      </c>
      <c r="P421" s="20">
        <v>0</v>
      </c>
      <c r="Q421" s="20">
        <v>0</v>
      </c>
      <c r="R421" s="20">
        <v>0</v>
      </c>
      <c r="S421" s="20">
        <v>0</v>
      </c>
      <c r="T421" s="20">
        <v>0</v>
      </c>
      <c r="U421" s="20">
        <v>0</v>
      </c>
      <c r="V421" s="20">
        <v>0</v>
      </c>
      <c r="W421" s="20">
        <v>0</v>
      </c>
      <c r="X421" s="20">
        <v>0</v>
      </c>
      <c r="Y421" s="20">
        <v>0</v>
      </c>
      <c r="Z421" s="20">
        <v>0</v>
      </c>
      <c r="AA421" s="20">
        <v>0</v>
      </c>
      <c r="AB421" s="20">
        <v>0</v>
      </c>
      <c r="AC421" s="20">
        <v>0</v>
      </c>
      <c r="AD421" s="20">
        <v>0</v>
      </c>
      <c r="AE421" s="20">
        <v>0</v>
      </c>
      <c r="AF421" s="20">
        <v>0</v>
      </c>
      <c r="AG421" s="20">
        <v>0</v>
      </c>
      <c r="AH421" s="20">
        <v>0</v>
      </c>
      <c r="AI421" s="20">
        <v>0</v>
      </c>
      <c r="AJ421" s="20">
        <v>0</v>
      </c>
      <c r="AK421" s="20">
        <v>0</v>
      </c>
      <c r="AL421" s="20">
        <v>0</v>
      </c>
      <c r="AM421" s="20">
        <v>0</v>
      </c>
      <c r="AN421" s="20">
        <v>0</v>
      </c>
      <c r="AO421" s="20">
        <v>0</v>
      </c>
      <c r="AP421" s="20">
        <v>0</v>
      </c>
      <c r="AQ421" s="20">
        <v>0</v>
      </c>
      <c r="AR421" s="20">
        <v>0</v>
      </c>
      <c r="AS421" s="20">
        <v>0</v>
      </c>
      <c r="AT421" s="20">
        <v>0</v>
      </c>
      <c r="AU421" s="20">
        <v>0</v>
      </c>
      <c r="AV421" s="20">
        <v>0</v>
      </c>
      <c r="AW421" s="20">
        <v>0</v>
      </c>
      <c r="AX421" s="20">
        <v>0</v>
      </c>
      <c r="AY421" s="20">
        <v>0</v>
      </c>
      <c r="AZ421" s="20">
        <v>0</v>
      </c>
      <c r="BA421" s="20">
        <v>0</v>
      </c>
      <c r="BB421" s="27">
        <v>0</v>
      </c>
      <c r="BC421" s="20">
        <v>0</v>
      </c>
      <c r="BD421" s="20">
        <v>0</v>
      </c>
      <c r="BE421" s="21">
        <v>0</v>
      </c>
      <c r="BF421" s="21">
        <v>0</v>
      </c>
      <c r="BG421" s="20">
        <v>0</v>
      </c>
      <c r="BH421" s="20">
        <v>0</v>
      </c>
      <c r="BI421" s="22">
        <f t="shared" si="113"/>
        <v>8</v>
      </c>
      <c r="BJ421" s="22">
        <f t="shared" si="114"/>
        <v>0</v>
      </c>
      <c r="BK421" s="28">
        <f t="shared" si="115"/>
        <v>14</v>
      </c>
      <c r="BL421" s="22">
        <f t="shared" si="116"/>
        <v>14</v>
      </c>
      <c r="BM421" s="22">
        <f t="shared" si="118"/>
        <v>0</v>
      </c>
      <c r="BN421" s="23">
        <f t="shared" ref="BN421:BO436" si="119">I421/BL421</f>
        <v>0.42857142857142855</v>
      </c>
      <c r="BO421" s="23" t="e">
        <f t="shared" si="119"/>
        <v>#DIV/0!</v>
      </c>
      <c r="BP421" s="7">
        <f>VLOOKUP(A421,[1]Sheet15!B:E,4,0)</f>
        <v>7</v>
      </c>
      <c r="BQ421" s="7">
        <f>VLOOKUP(A421,[1]Sheet15!B:E,3,0)</f>
        <v>0</v>
      </c>
    </row>
    <row r="422" spans="1:69" ht="22.5" customHeight="1" x14ac:dyDescent="0.25">
      <c r="A422" s="15" t="s">
        <v>1072</v>
      </c>
      <c r="B422" s="15">
        <f>VLOOKUP(A422,'[1]Master clients'!F416:W3963,17,0)</f>
        <v>0</v>
      </c>
      <c r="C422" s="15" t="str">
        <f>VLOOKUP(A422,'[1]Master clients'!F416:P3963,11,0)</f>
        <v>AV</v>
      </c>
      <c r="D422" s="15" t="str">
        <f>VLOOKUP(A422,'[1]Master clients'!F:M,8,0)</f>
        <v>End User</v>
      </c>
      <c r="E422" s="24" t="s">
        <v>1073</v>
      </c>
      <c r="F422" s="25" t="s">
        <v>1074</v>
      </c>
      <c r="G422" s="20">
        <v>20</v>
      </c>
      <c r="H422" s="20">
        <v>0</v>
      </c>
      <c r="I422" s="26">
        <v>17</v>
      </c>
      <c r="J422" s="26">
        <v>0</v>
      </c>
      <c r="K422" s="20">
        <v>12</v>
      </c>
      <c r="L422" s="20">
        <v>0</v>
      </c>
      <c r="M422" s="20">
        <v>0</v>
      </c>
      <c r="N422" s="20">
        <v>0</v>
      </c>
      <c r="O422" s="20">
        <v>0</v>
      </c>
      <c r="P422" s="20">
        <v>0</v>
      </c>
      <c r="Q422" s="20">
        <v>16</v>
      </c>
      <c r="R422" s="20">
        <v>0</v>
      </c>
      <c r="S422" s="20">
        <v>0</v>
      </c>
      <c r="T422" s="20">
        <v>0</v>
      </c>
      <c r="U422" s="20">
        <v>0</v>
      </c>
      <c r="V422" s="20">
        <v>0</v>
      </c>
      <c r="W422" s="20">
        <v>0</v>
      </c>
      <c r="X422" s="20">
        <v>0</v>
      </c>
      <c r="Y422" s="20">
        <v>0</v>
      </c>
      <c r="Z422" s="20">
        <v>0</v>
      </c>
      <c r="AA422" s="20">
        <v>0</v>
      </c>
      <c r="AB422" s="20">
        <v>0</v>
      </c>
      <c r="AC422" s="20">
        <v>0</v>
      </c>
      <c r="AD422" s="20">
        <v>0</v>
      </c>
      <c r="AE422" s="20">
        <v>0</v>
      </c>
      <c r="AF422" s="20">
        <v>0</v>
      </c>
      <c r="AG422" s="20">
        <v>0</v>
      </c>
      <c r="AH422" s="20">
        <v>0</v>
      </c>
      <c r="AI422" s="20">
        <v>0</v>
      </c>
      <c r="AJ422" s="20">
        <v>0</v>
      </c>
      <c r="AK422" s="20">
        <v>0</v>
      </c>
      <c r="AL422" s="20">
        <v>0</v>
      </c>
      <c r="AM422" s="20">
        <v>0</v>
      </c>
      <c r="AN422" s="20">
        <v>0</v>
      </c>
      <c r="AO422" s="20">
        <v>0</v>
      </c>
      <c r="AP422" s="20">
        <v>0</v>
      </c>
      <c r="AQ422" s="20">
        <v>0</v>
      </c>
      <c r="AR422" s="20">
        <v>0</v>
      </c>
      <c r="AS422" s="20">
        <v>0</v>
      </c>
      <c r="AT422" s="20">
        <v>0</v>
      </c>
      <c r="AU422" s="20">
        <v>0</v>
      </c>
      <c r="AV422" s="20">
        <v>0</v>
      </c>
      <c r="AW422" s="20">
        <v>0</v>
      </c>
      <c r="AX422" s="20">
        <v>0</v>
      </c>
      <c r="AY422" s="20">
        <v>0</v>
      </c>
      <c r="AZ422" s="20">
        <v>0</v>
      </c>
      <c r="BA422" s="20">
        <v>0</v>
      </c>
      <c r="BB422" s="27">
        <v>0</v>
      </c>
      <c r="BC422" s="20">
        <v>0</v>
      </c>
      <c r="BD422" s="20">
        <v>0</v>
      </c>
      <c r="BE422" s="21">
        <v>0</v>
      </c>
      <c r="BF422" s="21">
        <v>0</v>
      </c>
      <c r="BG422" s="20">
        <v>0</v>
      </c>
      <c r="BH422" s="20">
        <v>0</v>
      </c>
      <c r="BI422" s="22">
        <f t="shared" si="113"/>
        <v>12</v>
      </c>
      <c r="BJ422" s="22">
        <f t="shared" si="114"/>
        <v>16</v>
      </c>
      <c r="BK422" s="28">
        <f t="shared" si="115"/>
        <v>45</v>
      </c>
      <c r="BL422" s="22">
        <f t="shared" si="116"/>
        <v>29</v>
      </c>
      <c r="BM422" s="22">
        <f t="shared" si="118"/>
        <v>16</v>
      </c>
      <c r="BN422" s="23">
        <f t="shared" si="119"/>
        <v>0.58620689655172409</v>
      </c>
      <c r="BO422" s="23">
        <f t="shared" si="119"/>
        <v>0</v>
      </c>
      <c r="BP422" s="7">
        <f>VLOOKUP(A422,[1]Sheet15!B:E,4,0)</f>
        <v>6</v>
      </c>
      <c r="BQ422" s="7">
        <f>VLOOKUP(A422,[1]Sheet15!B:E,3,0)</f>
        <v>0</v>
      </c>
    </row>
    <row r="423" spans="1:69" ht="22.5" customHeight="1" x14ac:dyDescent="0.25">
      <c r="A423" s="15" t="s">
        <v>1075</v>
      </c>
      <c r="B423" s="15" t="str">
        <f>VLOOKUP(A423,'[1]Master clients'!F417:W3964,17,0)</f>
        <v>May</v>
      </c>
      <c r="C423" s="15" t="str">
        <f>VLOOKUP(A423,'[1]Master clients'!F417:P3964,11,0)</f>
        <v>MRK</v>
      </c>
      <c r="D423" s="15" t="str">
        <f>VLOOKUP(A423,'[1]Master clients'!F:M,8,0)</f>
        <v>End User</v>
      </c>
      <c r="E423" s="16" t="s">
        <v>1076</v>
      </c>
      <c r="F423" s="16" t="s">
        <v>1077</v>
      </c>
      <c r="G423" s="17">
        <v>2</v>
      </c>
      <c r="H423" s="17">
        <v>0</v>
      </c>
      <c r="I423" s="18">
        <v>1</v>
      </c>
      <c r="J423" s="18">
        <v>0</v>
      </c>
      <c r="K423" s="17">
        <v>0</v>
      </c>
      <c r="L423" s="17">
        <v>0</v>
      </c>
      <c r="M423" s="17">
        <v>0</v>
      </c>
      <c r="N423" s="17">
        <v>0</v>
      </c>
      <c r="O423" s="19">
        <v>0</v>
      </c>
      <c r="P423" s="19">
        <v>0</v>
      </c>
      <c r="Q423" s="19">
        <v>2</v>
      </c>
      <c r="R423" s="19">
        <v>0</v>
      </c>
      <c r="S423" s="19">
        <v>0</v>
      </c>
      <c r="T423" s="19">
        <v>0</v>
      </c>
      <c r="U423" s="19">
        <v>0</v>
      </c>
      <c r="V423" s="19">
        <v>0</v>
      </c>
      <c r="W423" s="20">
        <v>0</v>
      </c>
      <c r="X423" s="20">
        <v>0</v>
      </c>
      <c r="Y423" s="19">
        <v>0</v>
      </c>
      <c r="Z423" s="19">
        <v>0</v>
      </c>
      <c r="AA423" s="19">
        <v>0</v>
      </c>
      <c r="AB423" s="19">
        <v>0</v>
      </c>
      <c r="AC423" s="19">
        <v>0</v>
      </c>
      <c r="AD423" s="19">
        <v>0</v>
      </c>
      <c r="AE423" s="19">
        <v>0</v>
      </c>
      <c r="AF423" s="19">
        <v>0</v>
      </c>
      <c r="AG423" s="19">
        <v>0</v>
      </c>
      <c r="AH423" s="19">
        <v>0</v>
      </c>
      <c r="AI423" s="20">
        <v>0</v>
      </c>
      <c r="AJ423" s="20">
        <v>0</v>
      </c>
      <c r="AK423" s="19">
        <v>0</v>
      </c>
      <c r="AL423" s="20">
        <v>0</v>
      </c>
      <c r="AM423" s="19">
        <v>0</v>
      </c>
      <c r="AN423" s="19">
        <v>0</v>
      </c>
      <c r="AO423" s="19">
        <v>0</v>
      </c>
      <c r="AP423" s="19">
        <v>0</v>
      </c>
      <c r="AQ423" s="19">
        <v>0</v>
      </c>
      <c r="AR423" s="19">
        <v>0</v>
      </c>
      <c r="AS423" s="19">
        <v>0</v>
      </c>
      <c r="AT423" s="19">
        <v>0</v>
      </c>
      <c r="AU423" s="19">
        <v>0</v>
      </c>
      <c r="AV423" s="19">
        <v>0</v>
      </c>
      <c r="AW423" s="20">
        <v>0</v>
      </c>
      <c r="AX423" s="20">
        <v>0</v>
      </c>
      <c r="AY423" s="20">
        <v>0</v>
      </c>
      <c r="AZ423" s="19">
        <v>0</v>
      </c>
      <c r="BA423" s="19">
        <v>0</v>
      </c>
      <c r="BB423" s="19">
        <v>0</v>
      </c>
      <c r="BC423" s="19">
        <v>0</v>
      </c>
      <c r="BD423" s="19">
        <v>0</v>
      </c>
      <c r="BE423" s="21">
        <v>0</v>
      </c>
      <c r="BF423" s="21">
        <v>0</v>
      </c>
      <c r="BG423" s="19">
        <v>0</v>
      </c>
      <c r="BH423" s="19">
        <v>0</v>
      </c>
      <c r="BI423" s="22">
        <f t="shared" si="113"/>
        <v>0</v>
      </c>
      <c r="BJ423" s="22">
        <f t="shared" si="114"/>
        <v>2</v>
      </c>
      <c r="BK423" s="22">
        <f t="shared" si="115"/>
        <v>3</v>
      </c>
      <c r="BL423" s="22">
        <f t="shared" si="116"/>
        <v>1</v>
      </c>
      <c r="BM423" s="22">
        <f t="shared" si="118"/>
        <v>2</v>
      </c>
      <c r="BN423" s="23">
        <f t="shared" si="119"/>
        <v>1</v>
      </c>
      <c r="BO423" s="23">
        <f t="shared" si="119"/>
        <v>0</v>
      </c>
      <c r="BP423" s="7">
        <f>VLOOKUP(A423,[1]Sheet15!B:E,4,0)</f>
        <v>2</v>
      </c>
      <c r="BQ423" s="7">
        <f>VLOOKUP(A423,[1]Sheet15!B:E,3,0)</f>
        <v>0</v>
      </c>
    </row>
    <row r="424" spans="1:69" ht="22.5" customHeight="1" x14ac:dyDescent="0.25">
      <c r="A424" s="15" t="s">
        <v>1078</v>
      </c>
      <c r="B424" s="15" t="e">
        <f>VLOOKUP(A424,'[1]Master clients'!F418:W3965,17,0)</f>
        <v>#N/A</v>
      </c>
      <c r="C424" s="15" t="e">
        <f>VLOOKUP(A424,'[1]Master clients'!F418:P3965,11,0)</f>
        <v>#N/A</v>
      </c>
      <c r="D424" s="15" t="str">
        <f>VLOOKUP(A424,'[1]Master clients'!F:M,8,0)</f>
        <v>End User</v>
      </c>
      <c r="E424" s="16" t="s">
        <v>1079</v>
      </c>
      <c r="F424" s="16" t="s">
        <v>1080</v>
      </c>
      <c r="G424" s="17">
        <v>7</v>
      </c>
      <c r="H424" s="17">
        <v>2</v>
      </c>
      <c r="I424" s="18">
        <v>8</v>
      </c>
      <c r="J424" s="17">
        <v>2</v>
      </c>
      <c r="K424" s="17">
        <v>0</v>
      </c>
      <c r="L424" s="17">
        <v>0</v>
      </c>
      <c r="M424" s="17">
        <v>0</v>
      </c>
      <c r="N424" s="17">
        <v>0</v>
      </c>
      <c r="O424" s="19">
        <v>0</v>
      </c>
      <c r="P424" s="19">
        <v>4</v>
      </c>
      <c r="Q424" s="19">
        <v>2</v>
      </c>
      <c r="R424" s="19">
        <v>0</v>
      </c>
      <c r="S424" s="19">
        <v>0</v>
      </c>
      <c r="T424" s="19">
        <v>0</v>
      </c>
      <c r="U424" s="19">
        <v>0</v>
      </c>
      <c r="V424" s="19">
        <v>0</v>
      </c>
      <c r="W424" s="20">
        <v>0</v>
      </c>
      <c r="X424" s="20">
        <v>0</v>
      </c>
      <c r="Y424" s="19">
        <v>8</v>
      </c>
      <c r="Z424" s="19">
        <v>0</v>
      </c>
      <c r="AA424" s="19">
        <v>0</v>
      </c>
      <c r="AB424" s="19">
        <v>0</v>
      </c>
      <c r="AC424" s="19">
        <v>0</v>
      </c>
      <c r="AD424" s="19">
        <v>5</v>
      </c>
      <c r="AE424" s="19">
        <v>0</v>
      </c>
      <c r="AF424" s="19">
        <v>0</v>
      </c>
      <c r="AG424" s="19">
        <v>0</v>
      </c>
      <c r="AH424" s="19">
        <v>0</v>
      </c>
      <c r="AI424" s="20">
        <v>0</v>
      </c>
      <c r="AJ424" s="20">
        <v>0</v>
      </c>
      <c r="AK424" s="19">
        <v>0</v>
      </c>
      <c r="AL424" s="20">
        <v>0</v>
      </c>
      <c r="AM424" s="19">
        <v>0</v>
      </c>
      <c r="AN424" s="19">
        <v>0</v>
      </c>
      <c r="AO424" s="19">
        <v>0</v>
      </c>
      <c r="AP424" s="19">
        <v>0</v>
      </c>
      <c r="AQ424" s="19">
        <v>0</v>
      </c>
      <c r="AR424" s="19">
        <v>0</v>
      </c>
      <c r="AS424" s="19">
        <v>0</v>
      </c>
      <c r="AT424" s="19">
        <v>0</v>
      </c>
      <c r="AU424" s="19">
        <v>0</v>
      </c>
      <c r="AV424" s="19">
        <v>0</v>
      </c>
      <c r="AW424" s="20">
        <v>0</v>
      </c>
      <c r="AX424" s="20">
        <v>0</v>
      </c>
      <c r="AY424" s="20">
        <v>0</v>
      </c>
      <c r="AZ424" s="19">
        <v>0</v>
      </c>
      <c r="BA424" s="19">
        <v>0</v>
      </c>
      <c r="BB424" s="19">
        <v>0</v>
      </c>
      <c r="BC424" s="19">
        <v>0</v>
      </c>
      <c r="BD424" s="19">
        <v>0</v>
      </c>
      <c r="BE424" s="21">
        <v>0</v>
      </c>
      <c r="BF424" s="21">
        <v>0</v>
      </c>
      <c r="BG424" s="19">
        <v>0</v>
      </c>
      <c r="BH424" s="19">
        <v>0</v>
      </c>
      <c r="BI424" s="22">
        <f t="shared" si="113"/>
        <v>12</v>
      </c>
      <c r="BJ424" s="22">
        <f t="shared" si="114"/>
        <v>7</v>
      </c>
      <c r="BK424" s="22">
        <f t="shared" si="115"/>
        <v>29</v>
      </c>
      <c r="BL424" s="22">
        <f t="shared" si="116"/>
        <v>20</v>
      </c>
      <c r="BM424" s="22">
        <f t="shared" si="118"/>
        <v>9</v>
      </c>
      <c r="BN424" s="23">
        <f t="shared" si="119"/>
        <v>0.4</v>
      </c>
      <c r="BO424" s="23">
        <f t="shared" si="119"/>
        <v>0.22222222222222221</v>
      </c>
      <c r="BP424" s="7">
        <f>VLOOKUP(A424,[1]Sheet15!B:E,4,0)</f>
        <v>5</v>
      </c>
      <c r="BQ424" s="7">
        <f>VLOOKUP(A424,[1]Sheet15!B:E,3,0)</f>
        <v>2</v>
      </c>
    </row>
    <row r="425" spans="1:69" ht="22.5" customHeight="1" x14ac:dyDescent="0.25">
      <c r="A425" s="15" t="s">
        <v>1081</v>
      </c>
      <c r="B425" s="15">
        <f>VLOOKUP(A425,'[1]Master clients'!F419:W3966,17,0)</f>
        <v>0</v>
      </c>
      <c r="C425" s="15" t="str">
        <f>VLOOKUP(A425,'[1]Master clients'!F419:P3966,11,0)</f>
        <v>AV</v>
      </c>
      <c r="D425" s="15" t="str">
        <f>VLOOKUP(A425,'[1]Master clients'!F:M,8,0)</f>
        <v>Group (Mills)</v>
      </c>
      <c r="E425" s="16" t="s">
        <v>1082</v>
      </c>
      <c r="F425" s="16" t="s">
        <v>1083</v>
      </c>
      <c r="G425" s="17">
        <v>2</v>
      </c>
      <c r="H425" s="17">
        <v>0</v>
      </c>
      <c r="I425" s="18">
        <v>2</v>
      </c>
      <c r="J425" s="18">
        <v>0</v>
      </c>
      <c r="K425" s="17">
        <v>0</v>
      </c>
      <c r="L425" s="17">
        <v>0</v>
      </c>
      <c r="M425" s="17">
        <v>8</v>
      </c>
      <c r="N425" s="17">
        <v>8</v>
      </c>
      <c r="O425" s="19">
        <v>0</v>
      </c>
      <c r="P425" s="19">
        <v>1</v>
      </c>
      <c r="Q425" s="19">
        <v>2</v>
      </c>
      <c r="R425" s="19">
        <v>0</v>
      </c>
      <c r="S425" s="19">
        <v>0</v>
      </c>
      <c r="T425" s="19">
        <v>0</v>
      </c>
      <c r="U425" s="19">
        <v>0</v>
      </c>
      <c r="V425" s="19">
        <v>0</v>
      </c>
      <c r="W425" s="20">
        <v>0</v>
      </c>
      <c r="X425" s="20">
        <v>0</v>
      </c>
      <c r="Y425" s="19">
        <v>0</v>
      </c>
      <c r="Z425" s="19">
        <v>0</v>
      </c>
      <c r="AA425" s="19">
        <v>0</v>
      </c>
      <c r="AB425" s="19">
        <v>0</v>
      </c>
      <c r="AC425" s="19">
        <v>0</v>
      </c>
      <c r="AD425" s="19">
        <v>0</v>
      </c>
      <c r="AE425" s="19">
        <v>0</v>
      </c>
      <c r="AF425" s="19">
        <v>0</v>
      </c>
      <c r="AG425" s="19">
        <v>0</v>
      </c>
      <c r="AH425" s="19">
        <v>0</v>
      </c>
      <c r="AI425" s="20">
        <v>0</v>
      </c>
      <c r="AJ425" s="20">
        <v>0</v>
      </c>
      <c r="AK425" s="19">
        <v>0</v>
      </c>
      <c r="AL425" s="20">
        <v>0</v>
      </c>
      <c r="AM425" s="19">
        <v>0</v>
      </c>
      <c r="AN425" s="19">
        <v>0</v>
      </c>
      <c r="AO425" s="19">
        <v>0</v>
      </c>
      <c r="AP425" s="19">
        <v>0</v>
      </c>
      <c r="AQ425" s="19">
        <v>0</v>
      </c>
      <c r="AR425" s="19">
        <v>0</v>
      </c>
      <c r="AS425" s="19">
        <v>0</v>
      </c>
      <c r="AT425" s="19">
        <v>0</v>
      </c>
      <c r="AU425" s="19">
        <v>0</v>
      </c>
      <c r="AV425" s="19">
        <v>0</v>
      </c>
      <c r="AW425" s="20">
        <v>0</v>
      </c>
      <c r="AX425" s="20">
        <v>0</v>
      </c>
      <c r="AY425" s="20">
        <v>0</v>
      </c>
      <c r="AZ425" s="19">
        <v>0</v>
      </c>
      <c r="BA425" s="19">
        <v>0</v>
      </c>
      <c r="BB425" s="19">
        <v>0</v>
      </c>
      <c r="BC425" s="19">
        <v>0</v>
      </c>
      <c r="BD425" s="19">
        <v>0</v>
      </c>
      <c r="BE425" s="21">
        <v>0</v>
      </c>
      <c r="BF425" s="21">
        <v>0</v>
      </c>
      <c r="BG425" s="19">
        <v>0</v>
      </c>
      <c r="BH425" s="19">
        <v>0</v>
      </c>
      <c r="BI425" s="22">
        <f t="shared" si="113"/>
        <v>9</v>
      </c>
      <c r="BJ425" s="22">
        <f t="shared" si="114"/>
        <v>10</v>
      </c>
      <c r="BK425" s="22">
        <f t="shared" si="115"/>
        <v>21</v>
      </c>
      <c r="BL425" s="22">
        <f t="shared" si="116"/>
        <v>11</v>
      </c>
      <c r="BM425" s="22">
        <f t="shared" si="118"/>
        <v>10</v>
      </c>
      <c r="BN425" s="23">
        <f t="shared" si="119"/>
        <v>0.18181818181818182</v>
      </c>
      <c r="BO425" s="23">
        <f t="shared" si="119"/>
        <v>0</v>
      </c>
      <c r="BP425" s="7" t="e">
        <f>VLOOKUP(A425,[1]Sheet15!B:E,4,0)</f>
        <v>#N/A</v>
      </c>
      <c r="BQ425" s="7" t="e">
        <f>VLOOKUP(A425,[1]Sheet15!B:E,3,0)</f>
        <v>#N/A</v>
      </c>
    </row>
    <row r="426" spans="1:69" ht="22.5" customHeight="1" x14ac:dyDescent="0.25">
      <c r="A426" s="15" t="s">
        <v>1084</v>
      </c>
      <c r="B426" s="15" t="e">
        <f>VLOOKUP(A426,'[1]Master clients'!F420:W3967,17,0)</f>
        <v>#N/A</v>
      </c>
      <c r="C426" s="15" t="e">
        <f>VLOOKUP(A426,'[1]Master clients'!F420:P3967,11,0)</f>
        <v>#N/A</v>
      </c>
      <c r="D426" s="15" t="str">
        <f>VLOOKUP(A426,'[1]Master clients'!F:M,8,0)</f>
        <v>Trader</v>
      </c>
      <c r="E426" s="16" t="s">
        <v>1085</v>
      </c>
      <c r="F426" s="16" t="s">
        <v>265</v>
      </c>
      <c r="G426" s="17"/>
      <c r="H426" s="17"/>
      <c r="I426" s="31">
        <v>0</v>
      </c>
      <c r="J426" s="31">
        <v>0</v>
      </c>
      <c r="K426" s="17">
        <v>0</v>
      </c>
      <c r="L426" s="17">
        <v>0</v>
      </c>
      <c r="M426" s="17">
        <v>0</v>
      </c>
      <c r="N426" s="17">
        <v>0</v>
      </c>
      <c r="O426" s="17">
        <v>0</v>
      </c>
      <c r="P426" s="17">
        <v>0</v>
      </c>
      <c r="Q426" s="17">
        <v>0</v>
      </c>
      <c r="R426" s="17">
        <v>0</v>
      </c>
      <c r="S426" s="17">
        <v>0</v>
      </c>
      <c r="T426" s="17">
        <v>0</v>
      </c>
      <c r="U426" s="17">
        <v>0</v>
      </c>
      <c r="V426" s="17">
        <v>0</v>
      </c>
      <c r="W426" s="17">
        <v>0</v>
      </c>
      <c r="X426" s="17">
        <v>0</v>
      </c>
      <c r="Y426" s="17">
        <v>0</v>
      </c>
      <c r="Z426" s="17">
        <v>0</v>
      </c>
      <c r="AA426" s="17">
        <v>0</v>
      </c>
      <c r="AB426" s="17">
        <v>0</v>
      </c>
      <c r="AC426" s="17">
        <v>0</v>
      </c>
      <c r="AD426" s="17">
        <v>0</v>
      </c>
      <c r="AE426" s="17">
        <v>0</v>
      </c>
      <c r="AF426" s="17">
        <v>0</v>
      </c>
      <c r="AG426" s="17">
        <v>0</v>
      </c>
      <c r="AH426" s="17">
        <v>0</v>
      </c>
      <c r="AI426" s="17">
        <v>0</v>
      </c>
      <c r="AJ426" s="17">
        <v>0</v>
      </c>
      <c r="AK426" s="17">
        <v>0</v>
      </c>
      <c r="AL426" s="17">
        <v>0</v>
      </c>
      <c r="AM426" s="17">
        <v>0</v>
      </c>
      <c r="AN426" s="17">
        <v>0</v>
      </c>
      <c r="AO426" s="17">
        <v>0</v>
      </c>
      <c r="AP426" s="17">
        <v>0</v>
      </c>
      <c r="AQ426" s="17">
        <v>0</v>
      </c>
      <c r="AR426" s="17">
        <v>0</v>
      </c>
      <c r="AS426" s="17">
        <v>0</v>
      </c>
      <c r="AT426" s="17">
        <v>0</v>
      </c>
      <c r="AU426" s="17">
        <v>0</v>
      </c>
      <c r="AV426" s="17">
        <v>0</v>
      </c>
      <c r="AW426" s="17">
        <v>0</v>
      </c>
      <c r="AX426" s="17">
        <v>0</v>
      </c>
      <c r="AY426" s="17">
        <v>0</v>
      </c>
      <c r="AZ426" s="17">
        <v>0</v>
      </c>
      <c r="BA426" s="17">
        <v>0</v>
      </c>
      <c r="BB426" s="17">
        <v>0</v>
      </c>
      <c r="BC426" s="17">
        <v>0</v>
      </c>
      <c r="BD426" s="17">
        <v>0</v>
      </c>
      <c r="BE426" s="17">
        <v>0</v>
      </c>
      <c r="BF426" s="17">
        <v>0</v>
      </c>
      <c r="BG426" s="17">
        <v>0</v>
      </c>
      <c r="BH426" s="17">
        <v>0</v>
      </c>
      <c r="BI426" s="22">
        <f>SUM(M426+N426+P426+R426+T426+W426+Z426+AC426+AE426+AL426+AO426+AP426+AS426+AW426+AX426+BC426+BE426+BG426)</f>
        <v>0</v>
      </c>
      <c r="BJ426" s="22">
        <f>SUM(H426:BG426)</f>
        <v>0</v>
      </c>
      <c r="BK426" s="22">
        <f>SUM(H426+J426+K426+L426+O426+Q426+S426+U426+V426+X426+Y426+AA426+AB426+AD426+AF426+AG426+AH426+AI426+AJ426+AK426+AM426+AN426+AQ426+AR426+AT426+AU426+AV426+AY426+AZ426+BA426+BB426+BF426+BD426)</f>
        <v>0</v>
      </c>
      <c r="BL426" s="22">
        <f t="shared" ref="BL426:BM441" si="120">SUM(I426+M426+N426+P426+R426+T426+W426+Z426+AC426+AE426+AL426+AO426+AP426+AS426+AW426+AX426+BC426+BG426)</f>
        <v>0</v>
      </c>
      <c r="BM426" s="22">
        <f t="shared" si="120"/>
        <v>0</v>
      </c>
      <c r="BN426" s="23" t="e">
        <f t="shared" si="119"/>
        <v>#DIV/0!</v>
      </c>
      <c r="BO426" s="23" t="e">
        <f t="shared" si="119"/>
        <v>#DIV/0!</v>
      </c>
      <c r="BP426" s="7" t="e">
        <f>VLOOKUP(A426,[1]Sheet15!B:E,4,0)</f>
        <v>#N/A</v>
      </c>
      <c r="BQ426" s="7" t="e">
        <f>VLOOKUP(A426,[1]Sheet15!B:E,3,0)</f>
        <v>#N/A</v>
      </c>
    </row>
    <row r="427" spans="1:69" ht="22.5" customHeight="1" x14ac:dyDescent="0.25">
      <c r="A427" s="15" t="s">
        <v>1086</v>
      </c>
      <c r="B427" s="15" t="e">
        <f>VLOOKUP(A427,'[1]Master clients'!F421:W3968,17,0)</f>
        <v>#N/A</v>
      </c>
      <c r="C427" s="15" t="e">
        <f>VLOOKUP(A427,'[1]Master clients'!F421:P3968,11,0)</f>
        <v>#N/A</v>
      </c>
      <c r="D427" s="15" t="str">
        <f>VLOOKUP(A427,'[1]Master clients'!F:M,8,0)</f>
        <v>End User</v>
      </c>
      <c r="E427" s="16" t="s">
        <v>1087</v>
      </c>
      <c r="F427" s="16" t="s">
        <v>1088</v>
      </c>
      <c r="G427" s="17">
        <v>4</v>
      </c>
      <c r="H427" s="17">
        <v>0</v>
      </c>
      <c r="I427" s="18">
        <v>4</v>
      </c>
      <c r="J427" s="18">
        <v>0</v>
      </c>
      <c r="K427" s="17">
        <v>0</v>
      </c>
      <c r="L427" s="17">
        <v>0</v>
      </c>
      <c r="M427" s="17">
        <v>0</v>
      </c>
      <c r="N427" s="17">
        <v>0</v>
      </c>
      <c r="O427" s="19">
        <v>0</v>
      </c>
      <c r="P427" s="19">
        <v>2</v>
      </c>
      <c r="Q427" s="19">
        <v>3</v>
      </c>
      <c r="R427" s="19">
        <v>0</v>
      </c>
      <c r="S427" s="19">
        <v>0</v>
      </c>
      <c r="T427" s="19">
        <v>0</v>
      </c>
      <c r="U427" s="19">
        <v>0</v>
      </c>
      <c r="V427" s="19">
        <v>0</v>
      </c>
      <c r="W427" s="20">
        <v>0</v>
      </c>
      <c r="X427" s="20">
        <v>0</v>
      </c>
      <c r="Y427" s="19">
        <v>0</v>
      </c>
      <c r="Z427" s="19">
        <v>0</v>
      </c>
      <c r="AA427" s="19">
        <v>0</v>
      </c>
      <c r="AB427" s="19">
        <v>0</v>
      </c>
      <c r="AC427" s="19">
        <v>0</v>
      </c>
      <c r="AD427" s="19">
        <v>0</v>
      </c>
      <c r="AE427" s="19">
        <v>0</v>
      </c>
      <c r="AF427" s="19">
        <v>0</v>
      </c>
      <c r="AG427" s="19">
        <v>0</v>
      </c>
      <c r="AH427" s="19">
        <v>0</v>
      </c>
      <c r="AI427" s="20">
        <v>0</v>
      </c>
      <c r="AJ427" s="20">
        <v>0</v>
      </c>
      <c r="AK427" s="19">
        <v>0</v>
      </c>
      <c r="AL427" s="20">
        <v>0</v>
      </c>
      <c r="AM427" s="19">
        <v>0</v>
      </c>
      <c r="AN427" s="19">
        <v>0</v>
      </c>
      <c r="AO427" s="19">
        <v>0</v>
      </c>
      <c r="AP427" s="19">
        <v>0</v>
      </c>
      <c r="AQ427" s="19">
        <v>0</v>
      </c>
      <c r="AR427" s="19">
        <v>0</v>
      </c>
      <c r="AS427" s="19">
        <v>0</v>
      </c>
      <c r="AT427" s="19">
        <v>0</v>
      </c>
      <c r="AU427" s="19">
        <v>0</v>
      </c>
      <c r="AV427" s="19">
        <v>0</v>
      </c>
      <c r="AW427" s="20">
        <v>0</v>
      </c>
      <c r="AX427" s="20">
        <v>0</v>
      </c>
      <c r="AY427" s="20">
        <v>0</v>
      </c>
      <c r="AZ427" s="19">
        <v>0</v>
      </c>
      <c r="BA427" s="19">
        <v>0</v>
      </c>
      <c r="BB427" s="19">
        <v>0</v>
      </c>
      <c r="BC427" s="19">
        <v>0</v>
      </c>
      <c r="BD427" s="19">
        <v>0</v>
      </c>
      <c r="BE427" s="21">
        <v>0</v>
      </c>
      <c r="BF427" s="21">
        <v>0</v>
      </c>
      <c r="BG427" s="19">
        <v>0</v>
      </c>
      <c r="BH427" s="19">
        <v>0</v>
      </c>
      <c r="BI427" s="22">
        <f t="shared" ref="BI427:BI462" si="121">SUM(K427+L427+M427+P427+R427+T427+V427+W427+Y427+Z427+AB427+AC427+AE427+AG427+AH427+AI427+AJ427+AK427+AL427+AN427+AO427+AR427+AS427+AU427+AV427+AW427+AZ427+BA427+BB427+BC427+BE427+BG427)</f>
        <v>2</v>
      </c>
      <c r="BJ427" s="22">
        <f t="shared" ref="BJ427:BJ462" si="122">SUM(N427+O427+Q427+S427+U427+X427+AA427+AD427+AF427+AM427+AP427+AQ427+AT427+AX427+AY427+BD427+BF427+BH427)</f>
        <v>3</v>
      </c>
      <c r="BK427" s="22">
        <f t="shared" ref="BK427:BK462" si="123">SUM(I427:BH427)</f>
        <v>9</v>
      </c>
      <c r="BL427" s="22">
        <f t="shared" ref="BL427:BL462" si="124">SUM(I427+K427+L427+M427+P427+R427+T427+V427+W427+Y427+Z427+AB427+AC427+AE427+AG427+AH427+AI427+AJ427+AK427+AL427+AN427+AO427+AR427+AS427+AU427+AV427+AW427+AZ427+BA427+BB427+BC427+BG427+BE427)</f>
        <v>6</v>
      </c>
      <c r="BM427" s="22">
        <f t="shared" si="120"/>
        <v>3</v>
      </c>
      <c r="BN427" s="23">
        <f t="shared" si="119"/>
        <v>0.66666666666666663</v>
      </c>
      <c r="BO427" s="23">
        <f t="shared" si="119"/>
        <v>0</v>
      </c>
      <c r="BP427" s="7">
        <f>VLOOKUP(A427,[1]Sheet15!B:E,4,0)</f>
        <v>4</v>
      </c>
      <c r="BQ427" s="7">
        <f>VLOOKUP(A427,[1]Sheet15!B:E,3,0)</f>
        <v>0</v>
      </c>
    </row>
    <row r="428" spans="1:69" ht="22.5" customHeight="1" x14ac:dyDescent="0.25">
      <c r="A428" s="15" t="s">
        <v>1089</v>
      </c>
      <c r="B428" s="15" t="e">
        <f>VLOOKUP(A428,'[1]Master clients'!F422:W3969,17,0)</f>
        <v>#N/A</v>
      </c>
      <c r="C428" s="15" t="e">
        <f>VLOOKUP(A428,'[1]Master clients'!F422:P3969,11,0)</f>
        <v>#N/A</v>
      </c>
      <c r="D428" s="15" t="str">
        <f>VLOOKUP(A428,'[1]Master clients'!F:M,8,0)</f>
        <v>Group (Mills)</v>
      </c>
      <c r="E428" s="16" t="s">
        <v>1090</v>
      </c>
      <c r="F428" s="16" t="s">
        <v>265</v>
      </c>
      <c r="G428" s="17"/>
      <c r="H428" s="17"/>
      <c r="I428" s="31">
        <v>0</v>
      </c>
      <c r="J428" s="31">
        <v>0</v>
      </c>
      <c r="K428" s="17">
        <v>0</v>
      </c>
      <c r="L428" s="17">
        <v>0</v>
      </c>
      <c r="M428" s="17">
        <v>0</v>
      </c>
      <c r="N428" s="17">
        <v>0</v>
      </c>
      <c r="O428" s="17">
        <v>0</v>
      </c>
      <c r="P428" s="17">
        <v>0</v>
      </c>
      <c r="Q428" s="17">
        <v>0</v>
      </c>
      <c r="R428" s="17">
        <v>0</v>
      </c>
      <c r="S428" s="17">
        <v>0</v>
      </c>
      <c r="T428" s="17">
        <v>0</v>
      </c>
      <c r="U428" s="17">
        <v>0</v>
      </c>
      <c r="V428" s="17">
        <v>0</v>
      </c>
      <c r="W428" s="17">
        <v>0</v>
      </c>
      <c r="X428" s="17">
        <v>0</v>
      </c>
      <c r="Y428" s="17">
        <v>0</v>
      </c>
      <c r="Z428" s="17">
        <v>0</v>
      </c>
      <c r="AA428" s="17">
        <v>0</v>
      </c>
      <c r="AB428" s="17">
        <v>0</v>
      </c>
      <c r="AC428" s="17">
        <v>0</v>
      </c>
      <c r="AD428" s="17">
        <v>0</v>
      </c>
      <c r="AE428" s="17">
        <v>0</v>
      </c>
      <c r="AF428" s="17">
        <v>0</v>
      </c>
      <c r="AG428" s="17">
        <v>0</v>
      </c>
      <c r="AH428" s="17">
        <v>0</v>
      </c>
      <c r="AI428" s="17">
        <v>0</v>
      </c>
      <c r="AJ428" s="17">
        <v>0</v>
      </c>
      <c r="AK428" s="17">
        <v>0</v>
      </c>
      <c r="AL428" s="17">
        <v>0</v>
      </c>
      <c r="AM428" s="17">
        <v>0</v>
      </c>
      <c r="AN428" s="17">
        <v>0</v>
      </c>
      <c r="AO428" s="17">
        <v>0</v>
      </c>
      <c r="AP428" s="17">
        <v>0</v>
      </c>
      <c r="AQ428" s="17">
        <v>0</v>
      </c>
      <c r="AR428" s="17">
        <v>0</v>
      </c>
      <c r="AS428" s="17">
        <v>0</v>
      </c>
      <c r="AT428" s="17">
        <v>0</v>
      </c>
      <c r="AU428" s="17">
        <v>0</v>
      </c>
      <c r="AV428" s="17">
        <v>0</v>
      </c>
      <c r="AW428" s="17">
        <v>0</v>
      </c>
      <c r="AX428" s="17">
        <v>0</v>
      </c>
      <c r="AY428" s="17">
        <v>0</v>
      </c>
      <c r="AZ428" s="17">
        <v>0</v>
      </c>
      <c r="BA428" s="17">
        <v>0</v>
      </c>
      <c r="BB428" s="17">
        <v>0</v>
      </c>
      <c r="BC428" s="17">
        <v>0</v>
      </c>
      <c r="BD428" s="17">
        <v>0</v>
      </c>
      <c r="BE428" s="17">
        <v>0</v>
      </c>
      <c r="BF428" s="17">
        <v>0</v>
      </c>
      <c r="BG428" s="17">
        <v>0</v>
      </c>
      <c r="BH428" s="17">
        <v>0</v>
      </c>
      <c r="BI428" s="22">
        <f t="shared" si="121"/>
        <v>0</v>
      </c>
      <c r="BJ428" s="22">
        <f t="shared" si="122"/>
        <v>0</v>
      </c>
      <c r="BK428" s="22">
        <f t="shared" si="123"/>
        <v>0</v>
      </c>
      <c r="BL428" s="22">
        <f t="shared" si="124"/>
        <v>0</v>
      </c>
      <c r="BM428" s="22">
        <f t="shared" si="120"/>
        <v>0</v>
      </c>
      <c r="BN428" s="23" t="e">
        <f t="shared" si="119"/>
        <v>#DIV/0!</v>
      </c>
      <c r="BO428" s="23" t="e">
        <f t="shared" si="119"/>
        <v>#DIV/0!</v>
      </c>
      <c r="BP428" s="7" t="e">
        <f>VLOOKUP(A428,[1]Sheet15!B:E,4,0)</f>
        <v>#N/A</v>
      </c>
      <c r="BQ428" s="7" t="e">
        <f>VLOOKUP(A428,[1]Sheet15!B:E,3,0)</f>
        <v>#N/A</v>
      </c>
    </row>
    <row r="429" spans="1:69" ht="22.5" customHeight="1" x14ac:dyDescent="0.25">
      <c r="A429" s="15" t="s">
        <v>1091</v>
      </c>
      <c r="B429" s="15" t="str">
        <f>VLOOKUP(A429,'[1]Master clients'!F423:W3970,17,0)</f>
        <v>Apr</v>
      </c>
      <c r="C429" s="15" t="str">
        <f>VLOOKUP(A429,'[1]Master clients'!F423:P3970,11,0)</f>
        <v>MRK</v>
      </c>
      <c r="D429" s="15" t="str">
        <f>VLOOKUP(A429,'[1]Master clients'!F:M,8,0)</f>
        <v>End User</v>
      </c>
      <c r="E429" s="16" t="s">
        <v>1092</v>
      </c>
      <c r="F429" s="16" t="s">
        <v>1093</v>
      </c>
      <c r="G429" s="17">
        <v>8</v>
      </c>
      <c r="H429" s="17">
        <v>0</v>
      </c>
      <c r="I429" s="18">
        <v>8</v>
      </c>
      <c r="J429" s="18">
        <v>0</v>
      </c>
      <c r="K429" s="17">
        <v>0</v>
      </c>
      <c r="L429" s="17">
        <v>0</v>
      </c>
      <c r="M429" s="17">
        <v>0</v>
      </c>
      <c r="N429" s="17">
        <v>0</v>
      </c>
      <c r="O429" s="19">
        <v>0</v>
      </c>
      <c r="P429" s="19">
        <v>3</v>
      </c>
      <c r="Q429" s="19">
        <v>8</v>
      </c>
      <c r="R429" s="19">
        <v>0</v>
      </c>
      <c r="S429" s="19">
        <v>0</v>
      </c>
      <c r="T429" s="19">
        <v>0</v>
      </c>
      <c r="U429" s="19">
        <v>0</v>
      </c>
      <c r="V429" s="19">
        <v>0</v>
      </c>
      <c r="W429" s="20">
        <v>0</v>
      </c>
      <c r="X429" s="20">
        <v>0</v>
      </c>
      <c r="Y429" s="19">
        <v>0</v>
      </c>
      <c r="Z429" s="19">
        <v>2</v>
      </c>
      <c r="AA429" s="19">
        <v>0</v>
      </c>
      <c r="AB429" s="19">
        <v>0</v>
      </c>
      <c r="AC429" s="19">
        <v>0</v>
      </c>
      <c r="AD429" s="19">
        <v>0</v>
      </c>
      <c r="AE429" s="19">
        <v>0</v>
      </c>
      <c r="AF429" s="19">
        <v>0</v>
      </c>
      <c r="AG429" s="19">
        <v>0</v>
      </c>
      <c r="AH429" s="19">
        <v>0</v>
      </c>
      <c r="AI429" s="20">
        <v>0</v>
      </c>
      <c r="AJ429" s="20">
        <v>0</v>
      </c>
      <c r="AK429" s="19">
        <v>0</v>
      </c>
      <c r="AL429" s="20">
        <v>0</v>
      </c>
      <c r="AM429" s="19">
        <v>0</v>
      </c>
      <c r="AN429" s="19">
        <v>0</v>
      </c>
      <c r="AO429" s="19">
        <v>0</v>
      </c>
      <c r="AP429" s="19">
        <v>0</v>
      </c>
      <c r="AQ429" s="19">
        <v>0</v>
      </c>
      <c r="AR429" s="19">
        <v>0</v>
      </c>
      <c r="AS429" s="19">
        <v>0</v>
      </c>
      <c r="AT429" s="19">
        <v>0</v>
      </c>
      <c r="AU429" s="19">
        <v>0</v>
      </c>
      <c r="AV429" s="19">
        <v>0</v>
      </c>
      <c r="AW429" s="20">
        <v>0</v>
      </c>
      <c r="AX429" s="20">
        <v>0</v>
      </c>
      <c r="AY429" s="20">
        <v>0</v>
      </c>
      <c r="AZ429" s="19">
        <v>0</v>
      </c>
      <c r="BA429" s="19">
        <v>0</v>
      </c>
      <c r="BB429" s="19">
        <v>0</v>
      </c>
      <c r="BC429" s="19">
        <v>0</v>
      </c>
      <c r="BD429" s="19">
        <v>0</v>
      </c>
      <c r="BE429" s="21">
        <v>0</v>
      </c>
      <c r="BF429" s="21">
        <v>0</v>
      </c>
      <c r="BG429" s="19">
        <v>0</v>
      </c>
      <c r="BH429" s="19">
        <v>0</v>
      </c>
      <c r="BI429" s="22">
        <f t="shared" si="121"/>
        <v>5</v>
      </c>
      <c r="BJ429" s="22">
        <f t="shared" si="122"/>
        <v>8</v>
      </c>
      <c r="BK429" s="22">
        <f t="shared" si="123"/>
        <v>21</v>
      </c>
      <c r="BL429" s="22">
        <f t="shared" si="124"/>
        <v>13</v>
      </c>
      <c r="BM429" s="22">
        <f t="shared" si="120"/>
        <v>8</v>
      </c>
      <c r="BN429" s="23">
        <f t="shared" si="119"/>
        <v>0.61538461538461542</v>
      </c>
      <c r="BO429" s="23">
        <f t="shared" si="119"/>
        <v>0</v>
      </c>
      <c r="BP429" s="7">
        <f>VLOOKUP(A429,[1]Sheet15!B:E,4,0)</f>
        <v>8</v>
      </c>
      <c r="BQ429" s="7">
        <f>VLOOKUP(A429,[1]Sheet15!B:E,3,0)</f>
        <v>0</v>
      </c>
    </row>
    <row r="430" spans="1:69" ht="22.5" customHeight="1" x14ac:dyDescent="0.25">
      <c r="A430" s="15" t="s">
        <v>1094</v>
      </c>
      <c r="B430" s="15">
        <f>VLOOKUP(A430,'[1]Master clients'!F424:W3971,17,0)</f>
        <v>0</v>
      </c>
      <c r="C430" s="15" t="str">
        <f>VLOOKUP(A430,'[1]Master clients'!F424:P3971,11,0)</f>
        <v>MRK</v>
      </c>
      <c r="D430" s="15" t="str">
        <f>VLOOKUP(A430,'[1]Master clients'!F:M,8,0)</f>
        <v>End User</v>
      </c>
      <c r="E430" s="16" t="s">
        <v>1095</v>
      </c>
      <c r="F430" s="16" t="s">
        <v>265</v>
      </c>
      <c r="G430" s="17">
        <v>0</v>
      </c>
      <c r="H430" s="17">
        <v>0</v>
      </c>
      <c r="I430" s="18">
        <v>0</v>
      </c>
      <c r="J430" s="18">
        <v>0</v>
      </c>
      <c r="K430" s="17">
        <v>0</v>
      </c>
      <c r="L430" s="17">
        <v>0</v>
      </c>
      <c r="M430" s="17">
        <v>0</v>
      </c>
      <c r="N430" s="17">
        <v>0</v>
      </c>
      <c r="O430" s="19">
        <v>0</v>
      </c>
      <c r="P430" s="19">
        <v>0</v>
      </c>
      <c r="Q430" s="19">
        <v>0</v>
      </c>
      <c r="R430" s="19">
        <v>0</v>
      </c>
      <c r="S430" s="19">
        <v>0</v>
      </c>
      <c r="T430" s="19">
        <v>0</v>
      </c>
      <c r="U430" s="19">
        <v>0</v>
      </c>
      <c r="V430" s="19">
        <v>2</v>
      </c>
      <c r="W430" s="20">
        <v>0</v>
      </c>
      <c r="X430" s="20">
        <v>0</v>
      </c>
      <c r="Y430" s="19">
        <v>0</v>
      </c>
      <c r="Z430" s="19">
        <v>0</v>
      </c>
      <c r="AA430" s="19">
        <v>0</v>
      </c>
      <c r="AB430" s="19">
        <v>0</v>
      </c>
      <c r="AC430" s="19">
        <v>0</v>
      </c>
      <c r="AD430" s="19">
        <v>0</v>
      </c>
      <c r="AE430" s="19">
        <v>0</v>
      </c>
      <c r="AF430" s="19">
        <v>0</v>
      </c>
      <c r="AG430" s="19">
        <v>0</v>
      </c>
      <c r="AH430" s="19">
        <v>0</v>
      </c>
      <c r="AI430" s="20">
        <v>0</v>
      </c>
      <c r="AJ430" s="20">
        <v>0</v>
      </c>
      <c r="AK430" s="19">
        <v>0</v>
      </c>
      <c r="AL430" s="20">
        <v>0</v>
      </c>
      <c r="AM430" s="19">
        <v>0</v>
      </c>
      <c r="AN430" s="19">
        <v>0</v>
      </c>
      <c r="AO430" s="19">
        <v>0</v>
      </c>
      <c r="AP430" s="19">
        <v>0</v>
      </c>
      <c r="AQ430" s="19">
        <v>0</v>
      </c>
      <c r="AR430" s="19">
        <v>0</v>
      </c>
      <c r="AS430" s="19">
        <v>0</v>
      </c>
      <c r="AT430" s="19">
        <v>0</v>
      </c>
      <c r="AU430" s="19">
        <v>0</v>
      </c>
      <c r="AV430" s="19">
        <v>0</v>
      </c>
      <c r="AW430" s="20">
        <v>0</v>
      </c>
      <c r="AX430" s="20">
        <v>0</v>
      </c>
      <c r="AY430" s="20">
        <v>0</v>
      </c>
      <c r="AZ430" s="19">
        <v>0</v>
      </c>
      <c r="BA430" s="19">
        <v>0</v>
      </c>
      <c r="BB430" s="19">
        <v>0</v>
      </c>
      <c r="BC430" s="19">
        <v>0</v>
      </c>
      <c r="BD430" s="19">
        <v>0</v>
      </c>
      <c r="BE430" s="21">
        <v>0</v>
      </c>
      <c r="BF430" s="21">
        <v>0</v>
      </c>
      <c r="BG430" s="19">
        <v>0</v>
      </c>
      <c r="BH430" s="19">
        <v>0</v>
      </c>
      <c r="BI430" s="22">
        <f t="shared" si="121"/>
        <v>2</v>
      </c>
      <c r="BJ430" s="22">
        <f t="shared" si="122"/>
        <v>0</v>
      </c>
      <c r="BK430" s="22">
        <f t="shared" si="123"/>
        <v>2</v>
      </c>
      <c r="BL430" s="22">
        <f t="shared" si="124"/>
        <v>2</v>
      </c>
      <c r="BM430" s="22">
        <f t="shared" si="120"/>
        <v>0</v>
      </c>
      <c r="BN430" s="23">
        <f t="shared" si="119"/>
        <v>0</v>
      </c>
      <c r="BO430" s="23" t="e">
        <f t="shared" si="119"/>
        <v>#DIV/0!</v>
      </c>
      <c r="BP430" s="7" t="e">
        <f>VLOOKUP(A430,[1]Sheet15!B:E,4,0)</f>
        <v>#N/A</v>
      </c>
      <c r="BQ430" s="7" t="e">
        <f>VLOOKUP(A430,[1]Sheet15!B:E,3,0)</f>
        <v>#N/A</v>
      </c>
    </row>
    <row r="431" spans="1:69" ht="22.5" customHeight="1" x14ac:dyDescent="0.25">
      <c r="A431" s="15" t="s">
        <v>1096</v>
      </c>
      <c r="B431" s="15">
        <f>VLOOKUP(A431,'[1]Master clients'!F425:W3972,17,0)</f>
        <v>0</v>
      </c>
      <c r="C431" s="15" t="str">
        <f>VLOOKUP(A431,'[1]Master clients'!F425:P3972,11,0)</f>
        <v>MRK</v>
      </c>
      <c r="D431" s="15" t="str">
        <f>VLOOKUP(A431,'[1]Master clients'!F:M,8,0)</f>
        <v>End User</v>
      </c>
      <c r="E431" s="16" t="s">
        <v>1097</v>
      </c>
      <c r="F431" s="16" t="s">
        <v>1098</v>
      </c>
      <c r="G431" s="17">
        <v>0</v>
      </c>
      <c r="H431" s="17">
        <v>0</v>
      </c>
      <c r="I431" s="18">
        <v>0</v>
      </c>
      <c r="J431" s="18">
        <v>0</v>
      </c>
      <c r="K431" s="17">
        <v>0</v>
      </c>
      <c r="L431" s="17">
        <v>0</v>
      </c>
      <c r="M431" s="17">
        <v>0</v>
      </c>
      <c r="N431" s="17">
        <v>0</v>
      </c>
      <c r="O431" s="19">
        <v>0</v>
      </c>
      <c r="P431" s="19">
        <v>0</v>
      </c>
      <c r="Q431" s="19">
        <v>0</v>
      </c>
      <c r="R431" s="19">
        <v>0</v>
      </c>
      <c r="S431" s="19">
        <v>0</v>
      </c>
      <c r="T431" s="19">
        <v>0</v>
      </c>
      <c r="U431" s="19">
        <v>0</v>
      </c>
      <c r="V431" s="19">
        <v>0</v>
      </c>
      <c r="W431" s="20">
        <v>0</v>
      </c>
      <c r="X431" s="20">
        <v>0</v>
      </c>
      <c r="Y431" s="19">
        <v>0</v>
      </c>
      <c r="Z431" s="19">
        <v>0</v>
      </c>
      <c r="AA431" s="19">
        <v>0</v>
      </c>
      <c r="AB431" s="19">
        <v>0</v>
      </c>
      <c r="AC431" s="19">
        <v>0</v>
      </c>
      <c r="AD431" s="19">
        <v>0</v>
      </c>
      <c r="AE431" s="19">
        <v>0</v>
      </c>
      <c r="AF431" s="19">
        <v>0</v>
      </c>
      <c r="AG431" s="19">
        <v>0</v>
      </c>
      <c r="AH431" s="19">
        <v>0</v>
      </c>
      <c r="AI431" s="20">
        <v>0</v>
      </c>
      <c r="AJ431" s="20">
        <v>0</v>
      </c>
      <c r="AK431" s="19">
        <v>0</v>
      </c>
      <c r="AL431" s="20">
        <v>0</v>
      </c>
      <c r="AM431" s="19">
        <v>0</v>
      </c>
      <c r="AN431" s="19">
        <v>0</v>
      </c>
      <c r="AO431" s="19">
        <v>0</v>
      </c>
      <c r="AP431" s="19">
        <v>0</v>
      </c>
      <c r="AQ431" s="19">
        <v>0</v>
      </c>
      <c r="AR431" s="19">
        <v>8</v>
      </c>
      <c r="AS431" s="19">
        <v>0</v>
      </c>
      <c r="AT431" s="19">
        <v>0</v>
      </c>
      <c r="AU431" s="19">
        <v>0</v>
      </c>
      <c r="AV431" s="19">
        <v>0</v>
      </c>
      <c r="AW431" s="20">
        <v>0</v>
      </c>
      <c r="AX431" s="20">
        <v>0</v>
      </c>
      <c r="AY431" s="20">
        <v>0</v>
      </c>
      <c r="AZ431" s="19">
        <v>0</v>
      </c>
      <c r="BA431" s="19">
        <v>0</v>
      </c>
      <c r="BB431" s="19">
        <v>0</v>
      </c>
      <c r="BC431" s="19">
        <v>0</v>
      </c>
      <c r="BD431" s="19">
        <v>0</v>
      </c>
      <c r="BE431" s="21">
        <v>0</v>
      </c>
      <c r="BF431" s="21">
        <v>0</v>
      </c>
      <c r="BG431" s="19">
        <v>0</v>
      </c>
      <c r="BH431" s="19">
        <v>0</v>
      </c>
      <c r="BI431" s="22">
        <f t="shared" si="121"/>
        <v>8</v>
      </c>
      <c r="BJ431" s="22">
        <f t="shared" si="122"/>
        <v>0</v>
      </c>
      <c r="BK431" s="22">
        <f t="shared" si="123"/>
        <v>8</v>
      </c>
      <c r="BL431" s="22">
        <f t="shared" si="124"/>
        <v>8</v>
      </c>
      <c r="BM431" s="22">
        <f t="shared" si="120"/>
        <v>0</v>
      </c>
      <c r="BN431" s="23">
        <f t="shared" si="119"/>
        <v>0</v>
      </c>
      <c r="BO431" s="23" t="e">
        <f t="shared" si="119"/>
        <v>#DIV/0!</v>
      </c>
      <c r="BP431" s="7" t="e">
        <f>VLOOKUP(A431,[1]Sheet15!B:E,4,0)</f>
        <v>#N/A</v>
      </c>
      <c r="BQ431" s="7" t="e">
        <f>VLOOKUP(A431,[1]Sheet15!B:E,3,0)</f>
        <v>#N/A</v>
      </c>
    </row>
    <row r="432" spans="1:69" ht="22.5" customHeight="1" x14ac:dyDescent="0.25">
      <c r="A432" s="15" t="s">
        <v>1099</v>
      </c>
      <c r="B432" s="15">
        <f>VLOOKUP(A432,'[1]Master clients'!F426:W3973,17,0)</f>
        <v>0</v>
      </c>
      <c r="C432" s="15" t="str">
        <f>VLOOKUP(A432,'[1]Master clients'!F426:P3973,11,0)</f>
        <v>AV</v>
      </c>
      <c r="D432" s="15" t="str">
        <f>VLOOKUP(A432,'[1]Master clients'!F:M,8,0)</f>
        <v>End User</v>
      </c>
      <c r="E432" s="16" t="s">
        <v>1100</v>
      </c>
      <c r="F432" s="16" t="s">
        <v>265</v>
      </c>
      <c r="G432" s="17">
        <v>0</v>
      </c>
      <c r="H432" s="17">
        <v>0</v>
      </c>
      <c r="I432" s="18">
        <v>7</v>
      </c>
      <c r="J432" s="18">
        <v>0</v>
      </c>
      <c r="K432" s="17">
        <v>0</v>
      </c>
      <c r="L432" s="17">
        <v>0</v>
      </c>
      <c r="M432" s="17">
        <v>2</v>
      </c>
      <c r="N432" s="17">
        <v>0</v>
      </c>
      <c r="O432" s="19">
        <v>0</v>
      </c>
      <c r="P432" s="19">
        <v>2</v>
      </c>
      <c r="Q432" s="19">
        <v>3</v>
      </c>
      <c r="R432" s="19">
        <v>0</v>
      </c>
      <c r="S432" s="19">
        <v>0</v>
      </c>
      <c r="T432" s="19">
        <v>0</v>
      </c>
      <c r="U432" s="19">
        <v>0</v>
      </c>
      <c r="V432" s="19">
        <v>0</v>
      </c>
      <c r="W432" s="20">
        <v>0</v>
      </c>
      <c r="X432" s="20">
        <v>0</v>
      </c>
      <c r="Y432" s="19">
        <v>0</v>
      </c>
      <c r="Z432" s="19">
        <v>0</v>
      </c>
      <c r="AA432" s="19">
        <v>0</v>
      </c>
      <c r="AB432" s="19">
        <v>0</v>
      </c>
      <c r="AC432" s="19">
        <v>0</v>
      </c>
      <c r="AD432" s="19">
        <v>0</v>
      </c>
      <c r="AE432" s="19">
        <v>0</v>
      </c>
      <c r="AF432" s="19">
        <v>0</v>
      </c>
      <c r="AG432" s="19">
        <v>0</v>
      </c>
      <c r="AH432" s="19">
        <v>0</v>
      </c>
      <c r="AI432" s="20">
        <v>0</v>
      </c>
      <c r="AJ432" s="20">
        <v>0</v>
      </c>
      <c r="AK432" s="19">
        <v>0</v>
      </c>
      <c r="AL432" s="20">
        <v>0</v>
      </c>
      <c r="AM432" s="19">
        <v>0</v>
      </c>
      <c r="AN432" s="19">
        <v>0</v>
      </c>
      <c r="AO432" s="19">
        <v>0</v>
      </c>
      <c r="AP432" s="19">
        <v>0</v>
      </c>
      <c r="AQ432" s="19">
        <v>1</v>
      </c>
      <c r="AR432" s="19">
        <v>0</v>
      </c>
      <c r="AS432" s="19">
        <v>0</v>
      </c>
      <c r="AT432" s="19">
        <v>0</v>
      </c>
      <c r="AU432" s="19">
        <v>0</v>
      </c>
      <c r="AV432" s="19">
        <v>0</v>
      </c>
      <c r="AW432" s="20">
        <v>0</v>
      </c>
      <c r="AX432" s="20">
        <v>0</v>
      </c>
      <c r="AY432" s="20">
        <v>0</v>
      </c>
      <c r="AZ432" s="19">
        <v>0</v>
      </c>
      <c r="BA432" s="19">
        <v>0</v>
      </c>
      <c r="BB432" s="19">
        <v>0</v>
      </c>
      <c r="BC432" s="19">
        <v>0</v>
      </c>
      <c r="BD432" s="19">
        <v>0</v>
      </c>
      <c r="BE432" s="21">
        <v>0</v>
      </c>
      <c r="BF432" s="21">
        <v>0</v>
      </c>
      <c r="BG432" s="19">
        <v>0</v>
      </c>
      <c r="BH432" s="19">
        <v>0</v>
      </c>
      <c r="BI432" s="22">
        <f t="shared" si="121"/>
        <v>4</v>
      </c>
      <c r="BJ432" s="22">
        <f t="shared" si="122"/>
        <v>4</v>
      </c>
      <c r="BK432" s="22">
        <f t="shared" si="123"/>
        <v>15</v>
      </c>
      <c r="BL432" s="22">
        <f t="shared" si="124"/>
        <v>11</v>
      </c>
      <c r="BM432" s="22">
        <f t="shared" si="120"/>
        <v>4</v>
      </c>
      <c r="BN432" s="23">
        <f t="shared" si="119"/>
        <v>0.63636363636363635</v>
      </c>
      <c r="BO432" s="23">
        <f t="shared" si="119"/>
        <v>0</v>
      </c>
      <c r="BP432" s="7">
        <f>VLOOKUP(A432,[1]Sheet15!B:E,4,0)</f>
        <v>3</v>
      </c>
      <c r="BQ432" s="7">
        <f>VLOOKUP(A432,[1]Sheet15!B:E,3,0)</f>
        <v>0</v>
      </c>
    </row>
    <row r="433" spans="1:69" ht="22.5" customHeight="1" x14ac:dyDescent="0.25">
      <c r="A433" s="15" t="s">
        <v>1101</v>
      </c>
      <c r="B433" s="15" t="str">
        <f>VLOOKUP(A433,'[1]Master clients'!F427:W3974,17,0)</f>
        <v>May</v>
      </c>
      <c r="C433" s="15" t="str">
        <f>VLOOKUP(A433,'[1]Master clients'!F427:P3974,11,0)</f>
        <v>AV</v>
      </c>
      <c r="D433" s="15" t="str">
        <f>VLOOKUP(A433,'[1]Master clients'!F:M,8,0)</f>
        <v>Group (Mills)</v>
      </c>
      <c r="E433" s="16" t="s">
        <v>1102</v>
      </c>
      <c r="F433" s="16" t="s">
        <v>265</v>
      </c>
      <c r="G433" s="17">
        <v>23</v>
      </c>
      <c r="H433" s="17">
        <v>9</v>
      </c>
      <c r="I433" s="18">
        <v>18</v>
      </c>
      <c r="J433" s="18">
        <v>2</v>
      </c>
      <c r="K433" s="17">
        <v>0</v>
      </c>
      <c r="L433" s="17">
        <v>0</v>
      </c>
      <c r="M433" s="17">
        <v>1</v>
      </c>
      <c r="N433" s="17">
        <v>0</v>
      </c>
      <c r="O433" s="19">
        <v>0</v>
      </c>
      <c r="P433" s="19">
        <v>0</v>
      </c>
      <c r="Q433" s="19">
        <v>0</v>
      </c>
      <c r="R433" s="19">
        <v>0</v>
      </c>
      <c r="S433" s="19">
        <v>0</v>
      </c>
      <c r="T433" s="19">
        <v>0</v>
      </c>
      <c r="U433" s="19">
        <v>0</v>
      </c>
      <c r="V433" s="19">
        <v>0</v>
      </c>
      <c r="W433" s="20">
        <v>0</v>
      </c>
      <c r="X433" s="20">
        <v>0</v>
      </c>
      <c r="Y433" s="19">
        <v>0</v>
      </c>
      <c r="Z433" s="19">
        <v>0</v>
      </c>
      <c r="AA433" s="19">
        <v>0</v>
      </c>
      <c r="AB433" s="19">
        <v>0</v>
      </c>
      <c r="AC433" s="19">
        <v>0</v>
      </c>
      <c r="AD433" s="19">
        <v>0</v>
      </c>
      <c r="AE433" s="19">
        <v>0</v>
      </c>
      <c r="AF433" s="19">
        <v>0</v>
      </c>
      <c r="AG433" s="19">
        <v>0</v>
      </c>
      <c r="AH433" s="19">
        <v>0</v>
      </c>
      <c r="AI433" s="20">
        <v>0</v>
      </c>
      <c r="AJ433" s="20">
        <v>0</v>
      </c>
      <c r="AK433" s="19">
        <v>0</v>
      </c>
      <c r="AL433" s="20">
        <v>0</v>
      </c>
      <c r="AM433" s="19">
        <v>2</v>
      </c>
      <c r="AN433" s="19">
        <v>0</v>
      </c>
      <c r="AO433" s="19">
        <v>0</v>
      </c>
      <c r="AP433" s="19">
        <v>0</v>
      </c>
      <c r="AQ433" s="19">
        <v>0</v>
      </c>
      <c r="AR433" s="19">
        <v>0</v>
      </c>
      <c r="AS433" s="19">
        <v>0</v>
      </c>
      <c r="AT433" s="19">
        <v>0</v>
      </c>
      <c r="AU433" s="19">
        <v>0</v>
      </c>
      <c r="AV433" s="19">
        <v>0</v>
      </c>
      <c r="AW433" s="20">
        <v>0</v>
      </c>
      <c r="AX433" s="20">
        <v>0</v>
      </c>
      <c r="AY433" s="20">
        <v>0</v>
      </c>
      <c r="AZ433" s="19">
        <v>0</v>
      </c>
      <c r="BA433" s="19">
        <v>0</v>
      </c>
      <c r="BB433" s="19">
        <v>0</v>
      </c>
      <c r="BC433" s="19">
        <v>0</v>
      </c>
      <c r="BD433" s="19">
        <v>0</v>
      </c>
      <c r="BE433" s="21">
        <v>0</v>
      </c>
      <c r="BF433" s="21">
        <v>0</v>
      </c>
      <c r="BG433" s="19">
        <v>0</v>
      </c>
      <c r="BH433" s="19">
        <v>0</v>
      </c>
      <c r="BI433" s="22">
        <f t="shared" si="121"/>
        <v>1</v>
      </c>
      <c r="BJ433" s="22">
        <f t="shared" si="122"/>
        <v>2</v>
      </c>
      <c r="BK433" s="22">
        <f t="shared" si="123"/>
        <v>23</v>
      </c>
      <c r="BL433" s="22">
        <f t="shared" si="124"/>
        <v>19</v>
      </c>
      <c r="BM433" s="22">
        <f t="shared" si="120"/>
        <v>4</v>
      </c>
      <c r="BN433" s="23">
        <f t="shared" si="119"/>
        <v>0.94736842105263153</v>
      </c>
      <c r="BO433" s="23">
        <f t="shared" si="119"/>
        <v>0.5</v>
      </c>
      <c r="BP433" s="7" t="e">
        <f>VLOOKUP(A433,[1]Sheet15!B:E,4,0)</f>
        <v>#N/A</v>
      </c>
      <c r="BQ433" s="7" t="e">
        <f>VLOOKUP(A433,[1]Sheet15!B:E,3,0)</f>
        <v>#N/A</v>
      </c>
    </row>
    <row r="434" spans="1:69" ht="22.5" customHeight="1" x14ac:dyDescent="0.25">
      <c r="A434" s="15" t="s">
        <v>1103</v>
      </c>
      <c r="B434" s="15" t="str">
        <f>VLOOKUP(A434,'[1]Master clients'!F428:W3975,17,0)</f>
        <v>Apr</v>
      </c>
      <c r="C434" s="15" t="str">
        <f>VLOOKUP(A434,'[1]Master clients'!F428:P3975,11,0)</f>
        <v>MRK</v>
      </c>
      <c r="D434" s="15" t="str">
        <f>VLOOKUP(A434,'[1]Master clients'!F:M,8,0)</f>
        <v>End User</v>
      </c>
      <c r="E434" s="16" t="s">
        <v>1104</v>
      </c>
      <c r="F434" s="16" t="s">
        <v>1105</v>
      </c>
      <c r="G434" s="17">
        <v>15</v>
      </c>
      <c r="H434" s="17">
        <v>0</v>
      </c>
      <c r="I434" s="18">
        <v>12</v>
      </c>
      <c r="J434" s="18">
        <v>0</v>
      </c>
      <c r="K434" s="17">
        <v>0</v>
      </c>
      <c r="L434" s="17">
        <v>0</v>
      </c>
      <c r="M434" s="17">
        <v>0</v>
      </c>
      <c r="N434" s="17">
        <v>0</v>
      </c>
      <c r="O434" s="19">
        <v>0</v>
      </c>
      <c r="P434" s="19">
        <v>0</v>
      </c>
      <c r="Q434" s="19">
        <v>2</v>
      </c>
      <c r="R434" s="19">
        <v>0</v>
      </c>
      <c r="S434" s="19">
        <v>0</v>
      </c>
      <c r="T434" s="19">
        <v>0</v>
      </c>
      <c r="U434" s="19">
        <v>0</v>
      </c>
      <c r="V434" s="19">
        <v>0</v>
      </c>
      <c r="W434" s="20">
        <v>0</v>
      </c>
      <c r="X434" s="20">
        <v>0</v>
      </c>
      <c r="Y434" s="19">
        <v>0</v>
      </c>
      <c r="Z434" s="19">
        <v>0</v>
      </c>
      <c r="AA434" s="19">
        <v>0</v>
      </c>
      <c r="AB434" s="19">
        <v>0</v>
      </c>
      <c r="AC434" s="19">
        <v>0</v>
      </c>
      <c r="AD434" s="19">
        <v>0</v>
      </c>
      <c r="AE434" s="19">
        <v>0</v>
      </c>
      <c r="AF434" s="19">
        <v>0</v>
      </c>
      <c r="AG434" s="19">
        <v>0</v>
      </c>
      <c r="AH434" s="19">
        <v>0</v>
      </c>
      <c r="AI434" s="20">
        <v>0</v>
      </c>
      <c r="AJ434" s="20">
        <v>0</v>
      </c>
      <c r="AK434" s="19">
        <v>0</v>
      </c>
      <c r="AL434" s="20">
        <v>0</v>
      </c>
      <c r="AM434" s="19">
        <v>0</v>
      </c>
      <c r="AN434" s="19">
        <v>0</v>
      </c>
      <c r="AO434" s="19">
        <v>0</v>
      </c>
      <c r="AP434" s="19">
        <v>0</v>
      </c>
      <c r="AQ434" s="19">
        <v>0</v>
      </c>
      <c r="AR434" s="19">
        <v>0</v>
      </c>
      <c r="AS434" s="19">
        <v>0</v>
      </c>
      <c r="AT434" s="19">
        <v>0</v>
      </c>
      <c r="AU434" s="19">
        <v>0</v>
      </c>
      <c r="AV434" s="19">
        <v>0</v>
      </c>
      <c r="AW434" s="20">
        <v>0</v>
      </c>
      <c r="AX434" s="20">
        <v>0</v>
      </c>
      <c r="AY434" s="20">
        <v>0</v>
      </c>
      <c r="AZ434" s="19">
        <v>0</v>
      </c>
      <c r="BA434" s="19">
        <v>0</v>
      </c>
      <c r="BB434" s="19">
        <v>0</v>
      </c>
      <c r="BC434" s="19">
        <v>0</v>
      </c>
      <c r="BD434" s="19">
        <v>0</v>
      </c>
      <c r="BE434" s="21">
        <v>0</v>
      </c>
      <c r="BF434" s="21">
        <v>0</v>
      </c>
      <c r="BG434" s="19">
        <v>0</v>
      </c>
      <c r="BH434" s="19">
        <v>0</v>
      </c>
      <c r="BI434" s="22">
        <f t="shared" si="121"/>
        <v>0</v>
      </c>
      <c r="BJ434" s="22">
        <f t="shared" si="122"/>
        <v>2</v>
      </c>
      <c r="BK434" s="22">
        <f t="shared" si="123"/>
        <v>14</v>
      </c>
      <c r="BL434" s="22">
        <f t="shared" si="124"/>
        <v>12</v>
      </c>
      <c r="BM434" s="22">
        <f t="shared" si="120"/>
        <v>2</v>
      </c>
      <c r="BN434" s="23">
        <f t="shared" si="119"/>
        <v>1</v>
      </c>
      <c r="BO434" s="23">
        <f t="shared" si="119"/>
        <v>0</v>
      </c>
      <c r="BP434" s="7">
        <f>VLOOKUP(A434,[1]Sheet15!B:E,4,0)</f>
        <v>15</v>
      </c>
      <c r="BQ434" s="7">
        <f>VLOOKUP(A434,[1]Sheet15!B:E,3,0)</f>
        <v>0</v>
      </c>
    </row>
    <row r="435" spans="1:69" ht="22.5" customHeight="1" x14ac:dyDescent="0.25">
      <c r="A435" s="15" t="s">
        <v>1106</v>
      </c>
      <c r="B435" s="15" t="str">
        <f>VLOOKUP(A435,'[1]Master clients'!F429:W3976,17,0)</f>
        <v>Apr</v>
      </c>
      <c r="C435" s="15" t="str">
        <f>VLOOKUP(A435,'[1]Master clients'!F429:P3976,11,0)</f>
        <v>MRK</v>
      </c>
      <c r="D435" s="15" t="str">
        <f>VLOOKUP(A435,'[1]Master clients'!F:M,8,0)</f>
        <v>End User</v>
      </c>
      <c r="E435" s="16" t="s">
        <v>1107</v>
      </c>
      <c r="F435" s="16" t="s">
        <v>1108</v>
      </c>
      <c r="G435" s="17">
        <v>12</v>
      </c>
      <c r="H435" s="17">
        <v>0</v>
      </c>
      <c r="I435" s="18">
        <v>9</v>
      </c>
      <c r="J435" s="18">
        <v>0</v>
      </c>
      <c r="K435" s="17">
        <v>0</v>
      </c>
      <c r="L435" s="17">
        <v>2</v>
      </c>
      <c r="M435" s="17">
        <v>0</v>
      </c>
      <c r="N435" s="17">
        <v>2</v>
      </c>
      <c r="O435" s="19">
        <v>0</v>
      </c>
      <c r="P435" s="19">
        <v>0</v>
      </c>
      <c r="Q435" s="19">
        <v>2</v>
      </c>
      <c r="R435" s="19">
        <v>0</v>
      </c>
      <c r="S435" s="19">
        <v>0</v>
      </c>
      <c r="T435" s="19">
        <v>0</v>
      </c>
      <c r="U435" s="19">
        <v>0</v>
      </c>
      <c r="V435" s="19">
        <v>0</v>
      </c>
      <c r="W435" s="20">
        <v>0</v>
      </c>
      <c r="X435" s="20">
        <v>0</v>
      </c>
      <c r="Y435" s="19">
        <v>0</v>
      </c>
      <c r="Z435" s="19">
        <v>0</v>
      </c>
      <c r="AA435" s="19">
        <v>0</v>
      </c>
      <c r="AB435" s="19">
        <v>0</v>
      </c>
      <c r="AC435" s="19">
        <v>0</v>
      </c>
      <c r="AD435" s="19">
        <v>0</v>
      </c>
      <c r="AE435" s="19">
        <v>0</v>
      </c>
      <c r="AF435" s="19">
        <v>0</v>
      </c>
      <c r="AG435" s="19">
        <v>0</v>
      </c>
      <c r="AH435" s="19">
        <v>0</v>
      </c>
      <c r="AI435" s="20">
        <v>0</v>
      </c>
      <c r="AJ435" s="20">
        <v>0</v>
      </c>
      <c r="AK435" s="19">
        <v>0</v>
      </c>
      <c r="AL435" s="20">
        <v>0</v>
      </c>
      <c r="AM435" s="19">
        <v>0</v>
      </c>
      <c r="AN435" s="19">
        <v>0</v>
      </c>
      <c r="AO435" s="19">
        <v>0</v>
      </c>
      <c r="AP435" s="19">
        <v>0</v>
      </c>
      <c r="AQ435" s="19">
        <v>0</v>
      </c>
      <c r="AR435" s="19">
        <v>0</v>
      </c>
      <c r="AS435" s="19">
        <v>0</v>
      </c>
      <c r="AT435" s="19">
        <v>0</v>
      </c>
      <c r="AU435" s="19">
        <v>0</v>
      </c>
      <c r="AV435" s="19">
        <v>0</v>
      </c>
      <c r="AW435" s="20">
        <v>0</v>
      </c>
      <c r="AX435" s="20">
        <v>0</v>
      </c>
      <c r="AY435" s="20">
        <v>0</v>
      </c>
      <c r="AZ435" s="19">
        <v>0</v>
      </c>
      <c r="BA435" s="19">
        <v>0</v>
      </c>
      <c r="BB435" s="19">
        <v>0</v>
      </c>
      <c r="BC435" s="19">
        <v>0</v>
      </c>
      <c r="BD435" s="19">
        <v>0</v>
      </c>
      <c r="BE435" s="21">
        <v>0</v>
      </c>
      <c r="BF435" s="21">
        <v>0</v>
      </c>
      <c r="BG435" s="19">
        <v>0</v>
      </c>
      <c r="BH435" s="19">
        <v>0</v>
      </c>
      <c r="BI435" s="22">
        <f t="shared" si="121"/>
        <v>2</v>
      </c>
      <c r="BJ435" s="22">
        <f t="shared" si="122"/>
        <v>4</v>
      </c>
      <c r="BK435" s="22">
        <f t="shared" si="123"/>
        <v>15</v>
      </c>
      <c r="BL435" s="22">
        <f t="shared" si="124"/>
        <v>11</v>
      </c>
      <c r="BM435" s="22">
        <f t="shared" si="120"/>
        <v>4</v>
      </c>
      <c r="BN435" s="23">
        <f t="shared" si="119"/>
        <v>0.81818181818181823</v>
      </c>
      <c r="BO435" s="23">
        <f t="shared" si="119"/>
        <v>0</v>
      </c>
      <c r="BP435" s="7" t="e">
        <f>VLOOKUP(A435,[1]Sheet15!B:E,4,0)</f>
        <v>#N/A</v>
      </c>
      <c r="BQ435" s="7" t="e">
        <f>VLOOKUP(A435,[1]Sheet15!B:E,3,0)</f>
        <v>#N/A</v>
      </c>
    </row>
    <row r="436" spans="1:69" ht="22.5" customHeight="1" x14ac:dyDescent="0.25">
      <c r="A436" s="15" t="s">
        <v>1109</v>
      </c>
      <c r="B436" s="15" t="str">
        <f>VLOOKUP(A436,'[1]Master clients'!F430:W3977,17,0)</f>
        <v>Apr</v>
      </c>
      <c r="C436" s="15" t="str">
        <f>VLOOKUP(A436,'[1]Master clients'!F430:P3977,11,0)</f>
        <v>MRK</v>
      </c>
      <c r="D436" s="15" t="str">
        <f>VLOOKUP(A436,'[1]Master clients'!F:M,8,0)</f>
        <v>End User</v>
      </c>
      <c r="E436" s="16" t="s">
        <v>1110</v>
      </c>
      <c r="F436" s="16" t="s">
        <v>1111</v>
      </c>
      <c r="G436" s="17">
        <v>27</v>
      </c>
      <c r="H436" s="17">
        <v>0</v>
      </c>
      <c r="I436" s="18">
        <v>12</v>
      </c>
      <c r="J436" s="18">
        <v>0</v>
      </c>
      <c r="K436" s="17">
        <v>0</v>
      </c>
      <c r="L436" s="17">
        <v>0</v>
      </c>
      <c r="M436" s="17">
        <v>0</v>
      </c>
      <c r="N436" s="17">
        <v>0</v>
      </c>
      <c r="O436" s="19">
        <v>0</v>
      </c>
      <c r="P436" s="19">
        <v>0</v>
      </c>
      <c r="Q436" s="19">
        <v>4</v>
      </c>
      <c r="R436" s="19">
        <v>3</v>
      </c>
      <c r="S436" s="19">
        <v>0</v>
      </c>
      <c r="T436" s="19">
        <v>0</v>
      </c>
      <c r="U436" s="19">
        <v>0</v>
      </c>
      <c r="V436" s="19">
        <v>0</v>
      </c>
      <c r="W436" s="20">
        <v>0</v>
      </c>
      <c r="X436" s="20">
        <v>0</v>
      </c>
      <c r="Y436" s="19">
        <v>0</v>
      </c>
      <c r="Z436" s="19">
        <v>0</v>
      </c>
      <c r="AA436" s="19">
        <v>0</v>
      </c>
      <c r="AB436" s="19">
        <v>0</v>
      </c>
      <c r="AC436" s="19">
        <v>0</v>
      </c>
      <c r="AD436" s="19">
        <v>3</v>
      </c>
      <c r="AE436" s="19">
        <v>0</v>
      </c>
      <c r="AF436" s="19">
        <v>0</v>
      </c>
      <c r="AG436" s="19">
        <v>0</v>
      </c>
      <c r="AH436" s="19">
        <v>0</v>
      </c>
      <c r="AI436" s="20">
        <v>0</v>
      </c>
      <c r="AJ436" s="20">
        <v>0</v>
      </c>
      <c r="AK436" s="19">
        <v>0</v>
      </c>
      <c r="AL436" s="20">
        <v>0</v>
      </c>
      <c r="AM436" s="19">
        <v>0</v>
      </c>
      <c r="AN436" s="19">
        <v>0</v>
      </c>
      <c r="AO436" s="19">
        <v>0</v>
      </c>
      <c r="AP436" s="19">
        <v>0</v>
      </c>
      <c r="AQ436" s="19">
        <v>0</v>
      </c>
      <c r="AR436" s="19">
        <v>0</v>
      </c>
      <c r="AS436" s="19">
        <v>0</v>
      </c>
      <c r="AT436" s="19">
        <v>0</v>
      </c>
      <c r="AU436" s="19">
        <v>0</v>
      </c>
      <c r="AV436" s="19">
        <v>0</v>
      </c>
      <c r="AW436" s="20">
        <v>0</v>
      </c>
      <c r="AX436" s="20">
        <v>0</v>
      </c>
      <c r="AY436" s="20">
        <v>0</v>
      </c>
      <c r="AZ436" s="19">
        <v>0</v>
      </c>
      <c r="BA436" s="19">
        <v>0</v>
      </c>
      <c r="BB436" s="19">
        <v>0</v>
      </c>
      <c r="BC436" s="19">
        <v>0</v>
      </c>
      <c r="BD436" s="19">
        <v>4</v>
      </c>
      <c r="BE436" s="21">
        <v>0</v>
      </c>
      <c r="BF436" s="21">
        <v>0</v>
      </c>
      <c r="BG436" s="19">
        <v>0</v>
      </c>
      <c r="BH436" s="19">
        <v>0</v>
      </c>
      <c r="BI436" s="22">
        <f t="shared" si="121"/>
        <v>3</v>
      </c>
      <c r="BJ436" s="22">
        <f t="shared" si="122"/>
        <v>11</v>
      </c>
      <c r="BK436" s="22">
        <f t="shared" si="123"/>
        <v>26</v>
      </c>
      <c r="BL436" s="22">
        <f t="shared" si="124"/>
        <v>15</v>
      </c>
      <c r="BM436" s="22">
        <f t="shared" si="120"/>
        <v>11</v>
      </c>
      <c r="BN436" s="23">
        <f t="shared" si="119"/>
        <v>0.8</v>
      </c>
      <c r="BO436" s="23">
        <f t="shared" si="119"/>
        <v>0</v>
      </c>
      <c r="BP436" s="7">
        <f>VLOOKUP(A436,[1]Sheet15!B:E,4,0)</f>
        <v>10</v>
      </c>
      <c r="BQ436" s="7">
        <f>VLOOKUP(A436,[1]Sheet15!B:E,3,0)</f>
        <v>0</v>
      </c>
    </row>
    <row r="437" spans="1:69" ht="22.5" customHeight="1" x14ac:dyDescent="0.25">
      <c r="A437" s="15" t="s">
        <v>1112</v>
      </c>
      <c r="B437" s="15" t="str">
        <f>VLOOKUP(A437,'[1]Master clients'!F431:W3978,17,0)</f>
        <v>Apr</v>
      </c>
      <c r="C437" s="15" t="str">
        <f>VLOOKUP(A437,'[1]Master clients'!F431:P3978,11,0)</f>
        <v>MRK</v>
      </c>
      <c r="D437" s="15" t="str">
        <f>VLOOKUP(A437,'[1]Master clients'!F:M,8,0)</f>
        <v>End User</v>
      </c>
      <c r="E437" s="16" t="s">
        <v>1113</v>
      </c>
      <c r="F437" s="16" t="s">
        <v>1114</v>
      </c>
      <c r="G437" s="17">
        <v>5</v>
      </c>
      <c r="H437" s="17">
        <v>0</v>
      </c>
      <c r="I437" s="18">
        <v>2</v>
      </c>
      <c r="J437" s="18">
        <v>0</v>
      </c>
      <c r="K437" s="17">
        <v>0</v>
      </c>
      <c r="L437" s="17">
        <v>0</v>
      </c>
      <c r="M437" s="17">
        <v>0</v>
      </c>
      <c r="N437" s="17">
        <v>0</v>
      </c>
      <c r="O437" s="19">
        <v>0</v>
      </c>
      <c r="P437" s="19">
        <v>1</v>
      </c>
      <c r="Q437" s="19">
        <v>3</v>
      </c>
      <c r="R437" s="19">
        <v>0</v>
      </c>
      <c r="S437" s="19">
        <v>0</v>
      </c>
      <c r="T437" s="19">
        <v>0</v>
      </c>
      <c r="U437" s="19">
        <v>0</v>
      </c>
      <c r="V437" s="19">
        <v>0</v>
      </c>
      <c r="W437" s="20">
        <v>0</v>
      </c>
      <c r="X437" s="20">
        <v>0</v>
      </c>
      <c r="Y437" s="19">
        <v>0</v>
      </c>
      <c r="Z437" s="19">
        <v>3</v>
      </c>
      <c r="AA437" s="19">
        <v>0</v>
      </c>
      <c r="AB437" s="19">
        <v>0</v>
      </c>
      <c r="AC437" s="19">
        <v>0</v>
      </c>
      <c r="AD437" s="19">
        <v>0</v>
      </c>
      <c r="AE437" s="19">
        <v>0</v>
      </c>
      <c r="AF437" s="19">
        <v>0</v>
      </c>
      <c r="AG437" s="19">
        <v>0</v>
      </c>
      <c r="AH437" s="19">
        <v>0</v>
      </c>
      <c r="AI437" s="20">
        <v>0</v>
      </c>
      <c r="AJ437" s="20">
        <v>0</v>
      </c>
      <c r="AK437" s="19">
        <v>0</v>
      </c>
      <c r="AL437" s="20">
        <v>0</v>
      </c>
      <c r="AM437" s="19">
        <v>0</v>
      </c>
      <c r="AN437" s="19">
        <v>1</v>
      </c>
      <c r="AO437" s="19">
        <v>0</v>
      </c>
      <c r="AP437" s="19">
        <v>0</v>
      </c>
      <c r="AQ437" s="19">
        <v>0</v>
      </c>
      <c r="AR437" s="19">
        <v>0</v>
      </c>
      <c r="AS437" s="19">
        <v>0</v>
      </c>
      <c r="AT437" s="19">
        <v>0</v>
      </c>
      <c r="AU437" s="19">
        <v>0</v>
      </c>
      <c r="AV437" s="19">
        <v>0</v>
      </c>
      <c r="AW437" s="20">
        <v>0</v>
      </c>
      <c r="AX437" s="20">
        <v>0</v>
      </c>
      <c r="AY437" s="20">
        <v>0</v>
      </c>
      <c r="AZ437" s="19">
        <v>0</v>
      </c>
      <c r="BA437" s="19">
        <v>0</v>
      </c>
      <c r="BB437" s="19">
        <v>0</v>
      </c>
      <c r="BC437" s="19">
        <v>0</v>
      </c>
      <c r="BD437" s="19">
        <v>0</v>
      </c>
      <c r="BE437" s="21">
        <v>0</v>
      </c>
      <c r="BF437" s="21">
        <v>0</v>
      </c>
      <c r="BG437" s="19">
        <v>0</v>
      </c>
      <c r="BH437" s="19">
        <v>0</v>
      </c>
      <c r="BI437" s="22">
        <f t="shared" si="121"/>
        <v>5</v>
      </c>
      <c r="BJ437" s="22">
        <f t="shared" si="122"/>
        <v>3</v>
      </c>
      <c r="BK437" s="22">
        <f t="shared" si="123"/>
        <v>10</v>
      </c>
      <c r="BL437" s="22">
        <f t="shared" si="124"/>
        <v>7</v>
      </c>
      <c r="BM437" s="22">
        <f t="shared" si="120"/>
        <v>3</v>
      </c>
      <c r="BN437" s="23">
        <f t="shared" ref="BN437:BO452" si="125">I437/BL437</f>
        <v>0.2857142857142857</v>
      </c>
      <c r="BO437" s="23">
        <f t="shared" si="125"/>
        <v>0</v>
      </c>
      <c r="BP437" s="7">
        <f>VLOOKUP(A437,[1]Sheet15!B:E,4,0)</f>
        <v>2</v>
      </c>
      <c r="BQ437" s="7">
        <f>VLOOKUP(A437,[1]Sheet15!B:E,3,0)</f>
        <v>0</v>
      </c>
    </row>
    <row r="438" spans="1:69" ht="22.5" customHeight="1" x14ac:dyDescent="0.25">
      <c r="A438" s="15" t="s">
        <v>1115</v>
      </c>
      <c r="B438" s="15" t="str">
        <f>VLOOKUP(A438,'[1]Master clients'!F432:W3979,17,0)</f>
        <v>Apr</v>
      </c>
      <c r="C438" s="15" t="str">
        <f>VLOOKUP(A438,'[1]Master clients'!F432:P3979,11,0)</f>
        <v>AV</v>
      </c>
      <c r="D438" s="15" t="str">
        <f>VLOOKUP(A438,'[1]Master clients'!F:M,8,0)</f>
        <v>End User</v>
      </c>
      <c r="E438" s="16" t="s">
        <v>1116</v>
      </c>
      <c r="F438" s="16" t="s">
        <v>1117</v>
      </c>
      <c r="G438" s="17">
        <v>12</v>
      </c>
      <c r="H438" s="17">
        <v>0</v>
      </c>
      <c r="I438" s="18">
        <v>4</v>
      </c>
      <c r="J438" s="18">
        <v>0</v>
      </c>
      <c r="K438" s="17">
        <v>0</v>
      </c>
      <c r="L438" s="17">
        <v>0</v>
      </c>
      <c r="M438" s="17">
        <v>0</v>
      </c>
      <c r="N438" s="17">
        <v>0</v>
      </c>
      <c r="O438" s="19">
        <v>0</v>
      </c>
      <c r="P438" s="19">
        <v>0</v>
      </c>
      <c r="Q438" s="19">
        <v>2</v>
      </c>
      <c r="R438" s="19">
        <v>0</v>
      </c>
      <c r="S438" s="19">
        <v>0</v>
      </c>
      <c r="T438" s="19">
        <v>0</v>
      </c>
      <c r="U438" s="19">
        <v>0</v>
      </c>
      <c r="V438" s="19">
        <v>0</v>
      </c>
      <c r="W438" s="20">
        <v>0</v>
      </c>
      <c r="X438" s="20">
        <v>0</v>
      </c>
      <c r="Y438" s="19">
        <v>0</v>
      </c>
      <c r="Z438" s="19">
        <v>0</v>
      </c>
      <c r="AA438" s="19">
        <v>2</v>
      </c>
      <c r="AB438" s="19">
        <v>0</v>
      </c>
      <c r="AC438" s="19">
        <v>0</v>
      </c>
      <c r="AD438" s="19">
        <v>0</v>
      </c>
      <c r="AE438" s="19">
        <v>0</v>
      </c>
      <c r="AF438" s="19">
        <v>0</v>
      </c>
      <c r="AG438" s="19">
        <v>0</v>
      </c>
      <c r="AH438" s="19">
        <v>0</v>
      </c>
      <c r="AI438" s="20">
        <v>0</v>
      </c>
      <c r="AJ438" s="20">
        <v>0</v>
      </c>
      <c r="AK438" s="19">
        <v>0</v>
      </c>
      <c r="AL438" s="20">
        <v>0</v>
      </c>
      <c r="AM438" s="19">
        <v>0</v>
      </c>
      <c r="AN438" s="19">
        <v>0</v>
      </c>
      <c r="AO438" s="19">
        <v>0</v>
      </c>
      <c r="AP438" s="19">
        <v>0</v>
      </c>
      <c r="AQ438" s="19">
        <v>0</v>
      </c>
      <c r="AR438" s="19">
        <v>0</v>
      </c>
      <c r="AS438" s="19">
        <v>0</v>
      </c>
      <c r="AT438" s="19">
        <v>0</v>
      </c>
      <c r="AU438" s="19">
        <v>0</v>
      </c>
      <c r="AV438" s="19">
        <v>0</v>
      </c>
      <c r="AW438" s="20">
        <v>0</v>
      </c>
      <c r="AX438" s="20">
        <v>0</v>
      </c>
      <c r="AY438" s="20">
        <v>0</v>
      </c>
      <c r="AZ438" s="19">
        <v>0</v>
      </c>
      <c r="BA438" s="19">
        <v>0</v>
      </c>
      <c r="BB438" s="19">
        <v>0</v>
      </c>
      <c r="BC438" s="19">
        <v>0</v>
      </c>
      <c r="BD438" s="19">
        <v>0</v>
      </c>
      <c r="BE438" s="21">
        <v>0</v>
      </c>
      <c r="BF438" s="21">
        <v>0</v>
      </c>
      <c r="BG438" s="19">
        <v>0</v>
      </c>
      <c r="BH438" s="19">
        <v>0</v>
      </c>
      <c r="BI438" s="22">
        <f t="shared" si="121"/>
        <v>0</v>
      </c>
      <c r="BJ438" s="22">
        <f t="shared" si="122"/>
        <v>4</v>
      </c>
      <c r="BK438" s="22">
        <f t="shared" si="123"/>
        <v>8</v>
      </c>
      <c r="BL438" s="22">
        <f t="shared" si="124"/>
        <v>4</v>
      </c>
      <c r="BM438" s="22">
        <f t="shared" si="120"/>
        <v>4</v>
      </c>
      <c r="BN438" s="23">
        <f t="shared" si="125"/>
        <v>1</v>
      </c>
      <c r="BO438" s="23">
        <f t="shared" si="125"/>
        <v>0</v>
      </c>
      <c r="BP438" s="7" t="e">
        <f>VLOOKUP(A438,[1]Sheet15!B:E,4,0)</f>
        <v>#N/A</v>
      </c>
      <c r="BQ438" s="7" t="e">
        <f>VLOOKUP(A438,[1]Sheet15!B:E,3,0)</f>
        <v>#N/A</v>
      </c>
    </row>
    <row r="439" spans="1:69" ht="22.5" customHeight="1" x14ac:dyDescent="0.25">
      <c r="A439" s="15" t="s">
        <v>1118</v>
      </c>
      <c r="B439" s="15" t="e">
        <f>VLOOKUP(A439,'[1]Master clients'!F433:W3980,17,0)</f>
        <v>#N/A</v>
      </c>
      <c r="C439" s="15" t="e">
        <f>VLOOKUP(A439,'[1]Master clients'!F433:P3980,11,0)</f>
        <v>#N/A</v>
      </c>
      <c r="D439" s="15" t="str">
        <f>VLOOKUP(A439,'[1]Master clients'!F:M,8,0)</f>
        <v>Group (Mills)</v>
      </c>
      <c r="E439" s="24" t="s">
        <v>1119</v>
      </c>
      <c r="F439" s="25" t="s">
        <v>265</v>
      </c>
      <c r="G439" s="20">
        <v>0</v>
      </c>
      <c r="H439" s="20">
        <v>0</v>
      </c>
      <c r="I439" s="26">
        <v>8</v>
      </c>
      <c r="J439" s="26">
        <v>4</v>
      </c>
      <c r="K439" s="20">
        <v>3</v>
      </c>
      <c r="L439" s="20">
        <v>0</v>
      </c>
      <c r="M439" s="20">
        <v>0</v>
      </c>
      <c r="N439" s="20">
        <v>0</v>
      </c>
      <c r="O439" s="20">
        <v>0</v>
      </c>
      <c r="P439" s="20">
        <v>5</v>
      </c>
      <c r="Q439" s="20">
        <v>10</v>
      </c>
      <c r="R439" s="20">
        <v>0</v>
      </c>
      <c r="S439" s="20">
        <v>0</v>
      </c>
      <c r="T439" s="20">
        <v>0</v>
      </c>
      <c r="U439" s="20">
        <v>0</v>
      </c>
      <c r="V439" s="20">
        <v>0</v>
      </c>
      <c r="W439" s="20">
        <v>0</v>
      </c>
      <c r="X439" s="20">
        <v>0</v>
      </c>
      <c r="Y439" s="20">
        <v>0</v>
      </c>
      <c r="Z439" s="20">
        <v>0</v>
      </c>
      <c r="AA439" s="20">
        <v>0</v>
      </c>
      <c r="AB439" s="20">
        <v>0</v>
      </c>
      <c r="AC439" s="20">
        <v>0</v>
      </c>
      <c r="AD439" s="20">
        <v>0</v>
      </c>
      <c r="AE439" s="20">
        <v>0</v>
      </c>
      <c r="AF439" s="20">
        <v>0</v>
      </c>
      <c r="AG439" s="20">
        <v>0</v>
      </c>
      <c r="AH439" s="20">
        <v>0</v>
      </c>
      <c r="AI439" s="20">
        <v>0</v>
      </c>
      <c r="AJ439" s="20">
        <v>0</v>
      </c>
      <c r="AK439" s="20">
        <v>0</v>
      </c>
      <c r="AL439" s="20">
        <v>0</v>
      </c>
      <c r="AM439" s="20">
        <v>0</v>
      </c>
      <c r="AN439" s="20">
        <v>0</v>
      </c>
      <c r="AO439" s="20">
        <v>0</v>
      </c>
      <c r="AP439" s="20">
        <v>0</v>
      </c>
      <c r="AQ439" s="20">
        <v>0</v>
      </c>
      <c r="AR439" s="20">
        <v>0</v>
      </c>
      <c r="AS439" s="20">
        <v>0</v>
      </c>
      <c r="AT439" s="20">
        <v>0</v>
      </c>
      <c r="AU439" s="19">
        <v>0</v>
      </c>
      <c r="AV439" s="20">
        <v>0</v>
      </c>
      <c r="AW439" s="20">
        <v>0</v>
      </c>
      <c r="AX439" s="20">
        <v>0</v>
      </c>
      <c r="AY439" s="20">
        <v>0</v>
      </c>
      <c r="AZ439" s="20">
        <v>0</v>
      </c>
      <c r="BA439" s="19">
        <v>0</v>
      </c>
      <c r="BB439" s="27">
        <v>0</v>
      </c>
      <c r="BC439" s="19">
        <v>0</v>
      </c>
      <c r="BD439" s="19">
        <v>0</v>
      </c>
      <c r="BE439" s="21">
        <v>0</v>
      </c>
      <c r="BF439" s="21">
        <v>0</v>
      </c>
      <c r="BG439" s="19">
        <v>0</v>
      </c>
      <c r="BH439" s="19">
        <v>0</v>
      </c>
      <c r="BI439" s="22">
        <f t="shared" si="121"/>
        <v>8</v>
      </c>
      <c r="BJ439" s="22">
        <f t="shared" si="122"/>
        <v>10</v>
      </c>
      <c r="BK439" s="28">
        <f t="shared" si="123"/>
        <v>30</v>
      </c>
      <c r="BL439" s="22">
        <f t="shared" si="124"/>
        <v>16</v>
      </c>
      <c r="BM439" s="22">
        <f t="shared" si="120"/>
        <v>14</v>
      </c>
      <c r="BN439" s="23">
        <f t="shared" si="125"/>
        <v>0.5</v>
      </c>
      <c r="BO439" s="23">
        <f t="shared" si="125"/>
        <v>0.2857142857142857</v>
      </c>
      <c r="BP439" s="7">
        <f>VLOOKUP(A439,[1]Sheet15!B:E,4,0)</f>
        <v>24</v>
      </c>
      <c r="BQ439" s="7">
        <f>VLOOKUP(A439,[1]Sheet15!B:E,3,0)</f>
        <v>4</v>
      </c>
    </row>
    <row r="440" spans="1:69" ht="22.5" customHeight="1" x14ac:dyDescent="0.25">
      <c r="A440" s="15" t="s">
        <v>1120</v>
      </c>
      <c r="B440" s="15" t="str">
        <f>VLOOKUP(A440,'[1]Master clients'!F434:W3981,17,0)</f>
        <v>Apr</v>
      </c>
      <c r="C440" s="15" t="str">
        <f>VLOOKUP(A440,'[1]Master clients'!F434:P3981,11,0)</f>
        <v>AV</v>
      </c>
      <c r="D440" s="15" t="str">
        <f>VLOOKUP(A440,'[1]Master clients'!F:M,8,0)</f>
        <v>End User</v>
      </c>
      <c r="E440" s="16" t="s">
        <v>1121</v>
      </c>
      <c r="F440" s="16" t="s">
        <v>1122</v>
      </c>
      <c r="G440" s="17">
        <v>44</v>
      </c>
      <c r="H440" s="17">
        <v>6</v>
      </c>
      <c r="I440" s="18">
        <v>42</v>
      </c>
      <c r="J440" s="17">
        <v>6</v>
      </c>
      <c r="K440" s="17">
        <v>0</v>
      </c>
      <c r="L440" s="17">
        <v>0</v>
      </c>
      <c r="M440" s="17">
        <v>0</v>
      </c>
      <c r="N440" s="17">
        <v>0</v>
      </c>
      <c r="O440" s="19">
        <v>0</v>
      </c>
      <c r="P440" s="19">
        <v>0</v>
      </c>
      <c r="Q440" s="19">
        <v>0</v>
      </c>
      <c r="R440" s="19">
        <v>14</v>
      </c>
      <c r="S440" s="19">
        <v>0</v>
      </c>
      <c r="T440" s="19">
        <v>0</v>
      </c>
      <c r="U440" s="19">
        <v>0</v>
      </c>
      <c r="V440" s="19">
        <v>0</v>
      </c>
      <c r="W440" s="20">
        <v>0</v>
      </c>
      <c r="X440" s="20">
        <v>0</v>
      </c>
      <c r="Y440" s="19">
        <v>0</v>
      </c>
      <c r="Z440" s="19">
        <v>0</v>
      </c>
      <c r="AA440" s="19">
        <v>0</v>
      </c>
      <c r="AB440" s="19">
        <v>0</v>
      </c>
      <c r="AC440" s="19">
        <v>0</v>
      </c>
      <c r="AD440" s="19">
        <v>0</v>
      </c>
      <c r="AE440" s="19">
        <v>0</v>
      </c>
      <c r="AF440" s="19">
        <v>0</v>
      </c>
      <c r="AG440" s="19">
        <v>0</v>
      </c>
      <c r="AH440" s="19">
        <v>0</v>
      </c>
      <c r="AI440" s="20">
        <v>0</v>
      </c>
      <c r="AJ440" s="20">
        <v>0</v>
      </c>
      <c r="AK440" s="19">
        <v>0</v>
      </c>
      <c r="AL440" s="20">
        <v>0</v>
      </c>
      <c r="AM440" s="19">
        <v>0</v>
      </c>
      <c r="AN440" s="19">
        <v>0</v>
      </c>
      <c r="AO440" s="19">
        <v>0</v>
      </c>
      <c r="AP440" s="19">
        <v>10</v>
      </c>
      <c r="AQ440" s="19">
        <v>0</v>
      </c>
      <c r="AR440" s="19">
        <v>0</v>
      </c>
      <c r="AS440" s="19">
        <v>0</v>
      </c>
      <c r="AT440" s="19">
        <v>0</v>
      </c>
      <c r="AU440" s="19">
        <v>0</v>
      </c>
      <c r="AV440" s="19">
        <v>0</v>
      </c>
      <c r="AW440" s="20">
        <v>0</v>
      </c>
      <c r="AX440" s="20">
        <v>0</v>
      </c>
      <c r="AY440" s="20">
        <v>0</v>
      </c>
      <c r="AZ440" s="19">
        <v>0</v>
      </c>
      <c r="BA440" s="19">
        <v>0</v>
      </c>
      <c r="BB440" s="19">
        <v>0</v>
      </c>
      <c r="BC440" s="19">
        <v>0</v>
      </c>
      <c r="BD440" s="19">
        <v>0</v>
      </c>
      <c r="BE440" s="21">
        <v>0</v>
      </c>
      <c r="BF440" s="21">
        <v>0</v>
      </c>
      <c r="BG440" s="19">
        <v>0</v>
      </c>
      <c r="BH440" s="19">
        <v>0</v>
      </c>
      <c r="BI440" s="22">
        <f t="shared" si="121"/>
        <v>14</v>
      </c>
      <c r="BJ440" s="22">
        <f t="shared" si="122"/>
        <v>10</v>
      </c>
      <c r="BK440" s="22">
        <f t="shared" si="123"/>
        <v>72</v>
      </c>
      <c r="BL440" s="22">
        <f t="shared" si="124"/>
        <v>56</v>
      </c>
      <c r="BM440" s="22">
        <f t="shared" si="120"/>
        <v>16</v>
      </c>
      <c r="BN440" s="23">
        <f t="shared" si="125"/>
        <v>0.75</v>
      </c>
      <c r="BO440" s="23">
        <f t="shared" si="125"/>
        <v>0.375</v>
      </c>
      <c r="BP440" s="7">
        <f>VLOOKUP(A440,[1]Sheet15!B:E,4,0)</f>
        <v>35</v>
      </c>
      <c r="BQ440" s="7">
        <f>VLOOKUP(A440,[1]Sheet15!B:E,3,0)</f>
        <v>0</v>
      </c>
    </row>
    <row r="441" spans="1:69" ht="22.5" customHeight="1" x14ac:dyDescent="0.25">
      <c r="A441" s="15" t="s">
        <v>1123</v>
      </c>
      <c r="B441" s="15">
        <f>VLOOKUP(A441,'[1]Master clients'!F435:W3982,17,0)</f>
        <v>0</v>
      </c>
      <c r="C441" s="15" t="str">
        <f>VLOOKUP(A441,'[1]Master clients'!F435:P3982,11,0)</f>
        <v>MRK</v>
      </c>
      <c r="D441" s="15" t="str">
        <f>VLOOKUP(A441,'[1]Master clients'!F:M,8,0)</f>
        <v>End User</v>
      </c>
      <c r="E441" s="16" t="s">
        <v>1124</v>
      </c>
      <c r="F441" s="16" t="s">
        <v>1125</v>
      </c>
      <c r="G441" s="17">
        <v>8</v>
      </c>
      <c r="H441" s="17">
        <v>7</v>
      </c>
      <c r="I441" s="18">
        <v>22</v>
      </c>
      <c r="J441" s="18">
        <v>4</v>
      </c>
      <c r="K441" s="17">
        <v>7</v>
      </c>
      <c r="L441" s="17">
        <v>0</v>
      </c>
      <c r="M441" s="17">
        <v>0</v>
      </c>
      <c r="N441" s="17">
        <v>0</v>
      </c>
      <c r="O441" s="19">
        <v>0</v>
      </c>
      <c r="P441" s="19">
        <v>0</v>
      </c>
      <c r="Q441" s="19">
        <v>3</v>
      </c>
      <c r="R441" s="19">
        <v>0</v>
      </c>
      <c r="S441" s="19">
        <v>0</v>
      </c>
      <c r="T441" s="19">
        <v>0</v>
      </c>
      <c r="U441" s="19">
        <v>0</v>
      </c>
      <c r="V441" s="19">
        <v>0</v>
      </c>
      <c r="W441" s="20">
        <v>0</v>
      </c>
      <c r="X441" s="20">
        <v>0</v>
      </c>
      <c r="Y441" s="19">
        <v>0</v>
      </c>
      <c r="Z441" s="19">
        <v>3</v>
      </c>
      <c r="AA441" s="19">
        <v>0</v>
      </c>
      <c r="AB441" s="19">
        <v>0</v>
      </c>
      <c r="AC441" s="19">
        <v>0</v>
      </c>
      <c r="AD441" s="19">
        <v>0</v>
      </c>
      <c r="AE441" s="19">
        <v>0</v>
      </c>
      <c r="AF441" s="19">
        <v>0</v>
      </c>
      <c r="AG441" s="19">
        <v>0</v>
      </c>
      <c r="AH441" s="19">
        <v>0</v>
      </c>
      <c r="AI441" s="20">
        <v>0</v>
      </c>
      <c r="AJ441" s="20">
        <v>0</v>
      </c>
      <c r="AK441" s="19">
        <v>0</v>
      </c>
      <c r="AL441" s="20">
        <v>0</v>
      </c>
      <c r="AM441" s="19">
        <v>0</v>
      </c>
      <c r="AN441" s="19">
        <v>0</v>
      </c>
      <c r="AO441" s="19">
        <v>0</v>
      </c>
      <c r="AP441" s="19">
        <v>0</v>
      </c>
      <c r="AQ441" s="19">
        <v>0</v>
      </c>
      <c r="AR441" s="19">
        <v>0</v>
      </c>
      <c r="AS441" s="19">
        <v>0</v>
      </c>
      <c r="AT441" s="19">
        <v>0</v>
      </c>
      <c r="AU441" s="19">
        <v>0</v>
      </c>
      <c r="AV441" s="19">
        <v>0</v>
      </c>
      <c r="AW441" s="20">
        <v>0</v>
      </c>
      <c r="AX441" s="20">
        <v>0</v>
      </c>
      <c r="AY441" s="20">
        <v>0</v>
      </c>
      <c r="AZ441" s="19">
        <v>0</v>
      </c>
      <c r="BA441" s="19">
        <v>0</v>
      </c>
      <c r="BB441" s="19">
        <v>0</v>
      </c>
      <c r="BC441" s="19">
        <v>0</v>
      </c>
      <c r="BD441" s="19">
        <v>0</v>
      </c>
      <c r="BE441" s="21">
        <v>0</v>
      </c>
      <c r="BF441" s="21">
        <v>0</v>
      </c>
      <c r="BG441" s="19">
        <v>0</v>
      </c>
      <c r="BH441" s="19">
        <v>0</v>
      </c>
      <c r="BI441" s="22">
        <f t="shared" si="121"/>
        <v>10</v>
      </c>
      <c r="BJ441" s="22">
        <f t="shared" si="122"/>
        <v>3</v>
      </c>
      <c r="BK441" s="22">
        <f t="shared" si="123"/>
        <v>39</v>
      </c>
      <c r="BL441" s="22">
        <f t="shared" si="124"/>
        <v>32</v>
      </c>
      <c r="BM441" s="22">
        <f t="shared" si="120"/>
        <v>7</v>
      </c>
      <c r="BN441" s="23">
        <f t="shared" si="125"/>
        <v>0.6875</v>
      </c>
      <c r="BO441" s="23">
        <f t="shared" si="125"/>
        <v>0.5714285714285714</v>
      </c>
      <c r="BP441" s="7">
        <f>VLOOKUP(A441,[1]Sheet15!B:E,4,0)</f>
        <v>5</v>
      </c>
      <c r="BQ441" s="7">
        <f>VLOOKUP(A441,[1]Sheet15!B:E,3,0)</f>
        <v>0</v>
      </c>
    </row>
    <row r="442" spans="1:69" ht="22.5" customHeight="1" x14ac:dyDescent="0.25">
      <c r="A442" s="15" t="s">
        <v>1126</v>
      </c>
      <c r="B442" s="15" t="str">
        <f>VLOOKUP(A442,'[1]Master clients'!F436:W3983,17,0)</f>
        <v>Apr</v>
      </c>
      <c r="C442" s="15" t="str">
        <f>VLOOKUP(A442,'[1]Master clients'!F436:P3983,11,0)</f>
        <v>MRK</v>
      </c>
      <c r="D442" s="15" t="str">
        <f>VLOOKUP(A442,'[1]Master clients'!F:M,8,0)</f>
        <v>End User</v>
      </c>
      <c r="E442" s="16" t="s">
        <v>1127</v>
      </c>
      <c r="F442" s="16" t="s">
        <v>1128</v>
      </c>
      <c r="G442" s="17">
        <v>24</v>
      </c>
      <c r="H442" s="17">
        <v>0</v>
      </c>
      <c r="I442" s="18">
        <v>24</v>
      </c>
      <c r="J442" s="18">
        <v>0</v>
      </c>
      <c r="K442" s="17">
        <v>0</v>
      </c>
      <c r="L442" s="17">
        <v>0</v>
      </c>
      <c r="M442" s="17">
        <v>0</v>
      </c>
      <c r="N442" s="17">
        <v>0</v>
      </c>
      <c r="O442" s="19">
        <v>0</v>
      </c>
      <c r="P442" s="19">
        <v>0</v>
      </c>
      <c r="Q442" s="19">
        <v>3</v>
      </c>
      <c r="R442" s="19">
        <v>0</v>
      </c>
      <c r="S442" s="19">
        <v>0</v>
      </c>
      <c r="T442" s="19">
        <v>0</v>
      </c>
      <c r="U442" s="19">
        <v>0</v>
      </c>
      <c r="V442" s="19">
        <v>0</v>
      </c>
      <c r="W442" s="20">
        <v>0</v>
      </c>
      <c r="X442" s="20">
        <v>0</v>
      </c>
      <c r="Y442" s="19">
        <v>0</v>
      </c>
      <c r="Z442" s="19">
        <v>0</v>
      </c>
      <c r="AA442" s="19">
        <v>0</v>
      </c>
      <c r="AB442" s="19">
        <v>0</v>
      </c>
      <c r="AC442" s="19">
        <v>0</v>
      </c>
      <c r="AD442" s="19">
        <v>0</v>
      </c>
      <c r="AE442" s="19">
        <v>0</v>
      </c>
      <c r="AF442" s="19">
        <v>0</v>
      </c>
      <c r="AG442" s="19">
        <v>0</v>
      </c>
      <c r="AH442" s="19">
        <v>0</v>
      </c>
      <c r="AI442" s="20">
        <v>0</v>
      </c>
      <c r="AJ442" s="20">
        <v>0</v>
      </c>
      <c r="AK442" s="19">
        <v>2</v>
      </c>
      <c r="AL442" s="20">
        <v>0</v>
      </c>
      <c r="AM442" s="19">
        <v>0</v>
      </c>
      <c r="AN442" s="19">
        <v>0</v>
      </c>
      <c r="AO442" s="19">
        <v>0</v>
      </c>
      <c r="AP442" s="19">
        <v>0</v>
      </c>
      <c r="AQ442" s="19">
        <v>0</v>
      </c>
      <c r="AR442" s="19">
        <v>0</v>
      </c>
      <c r="AS442" s="19">
        <v>0</v>
      </c>
      <c r="AT442" s="19">
        <v>0</v>
      </c>
      <c r="AU442" s="19">
        <v>0</v>
      </c>
      <c r="AV442" s="19">
        <v>0</v>
      </c>
      <c r="AW442" s="20">
        <v>0</v>
      </c>
      <c r="AX442" s="20">
        <v>0</v>
      </c>
      <c r="AY442" s="20">
        <v>0</v>
      </c>
      <c r="AZ442" s="19">
        <v>0</v>
      </c>
      <c r="BA442" s="19">
        <v>0</v>
      </c>
      <c r="BB442" s="19">
        <v>0</v>
      </c>
      <c r="BC442" s="19">
        <v>0</v>
      </c>
      <c r="BD442" s="19">
        <v>0</v>
      </c>
      <c r="BE442" s="21">
        <v>0</v>
      </c>
      <c r="BF442" s="21">
        <v>0</v>
      </c>
      <c r="BG442" s="19">
        <v>0</v>
      </c>
      <c r="BH442" s="19">
        <v>0</v>
      </c>
      <c r="BI442" s="22">
        <f t="shared" si="121"/>
        <v>2</v>
      </c>
      <c r="BJ442" s="22">
        <f t="shared" si="122"/>
        <v>3</v>
      </c>
      <c r="BK442" s="22">
        <f t="shared" si="123"/>
        <v>29</v>
      </c>
      <c r="BL442" s="22">
        <f t="shared" si="124"/>
        <v>26</v>
      </c>
      <c r="BM442" s="22">
        <f t="shared" ref="BM442:BM477" si="126">SUM(J442+N442+O442+Q442+S442+U442+X442+AA442+AD442+AF442+AM442+AP442+AQ442+AT442+AX442+AY442+BD442+BH442)</f>
        <v>3</v>
      </c>
      <c r="BN442" s="23">
        <f t="shared" si="125"/>
        <v>0.92307692307692313</v>
      </c>
      <c r="BO442" s="23">
        <f t="shared" si="125"/>
        <v>0</v>
      </c>
      <c r="BP442" s="7">
        <f>VLOOKUP(A442,[1]Sheet15!B:E,4,0)</f>
        <v>2</v>
      </c>
      <c r="BQ442" s="7">
        <f>VLOOKUP(A442,[1]Sheet15!B:E,3,0)</f>
        <v>0</v>
      </c>
    </row>
    <row r="443" spans="1:69" ht="22.5" customHeight="1" x14ac:dyDescent="0.25">
      <c r="A443" s="15" t="s">
        <v>1129</v>
      </c>
      <c r="B443" s="15">
        <f>VLOOKUP(A443,'[1]Master clients'!F437:W3984,17,0)</f>
        <v>0</v>
      </c>
      <c r="C443" s="15" t="str">
        <f>VLOOKUP(A443,'[1]Master clients'!F437:P3984,11,0)</f>
        <v>AV</v>
      </c>
      <c r="D443" s="15" t="str">
        <f>VLOOKUP(A443,'[1]Master clients'!F:M,8,0)</f>
        <v>End User</v>
      </c>
      <c r="E443" s="16" t="s">
        <v>1130</v>
      </c>
      <c r="F443" s="16" t="s">
        <v>1131</v>
      </c>
      <c r="G443" s="17">
        <v>13</v>
      </c>
      <c r="H443" s="17">
        <v>0</v>
      </c>
      <c r="I443" s="18">
        <v>4</v>
      </c>
      <c r="J443" s="18">
        <v>0</v>
      </c>
      <c r="K443" s="17">
        <v>6</v>
      </c>
      <c r="L443" s="17">
        <v>0</v>
      </c>
      <c r="M443" s="17">
        <v>0</v>
      </c>
      <c r="N443" s="17">
        <v>0</v>
      </c>
      <c r="O443" s="19">
        <v>0</v>
      </c>
      <c r="P443" s="19">
        <v>0</v>
      </c>
      <c r="Q443" s="19">
        <v>20</v>
      </c>
      <c r="R443" s="19">
        <v>0</v>
      </c>
      <c r="S443" s="19">
        <v>0</v>
      </c>
      <c r="T443" s="19">
        <v>0</v>
      </c>
      <c r="U443" s="19">
        <v>0</v>
      </c>
      <c r="V443" s="19">
        <v>0</v>
      </c>
      <c r="W443" s="20">
        <v>0</v>
      </c>
      <c r="X443" s="20">
        <v>0</v>
      </c>
      <c r="Y443" s="19">
        <v>0</v>
      </c>
      <c r="Z443" s="19">
        <v>0</v>
      </c>
      <c r="AA443" s="19">
        <v>0</v>
      </c>
      <c r="AB443" s="19">
        <v>0</v>
      </c>
      <c r="AC443" s="19">
        <v>0</v>
      </c>
      <c r="AD443" s="19">
        <v>0</v>
      </c>
      <c r="AE443" s="19">
        <v>0</v>
      </c>
      <c r="AF443" s="19">
        <v>0</v>
      </c>
      <c r="AG443" s="19">
        <v>0</v>
      </c>
      <c r="AH443" s="19">
        <v>0</v>
      </c>
      <c r="AI443" s="20">
        <v>0</v>
      </c>
      <c r="AJ443" s="20">
        <v>0</v>
      </c>
      <c r="AK443" s="19">
        <v>0</v>
      </c>
      <c r="AL443" s="20">
        <v>0</v>
      </c>
      <c r="AM443" s="19">
        <v>0</v>
      </c>
      <c r="AN443" s="19">
        <v>0</v>
      </c>
      <c r="AO443" s="19">
        <v>0</v>
      </c>
      <c r="AP443" s="19">
        <v>0</v>
      </c>
      <c r="AQ443" s="19">
        <v>0</v>
      </c>
      <c r="AR443" s="19">
        <v>0</v>
      </c>
      <c r="AS443" s="19">
        <v>0</v>
      </c>
      <c r="AT443" s="19">
        <v>0</v>
      </c>
      <c r="AU443" s="19">
        <v>0</v>
      </c>
      <c r="AV443" s="19">
        <v>0</v>
      </c>
      <c r="AW443" s="20">
        <v>0</v>
      </c>
      <c r="AX443" s="20">
        <v>0</v>
      </c>
      <c r="AY443" s="20">
        <v>0</v>
      </c>
      <c r="AZ443" s="19">
        <v>0</v>
      </c>
      <c r="BA443" s="19">
        <v>0</v>
      </c>
      <c r="BB443" s="19">
        <v>0</v>
      </c>
      <c r="BC443" s="19">
        <v>0</v>
      </c>
      <c r="BD443" s="19">
        <v>0</v>
      </c>
      <c r="BE443" s="21">
        <v>0</v>
      </c>
      <c r="BF443" s="21">
        <v>0</v>
      </c>
      <c r="BG443" s="19">
        <v>0</v>
      </c>
      <c r="BH443" s="19">
        <v>0</v>
      </c>
      <c r="BI443" s="22">
        <f t="shared" si="121"/>
        <v>6</v>
      </c>
      <c r="BJ443" s="22">
        <f t="shared" si="122"/>
        <v>20</v>
      </c>
      <c r="BK443" s="22">
        <f t="shared" si="123"/>
        <v>30</v>
      </c>
      <c r="BL443" s="22">
        <f t="shared" si="124"/>
        <v>10</v>
      </c>
      <c r="BM443" s="22">
        <f t="shared" si="126"/>
        <v>20</v>
      </c>
      <c r="BN443" s="23">
        <f t="shared" si="125"/>
        <v>0.4</v>
      </c>
      <c r="BO443" s="23">
        <f t="shared" si="125"/>
        <v>0</v>
      </c>
      <c r="BP443" s="7" t="e">
        <f>VLOOKUP(A443,[1]Sheet15!B:E,4,0)</f>
        <v>#N/A</v>
      </c>
      <c r="BQ443" s="7" t="e">
        <f>VLOOKUP(A443,[1]Sheet15!B:E,3,0)</f>
        <v>#N/A</v>
      </c>
    </row>
    <row r="444" spans="1:69" ht="22.5" customHeight="1" x14ac:dyDescent="0.25">
      <c r="A444" s="15" t="s">
        <v>1132</v>
      </c>
      <c r="B444" s="15">
        <f>VLOOKUP(A444,'[1]Master clients'!F438:W3985,17,0)</f>
        <v>0</v>
      </c>
      <c r="C444" s="15" t="str">
        <f>VLOOKUP(A444,'[1]Master clients'!F438:P3985,11,0)</f>
        <v>AV</v>
      </c>
      <c r="D444" s="15" t="str">
        <f>VLOOKUP(A444,'[1]Master clients'!F:M,8,0)</f>
        <v>End User</v>
      </c>
      <c r="E444" s="16" t="s">
        <v>1133</v>
      </c>
      <c r="F444" s="16" t="s">
        <v>265</v>
      </c>
      <c r="G444" s="17"/>
      <c r="H444" s="17"/>
      <c r="I444" s="26">
        <v>18</v>
      </c>
      <c r="J444" s="31">
        <v>0</v>
      </c>
      <c r="K444" s="17">
        <v>0</v>
      </c>
      <c r="L444" s="17">
        <v>0</v>
      </c>
      <c r="M444" s="17">
        <v>0</v>
      </c>
      <c r="N444" s="17">
        <v>0</v>
      </c>
      <c r="O444" s="17">
        <v>0</v>
      </c>
      <c r="P444" s="17">
        <v>0</v>
      </c>
      <c r="Q444" s="17">
        <v>0</v>
      </c>
      <c r="R444" s="17">
        <v>0</v>
      </c>
      <c r="S444" s="17">
        <v>0</v>
      </c>
      <c r="T444" s="17">
        <v>0</v>
      </c>
      <c r="U444" s="17">
        <v>0</v>
      </c>
      <c r="V444" s="17">
        <v>0</v>
      </c>
      <c r="W444" s="17">
        <v>0</v>
      </c>
      <c r="X444" s="17">
        <v>0</v>
      </c>
      <c r="Y444" s="17">
        <v>0</v>
      </c>
      <c r="Z444" s="17">
        <v>0</v>
      </c>
      <c r="AA444" s="17">
        <v>0</v>
      </c>
      <c r="AB444" s="17">
        <v>0</v>
      </c>
      <c r="AC444" s="17">
        <v>0</v>
      </c>
      <c r="AD444" s="17">
        <v>0</v>
      </c>
      <c r="AE444" s="17">
        <v>0</v>
      </c>
      <c r="AF444" s="17">
        <v>0</v>
      </c>
      <c r="AG444" s="17">
        <v>0</v>
      </c>
      <c r="AH444" s="17">
        <v>0</v>
      </c>
      <c r="AI444" s="17">
        <v>0</v>
      </c>
      <c r="AJ444" s="17">
        <v>0</v>
      </c>
      <c r="AK444" s="17">
        <v>0</v>
      </c>
      <c r="AL444" s="17">
        <v>0</v>
      </c>
      <c r="AM444" s="17">
        <v>0</v>
      </c>
      <c r="AN444" s="17">
        <v>0</v>
      </c>
      <c r="AO444" s="17">
        <v>0</v>
      </c>
      <c r="AP444" s="17">
        <v>0</v>
      </c>
      <c r="AQ444" s="17">
        <v>0</v>
      </c>
      <c r="AR444" s="17">
        <v>0</v>
      </c>
      <c r="AS444" s="17">
        <v>0</v>
      </c>
      <c r="AT444" s="17">
        <v>0</v>
      </c>
      <c r="AU444" s="17">
        <v>0</v>
      </c>
      <c r="AV444" s="17">
        <v>0</v>
      </c>
      <c r="AW444" s="17">
        <v>0</v>
      </c>
      <c r="AX444" s="17">
        <v>0</v>
      </c>
      <c r="AY444" s="17">
        <v>0</v>
      </c>
      <c r="AZ444" s="17">
        <v>0</v>
      </c>
      <c r="BA444" s="17">
        <v>0</v>
      </c>
      <c r="BB444" s="17">
        <v>0</v>
      </c>
      <c r="BC444" s="17">
        <v>0</v>
      </c>
      <c r="BD444" s="17">
        <v>0</v>
      </c>
      <c r="BE444" s="17">
        <v>0</v>
      </c>
      <c r="BF444" s="17">
        <v>0</v>
      </c>
      <c r="BG444" s="17">
        <v>0</v>
      </c>
      <c r="BH444" s="17">
        <v>0</v>
      </c>
      <c r="BI444" s="22">
        <f t="shared" si="121"/>
        <v>0</v>
      </c>
      <c r="BJ444" s="22">
        <f t="shared" si="122"/>
        <v>0</v>
      </c>
      <c r="BK444" s="28">
        <f t="shared" si="123"/>
        <v>18</v>
      </c>
      <c r="BL444" s="22">
        <f t="shared" si="124"/>
        <v>18</v>
      </c>
      <c r="BM444" s="22">
        <f t="shared" si="126"/>
        <v>0</v>
      </c>
      <c r="BN444" s="23">
        <f t="shared" si="125"/>
        <v>1</v>
      </c>
      <c r="BO444" s="23" t="e">
        <f t="shared" si="125"/>
        <v>#DIV/0!</v>
      </c>
      <c r="BP444" s="7">
        <f>VLOOKUP(A444,[1]Sheet15!B:E,4,0)</f>
        <v>18</v>
      </c>
      <c r="BQ444" s="7">
        <f>VLOOKUP(A444,[1]Sheet15!B:E,3,0)</f>
        <v>0</v>
      </c>
    </row>
    <row r="445" spans="1:69" ht="22.5" customHeight="1" x14ac:dyDescent="0.25">
      <c r="A445" s="15" t="s">
        <v>1134</v>
      </c>
      <c r="B445" s="15">
        <f>VLOOKUP(A445,'[1]Master clients'!F439:W3986,17,0)</f>
        <v>0</v>
      </c>
      <c r="C445" s="15" t="str">
        <f>VLOOKUP(A445,'[1]Master clients'!F439:P3986,11,0)</f>
        <v>NI</v>
      </c>
      <c r="D445" s="15" t="str">
        <f>VLOOKUP(A445,'[1]Master clients'!F:M,8,0)</f>
        <v>Group (Mills)</v>
      </c>
      <c r="E445" s="16" t="s">
        <v>1135</v>
      </c>
      <c r="F445" s="16" t="s">
        <v>265</v>
      </c>
      <c r="G445" s="17"/>
      <c r="H445" s="17"/>
      <c r="I445" s="18">
        <v>15</v>
      </c>
      <c r="J445" s="18">
        <v>0</v>
      </c>
      <c r="K445" s="17">
        <v>0</v>
      </c>
      <c r="L445" s="17">
        <v>0</v>
      </c>
      <c r="M445" s="17">
        <v>0</v>
      </c>
      <c r="N445" s="17">
        <v>0</v>
      </c>
      <c r="O445" s="17">
        <v>0</v>
      </c>
      <c r="P445" s="17">
        <v>0</v>
      </c>
      <c r="Q445" s="17">
        <v>10</v>
      </c>
      <c r="R445" s="17">
        <v>0</v>
      </c>
      <c r="S445" s="17">
        <v>0</v>
      </c>
      <c r="T445" s="17">
        <v>0</v>
      </c>
      <c r="U445" s="17">
        <v>0</v>
      </c>
      <c r="V445" s="17">
        <v>0</v>
      </c>
      <c r="W445" s="17">
        <v>0</v>
      </c>
      <c r="X445" s="17">
        <v>0</v>
      </c>
      <c r="Y445" s="17">
        <v>0</v>
      </c>
      <c r="Z445" s="17">
        <v>0</v>
      </c>
      <c r="AA445" s="17">
        <v>0</v>
      </c>
      <c r="AB445" s="17">
        <v>0</v>
      </c>
      <c r="AC445" s="17">
        <v>0</v>
      </c>
      <c r="AD445" s="17">
        <v>0</v>
      </c>
      <c r="AE445" s="17">
        <v>0</v>
      </c>
      <c r="AF445" s="17">
        <v>0</v>
      </c>
      <c r="AG445" s="17">
        <v>0</v>
      </c>
      <c r="AH445" s="17">
        <v>0</v>
      </c>
      <c r="AI445" s="17">
        <v>0</v>
      </c>
      <c r="AJ445" s="17">
        <v>0</v>
      </c>
      <c r="AK445" s="17">
        <v>0</v>
      </c>
      <c r="AL445" s="17">
        <v>0</v>
      </c>
      <c r="AM445" s="17">
        <v>0</v>
      </c>
      <c r="AN445" s="17">
        <v>0</v>
      </c>
      <c r="AO445" s="17">
        <v>0</v>
      </c>
      <c r="AP445" s="17">
        <v>0</v>
      </c>
      <c r="AQ445" s="17">
        <v>0</v>
      </c>
      <c r="AR445" s="17">
        <v>0</v>
      </c>
      <c r="AS445" s="17">
        <v>0</v>
      </c>
      <c r="AT445" s="17">
        <v>0</v>
      </c>
      <c r="AU445" s="17">
        <v>0</v>
      </c>
      <c r="AV445" s="17">
        <v>0</v>
      </c>
      <c r="AW445" s="17">
        <v>0</v>
      </c>
      <c r="AX445" s="17">
        <v>0</v>
      </c>
      <c r="AY445" s="17">
        <v>0</v>
      </c>
      <c r="AZ445" s="17">
        <v>0</v>
      </c>
      <c r="BA445" s="17">
        <v>0</v>
      </c>
      <c r="BB445" s="17">
        <v>0</v>
      </c>
      <c r="BC445" s="17">
        <v>0</v>
      </c>
      <c r="BD445" s="17">
        <v>0</v>
      </c>
      <c r="BE445" s="17">
        <v>0</v>
      </c>
      <c r="BF445" s="17">
        <v>0</v>
      </c>
      <c r="BG445" s="17">
        <v>0</v>
      </c>
      <c r="BH445" s="17">
        <v>0</v>
      </c>
      <c r="BI445" s="22">
        <f t="shared" si="121"/>
        <v>0</v>
      </c>
      <c r="BJ445" s="22">
        <f t="shared" si="122"/>
        <v>10</v>
      </c>
      <c r="BK445" s="22">
        <f t="shared" si="123"/>
        <v>25</v>
      </c>
      <c r="BL445" s="22">
        <f t="shared" si="124"/>
        <v>15</v>
      </c>
      <c r="BM445" s="22">
        <f t="shared" si="126"/>
        <v>10</v>
      </c>
      <c r="BN445" s="23">
        <f t="shared" si="125"/>
        <v>1</v>
      </c>
      <c r="BO445" s="23">
        <f t="shared" si="125"/>
        <v>0</v>
      </c>
      <c r="BP445" s="7">
        <f>VLOOKUP(A445,[1]Sheet15!B:E,4,0)</f>
        <v>14</v>
      </c>
      <c r="BQ445" s="7">
        <f>VLOOKUP(A445,[1]Sheet15!B:E,3,0)</f>
        <v>0</v>
      </c>
    </row>
    <row r="446" spans="1:69" ht="22.5" customHeight="1" x14ac:dyDescent="0.25">
      <c r="A446" s="15" t="s">
        <v>1136</v>
      </c>
      <c r="B446" s="15" t="str">
        <f>VLOOKUP(A446,'[1]Master clients'!F440:W3987,17,0)</f>
        <v>Apr</v>
      </c>
      <c r="C446" s="15" t="str">
        <f>VLOOKUP(A446,'[1]Master clients'!F440:P3987,11,0)</f>
        <v>MRK</v>
      </c>
      <c r="D446" s="15" t="str">
        <f>VLOOKUP(A446,'[1]Master clients'!F:M,8,0)</f>
        <v>End User</v>
      </c>
      <c r="E446" s="16" t="s">
        <v>1137</v>
      </c>
      <c r="F446" s="16" t="s">
        <v>265</v>
      </c>
      <c r="G446" s="17">
        <v>2</v>
      </c>
      <c r="H446" s="17">
        <v>0</v>
      </c>
      <c r="I446" s="18">
        <v>2</v>
      </c>
      <c r="J446" s="18">
        <v>0</v>
      </c>
      <c r="K446" s="17">
        <v>0</v>
      </c>
      <c r="L446" s="17">
        <v>0</v>
      </c>
      <c r="M446" s="17">
        <v>0</v>
      </c>
      <c r="N446" s="17">
        <v>0</v>
      </c>
      <c r="O446" s="19">
        <v>0</v>
      </c>
      <c r="P446" s="19">
        <v>0</v>
      </c>
      <c r="Q446" s="19">
        <v>6</v>
      </c>
      <c r="R446" s="19">
        <v>0</v>
      </c>
      <c r="S446" s="19">
        <v>0</v>
      </c>
      <c r="T446" s="19">
        <v>0</v>
      </c>
      <c r="U446" s="19">
        <v>0</v>
      </c>
      <c r="V446" s="19">
        <v>0</v>
      </c>
      <c r="W446" s="20">
        <v>0</v>
      </c>
      <c r="X446" s="20">
        <v>0</v>
      </c>
      <c r="Y446" s="19">
        <v>0</v>
      </c>
      <c r="Z446" s="19">
        <v>0</v>
      </c>
      <c r="AA446" s="19">
        <v>0</v>
      </c>
      <c r="AB446" s="19">
        <v>0</v>
      </c>
      <c r="AC446" s="19">
        <v>0</v>
      </c>
      <c r="AD446" s="19">
        <v>0</v>
      </c>
      <c r="AE446" s="19">
        <v>10</v>
      </c>
      <c r="AF446" s="19">
        <v>0</v>
      </c>
      <c r="AG446" s="19">
        <v>0</v>
      </c>
      <c r="AH446" s="19">
        <v>0</v>
      </c>
      <c r="AI446" s="20">
        <v>0</v>
      </c>
      <c r="AJ446" s="20">
        <v>0</v>
      </c>
      <c r="AK446" s="19">
        <v>0</v>
      </c>
      <c r="AL446" s="20">
        <v>0</v>
      </c>
      <c r="AM446" s="19">
        <v>0</v>
      </c>
      <c r="AN446" s="19">
        <v>0</v>
      </c>
      <c r="AO446" s="19">
        <v>0</v>
      </c>
      <c r="AP446" s="19">
        <v>0</v>
      </c>
      <c r="AQ446" s="19">
        <v>0</v>
      </c>
      <c r="AR446" s="19">
        <v>0</v>
      </c>
      <c r="AS446" s="19">
        <v>0</v>
      </c>
      <c r="AT446" s="19">
        <v>0</v>
      </c>
      <c r="AU446" s="19">
        <v>0</v>
      </c>
      <c r="AV446" s="19">
        <v>0</v>
      </c>
      <c r="AW446" s="20">
        <v>0</v>
      </c>
      <c r="AX446" s="20">
        <v>0</v>
      </c>
      <c r="AY446" s="20">
        <v>0</v>
      </c>
      <c r="AZ446" s="19">
        <v>0</v>
      </c>
      <c r="BA446" s="19">
        <v>0</v>
      </c>
      <c r="BB446" s="19">
        <v>0</v>
      </c>
      <c r="BC446" s="19">
        <v>0</v>
      </c>
      <c r="BD446" s="19">
        <v>0</v>
      </c>
      <c r="BE446" s="21">
        <v>0</v>
      </c>
      <c r="BF446" s="21">
        <v>0</v>
      </c>
      <c r="BG446" s="19">
        <v>0</v>
      </c>
      <c r="BH446" s="19">
        <v>0</v>
      </c>
      <c r="BI446" s="22">
        <f t="shared" si="121"/>
        <v>10</v>
      </c>
      <c r="BJ446" s="22">
        <f t="shared" si="122"/>
        <v>6</v>
      </c>
      <c r="BK446" s="22">
        <f t="shared" si="123"/>
        <v>18</v>
      </c>
      <c r="BL446" s="22">
        <f t="shared" si="124"/>
        <v>12</v>
      </c>
      <c r="BM446" s="22">
        <f t="shared" si="126"/>
        <v>6</v>
      </c>
      <c r="BN446" s="23">
        <f t="shared" si="125"/>
        <v>0.16666666666666666</v>
      </c>
      <c r="BO446" s="23">
        <f t="shared" si="125"/>
        <v>0</v>
      </c>
      <c r="BP446" s="7" t="e">
        <f>VLOOKUP(A446,[1]Sheet15!B:E,4,0)</f>
        <v>#N/A</v>
      </c>
      <c r="BQ446" s="7" t="e">
        <f>VLOOKUP(A446,[1]Sheet15!B:E,3,0)</f>
        <v>#N/A</v>
      </c>
    </row>
    <row r="447" spans="1:69" ht="22.5" customHeight="1" x14ac:dyDescent="0.25">
      <c r="A447" s="15" t="s">
        <v>1138</v>
      </c>
      <c r="B447" s="15" t="str">
        <f>VLOOKUP(A447,'[1]Master clients'!F441:W3988,17,0)</f>
        <v>Apr</v>
      </c>
      <c r="C447" s="15" t="str">
        <f>VLOOKUP(A447,'[1]Master clients'!F441:P3988,11,0)</f>
        <v>MRK</v>
      </c>
      <c r="D447" s="15" t="str">
        <f>VLOOKUP(A447,'[1]Master clients'!F:M,8,0)</f>
        <v>End User</v>
      </c>
      <c r="E447" s="16" t="s">
        <v>1139</v>
      </c>
      <c r="F447" s="16" t="s">
        <v>265</v>
      </c>
      <c r="G447" s="17">
        <v>2</v>
      </c>
      <c r="H447" s="17">
        <v>0</v>
      </c>
      <c r="I447" s="18">
        <v>2</v>
      </c>
      <c r="J447" s="18">
        <v>0</v>
      </c>
      <c r="K447" s="17">
        <v>0</v>
      </c>
      <c r="L447" s="17">
        <v>0</v>
      </c>
      <c r="M447" s="17">
        <v>0</v>
      </c>
      <c r="N447" s="17">
        <v>0</v>
      </c>
      <c r="O447" s="19">
        <v>0</v>
      </c>
      <c r="P447" s="19">
        <v>9</v>
      </c>
      <c r="Q447" s="19">
        <v>3</v>
      </c>
      <c r="R447" s="19">
        <v>0</v>
      </c>
      <c r="S447" s="19">
        <v>0</v>
      </c>
      <c r="T447" s="19">
        <v>0</v>
      </c>
      <c r="U447" s="19">
        <v>0</v>
      </c>
      <c r="V447" s="19">
        <v>0</v>
      </c>
      <c r="W447" s="20">
        <v>0</v>
      </c>
      <c r="X447" s="20">
        <v>0</v>
      </c>
      <c r="Y447" s="19">
        <v>0</v>
      </c>
      <c r="Z447" s="19">
        <v>0</v>
      </c>
      <c r="AA447" s="19">
        <v>0</v>
      </c>
      <c r="AB447" s="19">
        <v>0</v>
      </c>
      <c r="AC447" s="19">
        <v>0</v>
      </c>
      <c r="AD447" s="19">
        <v>0</v>
      </c>
      <c r="AE447" s="19">
        <v>0</v>
      </c>
      <c r="AF447" s="19">
        <v>0</v>
      </c>
      <c r="AG447" s="19">
        <v>0</v>
      </c>
      <c r="AH447" s="19">
        <v>0</v>
      </c>
      <c r="AI447" s="20">
        <v>0</v>
      </c>
      <c r="AJ447" s="20">
        <v>0</v>
      </c>
      <c r="AK447" s="19">
        <v>0</v>
      </c>
      <c r="AL447" s="20">
        <v>0</v>
      </c>
      <c r="AM447" s="19">
        <v>0</v>
      </c>
      <c r="AN447" s="19">
        <v>0</v>
      </c>
      <c r="AO447" s="19">
        <v>0</v>
      </c>
      <c r="AP447" s="19">
        <v>0</v>
      </c>
      <c r="AQ447" s="19">
        <v>0</v>
      </c>
      <c r="AR447" s="19">
        <v>0</v>
      </c>
      <c r="AS447" s="19">
        <v>0</v>
      </c>
      <c r="AT447" s="19">
        <v>0</v>
      </c>
      <c r="AU447" s="19">
        <v>0</v>
      </c>
      <c r="AV447" s="19">
        <v>0</v>
      </c>
      <c r="AW447" s="20">
        <v>0</v>
      </c>
      <c r="AX447" s="20">
        <v>0</v>
      </c>
      <c r="AY447" s="20">
        <v>0</v>
      </c>
      <c r="AZ447" s="19">
        <v>0</v>
      </c>
      <c r="BA447" s="19">
        <v>0</v>
      </c>
      <c r="BB447" s="19">
        <v>0</v>
      </c>
      <c r="BC447" s="19">
        <v>0</v>
      </c>
      <c r="BD447" s="19">
        <v>0</v>
      </c>
      <c r="BE447" s="21">
        <v>0</v>
      </c>
      <c r="BF447" s="21">
        <v>0</v>
      </c>
      <c r="BG447" s="19">
        <v>1</v>
      </c>
      <c r="BH447" s="19">
        <v>0</v>
      </c>
      <c r="BI447" s="22">
        <f t="shared" si="121"/>
        <v>10</v>
      </c>
      <c r="BJ447" s="22">
        <f t="shared" si="122"/>
        <v>3</v>
      </c>
      <c r="BK447" s="22">
        <f t="shared" si="123"/>
        <v>15</v>
      </c>
      <c r="BL447" s="22">
        <f t="shared" si="124"/>
        <v>12</v>
      </c>
      <c r="BM447" s="22">
        <f t="shared" si="126"/>
        <v>3</v>
      </c>
      <c r="BN447" s="23">
        <f t="shared" si="125"/>
        <v>0.16666666666666666</v>
      </c>
      <c r="BO447" s="23">
        <f t="shared" si="125"/>
        <v>0</v>
      </c>
      <c r="BP447" s="7">
        <f>VLOOKUP(A447,[1]Sheet15!B:E,4,0)</f>
        <v>8</v>
      </c>
      <c r="BQ447" s="7">
        <f>VLOOKUP(A447,[1]Sheet15!B:E,3,0)</f>
        <v>0</v>
      </c>
    </row>
    <row r="448" spans="1:69" ht="22.5" customHeight="1" x14ac:dyDescent="0.25">
      <c r="A448" s="15" t="s">
        <v>1140</v>
      </c>
      <c r="B448" s="15">
        <f>VLOOKUP(A448,'[1]Master clients'!F442:W3989,17,0)</f>
        <v>0</v>
      </c>
      <c r="C448" s="15" t="str">
        <f>VLOOKUP(A448,'[1]Master clients'!F442:P3989,11,0)</f>
        <v>AV</v>
      </c>
      <c r="D448" s="15" t="str">
        <f>VLOOKUP(A448,'[1]Master clients'!F:M,8,0)</f>
        <v>Group (Mills)</v>
      </c>
      <c r="E448" s="16" t="s">
        <v>1141</v>
      </c>
      <c r="F448" s="16" t="s">
        <v>1142</v>
      </c>
      <c r="G448" s="17">
        <v>0</v>
      </c>
      <c r="H448" s="17">
        <v>0</v>
      </c>
      <c r="I448" s="18">
        <v>15</v>
      </c>
      <c r="J448" s="18">
        <v>4</v>
      </c>
      <c r="K448" s="17">
        <v>0</v>
      </c>
      <c r="L448" s="17">
        <v>0</v>
      </c>
      <c r="M448" s="17">
        <v>0</v>
      </c>
      <c r="N448" s="17">
        <v>0</v>
      </c>
      <c r="O448" s="19">
        <v>0</v>
      </c>
      <c r="P448" s="19">
        <v>0</v>
      </c>
      <c r="Q448" s="19">
        <v>0</v>
      </c>
      <c r="R448" s="19">
        <v>0</v>
      </c>
      <c r="S448" s="19">
        <v>0</v>
      </c>
      <c r="T448" s="19">
        <v>0</v>
      </c>
      <c r="U448" s="19">
        <v>0</v>
      </c>
      <c r="V448" s="19">
        <v>0</v>
      </c>
      <c r="W448" s="20">
        <v>0</v>
      </c>
      <c r="X448" s="20">
        <v>0</v>
      </c>
      <c r="Y448" s="19">
        <v>0</v>
      </c>
      <c r="Z448" s="19">
        <v>0</v>
      </c>
      <c r="AA448" s="19">
        <v>0</v>
      </c>
      <c r="AB448" s="19">
        <v>0</v>
      </c>
      <c r="AC448" s="19">
        <v>0</v>
      </c>
      <c r="AD448" s="19">
        <v>0</v>
      </c>
      <c r="AE448" s="19">
        <v>0</v>
      </c>
      <c r="AF448" s="19">
        <v>0</v>
      </c>
      <c r="AG448" s="19">
        <v>0</v>
      </c>
      <c r="AH448" s="19">
        <v>0</v>
      </c>
      <c r="AI448" s="20">
        <v>0</v>
      </c>
      <c r="AJ448" s="20">
        <v>0</v>
      </c>
      <c r="AK448" s="19">
        <v>0</v>
      </c>
      <c r="AL448" s="20">
        <v>0</v>
      </c>
      <c r="AM448" s="19">
        <v>0</v>
      </c>
      <c r="AN448" s="19">
        <v>0</v>
      </c>
      <c r="AO448" s="19">
        <v>0</v>
      </c>
      <c r="AP448" s="19">
        <v>0</v>
      </c>
      <c r="AQ448" s="19">
        <v>0</v>
      </c>
      <c r="AR448" s="19">
        <v>0</v>
      </c>
      <c r="AS448" s="19">
        <v>0</v>
      </c>
      <c r="AT448" s="19">
        <v>0</v>
      </c>
      <c r="AU448" s="19">
        <v>0</v>
      </c>
      <c r="AV448" s="19">
        <v>0</v>
      </c>
      <c r="AW448" s="20">
        <v>0</v>
      </c>
      <c r="AX448" s="20">
        <v>0</v>
      </c>
      <c r="AY448" s="20">
        <v>0</v>
      </c>
      <c r="AZ448" s="19">
        <v>0</v>
      </c>
      <c r="BA448" s="19">
        <v>0</v>
      </c>
      <c r="BB448" s="19">
        <v>0</v>
      </c>
      <c r="BC448" s="19">
        <v>0</v>
      </c>
      <c r="BD448" s="19">
        <v>0</v>
      </c>
      <c r="BE448" s="21">
        <v>0</v>
      </c>
      <c r="BF448" s="21">
        <v>0</v>
      </c>
      <c r="BG448" s="19">
        <v>0</v>
      </c>
      <c r="BH448" s="19">
        <v>0</v>
      </c>
      <c r="BI448" s="22">
        <f t="shared" si="121"/>
        <v>0</v>
      </c>
      <c r="BJ448" s="22">
        <f t="shared" si="122"/>
        <v>0</v>
      </c>
      <c r="BK448" s="22">
        <f t="shared" si="123"/>
        <v>19</v>
      </c>
      <c r="BL448" s="22">
        <f t="shared" si="124"/>
        <v>15</v>
      </c>
      <c r="BM448" s="22">
        <f t="shared" si="126"/>
        <v>4</v>
      </c>
      <c r="BN448" s="23">
        <f t="shared" si="125"/>
        <v>1</v>
      </c>
      <c r="BO448" s="23">
        <f t="shared" si="125"/>
        <v>1</v>
      </c>
      <c r="BP448" s="7">
        <f>VLOOKUP(A448,[1]Sheet15!B:E,4,0)</f>
        <v>4</v>
      </c>
      <c r="BQ448" s="7">
        <f>VLOOKUP(A448,[1]Sheet15!B:E,3,0)</f>
        <v>0</v>
      </c>
    </row>
    <row r="449" spans="1:69" ht="22.5" customHeight="1" x14ac:dyDescent="0.25">
      <c r="A449" s="15" t="s">
        <v>1143</v>
      </c>
      <c r="B449" s="15">
        <f>VLOOKUP(A449,'[1]Master clients'!F443:W3990,17,0)</f>
        <v>0</v>
      </c>
      <c r="C449" s="15" t="str">
        <f>VLOOKUP(A449,'[1]Master clients'!F443:P3990,11,0)</f>
        <v>MRK</v>
      </c>
      <c r="D449" s="15" t="str">
        <f>VLOOKUP(A449,'[1]Master clients'!F:M,8,0)</f>
        <v>End User</v>
      </c>
      <c r="E449" s="24" t="s">
        <v>1144</v>
      </c>
      <c r="F449" s="25" t="s">
        <v>1145</v>
      </c>
      <c r="G449" s="20">
        <v>0</v>
      </c>
      <c r="H449" s="20">
        <v>0</v>
      </c>
      <c r="I449" s="26">
        <v>0</v>
      </c>
      <c r="J449" s="26">
        <v>0</v>
      </c>
      <c r="K449" s="20">
        <v>0</v>
      </c>
      <c r="L449" s="20">
        <v>0</v>
      </c>
      <c r="M449" s="20">
        <v>0</v>
      </c>
      <c r="N449" s="20">
        <v>0</v>
      </c>
      <c r="O449" s="20">
        <v>0</v>
      </c>
      <c r="P449" s="20">
        <v>4</v>
      </c>
      <c r="Q449" s="20">
        <v>0</v>
      </c>
      <c r="R449" s="20">
        <v>0</v>
      </c>
      <c r="S449" s="20">
        <v>0</v>
      </c>
      <c r="T449" s="20">
        <v>0</v>
      </c>
      <c r="U449" s="20">
        <v>0</v>
      </c>
      <c r="V449" s="20">
        <v>0</v>
      </c>
      <c r="W449" s="20">
        <v>0</v>
      </c>
      <c r="X449" s="20">
        <v>0</v>
      </c>
      <c r="Y449" s="20">
        <v>0</v>
      </c>
      <c r="Z449" s="20">
        <v>0</v>
      </c>
      <c r="AA449" s="20">
        <v>0</v>
      </c>
      <c r="AB449" s="20">
        <v>0</v>
      </c>
      <c r="AC449" s="20">
        <v>0</v>
      </c>
      <c r="AD449" s="20">
        <v>0</v>
      </c>
      <c r="AE449" s="20">
        <v>0</v>
      </c>
      <c r="AF449" s="20">
        <v>0</v>
      </c>
      <c r="AG449" s="20">
        <v>0</v>
      </c>
      <c r="AH449" s="20">
        <v>0</v>
      </c>
      <c r="AI449" s="20">
        <v>0</v>
      </c>
      <c r="AJ449" s="20">
        <v>0</v>
      </c>
      <c r="AK449" s="20">
        <v>0</v>
      </c>
      <c r="AL449" s="20">
        <v>0</v>
      </c>
      <c r="AM449" s="20">
        <v>0</v>
      </c>
      <c r="AN449" s="20">
        <v>0</v>
      </c>
      <c r="AO449" s="20">
        <v>0</v>
      </c>
      <c r="AP449" s="20">
        <v>0</v>
      </c>
      <c r="AQ449" s="20">
        <v>0</v>
      </c>
      <c r="AR449" s="20">
        <v>0</v>
      </c>
      <c r="AS449" s="20">
        <v>0</v>
      </c>
      <c r="AT449" s="20">
        <v>0</v>
      </c>
      <c r="AU449" s="20">
        <v>0</v>
      </c>
      <c r="AV449" s="20">
        <v>0</v>
      </c>
      <c r="AW449" s="20">
        <v>0</v>
      </c>
      <c r="AX449" s="20">
        <v>0</v>
      </c>
      <c r="AY449" s="20">
        <v>0</v>
      </c>
      <c r="AZ449" s="20">
        <v>0</v>
      </c>
      <c r="BA449" s="20">
        <v>0</v>
      </c>
      <c r="BB449" s="27">
        <v>0</v>
      </c>
      <c r="BC449" s="20">
        <v>0</v>
      </c>
      <c r="BD449" s="20">
        <v>0</v>
      </c>
      <c r="BE449" s="21">
        <v>0</v>
      </c>
      <c r="BF449" s="21">
        <v>0</v>
      </c>
      <c r="BG449" s="20">
        <v>0</v>
      </c>
      <c r="BH449" s="20">
        <v>0</v>
      </c>
      <c r="BI449" s="22">
        <f t="shared" si="121"/>
        <v>4</v>
      </c>
      <c r="BJ449" s="22">
        <f t="shared" si="122"/>
        <v>0</v>
      </c>
      <c r="BK449" s="28">
        <f t="shared" si="123"/>
        <v>4</v>
      </c>
      <c r="BL449" s="22">
        <f t="shared" si="124"/>
        <v>4</v>
      </c>
      <c r="BM449" s="22">
        <f t="shared" si="126"/>
        <v>0</v>
      </c>
      <c r="BN449" s="23">
        <f t="shared" si="125"/>
        <v>0</v>
      </c>
      <c r="BO449" s="23" t="e">
        <f t="shared" si="125"/>
        <v>#DIV/0!</v>
      </c>
      <c r="BP449" s="7" t="e">
        <f>VLOOKUP(A449,[1]Sheet15!B:E,4,0)</f>
        <v>#N/A</v>
      </c>
      <c r="BQ449" s="7" t="e">
        <f>VLOOKUP(A449,[1]Sheet15!B:E,3,0)</f>
        <v>#N/A</v>
      </c>
    </row>
    <row r="450" spans="1:69" ht="22.5" customHeight="1" x14ac:dyDescent="0.25">
      <c r="A450" s="15" t="s">
        <v>1146</v>
      </c>
      <c r="B450" s="15">
        <f>VLOOKUP(A450,'[1]Master clients'!F444:W3991,17,0)</f>
        <v>0</v>
      </c>
      <c r="C450" s="15" t="str">
        <f>VLOOKUP(A450,'[1]Master clients'!F444:P3991,11,0)</f>
        <v>NI</v>
      </c>
      <c r="D450" s="15" t="str">
        <f>VLOOKUP(A450,'[1]Master clients'!F:M,8,0)</f>
        <v>End User</v>
      </c>
      <c r="E450" s="24" t="s">
        <v>1147</v>
      </c>
      <c r="F450" s="25" t="s">
        <v>1148</v>
      </c>
      <c r="G450" s="20"/>
      <c r="H450" s="20"/>
      <c r="I450" s="26">
        <v>5</v>
      </c>
      <c r="J450" s="26">
        <v>0</v>
      </c>
      <c r="K450" s="20">
        <v>0</v>
      </c>
      <c r="L450" s="20">
        <v>0</v>
      </c>
      <c r="M450" s="20">
        <v>0</v>
      </c>
      <c r="N450" s="20">
        <v>0</v>
      </c>
      <c r="O450" s="20">
        <v>0</v>
      </c>
      <c r="P450" s="20">
        <v>0</v>
      </c>
      <c r="Q450" s="20">
        <v>0</v>
      </c>
      <c r="R450" s="20">
        <v>0</v>
      </c>
      <c r="S450" s="20">
        <v>0</v>
      </c>
      <c r="T450" s="20">
        <v>0</v>
      </c>
      <c r="U450" s="20">
        <v>0</v>
      </c>
      <c r="V450" s="20">
        <v>0</v>
      </c>
      <c r="W450" s="20">
        <v>0</v>
      </c>
      <c r="X450" s="20">
        <v>0</v>
      </c>
      <c r="Y450" s="20">
        <v>0</v>
      </c>
      <c r="Z450" s="20">
        <v>0</v>
      </c>
      <c r="AA450" s="20">
        <v>0</v>
      </c>
      <c r="AB450" s="20">
        <v>0</v>
      </c>
      <c r="AC450" s="20">
        <v>0</v>
      </c>
      <c r="AD450" s="20">
        <v>0</v>
      </c>
      <c r="AE450" s="20">
        <v>0</v>
      </c>
      <c r="AF450" s="20">
        <v>0</v>
      </c>
      <c r="AG450" s="20">
        <v>0</v>
      </c>
      <c r="AH450" s="20">
        <v>0</v>
      </c>
      <c r="AI450" s="20">
        <v>0</v>
      </c>
      <c r="AJ450" s="20">
        <v>0</v>
      </c>
      <c r="AK450" s="20">
        <v>0</v>
      </c>
      <c r="AL450" s="20">
        <v>0</v>
      </c>
      <c r="AM450" s="20">
        <v>0</v>
      </c>
      <c r="AN450" s="20">
        <v>0</v>
      </c>
      <c r="AO450" s="20">
        <v>0</v>
      </c>
      <c r="AP450" s="20">
        <v>0</v>
      </c>
      <c r="AQ450" s="20">
        <v>0</v>
      </c>
      <c r="AR450" s="20">
        <v>0</v>
      </c>
      <c r="AS450" s="20">
        <v>0</v>
      </c>
      <c r="AT450" s="20">
        <v>0</v>
      </c>
      <c r="AU450" s="20">
        <v>0</v>
      </c>
      <c r="AV450" s="20">
        <v>0</v>
      </c>
      <c r="AW450" s="20">
        <v>0</v>
      </c>
      <c r="AX450" s="20">
        <v>0</v>
      </c>
      <c r="AY450" s="20">
        <v>0</v>
      </c>
      <c r="AZ450" s="20">
        <v>0</v>
      </c>
      <c r="BA450" s="20">
        <v>0</v>
      </c>
      <c r="BB450" s="27">
        <v>0</v>
      </c>
      <c r="BC450" s="20">
        <v>0</v>
      </c>
      <c r="BD450" s="20">
        <v>0</v>
      </c>
      <c r="BE450" s="21">
        <v>0</v>
      </c>
      <c r="BF450" s="21">
        <v>0</v>
      </c>
      <c r="BG450" s="20">
        <v>0</v>
      </c>
      <c r="BH450" s="20">
        <v>0</v>
      </c>
      <c r="BI450" s="22">
        <f t="shared" si="121"/>
        <v>0</v>
      </c>
      <c r="BJ450" s="22">
        <f t="shared" si="122"/>
        <v>0</v>
      </c>
      <c r="BK450" s="28">
        <f t="shared" si="123"/>
        <v>5</v>
      </c>
      <c r="BL450" s="22">
        <f t="shared" si="124"/>
        <v>5</v>
      </c>
      <c r="BM450" s="22">
        <f t="shared" si="126"/>
        <v>0</v>
      </c>
      <c r="BN450" s="23">
        <f t="shared" si="125"/>
        <v>1</v>
      </c>
      <c r="BO450" s="23" t="e">
        <f t="shared" si="125"/>
        <v>#DIV/0!</v>
      </c>
      <c r="BP450" s="7">
        <f>VLOOKUP(A450,[1]Sheet15!B:E,4,0)</f>
        <v>5</v>
      </c>
      <c r="BQ450" s="7">
        <f>VLOOKUP(A450,[1]Sheet15!B:E,3,0)</f>
        <v>0</v>
      </c>
    </row>
    <row r="451" spans="1:69" ht="22.5" customHeight="1" x14ac:dyDescent="0.25">
      <c r="A451" s="15" t="s">
        <v>1149</v>
      </c>
      <c r="B451" s="15" t="e">
        <f>VLOOKUP(A451,'[1]Master clients'!F445:W3992,17,0)</f>
        <v>#N/A</v>
      </c>
      <c r="C451" s="15" t="e">
        <f>VLOOKUP(A451,'[1]Master clients'!F445:P3992,11,0)</f>
        <v>#N/A</v>
      </c>
      <c r="D451" s="15" t="str">
        <f>VLOOKUP(A451,'[1]Master clients'!F:M,8,0)</f>
        <v>End User</v>
      </c>
      <c r="E451" s="16" t="s">
        <v>1150</v>
      </c>
      <c r="F451" s="16" t="s">
        <v>1148</v>
      </c>
      <c r="G451" s="17"/>
      <c r="H451" s="17"/>
      <c r="I451" s="26">
        <v>18</v>
      </c>
      <c r="J451" s="31">
        <v>0</v>
      </c>
      <c r="K451" s="17">
        <v>0</v>
      </c>
      <c r="L451" s="17">
        <v>0</v>
      </c>
      <c r="M451" s="17">
        <v>0</v>
      </c>
      <c r="N451" s="17">
        <v>0</v>
      </c>
      <c r="O451" s="17">
        <v>0</v>
      </c>
      <c r="P451" s="17">
        <v>0</v>
      </c>
      <c r="Q451" s="17">
        <v>0</v>
      </c>
      <c r="R451" s="17">
        <v>0</v>
      </c>
      <c r="S451" s="17">
        <v>0</v>
      </c>
      <c r="T451" s="17">
        <v>0</v>
      </c>
      <c r="U451" s="17">
        <v>0</v>
      </c>
      <c r="V451" s="17">
        <v>0</v>
      </c>
      <c r="W451" s="17">
        <v>0</v>
      </c>
      <c r="X451" s="17">
        <v>0</v>
      </c>
      <c r="Y451" s="17">
        <v>0</v>
      </c>
      <c r="Z451" s="17">
        <v>0</v>
      </c>
      <c r="AA451" s="17">
        <v>0</v>
      </c>
      <c r="AB451" s="17">
        <v>0</v>
      </c>
      <c r="AC451" s="17">
        <v>0</v>
      </c>
      <c r="AD451" s="17">
        <v>0</v>
      </c>
      <c r="AE451" s="17">
        <v>0</v>
      </c>
      <c r="AF451" s="17">
        <v>0</v>
      </c>
      <c r="AG451" s="17">
        <v>0</v>
      </c>
      <c r="AH451" s="17">
        <v>0</v>
      </c>
      <c r="AI451" s="17">
        <v>0</v>
      </c>
      <c r="AJ451" s="17">
        <v>0</v>
      </c>
      <c r="AK451" s="17">
        <v>0</v>
      </c>
      <c r="AL451" s="17">
        <v>0</v>
      </c>
      <c r="AM451" s="17">
        <v>0</v>
      </c>
      <c r="AN451" s="17">
        <v>0</v>
      </c>
      <c r="AO451" s="17">
        <v>0</v>
      </c>
      <c r="AP451" s="17">
        <v>0</v>
      </c>
      <c r="AQ451" s="17">
        <v>0</v>
      </c>
      <c r="AR451" s="17">
        <v>0</v>
      </c>
      <c r="AS451" s="17">
        <v>0</v>
      </c>
      <c r="AT451" s="17">
        <v>0</v>
      </c>
      <c r="AU451" s="17">
        <v>0</v>
      </c>
      <c r="AV451" s="17">
        <v>0</v>
      </c>
      <c r="AW451" s="17">
        <v>0</v>
      </c>
      <c r="AX451" s="17">
        <v>0</v>
      </c>
      <c r="AY451" s="17">
        <v>0</v>
      </c>
      <c r="AZ451" s="17">
        <v>0</v>
      </c>
      <c r="BA451" s="17">
        <v>0</v>
      </c>
      <c r="BB451" s="17">
        <v>0</v>
      </c>
      <c r="BC451" s="17">
        <v>0</v>
      </c>
      <c r="BD451" s="17">
        <v>0</v>
      </c>
      <c r="BE451" s="17">
        <v>0</v>
      </c>
      <c r="BF451" s="17">
        <v>0</v>
      </c>
      <c r="BG451" s="17">
        <v>0</v>
      </c>
      <c r="BH451" s="17">
        <v>0</v>
      </c>
      <c r="BI451" s="22">
        <f t="shared" si="121"/>
        <v>0</v>
      </c>
      <c r="BJ451" s="22">
        <f t="shared" si="122"/>
        <v>0</v>
      </c>
      <c r="BK451" s="22">
        <f t="shared" si="123"/>
        <v>18</v>
      </c>
      <c r="BL451" s="22">
        <f t="shared" si="124"/>
        <v>18</v>
      </c>
      <c r="BM451" s="22">
        <f t="shared" si="126"/>
        <v>0</v>
      </c>
      <c r="BN451" s="23">
        <f t="shared" si="125"/>
        <v>1</v>
      </c>
      <c r="BO451" s="23" t="e">
        <f t="shared" si="125"/>
        <v>#DIV/0!</v>
      </c>
      <c r="BP451" s="7">
        <f>VLOOKUP(A451,[1]Sheet15!B:E,4,0)</f>
        <v>18</v>
      </c>
      <c r="BQ451" s="7">
        <f>VLOOKUP(A451,[1]Sheet15!B:E,3,0)</f>
        <v>0</v>
      </c>
    </row>
    <row r="452" spans="1:69" ht="22.5" customHeight="1" x14ac:dyDescent="0.25">
      <c r="A452" s="15" t="s">
        <v>1151</v>
      </c>
      <c r="B452" s="15">
        <f>VLOOKUP(A452,'[1]Master clients'!F446:W3993,17,0)</f>
        <v>0</v>
      </c>
      <c r="C452" s="15" t="str">
        <f>VLOOKUP(A452,'[1]Master clients'!F446:P3993,11,0)</f>
        <v>NI</v>
      </c>
      <c r="D452" s="15" t="str">
        <f>VLOOKUP(A452,'[1]Master clients'!F:M,8,0)</f>
        <v>End User</v>
      </c>
      <c r="E452" s="16" t="s">
        <v>1152</v>
      </c>
      <c r="F452" s="16" t="s">
        <v>1148</v>
      </c>
      <c r="G452" s="17"/>
      <c r="H452" s="17"/>
      <c r="I452" s="26">
        <v>1</v>
      </c>
      <c r="J452" s="31">
        <v>0</v>
      </c>
      <c r="K452" s="17">
        <v>0</v>
      </c>
      <c r="L452" s="17">
        <v>0</v>
      </c>
      <c r="M452" s="17">
        <v>0</v>
      </c>
      <c r="N452" s="17">
        <v>0</v>
      </c>
      <c r="O452" s="17">
        <v>0</v>
      </c>
      <c r="P452" s="17">
        <v>0</v>
      </c>
      <c r="Q452" s="17">
        <v>0</v>
      </c>
      <c r="R452" s="17">
        <v>0</v>
      </c>
      <c r="S452" s="17">
        <v>0</v>
      </c>
      <c r="T452" s="17">
        <v>0</v>
      </c>
      <c r="U452" s="17">
        <v>0</v>
      </c>
      <c r="V452" s="17">
        <v>0</v>
      </c>
      <c r="W452" s="17">
        <v>0</v>
      </c>
      <c r="X452" s="17">
        <v>0</v>
      </c>
      <c r="Y452" s="17">
        <v>0</v>
      </c>
      <c r="Z452" s="17">
        <v>0</v>
      </c>
      <c r="AA452" s="17">
        <v>0</v>
      </c>
      <c r="AB452" s="17">
        <v>0</v>
      </c>
      <c r="AC452" s="17">
        <v>0</v>
      </c>
      <c r="AD452" s="17">
        <v>0</v>
      </c>
      <c r="AE452" s="17">
        <v>0</v>
      </c>
      <c r="AF452" s="17">
        <v>0</v>
      </c>
      <c r="AG452" s="17">
        <v>0</v>
      </c>
      <c r="AH452" s="17">
        <v>0</v>
      </c>
      <c r="AI452" s="17">
        <v>0</v>
      </c>
      <c r="AJ452" s="17">
        <v>0</v>
      </c>
      <c r="AK452" s="17">
        <v>0</v>
      </c>
      <c r="AL452" s="17">
        <v>0</v>
      </c>
      <c r="AM452" s="17">
        <v>0</v>
      </c>
      <c r="AN452" s="17">
        <v>0</v>
      </c>
      <c r="AO452" s="17">
        <v>0</v>
      </c>
      <c r="AP452" s="17">
        <v>0</v>
      </c>
      <c r="AQ452" s="17">
        <v>0</v>
      </c>
      <c r="AR452" s="17">
        <v>0</v>
      </c>
      <c r="AS452" s="17">
        <v>0</v>
      </c>
      <c r="AT452" s="17">
        <v>0</v>
      </c>
      <c r="AU452" s="17">
        <v>0</v>
      </c>
      <c r="AV452" s="17">
        <v>0</v>
      </c>
      <c r="AW452" s="17">
        <v>0</v>
      </c>
      <c r="AX452" s="17">
        <v>0</v>
      </c>
      <c r="AY452" s="17">
        <v>0</v>
      </c>
      <c r="AZ452" s="17">
        <v>0</v>
      </c>
      <c r="BA452" s="17">
        <v>0</v>
      </c>
      <c r="BB452" s="17">
        <v>0</v>
      </c>
      <c r="BC452" s="17">
        <v>0</v>
      </c>
      <c r="BD452" s="17">
        <v>0</v>
      </c>
      <c r="BE452" s="17">
        <v>0</v>
      </c>
      <c r="BF452" s="17">
        <v>0</v>
      </c>
      <c r="BG452" s="17">
        <v>0</v>
      </c>
      <c r="BH452" s="17">
        <v>0</v>
      </c>
      <c r="BI452" s="22">
        <f t="shared" si="121"/>
        <v>0</v>
      </c>
      <c r="BJ452" s="22">
        <f t="shared" si="122"/>
        <v>0</v>
      </c>
      <c r="BK452" s="28">
        <f t="shared" si="123"/>
        <v>1</v>
      </c>
      <c r="BL452" s="22">
        <f t="shared" si="124"/>
        <v>1</v>
      </c>
      <c r="BM452" s="22">
        <f t="shared" si="126"/>
        <v>0</v>
      </c>
      <c r="BN452" s="23">
        <f t="shared" si="125"/>
        <v>1</v>
      </c>
      <c r="BO452" s="23" t="e">
        <f t="shared" si="125"/>
        <v>#DIV/0!</v>
      </c>
      <c r="BP452" s="7">
        <f>VLOOKUP(A452,[1]Sheet15!B:E,4,0)</f>
        <v>1</v>
      </c>
      <c r="BQ452" s="7">
        <f>VLOOKUP(A452,[1]Sheet15!B:E,3,0)</f>
        <v>0</v>
      </c>
    </row>
    <row r="453" spans="1:69" ht="22.5" customHeight="1" x14ac:dyDescent="0.25">
      <c r="A453" s="15" t="s">
        <v>1153</v>
      </c>
      <c r="B453" s="15">
        <f>VLOOKUP(A453,'[1]Master clients'!F447:W3994,17,0)</f>
        <v>0</v>
      </c>
      <c r="C453" s="15" t="str">
        <f>VLOOKUP(A453,'[1]Master clients'!F447:P3994,11,0)</f>
        <v>NI</v>
      </c>
      <c r="D453" s="15" t="str">
        <f>VLOOKUP(A453,'[1]Master clients'!F:M,8,0)</f>
        <v>End User</v>
      </c>
      <c r="E453" s="16" t="s">
        <v>1154</v>
      </c>
      <c r="F453" s="16" t="s">
        <v>1148</v>
      </c>
      <c r="G453" s="17"/>
      <c r="H453" s="17"/>
      <c r="I453" s="26">
        <v>1</v>
      </c>
      <c r="J453" s="31">
        <v>0</v>
      </c>
      <c r="K453" s="17">
        <v>0</v>
      </c>
      <c r="L453" s="17">
        <v>0</v>
      </c>
      <c r="M453" s="17">
        <v>0</v>
      </c>
      <c r="N453" s="17">
        <v>0</v>
      </c>
      <c r="O453" s="17">
        <v>0</v>
      </c>
      <c r="P453" s="17">
        <v>0</v>
      </c>
      <c r="Q453" s="17">
        <v>0</v>
      </c>
      <c r="R453" s="17">
        <v>0</v>
      </c>
      <c r="S453" s="17">
        <v>0</v>
      </c>
      <c r="T453" s="17">
        <v>0</v>
      </c>
      <c r="U453" s="17">
        <v>0</v>
      </c>
      <c r="V453" s="17">
        <v>0</v>
      </c>
      <c r="W453" s="17">
        <v>0</v>
      </c>
      <c r="X453" s="17">
        <v>0</v>
      </c>
      <c r="Y453" s="17">
        <v>0</v>
      </c>
      <c r="Z453" s="17">
        <v>0</v>
      </c>
      <c r="AA453" s="17">
        <v>0</v>
      </c>
      <c r="AB453" s="17">
        <v>0</v>
      </c>
      <c r="AC453" s="17">
        <v>0</v>
      </c>
      <c r="AD453" s="17">
        <v>0</v>
      </c>
      <c r="AE453" s="17">
        <v>0</v>
      </c>
      <c r="AF453" s="17">
        <v>0</v>
      </c>
      <c r="AG453" s="17">
        <v>0</v>
      </c>
      <c r="AH453" s="17">
        <v>0</v>
      </c>
      <c r="AI453" s="17">
        <v>0</v>
      </c>
      <c r="AJ453" s="17">
        <v>0</v>
      </c>
      <c r="AK453" s="17">
        <v>0</v>
      </c>
      <c r="AL453" s="17">
        <v>0</v>
      </c>
      <c r="AM453" s="17">
        <v>0</v>
      </c>
      <c r="AN453" s="17">
        <v>0</v>
      </c>
      <c r="AO453" s="17">
        <v>0</v>
      </c>
      <c r="AP453" s="17">
        <v>0</v>
      </c>
      <c r="AQ453" s="17">
        <v>0</v>
      </c>
      <c r="AR453" s="17">
        <v>0</v>
      </c>
      <c r="AS453" s="17">
        <v>0</v>
      </c>
      <c r="AT453" s="17">
        <v>0</v>
      </c>
      <c r="AU453" s="17">
        <v>0</v>
      </c>
      <c r="AV453" s="17">
        <v>0</v>
      </c>
      <c r="AW453" s="17">
        <v>0</v>
      </c>
      <c r="AX453" s="17">
        <v>0</v>
      </c>
      <c r="AY453" s="17">
        <v>0</v>
      </c>
      <c r="AZ453" s="17">
        <v>0</v>
      </c>
      <c r="BA453" s="17">
        <v>0</v>
      </c>
      <c r="BB453" s="17">
        <v>0</v>
      </c>
      <c r="BC453" s="17">
        <v>0</v>
      </c>
      <c r="BD453" s="17">
        <v>0</v>
      </c>
      <c r="BE453" s="17">
        <v>0</v>
      </c>
      <c r="BF453" s="17">
        <v>0</v>
      </c>
      <c r="BG453" s="17">
        <v>0</v>
      </c>
      <c r="BH453" s="17">
        <v>0</v>
      </c>
      <c r="BI453" s="22">
        <f t="shared" si="121"/>
        <v>0</v>
      </c>
      <c r="BJ453" s="22">
        <f t="shared" si="122"/>
        <v>0</v>
      </c>
      <c r="BK453" s="28">
        <f t="shared" si="123"/>
        <v>1</v>
      </c>
      <c r="BL453" s="22">
        <f t="shared" si="124"/>
        <v>1</v>
      </c>
      <c r="BM453" s="22">
        <f t="shared" si="126"/>
        <v>0</v>
      </c>
      <c r="BN453" s="23">
        <f t="shared" ref="BN453:BO468" si="127">I453/BL453</f>
        <v>1</v>
      </c>
      <c r="BO453" s="23" t="e">
        <f t="shared" si="127"/>
        <v>#DIV/0!</v>
      </c>
      <c r="BP453" s="7">
        <f>VLOOKUP(A453,[1]Sheet15!B:E,4,0)</f>
        <v>1</v>
      </c>
      <c r="BQ453" s="7">
        <f>VLOOKUP(A453,[1]Sheet15!B:E,3,0)</f>
        <v>0</v>
      </c>
    </row>
    <row r="454" spans="1:69" ht="22.5" customHeight="1" x14ac:dyDescent="0.25">
      <c r="A454" s="15" t="s">
        <v>1155</v>
      </c>
      <c r="B454" s="15" t="e">
        <f>VLOOKUP(A454,'[1]Master clients'!F448:W3995,17,0)</f>
        <v>#N/A</v>
      </c>
      <c r="C454" s="15" t="e">
        <f>VLOOKUP(A454,'[1]Master clients'!F448:P3995,11,0)</f>
        <v>#N/A</v>
      </c>
      <c r="D454" s="15" t="str">
        <f>VLOOKUP(A454,'[1]Master clients'!F:M,8,0)</f>
        <v>End User</v>
      </c>
      <c r="E454" s="16" t="s">
        <v>1156</v>
      </c>
      <c r="F454" s="16" t="s">
        <v>584</v>
      </c>
      <c r="G454" s="17"/>
      <c r="H454" s="17"/>
      <c r="I454" s="26">
        <v>2</v>
      </c>
      <c r="J454" s="31">
        <v>0</v>
      </c>
      <c r="K454" s="17">
        <v>0</v>
      </c>
      <c r="L454" s="17">
        <v>0</v>
      </c>
      <c r="M454" s="17">
        <v>0</v>
      </c>
      <c r="N454" s="17">
        <v>0</v>
      </c>
      <c r="O454" s="17">
        <v>0</v>
      </c>
      <c r="P454" s="17">
        <v>0</v>
      </c>
      <c r="Q454" s="17">
        <v>0</v>
      </c>
      <c r="R454" s="17">
        <v>0</v>
      </c>
      <c r="S454" s="17">
        <v>0</v>
      </c>
      <c r="T454" s="17">
        <v>0</v>
      </c>
      <c r="U454" s="17">
        <v>0</v>
      </c>
      <c r="V454" s="17">
        <v>0</v>
      </c>
      <c r="W454" s="17">
        <v>0</v>
      </c>
      <c r="X454" s="17">
        <v>0</v>
      </c>
      <c r="Y454" s="17">
        <v>0</v>
      </c>
      <c r="Z454" s="17">
        <v>0</v>
      </c>
      <c r="AA454" s="17">
        <v>0</v>
      </c>
      <c r="AB454" s="17">
        <v>0</v>
      </c>
      <c r="AC454" s="17">
        <v>0</v>
      </c>
      <c r="AD454" s="17">
        <v>0</v>
      </c>
      <c r="AE454" s="17">
        <v>0</v>
      </c>
      <c r="AF454" s="17">
        <v>0</v>
      </c>
      <c r="AG454" s="17">
        <v>0</v>
      </c>
      <c r="AH454" s="17">
        <v>0</v>
      </c>
      <c r="AI454" s="17">
        <v>0</v>
      </c>
      <c r="AJ454" s="17">
        <v>0</v>
      </c>
      <c r="AK454" s="17">
        <v>0</v>
      </c>
      <c r="AL454" s="17">
        <v>0</v>
      </c>
      <c r="AM454" s="17">
        <v>0</v>
      </c>
      <c r="AN454" s="17">
        <v>0</v>
      </c>
      <c r="AO454" s="17">
        <v>0</v>
      </c>
      <c r="AP454" s="17">
        <v>0</v>
      </c>
      <c r="AQ454" s="17">
        <v>0</v>
      </c>
      <c r="AR454" s="17">
        <v>0</v>
      </c>
      <c r="AS454" s="17">
        <v>0</v>
      </c>
      <c r="AT454" s="17">
        <v>0</v>
      </c>
      <c r="AU454" s="17">
        <v>0</v>
      </c>
      <c r="AV454" s="17">
        <v>0</v>
      </c>
      <c r="AW454" s="17">
        <v>0</v>
      </c>
      <c r="AX454" s="17">
        <v>0</v>
      </c>
      <c r="AY454" s="17">
        <v>0</v>
      </c>
      <c r="AZ454" s="17">
        <v>0</v>
      </c>
      <c r="BA454" s="17">
        <v>0</v>
      </c>
      <c r="BB454" s="17">
        <v>0</v>
      </c>
      <c r="BC454" s="17">
        <v>0</v>
      </c>
      <c r="BD454" s="17">
        <v>0</v>
      </c>
      <c r="BE454" s="17">
        <v>0</v>
      </c>
      <c r="BF454" s="17">
        <v>0</v>
      </c>
      <c r="BG454" s="17">
        <v>0</v>
      </c>
      <c r="BH454" s="17">
        <v>0</v>
      </c>
      <c r="BI454" s="22">
        <f t="shared" si="121"/>
        <v>0</v>
      </c>
      <c r="BJ454" s="22">
        <f t="shared" si="122"/>
        <v>0</v>
      </c>
      <c r="BK454" s="22">
        <f t="shared" si="123"/>
        <v>2</v>
      </c>
      <c r="BL454" s="22">
        <f t="shared" si="124"/>
        <v>2</v>
      </c>
      <c r="BM454" s="22">
        <f t="shared" si="126"/>
        <v>0</v>
      </c>
      <c r="BN454" s="23">
        <f t="shared" si="127"/>
        <v>1</v>
      </c>
      <c r="BO454" s="23" t="e">
        <f t="shared" si="127"/>
        <v>#DIV/0!</v>
      </c>
      <c r="BP454" s="7">
        <f>VLOOKUP(A454,[1]Sheet15!B:E,4,0)</f>
        <v>2</v>
      </c>
      <c r="BQ454" s="7">
        <f>VLOOKUP(A454,[1]Sheet15!B:E,3,0)</f>
        <v>0</v>
      </c>
    </row>
    <row r="455" spans="1:69" ht="22.5" customHeight="1" x14ac:dyDescent="0.25">
      <c r="A455" s="15" t="s">
        <v>1157</v>
      </c>
      <c r="B455" s="15" t="e">
        <f>VLOOKUP(A455,'[1]Master clients'!F449:W3996,17,0)</f>
        <v>#N/A</v>
      </c>
      <c r="C455" s="15" t="e">
        <f>VLOOKUP(A455,'[1]Master clients'!F449:P3996,11,0)</f>
        <v>#N/A</v>
      </c>
      <c r="D455" s="15" t="str">
        <f>VLOOKUP(A455,'[1]Master clients'!F:M,8,0)</f>
        <v>End User</v>
      </c>
      <c r="E455" s="24" t="s">
        <v>1158</v>
      </c>
      <c r="F455" s="25" t="s">
        <v>1159</v>
      </c>
      <c r="G455" s="20">
        <v>0</v>
      </c>
      <c r="H455" s="20">
        <v>0</v>
      </c>
      <c r="I455" s="26">
        <v>4</v>
      </c>
      <c r="J455" s="26">
        <v>0</v>
      </c>
      <c r="K455" s="20">
        <v>0</v>
      </c>
      <c r="L455" s="20">
        <v>0</v>
      </c>
      <c r="M455" s="20">
        <v>0</v>
      </c>
      <c r="N455" s="20">
        <v>2</v>
      </c>
      <c r="O455" s="20">
        <v>2</v>
      </c>
      <c r="P455" s="20">
        <v>0</v>
      </c>
      <c r="Q455" s="20">
        <v>0</v>
      </c>
      <c r="R455" s="20">
        <v>0</v>
      </c>
      <c r="S455" s="20">
        <v>0</v>
      </c>
      <c r="T455" s="20">
        <v>0</v>
      </c>
      <c r="U455" s="20">
        <v>0</v>
      </c>
      <c r="V455" s="20">
        <v>0</v>
      </c>
      <c r="W455" s="20">
        <v>0</v>
      </c>
      <c r="X455" s="20">
        <v>0</v>
      </c>
      <c r="Y455" s="20">
        <v>0</v>
      </c>
      <c r="Z455" s="20">
        <v>0</v>
      </c>
      <c r="AA455" s="20">
        <v>0</v>
      </c>
      <c r="AB455" s="20">
        <v>0</v>
      </c>
      <c r="AC455" s="20">
        <v>0</v>
      </c>
      <c r="AD455" s="20">
        <v>0</v>
      </c>
      <c r="AE455" s="20">
        <v>0</v>
      </c>
      <c r="AF455" s="20">
        <v>0</v>
      </c>
      <c r="AG455" s="20">
        <v>0</v>
      </c>
      <c r="AH455" s="20">
        <v>0</v>
      </c>
      <c r="AI455" s="20">
        <v>1</v>
      </c>
      <c r="AJ455" s="20">
        <v>0</v>
      </c>
      <c r="AK455" s="20">
        <v>0</v>
      </c>
      <c r="AL455" s="20">
        <v>0</v>
      </c>
      <c r="AM455" s="20">
        <v>0</v>
      </c>
      <c r="AN455" s="20">
        <v>0</v>
      </c>
      <c r="AO455" s="20">
        <v>0</v>
      </c>
      <c r="AP455" s="20">
        <v>0</v>
      </c>
      <c r="AQ455" s="20">
        <v>0</v>
      </c>
      <c r="AR455" s="20">
        <v>0</v>
      </c>
      <c r="AS455" s="20">
        <v>0</v>
      </c>
      <c r="AT455" s="20">
        <v>0</v>
      </c>
      <c r="AU455" s="19">
        <v>0</v>
      </c>
      <c r="AV455" s="20">
        <v>0</v>
      </c>
      <c r="AW455" s="20">
        <v>0</v>
      </c>
      <c r="AX455" s="20">
        <v>0</v>
      </c>
      <c r="AY455" s="20">
        <v>0</v>
      </c>
      <c r="AZ455" s="20">
        <v>0</v>
      </c>
      <c r="BA455" s="19">
        <v>0</v>
      </c>
      <c r="BB455" s="27">
        <v>0</v>
      </c>
      <c r="BC455" s="19">
        <v>0</v>
      </c>
      <c r="BD455" s="19">
        <v>0</v>
      </c>
      <c r="BE455" s="21">
        <v>0</v>
      </c>
      <c r="BF455" s="21">
        <v>0</v>
      </c>
      <c r="BG455" s="19">
        <v>0</v>
      </c>
      <c r="BH455" s="19">
        <v>0</v>
      </c>
      <c r="BI455" s="22">
        <f t="shared" si="121"/>
        <v>1</v>
      </c>
      <c r="BJ455" s="22">
        <f t="shared" si="122"/>
        <v>4</v>
      </c>
      <c r="BK455" s="28">
        <f t="shared" si="123"/>
        <v>9</v>
      </c>
      <c r="BL455" s="22">
        <f t="shared" si="124"/>
        <v>5</v>
      </c>
      <c r="BM455" s="22">
        <f t="shared" si="126"/>
        <v>4</v>
      </c>
      <c r="BN455" s="23">
        <f t="shared" si="127"/>
        <v>0.8</v>
      </c>
      <c r="BO455" s="23">
        <f t="shared" si="127"/>
        <v>0</v>
      </c>
      <c r="BP455" s="7">
        <f>VLOOKUP(A455,[1]Sheet15!B:E,4,0)</f>
        <v>7</v>
      </c>
      <c r="BQ455" s="7">
        <f>VLOOKUP(A455,[1]Sheet15!B:E,3,0)</f>
        <v>0</v>
      </c>
    </row>
    <row r="456" spans="1:69" ht="22.5" customHeight="1" x14ac:dyDescent="0.25">
      <c r="A456" s="15" t="s">
        <v>1160</v>
      </c>
      <c r="B456" s="15" t="str">
        <f>VLOOKUP(A456,'[1]Master clients'!F450:W3997,17,0)</f>
        <v>Apr</v>
      </c>
      <c r="C456" s="15" t="str">
        <f>VLOOKUP(A456,'[1]Master clients'!F450:P3997,11,0)</f>
        <v>NI</v>
      </c>
      <c r="D456" s="15" t="str">
        <f>VLOOKUP(A456,'[1]Master clients'!F:M,8,0)</f>
        <v>End User</v>
      </c>
      <c r="E456" s="16" t="s">
        <v>1161</v>
      </c>
      <c r="F456" s="16" t="s">
        <v>1162</v>
      </c>
      <c r="G456" s="17"/>
      <c r="H456" s="17"/>
      <c r="I456" s="26">
        <v>39</v>
      </c>
      <c r="J456" s="31">
        <v>0</v>
      </c>
      <c r="K456" s="17">
        <v>0</v>
      </c>
      <c r="L456" s="17">
        <v>0</v>
      </c>
      <c r="M456" s="17">
        <v>0</v>
      </c>
      <c r="N456" s="17">
        <v>0</v>
      </c>
      <c r="O456" s="17">
        <v>0</v>
      </c>
      <c r="P456" s="17">
        <v>0</v>
      </c>
      <c r="Q456" s="17">
        <v>0</v>
      </c>
      <c r="R456" s="17">
        <v>0</v>
      </c>
      <c r="S456" s="17">
        <v>0</v>
      </c>
      <c r="T456" s="17">
        <v>0</v>
      </c>
      <c r="U456" s="17">
        <v>0</v>
      </c>
      <c r="V456" s="17">
        <v>0</v>
      </c>
      <c r="W456" s="17">
        <v>0</v>
      </c>
      <c r="X456" s="17">
        <v>0</v>
      </c>
      <c r="Y456" s="17">
        <v>0</v>
      </c>
      <c r="Z456" s="17">
        <v>0</v>
      </c>
      <c r="AA456" s="17">
        <v>0</v>
      </c>
      <c r="AB456" s="17">
        <v>0</v>
      </c>
      <c r="AC456" s="17">
        <v>0</v>
      </c>
      <c r="AD456" s="17">
        <v>0</v>
      </c>
      <c r="AE456" s="17">
        <v>0</v>
      </c>
      <c r="AF456" s="17">
        <v>0</v>
      </c>
      <c r="AG456" s="17">
        <v>0</v>
      </c>
      <c r="AH456" s="17">
        <v>0</v>
      </c>
      <c r="AI456" s="17">
        <v>0</v>
      </c>
      <c r="AJ456" s="17">
        <v>0</v>
      </c>
      <c r="AK456" s="17">
        <v>0</v>
      </c>
      <c r="AL456" s="17">
        <v>0</v>
      </c>
      <c r="AM456" s="17">
        <v>0</v>
      </c>
      <c r="AN456" s="17">
        <v>0</v>
      </c>
      <c r="AO456" s="17">
        <v>0</v>
      </c>
      <c r="AP456" s="17">
        <v>0</v>
      </c>
      <c r="AQ456" s="17">
        <v>0</v>
      </c>
      <c r="AR456" s="17">
        <v>0</v>
      </c>
      <c r="AS456" s="17">
        <v>0</v>
      </c>
      <c r="AT456" s="17">
        <v>0</v>
      </c>
      <c r="AU456" s="17">
        <v>0</v>
      </c>
      <c r="AV456" s="17">
        <v>0</v>
      </c>
      <c r="AW456" s="17">
        <v>0</v>
      </c>
      <c r="AX456" s="17">
        <v>0</v>
      </c>
      <c r="AY456" s="17">
        <v>0</v>
      </c>
      <c r="AZ456" s="17">
        <v>0</v>
      </c>
      <c r="BA456" s="17">
        <v>0</v>
      </c>
      <c r="BB456" s="17">
        <v>0</v>
      </c>
      <c r="BC456" s="17">
        <v>0</v>
      </c>
      <c r="BD456" s="17">
        <v>0</v>
      </c>
      <c r="BE456" s="17">
        <v>0</v>
      </c>
      <c r="BF456" s="17">
        <v>0</v>
      </c>
      <c r="BG456" s="17">
        <v>0</v>
      </c>
      <c r="BH456" s="17">
        <v>0</v>
      </c>
      <c r="BI456" s="22">
        <f t="shared" si="121"/>
        <v>0</v>
      </c>
      <c r="BJ456" s="22">
        <f t="shared" si="122"/>
        <v>0</v>
      </c>
      <c r="BK456" s="28">
        <f t="shared" si="123"/>
        <v>39</v>
      </c>
      <c r="BL456" s="22">
        <f t="shared" si="124"/>
        <v>39</v>
      </c>
      <c r="BM456" s="22">
        <f t="shared" si="126"/>
        <v>0</v>
      </c>
      <c r="BN456" s="23">
        <f t="shared" si="127"/>
        <v>1</v>
      </c>
      <c r="BO456" s="23" t="e">
        <f t="shared" si="127"/>
        <v>#DIV/0!</v>
      </c>
      <c r="BP456" s="7">
        <f>VLOOKUP(A456,[1]Sheet15!B:E,4,0)</f>
        <v>39</v>
      </c>
      <c r="BQ456" s="7">
        <f>VLOOKUP(A456,[1]Sheet15!B:E,3,0)</f>
        <v>0</v>
      </c>
    </row>
    <row r="457" spans="1:69" ht="22.5" customHeight="1" x14ac:dyDescent="0.25">
      <c r="A457" s="15" t="s">
        <v>1163</v>
      </c>
      <c r="B457" s="15" t="e">
        <f>VLOOKUP(A457,'[1]Master clients'!F451:W3998,17,0)</f>
        <v>#N/A</v>
      </c>
      <c r="C457" s="15" t="e">
        <f>VLOOKUP(A457,'[1]Master clients'!F451:P3998,11,0)</f>
        <v>#N/A</v>
      </c>
      <c r="D457" s="15" t="str">
        <f>VLOOKUP(A457,'[1]Master clients'!F:M,8,0)</f>
        <v>Group (Mills)</v>
      </c>
      <c r="E457" s="24" t="s">
        <v>1164</v>
      </c>
      <c r="F457" s="25" t="s">
        <v>1165</v>
      </c>
      <c r="G457" s="20">
        <v>0</v>
      </c>
      <c r="H457" s="20">
        <v>0</v>
      </c>
      <c r="I457" s="26">
        <v>16</v>
      </c>
      <c r="J457" s="26">
        <v>0</v>
      </c>
      <c r="K457" s="20">
        <v>0</v>
      </c>
      <c r="L457" s="20">
        <v>0</v>
      </c>
      <c r="M457" s="20">
        <v>0</v>
      </c>
      <c r="N457" s="20">
        <v>0</v>
      </c>
      <c r="O457" s="20">
        <v>0</v>
      </c>
      <c r="P457" s="20">
        <v>0</v>
      </c>
      <c r="Q457" s="20">
        <v>0</v>
      </c>
      <c r="R457" s="20">
        <v>0</v>
      </c>
      <c r="S457" s="20">
        <v>0</v>
      </c>
      <c r="T457" s="20">
        <v>0</v>
      </c>
      <c r="U457" s="20">
        <v>0</v>
      </c>
      <c r="V457" s="20">
        <v>0</v>
      </c>
      <c r="W457" s="20">
        <v>0</v>
      </c>
      <c r="X457" s="20">
        <v>9</v>
      </c>
      <c r="Y457" s="20">
        <v>0</v>
      </c>
      <c r="Z457" s="20">
        <v>0</v>
      </c>
      <c r="AA457" s="20">
        <v>0</v>
      </c>
      <c r="AB457" s="20">
        <v>0</v>
      </c>
      <c r="AC457" s="20">
        <v>0</v>
      </c>
      <c r="AD457" s="20">
        <v>0</v>
      </c>
      <c r="AE457" s="20">
        <v>0</v>
      </c>
      <c r="AF457" s="20">
        <v>0</v>
      </c>
      <c r="AG457" s="20">
        <v>0</v>
      </c>
      <c r="AH457" s="20">
        <v>0</v>
      </c>
      <c r="AI457" s="20">
        <v>0</v>
      </c>
      <c r="AJ457" s="20">
        <v>0</v>
      </c>
      <c r="AK457" s="20">
        <v>0</v>
      </c>
      <c r="AL457" s="20">
        <v>0</v>
      </c>
      <c r="AM457" s="20">
        <v>0</v>
      </c>
      <c r="AN457" s="20">
        <v>0</v>
      </c>
      <c r="AO457" s="20">
        <v>0</v>
      </c>
      <c r="AP457" s="20">
        <v>0</v>
      </c>
      <c r="AQ457" s="20">
        <v>0</v>
      </c>
      <c r="AR457" s="20">
        <v>0</v>
      </c>
      <c r="AS457" s="20">
        <v>0</v>
      </c>
      <c r="AT457" s="20">
        <v>0</v>
      </c>
      <c r="AU457" s="20">
        <v>0</v>
      </c>
      <c r="AV457" s="20">
        <v>0</v>
      </c>
      <c r="AW457" s="20">
        <v>0</v>
      </c>
      <c r="AX457" s="20">
        <v>0</v>
      </c>
      <c r="AY457" s="20">
        <v>0</v>
      </c>
      <c r="AZ457" s="20">
        <v>0</v>
      </c>
      <c r="BA457" s="20">
        <v>0</v>
      </c>
      <c r="BB457" s="27">
        <v>0</v>
      </c>
      <c r="BC457" s="20">
        <v>0</v>
      </c>
      <c r="BD457" s="20">
        <v>0</v>
      </c>
      <c r="BE457" s="21">
        <v>0</v>
      </c>
      <c r="BF457" s="21">
        <v>0</v>
      </c>
      <c r="BG457" s="20">
        <v>0</v>
      </c>
      <c r="BH457" s="20">
        <v>0</v>
      </c>
      <c r="BI457" s="22">
        <f t="shared" si="121"/>
        <v>0</v>
      </c>
      <c r="BJ457" s="22">
        <f t="shared" si="122"/>
        <v>9</v>
      </c>
      <c r="BK457" s="28">
        <f t="shared" si="123"/>
        <v>25</v>
      </c>
      <c r="BL457" s="22">
        <f t="shared" si="124"/>
        <v>16</v>
      </c>
      <c r="BM457" s="22">
        <f t="shared" si="126"/>
        <v>9</v>
      </c>
      <c r="BN457" s="23">
        <f t="shared" si="127"/>
        <v>1</v>
      </c>
      <c r="BO457" s="23">
        <f t="shared" si="127"/>
        <v>0</v>
      </c>
      <c r="BP457" s="7">
        <f>VLOOKUP(A457,[1]Sheet15!B:E,4,0)</f>
        <v>16</v>
      </c>
      <c r="BQ457" s="7">
        <f>VLOOKUP(A457,[1]Sheet15!B:E,3,0)</f>
        <v>0</v>
      </c>
    </row>
    <row r="458" spans="1:69" ht="22.5" customHeight="1" x14ac:dyDescent="0.25">
      <c r="A458" s="15" t="s">
        <v>1166</v>
      </c>
      <c r="B458" s="15" t="e">
        <f>VLOOKUP(A458,'[1]Master clients'!F452:W3999,17,0)</f>
        <v>#N/A</v>
      </c>
      <c r="C458" s="15" t="e">
        <f>VLOOKUP(A458,'[1]Master clients'!F452:P3999,11,0)</f>
        <v>#N/A</v>
      </c>
      <c r="D458" s="15" t="str">
        <f>VLOOKUP(A458,'[1]Master clients'!F:M,8,0)</f>
        <v>Group (Mills)</v>
      </c>
      <c r="E458" s="24" t="s">
        <v>1167</v>
      </c>
      <c r="F458" s="25" t="s">
        <v>1165</v>
      </c>
      <c r="G458" s="20">
        <v>0</v>
      </c>
      <c r="H458" s="20">
        <v>0</v>
      </c>
      <c r="I458" s="26">
        <v>2</v>
      </c>
      <c r="J458" s="26">
        <v>0</v>
      </c>
      <c r="K458" s="20">
        <v>13</v>
      </c>
      <c r="L458" s="20">
        <v>0</v>
      </c>
      <c r="M458" s="20">
        <v>0</v>
      </c>
      <c r="N458" s="20">
        <v>0</v>
      </c>
      <c r="O458" s="20">
        <v>6</v>
      </c>
      <c r="P458" s="20">
        <v>0</v>
      </c>
      <c r="Q458" s="20">
        <v>5</v>
      </c>
      <c r="R458" s="20">
        <v>0</v>
      </c>
      <c r="S458" s="20">
        <v>0</v>
      </c>
      <c r="T458" s="20">
        <v>0</v>
      </c>
      <c r="U458" s="20">
        <v>0</v>
      </c>
      <c r="V458" s="20">
        <v>0</v>
      </c>
      <c r="W458" s="20">
        <v>0</v>
      </c>
      <c r="X458" s="20">
        <v>0</v>
      </c>
      <c r="Y458" s="20">
        <v>0</v>
      </c>
      <c r="Z458" s="20">
        <v>0</v>
      </c>
      <c r="AA458" s="20">
        <v>0</v>
      </c>
      <c r="AB458" s="20">
        <v>0</v>
      </c>
      <c r="AC458" s="20">
        <v>0</v>
      </c>
      <c r="AD458" s="20">
        <v>0</v>
      </c>
      <c r="AE458" s="20">
        <v>0</v>
      </c>
      <c r="AF458" s="20">
        <v>0</v>
      </c>
      <c r="AG458" s="20">
        <v>0</v>
      </c>
      <c r="AH458" s="20">
        <v>0</v>
      </c>
      <c r="AI458" s="20">
        <v>0</v>
      </c>
      <c r="AJ458" s="20">
        <v>0</v>
      </c>
      <c r="AK458" s="20">
        <v>2</v>
      </c>
      <c r="AL458" s="20">
        <v>0</v>
      </c>
      <c r="AM458" s="20">
        <v>0</v>
      </c>
      <c r="AN458" s="20">
        <v>0</v>
      </c>
      <c r="AO458" s="20">
        <v>0</v>
      </c>
      <c r="AP458" s="20">
        <v>0</v>
      </c>
      <c r="AQ458" s="20">
        <v>0</v>
      </c>
      <c r="AR458" s="20">
        <v>0</v>
      </c>
      <c r="AS458" s="20">
        <v>0</v>
      </c>
      <c r="AT458" s="20">
        <v>0</v>
      </c>
      <c r="AU458" s="19">
        <v>0</v>
      </c>
      <c r="AV458" s="20">
        <v>0</v>
      </c>
      <c r="AW458" s="20">
        <v>0</v>
      </c>
      <c r="AX458" s="20">
        <v>0</v>
      </c>
      <c r="AY458" s="20">
        <v>0</v>
      </c>
      <c r="AZ458" s="20">
        <v>0</v>
      </c>
      <c r="BA458" s="19">
        <v>0</v>
      </c>
      <c r="BB458" s="27">
        <v>0</v>
      </c>
      <c r="BC458" s="19">
        <v>0</v>
      </c>
      <c r="BD458" s="19">
        <v>0</v>
      </c>
      <c r="BE458" s="21">
        <v>0</v>
      </c>
      <c r="BF458" s="21">
        <v>0</v>
      </c>
      <c r="BG458" s="19">
        <v>0</v>
      </c>
      <c r="BH458" s="19">
        <v>0</v>
      </c>
      <c r="BI458" s="22">
        <f t="shared" si="121"/>
        <v>15</v>
      </c>
      <c r="BJ458" s="22">
        <f t="shared" si="122"/>
        <v>11</v>
      </c>
      <c r="BK458" s="28">
        <f t="shared" si="123"/>
        <v>28</v>
      </c>
      <c r="BL458" s="22">
        <f t="shared" si="124"/>
        <v>17</v>
      </c>
      <c r="BM458" s="22">
        <f t="shared" si="126"/>
        <v>11</v>
      </c>
      <c r="BN458" s="23">
        <f t="shared" si="127"/>
        <v>0.11764705882352941</v>
      </c>
      <c r="BO458" s="23">
        <f t="shared" si="127"/>
        <v>0</v>
      </c>
      <c r="BP458" s="7">
        <f>VLOOKUP(A458,[1]Sheet15!B:E,4,0)</f>
        <v>4</v>
      </c>
      <c r="BQ458" s="7">
        <f>VLOOKUP(A458,[1]Sheet15!B:E,3,0)</f>
        <v>0</v>
      </c>
    </row>
    <row r="459" spans="1:69" ht="22.5" customHeight="1" x14ac:dyDescent="0.25">
      <c r="A459" s="15" t="s">
        <v>1168</v>
      </c>
      <c r="B459" s="15" t="str">
        <f>VLOOKUP(A459,'[1]Master clients'!F453:W4000,17,0)</f>
        <v>May</v>
      </c>
      <c r="C459" s="15" t="str">
        <f>VLOOKUP(A459,'[1]Master clients'!F453:P4000,11,0)</f>
        <v>NI</v>
      </c>
      <c r="D459" s="15" t="str">
        <f>VLOOKUP(A459,'[1]Master clients'!F:M,8,0)</f>
        <v>End User</v>
      </c>
      <c r="E459" s="24" t="s">
        <v>1169</v>
      </c>
      <c r="F459" s="25" t="s">
        <v>1165</v>
      </c>
      <c r="G459" s="20">
        <v>0</v>
      </c>
      <c r="H459" s="20">
        <v>0</v>
      </c>
      <c r="I459" s="26">
        <v>8</v>
      </c>
      <c r="J459" s="26">
        <v>0</v>
      </c>
      <c r="K459" s="20">
        <v>8</v>
      </c>
      <c r="L459" s="20">
        <v>0</v>
      </c>
      <c r="M459" s="20">
        <v>0</v>
      </c>
      <c r="N459" s="20">
        <v>3</v>
      </c>
      <c r="O459" s="20">
        <v>0</v>
      </c>
      <c r="P459" s="20">
        <v>0</v>
      </c>
      <c r="Q459" s="20">
        <v>3</v>
      </c>
      <c r="R459" s="20">
        <v>0</v>
      </c>
      <c r="S459" s="20">
        <v>0</v>
      </c>
      <c r="T459" s="20">
        <v>0</v>
      </c>
      <c r="U459" s="20">
        <v>0</v>
      </c>
      <c r="V459" s="20">
        <v>0</v>
      </c>
      <c r="W459" s="20">
        <v>0</v>
      </c>
      <c r="X459" s="20">
        <v>0</v>
      </c>
      <c r="Y459" s="20">
        <v>0</v>
      </c>
      <c r="Z459" s="20">
        <v>0</v>
      </c>
      <c r="AA459" s="20">
        <v>0</v>
      </c>
      <c r="AB459" s="20">
        <v>0</v>
      </c>
      <c r="AC459" s="20">
        <v>0</v>
      </c>
      <c r="AD459" s="20">
        <v>0</v>
      </c>
      <c r="AE459" s="20">
        <v>0</v>
      </c>
      <c r="AF459" s="20">
        <v>0</v>
      </c>
      <c r="AG459" s="20">
        <v>0</v>
      </c>
      <c r="AH459" s="20">
        <v>0</v>
      </c>
      <c r="AI459" s="20">
        <v>0</v>
      </c>
      <c r="AJ459" s="20">
        <v>0</v>
      </c>
      <c r="AK459" s="20">
        <v>2</v>
      </c>
      <c r="AL459" s="20">
        <v>0</v>
      </c>
      <c r="AM459" s="20">
        <v>0</v>
      </c>
      <c r="AN459" s="20">
        <v>0</v>
      </c>
      <c r="AO459" s="20">
        <v>0</v>
      </c>
      <c r="AP459" s="20">
        <v>0</v>
      </c>
      <c r="AQ459" s="20">
        <v>0</v>
      </c>
      <c r="AR459" s="20">
        <v>0</v>
      </c>
      <c r="AS459" s="20">
        <v>0</v>
      </c>
      <c r="AT459" s="20">
        <v>0</v>
      </c>
      <c r="AU459" s="20">
        <v>0</v>
      </c>
      <c r="AV459" s="20">
        <v>0</v>
      </c>
      <c r="AW459" s="20">
        <v>0</v>
      </c>
      <c r="AX459" s="20">
        <v>0</v>
      </c>
      <c r="AY459" s="20">
        <v>0</v>
      </c>
      <c r="AZ459" s="20">
        <v>0</v>
      </c>
      <c r="BA459" s="20">
        <v>0</v>
      </c>
      <c r="BB459" s="27">
        <v>0</v>
      </c>
      <c r="BC459" s="20">
        <v>0</v>
      </c>
      <c r="BD459" s="20">
        <v>0</v>
      </c>
      <c r="BE459" s="21">
        <v>0</v>
      </c>
      <c r="BF459" s="21">
        <v>0</v>
      </c>
      <c r="BG459" s="20">
        <v>0</v>
      </c>
      <c r="BH459" s="20">
        <v>0</v>
      </c>
      <c r="BI459" s="22">
        <f t="shared" si="121"/>
        <v>10</v>
      </c>
      <c r="BJ459" s="22">
        <f t="shared" si="122"/>
        <v>6</v>
      </c>
      <c r="BK459" s="28">
        <f t="shared" si="123"/>
        <v>24</v>
      </c>
      <c r="BL459" s="22">
        <f t="shared" si="124"/>
        <v>18</v>
      </c>
      <c r="BM459" s="22">
        <f t="shared" si="126"/>
        <v>6</v>
      </c>
      <c r="BN459" s="23">
        <f t="shared" si="127"/>
        <v>0.44444444444444442</v>
      </c>
      <c r="BO459" s="23">
        <f t="shared" si="127"/>
        <v>0</v>
      </c>
      <c r="BP459" s="7">
        <f>VLOOKUP(A459,[1]Sheet15!B:E,4,0)</f>
        <v>8</v>
      </c>
      <c r="BQ459" s="7">
        <f>VLOOKUP(A459,[1]Sheet15!B:E,3,0)</f>
        <v>0</v>
      </c>
    </row>
    <row r="460" spans="1:69" ht="22.5" customHeight="1" x14ac:dyDescent="0.25">
      <c r="A460" s="15" t="s">
        <v>1170</v>
      </c>
      <c r="B460" s="15" t="str">
        <f>VLOOKUP(A460,'[1]Master clients'!F454:W4001,17,0)</f>
        <v>May</v>
      </c>
      <c r="C460" s="15" t="str">
        <f>VLOOKUP(A460,'[1]Master clients'!F454:P4001,11,0)</f>
        <v>NI</v>
      </c>
      <c r="D460" s="15" t="str">
        <f>VLOOKUP(A460,'[1]Master clients'!F:M,8,0)</f>
        <v>Group (Mills)</v>
      </c>
      <c r="E460" s="24" t="s">
        <v>1171</v>
      </c>
      <c r="F460" s="25" t="s">
        <v>1165</v>
      </c>
      <c r="G460" s="20">
        <v>0</v>
      </c>
      <c r="H460" s="20">
        <v>0</v>
      </c>
      <c r="I460" s="26">
        <v>25</v>
      </c>
      <c r="J460" s="26">
        <v>0</v>
      </c>
      <c r="K460" s="20">
        <v>0</v>
      </c>
      <c r="L460" s="20">
        <v>0</v>
      </c>
      <c r="M460" s="20">
        <v>0</v>
      </c>
      <c r="N460" s="20">
        <v>6</v>
      </c>
      <c r="O460" s="20">
        <v>0</v>
      </c>
      <c r="P460" s="20">
        <v>0</v>
      </c>
      <c r="Q460" s="20">
        <v>5</v>
      </c>
      <c r="R460" s="20">
        <v>0</v>
      </c>
      <c r="S460" s="20">
        <v>0</v>
      </c>
      <c r="T460" s="20">
        <v>0</v>
      </c>
      <c r="U460" s="20">
        <v>0</v>
      </c>
      <c r="V460" s="20">
        <v>0</v>
      </c>
      <c r="W460" s="20">
        <v>0</v>
      </c>
      <c r="X460" s="20">
        <v>0</v>
      </c>
      <c r="Y460" s="20">
        <v>0</v>
      </c>
      <c r="Z460" s="20">
        <v>0</v>
      </c>
      <c r="AA460" s="20">
        <v>0</v>
      </c>
      <c r="AB460" s="20">
        <v>0</v>
      </c>
      <c r="AC460" s="20">
        <v>0</v>
      </c>
      <c r="AD460" s="20">
        <v>0</v>
      </c>
      <c r="AE460" s="20">
        <v>0</v>
      </c>
      <c r="AF460" s="20">
        <v>0</v>
      </c>
      <c r="AG460" s="20">
        <v>0</v>
      </c>
      <c r="AH460" s="20">
        <v>0</v>
      </c>
      <c r="AI460" s="20">
        <v>0</v>
      </c>
      <c r="AJ460" s="20">
        <v>0</v>
      </c>
      <c r="AK460" s="20">
        <v>0</v>
      </c>
      <c r="AL460" s="20">
        <v>0</v>
      </c>
      <c r="AM460" s="20">
        <v>0</v>
      </c>
      <c r="AN460" s="20">
        <v>0</v>
      </c>
      <c r="AO460" s="20">
        <v>0</v>
      </c>
      <c r="AP460" s="20">
        <v>0</v>
      </c>
      <c r="AQ460" s="20">
        <v>0</v>
      </c>
      <c r="AR460" s="20">
        <v>0</v>
      </c>
      <c r="AS460" s="20">
        <v>0</v>
      </c>
      <c r="AT460" s="20">
        <v>0</v>
      </c>
      <c r="AU460" s="20">
        <v>0</v>
      </c>
      <c r="AV460" s="20">
        <v>0</v>
      </c>
      <c r="AW460" s="20">
        <v>0</v>
      </c>
      <c r="AX460" s="20">
        <v>0</v>
      </c>
      <c r="AY460" s="20">
        <v>0</v>
      </c>
      <c r="AZ460" s="20">
        <v>0</v>
      </c>
      <c r="BA460" s="20">
        <v>0</v>
      </c>
      <c r="BB460" s="27">
        <v>0</v>
      </c>
      <c r="BC460" s="20">
        <v>0</v>
      </c>
      <c r="BD460" s="20">
        <v>0</v>
      </c>
      <c r="BE460" s="21">
        <v>0</v>
      </c>
      <c r="BF460" s="21">
        <v>0</v>
      </c>
      <c r="BG460" s="20">
        <v>0</v>
      </c>
      <c r="BH460" s="20">
        <v>0</v>
      </c>
      <c r="BI460" s="22">
        <f t="shared" si="121"/>
        <v>0</v>
      </c>
      <c r="BJ460" s="22">
        <f t="shared" si="122"/>
        <v>11</v>
      </c>
      <c r="BK460" s="28">
        <f t="shared" si="123"/>
        <v>36</v>
      </c>
      <c r="BL460" s="22">
        <f t="shared" si="124"/>
        <v>25</v>
      </c>
      <c r="BM460" s="22">
        <f t="shared" si="126"/>
        <v>11</v>
      </c>
      <c r="BN460" s="23">
        <f t="shared" si="127"/>
        <v>1</v>
      </c>
      <c r="BO460" s="23">
        <f t="shared" si="127"/>
        <v>0</v>
      </c>
      <c r="BP460" s="7">
        <f>VLOOKUP(A460,[1]Sheet15!B:E,4,0)</f>
        <v>15</v>
      </c>
      <c r="BQ460" s="7">
        <f>VLOOKUP(A460,[1]Sheet15!B:E,3,0)</f>
        <v>0</v>
      </c>
    </row>
    <row r="461" spans="1:69" ht="22.5" customHeight="1" x14ac:dyDescent="0.25">
      <c r="A461" s="15" t="s">
        <v>1172</v>
      </c>
      <c r="B461" s="15">
        <f>VLOOKUP(A461,'[1]Master clients'!F455:W4002,17,0)</f>
        <v>0</v>
      </c>
      <c r="C461" s="15" t="str">
        <f>VLOOKUP(A461,'[1]Master clients'!F455:P4002,11,0)</f>
        <v>NI</v>
      </c>
      <c r="D461" s="15" t="str">
        <f>VLOOKUP(A461,'[1]Master clients'!F:M,8,0)</f>
        <v>End User</v>
      </c>
      <c r="E461" s="16" t="s">
        <v>1173</v>
      </c>
      <c r="F461" s="16" t="s">
        <v>1174</v>
      </c>
      <c r="G461" s="17"/>
      <c r="H461" s="17"/>
      <c r="I461" s="26">
        <v>1</v>
      </c>
      <c r="J461" s="31">
        <v>0</v>
      </c>
      <c r="K461" s="17">
        <v>0</v>
      </c>
      <c r="L461" s="17">
        <v>0</v>
      </c>
      <c r="M461" s="17">
        <v>0</v>
      </c>
      <c r="N461" s="17">
        <v>0</v>
      </c>
      <c r="O461" s="17">
        <v>0</v>
      </c>
      <c r="P461" s="17">
        <v>0</v>
      </c>
      <c r="Q461" s="17">
        <v>0</v>
      </c>
      <c r="R461" s="17">
        <v>0</v>
      </c>
      <c r="S461" s="17">
        <v>0</v>
      </c>
      <c r="T461" s="17">
        <v>0</v>
      </c>
      <c r="U461" s="17">
        <v>0</v>
      </c>
      <c r="V461" s="17">
        <v>0</v>
      </c>
      <c r="W461" s="17">
        <v>0</v>
      </c>
      <c r="X461" s="17">
        <v>0</v>
      </c>
      <c r="Y461" s="17">
        <v>0</v>
      </c>
      <c r="Z461" s="17">
        <v>0</v>
      </c>
      <c r="AA461" s="17">
        <v>0</v>
      </c>
      <c r="AB461" s="17">
        <v>0</v>
      </c>
      <c r="AC461" s="17">
        <v>0</v>
      </c>
      <c r="AD461" s="17">
        <v>0</v>
      </c>
      <c r="AE461" s="17">
        <v>0</v>
      </c>
      <c r="AF461" s="17">
        <v>0</v>
      </c>
      <c r="AG461" s="17">
        <v>0</v>
      </c>
      <c r="AH461" s="17">
        <v>0</v>
      </c>
      <c r="AI461" s="17">
        <v>0</v>
      </c>
      <c r="AJ461" s="17">
        <v>0</v>
      </c>
      <c r="AK461" s="17">
        <v>0</v>
      </c>
      <c r="AL461" s="17">
        <v>0</v>
      </c>
      <c r="AM461" s="17">
        <v>0</v>
      </c>
      <c r="AN461" s="17">
        <v>0</v>
      </c>
      <c r="AO461" s="17">
        <v>0</v>
      </c>
      <c r="AP461" s="17">
        <v>0</v>
      </c>
      <c r="AQ461" s="17">
        <v>0</v>
      </c>
      <c r="AR461" s="17">
        <v>0</v>
      </c>
      <c r="AS461" s="17">
        <v>0</v>
      </c>
      <c r="AT461" s="17">
        <v>0</v>
      </c>
      <c r="AU461" s="17">
        <v>0</v>
      </c>
      <c r="AV461" s="17">
        <v>0</v>
      </c>
      <c r="AW461" s="17">
        <v>0</v>
      </c>
      <c r="AX461" s="17">
        <v>0</v>
      </c>
      <c r="AY461" s="17">
        <v>0</v>
      </c>
      <c r="AZ461" s="17">
        <v>0</v>
      </c>
      <c r="BA461" s="17">
        <v>0</v>
      </c>
      <c r="BB461" s="17">
        <v>0</v>
      </c>
      <c r="BC461" s="17">
        <v>0</v>
      </c>
      <c r="BD461" s="17">
        <v>0</v>
      </c>
      <c r="BE461" s="17">
        <v>0</v>
      </c>
      <c r="BF461" s="17">
        <v>0</v>
      </c>
      <c r="BG461" s="17">
        <v>0</v>
      </c>
      <c r="BH461" s="17">
        <v>0</v>
      </c>
      <c r="BI461" s="22">
        <f t="shared" si="121"/>
        <v>0</v>
      </c>
      <c r="BJ461" s="22">
        <f t="shared" si="122"/>
        <v>0</v>
      </c>
      <c r="BK461" s="22">
        <f t="shared" si="123"/>
        <v>1</v>
      </c>
      <c r="BL461" s="22">
        <f t="shared" si="124"/>
        <v>1</v>
      </c>
      <c r="BM461" s="22">
        <f t="shared" si="126"/>
        <v>0</v>
      </c>
      <c r="BN461" s="23">
        <f t="shared" si="127"/>
        <v>1</v>
      </c>
      <c r="BO461" s="23" t="e">
        <f t="shared" si="127"/>
        <v>#DIV/0!</v>
      </c>
      <c r="BP461" s="7">
        <f>VLOOKUP(A461,[1]Sheet15!B:E,4,0)</f>
        <v>1</v>
      </c>
      <c r="BQ461" s="7">
        <f>VLOOKUP(A461,[1]Sheet15!B:E,3,0)</f>
        <v>0</v>
      </c>
    </row>
    <row r="462" spans="1:69" ht="22.5" customHeight="1" x14ac:dyDescent="0.25">
      <c r="A462" s="15" t="s">
        <v>1175</v>
      </c>
      <c r="B462" s="15">
        <f>VLOOKUP(A462,'[1]Master clients'!F456:W4003,17,0)</f>
        <v>0</v>
      </c>
      <c r="C462" s="15" t="str">
        <f>VLOOKUP(A462,'[1]Master clients'!F456:P4003,11,0)</f>
        <v>NI</v>
      </c>
      <c r="D462" s="15" t="str">
        <f>VLOOKUP(A462,'[1]Master clients'!F:M,8,0)</f>
        <v>Group (Mills)</v>
      </c>
      <c r="E462" s="24" t="s">
        <v>1176</v>
      </c>
      <c r="F462" s="25" t="s">
        <v>1174</v>
      </c>
      <c r="G462" s="20">
        <v>0</v>
      </c>
      <c r="H462" s="20">
        <v>0</v>
      </c>
      <c r="I462" s="26">
        <v>35</v>
      </c>
      <c r="J462" s="26">
        <v>0</v>
      </c>
      <c r="K462" s="20">
        <v>0</v>
      </c>
      <c r="L462" s="20">
        <v>0</v>
      </c>
      <c r="M462" s="20">
        <v>0</v>
      </c>
      <c r="N462" s="20">
        <v>0</v>
      </c>
      <c r="O462" s="20">
        <v>0</v>
      </c>
      <c r="P462" s="20">
        <v>0</v>
      </c>
      <c r="Q462" s="20">
        <v>0</v>
      </c>
      <c r="R462" s="20">
        <v>0</v>
      </c>
      <c r="S462" s="20">
        <v>0</v>
      </c>
      <c r="T462" s="20">
        <v>0</v>
      </c>
      <c r="U462" s="20">
        <v>0</v>
      </c>
      <c r="V462" s="20">
        <v>0</v>
      </c>
      <c r="W462" s="20">
        <v>0</v>
      </c>
      <c r="X462" s="20">
        <v>0</v>
      </c>
      <c r="Y462" s="20">
        <v>0</v>
      </c>
      <c r="Z462" s="20">
        <v>0</v>
      </c>
      <c r="AA462" s="20">
        <v>0</v>
      </c>
      <c r="AB462" s="20">
        <v>0</v>
      </c>
      <c r="AC462" s="20">
        <v>0</v>
      </c>
      <c r="AD462" s="20">
        <v>0</v>
      </c>
      <c r="AE462" s="20">
        <v>0</v>
      </c>
      <c r="AF462" s="20">
        <v>0</v>
      </c>
      <c r="AG462" s="20">
        <v>0</v>
      </c>
      <c r="AH462" s="20">
        <v>0</v>
      </c>
      <c r="AI462" s="20">
        <v>0</v>
      </c>
      <c r="AJ462" s="20">
        <v>0</v>
      </c>
      <c r="AK462" s="20">
        <v>0</v>
      </c>
      <c r="AL462" s="20">
        <v>0</v>
      </c>
      <c r="AM462" s="20">
        <v>0</v>
      </c>
      <c r="AN462" s="20">
        <v>0</v>
      </c>
      <c r="AO462" s="20">
        <v>0</v>
      </c>
      <c r="AP462" s="20">
        <v>0</v>
      </c>
      <c r="AQ462" s="20">
        <v>0</v>
      </c>
      <c r="AR462" s="20">
        <v>0</v>
      </c>
      <c r="AS462" s="20">
        <v>0</v>
      </c>
      <c r="AT462" s="20">
        <v>0</v>
      </c>
      <c r="AU462" s="20">
        <v>0</v>
      </c>
      <c r="AV462" s="20">
        <v>0</v>
      </c>
      <c r="AW462" s="20">
        <v>0</v>
      </c>
      <c r="AX462" s="20">
        <v>0</v>
      </c>
      <c r="AY462" s="20">
        <v>0</v>
      </c>
      <c r="AZ462" s="20">
        <v>0</v>
      </c>
      <c r="BA462" s="20">
        <v>0</v>
      </c>
      <c r="BB462" s="27">
        <v>0</v>
      </c>
      <c r="BC462" s="20">
        <v>0</v>
      </c>
      <c r="BD462" s="20">
        <v>0</v>
      </c>
      <c r="BE462" s="21">
        <v>0</v>
      </c>
      <c r="BF462" s="21">
        <v>0</v>
      </c>
      <c r="BG462" s="20">
        <v>0</v>
      </c>
      <c r="BH462" s="20">
        <v>0</v>
      </c>
      <c r="BI462" s="22">
        <f t="shared" si="121"/>
        <v>0</v>
      </c>
      <c r="BJ462" s="22">
        <f t="shared" si="122"/>
        <v>0</v>
      </c>
      <c r="BK462" s="28">
        <f t="shared" si="123"/>
        <v>35</v>
      </c>
      <c r="BL462" s="22">
        <f t="shared" si="124"/>
        <v>35</v>
      </c>
      <c r="BM462" s="22">
        <f t="shared" si="126"/>
        <v>0</v>
      </c>
      <c r="BN462" s="23">
        <f t="shared" si="127"/>
        <v>1</v>
      </c>
      <c r="BO462" s="23" t="e">
        <f t="shared" si="127"/>
        <v>#DIV/0!</v>
      </c>
      <c r="BP462" s="7">
        <f>VLOOKUP(A462,[1]Sheet15!B:E,4,0)</f>
        <v>10</v>
      </c>
      <c r="BQ462" s="7">
        <f>VLOOKUP(A462,[1]Sheet15!B:E,3,0)</f>
        <v>0</v>
      </c>
    </row>
    <row r="463" spans="1:69" ht="22.5" customHeight="1" x14ac:dyDescent="0.25">
      <c r="A463" s="15" t="s">
        <v>1177</v>
      </c>
      <c r="B463" s="15">
        <f>VLOOKUP(A463,'[1]Master clients'!F457:W4004,17,0)</f>
        <v>0</v>
      </c>
      <c r="C463" s="15" t="str">
        <f>VLOOKUP(A463,'[1]Master clients'!F457:P4004,11,0)</f>
        <v>AV</v>
      </c>
      <c r="D463" s="15" t="str">
        <f>VLOOKUP(A463,'[1]Master clients'!F:M,8,0)</f>
        <v>Group (Mills)</v>
      </c>
      <c r="E463" s="16" t="s">
        <v>1178</v>
      </c>
      <c r="F463" s="16" t="s">
        <v>1174</v>
      </c>
      <c r="G463" s="17"/>
      <c r="H463" s="17"/>
      <c r="I463" s="26">
        <v>17</v>
      </c>
      <c r="J463" s="31">
        <v>0</v>
      </c>
      <c r="K463" s="17">
        <v>0</v>
      </c>
      <c r="L463" s="17">
        <v>0</v>
      </c>
      <c r="M463" s="17">
        <v>0</v>
      </c>
      <c r="N463" s="17">
        <v>0</v>
      </c>
      <c r="O463" s="17">
        <v>0</v>
      </c>
      <c r="P463" s="17">
        <v>0</v>
      </c>
      <c r="Q463" s="17">
        <v>0</v>
      </c>
      <c r="R463" s="17">
        <v>0</v>
      </c>
      <c r="S463" s="17">
        <v>0</v>
      </c>
      <c r="T463" s="17">
        <v>0</v>
      </c>
      <c r="U463" s="17">
        <v>0</v>
      </c>
      <c r="V463" s="17">
        <v>0</v>
      </c>
      <c r="W463" s="17">
        <v>0</v>
      </c>
      <c r="X463" s="17">
        <v>0</v>
      </c>
      <c r="Y463" s="17">
        <v>0</v>
      </c>
      <c r="Z463" s="17">
        <v>0</v>
      </c>
      <c r="AA463" s="17">
        <v>0</v>
      </c>
      <c r="AB463" s="17">
        <v>0</v>
      </c>
      <c r="AC463" s="17">
        <v>0</v>
      </c>
      <c r="AD463" s="17">
        <v>0</v>
      </c>
      <c r="AE463" s="17">
        <v>0</v>
      </c>
      <c r="AF463" s="17">
        <v>0</v>
      </c>
      <c r="AG463" s="17">
        <v>0</v>
      </c>
      <c r="AH463" s="17">
        <v>0</v>
      </c>
      <c r="AI463" s="17">
        <v>0</v>
      </c>
      <c r="AJ463" s="17">
        <v>0</v>
      </c>
      <c r="AK463" s="17">
        <v>0</v>
      </c>
      <c r="AL463" s="17">
        <v>0</v>
      </c>
      <c r="AM463" s="17">
        <v>0</v>
      </c>
      <c r="AN463" s="17">
        <v>0</v>
      </c>
      <c r="AO463" s="17">
        <v>0</v>
      </c>
      <c r="AP463" s="17">
        <v>0</v>
      </c>
      <c r="AQ463" s="17">
        <v>0</v>
      </c>
      <c r="AR463" s="17">
        <v>0</v>
      </c>
      <c r="AS463" s="17">
        <v>0</v>
      </c>
      <c r="AT463" s="17">
        <v>0</v>
      </c>
      <c r="AU463" s="17">
        <v>0</v>
      </c>
      <c r="AV463" s="17">
        <v>0</v>
      </c>
      <c r="AW463" s="17">
        <v>0</v>
      </c>
      <c r="AX463" s="17">
        <v>0</v>
      </c>
      <c r="AY463" s="17">
        <v>0</v>
      </c>
      <c r="AZ463" s="17">
        <v>0</v>
      </c>
      <c r="BA463" s="17">
        <v>0</v>
      </c>
      <c r="BB463" s="17">
        <v>0</v>
      </c>
      <c r="BC463" s="17">
        <v>0</v>
      </c>
      <c r="BD463" s="17">
        <v>0</v>
      </c>
      <c r="BE463" s="17">
        <v>0</v>
      </c>
      <c r="BF463" s="17">
        <v>0</v>
      </c>
      <c r="BG463" s="17">
        <v>0</v>
      </c>
      <c r="BH463" s="17">
        <v>0</v>
      </c>
      <c r="BI463" s="22">
        <f>SUM(M463+N463+P463+R463+T463+W463+Z463+AC463+AE463+AL463+AO463+AP463+AS463+AW463+AX463+BC463+BE463+BG463)</f>
        <v>0</v>
      </c>
      <c r="BJ463" s="22">
        <f>SUM(H463:BG463)</f>
        <v>17</v>
      </c>
      <c r="BK463" s="22">
        <f>SUM(H463+J463+K463+L463+O463+Q463+S463+U463+V463+X463+Y463+AA463+AB463+AD463+AF463+AG463+AH463+AI463+AJ463+AK463+AM463+AN463+AQ463+AR463+AT463+AU463+AV463+AY463+AZ463+BA463+BB463+BF463+BD463)</f>
        <v>0</v>
      </c>
      <c r="BL463" s="22">
        <f t="shared" ref="BL463:BM478" si="128">SUM(I463+M463+N463+P463+R463+T463+W463+Z463+AC463+AE463+AL463+AO463+AP463+AS463+AW463+AX463+BC463+BG463)</f>
        <v>17</v>
      </c>
      <c r="BM463" s="22">
        <f t="shared" si="128"/>
        <v>0</v>
      </c>
      <c r="BN463" s="23">
        <f t="shared" si="127"/>
        <v>1</v>
      </c>
      <c r="BO463" s="23" t="e">
        <f t="shared" si="127"/>
        <v>#DIV/0!</v>
      </c>
      <c r="BP463" s="7">
        <f>VLOOKUP(A463,[1]Sheet15!B:E,4,0)</f>
        <v>17</v>
      </c>
      <c r="BQ463" s="7">
        <f>VLOOKUP(A463,[1]Sheet15!B:E,3,0)</f>
        <v>0</v>
      </c>
    </row>
    <row r="464" spans="1:69" ht="22.5" customHeight="1" x14ac:dyDescent="0.25">
      <c r="A464" s="15" t="s">
        <v>1179</v>
      </c>
      <c r="B464" s="15">
        <f>VLOOKUP(A464,'[1]Master clients'!F458:W4005,17,0)</f>
        <v>0</v>
      </c>
      <c r="C464" s="15" t="str">
        <f>VLOOKUP(A464,'[1]Master clients'!F458:P4005,11,0)</f>
        <v>NI</v>
      </c>
      <c r="D464" s="15" t="str">
        <f>VLOOKUP(A464,'[1]Master clients'!F:M,8,0)</f>
        <v>End User</v>
      </c>
      <c r="E464" s="16" t="s">
        <v>1180</v>
      </c>
      <c r="F464" s="16" t="s">
        <v>1181</v>
      </c>
      <c r="G464" s="17"/>
      <c r="H464" s="17"/>
      <c r="I464" s="18">
        <v>1</v>
      </c>
      <c r="J464" s="18">
        <v>0</v>
      </c>
      <c r="K464" s="17">
        <v>0</v>
      </c>
      <c r="L464" s="17">
        <v>0</v>
      </c>
      <c r="M464" s="17">
        <v>0</v>
      </c>
      <c r="N464" s="17">
        <v>0</v>
      </c>
      <c r="O464" s="17">
        <v>0</v>
      </c>
      <c r="P464" s="17">
        <v>0</v>
      </c>
      <c r="Q464" s="17">
        <v>0</v>
      </c>
      <c r="R464" s="17">
        <v>0</v>
      </c>
      <c r="S464" s="17">
        <v>0</v>
      </c>
      <c r="T464" s="17">
        <v>0</v>
      </c>
      <c r="U464" s="17">
        <v>0</v>
      </c>
      <c r="V464" s="17">
        <v>0</v>
      </c>
      <c r="W464" s="17">
        <v>0</v>
      </c>
      <c r="X464" s="17">
        <v>0</v>
      </c>
      <c r="Y464" s="17">
        <v>0</v>
      </c>
      <c r="Z464" s="17">
        <v>0</v>
      </c>
      <c r="AA464" s="17">
        <v>0</v>
      </c>
      <c r="AB464" s="17">
        <v>0</v>
      </c>
      <c r="AC464" s="17">
        <v>0</v>
      </c>
      <c r="AD464" s="17">
        <v>0</v>
      </c>
      <c r="AE464" s="17">
        <v>0</v>
      </c>
      <c r="AF464" s="17">
        <v>0</v>
      </c>
      <c r="AG464" s="17">
        <v>0</v>
      </c>
      <c r="AH464" s="17">
        <v>0</v>
      </c>
      <c r="AI464" s="17">
        <v>0</v>
      </c>
      <c r="AJ464" s="17">
        <v>0</v>
      </c>
      <c r="AK464" s="17">
        <v>0</v>
      </c>
      <c r="AL464" s="17">
        <v>0</v>
      </c>
      <c r="AM464" s="17">
        <v>0</v>
      </c>
      <c r="AN464" s="17">
        <v>0</v>
      </c>
      <c r="AO464" s="17">
        <v>0</v>
      </c>
      <c r="AP464" s="17">
        <v>0</v>
      </c>
      <c r="AQ464" s="17">
        <v>0</v>
      </c>
      <c r="AR464" s="17">
        <v>0</v>
      </c>
      <c r="AS464" s="17">
        <v>0</v>
      </c>
      <c r="AT464" s="17">
        <v>0</v>
      </c>
      <c r="AU464" s="17">
        <v>0</v>
      </c>
      <c r="AV464" s="17">
        <v>0</v>
      </c>
      <c r="AW464" s="17">
        <v>0</v>
      </c>
      <c r="AX464" s="17">
        <v>0</v>
      </c>
      <c r="AY464" s="17">
        <v>0</v>
      </c>
      <c r="AZ464" s="17">
        <v>0</v>
      </c>
      <c r="BA464" s="17">
        <v>0</v>
      </c>
      <c r="BB464" s="17">
        <v>0</v>
      </c>
      <c r="BC464" s="17">
        <v>0</v>
      </c>
      <c r="BD464" s="17">
        <v>0</v>
      </c>
      <c r="BE464" s="17">
        <v>0</v>
      </c>
      <c r="BF464" s="17">
        <v>0</v>
      </c>
      <c r="BG464" s="17">
        <v>0</v>
      </c>
      <c r="BH464" s="17">
        <v>0</v>
      </c>
      <c r="BI464" s="22">
        <f t="shared" ref="BI464:BI539" si="129">SUM(K464+L464+M464+P464+R464+T464+V464+W464+Y464+Z464+AB464+AC464+AE464+AG464+AH464+AI464+AJ464+AK464+AL464+AN464+AO464+AR464+AS464+AU464+AV464+AW464+AZ464+BA464+BB464+BC464+BE464+BG464)</f>
        <v>0</v>
      </c>
      <c r="BJ464" s="22">
        <f t="shared" ref="BJ464:BJ539" si="130">SUM(N464+O464+Q464+S464+U464+X464+AA464+AD464+AF464+AM464+AP464+AQ464+AT464+AX464+AY464+BD464+BF464+BH464)</f>
        <v>0</v>
      </c>
      <c r="BK464" s="22">
        <f t="shared" ref="BK464:BK539" si="131">SUM(I464:BH464)</f>
        <v>1</v>
      </c>
      <c r="BL464" s="22">
        <f t="shared" ref="BL464:BL539" si="132">SUM(I464+K464+L464+M464+P464+R464+T464+V464+W464+Y464+Z464+AB464+AC464+AE464+AG464+AH464+AI464+AJ464+AK464+AL464+AN464+AO464+AR464+AS464+AU464+AV464+AW464+AZ464+BA464+BB464+BC464+BG464+BE464)</f>
        <v>1</v>
      </c>
      <c r="BM464" s="22">
        <f t="shared" si="128"/>
        <v>0</v>
      </c>
      <c r="BN464" s="23">
        <f t="shared" si="127"/>
        <v>1</v>
      </c>
      <c r="BO464" s="23" t="e">
        <f t="shared" si="127"/>
        <v>#DIV/0!</v>
      </c>
      <c r="BP464" s="7">
        <f>VLOOKUP(A464,[1]Sheet15!B:E,4,0)</f>
        <v>6</v>
      </c>
      <c r="BQ464" s="7">
        <f>VLOOKUP(A464,[1]Sheet15!B:E,3,0)</f>
        <v>0</v>
      </c>
    </row>
    <row r="465" spans="1:69" ht="22.5" customHeight="1" x14ac:dyDescent="0.25">
      <c r="A465" s="15" t="s">
        <v>1182</v>
      </c>
      <c r="B465" s="15" t="e">
        <f>VLOOKUP(A465,'[1]Master clients'!F459:W4006,17,0)</f>
        <v>#N/A</v>
      </c>
      <c r="C465" s="15" t="e">
        <f>VLOOKUP(A465,'[1]Master clients'!F459:P4006,11,0)</f>
        <v>#N/A</v>
      </c>
      <c r="D465" s="15" t="str">
        <f>VLOOKUP(A465,'[1]Master clients'!F:M,8,0)</f>
        <v>Group (Mills)</v>
      </c>
      <c r="E465" s="24" t="s">
        <v>1183</v>
      </c>
      <c r="F465" s="25" t="s">
        <v>1184</v>
      </c>
      <c r="G465" s="20">
        <v>6</v>
      </c>
      <c r="H465" s="20">
        <v>0</v>
      </c>
      <c r="I465" s="26">
        <v>6</v>
      </c>
      <c r="J465" s="26">
        <v>0</v>
      </c>
      <c r="K465" s="20">
        <v>14</v>
      </c>
      <c r="L465" s="20">
        <v>0</v>
      </c>
      <c r="M465" s="20">
        <v>0</v>
      </c>
      <c r="N465" s="20">
        <v>0</v>
      </c>
      <c r="O465" s="20">
        <v>12</v>
      </c>
      <c r="P465" s="20">
        <v>0</v>
      </c>
      <c r="Q465" s="20">
        <v>0</v>
      </c>
      <c r="R465" s="20">
        <v>0</v>
      </c>
      <c r="S465" s="20">
        <v>0</v>
      </c>
      <c r="T465" s="20">
        <v>0</v>
      </c>
      <c r="U465" s="20">
        <v>0</v>
      </c>
      <c r="V465" s="20">
        <v>0</v>
      </c>
      <c r="W465" s="20">
        <v>0</v>
      </c>
      <c r="X465" s="20">
        <v>0</v>
      </c>
      <c r="Y465" s="20">
        <v>0</v>
      </c>
      <c r="Z465" s="20">
        <v>0</v>
      </c>
      <c r="AA465" s="20">
        <v>0</v>
      </c>
      <c r="AB465" s="20">
        <v>0</v>
      </c>
      <c r="AC465" s="20">
        <v>0</v>
      </c>
      <c r="AD465" s="20">
        <v>0</v>
      </c>
      <c r="AE465" s="20">
        <v>0</v>
      </c>
      <c r="AF465" s="20">
        <v>0</v>
      </c>
      <c r="AG465" s="20">
        <v>0</v>
      </c>
      <c r="AH465" s="20">
        <v>0</v>
      </c>
      <c r="AI465" s="20">
        <v>0</v>
      </c>
      <c r="AJ465" s="20">
        <v>0</v>
      </c>
      <c r="AK465" s="20">
        <v>0</v>
      </c>
      <c r="AL465" s="20">
        <v>0</v>
      </c>
      <c r="AM465" s="20">
        <v>0</v>
      </c>
      <c r="AN465" s="20">
        <v>0</v>
      </c>
      <c r="AO465" s="20">
        <v>0</v>
      </c>
      <c r="AP465" s="20">
        <v>0</v>
      </c>
      <c r="AQ465" s="20">
        <v>0</v>
      </c>
      <c r="AR465" s="20">
        <v>0</v>
      </c>
      <c r="AS465" s="20">
        <v>0</v>
      </c>
      <c r="AT465" s="20">
        <v>0</v>
      </c>
      <c r="AU465" s="19">
        <v>0</v>
      </c>
      <c r="AV465" s="20">
        <v>0</v>
      </c>
      <c r="AW465" s="20">
        <v>0</v>
      </c>
      <c r="AX465" s="20">
        <v>0</v>
      </c>
      <c r="AY465" s="20">
        <v>0</v>
      </c>
      <c r="AZ465" s="20">
        <v>0</v>
      </c>
      <c r="BA465" s="19">
        <v>0</v>
      </c>
      <c r="BB465" s="27">
        <v>0</v>
      </c>
      <c r="BC465" s="19">
        <v>0</v>
      </c>
      <c r="BD465" s="19">
        <v>0</v>
      </c>
      <c r="BE465" s="21">
        <v>0</v>
      </c>
      <c r="BF465" s="21">
        <v>0</v>
      </c>
      <c r="BG465" s="19">
        <v>0</v>
      </c>
      <c r="BH465" s="19">
        <v>0</v>
      </c>
      <c r="BI465" s="22">
        <f t="shared" si="129"/>
        <v>14</v>
      </c>
      <c r="BJ465" s="22">
        <f t="shared" si="130"/>
        <v>12</v>
      </c>
      <c r="BK465" s="28">
        <f t="shared" si="131"/>
        <v>32</v>
      </c>
      <c r="BL465" s="22">
        <f t="shared" si="132"/>
        <v>20</v>
      </c>
      <c r="BM465" s="22">
        <f t="shared" si="128"/>
        <v>12</v>
      </c>
      <c r="BN465" s="23">
        <f t="shared" si="127"/>
        <v>0.3</v>
      </c>
      <c r="BO465" s="23">
        <f t="shared" si="127"/>
        <v>0</v>
      </c>
      <c r="BP465" s="7">
        <f>VLOOKUP(A465,[1]Sheet15!B:E,4,0)</f>
        <v>8</v>
      </c>
      <c r="BQ465" s="7">
        <f>VLOOKUP(A465,[1]Sheet15!B:E,3,0)</f>
        <v>0</v>
      </c>
    </row>
    <row r="466" spans="1:69" ht="22.5" customHeight="1" x14ac:dyDescent="0.25">
      <c r="A466" s="15" t="s">
        <v>1185</v>
      </c>
      <c r="B466" s="15" t="e">
        <f>VLOOKUP(A466,'[1]Master clients'!F460:W4007,17,0)</f>
        <v>#N/A</v>
      </c>
      <c r="C466" s="15" t="e">
        <f>VLOOKUP(A466,'[1]Master clients'!F460:P4007,11,0)</f>
        <v>#N/A</v>
      </c>
      <c r="D466" s="15" t="str">
        <f>VLOOKUP(A466,'[1]Master clients'!F:M,8,0)</f>
        <v>Group (Mills)</v>
      </c>
      <c r="E466" s="24" t="s">
        <v>1186</v>
      </c>
      <c r="F466" s="25" t="s">
        <v>1184</v>
      </c>
      <c r="G466" s="20">
        <v>0</v>
      </c>
      <c r="H466" s="20">
        <v>0</v>
      </c>
      <c r="I466" s="26">
        <v>6</v>
      </c>
      <c r="J466" s="26">
        <v>0</v>
      </c>
      <c r="K466" s="20">
        <v>14</v>
      </c>
      <c r="L466" s="20">
        <v>0</v>
      </c>
      <c r="M466" s="20">
        <v>0</v>
      </c>
      <c r="N466" s="20">
        <v>0</v>
      </c>
      <c r="O466" s="20">
        <v>12</v>
      </c>
      <c r="P466" s="20">
        <v>0</v>
      </c>
      <c r="Q466" s="20">
        <v>0</v>
      </c>
      <c r="R466" s="20">
        <v>0</v>
      </c>
      <c r="S466" s="20">
        <v>0</v>
      </c>
      <c r="T466" s="20">
        <v>0</v>
      </c>
      <c r="U466" s="20">
        <v>0</v>
      </c>
      <c r="V466" s="20">
        <v>0</v>
      </c>
      <c r="W466" s="20">
        <v>0</v>
      </c>
      <c r="X466" s="20">
        <v>0</v>
      </c>
      <c r="Y466" s="20">
        <v>0</v>
      </c>
      <c r="Z466" s="20">
        <v>0</v>
      </c>
      <c r="AA466" s="20">
        <v>0</v>
      </c>
      <c r="AB466" s="20">
        <v>0</v>
      </c>
      <c r="AC466" s="20">
        <v>0</v>
      </c>
      <c r="AD466" s="20">
        <v>0</v>
      </c>
      <c r="AE466" s="20">
        <v>0</v>
      </c>
      <c r="AF466" s="20">
        <v>0</v>
      </c>
      <c r="AG466" s="20">
        <v>0</v>
      </c>
      <c r="AH466" s="20">
        <v>0</v>
      </c>
      <c r="AI466" s="20">
        <v>0</v>
      </c>
      <c r="AJ466" s="20">
        <v>0</v>
      </c>
      <c r="AK466" s="20">
        <v>0</v>
      </c>
      <c r="AL466" s="20">
        <v>0</v>
      </c>
      <c r="AM466" s="20">
        <v>0</v>
      </c>
      <c r="AN466" s="20">
        <v>0</v>
      </c>
      <c r="AO466" s="20">
        <v>0</v>
      </c>
      <c r="AP466" s="20">
        <v>0</v>
      </c>
      <c r="AQ466" s="20">
        <v>0</v>
      </c>
      <c r="AR466" s="20">
        <v>0</v>
      </c>
      <c r="AS466" s="20">
        <v>0</v>
      </c>
      <c r="AT466" s="20">
        <v>0</v>
      </c>
      <c r="AU466" s="19">
        <v>0</v>
      </c>
      <c r="AV466" s="20">
        <v>0</v>
      </c>
      <c r="AW466" s="20">
        <v>0</v>
      </c>
      <c r="AX466" s="20">
        <v>0</v>
      </c>
      <c r="AY466" s="20">
        <v>0</v>
      </c>
      <c r="AZ466" s="20">
        <v>0</v>
      </c>
      <c r="BA466" s="19">
        <v>0</v>
      </c>
      <c r="BB466" s="27">
        <v>0</v>
      </c>
      <c r="BC466" s="19">
        <v>0</v>
      </c>
      <c r="BD466" s="19">
        <v>0</v>
      </c>
      <c r="BE466" s="21">
        <v>0</v>
      </c>
      <c r="BF466" s="21">
        <v>0</v>
      </c>
      <c r="BG466" s="19">
        <v>0</v>
      </c>
      <c r="BH466" s="19">
        <v>0</v>
      </c>
      <c r="BI466" s="22">
        <f t="shared" si="129"/>
        <v>14</v>
      </c>
      <c r="BJ466" s="22">
        <f t="shared" si="130"/>
        <v>12</v>
      </c>
      <c r="BK466" s="28">
        <f t="shared" si="131"/>
        <v>32</v>
      </c>
      <c r="BL466" s="22">
        <f t="shared" si="132"/>
        <v>20</v>
      </c>
      <c r="BM466" s="22">
        <f t="shared" si="128"/>
        <v>12</v>
      </c>
      <c r="BN466" s="23">
        <f t="shared" si="127"/>
        <v>0.3</v>
      </c>
      <c r="BO466" s="23">
        <f t="shared" si="127"/>
        <v>0</v>
      </c>
      <c r="BP466" s="7">
        <f>VLOOKUP(A466,[1]Sheet15!B:E,4,0)</f>
        <v>9</v>
      </c>
      <c r="BQ466" s="7">
        <f>VLOOKUP(A466,[1]Sheet15!B:E,3,0)</f>
        <v>0</v>
      </c>
    </row>
    <row r="467" spans="1:69" ht="22.5" customHeight="1" x14ac:dyDescent="0.25">
      <c r="A467" s="15" t="s">
        <v>1187</v>
      </c>
      <c r="B467" s="15">
        <f>VLOOKUP(A467,'[1]Master clients'!F461:W4008,17,0)</f>
        <v>0</v>
      </c>
      <c r="C467" s="15" t="str">
        <f>VLOOKUP(A467,'[1]Master clients'!F461:P4008,11,0)</f>
        <v>NI</v>
      </c>
      <c r="D467" s="15" t="str">
        <f>VLOOKUP(A467,'[1]Master clients'!F:M,8,0)</f>
        <v>End User</v>
      </c>
      <c r="E467" s="24" t="s">
        <v>1188</v>
      </c>
      <c r="F467" s="25" t="s">
        <v>1184</v>
      </c>
      <c r="G467" s="20">
        <v>0</v>
      </c>
      <c r="H467" s="20">
        <v>0</v>
      </c>
      <c r="I467" s="26">
        <v>6</v>
      </c>
      <c r="J467" s="26">
        <v>4</v>
      </c>
      <c r="K467" s="20">
        <v>0</v>
      </c>
      <c r="L467" s="20">
        <v>0</v>
      </c>
      <c r="M467" s="20">
        <v>0</v>
      </c>
      <c r="N467" s="20">
        <v>8</v>
      </c>
      <c r="O467" s="20">
        <v>0</v>
      </c>
      <c r="P467" s="20">
        <v>0</v>
      </c>
      <c r="Q467" s="20">
        <v>0</v>
      </c>
      <c r="R467" s="20">
        <v>0</v>
      </c>
      <c r="S467" s="20">
        <v>0</v>
      </c>
      <c r="T467" s="20">
        <v>7</v>
      </c>
      <c r="U467" s="20">
        <v>0</v>
      </c>
      <c r="V467" s="20">
        <v>0</v>
      </c>
      <c r="W467" s="20">
        <v>0</v>
      </c>
      <c r="X467" s="20">
        <v>0</v>
      </c>
      <c r="Y467" s="20">
        <v>0</v>
      </c>
      <c r="Z467" s="20">
        <v>0</v>
      </c>
      <c r="AA467" s="20">
        <v>0</v>
      </c>
      <c r="AB467" s="20">
        <v>0</v>
      </c>
      <c r="AC467" s="20">
        <v>0</v>
      </c>
      <c r="AD467" s="20">
        <v>0</v>
      </c>
      <c r="AE467" s="20">
        <v>0</v>
      </c>
      <c r="AF467" s="20">
        <v>0</v>
      </c>
      <c r="AG467" s="20">
        <v>0</v>
      </c>
      <c r="AH467" s="20">
        <v>0</v>
      </c>
      <c r="AI467" s="20">
        <v>0</v>
      </c>
      <c r="AJ467" s="20">
        <v>0</v>
      </c>
      <c r="AK467" s="20">
        <v>0</v>
      </c>
      <c r="AL467" s="20">
        <v>0</v>
      </c>
      <c r="AM467" s="20">
        <v>0</v>
      </c>
      <c r="AN467" s="20">
        <v>0</v>
      </c>
      <c r="AO467" s="20">
        <v>0</v>
      </c>
      <c r="AP467" s="20">
        <v>0</v>
      </c>
      <c r="AQ467" s="20">
        <v>0</v>
      </c>
      <c r="AR467" s="20">
        <v>0</v>
      </c>
      <c r="AS467" s="20">
        <v>0</v>
      </c>
      <c r="AT467" s="20">
        <v>0</v>
      </c>
      <c r="AU467" s="20">
        <v>0</v>
      </c>
      <c r="AV467" s="20">
        <v>0</v>
      </c>
      <c r="AW467" s="20">
        <v>0</v>
      </c>
      <c r="AX467" s="20">
        <v>0</v>
      </c>
      <c r="AY467" s="20">
        <v>0</v>
      </c>
      <c r="AZ467" s="20">
        <v>0</v>
      </c>
      <c r="BA467" s="20">
        <v>0</v>
      </c>
      <c r="BB467" s="27">
        <v>0</v>
      </c>
      <c r="BC467" s="20">
        <v>0</v>
      </c>
      <c r="BD467" s="20">
        <v>0</v>
      </c>
      <c r="BE467" s="21">
        <v>0</v>
      </c>
      <c r="BF467" s="21">
        <v>0</v>
      </c>
      <c r="BG467" s="20">
        <v>0</v>
      </c>
      <c r="BH467" s="20">
        <v>0</v>
      </c>
      <c r="BI467" s="22">
        <f t="shared" si="129"/>
        <v>7</v>
      </c>
      <c r="BJ467" s="22">
        <f t="shared" si="130"/>
        <v>8</v>
      </c>
      <c r="BK467" s="28">
        <f t="shared" si="131"/>
        <v>25</v>
      </c>
      <c r="BL467" s="22">
        <f t="shared" si="132"/>
        <v>13</v>
      </c>
      <c r="BM467" s="22">
        <f t="shared" si="128"/>
        <v>12</v>
      </c>
      <c r="BN467" s="23">
        <f t="shared" si="127"/>
        <v>0.46153846153846156</v>
      </c>
      <c r="BO467" s="23">
        <f t="shared" si="127"/>
        <v>0.33333333333333331</v>
      </c>
      <c r="BP467" s="7">
        <f>VLOOKUP(A467,[1]Sheet15!B:E,4,0)</f>
        <v>3</v>
      </c>
      <c r="BQ467" s="7">
        <f>VLOOKUP(A467,[1]Sheet15!B:E,3,0)</f>
        <v>7</v>
      </c>
    </row>
    <row r="468" spans="1:69" ht="22.5" customHeight="1" x14ac:dyDescent="0.25">
      <c r="A468" s="15" t="s">
        <v>1189</v>
      </c>
      <c r="B468" s="15">
        <f>VLOOKUP(A468,'[1]Master clients'!F462:W4009,17,0)</f>
        <v>0</v>
      </c>
      <c r="C468" s="15" t="str">
        <f>VLOOKUP(A468,'[1]Master clients'!F462:P4009,11,0)</f>
        <v>HO</v>
      </c>
      <c r="D468" s="15" t="str">
        <f>VLOOKUP(A468,'[1]Master clients'!F:M,8,0)</f>
        <v>End User</v>
      </c>
      <c r="E468" s="24" t="s">
        <v>1190</v>
      </c>
      <c r="F468" s="25" t="s">
        <v>1184</v>
      </c>
      <c r="G468" s="20">
        <v>0</v>
      </c>
      <c r="H468" s="20">
        <v>0</v>
      </c>
      <c r="I468" s="26">
        <v>4</v>
      </c>
      <c r="J468" s="26">
        <v>0</v>
      </c>
      <c r="K468" s="20">
        <v>0</v>
      </c>
      <c r="L468" s="20">
        <v>0</v>
      </c>
      <c r="M468" s="20">
        <v>0</v>
      </c>
      <c r="N468" s="20">
        <v>0</v>
      </c>
      <c r="O468" s="20">
        <v>0</v>
      </c>
      <c r="P468" s="20">
        <v>0</v>
      </c>
      <c r="Q468" s="20">
        <v>0</v>
      </c>
      <c r="R468" s="20">
        <v>0</v>
      </c>
      <c r="S468" s="20">
        <v>0</v>
      </c>
      <c r="T468" s="20">
        <v>0</v>
      </c>
      <c r="U468" s="20">
        <v>0</v>
      </c>
      <c r="V468" s="20">
        <v>0</v>
      </c>
      <c r="W468" s="20">
        <v>0</v>
      </c>
      <c r="X468" s="20">
        <v>0</v>
      </c>
      <c r="Y468" s="20">
        <v>0</v>
      </c>
      <c r="Z468" s="20">
        <v>0</v>
      </c>
      <c r="AA468" s="20">
        <v>0</v>
      </c>
      <c r="AB468" s="20">
        <v>0</v>
      </c>
      <c r="AC468" s="20">
        <v>0</v>
      </c>
      <c r="AD468" s="20">
        <v>0</v>
      </c>
      <c r="AE468" s="20">
        <v>0</v>
      </c>
      <c r="AF468" s="20">
        <v>0</v>
      </c>
      <c r="AG468" s="20">
        <v>0</v>
      </c>
      <c r="AH468" s="20">
        <v>0</v>
      </c>
      <c r="AI468" s="20">
        <v>0</v>
      </c>
      <c r="AJ468" s="20">
        <v>0</v>
      </c>
      <c r="AK468" s="20">
        <v>0</v>
      </c>
      <c r="AL468" s="20">
        <v>0</v>
      </c>
      <c r="AM468" s="20">
        <v>0</v>
      </c>
      <c r="AN468" s="20">
        <v>0</v>
      </c>
      <c r="AO468" s="20">
        <v>0</v>
      </c>
      <c r="AP468" s="20">
        <v>0</v>
      </c>
      <c r="AQ468" s="20">
        <v>0</v>
      </c>
      <c r="AR468" s="20">
        <v>0</v>
      </c>
      <c r="AS468" s="20">
        <v>0</v>
      </c>
      <c r="AT468" s="20">
        <v>0</v>
      </c>
      <c r="AU468" s="20">
        <v>0</v>
      </c>
      <c r="AV468" s="20">
        <v>0</v>
      </c>
      <c r="AW468" s="20">
        <v>0</v>
      </c>
      <c r="AX468" s="20">
        <v>0</v>
      </c>
      <c r="AY468" s="20">
        <v>0</v>
      </c>
      <c r="AZ468" s="20">
        <v>0</v>
      </c>
      <c r="BA468" s="20">
        <v>0</v>
      </c>
      <c r="BB468" s="27">
        <v>0</v>
      </c>
      <c r="BC468" s="20">
        <v>0</v>
      </c>
      <c r="BD468" s="20">
        <v>0</v>
      </c>
      <c r="BE468" s="21">
        <v>0</v>
      </c>
      <c r="BF468" s="21">
        <v>0</v>
      </c>
      <c r="BG468" s="20">
        <v>0</v>
      </c>
      <c r="BH468" s="20">
        <v>0</v>
      </c>
      <c r="BI468" s="22">
        <f t="shared" si="129"/>
        <v>0</v>
      </c>
      <c r="BJ468" s="22">
        <f t="shared" si="130"/>
        <v>0</v>
      </c>
      <c r="BK468" s="28">
        <f t="shared" si="131"/>
        <v>4</v>
      </c>
      <c r="BL468" s="22">
        <f t="shared" si="132"/>
        <v>4</v>
      </c>
      <c r="BM468" s="22">
        <f t="shared" si="128"/>
        <v>0</v>
      </c>
      <c r="BN468" s="23">
        <f t="shared" si="127"/>
        <v>1</v>
      </c>
      <c r="BO468" s="23" t="e">
        <f t="shared" si="127"/>
        <v>#DIV/0!</v>
      </c>
      <c r="BP468" s="7">
        <f>VLOOKUP(A468,[1]Sheet15!B:E,4,0)</f>
        <v>1</v>
      </c>
      <c r="BQ468" s="7">
        <f>VLOOKUP(A468,[1]Sheet15!B:E,3,0)</f>
        <v>0</v>
      </c>
    </row>
    <row r="469" spans="1:69" ht="22.5" customHeight="1" x14ac:dyDescent="0.25">
      <c r="A469" s="15" t="s">
        <v>1191</v>
      </c>
      <c r="B469" s="15" t="str">
        <f>VLOOKUP(A469,'[1]Master clients'!F463:W4010,17,0)</f>
        <v>May</v>
      </c>
      <c r="C469" s="15" t="str">
        <f>VLOOKUP(A469,'[1]Master clients'!F463:P4010,11,0)</f>
        <v>NI</v>
      </c>
      <c r="D469" s="15" t="str">
        <f>VLOOKUP(A469,'[1]Master clients'!F:M,8,0)</f>
        <v>End User</v>
      </c>
      <c r="E469" s="24" t="s">
        <v>1192</v>
      </c>
      <c r="F469" s="25" t="s">
        <v>1184</v>
      </c>
      <c r="G469" s="20">
        <v>0</v>
      </c>
      <c r="H469" s="20">
        <v>0</v>
      </c>
      <c r="I469" s="26">
        <v>33</v>
      </c>
      <c r="J469" s="26">
        <v>0</v>
      </c>
      <c r="K469" s="20">
        <v>0</v>
      </c>
      <c r="L469" s="20">
        <v>0</v>
      </c>
      <c r="M469" s="20">
        <v>0</v>
      </c>
      <c r="N469" s="20">
        <v>0</v>
      </c>
      <c r="O469" s="20">
        <v>0</v>
      </c>
      <c r="P469" s="20">
        <v>0</v>
      </c>
      <c r="Q469" s="20">
        <v>8</v>
      </c>
      <c r="R469" s="20">
        <v>0</v>
      </c>
      <c r="S469" s="20">
        <v>0</v>
      </c>
      <c r="T469" s="20">
        <v>0</v>
      </c>
      <c r="U469" s="20">
        <v>0</v>
      </c>
      <c r="V469" s="20">
        <v>0</v>
      </c>
      <c r="W469" s="20">
        <v>0</v>
      </c>
      <c r="X469" s="20">
        <v>0</v>
      </c>
      <c r="Y469" s="20">
        <v>0</v>
      </c>
      <c r="Z469" s="20">
        <v>0</v>
      </c>
      <c r="AA469" s="20">
        <v>0</v>
      </c>
      <c r="AB469" s="20">
        <v>0</v>
      </c>
      <c r="AC469" s="20">
        <v>0</v>
      </c>
      <c r="AD469" s="20">
        <v>0</v>
      </c>
      <c r="AE469" s="20">
        <v>0</v>
      </c>
      <c r="AF469" s="20">
        <v>0</v>
      </c>
      <c r="AG469" s="20">
        <v>0</v>
      </c>
      <c r="AH469" s="20">
        <v>0</v>
      </c>
      <c r="AI469" s="20">
        <v>0</v>
      </c>
      <c r="AJ469" s="20">
        <v>0</v>
      </c>
      <c r="AK469" s="20">
        <v>0</v>
      </c>
      <c r="AL469" s="20">
        <v>0</v>
      </c>
      <c r="AM469" s="20">
        <v>0</v>
      </c>
      <c r="AN469" s="20">
        <v>0</v>
      </c>
      <c r="AO469" s="20">
        <v>0</v>
      </c>
      <c r="AP469" s="20">
        <v>0</v>
      </c>
      <c r="AQ469" s="20">
        <v>0</v>
      </c>
      <c r="AR469" s="20">
        <v>0</v>
      </c>
      <c r="AS469" s="20">
        <v>0</v>
      </c>
      <c r="AT469" s="20">
        <v>0</v>
      </c>
      <c r="AU469" s="20">
        <v>0</v>
      </c>
      <c r="AV469" s="20">
        <v>0</v>
      </c>
      <c r="AW469" s="20">
        <v>0</v>
      </c>
      <c r="AX469" s="20">
        <v>0</v>
      </c>
      <c r="AY469" s="20">
        <v>0</v>
      </c>
      <c r="AZ469" s="20">
        <v>0</v>
      </c>
      <c r="BA469" s="20">
        <v>0</v>
      </c>
      <c r="BB469" s="27">
        <v>0</v>
      </c>
      <c r="BC469" s="20">
        <v>0</v>
      </c>
      <c r="BD469" s="20">
        <v>0</v>
      </c>
      <c r="BE469" s="21">
        <v>0</v>
      </c>
      <c r="BF469" s="21">
        <v>0</v>
      </c>
      <c r="BG469" s="20">
        <v>0</v>
      </c>
      <c r="BH469" s="20">
        <v>0</v>
      </c>
      <c r="BI469" s="22">
        <f t="shared" si="129"/>
        <v>0</v>
      </c>
      <c r="BJ469" s="22">
        <f t="shared" si="130"/>
        <v>8</v>
      </c>
      <c r="BK469" s="28">
        <f t="shared" si="131"/>
        <v>41</v>
      </c>
      <c r="BL469" s="22">
        <f t="shared" si="132"/>
        <v>33</v>
      </c>
      <c r="BM469" s="22">
        <f t="shared" si="128"/>
        <v>8</v>
      </c>
      <c r="BN469" s="23">
        <f t="shared" ref="BN469:BO484" si="133">I469/BL469</f>
        <v>1</v>
      </c>
      <c r="BO469" s="23">
        <f t="shared" si="133"/>
        <v>0</v>
      </c>
      <c r="BP469" s="7">
        <f>VLOOKUP(A469,[1]Sheet15!B:E,4,0)</f>
        <v>13</v>
      </c>
      <c r="BQ469" s="7">
        <f>VLOOKUP(A469,[1]Sheet15!B:E,3,0)</f>
        <v>0</v>
      </c>
    </row>
    <row r="470" spans="1:69" ht="22.5" customHeight="1" x14ac:dyDescent="0.25">
      <c r="A470" s="15" t="s">
        <v>1193</v>
      </c>
      <c r="B470" s="15" t="e">
        <f>VLOOKUP(A470,'[1]Master clients'!F464:W4011,17,0)</f>
        <v>#N/A</v>
      </c>
      <c r="C470" s="15" t="e">
        <f>VLOOKUP(A470,'[1]Master clients'!F464:P4011,11,0)</f>
        <v>#N/A</v>
      </c>
      <c r="D470" s="15" t="str">
        <f>VLOOKUP(A470,'[1]Master clients'!F:M,8,0)</f>
        <v>End User</v>
      </c>
      <c r="E470" s="16" t="s">
        <v>1194</v>
      </c>
      <c r="F470" s="16" t="s">
        <v>89</v>
      </c>
      <c r="G470" s="17">
        <v>6</v>
      </c>
      <c r="H470" s="17">
        <v>0</v>
      </c>
      <c r="I470" s="18">
        <v>6</v>
      </c>
      <c r="J470" s="18">
        <v>0</v>
      </c>
      <c r="K470" s="17">
        <v>6</v>
      </c>
      <c r="L470" s="17">
        <v>0</v>
      </c>
      <c r="M470" s="17">
        <v>0</v>
      </c>
      <c r="N470" s="17">
        <v>0</v>
      </c>
      <c r="O470" s="19">
        <v>0</v>
      </c>
      <c r="P470" s="19">
        <v>0</v>
      </c>
      <c r="Q470" s="19">
        <v>0</v>
      </c>
      <c r="R470" s="19">
        <v>0</v>
      </c>
      <c r="S470" s="19">
        <v>0</v>
      </c>
      <c r="T470" s="19">
        <v>0</v>
      </c>
      <c r="U470" s="19">
        <v>0</v>
      </c>
      <c r="V470" s="19">
        <v>0</v>
      </c>
      <c r="W470" s="20">
        <v>0</v>
      </c>
      <c r="X470" s="20">
        <v>0</v>
      </c>
      <c r="Y470" s="19">
        <v>0</v>
      </c>
      <c r="Z470" s="19">
        <v>0</v>
      </c>
      <c r="AA470" s="19">
        <v>0</v>
      </c>
      <c r="AB470" s="19">
        <v>0</v>
      </c>
      <c r="AC470" s="19">
        <v>0</v>
      </c>
      <c r="AD470" s="19">
        <v>0</v>
      </c>
      <c r="AE470" s="19">
        <v>0</v>
      </c>
      <c r="AF470" s="19">
        <v>0</v>
      </c>
      <c r="AG470" s="19">
        <v>0</v>
      </c>
      <c r="AH470" s="19">
        <v>0</v>
      </c>
      <c r="AI470" s="20">
        <v>0</v>
      </c>
      <c r="AJ470" s="20">
        <v>0</v>
      </c>
      <c r="AK470" s="19">
        <v>0</v>
      </c>
      <c r="AL470" s="20">
        <v>0</v>
      </c>
      <c r="AM470" s="19">
        <v>0</v>
      </c>
      <c r="AN470" s="19">
        <v>0</v>
      </c>
      <c r="AO470" s="19">
        <v>0</v>
      </c>
      <c r="AP470" s="19">
        <v>0</v>
      </c>
      <c r="AQ470" s="19">
        <v>0</v>
      </c>
      <c r="AR470" s="19">
        <v>0</v>
      </c>
      <c r="AS470" s="19">
        <v>0</v>
      </c>
      <c r="AT470" s="19">
        <v>0</v>
      </c>
      <c r="AU470" s="19">
        <v>0</v>
      </c>
      <c r="AV470" s="19">
        <v>0</v>
      </c>
      <c r="AW470" s="20">
        <v>0</v>
      </c>
      <c r="AX470" s="20">
        <v>0</v>
      </c>
      <c r="AY470" s="20">
        <v>0</v>
      </c>
      <c r="AZ470" s="19">
        <v>0</v>
      </c>
      <c r="BA470" s="19">
        <v>0</v>
      </c>
      <c r="BB470" s="19">
        <v>0</v>
      </c>
      <c r="BC470" s="19">
        <v>0</v>
      </c>
      <c r="BD470" s="19">
        <v>0</v>
      </c>
      <c r="BE470" s="21">
        <v>0</v>
      </c>
      <c r="BF470" s="21">
        <v>0</v>
      </c>
      <c r="BG470" s="19">
        <v>0</v>
      </c>
      <c r="BH470" s="19">
        <v>0</v>
      </c>
      <c r="BI470" s="22">
        <f t="shared" si="129"/>
        <v>6</v>
      </c>
      <c r="BJ470" s="22">
        <f t="shared" si="130"/>
        <v>0</v>
      </c>
      <c r="BK470" s="22">
        <f t="shared" si="131"/>
        <v>12</v>
      </c>
      <c r="BL470" s="22">
        <f t="shared" si="132"/>
        <v>12</v>
      </c>
      <c r="BM470" s="22">
        <f t="shared" si="128"/>
        <v>0</v>
      </c>
      <c r="BN470" s="23">
        <f t="shared" si="133"/>
        <v>0.5</v>
      </c>
      <c r="BO470" s="23" t="e">
        <f t="shared" si="133"/>
        <v>#DIV/0!</v>
      </c>
      <c r="BP470" s="7">
        <f>VLOOKUP(A470,[1]Sheet15!B:E,4,0)</f>
        <v>6</v>
      </c>
      <c r="BQ470" s="7">
        <f>VLOOKUP(A470,[1]Sheet15!B:E,3,0)</f>
        <v>0</v>
      </c>
    </row>
    <row r="471" spans="1:69" ht="22.5" customHeight="1" x14ac:dyDescent="0.25">
      <c r="A471" s="15" t="s">
        <v>1195</v>
      </c>
      <c r="B471" s="15" t="e">
        <f>VLOOKUP(A471,'[1]Master clients'!F465:W4012,17,0)</f>
        <v>#N/A</v>
      </c>
      <c r="C471" s="15" t="e">
        <f>VLOOKUP(A471,'[1]Master clients'!F465:P4012,11,0)</f>
        <v>#N/A</v>
      </c>
      <c r="D471" s="15" t="str">
        <f>VLOOKUP(A471,'[1]Master clients'!F:M,8,0)</f>
        <v>End User</v>
      </c>
      <c r="E471" s="16" t="s">
        <v>1196</v>
      </c>
      <c r="F471" s="16" t="s">
        <v>89</v>
      </c>
      <c r="G471" s="17">
        <v>15</v>
      </c>
      <c r="H471" s="17">
        <v>7</v>
      </c>
      <c r="I471" s="18">
        <v>8</v>
      </c>
      <c r="J471" s="17">
        <v>7</v>
      </c>
      <c r="K471" s="17">
        <v>0</v>
      </c>
      <c r="L471" s="17">
        <v>0</v>
      </c>
      <c r="M471" s="17">
        <v>0</v>
      </c>
      <c r="N471" s="17">
        <v>0</v>
      </c>
      <c r="O471" s="19">
        <v>0</v>
      </c>
      <c r="P471" s="19">
        <v>0</v>
      </c>
      <c r="Q471" s="19">
        <v>6</v>
      </c>
      <c r="R471" s="19">
        <v>0</v>
      </c>
      <c r="S471" s="19">
        <v>0</v>
      </c>
      <c r="T471" s="19">
        <v>0</v>
      </c>
      <c r="U471" s="19">
        <v>0</v>
      </c>
      <c r="V471" s="19">
        <v>0</v>
      </c>
      <c r="W471" s="20">
        <v>0</v>
      </c>
      <c r="X471" s="20">
        <v>0</v>
      </c>
      <c r="Y471" s="19">
        <v>0</v>
      </c>
      <c r="Z471" s="19">
        <v>0</v>
      </c>
      <c r="AA471" s="19">
        <v>0</v>
      </c>
      <c r="AB471" s="19">
        <v>0</v>
      </c>
      <c r="AC471" s="19">
        <v>0</v>
      </c>
      <c r="AD471" s="19">
        <v>0</v>
      </c>
      <c r="AE471" s="19">
        <v>1</v>
      </c>
      <c r="AF471" s="19">
        <v>0</v>
      </c>
      <c r="AG471" s="19">
        <v>0</v>
      </c>
      <c r="AH471" s="19">
        <v>0</v>
      </c>
      <c r="AI471" s="20">
        <v>0</v>
      </c>
      <c r="AJ471" s="20">
        <v>0</v>
      </c>
      <c r="AK471" s="19">
        <v>0</v>
      </c>
      <c r="AL471" s="20">
        <v>0</v>
      </c>
      <c r="AM471" s="19">
        <v>0</v>
      </c>
      <c r="AN471" s="19">
        <v>0</v>
      </c>
      <c r="AO471" s="19">
        <v>0</v>
      </c>
      <c r="AP471" s="19">
        <v>0</v>
      </c>
      <c r="AQ471" s="19">
        <v>0</v>
      </c>
      <c r="AR471" s="19">
        <v>0</v>
      </c>
      <c r="AS471" s="19">
        <v>0</v>
      </c>
      <c r="AT471" s="19">
        <v>0</v>
      </c>
      <c r="AU471" s="19">
        <v>0</v>
      </c>
      <c r="AV471" s="19">
        <v>0</v>
      </c>
      <c r="AW471" s="20">
        <v>0</v>
      </c>
      <c r="AX471" s="20">
        <v>0</v>
      </c>
      <c r="AY471" s="20">
        <v>0</v>
      </c>
      <c r="AZ471" s="19">
        <v>0</v>
      </c>
      <c r="BA471" s="19">
        <v>0</v>
      </c>
      <c r="BB471" s="19">
        <v>0</v>
      </c>
      <c r="BC471" s="19">
        <v>0</v>
      </c>
      <c r="BD471" s="19">
        <v>0</v>
      </c>
      <c r="BE471" s="21">
        <v>0</v>
      </c>
      <c r="BF471" s="21">
        <v>0</v>
      </c>
      <c r="BG471" s="19">
        <v>0</v>
      </c>
      <c r="BH471" s="19">
        <v>0</v>
      </c>
      <c r="BI471" s="22">
        <f t="shared" si="129"/>
        <v>1</v>
      </c>
      <c r="BJ471" s="22">
        <f t="shared" si="130"/>
        <v>6</v>
      </c>
      <c r="BK471" s="22">
        <f t="shared" si="131"/>
        <v>22</v>
      </c>
      <c r="BL471" s="22">
        <f t="shared" si="132"/>
        <v>9</v>
      </c>
      <c r="BM471" s="22">
        <f t="shared" si="128"/>
        <v>13</v>
      </c>
      <c r="BN471" s="23">
        <f t="shared" si="133"/>
        <v>0.88888888888888884</v>
      </c>
      <c r="BO471" s="23">
        <f t="shared" si="133"/>
        <v>0.53846153846153844</v>
      </c>
      <c r="BP471" s="7">
        <f>VLOOKUP(A471,[1]Sheet15!B:E,4,0)</f>
        <v>6</v>
      </c>
      <c r="BQ471" s="7">
        <f>VLOOKUP(A471,[1]Sheet15!B:E,3,0)</f>
        <v>0</v>
      </c>
    </row>
    <row r="472" spans="1:69" ht="22.5" customHeight="1" x14ac:dyDescent="0.25">
      <c r="A472" s="15" t="s">
        <v>1197</v>
      </c>
      <c r="B472" s="15">
        <f>VLOOKUP(A472,'[1]Master clients'!F466:W4013,17,0)</f>
        <v>0</v>
      </c>
      <c r="C472" s="15" t="str">
        <f>VLOOKUP(A472,'[1]Master clients'!F466:P4013,11,0)</f>
        <v>AV</v>
      </c>
      <c r="D472" s="15" t="str">
        <f>VLOOKUP(A472,'[1]Master clients'!F:M,8,0)</f>
        <v>End User</v>
      </c>
      <c r="E472" s="24" t="s">
        <v>1198</v>
      </c>
      <c r="F472" s="25" t="s">
        <v>89</v>
      </c>
      <c r="G472" s="20">
        <v>10</v>
      </c>
      <c r="H472" s="20">
        <v>0</v>
      </c>
      <c r="I472" s="26">
        <v>10</v>
      </c>
      <c r="J472" s="26">
        <v>0</v>
      </c>
      <c r="K472" s="20">
        <v>0</v>
      </c>
      <c r="L472" s="20">
        <v>0</v>
      </c>
      <c r="M472" s="20">
        <v>0</v>
      </c>
      <c r="N472" s="20">
        <v>0</v>
      </c>
      <c r="O472" s="20">
        <v>0</v>
      </c>
      <c r="P472" s="20">
        <v>0</v>
      </c>
      <c r="Q472" s="20">
        <v>4</v>
      </c>
      <c r="R472" s="20">
        <v>2</v>
      </c>
      <c r="S472" s="20">
        <v>0</v>
      </c>
      <c r="T472" s="20">
        <v>0</v>
      </c>
      <c r="U472" s="20">
        <v>0</v>
      </c>
      <c r="V472" s="20">
        <v>0</v>
      </c>
      <c r="W472" s="20">
        <v>0</v>
      </c>
      <c r="X472" s="20">
        <v>0</v>
      </c>
      <c r="Y472" s="20">
        <v>0</v>
      </c>
      <c r="Z472" s="20">
        <v>0</v>
      </c>
      <c r="AA472" s="20">
        <v>0</v>
      </c>
      <c r="AB472" s="20">
        <v>0</v>
      </c>
      <c r="AC472" s="20">
        <v>0</v>
      </c>
      <c r="AD472" s="20">
        <v>0</v>
      </c>
      <c r="AE472" s="20">
        <v>0</v>
      </c>
      <c r="AF472" s="20">
        <v>0</v>
      </c>
      <c r="AG472" s="20">
        <v>0</v>
      </c>
      <c r="AH472" s="20">
        <v>0</v>
      </c>
      <c r="AI472" s="20">
        <v>0</v>
      </c>
      <c r="AJ472" s="20">
        <v>0</v>
      </c>
      <c r="AK472" s="20">
        <v>0</v>
      </c>
      <c r="AL472" s="20">
        <v>0</v>
      </c>
      <c r="AM472" s="20">
        <v>0</v>
      </c>
      <c r="AN472" s="20">
        <v>0</v>
      </c>
      <c r="AO472" s="20">
        <v>0</v>
      </c>
      <c r="AP472" s="20">
        <v>0</v>
      </c>
      <c r="AQ472" s="20">
        <v>0</v>
      </c>
      <c r="AR472" s="20">
        <v>0</v>
      </c>
      <c r="AS472" s="20">
        <v>0</v>
      </c>
      <c r="AT472" s="20">
        <v>0</v>
      </c>
      <c r="AU472" s="20">
        <v>0</v>
      </c>
      <c r="AV472" s="20">
        <v>0</v>
      </c>
      <c r="AW472" s="20">
        <v>0</v>
      </c>
      <c r="AX472" s="20">
        <v>0</v>
      </c>
      <c r="AY472" s="20">
        <v>0</v>
      </c>
      <c r="AZ472" s="20">
        <v>0</v>
      </c>
      <c r="BA472" s="20">
        <v>0</v>
      </c>
      <c r="BB472" s="27">
        <v>0</v>
      </c>
      <c r="BC472" s="20">
        <v>0</v>
      </c>
      <c r="BD472" s="20">
        <v>0</v>
      </c>
      <c r="BE472" s="21">
        <v>0</v>
      </c>
      <c r="BF472" s="21">
        <v>0</v>
      </c>
      <c r="BG472" s="20">
        <v>0</v>
      </c>
      <c r="BH472" s="20">
        <v>0</v>
      </c>
      <c r="BI472" s="22">
        <f t="shared" si="129"/>
        <v>2</v>
      </c>
      <c r="BJ472" s="22">
        <f t="shared" si="130"/>
        <v>4</v>
      </c>
      <c r="BK472" s="28">
        <f t="shared" si="131"/>
        <v>16</v>
      </c>
      <c r="BL472" s="22">
        <f t="shared" si="132"/>
        <v>12</v>
      </c>
      <c r="BM472" s="22">
        <f t="shared" si="128"/>
        <v>4</v>
      </c>
      <c r="BN472" s="23">
        <f t="shared" si="133"/>
        <v>0.83333333333333337</v>
      </c>
      <c r="BO472" s="23">
        <f t="shared" si="133"/>
        <v>0</v>
      </c>
      <c r="BP472" s="7">
        <f>VLOOKUP(A472,[1]Sheet15!B:E,4,0)</f>
        <v>4</v>
      </c>
      <c r="BQ472" s="7">
        <f>VLOOKUP(A472,[1]Sheet15!B:E,3,0)</f>
        <v>0</v>
      </c>
    </row>
    <row r="473" spans="1:69" ht="22.5" customHeight="1" x14ac:dyDescent="0.25">
      <c r="A473" s="15" t="s">
        <v>1199</v>
      </c>
      <c r="B473" s="15">
        <f>VLOOKUP(A473,'[1]Master clients'!F467:W4014,17,0)</f>
        <v>0</v>
      </c>
      <c r="C473" s="15" t="str">
        <f>VLOOKUP(A473,'[1]Master clients'!F467:P4014,11,0)</f>
        <v>AV</v>
      </c>
      <c r="D473" s="15" t="str">
        <f>VLOOKUP(A473,'[1]Master clients'!F:M,8,0)</f>
        <v>Group (Mills)</v>
      </c>
      <c r="E473" s="16" t="s">
        <v>1200</v>
      </c>
      <c r="F473" s="16" t="s">
        <v>89</v>
      </c>
      <c r="G473" s="17"/>
      <c r="H473" s="17"/>
      <c r="I473" s="26">
        <v>1</v>
      </c>
      <c r="J473" s="31">
        <v>0</v>
      </c>
      <c r="K473" s="17">
        <v>0</v>
      </c>
      <c r="L473" s="17">
        <v>0</v>
      </c>
      <c r="M473" s="17">
        <v>0</v>
      </c>
      <c r="N473" s="17">
        <v>0</v>
      </c>
      <c r="O473" s="17">
        <v>0</v>
      </c>
      <c r="P473" s="17">
        <v>0</v>
      </c>
      <c r="Q473" s="17">
        <v>0</v>
      </c>
      <c r="R473" s="17">
        <v>0</v>
      </c>
      <c r="S473" s="17">
        <v>0</v>
      </c>
      <c r="T473" s="17">
        <v>0</v>
      </c>
      <c r="U473" s="17">
        <v>0</v>
      </c>
      <c r="V473" s="17">
        <v>0</v>
      </c>
      <c r="W473" s="17">
        <v>0</v>
      </c>
      <c r="X473" s="17">
        <v>0</v>
      </c>
      <c r="Y473" s="17">
        <v>0</v>
      </c>
      <c r="Z473" s="17">
        <v>0</v>
      </c>
      <c r="AA473" s="17">
        <v>0</v>
      </c>
      <c r="AB473" s="17">
        <v>0</v>
      </c>
      <c r="AC473" s="17">
        <v>0</v>
      </c>
      <c r="AD473" s="17">
        <v>0</v>
      </c>
      <c r="AE473" s="17">
        <v>0</v>
      </c>
      <c r="AF473" s="17">
        <v>0</v>
      </c>
      <c r="AG473" s="17">
        <v>0</v>
      </c>
      <c r="AH473" s="17">
        <v>0</v>
      </c>
      <c r="AI473" s="17">
        <v>0</v>
      </c>
      <c r="AJ473" s="17">
        <v>0</v>
      </c>
      <c r="AK473" s="17">
        <v>0</v>
      </c>
      <c r="AL473" s="17">
        <v>0</v>
      </c>
      <c r="AM473" s="17">
        <v>0</v>
      </c>
      <c r="AN473" s="17">
        <v>0</v>
      </c>
      <c r="AO473" s="17">
        <v>0</v>
      </c>
      <c r="AP473" s="17">
        <v>0</v>
      </c>
      <c r="AQ473" s="17">
        <v>0</v>
      </c>
      <c r="AR473" s="17">
        <v>0</v>
      </c>
      <c r="AS473" s="17">
        <v>0</v>
      </c>
      <c r="AT473" s="17">
        <v>0</v>
      </c>
      <c r="AU473" s="17">
        <v>0</v>
      </c>
      <c r="AV473" s="17">
        <v>0</v>
      </c>
      <c r="AW473" s="17">
        <v>0</v>
      </c>
      <c r="AX473" s="17">
        <v>0</v>
      </c>
      <c r="AY473" s="17">
        <v>0</v>
      </c>
      <c r="AZ473" s="17">
        <v>0</v>
      </c>
      <c r="BA473" s="17">
        <v>0</v>
      </c>
      <c r="BB473" s="17">
        <v>0</v>
      </c>
      <c r="BC473" s="17">
        <v>0</v>
      </c>
      <c r="BD473" s="17">
        <v>0</v>
      </c>
      <c r="BE473" s="17">
        <v>0</v>
      </c>
      <c r="BF473" s="17">
        <v>0</v>
      </c>
      <c r="BG473" s="17">
        <v>0</v>
      </c>
      <c r="BH473" s="17">
        <v>0</v>
      </c>
      <c r="BI473" s="22">
        <f t="shared" si="129"/>
        <v>0</v>
      </c>
      <c r="BJ473" s="22">
        <f t="shared" si="130"/>
        <v>0</v>
      </c>
      <c r="BK473" s="28">
        <f t="shared" si="131"/>
        <v>1</v>
      </c>
      <c r="BL473" s="22">
        <f t="shared" si="132"/>
        <v>1</v>
      </c>
      <c r="BM473" s="22">
        <f t="shared" si="128"/>
        <v>0</v>
      </c>
      <c r="BN473" s="23">
        <f t="shared" si="133"/>
        <v>1</v>
      </c>
      <c r="BO473" s="23" t="e">
        <f t="shared" si="133"/>
        <v>#DIV/0!</v>
      </c>
      <c r="BP473" s="7">
        <f>VLOOKUP(A473,[1]Sheet15!B:E,4,0)</f>
        <v>1</v>
      </c>
      <c r="BQ473" s="7">
        <f>VLOOKUP(A473,[1]Sheet15!B:E,3,0)</f>
        <v>0</v>
      </c>
    </row>
    <row r="474" spans="1:69" ht="22.5" customHeight="1" x14ac:dyDescent="0.25">
      <c r="A474" s="15" t="s">
        <v>1201</v>
      </c>
      <c r="B474" s="15">
        <f>VLOOKUP(A474,'[1]Master clients'!F468:W4015,17,0)</f>
        <v>0</v>
      </c>
      <c r="C474" s="15" t="str">
        <f>VLOOKUP(A474,'[1]Master clients'!F468:P4015,11,0)</f>
        <v>AV</v>
      </c>
      <c r="D474" s="15" t="str">
        <f>VLOOKUP(A474,'[1]Master clients'!F:M,8,0)</f>
        <v>End User</v>
      </c>
      <c r="E474" s="16" t="s">
        <v>1202</v>
      </c>
      <c r="F474" s="16" t="s">
        <v>89</v>
      </c>
      <c r="G474" s="17">
        <v>10</v>
      </c>
      <c r="H474" s="17">
        <v>0</v>
      </c>
      <c r="I474" s="18">
        <v>9</v>
      </c>
      <c r="J474" s="18">
        <v>0</v>
      </c>
      <c r="K474" s="17">
        <v>0</v>
      </c>
      <c r="L474" s="17">
        <v>0</v>
      </c>
      <c r="M474" s="17">
        <v>0</v>
      </c>
      <c r="N474" s="17">
        <v>0</v>
      </c>
      <c r="O474" s="19">
        <v>0</v>
      </c>
      <c r="P474" s="19">
        <v>0</v>
      </c>
      <c r="Q474" s="19">
        <v>0</v>
      </c>
      <c r="R474" s="19">
        <v>0</v>
      </c>
      <c r="S474" s="19">
        <v>0</v>
      </c>
      <c r="T474" s="19">
        <v>4</v>
      </c>
      <c r="U474" s="19">
        <v>0</v>
      </c>
      <c r="V474" s="19">
        <v>0</v>
      </c>
      <c r="W474" s="20">
        <v>0</v>
      </c>
      <c r="X474" s="20">
        <v>0</v>
      </c>
      <c r="Y474" s="19">
        <v>0</v>
      </c>
      <c r="Z474" s="19">
        <v>0</v>
      </c>
      <c r="AA474" s="19">
        <v>1</v>
      </c>
      <c r="AB474" s="19">
        <v>0</v>
      </c>
      <c r="AC474" s="19">
        <v>0</v>
      </c>
      <c r="AD474" s="19">
        <v>0</v>
      </c>
      <c r="AE474" s="19">
        <v>0</v>
      </c>
      <c r="AF474" s="19">
        <v>0</v>
      </c>
      <c r="AG474" s="19">
        <v>0</v>
      </c>
      <c r="AH474" s="19">
        <v>0</v>
      </c>
      <c r="AI474" s="20">
        <v>0</v>
      </c>
      <c r="AJ474" s="20">
        <v>0</v>
      </c>
      <c r="AK474" s="19">
        <v>0</v>
      </c>
      <c r="AL474" s="20">
        <v>0</v>
      </c>
      <c r="AM474" s="19">
        <v>0</v>
      </c>
      <c r="AN474" s="19">
        <v>0</v>
      </c>
      <c r="AO474" s="19">
        <v>0</v>
      </c>
      <c r="AP474" s="19">
        <v>0</v>
      </c>
      <c r="AQ474" s="19">
        <v>6</v>
      </c>
      <c r="AR474" s="19">
        <v>0</v>
      </c>
      <c r="AS474" s="19">
        <v>5</v>
      </c>
      <c r="AT474" s="19">
        <v>0</v>
      </c>
      <c r="AU474" s="19">
        <v>0</v>
      </c>
      <c r="AV474" s="19">
        <v>0</v>
      </c>
      <c r="AW474" s="20">
        <v>0</v>
      </c>
      <c r="AX474" s="20">
        <v>0</v>
      </c>
      <c r="AY474" s="20">
        <v>0</v>
      </c>
      <c r="AZ474" s="19">
        <v>0</v>
      </c>
      <c r="BA474" s="19">
        <v>0</v>
      </c>
      <c r="BB474" s="19">
        <v>0</v>
      </c>
      <c r="BC474" s="19">
        <v>0</v>
      </c>
      <c r="BD474" s="19">
        <v>0</v>
      </c>
      <c r="BE474" s="21">
        <v>0</v>
      </c>
      <c r="BF474" s="21">
        <v>0</v>
      </c>
      <c r="BG474" s="19">
        <v>0</v>
      </c>
      <c r="BH474" s="19">
        <v>0</v>
      </c>
      <c r="BI474" s="22">
        <f t="shared" si="129"/>
        <v>9</v>
      </c>
      <c r="BJ474" s="22">
        <f t="shared" si="130"/>
        <v>7</v>
      </c>
      <c r="BK474" s="22">
        <f t="shared" si="131"/>
        <v>25</v>
      </c>
      <c r="BL474" s="22">
        <f t="shared" si="132"/>
        <v>18</v>
      </c>
      <c r="BM474" s="22">
        <f t="shared" si="128"/>
        <v>7</v>
      </c>
      <c r="BN474" s="23">
        <f t="shared" si="133"/>
        <v>0.5</v>
      </c>
      <c r="BO474" s="23">
        <f t="shared" si="133"/>
        <v>0</v>
      </c>
      <c r="BP474" s="7" t="e">
        <f>VLOOKUP(A474,[1]Sheet15!B:E,4,0)</f>
        <v>#N/A</v>
      </c>
      <c r="BQ474" s="7" t="e">
        <f>VLOOKUP(A474,[1]Sheet15!B:E,3,0)</f>
        <v>#N/A</v>
      </c>
    </row>
    <row r="475" spans="1:69" ht="22.5" customHeight="1" x14ac:dyDescent="0.25">
      <c r="A475" s="15" t="s">
        <v>1203</v>
      </c>
      <c r="B475" s="15">
        <f>VLOOKUP(A475,'[1]Master clients'!F469:W4016,17,0)</f>
        <v>0</v>
      </c>
      <c r="C475" s="15" t="str">
        <f>VLOOKUP(A475,'[1]Master clients'!F469:P4016,11,0)</f>
        <v>AV</v>
      </c>
      <c r="D475" s="15" t="str">
        <f>VLOOKUP(A475,'[1]Master clients'!F:M,8,0)</f>
        <v>End User</v>
      </c>
      <c r="E475" s="16" t="s">
        <v>1204</v>
      </c>
      <c r="F475" s="16" t="s">
        <v>89</v>
      </c>
      <c r="G475" s="17">
        <v>7</v>
      </c>
      <c r="H475" s="17">
        <v>0</v>
      </c>
      <c r="I475" s="18">
        <v>7</v>
      </c>
      <c r="J475" s="18">
        <v>0</v>
      </c>
      <c r="K475" s="17">
        <v>0</v>
      </c>
      <c r="L475" s="17">
        <v>0</v>
      </c>
      <c r="M475" s="17">
        <v>0</v>
      </c>
      <c r="N475" s="17">
        <v>4</v>
      </c>
      <c r="O475" s="19">
        <v>0</v>
      </c>
      <c r="P475" s="19">
        <v>0</v>
      </c>
      <c r="Q475" s="19">
        <v>0</v>
      </c>
      <c r="R475" s="19">
        <v>0</v>
      </c>
      <c r="S475" s="19">
        <v>0</v>
      </c>
      <c r="T475" s="19">
        <v>0</v>
      </c>
      <c r="U475" s="19">
        <v>0</v>
      </c>
      <c r="V475" s="19">
        <v>0</v>
      </c>
      <c r="W475" s="20">
        <v>0</v>
      </c>
      <c r="X475" s="20">
        <v>0</v>
      </c>
      <c r="Y475" s="19">
        <v>0</v>
      </c>
      <c r="Z475" s="19">
        <v>0</v>
      </c>
      <c r="AA475" s="19">
        <v>0</v>
      </c>
      <c r="AB475" s="19">
        <v>0</v>
      </c>
      <c r="AC475" s="19">
        <v>0</v>
      </c>
      <c r="AD475" s="19">
        <v>0</v>
      </c>
      <c r="AE475" s="19">
        <v>0</v>
      </c>
      <c r="AF475" s="19">
        <v>0</v>
      </c>
      <c r="AG475" s="19">
        <v>0</v>
      </c>
      <c r="AH475" s="19">
        <v>0</v>
      </c>
      <c r="AI475" s="20">
        <v>0</v>
      </c>
      <c r="AJ475" s="20">
        <v>0</v>
      </c>
      <c r="AK475" s="19">
        <v>0</v>
      </c>
      <c r="AL475" s="20">
        <v>0</v>
      </c>
      <c r="AM475" s="19">
        <v>0</v>
      </c>
      <c r="AN475" s="19">
        <v>0</v>
      </c>
      <c r="AO475" s="19">
        <v>0</v>
      </c>
      <c r="AP475" s="19">
        <v>0</v>
      </c>
      <c r="AQ475" s="19">
        <v>0</v>
      </c>
      <c r="AR475" s="19">
        <v>0</v>
      </c>
      <c r="AS475" s="19">
        <v>0</v>
      </c>
      <c r="AT475" s="19">
        <v>0</v>
      </c>
      <c r="AU475" s="19">
        <v>0</v>
      </c>
      <c r="AV475" s="19">
        <v>0</v>
      </c>
      <c r="AW475" s="20">
        <v>0</v>
      </c>
      <c r="AX475" s="20">
        <v>0</v>
      </c>
      <c r="AY475" s="20">
        <v>0</v>
      </c>
      <c r="AZ475" s="19">
        <v>0</v>
      </c>
      <c r="BA475" s="19">
        <v>0</v>
      </c>
      <c r="BB475" s="19">
        <v>0</v>
      </c>
      <c r="BC475" s="19">
        <v>0</v>
      </c>
      <c r="BD475" s="19">
        <v>0</v>
      </c>
      <c r="BE475" s="21">
        <v>0</v>
      </c>
      <c r="BF475" s="21">
        <v>0</v>
      </c>
      <c r="BG475" s="19">
        <v>0</v>
      </c>
      <c r="BH475" s="19">
        <v>0</v>
      </c>
      <c r="BI475" s="22">
        <f t="shared" si="129"/>
        <v>0</v>
      </c>
      <c r="BJ475" s="22">
        <f t="shared" si="130"/>
        <v>4</v>
      </c>
      <c r="BK475" s="22">
        <f t="shared" si="131"/>
        <v>11</v>
      </c>
      <c r="BL475" s="22">
        <f t="shared" si="132"/>
        <v>7</v>
      </c>
      <c r="BM475" s="22">
        <f t="shared" si="128"/>
        <v>4</v>
      </c>
      <c r="BN475" s="23">
        <f t="shared" si="133"/>
        <v>1</v>
      </c>
      <c r="BO475" s="23">
        <f t="shared" si="133"/>
        <v>0</v>
      </c>
      <c r="BP475" s="7">
        <f>VLOOKUP(A475,[1]Sheet15!B:E,4,0)</f>
        <v>12</v>
      </c>
      <c r="BQ475" s="7">
        <f>VLOOKUP(A475,[1]Sheet15!B:E,3,0)</f>
        <v>0</v>
      </c>
    </row>
    <row r="476" spans="1:69" ht="22.5" customHeight="1" x14ac:dyDescent="0.25">
      <c r="A476" s="15" t="s">
        <v>1205</v>
      </c>
      <c r="B476" s="15">
        <f>VLOOKUP(A476,'[1]Master clients'!F470:W4017,17,0)</f>
        <v>0</v>
      </c>
      <c r="C476" s="15" t="str">
        <f>VLOOKUP(A476,'[1]Master clients'!F470:P4017,11,0)</f>
        <v>AV</v>
      </c>
      <c r="D476" s="15" t="str">
        <f>VLOOKUP(A476,'[1]Master clients'!F:M,8,0)</f>
        <v>End User</v>
      </c>
      <c r="E476" s="16" t="s">
        <v>1206</v>
      </c>
      <c r="F476" s="16" t="s">
        <v>89</v>
      </c>
      <c r="G476" s="17">
        <v>0</v>
      </c>
      <c r="H476" s="17">
        <v>0</v>
      </c>
      <c r="I476" s="18">
        <v>0</v>
      </c>
      <c r="J476" s="18">
        <v>0</v>
      </c>
      <c r="K476" s="17">
        <v>0</v>
      </c>
      <c r="L476" s="17">
        <v>0</v>
      </c>
      <c r="M476" s="17">
        <v>0</v>
      </c>
      <c r="N476" s="17">
        <v>8</v>
      </c>
      <c r="O476" s="19">
        <v>0</v>
      </c>
      <c r="P476" s="19">
        <v>2</v>
      </c>
      <c r="Q476" s="19">
        <v>2</v>
      </c>
      <c r="R476" s="19">
        <v>8</v>
      </c>
      <c r="S476" s="19">
        <v>0</v>
      </c>
      <c r="T476" s="19">
        <v>0</v>
      </c>
      <c r="U476" s="19">
        <v>0</v>
      </c>
      <c r="V476" s="19">
        <v>0</v>
      </c>
      <c r="W476" s="20">
        <v>0</v>
      </c>
      <c r="X476" s="20">
        <v>0</v>
      </c>
      <c r="Y476" s="19">
        <v>0</v>
      </c>
      <c r="Z476" s="19">
        <v>0</v>
      </c>
      <c r="AA476" s="19">
        <v>0</v>
      </c>
      <c r="AB476" s="19">
        <v>0</v>
      </c>
      <c r="AC476" s="19">
        <v>0</v>
      </c>
      <c r="AD476" s="19">
        <v>0</v>
      </c>
      <c r="AE476" s="19">
        <v>0</v>
      </c>
      <c r="AF476" s="19">
        <v>0</v>
      </c>
      <c r="AG476" s="19">
        <v>0</v>
      </c>
      <c r="AH476" s="19">
        <v>0</v>
      </c>
      <c r="AI476" s="20">
        <v>0</v>
      </c>
      <c r="AJ476" s="20">
        <v>0</v>
      </c>
      <c r="AK476" s="19">
        <v>0</v>
      </c>
      <c r="AL476" s="20">
        <v>0</v>
      </c>
      <c r="AM476" s="19">
        <v>0</v>
      </c>
      <c r="AN476" s="19">
        <v>0</v>
      </c>
      <c r="AO476" s="19">
        <v>0</v>
      </c>
      <c r="AP476" s="19">
        <v>0</v>
      </c>
      <c r="AQ476" s="19">
        <v>0</v>
      </c>
      <c r="AR476" s="19">
        <v>0</v>
      </c>
      <c r="AS476" s="19">
        <v>0</v>
      </c>
      <c r="AT476" s="19">
        <v>0</v>
      </c>
      <c r="AU476" s="19">
        <v>0</v>
      </c>
      <c r="AV476" s="19">
        <v>0</v>
      </c>
      <c r="AW476" s="20">
        <v>0</v>
      </c>
      <c r="AX476" s="20">
        <v>0</v>
      </c>
      <c r="AY476" s="20">
        <v>0</v>
      </c>
      <c r="AZ476" s="19">
        <v>0</v>
      </c>
      <c r="BA476" s="19">
        <v>0</v>
      </c>
      <c r="BB476" s="19">
        <v>0</v>
      </c>
      <c r="BC476" s="19">
        <v>0</v>
      </c>
      <c r="BD476" s="19">
        <v>0</v>
      </c>
      <c r="BE476" s="21">
        <v>0</v>
      </c>
      <c r="BF476" s="21">
        <v>0</v>
      </c>
      <c r="BG476" s="19">
        <v>0</v>
      </c>
      <c r="BH476" s="19">
        <v>0</v>
      </c>
      <c r="BI476" s="22">
        <f t="shared" si="129"/>
        <v>10</v>
      </c>
      <c r="BJ476" s="22">
        <f t="shared" si="130"/>
        <v>10</v>
      </c>
      <c r="BK476" s="22">
        <f t="shared" si="131"/>
        <v>20</v>
      </c>
      <c r="BL476" s="22">
        <f t="shared" si="132"/>
        <v>10</v>
      </c>
      <c r="BM476" s="22">
        <f t="shared" si="128"/>
        <v>10</v>
      </c>
      <c r="BN476" s="23">
        <f t="shared" si="133"/>
        <v>0</v>
      </c>
      <c r="BO476" s="23">
        <f t="shared" si="133"/>
        <v>0</v>
      </c>
      <c r="BP476" s="7" t="e">
        <f>VLOOKUP(A476,[1]Sheet15!B:E,4,0)</f>
        <v>#N/A</v>
      </c>
      <c r="BQ476" s="7" t="e">
        <f>VLOOKUP(A476,[1]Sheet15!B:E,3,0)</f>
        <v>#N/A</v>
      </c>
    </row>
    <row r="477" spans="1:69" ht="22.5" customHeight="1" x14ac:dyDescent="0.25">
      <c r="A477" s="15" t="s">
        <v>1207</v>
      </c>
      <c r="B477" s="15">
        <f>VLOOKUP(A477,'[1]Master clients'!F471:W4018,17,0)</f>
        <v>0</v>
      </c>
      <c r="C477" s="15" t="str">
        <f>VLOOKUP(A477,'[1]Master clients'!F471:P4018,11,0)</f>
        <v>AV</v>
      </c>
      <c r="D477" s="15" t="str">
        <f>VLOOKUP(A477,'[1]Master clients'!F:M,8,0)</f>
        <v>End User</v>
      </c>
      <c r="E477" s="16" t="s">
        <v>1208</v>
      </c>
      <c r="F477" s="16" t="s">
        <v>89</v>
      </c>
      <c r="G477" s="17"/>
      <c r="H477" s="17"/>
      <c r="I477" s="26">
        <v>4</v>
      </c>
      <c r="J477" s="31">
        <v>0</v>
      </c>
      <c r="K477" s="17">
        <v>0</v>
      </c>
      <c r="L477" s="17">
        <v>0</v>
      </c>
      <c r="M477" s="17">
        <v>0</v>
      </c>
      <c r="N477" s="17">
        <v>0</v>
      </c>
      <c r="O477" s="17">
        <v>0</v>
      </c>
      <c r="P477" s="17">
        <v>0</v>
      </c>
      <c r="Q477" s="17">
        <v>0</v>
      </c>
      <c r="R477" s="17">
        <v>0</v>
      </c>
      <c r="S477" s="17">
        <v>0</v>
      </c>
      <c r="T477" s="17">
        <v>0</v>
      </c>
      <c r="U477" s="17">
        <v>0</v>
      </c>
      <c r="V477" s="17">
        <v>0</v>
      </c>
      <c r="W477" s="17">
        <v>0</v>
      </c>
      <c r="X477" s="17">
        <v>0</v>
      </c>
      <c r="Y477" s="17">
        <v>0</v>
      </c>
      <c r="Z477" s="17">
        <v>0</v>
      </c>
      <c r="AA477" s="17">
        <v>0</v>
      </c>
      <c r="AB477" s="17">
        <v>0</v>
      </c>
      <c r="AC477" s="17">
        <v>0</v>
      </c>
      <c r="AD477" s="17">
        <v>0</v>
      </c>
      <c r="AE477" s="17">
        <v>0</v>
      </c>
      <c r="AF477" s="17">
        <v>0</v>
      </c>
      <c r="AG477" s="17">
        <v>0</v>
      </c>
      <c r="AH477" s="17">
        <v>0</v>
      </c>
      <c r="AI477" s="17">
        <v>0</v>
      </c>
      <c r="AJ477" s="17">
        <v>0</v>
      </c>
      <c r="AK477" s="17">
        <v>0</v>
      </c>
      <c r="AL477" s="17">
        <v>0</v>
      </c>
      <c r="AM477" s="17">
        <v>0</v>
      </c>
      <c r="AN477" s="17">
        <v>0</v>
      </c>
      <c r="AO477" s="17">
        <v>0</v>
      </c>
      <c r="AP477" s="17">
        <v>0</v>
      </c>
      <c r="AQ477" s="17">
        <v>0</v>
      </c>
      <c r="AR477" s="17">
        <v>0</v>
      </c>
      <c r="AS477" s="17">
        <v>0</v>
      </c>
      <c r="AT477" s="17">
        <v>0</v>
      </c>
      <c r="AU477" s="17">
        <v>0</v>
      </c>
      <c r="AV477" s="17">
        <v>0</v>
      </c>
      <c r="AW477" s="17">
        <v>0</v>
      </c>
      <c r="AX477" s="17">
        <v>0</v>
      </c>
      <c r="AY477" s="17">
        <v>0</v>
      </c>
      <c r="AZ477" s="17">
        <v>0</v>
      </c>
      <c r="BA477" s="17">
        <v>0</v>
      </c>
      <c r="BB477" s="17">
        <v>0</v>
      </c>
      <c r="BC477" s="17">
        <v>0</v>
      </c>
      <c r="BD477" s="17">
        <v>0</v>
      </c>
      <c r="BE477" s="17">
        <v>0</v>
      </c>
      <c r="BF477" s="17">
        <v>0</v>
      </c>
      <c r="BG477" s="17">
        <v>0</v>
      </c>
      <c r="BH477" s="17">
        <v>0</v>
      </c>
      <c r="BI477" s="22">
        <f t="shared" si="129"/>
        <v>0</v>
      </c>
      <c r="BJ477" s="22">
        <f t="shared" si="130"/>
        <v>0</v>
      </c>
      <c r="BK477" s="28">
        <f t="shared" si="131"/>
        <v>4</v>
      </c>
      <c r="BL477" s="22">
        <f t="shared" si="132"/>
        <v>4</v>
      </c>
      <c r="BM477" s="22">
        <f t="shared" si="128"/>
        <v>0</v>
      </c>
      <c r="BN477" s="23">
        <f t="shared" si="133"/>
        <v>1</v>
      </c>
      <c r="BO477" s="23" t="e">
        <f t="shared" si="133"/>
        <v>#DIV/0!</v>
      </c>
      <c r="BP477" s="7">
        <f>VLOOKUP(A477,[1]Sheet15!B:E,4,0)</f>
        <v>4</v>
      </c>
      <c r="BQ477" s="7">
        <f>VLOOKUP(A477,[1]Sheet15!B:E,3,0)</f>
        <v>0</v>
      </c>
    </row>
    <row r="478" spans="1:69" ht="22.5" customHeight="1" x14ac:dyDescent="0.25">
      <c r="A478" s="15" t="s">
        <v>1209</v>
      </c>
      <c r="B478" s="15">
        <f>VLOOKUP(A478,'[1]Master clients'!F472:W4019,17,0)</f>
        <v>0</v>
      </c>
      <c r="C478" s="15" t="str">
        <f>VLOOKUP(A478,'[1]Master clients'!F472:P4019,11,0)</f>
        <v>AV</v>
      </c>
      <c r="D478" s="15" t="str">
        <f>VLOOKUP(A478,'[1]Master clients'!F:M,8,0)</f>
        <v>Group (Mills)</v>
      </c>
      <c r="E478" s="16" t="s">
        <v>1210</v>
      </c>
      <c r="F478" s="16" t="s">
        <v>675</v>
      </c>
      <c r="G478" s="17"/>
      <c r="H478" s="17"/>
      <c r="I478" s="31">
        <v>0</v>
      </c>
      <c r="J478" s="31">
        <v>0</v>
      </c>
      <c r="K478" s="17">
        <v>0</v>
      </c>
      <c r="L478" s="17">
        <v>0</v>
      </c>
      <c r="M478" s="17">
        <v>0</v>
      </c>
      <c r="N478" s="17">
        <v>0</v>
      </c>
      <c r="O478" s="17">
        <v>0</v>
      </c>
      <c r="P478" s="17">
        <v>0</v>
      </c>
      <c r="Q478" s="17">
        <v>0</v>
      </c>
      <c r="R478" s="17">
        <v>0</v>
      </c>
      <c r="S478" s="17">
        <v>0</v>
      </c>
      <c r="T478" s="17">
        <v>0</v>
      </c>
      <c r="U478" s="17">
        <v>0</v>
      </c>
      <c r="V478" s="17">
        <v>0</v>
      </c>
      <c r="W478" s="17">
        <v>0</v>
      </c>
      <c r="X478" s="17">
        <v>0</v>
      </c>
      <c r="Y478" s="17">
        <v>0</v>
      </c>
      <c r="Z478" s="17">
        <v>0</v>
      </c>
      <c r="AA478" s="17">
        <v>0</v>
      </c>
      <c r="AB478" s="17">
        <v>0</v>
      </c>
      <c r="AC478" s="17">
        <v>0</v>
      </c>
      <c r="AD478" s="17">
        <v>0</v>
      </c>
      <c r="AE478" s="17">
        <v>0</v>
      </c>
      <c r="AF478" s="17">
        <v>0</v>
      </c>
      <c r="AG478" s="17">
        <v>0</v>
      </c>
      <c r="AH478" s="17">
        <v>0</v>
      </c>
      <c r="AI478" s="17">
        <v>0</v>
      </c>
      <c r="AJ478" s="17">
        <v>0</v>
      </c>
      <c r="AK478" s="17">
        <v>0</v>
      </c>
      <c r="AL478" s="17">
        <v>0</v>
      </c>
      <c r="AM478" s="17">
        <v>0</v>
      </c>
      <c r="AN478" s="17">
        <v>0</v>
      </c>
      <c r="AO478" s="17">
        <v>0</v>
      </c>
      <c r="AP478" s="17">
        <v>0</v>
      </c>
      <c r="AQ478" s="17">
        <v>0</v>
      </c>
      <c r="AR478" s="17">
        <v>0</v>
      </c>
      <c r="AS478" s="17">
        <v>0</v>
      </c>
      <c r="AT478" s="17">
        <v>0</v>
      </c>
      <c r="AU478" s="17">
        <v>0</v>
      </c>
      <c r="AV478" s="17">
        <v>0</v>
      </c>
      <c r="AW478" s="17">
        <v>0</v>
      </c>
      <c r="AX478" s="17">
        <v>0</v>
      </c>
      <c r="AY478" s="17">
        <v>0</v>
      </c>
      <c r="AZ478" s="17">
        <v>0</v>
      </c>
      <c r="BA478" s="17">
        <v>0</v>
      </c>
      <c r="BB478" s="17">
        <v>0</v>
      </c>
      <c r="BC478" s="17">
        <v>0</v>
      </c>
      <c r="BD478" s="17">
        <v>0</v>
      </c>
      <c r="BE478" s="17">
        <v>0</v>
      </c>
      <c r="BF478" s="17">
        <v>0</v>
      </c>
      <c r="BG478" s="17">
        <v>0</v>
      </c>
      <c r="BH478" s="17">
        <v>0</v>
      </c>
      <c r="BI478" s="22">
        <f t="shared" si="129"/>
        <v>0</v>
      </c>
      <c r="BJ478" s="22">
        <f t="shared" si="130"/>
        <v>0</v>
      </c>
      <c r="BK478" s="22">
        <f t="shared" si="131"/>
        <v>0</v>
      </c>
      <c r="BL478" s="22">
        <f t="shared" si="132"/>
        <v>0</v>
      </c>
      <c r="BM478" s="22">
        <f t="shared" si="128"/>
        <v>0</v>
      </c>
      <c r="BN478" s="23" t="e">
        <f t="shared" si="133"/>
        <v>#DIV/0!</v>
      </c>
      <c r="BO478" s="23" t="e">
        <f t="shared" si="133"/>
        <v>#DIV/0!</v>
      </c>
      <c r="BP478" s="7" t="e">
        <f>VLOOKUP(A478,[1]Sheet15!B:E,4,0)</f>
        <v>#N/A</v>
      </c>
      <c r="BQ478" s="7" t="e">
        <f>VLOOKUP(A478,[1]Sheet15!B:E,3,0)</f>
        <v>#N/A</v>
      </c>
    </row>
    <row r="479" spans="1:69" ht="22.5" customHeight="1" x14ac:dyDescent="0.25">
      <c r="A479" s="15" t="s">
        <v>1211</v>
      </c>
      <c r="B479" s="15">
        <f>VLOOKUP(A479,'[1]Master clients'!F473:W4020,17,0)</f>
        <v>0</v>
      </c>
      <c r="C479" s="15" t="str">
        <f>VLOOKUP(A479,'[1]Master clients'!F473:P4020,11,0)</f>
        <v>AV</v>
      </c>
      <c r="D479" s="15" t="str">
        <f>VLOOKUP(A479,'[1]Master clients'!F:M,8,0)</f>
        <v>Group (Mills)</v>
      </c>
      <c r="E479" s="16" t="s">
        <v>1212</v>
      </c>
      <c r="F479" s="16" t="s">
        <v>89</v>
      </c>
      <c r="G479" s="17">
        <v>30</v>
      </c>
      <c r="H479" s="17">
        <v>14</v>
      </c>
      <c r="I479" s="18">
        <v>30</v>
      </c>
      <c r="J479" s="18">
        <v>8</v>
      </c>
      <c r="K479" s="17">
        <v>0</v>
      </c>
      <c r="L479" s="17">
        <v>0</v>
      </c>
      <c r="M479" s="17">
        <v>0</v>
      </c>
      <c r="N479" s="17">
        <v>0</v>
      </c>
      <c r="O479" s="19">
        <v>0</v>
      </c>
      <c r="P479" s="19">
        <v>0</v>
      </c>
      <c r="Q479" s="19">
        <v>0</v>
      </c>
      <c r="R479" s="19">
        <v>0</v>
      </c>
      <c r="S479" s="19">
        <v>0</v>
      </c>
      <c r="T479" s="19">
        <v>0</v>
      </c>
      <c r="U479" s="19">
        <v>0</v>
      </c>
      <c r="V479" s="19">
        <v>0</v>
      </c>
      <c r="W479" s="20">
        <v>0</v>
      </c>
      <c r="X479" s="20">
        <v>0</v>
      </c>
      <c r="Y479" s="19">
        <v>0</v>
      </c>
      <c r="Z479" s="19">
        <v>0</v>
      </c>
      <c r="AA479" s="19">
        <v>0</v>
      </c>
      <c r="AB479" s="19">
        <v>0</v>
      </c>
      <c r="AC479" s="19">
        <v>0</v>
      </c>
      <c r="AD479" s="19">
        <v>0</v>
      </c>
      <c r="AE479" s="19">
        <v>0</v>
      </c>
      <c r="AF479" s="19">
        <v>0</v>
      </c>
      <c r="AG479" s="19">
        <v>0</v>
      </c>
      <c r="AH479" s="19">
        <v>0</v>
      </c>
      <c r="AI479" s="20">
        <v>0</v>
      </c>
      <c r="AJ479" s="20">
        <v>0</v>
      </c>
      <c r="AK479" s="19">
        <v>0</v>
      </c>
      <c r="AL479" s="20">
        <v>0</v>
      </c>
      <c r="AM479" s="19">
        <v>0</v>
      </c>
      <c r="AN479" s="19">
        <v>0</v>
      </c>
      <c r="AO479" s="19">
        <v>0</v>
      </c>
      <c r="AP479" s="19">
        <v>0</v>
      </c>
      <c r="AQ479" s="19">
        <v>0</v>
      </c>
      <c r="AR479" s="19">
        <v>0</v>
      </c>
      <c r="AS479" s="19">
        <v>0</v>
      </c>
      <c r="AT479" s="19">
        <v>0</v>
      </c>
      <c r="AU479" s="19">
        <v>0</v>
      </c>
      <c r="AV479" s="19">
        <v>0</v>
      </c>
      <c r="AW479" s="20">
        <v>0</v>
      </c>
      <c r="AX479" s="20">
        <v>0</v>
      </c>
      <c r="AY479" s="20">
        <v>0</v>
      </c>
      <c r="AZ479" s="19">
        <v>0</v>
      </c>
      <c r="BA479" s="19">
        <v>0</v>
      </c>
      <c r="BB479" s="19">
        <v>0</v>
      </c>
      <c r="BC479" s="19">
        <v>0</v>
      </c>
      <c r="BD479" s="19">
        <v>0</v>
      </c>
      <c r="BE479" s="21">
        <v>0</v>
      </c>
      <c r="BF479" s="21">
        <v>0</v>
      </c>
      <c r="BG479" s="19">
        <v>0</v>
      </c>
      <c r="BH479" s="19">
        <v>0</v>
      </c>
      <c r="BI479" s="22">
        <f t="shared" si="129"/>
        <v>0</v>
      </c>
      <c r="BJ479" s="22">
        <f t="shared" si="130"/>
        <v>0</v>
      </c>
      <c r="BK479" s="22">
        <f t="shared" si="131"/>
        <v>38</v>
      </c>
      <c r="BL479" s="22">
        <f t="shared" si="132"/>
        <v>30</v>
      </c>
      <c r="BM479" s="22">
        <f t="shared" ref="BM479:BM554" si="134">SUM(J479+N479+O479+Q479+S479+U479+X479+AA479+AD479+AF479+AM479+AP479+AQ479+AT479+AX479+AY479+BD479+BH479)</f>
        <v>8</v>
      </c>
      <c r="BN479" s="23">
        <f t="shared" si="133"/>
        <v>1</v>
      </c>
      <c r="BO479" s="23">
        <f t="shared" si="133"/>
        <v>1</v>
      </c>
      <c r="BP479" s="7">
        <f>VLOOKUP(A479,[1]Sheet15!B:E,4,0)</f>
        <v>2</v>
      </c>
      <c r="BQ479" s="7">
        <f>VLOOKUP(A479,[1]Sheet15!B:E,3,0)</f>
        <v>0</v>
      </c>
    </row>
    <row r="480" spans="1:69" ht="22.5" customHeight="1" x14ac:dyDescent="0.25">
      <c r="A480" s="15" t="s">
        <v>1213</v>
      </c>
      <c r="B480" s="15">
        <f>VLOOKUP(A480,'[1]Master clients'!F474:W4021,17,0)</f>
        <v>0</v>
      </c>
      <c r="C480" s="15" t="str">
        <f>VLOOKUP(A480,'[1]Master clients'!F474:P4021,11,0)</f>
        <v>AV</v>
      </c>
      <c r="D480" s="15" t="str">
        <f>VLOOKUP(A480,'[1]Master clients'!F:M,8,0)</f>
        <v>End User</v>
      </c>
      <c r="E480" s="24" t="s">
        <v>1214</v>
      </c>
      <c r="F480" s="25" t="s">
        <v>89</v>
      </c>
      <c r="G480" s="20">
        <v>6</v>
      </c>
      <c r="H480" s="20">
        <v>0</v>
      </c>
      <c r="I480" s="26">
        <v>6</v>
      </c>
      <c r="J480" s="26">
        <v>0</v>
      </c>
      <c r="K480" s="20">
        <v>3</v>
      </c>
      <c r="L480" s="20">
        <v>0</v>
      </c>
      <c r="M480" s="20">
        <v>0</v>
      </c>
      <c r="N480" s="20">
        <v>0</v>
      </c>
      <c r="O480" s="20">
        <v>0</v>
      </c>
      <c r="P480" s="20">
        <v>0</v>
      </c>
      <c r="Q480" s="20">
        <v>0</v>
      </c>
      <c r="R480" s="20">
        <v>0</v>
      </c>
      <c r="S480" s="20">
        <v>0</v>
      </c>
      <c r="T480" s="20">
        <v>0</v>
      </c>
      <c r="U480" s="20">
        <v>0</v>
      </c>
      <c r="V480" s="20">
        <v>0</v>
      </c>
      <c r="W480" s="20">
        <v>0</v>
      </c>
      <c r="X480" s="20">
        <v>0</v>
      </c>
      <c r="Y480" s="20">
        <v>0</v>
      </c>
      <c r="Z480" s="20">
        <v>0</v>
      </c>
      <c r="AA480" s="20">
        <v>0</v>
      </c>
      <c r="AB480" s="20">
        <v>0</v>
      </c>
      <c r="AC480" s="20">
        <v>0</v>
      </c>
      <c r="AD480" s="20">
        <v>0</v>
      </c>
      <c r="AE480" s="20">
        <v>0</v>
      </c>
      <c r="AF480" s="20">
        <v>0</v>
      </c>
      <c r="AG480" s="20">
        <v>0</v>
      </c>
      <c r="AH480" s="20">
        <v>0</v>
      </c>
      <c r="AI480" s="20">
        <v>0</v>
      </c>
      <c r="AJ480" s="20">
        <v>0</v>
      </c>
      <c r="AK480" s="20">
        <v>0</v>
      </c>
      <c r="AL480" s="20">
        <v>0</v>
      </c>
      <c r="AM480" s="20">
        <v>0</v>
      </c>
      <c r="AN480" s="20">
        <v>0</v>
      </c>
      <c r="AO480" s="20">
        <v>0</v>
      </c>
      <c r="AP480" s="20">
        <v>0</v>
      </c>
      <c r="AQ480" s="20">
        <v>0</v>
      </c>
      <c r="AR480" s="20">
        <v>0</v>
      </c>
      <c r="AS480" s="20">
        <v>6</v>
      </c>
      <c r="AT480" s="20">
        <v>0</v>
      </c>
      <c r="AU480" s="20">
        <v>0</v>
      </c>
      <c r="AV480" s="20">
        <v>0</v>
      </c>
      <c r="AW480" s="20">
        <v>0</v>
      </c>
      <c r="AX480" s="20">
        <v>0</v>
      </c>
      <c r="AY480" s="20">
        <v>0</v>
      </c>
      <c r="AZ480" s="20">
        <v>0</v>
      </c>
      <c r="BA480" s="20">
        <v>0</v>
      </c>
      <c r="BB480" s="27">
        <v>0</v>
      </c>
      <c r="BC480" s="20">
        <v>0</v>
      </c>
      <c r="BD480" s="20">
        <v>0</v>
      </c>
      <c r="BE480" s="21">
        <v>0</v>
      </c>
      <c r="BF480" s="21">
        <v>0</v>
      </c>
      <c r="BG480" s="20">
        <v>0</v>
      </c>
      <c r="BH480" s="20">
        <v>0</v>
      </c>
      <c r="BI480" s="22">
        <f t="shared" si="129"/>
        <v>9</v>
      </c>
      <c r="BJ480" s="22">
        <f t="shared" si="130"/>
        <v>0</v>
      </c>
      <c r="BK480" s="28">
        <f t="shared" si="131"/>
        <v>15</v>
      </c>
      <c r="BL480" s="22">
        <f t="shared" si="132"/>
        <v>15</v>
      </c>
      <c r="BM480" s="22">
        <f t="shared" si="134"/>
        <v>0</v>
      </c>
      <c r="BN480" s="23">
        <f t="shared" si="133"/>
        <v>0.4</v>
      </c>
      <c r="BO480" s="23" t="e">
        <f t="shared" si="133"/>
        <v>#DIV/0!</v>
      </c>
      <c r="BP480" s="7">
        <f>VLOOKUP(A480,[1]Sheet15!B:E,4,0)</f>
        <v>4</v>
      </c>
      <c r="BQ480" s="7">
        <f>VLOOKUP(A480,[1]Sheet15!B:E,3,0)</f>
        <v>0</v>
      </c>
    </row>
    <row r="481" spans="1:69" ht="22.5" customHeight="1" x14ac:dyDescent="0.25">
      <c r="A481" s="15" t="s">
        <v>1215</v>
      </c>
      <c r="B481" s="15">
        <f>VLOOKUP(A481,'[1]Master clients'!F475:W4022,17,0)</f>
        <v>0</v>
      </c>
      <c r="C481" s="15" t="str">
        <f>VLOOKUP(A481,'[1]Master clients'!F475:P4022,11,0)</f>
        <v>AV</v>
      </c>
      <c r="D481" s="15" t="str">
        <f>VLOOKUP(A481,'[1]Master clients'!F:M,8,0)</f>
        <v>End User</v>
      </c>
      <c r="E481" s="24" t="s">
        <v>1216</v>
      </c>
      <c r="F481" s="25" t="s">
        <v>89</v>
      </c>
      <c r="G481" s="20">
        <v>8</v>
      </c>
      <c r="H481" s="20">
        <v>1</v>
      </c>
      <c r="I481" s="26">
        <v>7</v>
      </c>
      <c r="J481" s="26">
        <v>1</v>
      </c>
      <c r="K481" s="20">
        <v>0</v>
      </c>
      <c r="L481" s="20">
        <v>0</v>
      </c>
      <c r="M481" s="20">
        <v>0</v>
      </c>
      <c r="N481" s="20">
        <v>3</v>
      </c>
      <c r="O481" s="20">
        <v>0</v>
      </c>
      <c r="P481" s="20">
        <v>0</v>
      </c>
      <c r="Q481" s="20">
        <v>0</v>
      </c>
      <c r="R481" s="20">
        <v>0</v>
      </c>
      <c r="S481" s="20">
        <v>0</v>
      </c>
      <c r="T481" s="20">
        <v>0</v>
      </c>
      <c r="U481" s="20">
        <v>0</v>
      </c>
      <c r="V481" s="20">
        <v>0</v>
      </c>
      <c r="W481" s="20">
        <v>0</v>
      </c>
      <c r="X481" s="20">
        <v>0</v>
      </c>
      <c r="Y481" s="20">
        <v>0</v>
      </c>
      <c r="Z481" s="20">
        <v>0</v>
      </c>
      <c r="AA481" s="20">
        <v>0</v>
      </c>
      <c r="AB481" s="20">
        <v>0</v>
      </c>
      <c r="AC481" s="20">
        <v>0</v>
      </c>
      <c r="AD481" s="20">
        <v>0</v>
      </c>
      <c r="AE481" s="20">
        <v>0</v>
      </c>
      <c r="AF481" s="20">
        <v>0</v>
      </c>
      <c r="AG481" s="20">
        <v>0</v>
      </c>
      <c r="AH481" s="20">
        <v>0</v>
      </c>
      <c r="AI481" s="20">
        <v>0</v>
      </c>
      <c r="AJ481" s="20">
        <v>0</v>
      </c>
      <c r="AK481" s="20">
        <v>0</v>
      </c>
      <c r="AL481" s="20">
        <v>0</v>
      </c>
      <c r="AM481" s="20">
        <v>0</v>
      </c>
      <c r="AN481" s="20">
        <v>0</v>
      </c>
      <c r="AO481" s="20">
        <v>0</v>
      </c>
      <c r="AP481" s="20">
        <v>0</v>
      </c>
      <c r="AQ481" s="20">
        <v>0</v>
      </c>
      <c r="AR481" s="20">
        <v>0</v>
      </c>
      <c r="AS481" s="20">
        <v>4</v>
      </c>
      <c r="AT481" s="20">
        <v>0</v>
      </c>
      <c r="AU481" s="20">
        <v>0</v>
      </c>
      <c r="AV481" s="20">
        <v>0</v>
      </c>
      <c r="AW481" s="20">
        <v>0</v>
      </c>
      <c r="AX481" s="20">
        <v>0</v>
      </c>
      <c r="AY481" s="20">
        <v>0</v>
      </c>
      <c r="AZ481" s="20">
        <v>0</v>
      </c>
      <c r="BA481" s="20">
        <v>0</v>
      </c>
      <c r="BB481" s="27">
        <v>0</v>
      </c>
      <c r="BC481" s="20">
        <v>0</v>
      </c>
      <c r="BD481" s="20">
        <v>0</v>
      </c>
      <c r="BE481" s="21">
        <v>0</v>
      </c>
      <c r="BF481" s="21">
        <v>0</v>
      </c>
      <c r="BG481" s="20">
        <v>0</v>
      </c>
      <c r="BH481" s="20">
        <v>0</v>
      </c>
      <c r="BI481" s="22">
        <f t="shared" si="129"/>
        <v>4</v>
      </c>
      <c r="BJ481" s="22">
        <f t="shared" si="130"/>
        <v>3</v>
      </c>
      <c r="BK481" s="28">
        <f t="shared" si="131"/>
        <v>15</v>
      </c>
      <c r="BL481" s="22">
        <f t="shared" si="132"/>
        <v>11</v>
      </c>
      <c r="BM481" s="22">
        <f t="shared" si="134"/>
        <v>4</v>
      </c>
      <c r="BN481" s="23">
        <f t="shared" si="133"/>
        <v>0.63636363636363635</v>
      </c>
      <c r="BO481" s="23">
        <f t="shared" si="133"/>
        <v>0.25</v>
      </c>
      <c r="BP481" s="7">
        <f>VLOOKUP(A481,[1]Sheet15!B:E,4,0)</f>
        <v>11</v>
      </c>
      <c r="BQ481" s="7">
        <f>VLOOKUP(A481,[1]Sheet15!B:E,3,0)</f>
        <v>1</v>
      </c>
    </row>
    <row r="482" spans="1:69" ht="22.5" customHeight="1" x14ac:dyDescent="0.25">
      <c r="A482" s="15" t="s">
        <v>1217</v>
      </c>
      <c r="B482" s="15" t="e">
        <f>VLOOKUP(A482,'[1]Master clients'!F476:W4023,17,0)</f>
        <v>#N/A</v>
      </c>
      <c r="C482" s="15" t="e">
        <f>VLOOKUP(A482,'[1]Master clients'!F476:P4023,11,0)</f>
        <v>#N/A</v>
      </c>
      <c r="D482" s="15" t="e">
        <f>VLOOKUP(A482,'[1]Master clients'!F:M,8,0)</f>
        <v>#N/A</v>
      </c>
      <c r="E482" s="16" t="s">
        <v>1218</v>
      </c>
      <c r="F482" s="16" t="s">
        <v>1219</v>
      </c>
      <c r="G482" s="17"/>
      <c r="H482" s="17"/>
      <c r="I482" s="18">
        <v>0</v>
      </c>
      <c r="J482" s="18">
        <v>0</v>
      </c>
      <c r="K482" s="20">
        <v>0</v>
      </c>
      <c r="L482" s="20">
        <v>0</v>
      </c>
      <c r="M482" s="20">
        <v>0</v>
      </c>
      <c r="N482" s="20">
        <v>0</v>
      </c>
      <c r="O482" s="20">
        <v>0</v>
      </c>
      <c r="P482" s="20">
        <v>0</v>
      </c>
      <c r="Q482" s="19">
        <v>9</v>
      </c>
      <c r="R482" s="20">
        <v>0</v>
      </c>
      <c r="S482" s="20">
        <v>0</v>
      </c>
      <c r="T482" s="20">
        <v>0</v>
      </c>
      <c r="U482" s="20">
        <v>0</v>
      </c>
      <c r="V482" s="20">
        <v>0</v>
      </c>
      <c r="W482" s="20">
        <v>0</v>
      </c>
      <c r="X482" s="20">
        <v>0</v>
      </c>
      <c r="Y482" s="20">
        <v>0</v>
      </c>
      <c r="Z482" s="20">
        <v>0</v>
      </c>
      <c r="AA482" s="20">
        <v>0</v>
      </c>
      <c r="AB482" s="20">
        <v>0</v>
      </c>
      <c r="AC482" s="20">
        <v>0</v>
      </c>
      <c r="AD482" s="20">
        <v>0</v>
      </c>
      <c r="AE482" s="20">
        <v>0</v>
      </c>
      <c r="AF482" s="20">
        <v>0</v>
      </c>
      <c r="AG482" s="20">
        <v>0</v>
      </c>
      <c r="AH482" s="20">
        <v>0</v>
      </c>
      <c r="AI482" s="20">
        <v>0</v>
      </c>
      <c r="AJ482" s="20">
        <v>0</v>
      </c>
      <c r="AK482" s="20">
        <v>0</v>
      </c>
      <c r="AL482" s="20">
        <v>0</v>
      </c>
      <c r="AM482" s="20">
        <v>0</v>
      </c>
      <c r="AN482" s="20">
        <v>0</v>
      </c>
      <c r="AO482" s="20">
        <v>0</v>
      </c>
      <c r="AP482" s="20">
        <v>0</v>
      </c>
      <c r="AQ482" s="20">
        <v>0</v>
      </c>
      <c r="AR482" s="20">
        <v>0</v>
      </c>
      <c r="AS482" s="20">
        <v>0</v>
      </c>
      <c r="AT482" s="20">
        <v>0</v>
      </c>
      <c r="AU482" s="20">
        <v>0</v>
      </c>
      <c r="AV482" s="20">
        <v>0</v>
      </c>
      <c r="AW482" s="20">
        <v>0</v>
      </c>
      <c r="AX482" s="20">
        <v>0</v>
      </c>
      <c r="AY482" s="20">
        <v>0</v>
      </c>
      <c r="AZ482" s="20">
        <v>0</v>
      </c>
      <c r="BA482" s="20">
        <v>0</v>
      </c>
      <c r="BB482" s="20">
        <v>0</v>
      </c>
      <c r="BC482" s="20">
        <v>0</v>
      </c>
      <c r="BD482" s="20">
        <v>0</v>
      </c>
      <c r="BE482" s="21">
        <v>14</v>
      </c>
      <c r="BF482" s="21">
        <v>0</v>
      </c>
      <c r="BG482" s="20">
        <v>0</v>
      </c>
      <c r="BH482" s="20">
        <v>0</v>
      </c>
      <c r="BI482" s="22">
        <f t="shared" si="129"/>
        <v>14</v>
      </c>
      <c r="BJ482" s="22">
        <f t="shared" si="130"/>
        <v>9</v>
      </c>
      <c r="BK482" s="22">
        <f t="shared" si="131"/>
        <v>23</v>
      </c>
      <c r="BL482" s="22">
        <f t="shared" si="132"/>
        <v>14</v>
      </c>
      <c r="BM482" s="22">
        <f t="shared" si="134"/>
        <v>9</v>
      </c>
      <c r="BN482" s="23">
        <f t="shared" si="133"/>
        <v>0</v>
      </c>
      <c r="BO482" s="23">
        <f t="shared" si="133"/>
        <v>0</v>
      </c>
      <c r="BP482" s="7" t="e">
        <f>VLOOKUP(A482,[1]Sheet15!B:E,4,0)</f>
        <v>#N/A</v>
      </c>
      <c r="BQ482" s="7" t="e">
        <f>VLOOKUP(A482,[1]Sheet15!B:E,3,0)</f>
        <v>#N/A</v>
      </c>
    </row>
    <row r="483" spans="1:69" ht="22.5" customHeight="1" x14ac:dyDescent="0.25">
      <c r="A483" s="15" t="s">
        <v>1217</v>
      </c>
      <c r="B483" s="15" t="e">
        <f>VLOOKUP(A483,'[1]Master clients'!F477:W4024,17,0)</f>
        <v>#N/A</v>
      </c>
      <c r="C483" s="15" t="e">
        <f>VLOOKUP(A483,'[1]Master clients'!F477:P4024,11,0)</f>
        <v>#N/A</v>
      </c>
      <c r="D483" s="15" t="e">
        <f>VLOOKUP(A483,'[1]Master clients'!F:M,8,0)</f>
        <v>#N/A</v>
      </c>
      <c r="E483" s="16" t="s">
        <v>1220</v>
      </c>
      <c r="F483" s="16" t="s">
        <v>1221</v>
      </c>
      <c r="G483" s="17"/>
      <c r="H483" s="17"/>
      <c r="I483" s="18">
        <v>0</v>
      </c>
      <c r="J483" s="18">
        <v>0</v>
      </c>
      <c r="K483" s="17">
        <v>0</v>
      </c>
      <c r="L483" s="17">
        <v>0</v>
      </c>
      <c r="M483" s="17">
        <v>4</v>
      </c>
      <c r="N483" s="17">
        <v>4</v>
      </c>
      <c r="O483" s="19">
        <v>0</v>
      </c>
      <c r="P483" s="19">
        <v>0</v>
      </c>
      <c r="Q483" s="19">
        <v>2</v>
      </c>
      <c r="R483" s="19">
        <v>0</v>
      </c>
      <c r="S483" s="19">
        <v>0</v>
      </c>
      <c r="T483" s="19">
        <v>0</v>
      </c>
      <c r="U483" s="19">
        <v>0</v>
      </c>
      <c r="V483" s="19">
        <v>0</v>
      </c>
      <c r="W483" s="20">
        <v>0</v>
      </c>
      <c r="X483" s="20">
        <v>0</v>
      </c>
      <c r="Y483" s="20">
        <v>0</v>
      </c>
      <c r="Z483" s="20">
        <v>0</v>
      </c>
      <c r="AA483" s="20">
        <v>0</v>
      </c>
      <c r="AB483" s="20">
        <v>0</v>
      </c>
      <c r="AC483" s="20">
        <v>0</v>
      </c>
      <c r="AD483" s="20">
        <v>0</v>
      </c>
      <c r="AE483" s="20">
        <v>0</v>
      </c>
      <c r="AF483" s="20">
        <v>0</v>
      </c>
      <c r="AG483" s="20">
        <v>0</v>
      </c>
      <c r="AH483" s="20">
        <v>0</v>
      </c>
      <c r="AI483" s="20">
        <v>0</v>
      </c>
      <c r="AJ483" s="20">
        <v>0</v>
      </c>
      <c r="AK483" s="20">
        <v>0</v>
      </c>
      <c r="AL483" s="20">
        <v>0</v>
      </c>
      <c r="AM483" s="20">
        <v>0</v>
      </c>
      <c r="AN483" s="20">
        <v>0</v>
      </c>
      <c r="AO483" s="20">
        <v>3</v>
      </c>
      <c r="AP483" s="20">
        <v>0</v>
      </c>
      <c r="AQ483" s="20">
        <v>0</v>
      </c>
      <c r="AR483" s="20">
        <v>0</v>
      </c>
      <c r="AS483" s="20">
        <v>0</v>
      </c>
      <c r="AT483" s="20">
        <v>0</v>
      </c>
      <c r="AU483" s="20">
        <v>0</v>
      </c>
      <c r="AV483" s="19">
        <v>0</v>
      </c>
      <c r="AW483" s="20">
        <v>0</v>
      </c>
      <c r="AX483" s="20">
        <v>0</v>
      </c>
      <c r="AY483" s="20">
        <v>0</v>
      </c>
      <c r="AZ483" s="19">
        <v>0</v>
      </c>
      <c r="BA483" s="19">
        <v>0</v>
      </c>
      <c r="BB483" s="19">
        <v>0</v>
      </c>
      <c r="BC483" s="19">
        <v>0</v>
      </c>
      <c r="BD483" s="19">
        <v>0</v>
      </c>
      <c r="BE483" s="21">
        <v>0</v>
      </c>
      <c r="BF483" s="21">
        <v>0</v>
      </c>
      <c r="BG483" s="19">
        <v>0</v>
      </c>
      <c r="BH483" s="19">
        <v>0</v>
      </c>
      <c r="BI483" s="22">
        <f t="shared" si="129"/>
        <v>7</v>
      </c>
      <c r="BJ483" s="22">
        <f t="shared" si="130"/>
        <v>6</v>
      </c>
      <c r="BK483" s="22">
        <f t="shared" si="131"/>
        <v>13</v>
      </c>
      <c r="BL483" s="22">
        <f t="shared" si="132"/>
        <v>7</v>
      </c>
      <c r="BM483" s="22">
        <f t="shared" si="134"/>
        <v>6</v>
      </c>
      <c r="BN483" s="23">
        <f t="shared" si="133"/>
        <v>0</v>
      </c>
      <c r="BO483" s="23">
        <f t="shared" si="133"/>
        <v>0</v>
      </c>
      <c r="BP483" s="7" t="e">
        <f>VLOOKUP(A483,[1]Sheet15!B:E,4,0)</f>
        <v>#N/A</v>
      </c>
      <c r="BQ483" s="7" t="e">
        <f>VLOOKUP(A483,[1]Sheet15!B:E,3,0)</f>
        <v>#N/A</v>
      </c>
    </row>
    <row r="484" spans="1:69" ht="22.5" customHeight="1" x14ac:dyDescent="0.25">
      <c r="A484" s="15" t="s">
        <v>1217</v>
      </c>
      <c r="B484" s="15" t="e">
        <f>VLOOKUP(A484,'[1]Master clients'!F478:W4025,17,0)</f>
        <v>#N/A</v>
      </c>
      <c r="C484" s="15" t="e">
        <f>VLOOKUP(A484,'[1]Master clients'!F478:P4025,11,0)</f>
        <v>#N/A</v>
      </c>
      <c r="D484" s="15" t="e">
        <f>VLOOKUP(A484,'[1]Master clients'!F:M,8,0)</f>
        <v>#N/A</v>
      </c>
      <c r="E484" s="24" t="s">
        <v>1222</v>
      </c>
      <c r="F484" s="25"/>
      <c r="G484" s="20"/>
      <c r="H484" s="20"/>
      <c r="I484" s="18">
        <v>0</v>
      </c>
      <c r="J484" s="18">
        <v>0</v>
      </c>
      <c r="K484" s="20">
        <v>0</v>
      </c>
      <c r="L484" s="20">
        <v>0</v>
      </c>
      <c r="M484" s="20">
        <v>0</v>
      </c>
      <c r="N484" s="20">
        <v>0</v>
      </c>
      <c r="O484" s="20">
        <v>0</v>
      </c>
      <c r="P484" s="20">
        <v>0</v>
      </c>
      <c r="Q484" s="20">
        <v>0</v>
      </c>
      <c r="R484" s="20">
        <v>0</v>
      </c>
      <c r="S484" s="20">
        <v>0</v>
      </c>
      <c r="T484" s="20">
        <v>0</v>
      </c>
      <c r="U484" s="20">
        <v>0</v>
      </c>
      <c r="V484" s="20">
        <v>0</v>
      </c>
      <c r="W484" s="20">
        <v>0</v>
      </c>
      <c r="X484" s="20">
        <v>0</v>
      </c>
      <c r="Y484" s="20">
        <v>0</v>
      </c>
      <c r="Z484" s="20">
        <v>0</v>
      </c>
      <c r="AA484" s="20">
        <v>0</v>
      </c>
      <c r="AB484" s="20">
        <v>0</v>
      </c>
      <c r="AC484" s="20">
        <v>0</v>
      </c>
      <c r="AD484" s="20">
        <v>0</v>
      </c>
      <c r="AE484" s="20">
        <v>0</v>
      </c>
      <c r="AF484" s="20">
        <v>0</v>
      </c>
      <c r="AG484" s="20">
        <v>0</v>
      </c>
      <c r="AH484" s="20">
        <v>0</v>
      </c>
      <c r="AI484" s="20">
        <v>0</v>
      </c>
      <c r="AJ484" s="20">
        <v>0</v>
      </c>
      <c r="AK484" s="20">
        <v>0</v>
      </c>
      <c r="AL484" s="20">
        <v>0</v>
      </c>
      <c r="AM484" s="20">
        <v>0</v>
      </c>
      <c r="AN484" s="20">
        <v>0</v>
      </c>
      <c r="AO484" s="20">
        <v>10</v>
      </c>
      <c r="AP484" s="20">
        <v>0</v>
      </c>
      <c r="AQ484" s="20">
        <v>0</v>
      </c>
      <c r="AR484" s="20">
        <v>0</v>
      </c>
      <c r="AS484" s="20">
        <v>0</v>
      </c>
      <c r="AT484" s="20">
        <v>0</v>
      </c>
      <c r="AU484" s="20">
        <v>0</v>
      </c>
      <c r="AV484" s="20">
        <v>0</v>
      </c>
      <c r="AW484" s="20">
        <v>0</v>
      </c>
      <c r="AX484" s="20">
        <v>0</v>
      </c>
      <c r="AY484" s="20">
        <v>0</v>
      </c>
      <c r="AZ484" s="20">
        <v>0</v>
      </c>
      <c r="BA484" s="20">
        <v>0</v>
      </c>
      <c r="BB484" s="20">
        <v>0</v>
      </c>
      <c r="BC484" s="20">
        <v>0</v>
      </c>
      <c r="BD484" s="20">
        <v>0</v>
      </c>
      <c r="BE484" s="20">
        <v>0</v>
      </c>
      <c r="BF484" s="20">
        <v>0</v>
      </c>
      <c r="BG484" s="20">
        <v>0</v>
      </c>
      <c r="BH484" s="20">
        <v>0</v>
      </c>
      <c r="BI484" s="22">
        <f t="shared" si="129"/>
        <v>10</v>
      </c>
      <c r="BJ484" s="22">
        <f t="shared" si="130"/>
        <v>0</v>
      </c>
      <c r="BK484" s="22">
        <f t="shared" si="131"/>
        <v>10</v>
      </c>
      <c r="BL484" s="22">
        <f t="shared" si="132"/>
        <v>10</v>
      </c>
      <c r="BM484" s="22">
        <f t="shared" si="134"/>
        <v>0</v>
      </c>
      <c r="BN484" s="23">
        <f t="shared" si="133"/>
        <v>0</v>
      </c>
      <c r="BO484" s="23" t="e">
        <f t="shared" si="133"/>
        <v>#DIV/0!</v>
      </c>
      <c r="BP484" s="7" t="e">
        <f>VLOOKUP(A484,[1]Sheet15!B:E,4,0)</f>
        <v>#N/A</v>
      </c>
      <c r="BQ484" s="7" t="e">
        <f>VLOOKUP(A484,[1]Sheet15!B:E,3,0)</f>
        <v>#N/A</v>
      </c>
    </row>
    <row r="485" spans="1:69" ht="22.5" customHeight="1" x14ac:dyDescent="0.25">
      <c r="A485" s="15" t="s">
        <v>1217</v>
      </c>
      <c r="B485" s="15" t="e">
        <f>VLOOKUP(A485,'[1]Master clients'!F479:W4026,17,0)</f>
        <v>#N/A</v>
      </c>
      <c r="C485" s="15" t="e">
        <f>VLOOKUP(A485,'[1]Master clients'!F479:P4026,11,0)</f>
        <v>#N/A</v>
      </c>
      <c r="D485" s="15" t="e">
        <f>VLOOKUP(A485,'[1]Master clients'!F:M,8,0)</f>
        <v>#N/A</v>
      </c>
      <c r="E485" s="24" t="s">
        <v>1223</v>
      </c>
      <c r="F485" s="25"/>
      <c r="G485" s="20"/>
      <c r="H485" s="20"/>
      <c r="I485" s="18">
        <v>0</v>
      </c>
      <c r="J485" s="18">
        <v>0</v>
      </c>
      <c r="K485" s="20">
        <v>4</v>
      </c>
      <c r="L485" s="20">
        <v>0</v>
      </c>
      <c r="M485" s="20">
        <v>0</v>
      </c>
      <c r="N485" s="20">
        <v>0</v>
      </c>
      <c r="O485" s="20">
        <v>0</v>
      </c>
      <c r="P485" s="20">
        <v>0</v>
      </c>
      <c r="Q485" s="20">
        <v>0</v>
      </c>
      <c r="R485" s="20">
        <v>0</v>
      </c>
      <c r="S485" s="20">
        <v>0</v>
      </c>
      <c r="T485" s="20">
        <v>0</v>
      </c>
      <c r="U485" s="20">
        <v>0</v>
      </c>
      <c r="V485" s="20">
        <v>0</v>
      </c>
      <c r="W485" s="20">
        <v>0</v>
      </c>
      <c r="X485" s="20">
        <v>0</v>
      </c>
      <c r="Y485" s="20">
        <v>0</v>
      </c>
      <c r="Z485" s="20">
        <v>0</v>
      </c>
      <c r="AA485" s="20">
        <v>0</v>
      </c>
      <c r="AB485" s="20">
        <v>0</v>
      </c>
      <c r="AC485" s="20">
        <v>0</v>
      </c>
      <c r="AD485" s="20">
        <v>0</v>
      </c>
      <c r="AE485" s="20">
        <v>0</v>
      </c>
      <c r="AF485" s="20">
        <v>0</v>
      </c>
      <c r="AG485" s="20">
        <v>0</v>
      </c>
      <c r="AH485" s="20">
        <v>0</v>
      </c>
      <c r="AI485" s="20">
        <v>0</v>
      </c>
      <c r="AJ485" s="20">
        <v>0</v>
      </c>
      <c r="AK485" s="20">
        <v>0</v>
      </c>
      <c r="AL485" s="20">
        <v>0</v>
      </c>
      <c r="AM485" s="20">
        <v>0</v>
      </c>
      <c r="AN485" s="20">
        <v>0</v>
      </c>
      <c r="AO485" s="20">
        <v>0</v>
      </c>
      <c r="AP485" s="20">
        <v>0</v>
      </c>
      <c r="AQ485" s="20">
        <v>0</v>
      </c>
      <c r="AR485" s="20">
        <v>0</v>
      </c>
      <c r="AS485" s="20">
        <v>0</v>
      </c>
      <c r="AT485" s="20">
        <v>0</v>
      </c>
      <c r="AU485" s="20">
        <v>0</v>
      </c>
      <c r="AV485" s="20">
        <v>0</v>
      </c>
      <c r="AW485" s="20">
        <v>0</v>
      </c>
      <c r="AX485" s="20">
        <v>0</v>
      </c>
      <c r="AY485" s="20">
        <v>0</v>
      </c>
      <c r="AZ485" s="20">
        <v>0</v>
      </c>
      <c r="BA485" s="20">
        <v>0</v>
      </c>
      <c r="BB485" s="20">
        <v>0</v>
      </c>
      <c r="BC485" s="20">
        <v>0</v>
      </c>
      <c r="BD485" s="20">
        <v>0</v>
      </c>
      <c r="BE485" s="20">
        <v>0</v>
      </c>
      <c r="BF485" s="20">
        <v>0</v>
      </c>
      <c r="BG485" s="20">
        <v>0</v>
      </c>
      <c r="BH485" s="20">
        <v>0</v>
      </c>
      <c r="BI485" s="22">
        <f t="shared" si="129"/>
        <v>4</v>
      </c>
      <c r="BJ485" s="22">
        <f t="shared" si="130"/>
        <v>0</v>
      </c>
      <c r="BK485" s="22">
        <f t="shared" si="131"/>
        <v>4</v>
      </c>
      <c r="BL485" s="22">
        <f t="shared" si="132"/>
        <v>4</v>
      </c>
      <c r="BM485" s="22">
        <f t="shared" si="134"/>
        <v>0</v>
      </c>
      <c r="BN485" s="23">
        <f t="shared" ref="BN485:BO500" si="135">I485/BL485</f>
        <v>0</v>
      </c>
      <c r="BO485" s="23" t="e">
        <f t="shared" si="135"/>
        <v>#DIV/0!</v>
      </c>
      <c r="BP485" s="7" t="e">
        <f>VLOOKUP(A485,[1]Sheet15!B:E,4,0)</f>
        <v>#N/A</v>
      </c>
      <c r="BQ485" s="7" t="e">
        <f>VLOOKUP(A485,[1]Sheet15!B:E,3,0)</f>
        <v>#N/A</v>
      </c>
    </row>
    <row r="486" spans="1:69" ht="22.5" customHeight="1" x14ac:dyDescent="0.25">
      <c r="A486" s="15" t="s">
        <v>1217</v>
      </c>
      <c r="B486" s="15" t="e">
        <f>VLOOKUP(A486,'[1]Master clients'!F480:W4027,17,0)</f>
        <v>#N/A</v>
      </c>
      <c r="C486" s="15" t="e">
        <f>VLOOKUP(A486,'[1]Master clients'!F480:P4027,11,0)</f>
        <v>#N/A</v>
      </c>
      <c r="D486" s="15" t="e">
        <f>VLOOKUP(A486,'[1]Master clients'!F:M,8,0)</f>
        <v>#N/A</v>
      </c>
      <c r="E486" s="24" t="s">
        <v>1224</v>
      </c>
      <c r="F486" s="25"/>
      <c r="G486" s="20"/>
      <c r="H486" s="20"/>
      <c r="I486" s="18">
        <v>0</v>
      </c>
      <c r="J486" s="18">
        <v>0</v>
      </c>
      <c r="K486" s="20">
        <v>4</v>
      </c>
      <c r="L486" s="20">
        <v>0</v>
      </c>
      <c r="M486" s="20">
        <v>0</v>
      </c>
      <c r="N486" s="20">
        <v>0</v>
      </c>
      <c r="O486" s="20">
        <v>0</v>
      </c>
      <c r="P486" s="20">
        <v>0</v>
      </c>
      <c r="Q486" s="20">
        <v>0</v>
      </c>
      <c r="R486" s="20">
        <v>0</v>
      </c>
      <c r="S486" s="20">
        <v>0</v>
      </c>
      <c r="T486" s="20">
        <v>0</v>
      </c>
      <c r="U486" s="20">
        <v>0</v>
      </c>
      <c r="V486" s="20">
        <v>0</v>
      </c>
      <c r="W486" s="20">
        <v>0</v>
      </c>
      <c r="X486" s="20">
        <v>0</v>
      </c>
      <c r="Y486" s="20">
        <v>0</v>
      </c>
      <c r="Z486" s="20">
        <v>4</v>
      </c>
      <c r="AA486" s="20">
        <v>0</v>
      </c>
      <c r="AB486" s="20">
        <v>0</v>
      </c>
      <c r="AC486" s="20">
        <v>0</v>
      </c>
      <c r="AD486" s="20">
        <v>0</v>
      </c>
      <c r="AE486" s="20">
        <v>0</v>
      </c>
      <c r="AF486" s="20">
        <v>0</v>
      </c>
      <c r="AG486" s="20">
        <v>0</v>
      </c>
      <c r="AH486" s="20">
        <v>0</v>
      </c>
      <c r="AI486" s="20">
        <v>0</v>
      </c>
      <c r="AJ486" s="20">
        <v>0</v>
      </c>
      <c r="AK486" s="20">
        <v>0</v>
      </c>
      <c r="AL486" s="20">
        <v>0</v>
      </c>
      <c r="AM486" s="20">
        <v>0</v>
      </c>
      <c r="AN486" s="20">
        <v>0</v>
      </c>
      <c r="AO486" s="20">
        <v>6</v>
      </c>
      <c r="AP486" s="20">
        <v>0</v>
      </c>
      <c r="AQ486" s="20">
        <v>0</v>
      </c>
      <c r="AR486" s="20">
        <v>0</v>
      </c>
      <c r="AS486" s="20">
        <v>0</v>
      </c>
      <c r="AT486" s="20">
        <v>0</v>
      </c>
      <c r="AU486" s="20">
        <v>0</v>
      </c>
      <c r="AV486" s="20">
        <v>0</v>
      </c>
      <c r="AW486" s="20">
        <v>0</v>
      </c>
      <c r="AX486" s="20">
        <v>0</v>
      </c>
      <c r="AY486" s="20">
        <v>0</v>
      </c>
      <c r="AZ486" s="20">
        <v>0</v>
      </c>
      <c r="BA486" s="20">
        <v>0</v>
      </c>
      <c r="BB486" s="20">
        <v>0</v>
      </c>
      <c r="BC486" s="20">
        <v>0</v>
      </c>
      <c r="BD486" s="20">
        <v>0</v>
      </c>
      <c r="BE486" s="20">
        <v>0</v>
      </c>
      <c r="BF486" s="20">
        <v>0</v>
      </c>
      <c r="BG486" s="20">
        <v>0</v>
      </c>
      <c r="BH486" s="20">
        <v>0</v>
      </c>
      <c r="BI486" s="22">
        <f t="shared" si="129"/>
        <v>14</v>
      </c>
      <c r="BJ486" s="22">
        <f t="shared" si="130"/>
        <v>0</v>
      </c>
      <c r="BK486" s="22">
        <f t="shared" si="131"/>
        <v>14</v>
      </c>
      <c r="BL486" s="22">
        <f t="shared" si="132"/>
        <v>14</v>
      </c>
      <c r="BM486" s="22">
        <f t="shared" si="134"/>
        <v>0</v>
      </c>
      <c r="BN486" s="23">
        <f t="shared" si="135"/>
        <v>0</v>
      </c>
      <c r="BO486" s="23" t="e">
        <f t="shared" si="135"/>
        <v>#DIV/0!</v>
      </c>
      <c r="BP486" s="7" t="e">
        <f>VLOOKUP(A486,[1]Sheet15!B:E,4,0)</f>
        <v>#N/A</v>
      </c>
      <c r="BQ486" s="7" t="e">
        <f>VLOOKUP(A486,[1]Sheet15!B:E,3,0)</f>
        <v>#N/A</v>
      </c>
    </row>
    <row r="487" spans="1:69" ht="22.5" customHeight="1" x14ac:dyDescent="0.25">
      <c r="A487" s="15" t="s">
        <v>1217</v>
      </c>
      <c r="B487" s="15" t="e">
        <f>VLOOKUP(A487,'[1]Master clients'!F481:W4028,17,0)</f>
        <v>#N/A</v>
      </c>
      <c r="C487" s="15" t="e">
        <f>VLOOKUP(A487,'[1]Master clients'!F481:P4028,11,0)</f>
        <v>#N/A</v>
      </c>
      <c r="D487" s="15" t="e">
        <f>VLOOKUP(A487,'[1]Master clients'!F:M,8,0)</f>
        <v>#N/A</v>
      </c>
      <c r="E487" s="24" t="s">
        <v>1225</v>
      </c>
      <c r="F487" s="25"/>
      <c r="G487" s="20"/>
      <c r="H487" s="20"/>
      <c r="I487" s="18">
        <v>0</v>
      </c>
      <c r="J487" s="18">
        <v>0</v>
      </c>
      <c r="K487" s="20">
        <v>6</v>
      </c>
      <c r="L487" s="20">
        <v>0</v>
      </c>
      <c r="M487" s="20">
        <v>0</v>
      </c>
      <c r="N487" s="20">
        <v>0</v>
      </c>
      <c r="O487" s="20">
        <v>0</v>
      </c>
      <c r="P487" s="20">
        <v>0</v>
      </c>
      <c r="Q487" s="20">
        <v>0</v>
      </c>
      <c r="R487" s="20">
        <v>0</v>
      </c>
      <c r="S487" s="20">
        <v>0</v>
      </c>
      <c r="T487" s="20">
        <v>0</v>
      </c>
      <c r="U487" s="20">
        <v>0</v>
      </c>
      <c r="V487" s="20">
        <v>0</v>
      </c>
      <c r="W487" s="20">
        <v>0</v>
      </c>
      <c r="X487" s="20">
        <v>0</v>
      </c>
      <c r="Y487" s="20">
        <v>0</v>
      </c>
      <c r="Z487" s="20">
        <v>0</v>
      </c>
      <c r="AA487" s="20">
        <v>0</v>
      </c>
      <c r="AB487" s="20">
        <v>0</v>
      </c>
      <c r="AC487" s="20">
        <v>0</v>
      </c>
      <c r="AD487" s="20">
        <v>0</v>
      </c>
      <c r="AE487" s="20">
        <v>0</v>
      </c>
      <c r="AF487" s="20">
        <v>0</v>
      </c>
      <c r="AG487" s="20">
        <v>0</v>
      </c>
      <c r="AH487" s="20">
        <v>0</v>
      </c>
      <c r="AI487" s="20">
        <v>0</v>
      </c>
      <c r="AJ487" s="20">
        <v>0</v>
      </c>
      <c r="AK487" s="20">
        <v>0</v>
      </c>
      <c r="AL487" s="20">
        <v>0</v>
      </c>
      <c r="AM487" s="20">
        <v>0</v>
      </c>
      <c r="AN487" s="20">
        <v>0</v>
      </c>
      <c r="AO487" s="20">
        <v>0</v>
      </c>
      <c r="AP487" s="20">
        <v>0</v>
      </c>
      <c r="AQ487" s="20">
        <v>0</v>
      </c>
      <c r="AR487" s="20">
        <v>0</v>
      </c>
      <c r="AS487" s="20">
        <v>0</v>
      </c>
      <c r="AT487" s="20">
        <v>0</v>
      </c>
      <c r="AU487" s="20">
        <v>0</v>
      </c>
      <c r="AV487" s="20">
        <v>0</v>
      </c>
      <c r="AW487" s="20">
        <v>0</v>
      </c>
      <c r="AX487" s="20">
        <v>0</v>
      </c>
      <c r="AY487" s="20">
        <v>0</v>
      </c>
      <c r="AZ487" s="20">
        <v>0</v>
      </c>
      <c r="BA487" s="20">
        <v>0</v>
      </c>
      <c r="BB487" s="20">
        <v>0</v>
      </c>
      <c r="BC487" s="20">
        <v>0</v>
      </c>
      <c r="BD487" s="20">
        <v>0</v>
      </c>
      <c r="BE487" s="20">
        <v>0</v>
      </c>
      <c r="BF487" s="20">
        <v>0</v>
      </c>
      <c r="BG487" s="20">
        <v>0</v>
      </c>
      <c r="BH487" s="20">
        <v>0</v>
      </c>
      <c r="BI487" s="22">
        <f t="shared" si="129"/>
        <v>6</v>
      </c>
      <c r="BJ487" s="22">
        <f t="shared" si="130"/>
        <v>0</v>
      </c>
      <c r="BK487" s="22">
        <f t="shared" si="131"/>
        <v>6</v>
      </c>
      <c r="BL487" s="22">
        <f t="shared" si="132"/>
        <v>6</v>
      </c>
      <c r="BM487" s="22">
        <f t="shared" si="134"/>
        <v>0</v>
      </c>
      <c r="BN487" s="23">
        <f t="shared" si="135"/>
        <v>0</v>
      </c>
      <c r="BO487" s="23" t="e">
        <f t="shared" si="135"/>
        <v>#DIV/0!</v>
      </c>
      <c r="BP487" s="7" t="e">
        <f>VLOOKUP(A487,[1]Sheet15!B:E,4,0)</f>
        <v>#N/A</v>
      </c>
      <c r="BQ487" s="7" t="e">
        <f>VLOOKUP(A487,[1]Sheet15!B:E,3,0)</f>
        <v>#N/A</v>
      </c>
    </row>
    <row r="488" spans="1:69" ht="22.5" customHeight="1" x14ac:dyDescent="0.25">
      <c r="A488" s="15" t="s">
        <v>1217</v>
      </c>
      <c r="B488" s="15" t="e">
        <f>VLOOKUP(A488,'[1]Master clients'!F482:W4029,17,0)</f>
        <v>#N/A</v>
      </c>
      <c r="C488" s="15" t="e">
        <f>VLOOKUP(A488,'[1]Master clients'!F482:P4029,11,0)</f>
        <v>#N/A</v>
      </c>
      <c r="D488" s="15" t="e">
        <f>VLOOKUP(A488,'[1]Master clients'!F:M,8,0)</f>
        <v>#N/A</v>
      </c>
      <c r="E488" s="24" t="s">
        <v>1226</v>
      </c>
      <c r="F488" s="25"/>
      <c r="G488" s="20"/>
      <c r="H488" s="20"/>
      <c r="I488" s="18">
        <v>0</v>
      </c>
      <c r="J488" s="18">
        <v>0</v>
      </c>
      <c r="K488" s="20">
        <v>7</v>
      </c>
      <c r="L488" s="20">
        <v>0</v>
      </c>
      <c r="M488" s="20">
        <v>0</v>
      </c>
      <c r="N488" s="20">
        <v>0</v>
      </c>
      <c r="O488" s="20">
        <v>0</v>
      </c>
      <c r="P488" s="20">
        <v>0</v>
      </c>
      <c r="Q488" s="20">
        <v>0</v>
      </c>
      <c r="R488" s="20">
        <v>0</v>
      </c>
      <c r="S488" s="20">
        <v>0</v>
      </c>
      <c r="T488" s="20">
        <v>0</v>
      </c>
      <c r="U488" s="20">
        <v>0</v>
      </c>
      <c r="V488" s="20">
        <v>0</v>
      </c>
      <c r="W488" s="20">
        <v>0</v>
      </c>
      <c r="X488" s="20">
        <v>0</v>
      </c>
      <c r="Y488" s="20">
        <v>0</v>
      </c>
      <c r="Z488" s="20">
        <v>0</v>
      </c>
      <c r="AA488" s="20">
        <v>0</v>
      </c>
      <c r="AB488" s="20">
        <v>0</v>
      </c>
      <c r="AC488" s="20">
        <v>0</v>
      </c>
      <c r="AD488" s="20">
        <v>0</v>
      </c>
      <c r="AE488" s="20">
        <v>0</v>
      </c>
      <c r="AF488" s="20">
        <v>0</v>
      </c>
      <c r="AG488" s="20">
        <v>0</v>
      </c>
      <c r="AH488" s="20">
        <v>0</v>
      </c>
      <c r="AI488" s="20">
        <v>0</v>
      </c>
      <c r="AJ488" s="20">
        <v>0</v>
      </c>
      <c r="AK488" s="20">
        <v>0</v>
      </c>
      <c r="AL488" s="20">
        <v>0</v>
      </c>
      <c r="AM488" s="20">
        <v>0</v>
      </c>
      <c r="AN488" s="20">
        <v>0</v>
      </c>
      <c r="AO488" s="20">
        <v>0</v>
      </c>
      <c r="AP488" s="20">
        <v>0</v>
      </c>
      <c r="AQ488" s="20">
        <v>0</v>
      </c>
      <c r="AR488" s="20">
        <v>0</v>
      </c>
      <c r="AS488" s="20">
        <v>0</v>
      </c>
      <c r="AT488" s="20">
        <v>0</v>
      </c>
      <c r="AU488" s="20">
        <v>0</v>
      </c>
      <c r="AV488" s="20">
        <v>0</v>
      </c>
      <c r="AW488" s="20">
        <v>0</v>
      </c>
      <c r="AX488" s="20">
        <v>0</v>
      </c>
      <c r="AY488" s="20">
        <v>0</v>
      </c>
      <c r="AZ488" s="20">
        <v>0</v>
      </c>
      <c r="BA488" s="20">
        <v>0</v>
      </c>
      <c r="BB488" s="20">
        <v>0</v>
      </c>
      <c r="BC488" s="20">
        <v>0</v>
      </c>
      <c r="BD488" s="20">
        <v>0</v>
      </c>
      <c r="BE488" s="20">
        <v>0</v>
      </c>
      <c r="BF488" s="20">
        <v>0</v>
      </c>
      <c r="BG488" s="20">
        <v>0</v>
      </c>
      <c r="BH488" s="20">
        <v>0</v>
      </c>
      <c r="BI488" s="22">
        <f t="shared" si="129"/>
        <v>7</v>
      </c>
      <c r="BJ488" s="22">
        <f t="shared" si="130"/>
        <v>0</v>
      </c>
      <c r="BK488" s="22">
        <f t="shared" si="131"/>
        <v>7</v>
      </c>
      <c r="BL488" s="22">
        <f t="shared" si="132"/>
        <v>7</v>
      </c>
      <c r="BM488" s="22">
        <f t="shared" si="134"/>
        <v>0</v>
      </c>
      <c r="BN488" s="23">
        <f t="shared" si="135"/>
        <v>0</v>
      </c>
      <c r="BO488" s="23" t="e">
        <f t="shared" si="135"/>
        <v>#DIV/0!</v>
      </c>
      <c r="BP488" s="7" t="e">
        <f>VLOOKUP(A488,[1]Sheet15!B:E,4,0)</f>
        <v>#N/A</v>
      </c>
      <c r="BQ488" s="7" t="e">
        <f>VLOOKUP(A488,[1]Sheet15!B:E,3,0)</f>
        <v>#N/A</v>
      </c>
    </row>
    <row r="489" spans="1:69" ht="22.5" customHeight="1" x14ac:dyDescent="0.25">
      <c r="A489" s="15" t="s">
        <v>1217</v>
      </c>
      <c r="B489" s="15" t="e">
        <f>VLOOKUP(A489,'[1]Master clients'!F483:W4030,17,0)</f>
        <v>#N/A</v>
      </c>
      <c r="C489" s="15" t="e">
        <f>VLOOKUP(A489,'[1]Master clients'!F483:P4030,11,0)</f>
        <v>#N/A</v>
      </c>
      <c r="D489" s="15" t="e">
        <f>VLOOKUP(A489,'[1]Master clients'!F:M,8,0)</f>
        <v>#N/A</v>
      </c>
      <c r="E489" s="24" t="s">
        <v>1227</v>
      </c>
      <c r="F489" s="25"/>
      <c r="G489" s="20"/>
      <c r="H489" s="20"/>
      <c r="I489" s="26">
        <v>2</v>
      </c>
      <c r="J489" s="18">
        <v>0</v>
      </c>
      <c r="K489" s="20">
        <v>2</v>
      </c>
      <c r="L489" s="20">
        <v>0</v>
      </c>
      <c r="M489" s="20">
        <v>0</v>
      </c>
      <c r="N489" s="20">
        <v>0</v>
      </c>
      <c r="O489" s="20">
        <v>0</v>
      </c>
      <c r="P489" s="20">
        <v>0</v>
      </c>
      <c r="Q489" s="20">
        <v>0</v>
      </c>
      <c r="R489" s="20">
        <v>0</v>
      </c>
      <c r="S489" s="20">
        <v>0</v>
      </c>
      <c r="T489" s="20">
        <v>0</v>
      </c>
      <c r="U489" s="20">
        <v>0</v>
      </c>
      <c r="V489" s="20">
        <v>0</v>
      </c>
      <c r="W489" s="20">
        <v>0</v>
      </c>
      <c r="X489" s="20">
        <v>0</v>
      </c>
      <c r="Y489" s="20">
        <v>0</v>
      </c>
      <c r="Z489" s="20">
        <v>0</v>
      </c>
      <c r="AA489" s="20">
        <v>0</v>
      </c>
      <c r="AB489" s="20">
        <v>0</v>
      </c>
      <c r="AC489" s="20">
        <v>0</v>
      </c>
      <c r="AD489" s="20">
        <v>0</v>
      </c>
      <c r="AE489" s="20">
        <v>0</v>
      </c>
      <c r="AF489" s="20">
        <v>0</v>
      </c>
      <c r="AG489" s="20">
        <v>0</v>
      </c>
      <c r="AH489" s="20">
        <v>0</v>
      </c>
      <c r="AI489" s="20">
        <v>0</v>
      </c>
      <c r="AJ489" s="20">
        <v>0</v>
      </c>
      <c r="AK489" s="20">
        <v>3</v>
      </c>
      <c r="AL489" s="20">
        <v>0</v>
      </c>
      <c r="AM489" s="20">
        <v>0</v>
      </c>
      <c r="AN489" s="20">
        <v>0</v>
      </c>
      <c r="AO489" s="20">
        <v>0</v>
      </c>
      <c r="AP489" s="20">
        <v>0</v>
      </c>
      <c r="AQ489" s="20">
        <v>0</v>
      </c>
      <c r="AR489" s="20">
        <v>0</v>
      </c>
      <c r="AS489" s="20">
        <v>0</v>
      </c>
      <c r="AT489" s="20">
        <v>0</v>
      </c>
      <c r="AU489" s="20">
        <v>0</v>
      </c>
      <c r="AV489" s="20">
        <v>0</v>
      </c>
      <c r="AW489" s="20">
        <v>0</v>
      </c>
      <c r="AX489" s="20">
        <v>0</v>
      </c>
      <c r="AY489" s="20">
        <v>0</v>
      </c>
      <c r="AZ489" s="20">
        <v>0</v>
      </c>
      <c r="BA489" s="20">
        <v>0</v>
      </c>
      <c r="BB489" s="20">
        <v>0</v>
      </c>
      <c r="BC489" s="20">
        <v>0</v>
      </c>
      <c r="BD489" s="20">
        <v>0</v>
      </c>
      <c r="BE489" s="20">
        <v>0</v>
      </c>
      <c r="BF489" s="20">
        <v>0</v>
      </c>
      <c r="BG489" s="20">
        <v>0</v>
      </c>
      <c r="BH489" s="20">
        <v>0</v>
      </c>
      <c r="BI489" s="22">
        <f t="shared" si="129"/>
        <v>5</v>
      </c>
      <c r="BJ489" s="22">
        <f t="shared" si="130"/>
        <v>0</v>
      </c>
      <c r="BK489" s="28">
        <f t="shared" si="131"/>
        <v>7</v>
      </c>
      <c r="BL489" s="22">
        <f t="shared" si="132"/>
        <v>7</v>
      </c>
      <c r="BM489" s="22">
        <f t="shared" si="134"/>
        <v>0</v>
      </c>
      <c r="BN489" s="23">
        <f t="shared" si="135"/>
        <v>0.2857142857142857</v>
      </c>
      <c r="BO489" s="23" t="e">
        <f t="shared" si="135"/>
        <v>#DIV/0!</v>
      </c>
      <c r="BP489" s="7" t="e">
        <f>VLOOKUP(A489,[1]Sheet15!B:E,4,0)</f>
        <v>#N/A</v>
      </c>
      <c r="BQ489" s="7" t="e">
        <f>VLOOKUP(A489,[1]Sheet15!B:E,3,0)</f>
        <v>#N/A</v>
      </c>
    </row>
    <row r="490" spans="1:69" ht="22.5" customHeight="1" x14ac:dyDescent="0.25">
      <c r="A490" s="15" t="s">
        <v>1217</v>
      </c>
      <c r="B490" s="15" t="e">
        <f>VLOOKUP(A490,'[1]Master clients'!F484:W4031,17,0)</f>
        <v>#N/A</v>
      </c>
      <c r="C490" s="15" t="e">
        <f>VLOOKUP(A490,'[1]Master clients'!F484:P4031,11,0)</f>
        <v>#N/A</v>
      </c>
      <c r="D490" s="15" t="e">
        <f>VLOOKUP(A490,'[1]Master clients'!F:M,8,0)</f>
        <v>#N/A</v>
      </c>
      <c r="E490" s="24" t="s">
        <v>1228</v>
      </c>
      <c r="F490" s="25"/>
      <c r="G490" s="20"/>
      <c r="H490" s="20"/>
      <c r="I490" s="18">
        <v>0</v>
      </c>
      <c r="J490" s="18">
        <v>0</v>
      </c>
      <c r="K490" s="20">
        <v>2</v>
      </c>
      <c r="L490" s="20">
        <v>0</v>
      </c>
      <c r="M490" s="20">
        <v>0</v>
      </c>
      <c r="N490" s="20">
        <v>0</v>
      </c>
      <c r="O490" s="20">
        <v>0</v>
      </c>
      <c r="P490" s="20">
        <v>0</v>
      </c>
      <c r="Q490" s="20">
        <v>0</v>
      </c>
      <c r="R490" s="20">
        <v>0</v>
      </c>
      <c r="S490" s="20">
        <v>0</v>
      </c>
      <c r="T490" s="20">
        <v>0</v>
      </c>
      <c r="U490" s="20">
        <v>0</v>
      </c>
      <c r="V490" s="20">
        <v>0</v>
      </c>
      <c r="W490" s="20">
        <v>0</v>
      </c>
      <c r="X490" s="20">
        <v>0</v>
      </c>
      <c r="Y490" s="20">
        <v>0</v>
      </c>
      <c r="Z490" s="20">
        <v>6</v>
      </c>
      <c r="AA490" s="20">
        <v>0</v>
      </c>
      <c r="AB490" s="20">
        <v>0</v>
      </c>
      <c r="AC490" s="20">
        <v>0</v>
      </c>
      <c r="AD490" s="20">
        <v>0</v>
      </c>
      <c r="AE490" s="20">
        <v>0</v>
      </c>
      <c r="AF490" s="20">
        <v>0</v>
      </c>
      <c r="AG490" s="20">
        <v>0</v>
      </c>
      <c r="AH490" s="20">
        <v>0</v>
      </c>
      <c r="AI490" s="20">
        <v>0</v>
      </c>
      <c r="AJ490" s="20">
        <v>0</v>
      </c>
      <c r="AK490" s="20">
        <v>0</v>
      </c>
      <c r="AL490" s="20">
        <v>0</v>
      </c>
      <c r="AM490" s="20">
        <v>0</v>
      </c>
      <c r="AN490" s="20">
        <v>0</v>
      </c>
      <c r="AO490" s="20">
        <v>3</v>
      </c>
      <c r="AP490" s="20">
        <v>0</v>
      </c>
      <c r="AQ490" s="20">
        <v>0</v>
      </c>
      <c r="AR490" s="20">
        <v>0</v>
      </c>
      <c r="AS490" s="20">
        <v>0</v>
      </c>
      <c r="AT490" s="20">
        <v>0</v>
      </c>
      <c r="AU490" s="20">
        <v>0</v>
      </c>
      <c r="AV490" s="20">
        <v>0</v>
      </c>
      <c r="AW490" s="20">
        <v>0</v>
      </c>
      <c r="AX490" s="20">
        <v>0</v>
      </c>
      <c r="AY490" s="20">
        <v>0</v>
      </c>
      <c r="AZ490" s="20">
        <v>0</v>
      </c>
      <c r="BA490" s="20">
        <v>0</v>
      </c>
      <c r="BB490" s="20">
        <v>0</v>
      </c>
      <c r="BC490" s="20">
        <v>0</v>
      </c>
      <c r="BD490" s="20">
        <v>0</v>
      </c>
      <c r="BE490" s="20">
        <v>0</v>
      </c>
      <c r="BF490" s="20">
        <v>0</v>
      </c>
      <c r="BG490" s="20">
        <v>0</v>
      </c>
      <c r="BH490" s="20">
        <v>0</v>
      </c>
      <c r="BI490" s="22">
        <f t="shared" si="129"/>
        <v>11</v>
      </c>
      <c r="BJ490" s="22">
        <f t="shared" si="130"/>
        <v>0</v>
      </c>
      <c r="BK490" s="22">
        <f t="shared" si="131"/>
        <v>11</v>
      </c>
      <c r="BL490" s="22">
        <f t="shared" si="132"/>
        <v>11</v>
      </c>
      <c r="BM490" s="22">
        <f t="shared" si="134"/>
        <v>0</v>
      </c>
      <c r="BN490" s="23">
        <f t="shared" si="135"/>
        <v>0</v>
      </c>
      <c r="BO490" s="23" t="e">
        <f t="shared" si="135"/>
        <v>#DIV/0!</v>
      </c>
      <c r="BP490" s="7" t="e">
        <f>VLOOKUP(A490,[1]Sheet15!B:E,4,0)</f>
        <v>#N/A</v>
      </c>
      <c r="BQ490" s="7" t="e">
        <f>VLOOKUP(A490,[1]Sheet15!B:E,3,0)</f>
        <v>#N/A</v>
      </c>
    </row>
    <row r="491" spans="1:69" ht="22.5" customHeight="1" x14ac:dyDescent="0.25">
      <c r="A491" s="15" t="s">
        <v>1217</v>
      </c>
      <c r="B491" s="15" t="e">
        <f>VLOOKUP(A491,'[1]Master clients'!F485:W4032,17,0)</f>
        <v>#N/A</v>
      </c>
      <c r="C491" s="15" t="e">
        <f>VLOOKUP(A491,'[1]Master clients'!F485:P4032,11,0)</f>
        <v>#N/A</v>
      </c>
      <c r="D491" s="15" t="e">
        <f>VLOOKUP(A491,'[1]Master clients'!F:M,8,0)</f>
        <v>#N/A</v>
      </c>
      <c r="E491" s="24" t="s">
        <v>1229</v>
      </c>
      <c r="F491" s="25"/>
      <c r="G491" s="20"/>
      <c r="H491" s="20"/>
      <c r="I491" s="18">
        <v>0</v>
      </c>
      <c r="J491" s="18">
        <v>0</v>
      </c>
      <c r="K491" s="20">
        <v>3</v>
      </c>
      <c r="L491" s="20">
        <v>0</v>
      </c>
      <c r="M491" s="20">
        <v>0</v>
      </c>
      <c r="N491" s="20">
        <v>0</v>
      </c>
      <c r="O491" s="20">
        <v>0</v>
      </c>
      <c r="P491" s="20">
        <v>0</v>
      </c>
      <c r="Q491" s="20">
        <v>0</v>
      </c>
      <c r="R491" s="20">
        <v>0</v>
      </c>
      <c r="S491" s="20">
        <v>0</v>
      </c>
      <c r="T491" s="20">
        <v>0</v>
      </c>
      <c r="U491" s="20">
        <v>0</v>
      </c>
      <c r="V491" s="20">
        <v>0</v>
      </c>
      <c r="W491" s="20">
        <v>0</v>
      </c>
      <c r="X491" s="20">
        <v>0</v>
      </c>
      <c r="Y491" s="20">
        <v>0</v>
      </c>
      <c r="Z491" s="20">
        <v>0</v>
      </c>
      <c r="AA491" s="20">
        <v>0</v>
      </c>
      <c r="AB491" s="20">
        <v>0</v>
      </c>
      <c r="AC491" s="20">
        <v>0</v>
      </c>
      <c r="AD491" s="20">
        <v>0</v>
      </c>
      <c r="AE491" s="20">
        <v>0</v>
      </c>
      <c r="AF491" s="20">
        <v>0</v>
      </c>
      <c r="AG491" s="20">
        <v>0</v>
      </c>
      <c r="AH491" s="20">
        <v>0</v>
      </c>
      <c r="AI491" s="20">
        <v>0</v>
      </c>
      <c r="AJ491" s="20">
        <v>0</v>
      </c>
      <c r="AK491" s="20">
        <v>0</v>
      </c>
      <c r="AL491" s="20">
        <v>0</v>
      </c>
      <c r="AM491" s="20">
        <v>0</v>
      </c>
      <c r="AN491" s="20">
        <v>0</v>
      </c>
      <c r="AO491" s="20">
        <v>0</v>
      </c>
      <c r="AP491" s="20">
        <v>0</v>
      </c>
      <c r="AQ491" s="20">
        <v>0</v>
      </c>
      <c r="AR491" s="20">
        <v>0</v>
      </c>
      <c r="AS491" s="20">
        <v>0</v>
      </c>
      <c r="AT491" s="20">
        <v>0</v>
      </c>
      <c r="AU491" s="20">
        <v>0</v>
      </c>
      <c r="AV491" s="20">
        <v>0</v>
      </c>
      <c r="AW491" s="20">
        <v>0</v>
      </c>
      <c r="AX491" s="20">
        <v>0</v>
      </c>
      <c r="AY491" s="20">
        <v>0</v>
      </c>
      <c r="AZ491" s="20">
        <v>0</v>
      </c>
      <c r="BA491" s="20">
        <v>0</v>
      </c>
      <c r="BB491" s="20">
        <v>0</v>
      </c>
      <c r="BC491" s="20">
        <v>0</v>
      </c>
      <c r="BD491" s="20">
        <v>0</v>
      </c>
      <c r="BE491" s="20">
        <v>0</v>
      </c>
      <c r="BF491" s="20">
        <v>0</v>
      </c>
      <c r="BG491" s="20">
        <v>0</v>
      </c>
      <c r="BH491" s="20">
        <v>0</v>
      </c>
      <c r="BI491" s="22">
        <f t="shared" si="129"/>
        <v>3</v>
      </c>
      <c r="BJ491" s="22">
        <f t="shared" si="130"/>
        <v>0</v>
      </c>
      <c r="BK491" s="22">
        <f t="shared" si="131"/>
        <v>3</v>
      </c>
      <c r="BL491" s="22">
        <f t="shared" si="132"/>
        <v>3</v>
      </c>
      <c r="BM491" s="22">
        <f t="shared" si="134"/>
        <v>0</v>
      </c>
      <c r="BN491" s="23">
        <f t="shared" si="135"/>
        <v>0</v>
      </c>
      <c r="BO491" s="23" t="e">
        <f t="shared" si="135"/>
        <v>#DIV/0!</v>
      </c>
      <c r="BP491" s="7" t="e">
        <f>VLOOKUP(A491,[1]Sheet15!B:E,4,0)</f>
        <v>#N/A</v>
      </c>
      <c r="BQ491" s="7" t="e">
        <f>VLOOKUP(A491,[1]Sheet15!B:E,3,0)</f>
        <v>#N/A</v>
      </c>
    </row>
    <row r="492" spans="1:69" ht="22.5" customHeight="1" x14ac:dyDescent="0.25">
      <c r="A492" s="15" t="s">
        <v>1217</v>
      </c>
      <c r="B492" s="15" t="e">
        <f>VLOOKUP(A492,'[1]Master clients'!F486:W4033,17,0)</f>
        <v>#N/A</v>
      </c>
      <c r="C492" s="15" t="e">
        <f>VLOOKUP(A492,'[1]Master clients'!F486:P4033,11,0)</f>
        <v>#N/A</v>
      </c>
      <c r="D492" s="15" t="e">
        <f>VLOOKUP(A492,'[1]Master clients'!F:M,8,0)</f>
        <v>#N/A</v>
      </c>
      <c r="E492" s="24" t="s">
        <v>1230</v>
      </c>
      <c r="F492" s="25"/>
      <c r="G492" s="20"/>
      <c r="H492" s="20"/>
      <c r="I492" s="18">
        <v>0</v>
      </c>
      <c r="J492" s="18">
        <v>0</v>
      </c>
      <c r="K492" s="20">
        <v>4</v>
      </c>
      <c r="L492" s="20">
        <v>0</v>
      </c>
      <c r="M492" s="20">
        <v>0</v>
      </c>
      <c r="N492" s="20">
        <v>0</v>
      </c>
      <c r="O492" s="20">
        <v>0</v>
      </c>
      <c r="P492" s="20">
        <v>0</v>
      </c>
      <c r="Q492" s="20">
        <v>0</v>
      </c>
      <c r="R492" s="20">
        <v>0</v>
      </c>
      <c r="S492" s="20">
        <v>0</v>
      </c>
      <c r="T492" s="20">
        <v>0</v>
      </c>
      <c r="U492" s="20">
        <v>0</v>
      </c>
      <c r="V492" s="20">
        <v>0</v>
      </c>
      <c r="W492" s="20">
        <v>0</v>
      </c>
      <c r="X492" s="20">
        <v>0</v>
      </c>
      <c r="Y492" s="20">
        <v>0</v>
      </c>
      <c r="Z492" s="20">
        <v>0</v>
      </c>
      <c r="AA492" s="20">
        <v>0</v>
      </c>
      <c r="AB492" s="20">
        <v>0</v>
      </c>
      <c r="AC492" s="20">
        <v>0</v>
      </c>
      <c r="AD492" s="20">
        <v>0</v>
      </c>
      <c r="AE492" s="20">
        <v>0</v>
      </c>
      <c r="AF492" s="20">
        <v>0</v>
      </c>
      <c r="AG492" s="20">
        <v>0</v>
      </c>
      <c r="AH492" s="20">
        <v>0</v>
      </c>
      <c r="AI492" s="20">
        <v>0</v>
      </c>
      <c r="AJ492" s="20">
        <v>0</v>
      </c>
      <c r="AK492" s="20">
        <v>1</v>
      </c>
      <c r="AL492" s="20">
        <v>0</v>
      </c>
      <c r="AM492" s="20">
        <v>0</v>
      </c>
      <c r="AN492" s="20">
        <v>0</v>
      </c>
      <c r="AO492" s="20">
        <v>0</v>
      </c>
      <c r="AP492" s="20">
        <v>0</v>
      </c>
      <c r="AQ492" s="20">
        <v>0</v>
      </c>
      <c r="AR492" s="20">
        <v>0</v>
      </c>
      <c r="AS492" s="20">
        <v>0</v>
      </c>
      <c r="AT492" s="20">
        <v>0</v>
      </c>
      <c r="AU492" s="20">
        <v>0</v>
      </c>
      <c r="AV492" s="20">
        <v>0</v>
      </c>
      <c r="AW492" s="20">
        <v>0</v>
      </c>
      <c r="AX492" s="20">
        <v>0</v>
      </c>
      <c r="AY492" s="20">
        <v>0</v>
      </c>
      <c r="AZ492" s="20">
        <v>0</v>
      </c>
      <c r="BA492" s="20">
        <v>0</v>
      </c>
      <c r="BB492" s="20">
        <v>0</v>
      </c>
      <c r="BC492" s="20">
        <v>0</v>
      </c>
      <c r="BD492" s="20">
        <v>0</v>
      </c>
      <c r="BE492" s="20">
        <v>0</v>
      </c>
      <c r="BF492" s="20">
        <v>0</v>
      </c>
      <c r="BG492" s="20">
        <v>0</v>
      </c>
      <c r="BH492" s="20">
        <v>0</v>
      </c>
      <c r="BI492" s="22">
        <f t="shared" si="129"/>
        <v>5</v>
      </c>
      <c r="BJ492" s="22">
        <f t="shared" si="130"/>
        <v>0</v>
      </c>
      <c r="BK492" s="22">
        <f t="shared" si="131"/>
        <v>5</v>
      </c>
      <c r="BL492" s="22">
        <f t="shared" si="132"/>
        <v>5</v>
      </c>
      <c r="BM492" s="22">
        <f t="shared" si="134"/>
        <v>0</v>
      </c>
      <c r="BN492" s="23">
        <f t="shared" si="135"/>
        <v>0</v>
      </c>
      <c r="BO492" s="23" t="e">
        <f t="shared" si="135"/>
        <v>#DIV/0!</v>
      </c>
      <c r="BP492" s="7" t="e">
        <f>VLOOKUP(A492,[1]Sheet15!B:E,4,0)</f>
        <v>#N/A</v>
      </c>
      <c r="BQ492" s="7" t="e">
        <f>VLOOKUP(A492,[1]Sheet15!B:E,3,0)</f>
        <v>#N/A</v>
      </c>
    </row>
    <row r="493" spans="1:69" ht="22.5" customHeight="1" x14ac:dyDescent="0.25">
      <c r="A493" s="15" t="s">
        <v>1217</v>
      </c>
      <c r="B493" s="15" t="e">
        <f>VLOOKUP(A493,'[1]Master clients'!F487:W4034,17,0)</f>
        <v>#N/A</v>
      </c>
      <c r="C493" s="15" t="e">
        <f>VLOOKUP(A493,'[1]Master clients'!F487:P4034,11,0)</f>
        <v>#N/A</v>
      </c>
      <c r="D493" s="15" t="e">
        <f>VLOOKUP(A493,'[1]Master clients'!F:M,8,0)</f>
        <v>#N/A</v>
      </c>
      <c r="E493" s="24" t="s">
        <v>1231</v>
      </c>
      <c r="F493" s="25"/>
      <c r="G493" s="20"/>
      <c r="H493" s="20"/>
      <c r="I493" s="18">
        <v>0</v>
      </c>
      <c r="J493" s="18">
        <v>0</v>
      </c>
      <c r="K493" s="20">
        <v>3</v>
      </c>
      <c r="L493" s="20">
        <v>0</v>
      </c>
      <c r="M493" s="20">
        <v>0</v>
      </c>
      <c r="N493" s="20">
        <v>0</v>
      </c>
      <c r="O493" s="20">
        <v>0</v>
      </c>
      <c r="P493" s="20">
        <v>0</v>
      </c>
      <c r="Q493" s="20">
        <v>0</v>
      </c>
      <c r="R493" s="20">
        <v>0</v>
      </c>
      <c r="S493" s="20">
        <v>0</v>
      </c>
      <c r="T493" s="20">
        <v>0</v>
      </c>
      <c r="U493" s="20">
        <v>0</v>
      </c>
      <c r="V493" s="20">
        <v>0</v>
      </c>
      <c r="W493" s="20">
        <v>0</v>
      </c>
      <c r="X493" s="20">
        <v>0</v>
      </c>
      <c r="Y493" s="20">
        <v>0</v>
      </c>
      <c r="Z493" s="20">
        <v>0</v>
      </c>
      <c r="AA493" s="20">
        <v>0</v>
      </c>
      <c r="AB493" s="20">
        <v>0</v>
      </c>
      <c r="AC493" s="20">
        <v>0</v>
      </c>
      <c r="AD493" s="20">
        <v>0</v>
      </c>
      <c r="AE493" s="20">
        <v>0</v>
      </c>
      <c r="AF493" s="20">
        <v>0</v>
      </c>
      <c r="AG493" s="20">
        <v>0</v>
      </c>
      <c r="AH493" s="20">
        <v>0</v>
      </c>
      <c r="AI493" s="20">
        <v>0</v>
      </c>
      <c r="AJ493" s="20">
        <v>0</v>
      </c>
      <c r="AK493" s="20">
        <v>2</v>
      </c>
      <c r="AL493" s="20">
        <v>0</v>
      </c>
      <c r="AM493" s="20">
        <v>0</v>
      </c>
      <c r="AN493" s="20">
        <v>0</v>
      </c>
      <c r="AO493" s="20">
        <v>7</v>
      </c>
      <c r="AP493" s="20">
        <v>0</v>
      </c>
      <c r="AQ493" s="20">
        <v>0</v>
      </c>
      <c r="AR493" s="20">
        <v>0</v>
      </c>
      <c r="AS493" s="20">
        <v>0</v>
      </c>
      <c r="AT493" s="20">
        <v>0</v>
      </c>
      <c r="AU493" s="20">
        <v>0</v>
      </c>
      <c r="AV493" s="20">
        <v>0</v>
      </c>
      <c r="AW493" s="20">
        <v>0</v>
      </c>
      <c r="AX493" s="20">
        <v>0</v>
      </c>
      <c r="AY493" s="20">
        <v>0</v>
      </c>
      <c r="AZ493" s="20">
        <v>0</v>
      </c>
      <c r="BA493" s="20">
        <v>0</v>
      </c>
      <c r="BB493" s="20">
        <v>0</v>
      </c>
      <c r="BC493" s="20">
        <v>0</v>
      </c>
      <c r="BD493" s="20">
        <v>0</v>
      </c>
      <c r="BE493" s="20">
        <v>0</v>
      </c>
      <c r="BF493" s="20">
        <v>0</v>
      </c>
      <c r="BG493" s="20">
        <v>0</v>
      </c>
      <c r="BH493" s="20">
        <v>0</v>
      </c>
      <c r="BI493" s="22">
        <f t="shared" si="129"/>
        <v>12</v>
      </c>
      <c r="BJ493" s="22">
        <f t="shared" si="130"/>
        <v>0</v>
      </c>
      <c r="BK493" s="22">
        <f t="shared" si="131"/>
        <v>12</v>
      </c>
      <c r="BL493" s="22">
        <f t="shared" si="132"/>
        <v>12</v>
      </c>
      <c r="BM493" s="22">
        <f t="shared" si="134"/>
        <v>0</v>
      </c>
      <c r="BN493" s="23">
        <f t="shared" si="135"/>
        <v>0</v>
      </c>
      <c r="BO493" s="23" t="e">
        <f t="shared" si="135"/>
        <v>#DIV/0!</v>
      </c>
      <c r="BP493" s="7" t="e">
        <f>VLOOKUP(A493,[1]Sheet15!B:E,4,0)</f>
        <v>#N/A</v>
      </c>
      <c r="BQ493" s="7" t="e">
        <f>VLOOKUP(A493,[1]Sheet15!B:E,3,0)</f>
        <v>#N/A</v>
      </c>
    </row>
    <row r="494" spans="1:69" ht="22.5" customHeight="1" x14ac:dyDescent="0.25">
      <c r="A494" s="15" t="s">
        <v>1217</v>
      </c>
      <c r="B494" s="15" t="e">
        <f>VLOOKUP(A494,'[1]Master clients'!F488:W4035,17,0)</f>
        <v>#N/A</v>
      </c>
      <c r="C494" s="15" t="e">
        <f>VLOOKUP(A494,'[1]Master clients'!F488:P4035,11,0)</f>
        <v>#N/A</v>
      </c>
      <c r="D494" s="15" t="e">
        <f>VLOOKUP(A494,'[1]Master clients'!F:M,8,0)</f>
        <v>#N/A</v>
      </c>
      <c r="E494" s="24" t="s">
        <v>1232</v>
      </c>
      <c r="F494" s="25"/>
      <c r="G494" s="20"/>
      <c r="H494" s="20"/>
      <c r="I494" s="18">
        <v>0</v>
      </c>
      <c r="J494" s="18">
        <v>0</v>
      </c>
      <c r="K494" s="20">
        <v>4</v>
      </c>
      <c r="L494" s="20">
        <v>0</v>
      </c>
      <c r="M494" s="20">
        <v>0</v>
      </c>
      <c r="N494" s="20">
        <v>0</v>
      </c>
      <c r="O494" s="20">
        <v>0</v>
      </c>
      <c r="P494" s="20">
        <v>0</v>
      </c>
      <c r="Q494" s="20">
        <v>0</v>
      </c>
      <c r="R494" s="20">
        <v>0</v>
      </c>
      <c r="S494" s="20">
        <v>0</v>
      </c>
      <c r="T494" s="20">
        <v>0</v>
      </c>
      <c r="U494" s="20">
        <v>0</v>
      </c>
      <c r="V494" s="20">
        <v>0</v>
      </c>
      <c r="W494" s="20">
        <v>0</v>
      </c>
      <c r="X494" s="20">
        <v>0</v>
      </c>
      <c r="Y494" s="20">
        <v>0</v>
      </c>
      <c r="Z494" s="20">
        <v>0</v>
      </c>
      <c r="AA494" s="20">
        <v>0</v>
      </c>
      <c r="AB494" s="20">
        <v>0</v>
      </c>
      <c r="AC494" s="20">
        <v>0</v>
      </c>
      <c r="AD494" s="20">
        <v>0</v>
      </c>
      <c r="AE494" s="20">
        <v>0</v>
      </c>
      <c r="AF494" s="20">
        <v>0</v>
      </c>
      <c r="AG494" s="20">
        <v>0</v>
      </c>
      <c r="AH494" s="20">
        <v>0</v>
      </c>
      <c r="AI494" s="20">
        <v>0</v>
      </c>
      <c r="AJ494" s="20">
        <v>0</v>
      </c>
      <c r="AK494" s="20">
        <v>0</v>
      </c>
      <c r="AL494" s="20">
        <v>0</v>
      </c>
      <c r="AM494" s="20">
        <v>0</v>
      </c>
      <c r="AN494" s="20">
        <v>0</v>
      </c>
      <c r="AO494" s="20">
        <v>6</v>
      </c>
      <c r="AP494" s="20">
        <v>0</v>
      </c>
      <c r="AQ494" s="20">
        <v>0</v>
      </c>
      <c r="AR494" s="20">
        <v>0</v>
      </c>
      <c r="AS494" s="20">
        <v>0</v>
      </c>
      <c r="AT494" s="20">
        <v>0</v>
      </c>
      <c r="AU494" s="20">
        <v>0</v>
      </c>
      <c r="AV494" s="20">
        <v>0</v>
      </c>
      <c r="AW494" s="20">
        <v>0</v>
      </c>
      <c r="AX494" s="20">
        <v>0</v>
      </c>
      <c r="AY494" s="20">
        <v>0</v>
      </c>
      <c r="AZ494" s="20">
        <v>0</v>
      </c>
      <c r="BA494" s="20">
        <v>0</v>
      </c>
      <c r="BB494" s="20">
        <v>0</v>
      </c>
      <c r="BC494" s="20">
        <v>0</v>
      </c>
      <c r="BD494" s="20">
        <v>0</v>
      </c>
      <c r="BE494" s="20">
        <v>0</v>
      </c>
      <c r="BF494" s="20">
        <v>0</v>
      </c>
      <c r="BG494" s="20">
        <v>0</v>
      </c>
      <c r="BH494" s="20">
        <v>0</v>
      </c>
      <c r="BI494" s="22">
        <f t="shared" si="129"/>
        <v>10</v>
      </c>
      <c r="BJ494" s="22">
        <f t="shared" si="130"/>
        <v>0</v>
      </c>
      <c r="BK494" s="22">
        <f t="shared" si="131"/>
        <v>10</v>
      </c>
      <c r="BL494" s="22">
        <f t="shared" si="132"/>
        <v>10</v>
      </c>
      <c r="BM494" s="22">
        <f t="shared" si="134"/>
        <v>0</v>
      </c>
      <c r="BN494" s="23">
        <f t="shared" si="135"/>
        <v>0</v>
      </c>
      <c r="BO494" s="23" t="e">
        <f t="shared" si="135"/>
        <v>#DIV/0!</v>
      </c>
      <c r="BP494" s="7" t="e">
        <f>VLOOKUP(A494,[1]Sheet15!B:E,4,0)</f>
        <v>#N/A</v>
      </c>
      <c r="BQ494" s="7" t="e">
        <f>VLOOKUP(A494,[1]Sheet15!B:E,3,0)</f>
        <v>#N/A</v>
      </c>
    </row>
    <row r="495" spans="1:69" ht="22.5" customHeight="1" x14ac:dyDescent="0.25">
      <c r="A495" s="15" t="s">
        <v>1217</v>
      </c>
      <c r="B495" s="15" t="e">
        <f>VLOOKUP(A495,'[1]Master clients'!F489:W4036,17,0)</f>
        <v>#N/A</v>
      </c>
      <c r="C495" s="15" t="e">
        <f>VLOOKUP(A495,'[1]Master clients'!F489:P4036,11,0)</f>
        <v>#N/A</v>
      </c>
      <c r="D495" s="15" t="e">
        <f>VLOOKUP(A495,'[1]Master clients'!F:M,8,0)</f>
        <v>#N/A</v>
      </c>
      <c r="E495" s="24" t="s">
        <v>1233</v>
      </c>
      <c r="F495" s="25"/>
      <c r="G495" s="20"/>
      <c r="H495" s="20"/>
      <c r="I495" s="26">
        <v>3</v>
      </c>
      <c r="J495" s="18">
        <v>0</v>
      </c>
      <c r="K495" s="20"/>
      <c r="L495" s="20">
        <v>0</v>
      </c>
      <c r="M495" s="20">
        <v>0</v>
      </c>
      <c r="N495" s="20">
        <v>0</v>
      </c>
      <c r="O495" s="20">
        <v>0</v>
      </c>
      <c r="P495" s="20">
        <v>0</v>
      </c>
      <c r="Q495" s="20">
        <v>0</v>
      </c>
      <c r="R495" s="20">
        <v>0</v>
      </c>
      <c r="S495" s="20">
        <v>0</v>
      </c>
      <c r="T495" s="20">
        <v>0</v>
      </c>
      <c r="U495" s="20">
        <v>0</v>
      </c>
      <c r="V495" s="20">
        <v>0</v>
      </c>
      <c r="W495" s="20">
        <v>0</v>
      </c>
      <c r="X495" s="20">
        <v>0</v>
      </c>
      <c r="Y495" s="20">
        <v>0</v>
      </c>
      <c r="Z495" s="20">
        <v>0</v>
      </c>
      <c r="AA495" s="20">
        <v>0</v>
      </c>
      <c r="AB495" s="20">
        <v>0</v>
      </c>
      <c r="AC495" s="20">
        <v>0</v>
      </c>
      <c r="AD495" s="20">
        <v>0</v>
      </c>
      <c r="AE495" s="20">
        <v>0</v>
      </c>
      <c r="AF495" s="20">
        <v>0</v>
      </c>
      <c r="AG495" s="20">
        <v>0</v>
      </c>
      <c r="AH495" s="20">
        <v>0</v>
      </c>
      <c r="AI495" s="20">
        <v>0</v>
      </c>
      <c r="AJ495" s="20">
        <v>0</v>
      </c>
      <c r="AK495" s="20">
        <v>1</v>
      </c>
      <c r="AL495" s="20">
        <v>0</v>
      </c>
      <c r="AM495" s="20">
        <v>0</v>
      </c>
      <c r="AN495" s="20">
        <v>0</v>
      </c>
      <c r="AO495" s="20">
        <v>0</v>
      </c>
      <c r="AP495" s="20">
        <v>0</v>
      </c>
      <c r="AQ495" s="20">
        <v>0</v>
      </c>
      <c r="AR495" s="20">
        <v>0</v>
      </c>
      <c r="AS495" s="20">
        <v>0</v>
      </c>
      <c r="AT495" s="20">
        <v>0</v>
      </c>
      <c r="AU495" s="20">
        <v>0</v>
      </c>
      <c r="AV495" s="20">
        <v>0</v>
      </c>
      <c r="AW495" s="20">
        <v>0</v>
      </c>
      <c r="AX495" s="20">
        <v>0</v>
      </c>
      <c r="AY495" s="20">
        <v>0</v>
      </c>
      <c r="AZ495" s="20">
        <v>0</v>
      </c>
      <c r="BA495" s="20">
        <v>0</v>
      </c>
      <c r="BB495" s="20">
        <v>0</v>
      </c>
      <c r="BC495" s="20">
        <v>0</v>
      </c>
      <c r="BD495" s="20">
        <v>0</v>
      </c>
      <c r="BE495" s="20">
        <v>0</v>
      </c>
      <c r="BF495" s="20">
        <v>0</v>
      </c>
      <c r="BG495" s="20">
        <v>0</v>
      </c>
      <c r="BH495" s="20">
        <v>0</v>
      </c>
      <c r="BI495" s="22">
        <f t="shared" si="129"/>
        <v>1</v>
      </c>
      <c r="BJ495" s="22">
        <f t="shared" si="130"/>
        <v>0</v>
      </c>
      <c r="BK495" s="28">
        <f t="shared" si="131"/>
        <v>4</v>
      </c>
      <c r="BL495" s="22">
        <f t="shared" si="132"/>
        <v>4</v>
      </c>
      <c r="BM495" s="22">
        <f t="shared" si="134"/>
        <v>0</v>
      </c>
      <c r="BN495" s="23">
        <f t="shared" si="135"/>
        <v>0.75</v>
      </c>
      <c r="BO495" s="23" t="e">
        <f t="shared" si="135"/>
        <v>#DIV/0!</v>
      </c>
      <c r="BP495" s="7" t="e">
        <f>VLOOKUP(A495,[1]Sheet15!B:E,4,0)</f>
        <v>#N/A</v>
      </c>
      <c r="BQ495" s="7" t="e">
        <f>VLOOKUP(A495,[1]Sheet15!B:E,3,0)</f>
        <v>#N/A</v>
      </c>
    </row>
    <row r="496" spans="1:69" ht="22.5" customHeight="1" x14ac:dyDescent="0.25">
      <c r="A496" s="15" t="s">
        <v>1217</v>
      </c>
      <c r="B496" s="15" t="e">
        <f>VLOOKUP(A496,'[1]Master clients'!F490:W4037,17,0)</f>
        <v>#N/A</v>
      </c>
      <c r="C496" s="15" t="e">
        <f>VLOOKUP(A496,'[1]Master clients'!F490:P4037,11,0)</f>
        <v>#N/A</v>
      </c>
      <c r="D496" s="15" t="e">
        <f>VLOOKUP(A496,'[1]Master clients'!F:M,8,0)</f>
        <v>#N/A</v>
      </c>
      <c r="E496" s="24" t="s">
        <v>1234</v>
      </c>
      <c r="F496" s="25"/>
      <c r="G496" s="20"/>
      <c r="H496" s="20"/>
      <c r="I496" s="18">
        <v>0</v>
      </c>
      <c r="J496" s="18">
        <v>0</v>
      </c>
      <c r="K496" s="20">
        <v>2</v>
      </c>
      <c r="L496" s="20">
        <v>0</v>
      </c>
      <c r="M496" s="20">
        <v>0</v>
      </c>
      <c r="N496" s="20">
        <v>0</v>
      </c>
      <c r="O496" s="20">
        <v>0</v>
      </c>
      <c r="P496" s="20">
        <v>0</v>
      </c>
      <c r="Q496" s="20">
        <v>0</v>
      </c>
      <c r="R496" s="20">
        <v>0</v>
      </c>
      <c r="S496" s="20">
        <v>0</v>
      </c>
      <c r="T496" s="20">
        <v>0</v>
      </c>
      <c r="U496" s="20">
        <v>0</v>
      </c>
      <c r="V496" s="20">
        <v>0</v>
      </c>
      <c r="W496" s="20">
        <v>0</v>
      </c>
      <c r="X496" s="20">
        <v>0</v>
      </c>
      <c r="Y496" s="20">
        <v>0</v>
      </c>
      <c r="Z496" s="20">
        <v>0</v>
      </c>
      <c r="AA496" s="20">
        <v>0</v>
      </c>
      <c r="AB496" s="20">
        <v>0</v>
      </c>
      <c r="AC496" s="20">
        <v>0</v>
      </c>
      <c r="AD496" s="20">
        <v>0</v>
      </c>
      <c r="AE496" s="20">
        <v>0</v>
      </c>
      <c r="AF496" s="20">
        <v>0</v>
      </c>
      <c r="AG496" s="20">
        <v>0</v>
      </c>
      <c r="AH496" s="20">
        <v>5</v>
      </c>
      <c r="AI496" s="20">
        <v>0</v>
      </c>
      <c r="AJ496" s="20">
        <v>0</v>
      </c>
      <c r="AK496" s="20">
        <v>0</v>
      </c>
      <c r="AL496" s="20">
        <v>0</v>
      </c>
      <c r="AM496" s="20">
        <v>0</v>
      </c>
      <c r="AN496" s="20">
        <v>0</v>
      </c>
      <c r="AO496" s="20">
        <v>10</v>
      </c>
      <c r="AP496" s="20">
        <v>0</v>
      </c>
      <c r="AQ496" s="20">
        <v>0</v>
      </c>
      <c r="AR496" s="20">
        <v>0</v>
      </c>
      <c r="AS496" s="20">
        <v>0</v>
      </c>
      <c r="AT496" s="20">
        <v>0</v>
      </c>
      <c r="AU496" s="20">
        <v>0</v>
      </c>
      <c r="AV496" s="20">
        <v>0</v>
      </c>
      <c r="AW496" s="20">
        <v>0</v>
      </c>
      <c r="AX496" s="20">
        <v>0</v>
      </c>
      <c r="AY496" s="20">
        <v>0</v>
      </c>
      <c r="AZ496" s="20">
        <v>0</v>
      </c>
      <c r="BA496" s="20">
        <v>0</v>
      </c>
      <c r="BB496" s="20">
        <v>0</v>
      </c>
      <c r="BC496" s="20">
        <v>0</v>
      </c>
      <c r="BD496" s="20">
        <v>0</v>
      </c>
      <c r="BE496" s="20">
        <v>0</v>
      </c>
      <c r="BF496" s="20">
        <v>0</v>
      </c>
      <c r="BG496" s="20">
        <v>0</v>
      </c>
      <c r="BH496" s="20">
        <v>0</v>
      </c>
      <c r="BI496" s="22">
        <f t="shared" si="129"/>
        <v>17</v>
      </c>
      <c r="BJ496" s="22">
        <f t="shared" si="130"/>
        <v>0</v>
      </c>
      <c r="BK496" s="22">
        <f t="shared" si="131"/>
        <v>17</v>
      </c>
      <c r="BL496" s="22">
        <f t="shared" si="132"/>
        <v>17</v>
      </c>
      <c r="BM496" s="22">
        <f t="shared" si="134"/>
        <v>0</v>
      </c>
      <c r="BN496" s="23">
        <f t="shared" si="135"/>
        <v>0</v>
      </c>
      <c r="BO496" s="23" t="e">
        <f t="shared" si="135"/>
        <v>#DIV/0!</v>
      </c>
      <c r="BP496" s="7" t="e">
        <f>VLOOKUP(A496,[1]Sheet15!B:E,4,0)</f>
        <v>#N/A</v>
      </c>
      <c r="BQ496" s="7" t="e">
        <f>VLOOKUP(A496,[1]Sheet15!B:E,3,0)</f>
        <v>#N/A</v>
      </c>
    </row>
    <row r="497" spans="1:69" ht="22.5" customHeight="1" x14ac:dyDescent="0.25">
      <c r="A497" s="15" t="s">
        <v>1217</v>
      </c>
      <c r="B497" s="15" t="e">
        <f>VLOOKUP(A497,'[1]Master clients'!F491:W4038,17,0)</f>
        <v>#N/A</v>
      </c>
      <c r="C497" s="15" t="e">
        <f>VLOOKUP(A497,'[1]Master clients'!F491:P4038,11,0)</f>
        <v>#N/A</v>
      </c>
      <c r="D497" s="15" t="e">
        <f>VLOOKUP(A497,'[1]Master clients'!F:M,8,0)</f>
        <v>#N/A</v>
      </c>
      <c r="E497" s="24" t="s">
        <v>1235</v>
      </c>
      <c r="F497" s="25"/>
      <c r="G497" s="20"/>
      <c r="H497" s="20"/>
      <c r="I497" s="18">
        <v>0</v>
      </c>
      <c r="J497" s="18">
        <v>0</v>
      </c>
      <c r="K497" s="20">
        <v>11</v>
      </c>
      <c r="L497" s="20">
        <v>0</v>
      </c>
      <c r="M497" s="20">
        <v>0</v>
      </c>
      <c r="N497" s="20">
        <v>0</v>
      </c>
      <c r="O497" s="20">
        <v>0</v>
      </c>
      <c r="P497" s="20">
        <v>0</v>
      </c>
      <c r="Q497" s="20">
        <v>0</v>
      </c>
      <c r="R497" s="20">
        <v>0</v>
      </c>
      <c r="S497" s="20">
        <v>0</v>
      </c>
      <c r="T497" s="20">
        <v>0</v>
      </c>
      <c r="U497" s="20">
        <v>0</v>
      </c>
      <c r="V497" s="20">
        <v>0</v>
      </c>
      <c r="W497" s="20">
        <v>0</v>
      </c>
      <c r="X497" s="20">
        <v>0</v>
      </c>
      <c r="Y497" s="20">
        <v>0</v>
      </c>
      <c r="Z497" s="20">
        <v>0</v>
      </c>
      <c r="AA497" s="20">
        <v>0</v>
      </c>
      <c r="AB497" s="20">
        <v>0</v>
      </c>
      <c r="AC497" s="20">
        <v>0</v>
      </c>
      <c r="AD497" s="20">
        <v>0</v>
      </c>
      <c r="AE497" s="20">
        <v>0</v>
      </c>
      <c r="AF497" s="20">
        <v>0</v>
      </c>
      <c r="AG497" s="20">
        <v>0</v>
      </c>
      <c r="AH497" s="20">
        <v>0</v>
      </c>
      <c r="AI497" s="20">
        <v>0</v>
      </c>
      <c r="AJ497" s="20">
        <v>0</v>
      </c>
      <c r="AK497" s="20">
        <v>0</v>
      </c>
      <c r="AL497" s="20">
        <v>0</v>
      </c>
      <c r="AM497" s="20">
        <v>0</v>
      </c>
      <c r="AN497" s="20">
        <v>0</v>
      </c>
      <c r="AO497" s="20">
        <v>0</v>
      </c>
      <c r="AP497" s="20">
        <v>0</v>
      </c>
      <c r="AQ497" s="20">
        <v>0</v>
      </c>
      <c r="AR497" s="20">
        <v>0</v>
      </c>
      <c r="AS497" s="20">
        <v>0</v>
      </c>
      <c r="AT497" s="20">
        <v>0</v>
      </c>
      <c r="AU497" s="20">
        <v>0</v>
      </c>
      <c r="AV497" s="20">
        <v>0</v>
      </c>
      <c r="AW497" s="20">
        <v>0</v>
      </c>
      <c r="AX497" s="20">
        <v>0</v>
      </c>
      <c r="AY497" s="20">
        <v>0</v>
      </c>
      <c r="AZ497" s="20">
        <v>0</v>
      </c>
      <c r="BA497" s="20">
        <v>0</v>
      </c>
      <c r="BB497" s="20">
        <v>0</v>
      </c>
      <c r="BC497" s="20">
        <v>0</v>
      </c>
      <c r="BD497" s="20">
        <v>0</v>
      </c>
      <c r="BE497" s="20">
        <v>0</v>
      </c>
      <c r="BF497" s="20">
        <v>0</v>
      </c>
      <c r="BG497" s="20">
        <v>0</v>
      </c>
      <c r="BH497" s="20">
        <v>0</v>
      </c>
      <c r="BI497" s="22">
        <f t="shared" si="129"/>
        <v>11</v>
      </c>
      <c r="BJ497" s="22">
        <f t="shared" si="130"/>
        <v>0</v>
      </c>
      <c r="BK497" s="22">
        <f t="shared" si="131"/>
        <v>11</v>
      </c>
      <c r="BL497" s="22">
        <f t="shared" si="132"/>
        <v>11</v>
      </c>
      <c r="BM497" s="22">
        <f t="shared" si="134"/>
        <v>0</v>
      </c>
      <c r="BN497" s="23">
        <f t="shared" si="135"/>
        <v>0</v>
      </c>
      <c r="BO497" s="23" t="e">
        <f t="shared" si="135"/>
        <v>#DIV/0!</v>
      </c>
      <c r="BP497" s="7" t="e">
        <f>VLOOKUP(A497,[1]Sheet15!B:E,4,0)</f>
        <v>#N/A</v>
      </c>
      <c r="BQ497" s="7" t="e">
        <f>VLOOKUP(A497,[1]Sheet15!B:E,3,0)</f>
        <v>#N/A</v>
      </c>
    </row>
    <row r="498" spans="1:69" ht="22.5" customHeight="1" x14ac:dyDescent="0.25">
      <c r="A498" s="15" t="s">
        <v>1217</v>
      </c>
      <c r="B498" s="15" t="e">
        <f>VLOOKUP(A498,'[1]Master clients'!F492:W4039,17,0)</f>
        <v>#N/A</v>
      </c>
      <c r="C498" s="15" t="e">
        <f>VLOOKUP(A498,'[1]Master clients'!F492:P4039,11,0)</f>
        <v>#N/A</v>
      </c>
      <c r="D498" s="15" t="e">
        <f>VLOOKUP(A498,'[1]Master clients'!F:M,8,0)</f>
        <v>#N/A</v>
      </c>
      <c r="E498" s="24" t="s">
        <v>1236</v>
      </c>
      <c r="F498" s="25"/>
      <c r="G498" s="20"/>
      <c r="H498" s="20"/>
      <c r="I498" s="18">
        <v>0</v>
      </c>
      <c r="J498" s="18">
        <v>0</v>
      </c>
      <c r="K498" s="20">
        <v>0</v>
      </c>
      <c r="L498" s="20">
        <v>0</v>
      </c>
      <c r="M498" s="20">
        <v>0</v>
      </c>
      <c r="N498" s="20">
        <v>0</v>
      </c>
      <c r="O498" s="20">
        <v>0</v>
      </c>
      <c r="P498" s="20">
        <v>0</v>
      </c>
      <c r="Q498" s="20">
        <v>0</v>
      </c>
      <c r="R498" s="20">
        <v>0</v>
      </c>
      <c r="S498" s="20">
        <v>0</v>
      </c>
      <c r="T498" s="20">
        <v>0</v>
      </c>
      <c r="U498" s="20">
        <v>0</v>
      </c>
      <c r="V498" s="20">
        <v>0</v>
      </c>
      <c r="W498" s="20">
        <v>0</v>
      </c>
      <c r="X498" s="20">
        <v>0</v>
      </c>
      <c r="Y498" s="20">
        <v>0</v>
      </c>
      <c r="Z498" s="20">
        <v>0</v>
      </c>
      <c r="AA498" s="20">
        <v>0</v>
      </c>
      <c r="AB498" s="20">
        <v>0</v>
      </c>
      <c r="AC498" s="20">
        <v>0</v>
      </c>
      <c r="AD498" s="20">
        <v>0</v>
      </c>
      <c r="AE498" s="20">
        <v>0</v>
      </c>
      <c r="AF498" s="20">
        <v>0</v>
      </c>
      <c r="AG498" s="20">
        <v>0</v>
      </c>
      <c r="AH498" s="20">
        <v>0</v>
      </c>
      <c r="AI498" s="20">
        <v>0</v>
      </c>
      <c r="AJ498" s="20">
        <v>0</v>
      </c>
      <c r="AK498" s="20">
        <v>0</v>
      </c>
      <c r="AL498" s="20">
        <v>0</v>
      </c>
      <c r="AM498" s="20">
        <v>0</v>
      </c>
      <c r="AN498" s="20">
        <v>0</v>
      </c>
      <c r="AO498" s="20">
        <v>4</v>
      </c>
      <c r="AP498" s="20">
        <v>0</v>
      </c>
      <c r="AQ498" s="20">
        <v>0</v>
      </c>
      <c r="AR498" s="20">
        <v>0</v>
      </c>
      <c r="AS498" s="20">
        <v>0</v>
      </c>
      <c r="AT498" s="20">
        <v>0</v>
      </c>
      <c r="AU498" s="20">
        <v>0</v>
      </c>
      <c r="AV498" s="20">
        <v>0</v>
      </c>
      <c r="AW498" s="20">
        <v>0</v>
      </c>
      <c r="AX498" s="20">
        <v>0</v>
      </c>
      <c r="AY498" s="20">
        <v>0</v>
      </c>
      <c r="AZ498" s="20">
        <v>0</v>
      </c>
      <c r="BA498" s="20">
        <v>0</v>
      </c>
      <c r="BB498" s="20">
        <v>0</v>
      </c>
      <c r="BC498" s="20">
        <v>0</v>
      </c>
      <c r="BD498" s="20">
        <v>0</v>
      </c>
      <c r="BE498" s="20">
        <v>0</v>
      </c>
      <c r="BF498" s="20">
        <v>0</v>
      </c>
      <c r="BG498" s="20">
        <v>0</v>
      </c>
      <c r="BH498" s="20">
        <v>0</v>
      </c>
      <c r="BI498" s="22">
        <f t="shared" si="129"/>
        <v>4</v>
      </c>
      <c r="BJ498" s="22">
        <f t="shared" si="130"/>
        <v>0</v>
      </c>
      <c r="BK498" s="22">
        <f t="shared" si="131"/>
        <v>4</v>
      </c>
      <c r="BL498" s="22">
        <f t="shared" si="132"/>
        <v>4</v>
      </c>
      <c r="BM498" s="22">
        <f t="shared" si="134"/>
        <v>0</v>
      </c>
      <c r="BN498" s="23">
        <f t="shared" si="135"/>
        <v>0</v>
      </c>
      <c r="BO498" s="23" t="e">
        <f t="shared" si="135"/>
        <v>#DIV/0!</v>
      </c>
      <c r="BP498" s="7" t="e">
        <f>VLOOKUP(A498,[1]Sheet15!B:E,4,0)</f>
        <v>#N/A</v>
      </c>
      <c r="BQ498" s="7" t="e">
        <f>VLOOKUP(A498,[1]Sheet15!B:E,3,0)</f>
        <v>#N/A</v>
      </c>
    </row>
    <row r="499" spans="1:69" ht="22.5" customHeight="1" x14ac:dyDescent="0.25">
      <c r="A499" s="15" t="s">
        <v>1217</v>
      </c>
      <c r="B499" s="15" t="e">
        <f>VLOOKUP(A499,'[1]Master clients'!F493:W4040,17,0)</f>
        <v>#N/A</v>
      </c>
      <c r="C499" s="15" t="e">
        <f>VLOOKUP(A499,'[1]Master clients'!F493:P4040,11,0)</f>
        <v>#N/A</v>
      </c>
      <c r="D499" s="15" t="e">
        <f>VLOOKUP(A499,'[1]Master clients'!F:M,8,0)</f>
        <v>#N/A</v>
      </c>
      <c r="E499" s="24" t="s">
        <v>1237</v>
      </c>
      <c r="F499" s="25"/>
      <c r="G499" s="20"/>
      <c r="H499" s="20"/>
      <c r="I499" s="18">
        <v>0</v>
      </c>
      <c r="J499" s="18">
        <v>0</v>
      </c>
      <c r="K499" s="20">
        <v>0</v>
      </c>
      <c r="L499" s="20">
        <v>0</v>
      </c>
      <c r="M499" s="20">
        <v>0</v>
      </c>
      <c r="N499" s="20">
        <v>0</v>
      </c>
      <c r="O499" s="20">
        <v>0</v>
      </c>
      <c r="P499" s="20">
        <v>0</v>
      </c>
      <c r="Q499" s="20">
        <v>0</v>
      </c>
      <c r="R499" s="20">
        <v>0</v>
      </c>
      <c r="S499" s="20">
        <v>0</v>
      </c>
      <c r="T499" s="20">
        <v>0</v>
      </c>
      <c r="U499" s="20">
        <v>0</v>
      </c>
      <c r="V499" s="20">
        <v>0</v>
      </c>
      <c r="W499" s="20">
        <v>0</v>
      </c>
      <c r="X499" s="20">
        <v>0</v>
      </c>
      <c r="Y499" s="20">
        <v>0</v>
      </c>
      <c r="Z499" s="20">
        <v>0</v>
      </c>
      <c r="AA499" s="20">
        <v>0</v>
      </c>
      <c r="AB499" s="20">
        <v>0</v>
      </c>
      <c r="AC499" s="20">
        <v>0</v>
      </c>
      <c r="AD499" s="20">
        <v>0</v>
      </c>
      <c r="AE499" s="20">
        <v>0</v>
      </c>
      <c r="AF499" s="20">
        <v>0</v>
      </c>
      <c r="AG499" s="20">
        <v>0</v>
      </c>
      <c r="AH499" s="20">
        <v>0</v>
      </c>
      <c r="AI499" s="20">
        <v>0</v>
      </c>
      <c r="AJ499" s="20">
        <v>0</v>
      </c>
      <c r="AK499" s="20">
        <v>0</v>
      </c>
      <c r="AL499" s="20">
        <v>0</v>
      </c>
      <c r="AM499" s="20">
        <v>0</v>
      </c>
      <c r="AN499" s="20">
        <v>0</v>
      </c>
      <c r="AO499" s="20">
        <v>0</v>
      </c>
      <c r="AP499" s="20">
        <v>0</v>
      </c>
      <c r="AQ499" s="20">
        <v>0</v>
      </c>
      <c r="AR499" s="20">
        <v>0</v>
      </c>
      <c r="AS499" s="20">
        <v>0</v>
      </c>
      <c r="AT499" s="20">
        <v>0</v>
      </c>
      <c r="AU499" s="20">
        <v>0</v>
      </c>
      <c r="AV499" s="20">
        <v>0</v>
      </c>
      <c r="AW499" s="20">
        <v>0</v>
      </c>
      <c r="AX499" s="20">
        <v>0</v>
      </c>
      <c r="AY499" s="20">
        <v>0</v>
      </c>
      <c r="AZ499" s="20">
        <v>0</v>
      </c>
      <c r="BA499" s="20">
        <v>0</v>
      </c>
      <c r="BB499" s="20">
        <v>0</v>
      </c>
      <c r="BC499" s="20">
        <v>0</v>
      </c>
      <c r="BD499" s="20">
        <v>0</v>
      </c>
      <c r="BE499" s="20">
        <v>0</v>
      </c>
      <c r="BF499" s="20">
        <v>0</v>
      </c>
      <c r="BG499" s="20">
        <v>0</v>
      </c>
      <c r="BH499" s="20">
        <v>0</v>
      </c>
      <c r="BI499" s="22">
        <f t="shared" si="129"/>
        <v>0</v>
      </c>
      <c r="BJ499" s="22">
        <f t="shared" si="130"/>
        <v>0</v>
      </c>
      <c r="BK499" s="22">
        <f t="shared" si="131"/>
        <v>0</v>
      </c>
      <c r="BL499" s="22">
        <f t="shared" si="132"/>
        <v>0</v>
      </c>
      <c r="BM499" s="22">
        <f t="shared" si="134"/>
        <v>0</v>
      </c>
      <c r="BN499" s="23" t="e">
        <f t="shared" si="135"/>
        <v>#DIV/0!</v>
      </c>
      <c r="BO499" s="23" t="e">
        <f t="shared" si="135"/>
        <v>#DIV/0!</v>
      </c>
      <c r="BP499" s="7" t="e">
        <f>VLOOKUP(A499,[1]Sheet15!B:E,4,0)</f>
        <v>#N/A</v>
      </c>
      <c r="BQ499" s="7" t="e">
        <f>VLOOKUP(A499,[1]Sheet15!B:E,3,0)</f>
        <v>#N/A</v>
      </c>
    </row>
    <row r="500" spans="1:69" ht="22.5" customHeight="1" x14ac:dyDescent="0.25">
      <c r="A500" s="15" t="s">
        <v>1217</v>
      </c>
      <c r="B500" s="15" t="e">
        <f>VLOOKUP(A500,'[1]Master clients'!F494:W4041,17,0)</f>
        <v>#N/A</v>
      </c>
      <c r="C500" s="15" t="e">
        <f>VLOOKUP(A500,'[1]Master clients'!F494:P4041,11,0)</f>
        <v>#N/A</v>
      </c>
      <c r="D500" s="15" t="e">
        <f>VLOOKUP(A500,'[1]Master clients'!F:M,8,0)</f>
        <v>#N/A</v>
      </c>
      <c r="E500" s="24" t="s">
        <v>1238</v>
      </c>
      <c r="F500" s="29" t="s">
        <v>679</v>
      </c>
      <c r="G500" s="20"/>
      <c r="H500" s="20"/>
      <c r="I500" s="18">
        <v>0</v>
      </c>
      <c r="J500" s="18">
        <v>0</v>
      </c>
      <c r="K500" s="20">
        <v>6</v>
      </c>
      <c r="L500" s="20">
        <v>0</v>
      </c>
      <c r="M500" s="20">
        <v>0</v>
      </c>
      <c r="N500" s="20">
        <v>0</v>
      </c>
      <c r="O500" s="20">
        <v>0</v>
      </c>
      <c r="P500" s="20">
        <v>0</v>
      </c>
      <c r="Q500" s="20">
        <v>6</v>
      </c>
      <c r="R500" s="20">
        <v>0</v>
      </c>
      <c r="S500" s="20">
        <v>0</v>
      </c>
      <c r="T500" s="20">
        <v>0</v>
      </c>
      <c r="U500" s="20">
        <v>0</v>
      </c>
      <c r="V500" s="20">
        <v>0</v>
      </c>
      <c r="W500" s="20">
        <v>0</v>
      </c>
      <c r="X500" s="20">
        <v>0</v>
      </c>
      <c r="Y500" s="20">
        <v>0</v>
      </c>
      <c r="Z500" s="20">
        <v>0</v>
      </c>
      <c r="AA500" s="20">
        <v>0</v>
      </c>
      <c r="AB500" s="20">
        <v>0</v>
      </c>
      <c r="AC500" s="20">
        <v>0</v>
      </c>
      <c r="AD500" s="20">
        <v>0</v>
      </c>
      <c r="AE500" s="20">
        <v>0</v>
      </c>
      <c r="AF500" s="20">
        <v>0</v>
      </c>
      <c r="AG500" s="20">
        <v>0</v>
      </c>
      <c r="AH500" s="20">
        <v>0</v>
      </c>
      <c r="AI500" s="20">
        <v>4</v>
      </c>
      <c r="AJ500" s="20">
        <v>0</v>
      </c>
      <c r="AK500" s="20">
        <v>0</v>
      </c>
      <c r="AL500" s="20">
        <v>0</v>
      </c>
      <c r="AM500" s="20">
        <v>0</v>
      </c>
      <c r="AN500" s="20">
        <v>0</v>
      </c>
      <c r="AO500" s="20">
        <v>0</v>
      </c>
      <c r="AP500" s="20">
        <v>0</v>
      </c>
      <c r="AQ500" s="20">
        <v>0</v>
      </c>
      <c r="AR500" s="20">
        <v>0</v>
      </c>
      <c r="AS500" s="20">
        <v>0</v>
      </c>
      <c r="AT500" s="20">
        <v>0</v>
      </c>
      <c r="AU500" s="20">
        <v>0</v>
      </c>
      <c r="AV500" s="20">
        <v>0</v>
      </c>
      <c r="AW500" s="20">
        <v>0</v>
      </c>
      <c r="AX500" s="20">
        <v>0</v>
      </c>
      <c r="AY500" s="20">
        <v>0</v>
      </c>
      <c r="AZ500" s="20">
        <v>0</v>
      </c>
      <c r="BA500" s="20">
        <v>0</v>
      </c>
      <c r="BB500" s="20">
        <v>0</v>
      </c>
      <c r="BC500" s="20">
        <v>0</v>
      </c>
      <c r="BD500" s="20">
        <v>0</v>
      </c>
      <c r="BE500" s="20">
        <v>0</v>
      </c>
      <c r="BF500" s="20">
        <v>0</v>
      </c>
      <c r="BG500" s="20">
        <v>0</v>
      </c>
      <c r="BH500" s="20">
        <v>0</v>
      </c>
      <c r="BI500" s="22">
        <f t="shared" si="129"/>
        <v>10</v>
      </c>
      <c r="BJ500" s="22">
        <f t="shared" si="130"/>
        <v>6</v>
      </c>
      <c r="BK500" s="22">
        <f t="shared" si="131"/>
        <v>16</v>
      </c>
      <c r="BL500" s="22">
        <f t="shared" si="132"/>
        <v>10</v>
      </c>
      <c r="BM500" s="22">
        <f t="shared" si="134"/>
        <v>6</v>
      </c>
      <c r="BN500" s="23">
        <f t="shared" si="135"/>
        <v>0</v>
      </c>
      <c r="BO500" s="23">
        <f t="shared" si="135"/>
        <v>0</v>
      </c>
      <c r="BP500" s="7" t="e">
        <f>VLOOKUP(A500,[1]Sheet15!B:E,4,0)</f>
        <v>#N/A</v>
      </c>
      <c r="BQ500" s="7" t="e">
        <f>VLOOKUP(A500,[1]Sheet15!B:E,3,0)</f>
        <v>#N/A</v>
      </c>
    </row>
    <row r="501" spans="1:69" ht="22.5" customHeight="1" x14ac:dyDescent="0.25">
      <c r="A501" s="15" t="s">
        <v>1217</v>
      </c>
      <c r="B501" s="15" t="e">
        <f>VLOOKUP(A501,'[1]Master clients'!F495:W4042,17,0)</f>
        <v>#N/A</v>
      </c>
      <c r="C501" s="15" t="e">
        <f>VLOOKUP(A501,'[1]Master clients'!F495:P4042,11,0)</f>
        <v>#N/A</v>
      </c>
      <c r="D501" s="15" t="e">
        <f>VLOOKUP(A501,'[1]Master clients'!F:M,8,0)</f>
        <v>#N/A</v>
      </c>
      <c r="E501" s="24" t="s">
        <v>1239</v>
      </c>
      <c r="F501" s="29" t="s">
        <v>679</v>
      </c>
      <c r="G501" s="20"/>
      <c r="H501" s="20"/>
      <c r="I501" s="18">
        <v>0</v>
      </c>
      <c r="J501" s="18">
        <v>0</v>
      </c>
      <c r="K501" s="20">
        <v>0</v>
      </c>
      <c r="L501" s="20">
        <v>12</v>
      </c>
      <c r="M501" s="20">
        <v>0</v>
      </c>
      <c r="N501" s="20">
        <v>0</v>
      </c>
      <c r="O501" s="20">
        <v>1</v>
      </c>
      <c r="P501" s="20">
        <v>0</v>
      </c>
      <c r="Q501" s="20">
        <v>16</v>
      </c>
      <c r="R501" s="20">
        <v>0</v>
      </c>
      <c r="S501" s="20">
        <v>0</v>
      </c>
      <c r="T501" s="20">
        <v>0</v>
      </c>
      <c r="U501" s="20">
        <v>0</v>
      </c>
      <c r="V501" s="20">
        <v>0</v>
      </c>
      <c r="W501" s="20">
        <v>0</v>
      </c>
      <c r="X501" s="20">
        <v>0</v>
      </c>
      <c r="Y501" s="20">
        <v>0</v>
      </c>
      <c r="Z501" s="20">
        <v>0</v>
      </c>
      <c r="AA501" s="20">
        <v>0</v>
      </c>
      <c r="AB501" s="20">
        <v>0</v>
      </c>
      <c r="AC501" s="20">
        <v>0</v>
      </c>
      <c r="AD501" s="20">
        <v>0</v>
      </c>
      <c r="AE501" s="20">
        <v>0</v>
      </c>
      <c r="AF501" s="20">
        <v>0</v>
      </c>
      <c r="AG501" s="20">
        <v>0</v>
      </c>
      <c r="AH501" s="20">
        <v>0</v>
      </c>
      <c r="AI501" s="20">
        <v>0</v>
      </c>
      <c r="AJ501" s="20">
        <v>0</v>
      </c>
      <c r="AK501" s="20">
        <v>0</v>
      </c>
      <c r="AL501" s="20">
        <v>0</v>
      </c>
      <c r="AM501" s="20">
        <v>0</v>
      </c>
      <c r="AN501" s="20">
        <v>0</v>
      </c>
      <c r="AO501" s="20">
        <v>0</v>
      </c>
      <c r="AP501" s="20">
        <v>0</v>
      </c>
      <c r="AQ501" s="20">
        <v>0</v>
      </c>
      <c r="AR501" s="20">
        <v>0</v>
      </c>
      <c r="AS501" s="20">
        <v>0</v>
      </c>
      <c r="AT501" s="20">
        <v>0</v>
      </c>
      <c r="AU501" s="20">
        <v>0</v>
      </c>
      <c r="AV501" s="20">
        <v>0</v>
      </c>
      <c r="AW501" s="20">
        <v>0</v>
      </c>
      <c r="AX501" s="20">
        <v>0</v>
      </c>
      <c r="AY501" s="20">
        <v>0</v>
      </c>
      <c r="AZ501" s="20">
        <v>0</v>
      </c>
      <c r="BA501" s="20">
        <v>0</v>
      </c>
      <c r="BB501" s="20">
        <v>0</v>
      </c>
      <c r="BC501" s="20">
        <v>0</v>
      </c>
      <c r="BD501" s="20">
        <v>0</v>
      </c>
      <c r="BE501" s="20">
        <v>0</v>
      </c>
      <c r="BF501" s="20">
        <v>0</v>
      </c>
      <c r="BG501" s="20">
        <v>0</v>
      </c>
      <c r="BH501" s="20">
        <v>0</v>
      </c>
      <c r="BI501" s="22">
        <f t="shared" si="129"/>
        <v>12</v>
      </c>
      <c r="BJ501" s="22">
        <f t="shared" si="130"/>
        <v>17</v>
      </c>
      <c r="BK501" s="22">
        <f t="shared" si="131"/>
        <v>29</v>
      </c>
      <c r="BL501" s="22">
        <f t="shared" si="132"/>
        <v>12</v>
      </c>
      <c r="BM501" s="22">
        <f t="shared" si="134"/>
        <v>17</v>
      </c>
      <c r="BN501" s="23">
        <f t="shared" ref="BN501:BO516" si="136">I501/BL501</f>
        <v>0</v>
      </c>
      <c r="BO501" s="23">
        <f t="shared" si="136"/>
        <v>0</v>
      </c>
      <c r="BP501" s="7" t="e">
        <f>VLOOKUP(A501,[1]Sheet15!B:E,4,0)</f>
        <v>#N/A</v>
      </c>
      <c r="BQ501" s="7" t="e">
        <f>VLOOKUP(A501,[1]Sheet15!B:E,3,0)</f>
        <v>#N/A</v>
      </c>
    </row>
    <row r="502" spans="1:69" ht="22.5" customHeight="1" x14ac:dyDescent="0.25">
      <c r="A502" s="15" t="s">
        <v>1217</v>
      </c>
      <c r="B502" s="15" t="e">
        <f>VLOOKUP(A502,'[1]Master clients'!F496:W4043,17,0)</f>
        <v>#N/A</v>
      </c>
      <c r="C502" s="15" t="e">
        <f>VLOOKUP(A502,'[1]Master clients'!F496:P4043,11,0)</f>
        <v>#N/A</v>
      </c>
      <c r="D502" s="15" t="e">
        <f>VLOOKUP(A502,'[1]Master clients'!F:M,8,0)</f>
        <v>#N/A</v>
      </c>
      <c r="E502" s="24" t="s">
        <v>1240</v>
      </c>
      <c r="F502" s="29" t="s">
        <v>679</v>
      </c>
      <c r="G502" s="20"/>
      <c r="H502" s="20"/>
      <c r="I502" s="18">
        <v>0</v>
      </c>
      <c r="J502" s="18">
        <v>0</v>
      </c>
      <c r="K502" s="20">
        <v>0</v>
      </c>
      <c r="L502" s="20">
        <v>0</v>
      </c>
      <c r="M502" s="20">
        <v>0</v>
      </c>
      <c r="N502" s="20">
        <v>0</v>
      </c>
      <c r="O502" s="20">
        <v>0</v>
      </c>
      <c r="P502" s="20">
        <v>0</v>
      </c>
      <c r="Q502" s="20">
        <v>0</v>
      </c>
      <c r="R502" s="20">
        <v>0</v>
      </c>
      <c r="S502" s="20">
        <v>0</v>
      </c>
      <c r="T502" s="20">
        <v>0</v>
      </c>
      <c r="U502" s="20">
        <v>0</v>
      </c>
      <c r="V502" s="20">
        <v>0</v>
      </c>
      <c r="W502" s="20">
        <v>0</v>
      </c>
      <c r="X502" s="20">
        <v>3</v>
      </c>
      <c r="Y502" s="20">
        <v>0</v>
      </c>
      <c r="Z502" s="20">
        <v>0</v>
      </c>
      <c r="AA502" s="20">
        <v>0</v>
      </c>
      <c r="AB502" s="20">
        <v>0</v>
      </c>
      <c r="AC502" s="20">
        <v>0</v>
      </c>
      <c r="AD502" s="20">
        <v>0</v>
      </c>
      <c r="AE502" s="20">
        <v>0</v>
      </c>
      <c r="AF502" s="20">
        <v>0</v>
      </c>
      <c r="AG502" s="20">
        <v>0</v>
      </c>
      <c r="AH502" s="20">
        <v>0</v>
      </c>
      <c r="AI502" s="20">
        <v>0</v>
      </c>
      <c r="AJ502" s="20">
        <v>0</v>
      </c>
      <c r="AK502" s="20">
        <v>0</v>
      </c>
      <c r="AL502" s="20">
        <v>0</v>
      </c>
      <c r="AM502" s="20">
        <v>0</v>
      </c>
      <c r="AN502" s="20">
        <v>0</v>
      </c>
      <c r="AO502" s="20">
        <v>0</v>
      </c>
      <c r="AP502" s="20">
        <v>0</v>
      </c>
      <c r="AQ502" s="20">
        <v>0</v>
      </c>
      <c r="AR502" s="20">
        <v>0</v>
      </c>
      <c r="AS502" s="20">
        <v>0</v>
      </c>
      <c r="AT502" s="20">
        <v>0</v>
      </c>
      <c r="AU502" s="20">
        <v>0</v>
      </c>
      <c r="AV502" s="20">
        <v>0</v>
      </c>
      <c r="AW502" s="20">
        <v>0</v>
      </c>
      <c r="AX502" s="20">
        <v>0</v>
      </c>
      <c r="AY502" s="20">
        <v>0</v>
      </c>
      <c r="AZ502" s="20">
        <v>0</v>
      </c>
      <c r="BA502" s="20">
        <v>0</v>
      </c>
      <c r="BB502" s="20">
        <v>0</v>
      </c>
      <c r="BC502" s="20">
        <v>0</v>
      </c>
      <c r="BD502" s="20">
        <v>0</v>
      </c>
      <c r="BE502" s="20">
        <v>0</v>
      </c>
      <c r="BF502" s="20">
        <v>0</v>
      </c>
      <c r="BG502" s="20">
        <v>0</v>
      </c>
      <c r="BH502" s="20">
        <v>0</v>
      </c>
      <c r="BI502" s="22">
        <f t="shared" si="129"/>
        <v>0</v>
      </c>
      <c r="BJ502" s="22">
        <f t="shared" si="130"/>
        <v>3</v>
      </c>
      <c r="BK502" s="22">
        <f t="shared" si="131"/>
        <v>3</v>
      </c>
      <c r="BL502" s="22">
        <f t="shared" si="132"/>
        <v>0</v>
      </c>
      <c r="BM502" s="22">
        <f t="shared" si="134"/>
        <v>3</v>
      </c>
      <c r="BN502" s="23" t="e">
        <f t="shared" si="136"/>
        <v>#DIV/0!</v>
      </c>
      <c r="BO502" s="23">
        <f t="shared" si="136"/>
        <v>0</v>
      </c>
      <c r="BP502" s="7" t="e">
        <f>VLOOKUP(A502,[1]Sheet15!B:E,4,0)</f>
        <v>#N/A</v>
      </c>
      <c r="BQ502" s="7" t="e">
        <f>VLOOKUP(A502,[1]Sheet15!B:E,3,0)</f>
        <v>#N/A</v>
      </c>
    </row>
    <row r="503" spans="1:69" ht="22.5" customHeight="1" x14ac:dyDescent="0.25">
      <c r="A503" s="15" t="s">
        <v>1217</v>
      </c>
      <c r="B503" s="15" t="e">
        <f>VLOOKUP(A503,'[1]Master clients'!F497:W4044,17,0)</f>
        <v>#N/A</v>
      </c>
      <c r="C503" s="15" t="e">
        <f>VLOOKUP(A503,'[1]Master clients'!F497:P4044,11,0)</f>
        <v>#N/A</v>
      </c>
      <c r="D503" s="15" t="e">
        <f>VLOOKUP(A503,'[1]Master clients'!F:M,8,0)</f>
        <v>#N/A</v>
      </c>
      <c r="E503" s="16" t="s">
        <v>1241</v>
      </c>
      <c r="F503" s="29" t="s">
        <v>874</v>
      </c>
      <c r="G503" s="20"/>
      <c r="H503" s="20"/>
      <c r="I503" s="18">
        <v>0</v>
      </c>
      <c r="J503" s="18">
        <v>0</v>
      </c>
      <c r="K503" s="20">
        <v>0</v>
      </c>
      <c r="L503" s="20">
        <v>0</v>
      </c>
      <c r="M503" s="20">
        <v>0</v>
      </c>
      <c r="N503" s="20">
        <v>0</v>
      </c>
      <c r="O503" s="20">
        <v>0</v>
      </c>
      <c r="P503" s="20">
        <v>0</v>
      </c>
      <c r="Q503" s="20">
        <v>0</v>
      </c>
      <c r="R503" s="20">
        <v>0</v>
      </c>
      <c r="S503" s="20">
        <v>0</v>
      </c>
      <c r="T503" s="20">
        <v>0</v>
      </c>
      <c r="U503" s="20">
        <v>0</v>
      </c>
      <c r="V503" s="20">
        <v>0</v>
      </c>
      <c r="W503" s="20">
        <v>0</v>
      </c>
      <c r="X503" s="20">
        <v>0</v>
      </c>
      <c r="Y503" s="20">
        <v>0</v>
      </c>
      <c r="Z503" s="20">
        <v>0</v>
      </c>
      <c r="AA503" s="20">
        <v>0</v>
      </c>
      <c r="AB503" s="20">
        <v>0</v>
      </c>
      <c r="AC503" s="20">
        <v>0</v>
      </c>
      <c r="AD503" s="20">
        <v>0</v>
      </c>
      <c r="AE503" s="20">
        <v>0</v>
      </c>
      <c r="AF503" s="20">
        <v>0</v>
      </c>
      <c r="AG503" s="20">
        <v>0</v>
      </c>
      <c r="AH503" s="20">
        <v>0</v>
      </c>
      <c r="AI503" s="20">
        <v>0</v>
      </c>
      <c r="AJ503" s="20">
        <v>0</v>
      </c>
      <c r="AK503" s="20">
        <v>0</v>
      </c>
      <c r="AL503" s="20">
        <v>0</v>
      </c>
      <c r="AM503" s="20">
        <v>0</v>
      </c>
      <c r="AN503" s="20">
        <v>0</v>
      </c>
      <c r="AO503" s="20">
        <v>4</v>
      </c>
      <c r="AP503" s="20">
        <v>0</v>
      </c>
      <c r="AQ503" s="20">
        <v>0</v>
      </c>
      <c r="AR503" s="20">
        <v>0</v>
      </c>
      <c r="AS503" s="20">
        <v>0</v>
      </c>
      <c r="AT503" s="20">
        <v>0</v>
      </c>
      <c r="AU503" s="20">
        <v>0</v>
      </c>
      <c r="AV503" s="20">
        <v>0</v>
      </c>
      <c r="AW503" s="20">
        <v>0</v>
      </c>
      <c r="AX503" s="20">
        <v>0</v>
      </c>
      <c r="AY503" s="20">
        <v>0</v>
      </c>
      <c r="AZ503" s="20">
        <v>0</v>
      </c>
      <c r="BA503" s="20">
        <v>0</v>
      </c>
      <c r="BB503" s="20">
        <v>0</v>
      </c>
      <c r="BC503" s="20">
        <v>0</v>
      </c>
      <c r="BD503" s="20">
        <v>0</v>
      </c>
      <c r="BE503" s="20">
        <v>0</v>
      </c>
      <c r="BF503" s="20">
        <v>0</v>
      </c>
      <c r="BG503" s="20">
        <v>0</v>
      </c>
      <c r="BH503" s="20">
        <v>0</v>
      </c>
      <c r="BI503" s="22">
        <f t="shared" si="129"/>
        <v>4</v>
      </c>
      <c r="BJ503" s="22">
        <f t="shared" si="130"/>
        <v>0</v>
      </c>
      <c r="BK503" s="22">
        <f t="shared" si="131"/>
        <v>4</v>
      </c>
      <c r="BL503" s="22">
        <f t="shared" si="132"/>
        <v>4</v>
      </c>
      <c r="BM503" s="22">
        <f t="shared" si="134"/>
        <v>0</v>
      </c>
      <c r="BN503" s="23">
        <f t="shared" si="136"/>
        <v>0</v>
      </c>
      <c r="BO503" s="23" t="e">
        <f t="shared" si="136"/>
        <v>#DIV/0!</v>
      </c>
      <c r="BP503" s="7" t="e">
        <f>VLOOKUP(A503,[1]Sheet15!B:E,4,0)</f>
        <v>#N/A</v>
      </c>
      <c r="BQ503" s="7" t="e">
        <f>VLOOKUP(A503,[1]Sheet15!B:E,3,0)</f>
        <v>#N/A</v>
      </c>
    </row>
    <row r="504" spans="1:69" ht="22.5" customHeight="1" x14ac:dyDescent="0.25">
      <c r="A504" s="15" t="s">
        <v>1217</v>
      </c>
      <c r="B504" s="15" t="e">
        <f>VLOOKUP(A504,'[1]Master clients'!F498:W4045,17,0)</f>
        <v>#N/A</v>
      </c>
      <c r="C504" s="15" t="e">
        <f>VLOOKUP(A504,'[1]Master clients'!F498:P4045,11,0)</f>
        <v>#N/A</v>
      </c>
      <c r="D504" s="15" t="e">
        <f>VLOOKUP(A504,'[1]Master clients'!F:M,8,0)</f>
        <v>#N/A</v>
      </c>
      <c r="E504" s="16" t="s">
        <v>1242</v>
      </c>
      <c r="F504" s="29" t="s">
        <v>874</v>
      </c>
      <c r="G504" s="20"/>
      <c r="H504" s="20"/>
      <c r="I504" s="18">
        <v>0</v>
      </c>
      <c r="J504" s="18">
        <v>0</v>
      </c>
      <c r="K504" s="20">
        <v>0</v>
      </c>
      <c r="L504" s="20">
        <v>0</v>
      </c>
      <c r="M504" s="20">
        <v>0</v>
      </c>
      <c r="N504" s="20">
        <v>0</v>
      </c>
      <c r="O504" s="20">
        <v>0</v>
      </c>
      <c r="P504" s="20">
        <v>0</v>
      </c>
      <c r="Q504" s="20">
        <v>0</v>
      </c>
      <c r="R504" s="20">
        <v>0</v>
      </c>
      <c r="S504" s="20">
        <v>0</v>
      </c>
      <c r="T504" s="20">
        <v>0</v>
      </c>
      <c r="U504" s="20">
        <v>0</v>
      </c>
      <c r="V504" s="20">
        <v>0</v>
      </c>
      <c r="W504" s="20">
        <v>0</v>
      </c>
      <c r="X504" s="20">
        <v>0</v>
      </c>
      <c r="Y504" s="20">
        <v>0</v>
      </c>
      <c r="Z504" s="20">
        <v>0</v>
      </c>
      <c r="AA504" s="20">
        <v>0</v>
      </c>
      <c r="AB504" s="20">
        <v>0</v>
      </c>
      <c r="AC504" s="20">
        <v>0</v>
      </c>
      <c r="AD504" s="20">
        <v>0</v>
      </c>
      <c r="AE504" s="20">
        <v>0</v>
      </c>
      <c r="AF504" s="20">
        <v>0</v>
      </c>
      <c r="AG504" s="20">
        <v>0</v>
      </c>
      <c r="AH504" s="20">
        <v>0</v>
      </c>
      <c r="AI504" s="20">
        <v>0</v>
      </c>
      <c r="AJ504" s="20">
        <v>0</v>
      </c>
      <c r="AK504" s="20">
        <v>0</v>
      </c>
      <c r="AL504" s="20">
        <v>0</v>
      </c>
      <c r="AM504" s="20">
        <v>0</v>
      </c>
      <c r="AN504" s="20">
        <v>0</v>
      </c>
      <c r="AO504" s="20">
        <v>2</v>
      </c>
      <c r="AP504" s="20">
        <v>0</v>
      </c>
      <c r="AQ504" s="20">
        <v>0</v>
      </c>
      <c r="AR504" s="20">
        <v>0</v>
      </c>
      <c r="AS504" s="20">
        <v>0</v>
      </c>
      <c r="AT504" s="20">
        <v>0</v>
      </c>
      <c r="AU504" s="20">
        <v>0</v>
      </c>
      <c r="AV504" s="20">
        <v>0</v>
      </c>
      <c r="AW504" s="20">
        <v>0</v>
      </c>
      <c r="AX504" s="20">
        <v>0</v>
      </c>
      <c r="AY504" s="20">
        <v>0</v>
      </c>
      <c r="AZ504" s="20">
        <v>0</v>
      </c>
      <c r="BA504" s="20">
        <v>0</v>
      </c>
      <c r="BB504" s="20">
        <v>0</v>
      </c>
      <c r="BC504" s="20">
        <v>0</v>
      </c>
      <c r="BD504" s="20">
        <v>0</v>
      </c>
      <c r="BE504" s="20">
        <v>0</v>
      </c>
      <c r="BF504" s="20">
        <v>0</v>
      </c>
      <c r="BG504" s="20">
        <v>0</v>
      </c>
      <c r="BH504" s="20">
        <v>0</v>
      </c>
      <c r="BI504" s="22">
        <f t="shared" si="129"/>
        <v>2</v>
      </c>
      <c r="BJ504" s="22">
        <f t="shared" si="130"/>
        <v>0</v>
      </c>
      <c r="BK504" s="22">
        <f t="shared" si="131"/>
        <v>2</v>
      </c>
      <c r="BL504" s="22">
        <f t="shared" si="132"/>
        <v>2</v>
      </c>
      <c r="BM504" s="22">
        <f t="shared" si="134"/>
        <v>0</v>
      </c>
      <c r="BN504" s="23">
        <f t="shared" si="136"/>
        <v>0</v>
      </c>
      <c r="BO504" s="23" t="e">
        <f t="shared" si="136"/>
        <v>#DIV/0!</v>
      </c>
      <c r="BP504" s="7" t="e">
        <f>VLOOKUP(A504,[1]Sheet15!B:E,4,0)</f>
        <v>#N/A</v>
      </c>
      <c r="BQ504" s="7" t="e">
        <f>VLOOKUP(A504,[1]Sheet15!B:E,3,0)</f>
        <v>#N/A</v>
      </c>
    </row>
    <row r="505" spans="1:69" ht="22.5" customHeight="1" x14ac:dyDescent="0.25">
      <c r="A505" s="15" t="s">
        <v>1217</v>
      </c>
      <c r="B505" s="15" t="e">
        <f>VLOOKUP(A505,'[1]Master clients'!F499:W4046,17,0)</f>
        <v>#N/A</v>
      </c>
      <c r="C505" s="15" t="e">
        <f>VLOOKUP(A505,'[1]Master clients'!F499:P4046,11,0)</f>
        <v>#N/A</v>
      </c>
      <c r="D505" s="15" t="e">
        <f>VLOOKUP(A505,'[1]Master clients'!F:M,8,0)</f>
        <v>#N/A</v>
      </c>
      <c r="E505" s="16" t="s">
        <v>1243</v>
      </c>
      <c r="F505" s="29" t="s">
        <v>874</v>
      </c>
      <c r="G505" s="20"/>
      <c r="H505" s="20"/>
      <c r="I505" s="18">
        <v>0</v>
      </c>
      <c r="J505" s="18">
        <v>0</v>
      </c>
      <c r="K505" s="20">
        <v>0</v>
      </c>
      <c r="L505" s="20">
        <v>0</v>
      </c>
      <c r="M505" s="20">
        <v>0</v>
      </c>
      <c r="N505" s="20">
        <v>0</v>
      </c>
      <c r="O505" s="20">
        <v>0</v>
      </c>
      <c r="P505" s="20">
        <v>0</v>
      </c>
      <c r="Q505" s="20">
        <v>0</v>
      </c>
      <c r="R505" s="20">
        <v>0</v>
      </c>
      <c r="S505" s="20">
        <v>0</v>
      </c>
      <c r="T505" s="20">
        <v>0</v>
      </c>
      <c r="U505" s="20">
        <v>0</v>
      </c>
      <c r="V505" s="20">
        <v>0</v>
      </c>
      <c r="W505" s="20">
        <v>0</v>
      </c>
      <c r="X505" s="20">
        <v>0</v>
      </c>
      <c r="Y505" s="20">
        <v>0</v>
      </c>
      <c r="Z505" s="20">
        <v>0</v>
      </c>
      <c r="AA505" s="20">
        <v>0</v>
      </c>
      <c r="AB505" s="20">
        <v>0</v>
      </c>
      <c r="AC505" s="20">
        <v>0</v>
      </c>
      <c r="AD505" s="20">
        <v>0</v>
      </c>
      <c r="AE505" s="20">
        <v>0</v>
      </c>
      <c r="AF505" s="20">
        <v>0</v>
      </c>
      <c r="AG505" s="20">
        <v>0</v>
      </c>
      <c r="AH505" s="20">
        <v>0</v>
      </c>
      <c r="AI505" s="20">
        <v>0</v>
      </c>
      <c r="AJ505" s="20">
        <v>0</v>
      </c>
      <c r="AK505" s="20">
        <v>0</v>
      </c>
      <c r="AL505" s="20">
        <v>0</v>
      </c>
      <c r="AM505" s="20">
        <v>0</v>
      </c>
      <c r="AN505" s="20">
        <v>0</v>
      </c>
      <c r="AO505" s="20">
        <v>2</v>
      </c>
      <c r="AP505" s="20">
        <v>0</v>
      </c>
      <c r="AQ505" s="20">
        <v>0</v>
      </c>
      <c r="AR505" s="20">
        <v>0</v>
      </c>
      <c r="AS505" s="20">
        <v>0</v>
      </c>
      <c r="AT505" s="20">
        <v>0</v>
      </c>
      <c r="AU505" s="20">
        <v>0</v>
      </c>
      <c r="AV505" s="20">
        <v>0</v>
      </c>
      <c r="AW505" s="20">
        <v>0</v>
      </c>
      <c r="AX505" s="20">
        <v>0</v>
      </c>
      <c r="AY505" s="20">
        <v>0</v>
      </c>
      <c r="AZ505" s="20">
        <v>0</v>
      </c>
      <c r="BA505" s="20">
        <v>0</v>
      </c>
      <c r="BB505" s="20">
        <v>0</v>
      </c>
      <c r="BC505" s="20">
        <v>0</v>
      </c>
      <c r="BD505" s="20">
        <v>0</v>
      </c>
      <c r="BE505" s="20">
        <v>0</v>
      </c>
      <c r="BF505" s="20">
        <v>0</v>
      </c>
      <c r="BG505" s="20">
        <v>0</v>
      </c>
      <c r="BH505" s="20">
        <v>0</v>
      </c>
      <c r="BI505" s="22">
        <f t="shared" si="129"/>
        <v>2</v>
      </c>
      <c r="BJ505" s="22">
        <f t="shared" si="130"/>
        <v>0</v>
      </c>
      <c r="BK505" s="22">
        <f t="shared" si="131"/>
        <v>2</v>
      </c>
      <c r="BL505" s="22">
        <f t="shared" si="132"/>
        <v>2</v>
      </c>
      <c r="BM505" s="22">
        <f t="shared" si="134"/>
        <v>0</v>
      </c>
      <c r="BN505" s="23">
        <f t="shared" si="136"/>
        <v>0</v>
      </c>
      <c r="BO505" s="23" t="e">
        <f t="shared" si="136"/>
        <v>#DIV/0!</v>
      </c>
      <c r="BP505" s="7" t="e">
        <f>VLOOKUP(A505,[1]Sheet15!B:E,4,0)</f>
        <v>#N/A</v>
      </c>
      <c r="BQ505" s="7" t="e">
        <f>VLOOKUP(A505,[1]Sheet15!B:E,3,0)</f>
        <v>#N/A</v>
      </c>
    </row>
    <row r="506" spans="1:69" ht="22.5" customHeight="1" x14ac:dyDescent="0.25">
      <c r="A506" s="15" t="s">
        <v>1217</v>
      </c>
      <c r="B506" s="15" t="e">
        <f>VLOOKUP(A506,'[1]Master clients'!F500:W4047,17,0)</f>
        <v>#N/A</v>
      </c>
      <c r="C506" s="15" t="e">
        <f>VLOOKUP(A506,'[1]Master clients'!F500:P4047,11,0)</f>
        <v>#N/A</v>
      </c>
      <c r="D506" s="15" t="e">
        <f>VLOOKUP(A506,'[1]Master clients'!F:M,8,0)</f>
        <v>#N/A</v>
      </c>
      <c r="E506" s="16" t="s">
        <v>1244</v>
      </c>
      <c r="F506" s="29" t="s">
        <v>1245</v>
      </c>
      <c r="G506" s="20"/>
      <c r="H506" s="20"/>
      <c r="I506" s="18">
        <v>0</v>
      </c>
      <c r="J506" s="18">
        <v>0</v>
      </c>
      <c r="K506" s="20">
        <v>6</v>
      </c>
      <c r="L506" s="20">
        <v>7</v>
      </c>
      <c r="M506" s="20">
        <v>0</v>
      </c>
      <c r="N506" s="20">
        <v>0</v>
      </c>
      <c r="O506" s="20">
        <v>0</v>
      </c>
      <c r="P506" s="20">
        <v>0</v>
      </c>
      <c r="Q506" s="20">
        <v>0</v>
      </c>
      <c r="R506" s="20">
        <v>0</v>
      </c>
      <c r="S506" s="20">
        <v>0</v>
      </c>
      <c r="T506" s="20">
        <v>0</v>
      </c>
      <c r="U506" s="20">
        <v>0</v>
      </c>
      <c r="V506" s="20">
        <v>0</v>
      </c>
      <c r="W506" s="20">
        <v>0</v>
      </c>
      <c r="X506" s="20">
        <v>0</v>
      </c>
      <c r="Y506" s="20">
        <v>0</v>
      </c>
      <c r="Z506" s="20">
        <v>0</v>
      </c>
      <c r="AA506" s="20">
        <v>0</v>
      </c>
      <c r="AB506" s="20">
        <v>0</v>
      </c>
      <c r="AC506" s="20">
        <v>0</v>
      </c>
      <c r="AD506" s="20">
        <v>0</v>
      </c>
      <c r="AE506" s="20">
        <v>0</v>
      </c>
      <c r="AF506" s="20">
        <v>0</v>
      </c>
      <c r="AG506" s="20">
        <v>0</v>
      </c>
      <c r="AH506" s="20">
        <v>0</v>
      </c>
      <c r="AI506" s="20">
        <v>0</v>
      </c>
      <c r="AJ506" s="20">
        <v>0</v>
      </c>
      <c r="AK506" s="20">
        <v>0</v>
      </c>
      <c r="AL506" s="20">
        <v>0</v>
      </c>
      <c r="AM506" s="20">
        <v>0</v>
      </c>
      <c r="AN506" s="20">
        <v>0</v>
      </c>
      <c r="AO506" s="20">
        <v>0</v>
      </c>
      <c r="AP506" s="20">
        <v>0</v>
      </c>
      <c r="AQ506" s="20">
        <v>0</v>
      </c>
      <c r="AR506" s="20">
        <v>0</v>
      </c>
      <c r="AS506" s="20">
        <v>0</v>
      </c>
      <c r="AT506" s="20">
        <v>0</v>
      </c>
      <c r="AU506" s="20">
        <v>0</v>
      </c>
      <c r="AV506" s="20">
        <v>0</v>
      </c>
      <c r="AW506" s="20">
        <v>0</v>
      </c>
      <c r="AX506" s="20">
        <v>0</v>
      </c>
      <c r="AY506" s="20">
        <v>0</v>
      </c>
      <c r="AZ506" s="20">
        <v>0</v>
      </c>
      <c r="BA506" s="20">
        <v>0</v>
      </c>
      <c r="BB506" s="20">
        <v>0</v>
      </c>
      <c r="BC506" s="20">
        <v>0</v>
      </c>
      <c r="BD506" s="20">
        <v>0</v>
      </c>
      <c r="BE506" s="20">
        <v>0</v>
      </c>
      <c r="BF506" s="20">
        <v>0</v>
      </c>
      <c r="BG506" s="20">
        <v>0</v>
      </c>
      <c r="BH506" s="20">
        <v>0</v>
      </c>
      <c r="BI506" s="22">
        <f t="shared" si="129"/>
        <v>13</v>
      </c>
      <c r="BJ506" s="22">
        <f t="shared" si="130"/>
        <v>0</v>
      </c>
      <c r="BK506" s="22">
        <f t="shared" si="131"/>
        <v>13</v>
      </c>
      <c r="BL506" s="22">
        <f t="shared" si="132"/>
        <v>13</v>
      </c>
      <c r="BM506" s="22">
        <f t="shared" si="134"/>
        <v>0</v>
      </c>
      <c r="BN506" s="23">
        <f t="shared" si="136"/>
        <v>0</v>
      </c>
      <c r="BO506" s="23" t="e">
        <f t="shared" si="136"/>
        <v>#DIV/0!</v>
      </c>
      <c r="BP506" s="7" t="e">
        <f>VLOOKUP(A506,[1]Sheet15!B:E,4,0)</f>
        <v>#N/A</v>
      </c>
      <c r="BQ506" s="7" t="e">
        <f>VLOOKUP(A506,[1]Sheet15!B:E,3,0)</f>
        <v>#N/A</v>
      </c>
    </row>
    <row r="507" spans="1:69" ht="22.5" customHeight="1" x14ac:dyDescent="0.25">
      <c r="A507" s="15" t="s">
        <v>1217</v>
      </c>
      <c r="B507" s="15" t="e">
        <f>VLOOKUP(A507,'[1]Master clients'!F501:W4048,17,0)</f>
        <v>#N/A</v>
      </c>
      <c r="C507" s="15" t="e">
        <f>VLOOKUP(A507,'[1]Master clients'!F501:P4048,11,0)</f>
        <v>#N/A</v>
      </c>
      <c r="D507" s="15" t="e">
        <f>VLOOKUP(A507,'[1]Master clients'!F:M,8,0)</f>
        <v>#N/A</v>
      </c>
      <c r="E507" s="16" t="s">
        <v>1246</v>
      </c>
      <c r="F507" s="29" t="s">
        <v>1247</v>
      </c>
      <c r="G507" s="20"/>
      <c r="H507" s="20"/>
      <c r="I507" s="18">
        <v>0</v>
      </c>
      <c r="J507" s="18">
        <v>0</v>
      </c>
      <c r="K507" s="20">
        <v>4</v>
      </c>
      <c r="L507" s="20">
        <v>0</v>
      </c>
      <c r="M507" s="20">
        <v>0</v>
      </c>
      <c r="N507" s="20">
        <v>0</v>
      </c>
      <c r="O507" s="20">
        <v>0</v>
      </c>
      <c r="P507" s="20">
        <v>0</v>
      </c>
      <c r="Q507" s="20">
        <v>0</v>
      </c>
      <c r="R507" s="20">
        <v>0</v>
      </c>
      <c r="S507" s="20">
        <v>0</v>
      </c>
      <c r="T507" s="20">
        <v>0</v>
      </c>
      <c r="U507" s="20">
        <v>0</v>
      </c>
      <c r="V507" s="20">
        <v>0</v>
      </c>
      <c r="W507" s="20">
        <v>0</v>
      </c>
      <c r="X507" s="20">
        <v>0</v>
      </c>
      <c r="Y507" s="20">
        <v>0</v>
      </c>
      <c r="Z507" s="20">
        <v>0</v>
      </c>
      <c r="AA507" s="20">
        <v>0</v>
      </c>
      <c r="AB507" s="20">
        <v>0</v>
      </c>
      <c r="AC507" s="20">
        <v>0</v>
      </c>
      <c r="AD507" s="20">
        <v>0</v>
      </c>
      <c r="AE507" s="20">
        <v>0</v>
      </c>
      <c r="AF507" s="20">
        <v>0</v>
      </c>
      <c r="AG507" s="20">
        <v>0</v>
      </c>
      <c r="AH507" s="20">
        <v>0</v>
      </c>
      <c r="AI507" s="20">
        <v>0</v>
      </c>
      <c r="AJ507" s="20">
        <v>0</v>
      </c>
      <c r="AK507" s="20">
        <v>0</v>
      </c>
      <c r="AL507" s="20">
        <v>0</v>
      </c>
      <c r="AM507" s="20">
        <v>0</v>
      </c>
      <c r="AN507" s="20">
        <v>0</v>
      </c>
      <c r="AO507" s="20">
        <v>0</v>
      </c>
      <c r="AP507" s="20">
        <v>0</v>
      </c>
      <c r="AQ507" s="20">
        <v>0</v>
      </c>
      <c r="AR507" s="20">
        <v>0</v>
      </c>
      <c r="AS507" s="20">
        <v>0</v>
      </c>
      <c r="AT507" s="20">
        <v>0</v>
      </c>
      <c r="AU507" s="20">
        <v>0</v>
      </c>
      <c r="AV507" s="20">
        <v>0</v>
      </c>
      <c r="AW507" s="20">
        <v>0</v>
      </c>
      <c r="AX507" s="20">
        <v>0</v>
      </c>
      <c r="AY507" s="20">
        <v>0</v>
      </c>
      <c r="AZ507" s="20">
        <v>0</v>
      </c>
      <c r="BA507" s="20">
        <v>0</v>
      </c>
      <c r="BB507" s="20">
        <v>0</v>
      </c>
      <c r="BC507" s="20">
        <v>0</v>
      </c>
      <c r="BD507" s="20">
        <v>0</v>
      </c>
      <c r="BE507" s="20">
        <v>0</v>
      </c>
      <c r="BF507" s="20">
        <v>0</v>
      </c>
      <c r="BG507" s="20">
        <v>0</v>
      </c>
      <c r="BH507" s="20">
        <v>0</v>
      </c>
      <c r="BI507" s="22">
        <f t="shared" si="129"/>
        <v>4</v>
      </c>
      <c r="BJ507" s="22">
        <f t="shared" si="130"/>
        <v>0</v>
      </c>
      <c r="BK507" s="22">
        <f t="shared" si="131"/>
        <v>4</v>
      </c>
      <c r="BL507" s="22">
        <f t="shared" si="132"/>
        <v>4</v>
      </c>
      <c r="BM507" s="22">
        <f t="shared" si="134"/>
        <v>0</v>
      </c>
      <c r="BN507" s="23">
        <f t="shared" si="136"/>
        <v>0</v>
      </c>
      <c r="BO507" s="23" t="e">
        <f t="shared" si="136"/>
        <v>#DIV/0!</v>
      </c>
      <c r="BP507" s="7" t="e">
        <f>VLOOKUP(A507,[1]Sheet15!B:E,4,0)</f>
        <v>#N/A</v>
      </c>
      <c r="BQ507" s="7" t="e">
        <f>VLOOKUP(A507,[1]Sheet15!B:E,3,0)</f>
        <v>#N/A</v>
      </c>
    </row>
    <row r="508" spans="1:69" ht="22.5" customHeight="1" x14ac:dyDescent="0.25">
      <c r="A508" s="15" t="s">
        <v>1217</v>
      </c>
      <c r="B508" s="15" t="e">
        <f>VLOOKUP(A508,'[1]Master clients'!F502:W4049,17,0)</f>
        <v>#N/A</v>
      </c>
      <c r="C508" s="15" t="e">
        <f>VLOOKUP(A508,'[1]Master clients'!F502:P4049,11,0)</f>
        <v>#N/A</v>
      </c>
      <c r="D508" s="15" t="e">
        <f>VLOOKUP(A508,'[1]Master clients'!F:M,8,0)</f>
        <v>#N/A</v>
      </c>
      <c r="E508" s="16" t="s">
        <v>1248</v>
      </c>
      <c r="F508" s="29"/>
      <c r="G508" s="20"/>
      <c r="H508" s="20"/>
      <c r="I508" s="18">
        <v>0</v>
      </c>
      <c r="J508" s="18">
        <v>0</v>
      </c>
      <c r="K508" s="20">
        <v>0</v>
      </c>
      <c r="L508" s="20">
        <v>0</v>
      </c>
      <c r="M508" s="20">
        <v>0</v>
      </c>
      <c r="N508" s="20">
        <v>0</v>
      </c>
      <c r="O508" s="20">
        <v>0</v>
      </c>
      <c r="P508" s="20">
        <v>0</v>
      </c>
      <c r="Q508" s="20">
        <v>0</v>
      </c>
      <c r="R508" s="20">
        <v>0</v>
      </c>
      <c r="S508" s="20">
        <v>0</v>
      </c>
      <c r="T508" s="20">
        <v>0</v>
      </c>
      <c r="U508" s="20">
        <v>0</v>
      </c>
      <c r="V508" s="20">
        <v>0</v>
      </c>
      <c r="W508" s="20">
        <v>0</v>
      </c>
      <c r="X508" s="20">
        <v>0</v>
      </c>
      <c r="Y508" s="20">
        <v>0</v>
      </c>
      <c r="Z508" s="20">
        <v>0</v>
      </c>
      <c r="AA508" s="20">
        <v>0</v>
      </c>
      <c r="AB508" s="20">
        <v>0</v>
      </c>
      <c r="AC508" s="20">
        <v>0</v>
      </c>
      <c r="AD508" s="20">
        <v>0</v>
      </c>
      <c r="AE508" s="20">
        <v>0</v>
      </c>
      <c r="AF508" s="20">
        <v>0</v>
      </c>
      <c r="AG508" s="20">
        <v>0</v>
      </c>
      <c r="AH508" s="20">
        <v>0</v>
      </c>
      <c r="AI508" s="20">
        <v>0</v>
      </c>
      <c r="AJ508" s="20">
        <v>0</v>
      </c>
      <c r="AK508" s="20">
        <v>0</v>
      </c>
      <c r="AL508" s="20">
        <v>0</v>
      </c>
      <c r="AM508" s="20">
        <v>0</v>
      </c>
      <c r="AN508" s="20">
        <v>0</v>
      </c>
      <c r="AO508" s="20">
        <v>7</v>
      </c>
      <c r="AP508" s="20">
        <v>0</v>
      </c>
      <c r="AQ508" s="20">
        <v>0</v>
      </c>
      <c r="AR508" s="20">
        <v>0</v>
      </c>
      <c r="AS508" s="20">
        <v>0</v>
      </c>
      <c r="AT508" s="20">
        <v>0</v>
      </c>
      <c r="AU508" s="20">
        <v>0</v>
      </c>
      <c r="AV508" s="20">
        <v>0</v>
      </c>
      <c r="AW508" s="20">
        <v>0</v>
      </c>
      <c r="AX508" s="20">
        <v>0</v>
      </c>
      <c r="AY508" s="20">
        <v>0</v>
      </c>
      <c r="AZ508" s="20">
        <v>0</v>
      </c>
      <c r="BA508" s="20">
        <v>0</v>
      </c>
      <c r="BB508" s="20">
        <v>0</v>
      </c>
      <c r="BC508" s="20">
        <v>0</v>
      </c>
      <c r="BD508" s="20">
        <v>0</v>
      </c>
      <c r="BE508" s="20">
        <v>0</v>
      </c>
      <c r="BF508" s="20">
        <v>0</v>
      </c>
      <c r="BG508" s="20">
        <v>0</v>
      </c>
      <c r="BH508" s="20">
        <v>0</v>
      </c>
      <c r="BI508" s="22">
        <f t="shared" si="129"/>
        <v>7</v>
      </c>
      <c r="BJ508" s="22">
        <f t="shared" si="130"/>
        <v>0</v>
      </c>
      <c r="BK508" s="22">
        <f t="shared" si="131"/>
        <v>7</v>
      </c>
      <c r="BL508" s="22">
        <f t="shared" si="132"/>
        <v>7</v>
      </c>
      <c r="BM508" s="22">
        <f t="shared" si="134"/>
        <v>0</v>
      </c>
      <c r="BN508" s="23">
        <f t="shared" si="136"/>
        <v>0</v>
      </c>
      <c r="BO508" s="23" t="e">
        <f t="shared" si="136"/>
        <v>#DIV/0!</v>
      </c>
      <c r="BP508" s="7" t="e">
        <f>VLOOKUP(A508,[1]Sheet15!B:E,4,0)</f>
        <v>#N/A</v>
      </c>
      <c r="BQ508" s="7" t="e">
        <f>VLOOKUP(A508,[1]Sheet15!B:E,3,0)</f>
        <v>#N/A</v>
      </c>
    </row>
    <row r="509" spans="1:69" ht="22.5" customHeight="1" x14ac:dyDescent="0.25">
      <c r="A509" s="15" t="s">
        <v>1217</v>
      </c>
      <c r="B509" s="15" t="e">
        <f>VLOOKUP(A509,'[1]Master clients'!F503:W4050,17,0)</f>
        <v>#N/A</v>
      </c>
      <c r="C509" s="15" t="e">
        <f>VLOOKUP(A509,'[1]Master clients'!F503:P4050,11,0)</f>
        <v>#N/A</v>
      </c>
      <c r="D509" s="15" t="e">
        <f>VLOOKUP(A509,'[1]Master clients'!F:M,8,0)</f>
        <v>#N/A</v>
      </c>
      <c r="E509" s="16" t="s">
        <v>1249</v>
      </c>
      <c r="F509" s="29" t="s">
        <v>1250</v>
      </c>
      <c r="G509" s="20"/>
      <c r="H509" s="20"/>
      <c r="I509" s="18">
        <v>0</v>
      </c>
      <c r="J509" s="18">
        <v>0</v>
      </c>
      <c r="K509" s="20">
        <v>0</v>
      </c>
      <c r="L509" s="20">
        <v>0</v>
      </c>
      <c r="M509" s="20">
        <v>0</v>
      </c>
      <c r="N509" s="20">
        <v>0</v>
      </c>
      <c r="O509" s="20">
        <v>0</v>
      </c>
      <c r="P509" s="20">
        <v>0</v>
      </c>
      <c r="Q509" s="20">
        <v>0</v>
      </c>
      <c r="R509" s="20">
        <v>5</v>
      </c>
      <c r="S509" s="20">
        <v>0</v>
      </c>
      <c r="T509" s="20">
        <v>0</v>
      </c>
      <c r="U509" s="20">
        <v>0</v>
      </c>
      <c r="V509" s="20">
        <v>0</v>
      </c>
      <c r="W509" s="20">
        <v>0</v>
      </c>
      <c r="X509" s="20">
        <v>0</v>
      </c>
      <c r="Y509" s="20">
        <v>0</v>
      </c>
      <c r="Z509" s="20">
        <v>0</v>
      </c>
      <c r="AA509" s="20">
        <v>0</v>
      </c>
      <c r="AB509" s="20">
        <v>0</v>
      </c>
      <c r="AC509" s="20">
        <v>0</v>
      </c>
      <c r="AD509" s="20">
        <v>0</v>
      </c>
      <c r="AE509" s="20">
        <v>0</v>
      </c>
      <c r="AF509" s="20">
        <v>0</v>
      </c>
      <c r="AG509" s="20">
        <v>0</v>
      </c>
      <c r="AH509" s="20">
        <v>0</v>
      </c>
      <c r="AI509" s="20">
        <v>0</v>
      </c>
      <c r="AJ509" s="20">
        <v>0</v>
      </c>
      <c r="AK509" s="20">
        <v>0</v>
      </c>
      <c r="AL509" s="20">
        <v>0</v>
      </c>
      <c r="AM509" s="20">
        <v>0</v>
      </c>
      <c r="AN509" s="20">
        <v>0</v>
      </c>
      <c r="AO509" s="20">
        <v>0</v>
      </c>
      <c r="AP509" s="20">
        <v>0</v>
      </c>
      <c r="AQ509" s="20">
        <v>0</v>
      </c>
      <c r="AR509" s="20">
        <v>0</v>
      </c>
      <c r="AS509" s="20">
        <v>0</v>
      </c>
      <c r="AT509" s="20">
        <v>0</v>
      </c>
      <c r="AU509" s="20">
        <v>0</v>
      </c>
      <c r="AV509" s="20">
        <v>0</v>
      </c>
      <c r="AW509" s="20">
        <v>0</v>
      </c>
      <c r="AX509" s="20">
        <v>0</v>
      </c>
      <c r="AY509" s="20">
        <v>0</v>
      </c>
      <c r="AZ509" s="20">
        <v>0</v>
      </c>
      <c r="BA509" s="20">
        <v>0</v>
      </c>
      <c r="BB509" s="20">
        <v>0</v>
      </c>
      <c r="BC509" s="20">
        <v>0</v>
      </c>
      <c r="BD509" s="20">
        <v>0</v>
      </c>
      <c r="BE509" s="20">
        <v>0</v>
      </c>
      <c r="BF509" s="20">
        <v>0</v>
      </c>
      <c r="BG509" s="20">
        <v>0</v>
      </c>
      <c r="BH509" s="20">
        <v>0</v>
      </c>
      <c r="BI509" s="22">
        <f t="shared" si="129"/>
        <v>5</v>
      </c>
      <c r="BJ509" s="22">
        <f t="shared" si="130"/>
        <v>0</v>
      </c>
      <c r="BK509" s="22">
        <f t="shared" si="131"/>
        <v>5</v>
      </c>
      <c r="BL509" s="22">
        <f t="shared" si="132"/>
        <v>5</v>
      </c>
      <c r="BM509" s="22">
        <f t="shared" si="134"/>
        <v>0</v>
      </c>
      <c r="BN509" s="23">
        <f t="shared" si="136"/>
        <v>0</v>
      </c>
      <c r="BO509" s="23" t="e">
        <f t="shared" si="136"/>
        <v>#DIV/0!</v>
      </c>
      <c r="BP509" s="7" t="e">
        <f>VLOOKUP(A509,[1]Sheet15!B:E,4,0)</f>
        <v>#N/A</v>
      </c>
      <c r="BQ509" s="7" t="e">
        <f>VLOOKUP(A509,[1]Sheet15!B:E,3,0)</f>
        <v>#N/A</v>
      </c>
    </row>
    <row r="510" spans="1:69" ht="22.5" customHeight="1" x14ac:dyDescent="0.25">
      <c r="A510" s="15" t="s">
        <v>1217</v>
      </c>
      <c r="B510" s="15" t="e">
        <f>VLOOKUP(A510,'[1]Master clients'!F504:W4051,17,0)</f>
        <v>#N/A</v>
      </c>
      <c r="C510" s="15" t="e">
        <f>VLOOKUP(A510,'[1]Master clients'!F504:P4051,11,0)</f>
        <v>#N/A</v>
      </c>
      <c r="D510" s="15" t="e">
        <f>VLOOKUP(A510,'[1]Master clients'!F:M,8,0)</f>
        <v>#N/A</v>
      </c>
      <c r="E510" s="16" t="s">
        <v>1251</v>
      </c>
      <c r="F510" s="29" t="s">
        <v>1252</v>
      </c>
      <c r="G510" s="20"/>
      <c r="H510" s="20"/>
      <c r="I510" s="18">
        <v>0</v>
      </c>
      <c r="J510" s="18">
        <v>0</v>
      </c>
      <c r="K510" s="20">
        <v>2</v>
      </c>
      <c r="L510" s="20">
        <v>0</v>
      </c>
      <c r="M510" s="20">
        <v>0</v>
      </c>
      <c r="N510" s="20">
        <v>0</v>
      </c>
      <c r="O510" s="20">
        <v>0</v>
      </c>
      <c r="P510" s="20">
        <v>0</v>
      </c>
      <c r="Q510" s="20">
        <v>0</v>
      </c>
      <c r="R510" s="20">
        <v>0</v>
      </c>
      <c r="S510" s="20">
        <v>0</v>
      </c>
      <c r="T510" s="20">
        <v>0</v>
      </c>
      <c r="U510" s="20">
        <v>0</v>
      </c>
      <c r="V510" s="20">
        <v>0</v>
      </c>
      <c r="W510" s="20">
        <v>0</v>
      </c>
      <c r="X510" s="20">
        <v>0</v>
      </c>
      <c r="Y510" s="20">
        <v>0</v>
      </c>
      <c r="Z510" s="20">
        <v>0</v>
      </c>
      <c r="AA510" s="20">
        <v>0</v>
      </c>
      <c r="AB510" s="20">
        <v>0</v>
      </c>
      <c r="AC510" s="20">
        <v>0</v>
      </c>
      <c r="AD510" s="20">
        <v>0</v>
      </c>
      <c r="AE510" s="20">
        <v>0</v>
      </c>
      <c r="AF510" s="20">
        <v>0</v>
      </c>
      <c r="AG510" s="20">
        <v>0</v>
      </c>
      <c r="AH510" s="20">
        <v>0</v>
      </c>
      <c r="AI510" s="20">
        <v>0</v>
      </c>
      <c r="AJ510" s="20">
        <v>0</v>
      </c>
      <c r="AK510" s="20">
        <v>6</v>
      </c>
      <c r="AL510" s="20">
        <v>0</v>
      </c>
      <c r="AM510" s="20">
        <v>0</v>
      </c>
      <c r="AN510" s="20">
        <v>0</v>
      </c>
      <c r="AO510" s="20">
        <v>0</v>
      </c>
      <c r="AP510" s="20">
        <v>0</v>
      </c>
      <c r="AQ510" s="20">
        <v>0</v>
      </c>
      <c r="AR510" s="20">
        <v>0</v>
      </c>
      <c r="AS510" s="20">
        <v>0</v>
      </c>
      <c r="AT510" s="20">
        <v>0</v>
      </c>
      <c r="AU510" s="20">
        <v>0</v>
      </c>
      <c r="AV510" s="20">
        <v>0</v>
      </c>
      <c r="AW510" s="20">
        <v>0</v>
      </c>
      <c r="AX510" s="20">
        <v>0</v>
      </c>
      <c r="AY510" s="20">
        <v>0</v>
      </c>
      <c r="AZ510" s="20">
        <v>0</v>
      </c>
      <c r="BA510" s="20">
        <v>0</v>
      </c>
      <c r="BB510" s="20">
        <v>0</v>
      </c>
      <c r="BC510" s="20">
        <v>0</v>
      </c>
      <c r="BD510" s="20">
        <v>0</v>
      </c>
      <c r="BE510" s="20">
        <v>0</v>
      </c>
      <c r="BF510" s="20">
        <v>0</v>
      </c>
      <c r="BG510" s="20">
        <v>0</v>
      </c>
      <c r="BH510" s="20">
        <v>0</v>
      </c>
      <c r="BI510" s="22">
        <f t="shared" si="129"/>
        <v>8</v>
      </c>
      <c r="BJ510" s="22">
        <f t="shared" si="130"/>
        <v>0</v>
      </c>
      <c r="BK510" s="22">
        <f t="shared" si="131"/>
        <v>8</v>
      </c>
      <c r="BL510" s="22">
        <f t="shared" si="132"/>
        <v>8</v>
      </c>
      <c r="BM510" s="22">
        <f t="shared" si="134"/>
        <v>0</v>
      </c>
      <c r="BN510" s="23">
        <f t="shared" si="136"/>
        <v>0</v>
      </c>
      <c r="BO510" s="23" t="e">
        <f t="shared" si="136"/>
        <v>#DIV/0!</v>
      </c>
      <c r="BP510" s="7" t="e">
        <f>VLOOKUP(A510,[1]Sheet15!B:E,4,0)</f>
        <v>#N/A</v>
      </c>
      <c r="BQ510" s="7" t="e">
        <f>VLOOKUP(A510,[1]Sheet15!B:E,3,0)</f>
        <v>#N/A</v>
      </c>
    </row>
    <row r="511" spans="1:69" ht="22.5" customHeight="1" x14ac:dyDescent="0.25">
      <c r="A511" s="15" t="s">
        <v>1217</v>
      </c>
      <c r="B511" s="15" t="e">
        <f>VLOOKUP(A511,'[1]Master clients'!F505:W4052,17,0)</f>
        <v>#N/A</v>
      </c>
      <c r="C511" s="15" t="e">
        <f>VLOOKUP(A511,'[1]Master clients'!F505:P4052,11,0)</f>
        <v>#N/A</v>
      </c>
      <c r="D511" s="15" t="e">
        <f>VLOOKUP(A511,'[1]Master clients'!F:M,8,0)</f>
        <v>#N/A</v>
      </c>
      <c r="E511" s="16" t="s">
        <v>1253</v>
      </c>
      <c r="F511" s="29"/>
      <c r="G511" s="20"/>
      <c r="H511" s="20"/>
      <c r="I511" s="18">
        <v>0</v>
      </c>
      <c r="J511" s="18">
        <v>0</v>
      </c>
      <c r="K511" s="20">
        <v>12</v>
      </c>
      <c r="L511" s="20">
        <v>0</v>
      </c>
      <c r="M511" s="20">
        <v>0</v>
      </c>
      <c r="N511" s="20">
        <v>0</v>
      </c>
      <c r="O511" s="20">
        <v>0</v>
      </c>
      <c r="P511" s="20">
        <v>0</v>
      </c>
      <c r="Q511" s="20">
        <v>0</v>
      </c>
      <c r="R511" s="20">
        <v>0</v>
      </c>
      <c r="S511" s="20">
        <v>0</v>
      </c>
      <c r="T511" s="20">
        <v>0</v>
      </c>
      <c r="U511" s="20">
        <v>0</v>
      </c>
      <c r="V511" s="20">
        <v>0</v>
      </c>
      <c r="W511" s="20">
        <v>0</v>
      </c>
      <c r="X511" s="20">
        <v>0</v>
      </c>
      <c r="Y511" s="20">
        <v>0</v>
      </c>
      <c r="Z511" s="20">
        <v>0</v>
      </c>
      <c r="AA511" s="20">
        <v>0</v>
      </c>
      <c r="AB511" s="20">
        <v>0</v>
      </c>
      <c r="AC511" s="20">
        <v>0</v>
      </c>
      <c r="AD511" s="20">
        <v>0</v>
      </c>
      <c r="AE511" s="20">
        <v>0</v>
      </c>
      <c r="AF511" s="20">
        <v>0</v>
      </c>
      <c r="AG511" s="20">
        <v>0</v>
      </c>
      <c r="AH511" s="20">
        <v>0</v>
      </c>
      <c r="AI511" s="20">
        <v>0</v>
      </c>
      <c r="AJ511" s="20">
        <v>0</v>
      </c>
      <c r="AK511" s="20">
        <v>0</v>
      </c>
      <c r="AL511" s="20">
        <v>0</v>
      </c>
      <c r="AM511" s="20">
        <v>0</v>
      </c>
      <c r="AN511" s="20">
        <v>0</v>
      </c>
      <c r="AO511" s="20">
        <v>2</v>
      </c>
      <c r="AP511" s="20">
        <v>0</v>
      </c>
      <c r="AQ511" s="20">
        <v>0</v>
      </c>
      <c r="AR511" s="20">
        <v>0</v>
      </c>
      <c r="AS511" s="20">
        <v>0</v>
      </c>
      <c r="AT511" s="20">
        <v>0</v>
      </c>
      <c r="AU511" s="20">
        <v>0</v>
      </c>
      <c r="AV511" s="20">
        <v>0</v>
      </c>
      <c r="AW511" s="20">
        <v>0</v>
      </c>
      <c r="AX511" s="20">
        <v>0</v>
      </c>
      <c r="AY511" s="20">
        <v>0</v>
      </c>
      <c r="AZ511" s="20">
        <v>0</v>
      </c>
      <c r="BA511" s="20">
        <v>0</v>
      </c>
      <c r="BB511" s="20">
        <v>0</v>
      </c>
      <c r="BC511" s="20">
        <v>0</v>
      </c>
      <c r="BD511" s="20">
        <v>0</v>
      </c>
      <c r="BE511" s="20">
        <v>0</v>
      </c>
      <c r="BF511" s="20">
        <v>0</v>
      </c>
      <c r="BG511" s="20">
        <v>0</v>
      </c>
      <c r="BH511" s="20">
        <v>0</v>
      </c>
      <c r="BI511" s="22">
        <f t="shared" si="129"/>
        <v>14</v>
      </c>
      <c r="BJ511" s="22">
        <f t="shared" si="130"/>
        <v>0</v>
      </c>
      <c r="BK511" s="22">
        <f t="shared" si="131"/>
        <v>14</v>
      </c>
      <c r="BL511" s="22">
        <f t="shared" si="132"/>
        <v>14</v>
      </c>
      <c r="BM511" s="22">
        <f t="shared" si="134"/>
        <v>0</v>
      </c>
      <c r="BN511" s="23">
        <f t="shared" si="136"/>
        <v>0</v>
      </c>
      <c r="BO511" s="23" t="e">
        <f t="shared" si="136"/>
        <v>#DIV/0!</v>
      </c>
      <c r="BP511" s="7" t="e">
        <f>VLOOKUP(A511,[1]Sheet15!B:E,4,0)</f>
        <v>#N/A</v>
      </c>
      <c r="BQ511" s="7" t="e">
        <f>VLOOKUP(A511,[1]Sheet15!B:E,3,0)</f>
        <v>#N/A</v>
      </c>
    </row>
    <row r="512" spans="1:69" ht="22.5" customHeight="1" x14ac:dyDescent="0.25">
      <c r="A512" s="15" t="s">
        <v>1217</v>
      </c>
      <c r="B512" s="15" t="e">
        <f>VLOOKUP(A512,'[1]Master clients'!F506:W4053,17,0)</f>
        <v>#N/A</v>
      </c>
      <c r="C512" s="15" t="e">
        <f>VLOOKUP(A512,'[1]Master clients'!F506:P4053,11,0)</f>
        <v>#N/A</v>
      </c>
      <c r="D512" s="15" t="e">
        <f>VLOOKUP(A512,'[1]Master clients'!F:M,8,0)</f>
        <v>#N/A</v>
      </c>
      <c r="E512" s="16" t="s">
        <v>1254</v>
      </c>
      <c r="F512" s="29"/>
      <c r="G512" s="20"/>
      <c r="H512" s="20"/>
      <c r="I512" s="18">
        <v>0</v>
      </c>
      <c r="J512" s="18">
        <v>0</v>
      </c>
      <c r="K512" s="20">
        <v>6</v>
      </c>
      <c r="L512" s="20">
        <v>0</v>
      </c>
      <c r="M512" s="20">
        <v>0</v>
      </c>
      <c r="N512" s="20">
        <v>0</v>
      </c>
      <c r="O512" s="20">
        <v>0</v>
      </c>
      <c r="P512" s="20">
        <v>0</v>
      </c>
      <c r="Q512" s="20">
        <v>0</v>
      </c>
      <c r="R512" s="20">
        <v>0</v>
      </c>
      <c r="S512" s="20">
        <v>0</v>
      </c>
      <c r="T512" s="20">
        <v>0</v>
      </c>
      <c r="U512" s="20">
        <v>0</v>
      </c>
      <c r="V512" s="20">
        <v>0</v>
      </c>
      <c r="W512" s="20">
        <v>0</v>
      </c>
      <c r="X512" s="20">
        <v>0</v>
      </c>
      <c r="Y512" s="20">
        <v>0</v>
      </c>
      <c r="Z512" s="20">
        <v>0</v>
      </c>
      <c r="AA512" s="20">
        <v>0</v>
      </c>
      <c r="AB512" s="20">
        <v>0</v>
      </c>
      <c r="AC512" s="20">
        <v>0</v>
      </c>
      <c r="AD512" s="20">
        <v>0</v>
      </c>
      <c r="AE512" s="20">
        <v>0</v>
      </c>
      <c r="AF512" s="20">
        <v>0</v>
      </c>
      <c r="AG512" s="20">
        <v>0</v>
      </c>
      <c r="AH512" s="20">
        <v>0</v>
      </c>
      <c r="AI512" s="20">
        <v>0</v>
      </c>
      <c r="AJ512" s="20">
        <v>0</v>
      </c>
      <c r="AK512" s="20">
        <v>3</v>
      </c>
      <c r="AL512" s="20">
        <v>0</v>
      </c>
      <c r="AM512" s="20">
        <v>0</v>
      </c>
      <c r="AN512" s="20">
        <v>0</v>
      </c>
      <c r="AO512" s="20">
        <v>2</v>
      </c>
      <c r="AP512" s="20">
        <v>0</v>
      </c>
      <c r="AQ512" s="20">
        <v>0</v>
      </c>
      <c r="AR512" s="20">
        <v>0</v>
      </c>
      <c r="AS512" s="20">
        <v>0</v>
      </c>
      <c r="AT512" s="20">
        <v>0</v>
      </c>
      <c r="AU512" s="20">
        <v>0</v>
      </c>
      <c r="AV512" s="20">
        <v>0</v>
      </c>
      <c r="AW512" s="20">
        <v>0</v>
      </c>
      <c r="AX512" s="20">
        <v>0</v>
      </c>
      <c r="AY512" s="20">
        <v>0</v>
      </c>
      <c r="AZ512" s="20">
        <v>0</v>
      </c>
      <c r="BA512" s="20">
        <v>0</v>
      </c>
      <c r="BB512" s="20">
        <v>0</v>
      </c>
      <c r="BC512" s="20">
        <v>0</v>
      </c>
      <c r="BD512" s="20">
        <v>0</v>
      </c>
      <c r="BE512" s="20">
        <v>0</v>
      </c>
      <c r="BF512" s="20">
        <v>0</v>
      </c>
      <c r="BG512" s="20">
        <v>0</v>
      </c>
      <c r="BH512" s="20">
        <v>0</v>
      </c>
      <c r="BI512" s="22">
        <f t="shared" si="129"/>
        <v>11</v>
      </c>
      <c r="BJ512" s="22">
        <f t="shared" si="130"/>
        <v>0</v>
      </c>
      <c r="BK512" s="22">
        <f t="shared" si="131"/>
        <v>11</v>
      </c>
      <c r="BL512" s="22">
        <f t="shared" si="132"/>
        <v>11</v>
      </c>
      <c r="BM512" s="22">
        <f t="shared" si="134"/>
        <v>0</v>
      </c>
      <c r="BN512" s="23">
        <f t="shared" si="136"/>
        <v>0</v>
      </c>
      <c r="BO512" s="23" t="e">
        <f t="shared" si="136"/>
        <v>#DIV/0!</v>
      </c>
      <c r="BP512" s="7" t="e">
        <f>VLOOKUP(A512,[1]Sheet15!B:E,4,0)</f>
        <v>#N/A</v>
      </c>
      <c r="BQ512" s="7" t="e">
        <f>VLOOKUP(A512,[1]Sheet15!B:E,3,0)</f>
        <v>#N/A</v>
      </c>
    </row>
    <row r="513" spans="1:69" ht="22.5" customHeight="1" x14ac:dyDescent="0.25">
      <c r="A513" s="15" t="s">
        <v>1217</v>
      </c>
      <c r="B513" s="15" t="e">
        <f>VLOOKUP(A513,'[1]Master clients'!F507:W4054,17,0)</f>
        <v>#N/A</v>
      </c>
      <c r="C513" s="15" t="e">
        <f>VLOOKUP(A513,'[1]Master clients'!F507:P4054,11,0)</f>
        <v>#N/A</v>
      </c>
      <c r="D513" s="15" t="e">
        <f>VLOOKUP(A513,'[1]Master clients'!F:M,8,0)</f>
        <v>#N/A</v>
      </c>
      <c r="E513" s="16" t="s">
        <v>1255</v>
      </c>
      <c r="F513" s="29" t="s">
        <v>1256</v>
      </c>
      <c r="G513" s="20"/>
      <c r="H513" s="20"/>
      <c r="I513" s="18">
        <v>0</v>
      </c>
      <c r="J513" s="18">
        <v>0</v>
      </c>
      <c r="K513" s="20">
        <v>0</v>
      </c>
      <c r="L513" s="20">
        <v>0</v>
      </c>
      <c r="M513" s="20">
        <v>0</v>
      </c>
      <c r="N513" s="20">
        <v>0</v>
      </c>
      <c r="O513" s="20">
        <v>0</v>
      </c>
      <c r="P513" s="20">
        <v>0</v>
      </c>
      <c r="Q513" s="20">
        <v>0</v>
      </c>
      <c r="R513" s="20">
        <v>0</v>
      </c>
      <c r="S513" s="20">
        <v>0</v>
      </c>
      <c r="T513" s="20">
        <v>0</v>
      </c>
      <c r="U513" s="20">
        <v>0</v>
      </c>
      <c r="V513" s="20">
        <v>0</v>
      </c>
      <c r="W513" s="20">
        <v>0</v>
      </c>
      <c r="X513" s="20">
        <v>0</v>
      </c>
      <c r="Y513" s="20">
        <v>0</v>
      </c>
      <c r="Z513" s="20">
        <v>0</v>
      </c>
      <c r="AA513" s="20">
        <v>0</v>
      </c>
      <c r="AB513" s="20">
        <v>0</v>
      </c>
      <c r="AC513" s="20">
        <v>0</v>
      </c>
      <c r="AD513" s="20">
        <v>0</v>
      </c>
      <c r="AE513" s="20">
        <v>0</v>
      </c>
      <c r="AF513" s="20">
        <v>0</v>
      </c>
      <c r="AG513" s="20">
        <v>0</v>
      </c>
      <c r="AH513" s="20">
        <v>0</v>
      </c>
      <c r="AI513" s="20">
        <v>0</v>
      </c>
      <c r="AJ513" s="20">
        <v>0</v>
      </c>
      <c r="AK513" s="20">
        <v>0</v>
      </c>
      <c r="AL513" s="20">
        <v>0</v>
      </c>
      <c r="AM513" s="20">
        <v>0</v>
      </c>
      <c r="AN513" s="20">
        <v>0</v>
      </c>
      <c r="AO513" s="20">
        <v>4</v>
      </c>
      <c r="AP513" s="20">
        <v>0</v>
      </c>
      <c r="AQ513" s="20">
        <v>0</v>
      </c>
      <c r="AR513" s="20">
        <v>0</v>
      </c>
      <c r="AS513" s="20">
        <v>0</v>
      </c>
      <c r="AT513" s="20">
        <v>0</v>
      </c>
      <c r="AU513" s="20">
        <v>0</v>
      </c>
      <c r="AV513" s="20">
        <v>0</v>
      </c>
      <c r="AW513" s="20">
        <v>0</v>
      </c>
      <c r="AX513" s="20">
        <v>0</v>
      </c>
      <c r="AY513" s="20">
        <v>0</v>
      </c>
      <c r="AZ513" s="20">
        <v>0</v>
      </c>
      <c r="BA513" s="20">
        <v>0</v>
      </c>
      <c r="BB513" s="20">
        <v>0</v>
      </c>
      <c r="BC513" s="20">
        <v>0</v>
      </c>
      <c r="BD513" s="20">
        <v>0</v>
      </c>
      <c r="BE513" s="20">
        <v>0</v>
      </c>
      <c r="BF513" s="20">
        <v>0</v>
      </c>
      <c r="BG513" s="20">
        <v>0</v>
      </c>
      <c r="BH513" s="20">
        <v>0</v>
      </c>
      <c r="BI513" s="22">
        <f t="shared" si="129"/>
        <v>4</v>
      </c>
      <c r="BJ513" s="22">
        <f t="shared" si="130"/>
        <v>0</v>
      </c>
      <c r="BK513" s="22">
        <f t="shared" si="131"/>
        <v>4</v>
      </c>
      <c r="BL513" s="22">
        <f t="shared" si="132"/>
        <v>4</v>
      </c>
      <c r="BM513" s="22">
        <f t="shared" si="134"/>
        <v>0</v>
      </c>
      <c r="BN513" s="23">
        <f t="shared" si="136"/>
        <v>0</v>
      </c>
      <c r="BO513" s="23" t="e">
        <f t="shared" si="136"/>
        <v>#DIV/0!</v>
      </c>
      <c r="BP513" s="7" t="e">
        <f>VLOOKUP(A513,[1]Sheet15!B:E,4,0)</f>
        <v>#N/A</v>
      </c>
      <c r="BQ513" s="7" t="e">
        <f>VLOOKUP(A513,[1]Sheet15!B:E,3,0)</f>
        <v>#N/A</v>
      </c>
    </row>
    <row r="514" spans="1:69" ht="22.5" customHeight="1" x14ac:dyDescent="0.25">
      <c r="A514" s="15" t="s">
        <v>1217</v>
      </c>
      <c r="B514" s="15" t="e">
        <f>VLOOKUP(A514,'[1]Master clients'!F508:W4055,17,0)</f>
        <v>#N/A</v>
      </c>
      <c r="C514" s="15" t="e">
        <f>VLOOKUP(A514,'[1]Master clients'!F508:P4055,11,0)</f>
        <v>#N/A</v>
      </c>
      <c r="D514" s="15" t="e">
        <f>VLOOKUP(A514,'[1]Master clients'!F:M,8,0)</f>
        <v>#N/A</v>
      </c>
      <c r="E514" s="16" t="s">
        <v>1257</v>
      </c>
      <c r="F514" s="29" t="s">
        <v>1258</v>
      </c>
      <c r="G514" s="20"/>
      <c r="H514" s="20"/>
      <c r="I514" s="18">
        <v>0</v>
      </c>
      <c r="J514" s="18">
        <v>0</v>
      </c>
      <c r="K514" s="20">
        <v>0</v>
      </c>
      <c r="L514" s="20">
        <v>0</v>
      </c>
      <c r="M514" s="20">
        <v>0</v>
      </c>
      <c r="N514" s="20">
        <v>0</v>
      </c>
      <c r="O514" s="20">
        <v>0</v>
      </c>
      <c r="P514" s="20">
        <v>0</v>
      </c>
      <c r="Q514" s="20">
        <v>0</v>
      </c>
      <c r="R514" s="20">
        <v>0</v>
      </c>
      <c r="S514" s="20">
        <v>0</v>
      </c>
      <c r="T514" s="20">
        <v>0</v>
      </c>
      <c r="U514" s="20">
        <v>0</v>
      </c>
      <c r="V514" s="20">
        <v>0</v>
      </c>
      <c r="W514" s="20">
        <v>0</v>
      </c>
      <c r="X514" s="20">
        <v>0</v>
      </c>
      <c r="Y514" s="20">
        <v>0</v>
      </c>
      <c r="Z514" s="20">
        <v>0</v>
      </c>
      <c r="AA514" s="20">
        <v>0</v>
      </c>
      <c r="AB514" s="20">
        <v>0</v>
      </c>
      <c r="AC514" s="20">
        <v>0</v>
      </c>
      <c r="AD514" s="20">
        <v>0</v>
      </c>
      <c r="AE514" s="20">
        <v>0</v>
      </c>
      <c r="AF514" s="20">
        <v>0</v>
      </c>
      <c r="AG514" s="20">
        <v>0</v>
      </c>
      <c r="AH514" s="20">
        <v>0</v>
      </c>
      <c r="AI514" s="20">
        <v>0</v>
      </c>
      <c r="AJ514" s="20">
        <v>0</v>
      </c>
      <c r="AK514" s="20">
        <v>0</v>
      </c>
      <c r="AL514" s="20">
        <v>0</v>
      </c>
      <c r="AM514" s="20">
        <v>0</v>
      </c>
      <c r="AN514" s="20">
        <v>0</v>
      </c>
      <c r="AO514" s="20">
        <v>2</v>
      </c>
      <c r="AP514" s="20">
        <v>0</v>
      </c>
      <c r="AQ514" s="20">
        <v>0</v>
      </c>
      <c r="AR514" s="20">
        <v>0</v>
      </c>
      <c r="AS514" s="20">
        <v>0</v>
      </c>
      <c r="AT514" s="20">
        <v>0</v>
      </c>
      <c r="AU514" s="20">
        <v>0</v>
      </c>
      <c r="AV514" s="20">
        <v>0</v>
      </c>
      <c r="AW514" s="20">
        <v>0</v>
      </c>
      <c r="AX514" s="20">
        <v>0</v>
      </c>
      <c r="AY514" s="20">
        <v>0</v>
      </c>
      <c r="AZ514" s="20">
        <v>0</v>
      </c>
      <c r="BA514" s="20">
        <v>0</v>
      </c>
      <c r="BB514" s="20">
        <v>0</v>
      </c>
      <c r="BC514" s="20">
        <v>0</v>
      </c>
      <c r="BD514" s="20">
        <v>0</v>
      </c>
      <c r="BE514" s="20">
        <v>0</v>
      </c>
      <c r="BF514" s="20">
        <v>0</v>
      </c>
      <c r="BG514" s="20">
        <v>0</v>
      </c>
      <c r="BH514" s="20">
        <v>0</v>
      </c>
      <c r="BI514" s="22">
        <f t="shared" si="129"/>
        <v>2</v>
      </c>
      <c r="BJ514" s="22">
        <f t="shared" si="130"/>
        <v>0</v>
      </c>
      <c r="BK514" s="22">
        <f t="shared" si="131"/>
        <v>2</v>
      </c>
      <c r="BL514" s="22">
        <f t="shared" si="132"/>
        <v>2</v>
      </c>
      <c r="BM514" s="22">
        <f t="shared" si="134"/>
        <v>0</v>
      </c>
      <c r="BN514" s="23">
        <f t="shared" si="136"/>
        <v>0</v>
      </c>
      <c r="BO514" s="23" t="e">
        <f t="shared" si="136"/>
        <v>#DIV/0!</v>
      </c>
      <c r="BP514" s="7" t="e">
        <f>VLOOKUP(A514,[1]Sheet15!B:E,4,0)</f>
        <v>#N/A</v>
      </c>
      <c r="BQ514" s="7" t="e">
        <f>VLOOKUP(A514,[1]Sheet15!B:E,3,0)</f>
        <v>#N/A</v>
      </c>
    </row>
    <row r="515" spans="1:69" ht="22.5" customHeight="1" x14ac:dyDescent="0.25">
      <c r="A515" s="15" t="s">
        <v>1217</v>
      </c>
      <c r="B515" s="15" t="e">
        <f>VLOOKUP(A515,'[1]Master clients'!F509:W4056,17,0)</f>
        <v>#N/A</v>
      </c>
      <c r="C515" s="15" t="e">
        <f>VLOOKUP(A515,'[1]Master clients'!F509:P4056,11,0)</f>
        <v>#N/A</v>
      </c>
      <c r="D515" s="15" t="e">
        <f>VLOOKUP(A515,'[1]Master clients'!F:M,8,0)</f>
        <v>#N/A</v>
      </c>
      <c r="E515" s="16" t="s">
        <v>1259</v>
      </c>
      <c r="F515" s="29" t="s">
        <v>1260</v>
      </c>
      <c r="G515" s="20"/>
      <c r="H515" s="20"/>
      <c r="I515" s="18">
        <v>0</v>
      </c>
      <c r="J515" s="18">
        <v>0</v>
      </c>
      <c r="K515" s="20">
        <v>0</v>
      </c>
      <c r="L515" s="20">
        <v>0</v>
      </c>
      <c r="M515" s="20">
        <v>0</v>
      </c>
      <c r="N515" s="20">
        <v>0</v>
      </c>
      <c r="O515" s="20">
        <v>0</v>
      </c>
      <c r="P515" s="20">
        <v>0</v>
      </c>
      <c r="Q515" s="20">
        <v>0</v>
      </c>
      <c r="R515" s="20">
        <v>0</v>
      </c>
      <c r="S515" s="20">
        <v>0</v>
      </c>
      <c r="T515" s="20">
        <v>0</v>
      </c>
      <c r="U515" s="20">
        <v>0</v>
      </c>
      <c r="V515" s="20">
        <v>0</v>
      </c>
      <c r="W515" s="20">
        <v>0</v>
      </c>
      <c r="X515" s="20">
        <v>0</v>
      </c>
      <c r="Y515" s="20">
        <v>0</v>
      </c>
      <c r="Z515" s="20">
        <v>0</v>
      </c>
      <c r="AA515" s="20">
        <v>0</v>
      </c>
      <c r="AB515" s="20">
        <v>0</v>
      </c>
      <c r="AC515" s="20">
        <v>0</v>
      </c>
      <c r="AD515" s="20">
        <v>0</v>
      </c>
      <c r="AE515" s="20">
        <v>0</v>
      </c>
      <c r="AF515" s="20">
        <v>0</v>
      </c>
      <c r="AG515" s="20">
        <v>0</v>
      </c>
      <c r="AH515" s="20">
        <v>0</v>
      </c>
      <c r="AI515" s="20">
        <v>0</v>
      </c>
      <c r="AJ515" s="20">
        <v>0</v>
      </c>
      <c r="AK515" s="20">
        <v>0</v>
      </c>
      <c r="AL515" s="20">
        <v>0</v>
      </c>
      <c r="AM515" s="20">
        <v>0</v>
      </c>
      <c r="AN515" s="20">
        <v>0</v>
      </c>
      <c r="AO515" s="20">
        <v>11</v>
      </c>
      <c r="AP515" s="20">
        <v>0</v>
      </c>
      <c r="AQ515" s="20">
        <v>0</v>
      </c>
      <c r="AR515" s="20">
        <v>0</v>
      </c>
      <c r="AS515" s="20">
        <v>0</v>
      </c>
      <c r="AT515" s="20">
        <v>0</v>
      </c>
      <c r="AU515" s="20">
        <v>0</v>
      </c>
      <c r="AV515" s="20">
        <v>0</v>
      </c>
      <c r="AW515" s="20">
        <v>0</v>
      </c>
      <c r="AX515" s="20">
        <v>0</v>
      </c>
      <c r="AY515" s="20">
        <v>0</v>
      </c>
      <c r="AZ515" s="20">
        <v>0</v>
      </c>
      <c r="BA515" s="20">
        <v>0</v>
      </c>
      <c r="BB515" s="20">
        <v>0</v>
      </c>
      <c r="BC515" s="20">
        <v>0</v>
      </c>
      <c r="BD515" s="20">
        <v>0</v>
      </c>
      <c r="BE515" s="20">
        <v>0</v>
      </c>
      <c r="BF515" s="20">
        <v>0</v>
      </c>
      <c r="BG515" s="20">
        <v>0</v>
      </c>
      <c r="BH515" s="20">
        <v>0</v>
      </c>
      <c r="BI515" s="22">
        <f t="shared" si="129"/>
        <v>11</v>
      </c>
      <c r="BJ515" s="22">
        <f t="shared" si="130"/>
        <v>0</v>
      </c>
      <c r="BK515" s="22">
        <f t="shared" si="131"/>
        <v>11</v>
      </c>
      <c r="BL515" s="22">
        <f t="shared" si="132"/>
        <v>11</v>
      </c>
      <c r="BM515" s="22">
        <f t="shared" si="134"/>
        <v>0</v>
      </c>
      <c r="BN515" s="23">
        <f t="shared" si="136"/>
        <v>0</v>
      </c>
      <c r="BO515" s="23" t="e">
        <f t="shared" si="136"/>
        <v>#DIV/0!</v>
      </c>
      <c r="BP515" s="7" t="e">
        <f>VLOOKUP(A515,[1]Sheet15!B:E,4,0)</f>
        <v>#N/A</v>
      </c>
      <c r="BQ515" s="7" t="e">
        <f>VLOOKUP(A515,[1]Sheet15!B:E,3,0)</f>
        <v>#N/A</v>
      </c>
    </row>
    <row r="516" spans="1:69" ht="22.5" customHeight="1" x14ac:dyDescent="0.25">
      <c r="A516" s="15" t="s">
        <v>1217</v>
      </c>
      <c r="B516" s="15" t="e">
        <f>VLOOKUP(A516,'[1]Master clients'!F510:W4057,17,0)</f>
        <v>#N/A</v>
      </c>
      <c r="C516" s="15" t="e">
        <f>VLOOKUP(A516,'[1]Master clients'!F510:P4057,11,0)</f>
        <v>#N/A</v>
      </c>
      <c r="D516" s="15" t="e">
        <f>VLOOKUP(A516,'[1]Master clients'!F:M,8,0)</f>
        <v>#N/A</v>
      </c>
      <c r="E516" s="16" t="s">
        <v>1261</v>
      </c>
      <c r="F516" s="29" t="s">
        <v>751</v>
      </c>
      <c r="G516" s="20"/>
      <c r="H516" s="20"/>
      <c r="I516" s="18">
        <v>0</v>
      </c>
      <c r="J516" s="18">
        <v>0</v>
      </c>
      <c r="K516" s="20">
        <v>0</v>
      </c>
      <c r="L516" s="20">
        <v>0</v>
      </c>
      <c r="M516" s="20">
        <v>0</v>
      </c>
      <c r="N516" s="20">
        <v>0</v>
      </c>
      <c r="O516" s="20">
        <v>0</v>
      </c>
      <c r="P516" s="20">
        <v>0</v>
      </c>
      <c r="Q516" s="20">
        <v>0</v>
      </c>
      <c r="R516" s="20">
        <v>0</v>
      </c>
      <c r="S516" s="20">
        <v>0</v>
      </c>
      <c r="T516" s="20">
        <v>0</v>
      </c>
      <c r="U516" s="20">
        <v>0</v>
      </c>
      <c r="V516" s="20">
        <v>0</v>
      </c>
      <c r="W516" s="20">
        <v>0</v>
      </c>
      <c r="X516" s="20">
        <v>0</v>
      </c>
      <c r="Y516" s="20">
        <v>0</v>
      </c>
      <c r="Z516" s="20">
        <v>0</v>
      </c>
      <c r="AA516" s="20">
        <v>0</v>
      </c>
      <c r="AB516" s="20">
        <v>0</v>
      </c>
      <c r="AC516" s="20">
        <v>0</v>
      </c>
      <c r="AD516" s="20">
        <v>0</v>
      </c>
      <c r="AE516" s="20">
        <v>0</v>
      </c>
      <c r="AF516" s="20">
        <v>0</v>
      </c>
      <c r="AG516" s="20">
        <v>0</v>
      </c>
      <c r="AH516" s="20">
        <v>0</v>
      </c>
      <c r="AI516" s="20">
        <v>0</v>
      </c>
      <c r="AJ516" s="20">
        <v>0</v>
      </c>
      <c r="AK516" s="20">
        <v>0</v>
      </c>
      <c r="AL516" s="20">
        <v>0</v>
      </c>
      <c r="AM516" s="20">
        <v>0</v>
      </c>
      <c r="AN516" s="20">
        <v>0</v>
      </c>
      <c r="AO516" s="20">
        <v>12</v>
      </c>
      <c r="AP516" s="20">
        <v>0</v>
      </c>
      <c r="AQ516" s="20">
        <v>0</v>
      </c>
      <c r="AR516" s="20">
        <v>0</v>
      </c>
      <c r="AS516" s="20">
        <v>0</v>
      </c>
      <c r="AT516" s="20">
        <v>0</v>
      </c>
      <c r="AU516" s="20">
        <v>0</v>
      </c>
      <c r="AV516" s="20">
        <v>0</v>
      </c>
      <c r="AW516" s="20">
        <v>0</v>
      </c>
      <c r="AX516" s="20">
        <v>0</v>
      </c>
      <c r="AY516" s="20">
        <v>0</v>
      </c>
      <c r="AZ516" s="20">
        <v>0</v>
      </c>
      <c r="BA516" s="20">
        <v>0</v>
      </c>
      <c r="BB516" s="20">
        <v>0</v>
      </c>
      <c r="BC516" s="20">
        <v>0</v>
      </c>
      <c r="BD516" s="20">
        <v>0</v>
      </c>
      <c r="BE516" s="20">
        <v>0</v>
      </c>
      <c r="BF516" s="20">
        <v>0</v>
      </c>
      <c r="BG516" s="20">
        <v>0</v>
      </c>
      <c r="BH516" s="20">
        <v>0</v>
      </c>
      <c r="BI516" s="22">
        <f t="shared" si="129"/>
        <v>12</v>
      </c>
      <c r="BJ516" s="22">
        <f t="shared" si="130"/>
        <v>0</v>
      </c>
      <c r="BK516" s="22">
        <f t="shared" si="131"/>
        <v>12</v>
      </c>
      <c r="BL516" s="22">
        <f t="shared" si="132"/>
        <v>12</v>
      </c>
      <c r="BM516" s="22">
        <f t="shared" si="134"/>
        <v>0</v>
      </c>
      <c r="BN516" s="23">
        <f t="shared" si="136"/>
        <v>0</v>
      </c>
      <c r="BO516" s="23" t="e">
        <f t="shared" si="136"/>
        <v>#DIV/0!</v>
      </c>
      <c r="BP516" s="7" t="e">
        <f>VLOOKUP(A516,[1]Sheet15!B:E,4,0)</f>
        <v>#N/A</v>
      </c>
      <c r="BQ516" s="7" t="e">
        <f>VLOOKUP(A516,[1]Sheet15!B:E,3,0)</f>
        <v>#N/A</v>
      </c>
    </row>
    <row r="517" spans="1:69" ht="22.5" customHeight="1" x14ac:dyDescent="0.25">
      <c r="A517" s="15" t="s">
        <v>1217</v>
      </c>
      <c r="B517" s="15" t="e">
        <f>VLOOKUP(A517,'[1]Master clients'!F511:W4058,17,0)</f>
        <v>#N/A</v>
      </c>
      <c r="C517" s="15" t="e">
        <f>VLOOKUP(A517,'[1]Master clients'!F511:P4058,11,0)</f>
        <v>#N/A</v>
      </c>
      <c r="D517" s="15" t="e">
        <f>VLOOKUP(A517,'[1]Master clients'!F:M,8,0)</f>
        <v>#N/A</v>
      </c>
      <c r="E517" s="16" t="s">
        <v>1262</v>
      </c>
      <c r="F517" s="29" t="s">
        <v>1263</v>
      </c>
      <c r="G517" s="20"/>
      <c r="H517" s="20"/>
      <c r="I517" s="18">
        <v>0</v>
      </c>
      <c r="J517" s="18">
        <v>0</v>
      </c>
      <c r="K517" s="20">
        <v>0</v>
      </c>
      <c r="L517" s="20">
        <v>1</v>
      </c>
      <c r="M517" s="20">
        <v>0</v>
      </c>
      <c r="N517" s="20">
        <v>0</v>
      </c>
      <c r="O517" s="20">
        <v>0</v>
      </c>
      <c r="P517" s="20">
        <v>0</v>
      </c>
      <c r="Q517" s="20">
        <v>0</v>
      </c>
      <c r="R517" s="20">
        <v>0</v>
      </c>
      <c r="S517" s="20">
        <v>0</v>
      </c>
      <c r="T517" s="20">
        <v>0</v>
      </c>
      <c r="U517" s="20">
        <v>0</v>
      </c>
      <c r="V517" s="20">
        <v>0</v>
      </c>
      <c r="W517" s="20">
        <v>0</v>
      </c>
      <c r="X517" s="20">
        <v>0</v>
      </c>
      <c r="Y517" s="20">
        <v>0</v>
      </c>
      <c r="Z517" s="20">
        <v>0</v>
      </c>
      <c r="AA517" s="20">
        <v>0</v>
      </c>
      <c r="AB517" s="20">
        <v>0</v>
      </c>
      <c r="AC517" s="20">
        <v>0</v>
      </c>
      <c r="AD517" s="20">
        <v>0</v>
      </c>
      <c r="AE517" s="20">
        <v>0</v>
      </c>
      <c r="AF517" s="20">
        <v>0</v>
      </c>
      <c r="AG517" s="20">
        <v>0</v>
      </c>
      <c r="AH517" s="20">
        <v>0</v>
      </c>
      <c r="AI517" s="20">
        <v>0</v>
      </c>
      <c r="AJ517" s="20">
        <v>0</v>
      </c>
      <c r="AK517" s="20">
        <v>1</v>
      </c>
      <c r="AL517" s="20">
        <v>0</v>
      </c>
      <c r="AM517" s="20">
        <v>0</v>
      </c>
      <c r="AN517" s="20">
        <v>0</v>
      </c>
      <c r="AO517" s="20">
        <v>5</v>
      </c>
      <c r="AP517" s="20">
        <v>0</v>
      </c>
      <c r="AQ517" s="20">
        <v>0</v>
      </c>
      <c r="AR517" s="20">
        <v>0</v>
      </c>
      <c r="AS517" s="20">
        <v>0</v>
      </c>
      <c r="AT517" s="20">
        <v>0</v>
      </c>
      <c r="AU517" s="20">
        <v>0</v>
      </c>
      <c r="AV517" s="20">
        <v>0</v>
      </c>
      <c r="AW517" s="20">
        <v>0</v>
      </c>
      <c r="AX517" s="20">
        <v>0</v>
      </c>
      <c r="AY517" s="20">
        <v>0</v>
      </c>
      <c r="AZ517" s="20">
        <v>0</v>
      </c>
      <c r="BA517" s="20">
        <v>0</v>
      </c>
      <c r="BB517" s="20">
        <v>0</v>
      </c>
      <c r="BC517" s="20">
        <v>0</v>
      </c>
      <c r="BD517" s="20">
        <v>0</v>
      </c>
      <c r="BE517" s="20">
        <v>0</v>
      </c>
      <c r="BF517" s="20">
        <v>0</v>
      </c>
      <c r="BG517" s="20">
        <v>0</v>
      </c>
      <c r="BH517" s="20">
        <v>0</v>
      </c>
      <c r="BI517" s="22">
        <f t="shared" si="129"/>
        <v>7</v>
      </c>
      <c r="BJ517" s="22">
        <f t="shared" si="130"/>
        <v>0</v>
      </c>
      <c r="BK517" s="22">
        <f t="shared" si="131"/>
        <v>7</v>
      </c>
      <c r="BL517" s="22">
        <f t="shared" si="132"/>
        <v>7</v>
      </c>
      <c r="BM517" s="22">
        <f t="shared" si="134"/>
        <v>0</v>
      </c>
      <c r="BN517" s="23">
        <f t="shared" ref="BN517:BO532" si="137">I517/BL517</f>
        <v>0</v>
      </c>
      <c r="BO517" s="23" t="e">
        <f t="shared" si="137"/>
        <v>#DIV/0!</v>
      </c>
      <c r="BP517" s="7" t="e">
        <f>VLOOKUP(A517,[1]Sheet15!B:E,4,0)</f>
        <v>#N/A</v>
      </c>
      <c r="BQ517" s="7" t="e">
        <f>VLOOKUP(A517,[1]Sheet15!B:E,3,0)</f>
        <v>#N/A</v>
      </c>
    </row>
    <row r="518" spans="1:69" ht="22.5" customHeight="1" x14ac:dyDescent="0.25">
      <c r="A518" s="15" t="s">
        <v>1217</v>
      </c>
      <c r="B518" s="35" t="e">
        <f>VLOOKUP(A518,'[1]Master clients'!F897:W4444,17,0)</f>
        <v>#N/A</v>
      </c>
      <c r="C518" s="15" t="e">
        <f>VLOOKUP(A518,'[1]Master clients'!F897:P4444,11,0)</f>
        <v>#N/A</v>
      </c>
      <c r="D518" s="15" t="e">
        <f>VLOOKUP(A518,'[1]Master clients'!F:M,8,0)</f>
        <v>#N/A</v>
      </c>
      <c r="E518" s="16" t="s">
        <v>1264</v>
      </c>
      <c r="F518" s="29" t="s">
        <v>1265</v>
      </c>
      <c r="G518" s="20"/>
      <c r="H518" s="20"/>
      <c r="I518" s="18">
        <v>0</v>
      </c>
      <c r="J518" s="18">
        <v>0</v>
      </c>
      <c r="K518" s="20">
        <v>0</v>
      </c>
      <c r="L518" s="20">
        <v>0</v>
      </c>
      <c r="M518" s="20">
        <v>0</v>
      </c>
      <c r="N518" s="20">
        <v>0</v>
      </c>
      <c r="O518" s="20">
        <v>0</v>
      </c>
      <c r="P518" s="20">
        <v>0</v>
      </c>
      <c r="Q518" s="20">
        <v>0</v>
      </c>
      <c r="R518" s="20">
        <v>0</v>
      </c>
      <c r="S518" s="20">
        <v>0</v>
      </c>
      <c r="T518" s="20">
        <v>0</v>
      </c>
      <c r="U518" s="20">
        <v>0</v>
      </c>
      <c r="V518" s="20">
        <v>0</v>
      </c>
      <c r="W518" s="20">
        <v>0</v>
      </c>
      <c r="X518" s="20">
        <v>0</v>
      </c>
      <c r="Y518" s="20">
        <v>0</v>
      </c>
      <c r="Z518" s="20">
        <v>0</v>
      </c>
      <c r="AA518" s="20">
        <v>0</v>
      </c>
      <c r="AB518" s="20">
        <v>0</v>
      </c>
      <c r="AC518" s="20">
        <v>0</v>
      </c>
      <c r="AD518" s="20">
        <v>0</v>
      </c>
      <c r="AE518" s="20">
        <v>0</v>
      </c>
      <c r="AF518" s="20">
        <v>0</v>
      </c>
      <c r="AG518" s="20">
        <v>0</v>
      </c>
      <c r="AH518" s="20">
        <v>0</v>
      </c>
      <c r="AI518" s="20">
        <v>0</v>
      </c>
      <c r="AJ518" s="20">
        <v>0</v>
      </c>
      <c r="AK518" s="20">
        <v>0</v>
      </c>
      <c r="AL518" s="20">
        <v>0</v>
      </c>
      <c r="AM518" s="20">
        <v>0</v>
      </c>
      <c r="AN518" s="20">
        <v>0</v>
      </c>
      <c r="AO518" s="20">
        <v>15</v>
      </c>
      <c r="AP518" s="20">
        <v>0</v>
      </c>
      <c r="AQ518" s="20">
        <v>0</v>
      </c>
      <c r="AR518" s="20">
        <v>0</v>
      </c>
      <c r="AS518" s="20">
        <v>0</v>
      </c>
      <c r="AT518" s="20">
        <v>0</v>
      </c>
      <c r="AU518" s="20">
        <v>0</v>
      </c>
      <c r="AV518" s="20">
        <v>0</v>
      </c>
      <c r="AW518" s="20">
        <v>0</v>
      </c>
      <c r="AX518" s="20">
        <v>0</v>
      </c>
      <c r="AY518" s="20">
        <v>0</v>
      </c>
      <c r="AZ518" s="20">
        <v>0</v>
      </c>
      <c r="BA518" s="20">
        <v>0</v>
      </c>
      <c r="BB518" s="20">
        <v>0</v>
      </c>
      <c r="BC518" s="20">
        <v>0</v>
      </c>
      <c r="BD518" s="20">
        <v>0</v>
      </c>
      <c r="BE518" s="20">
        <v>0</v>
      </c>
      <c r="BF518" s="20">
        <v>0</v>
      </c>
      <c r="BG518" s="20">
        <v>0</v>
      </c>
      <c r="BH518" s="20">
        <v>0</v>
      </c>
      <c r="BI518" s="22">
        <f t="shared" si="129"/>
        <v>15</v>
      </c>
      <c r="BJ518" s="22">
        <f t="shared" si="130"/>
        <v>0</v>
      </c>
      <c r="BK518" s="22">
        <f t="shared" si="131"/>
        <v>15</v>
      </c>
      <c r="BL518" s="22">
        <f t="shared" si="132"/>
        <v>15</v>
      </c>
      <c r="BM518" s="22">
        <f t="shared" si="134"/>
        <v>0</v>
      </c>
      <c r="BN518" s="23">
        <f t="shared" si="137"/>
        <v>0</v>
      </c>
      <c r="BO518" s="23" t="e">
        <f t="shared" si="137"/>
        <v>#DIV/0!</v>
      </c>
      <c r="BP518" s="7" t="e">
        <f>VLOOKUP(A518,[1]Sheet15!B:E,4,0)</f>
        <v>#N/A</v>
      </c>
      <c r="BQ518" s="7" t="e">
        <f>VLOOKUP(A518,[1]Sheet15!B:E,3,0)</f>
        <v>#N/A</v>
      </c>
    </row>
    <row r="519" spans="1:69" ht="22.5" customHeight="1" x14ac:dyDescent="0.25">
      <c r="A519" s="15" t="s">
        <v>1217</v>
      </c>
      <c r="B519" s="35" t="e">
        <f>VLOOKUP(A519,'[1]Master clients'!F898:W4445,17,0)</f>
        <v>#N/A</v>
      </c>
      <c r="C519" s="15" t="e">
        <f>VLOOKUP(A519,'[1]Master clients'!F898:P4445,11,0)</f>
        <v>#N/A</v>
      </c>
      <c r="D519" s="15" t="e">
        <f>VLOOKUP(A519,'[1]Master clients'!F:M,8,0)</f>
        <v>#N/A</v>
      </c>
      <c r="E519" s="16" t="s">
        <v>1266</v>
      </c>
      <c r="F519" s="29" t="s">
        <v>1267</v>
      </c>
      <c r="G519" s="20"/>
      <c r="H519" s="20"/>
      <c r="I519" s="18">
        <v>0</v>
      </c>
      <c r="J519" s="18">
        <v>0</v>
      </c>
      <c r="K519" s="20">
        <v>12</v>
      </c>
      <c r="L519" s="20">
        <v>0</v>
      </c>
      <c r="M519" s="20">
        <v>0</v>
      </c>
      <c r="N519" s="20">
        <v>0</v>
      </c>
      <c r="O519" s="20">
        <v>0</v>
      </c>
      <c r="P519" s="20">
        <v>0</v>
      </c>
      <c r="Q519" s="20">
        <v>0</v>
      </c>
      <c r="R519" s="20">
        <v>0</v>
      </c>
      <c r="S519" s="20">
        <v>0</v>
      </c>
      <c r="T519" s="20">
        <v>0</v>
      </c>
      <c r="U519" s="20">
        <v>0</v>
      </c>
      <c r="V519" s="20">
        <v>0</v>
      </c>
      <c r="W519" s="20">
        <v>0</v>
      </c>
      <c r="X519" s="20">
        <v>0</v>
      </c>
      <c r="Y519" s="20">
        <v>0</v>
      </c>
      <c r="Z519" s="20">
        <v>0</v>
      </c>
      <c r="AA519" s="20">
        <v>0</v>
      </c>
      <c r="AB519" s="20">
        <v>0</v>
      </c>
      <c r="AC519" s="20">
        <v>0</v>
      </c>
      <c r="AD519" s="20">
        <v>0</v>
      </c>
      <c r="AE519" s="20">
        <v>0</v>
      </c>
      <c r="AF519" s="20">
        <v>0</v>
      </c>
      <c r="AG519" s="20">
        <v>0</v>
      </c>
      <c r="AH519" s="20">
        <v>0</v>
      </c>
      <c r="AI519" s="20">
        <v>0</v>
      </c>
      <c r="AJ519" s="20">
        <v>0</v>
      </c>
      <c r="AK519" s="20">
        <v>0</v>
      </c>
      <c r="AL519" s="20">
        <v>0</v>
      </c>
      <c r="AM519" s="20">
        <v>0</v>
      </c>
      <c r="AN519" s="20">
        <v>0</v>
      </c>
      <c r="AO519" s="20">
        <v>0</v>
      </c>
      <c r="AP519" s="20">
        <v>0</v>
      </c>
      <c r="AQ519" s="20">
        <v>0</v>
      </c>
      <c r="AR519" s="20">
        <v>0</v>
      </c>
      <c r="AS519" s="20">
        <v>0</v>
      </c>
      <c r="AT519" s="20">
        <v>0</v>
      </c>
      <c r="AU519" s="20">
        <v>0</v>
      </c>
      <c r="AV519" s="20">
        <v>0</v>
      </c>
      <c r="AW519" s="20">
        <v>0</v>
      </c>
      <c r="AX519" s="20">
        <v>0</v>
      </c>
      <c r="AY519" s="20">
        <v>0</v>
      </c>
      <c r="AZ519" s="20">
        <v>0</v>
      </c>
      <c r="BA519" s="20">
        <v>0</v>
      </c>
      <c r="BB519" s="20">
        <v>0</v>
      </c>
      <c r="BC519" s="20">
        <v>0</v>
      </c>
      <c r="BD519" s="20">
        <v>0</v>
      </c>
      <c r="BE519" s="20">
        <v>0</v>
      </c>
      <c r="BF519" s="20">
        <v>0</v>
      </c>
      <c r="BG519" s="20">
        <v>0</v>
      </c>
      <c r="BH519" s="20">
        <v>0</v>
      </c>
      <c r="BI519" s="22">
        <f t="shared" si="129"/>
        <v>12</v>
      </c>
      <c r="BJ519" s="22">
        <f t="shared" si="130"/>
        <v>0</v>
      </c>
      <c r="BK519" s="22">
        <f t="shared" si="131"/>
        <v>12</v>
      </c>
      <c r="BL519" s="22">
        <f t="shared" si="132"/>
        <v>12</v>
      </c>
      <c r="BM519" s="22">
        <f t="shared" si="134"/>
        <v>0</v>
      </c>
      <c r="BN519" s="23">
        <f t="shared" si="137"/>
        <v>0</v>
      </c>
      <c r="BO519" s="23" t="e">
        <f t="shared" si="137"/>
        <v>#DIV/0!</v>
      </c>
      <c r="BP519" s="7" t="e">
        <f>VLOOKUP(A519,[1]Sheet15!B:E,4,0)</f>
        <v>#N/A</v>
      </c>
      <c r="BQ519" s="7" t="e">
        <f>VLOOKUP(A519,[1]Sheet15!B:E,3,0)</f>
        <v>#N/A</v>
      </c>
    </row>
    <row r="520" spans="1:69" ht="22.5" customHeight="1" x14ac:dyDescent="0.25">
      <c r="A520" s="15" t="s">
        <v>1217</v>
      </c>
      <c r="B520" s="35" t="e">
        <f>VLOOKUP(A520,'[1]Master clients'!F899:W4446,17,0)</f>
        <v>#N/A</v>
      </c>
      <c r="C520" s="15" t="e">
        <f>VLOOKUP(A520,'[1]Master clients'!F899:P4446,11,0)</f>
        <v>#N/A</v>
      </c>
      <c r="D520" s="15" t="e">
        <f>VLOOKUP(A520,'[1]Master clients'!F:M,8,0)</f>
        <v>#N/A</v>
      </c>
      <c r="E520" s="16" t="s">
        <v>1268</v>
      </c>
      <c r="F520" s="29" t="s">
        <v>751</v>
      </c>
      <c r="G520" s="20"/>
      <c r="H520" s="20"/>
      <c r="I520" s="18">
        <v>0</v>
      </c>
      <c r="J520" s="18">
        <v>0</v>
      </c>
      <c r="K520" s="20">
        <v>0</v>
      </c>
      <c r="L520" s="20">
        <v>0</v>
      </c>
      <c r="M520" s="20">
        <v>0</v>
      </c>
      <c r="N520" s="20">
        <v>0</v>
      </c>
      <c r="O520" s="20">
        <v>0</v>
      </c>
      <c r="P520" s="20">
        <v>0</v>
      </c>
      <c r="Q520" s="20">
        <v>0</v>
      </c>
      <c r="R520" s="20">
        <v>0</v>
      </c>
      <c r="S520" s="20">
        <v>0</v>
      </c>
      <c r="T520" s="20">
        <v>0</v>
      </c>
      <c r="U520" s="20">
        <v>0</v>
      </c>
      <c r="V520" s="20">
        <v>0</v>
      </c>
      <c r="W520" s="20">
        <v>0</v>
      </c>
      <c r="X520" s="20">
        <v>0</v>
      </c>
      <c r="Y520" s="20">
        <v>0</v>
      </c>
      <c r="Z520" s="20">
        <v>0</v>
      </c>
      <c r="AA520" s="20">
        <v>0</v>
      </c>
      <c r="AB520" s="20">
        <v>0</v>
      </c>
      <c r="AC520" s="20">
        <v>0</v>
      </c>
      <c r="AD520" s="20">
        <v>0</v>
      </c>
      <c r="AE520" s="20">
        <v>0</v>
      </c>
      <c r="AF520" s="20">
        <v>0</v>
      </c>
      <c r="AG520" s="20">
        <v>0</v>
      </c>
      <c r="AH520" s="20">
        <v>0</v>
      </c>
      <c r="AI520" s="20">
        <v>0</v>
      </c>
      <c r="AJ520" s="20">
        <v>0</v>
      </c>
      <c r="AK520" s="20">
        <v>0</v>
      </c>
      <c r="AL520" s="20">
        <v>0</v>
      </c>
      <c r="AM520" s="20">
        <v>0</v>
      </c>
      <c r="AN520" s="20">
        <v>0</v>
      </c>
      <c r="AO520" s="20">
        <v>8</v>
      </c>
      <c r="AP520" s="20">
        <v>0</v>
      </c>
      <c r="AQ520" s="20">
        <v>0</v>
      </c>
      <c r="AR520" s="20">
        <v>0</v>
      </c>
      <c r="AS520" s="20">
        <v>0</v>
      </c>
      <c r="AT520" s="20">
        <v>0</v>
      </c>
      <c r="AU520" s="20">
        <v>0</v>
      </c>
      <c r="AV520" s="20">
        <v>0</v>
      </c>
      <c r="AW520" s="20">
        <v>0</v>
      </c>
      <c r="AX520" s="20">
        <v>0</v>
      </c>
      <c r="AY520" s="20">
        <v>0</v>
      </c>
      <c r="AZ520" s="20">
        <v>0</v>
      </c>
      <c r="BA520" s="20">
        <v>0</v>
      </c>
      <c r="BB520" s="20">
        <v>0</v>
      </c>
      <c r="BC520" s="20">
        <v>0</v>
      </c>
      <c r="BD520" s="20">
        <v>0</v>
      </c>
      <c r="BE520" s="20">
        <v>0</v>
      </c>
      <c r="BF520" s="20">
        <v>0</v>
      </c>
      <c r="BG520" s="20">
        <v>0</v>
      </c>
      <c r="BH520" s="20">
        <v>0</v>
      </c>
      <c r="BI520" s="22">
        <f t="shared" si="129"/>
        <v>8</v>
      </c>
      <c r="BJ520" s="22">
        <f t="shared" si="130"/>
        <v>0</v>
      </c>
      <c r="BK520" s="22">
        <f t="shared" si="131"/>
        <v>8</v>
      </c>
      <c r="BL520" s="22">
        <f t="shared" si="132"/>
        <v>8</v>
      </c>
      <c r="BM520" s="22">
        <f t="shared" si="134"/>
        <v>0</v>
      </c>
      <c r="BN520" s="23">
        <f t="shared" si="137"/>
        <v>0</v>
      </c>
      <c r="BO520" s="23" t="e">
        <f t="shared" si="137"/>
        <v>#DIV/0!</v>
      </c>
      <c r="BP520" s="7" t="e">
        <f>VLOOKUP(A520,[1]Sheet15!B:E,4,0)</f>
        <v>#N/A</v>
      </c>
      <c r="BQ520" s="7" t="e">
        <f>VLOOKUP(A520,[1]Sheet15!B:E,3,0)</f>
        <v>#N/A</v>
      </c>
    </row>
    <row r="521" spans="1:69" ht="22.5" customHeight="1" x14ac:dyDescent="0.25">
      <c r="A521" s="15" t="s">
        <v>1217</v>
      </c>
      <c r="B521" s="35" t="e">
        <f>VLOOKUP(A521,'[1]Master clients'!F900:W4447,17,0)</f>
        <v>#N/A</v>
      </c>
      <c r="C521" s="15" t="e">
        <f>VLOOKUP(A521,'[1]Master clients'!F900:P4447,11,0)</f>
        <v>#N/A</v>
      </c>
      <c r="D521" s="15" t="e">
        <f>VLOOKUP(A521,'[1]Master clients'!F:M,8,0)</f>
        <v>#N/A</v>
      </c>
      <c r="E521" s="16" t="s">
        <v>1269</v>
      </c>
      <c r="F521" s="29" t="s">
        <v>751</v>
      </c>
      <c r="G521" s="20"/>
      <c r="H521" s="20"/>
      <c r="I521" s="18">
        <v>0</v>
      </c>
      <c r="J521" s="18">
        <v>0</v>
      </c>
      <c r="K521" s="20">
        <v>0</v>
      </c>
      <c r="L521" s="20">
        <v>0</v>
      </c>
      <c r="M521" s="20">
        <v>0</v>
      </c>
      <c r="N521" s="20">
        <v>0</v>
      </c>
      <c r="O521" s="20">
        <v>0</v>
      </c>
      <c r="P521" s="20">
        <v>0</v>
      </c>
      <c r="Q521" s="20">
        <v>0</v>
      </c>
      <c r="R521" s="20">
        <v>0</v>
      </c>
      <c r="S521" s="20">
        <v>0</v>
      </c>
      <c r="T521" s="20">
        <v>0</v>
      </c>
      <c r="U521" s="20">
        <v>0</v>
      </c>
      <c r="V521" s="20">
        <v>0</v>
      </c>
      <c r="W521" s="20">
        <v>0</v>
      </c>
      <c r="X521" s="20">
        <v>0</v>
      </c>
      <c r="Y521" s="20">
        <v>0</v>
      </c>
      <c r="Z521" s="20">
        <v>0</v>
      </c>
      <c r="AA521" s="20">
        <v>0</v>
      </c>
      <c r="AB521" s="20">
        <v>0</v>
      </c>
      <c r="AC521" s="20">
        <v>0</v>
      </c>
      <c r="AD521" s="20">
        <v>0</v>
      </c>
      <c r="AE521" s="20">
        <v>0</v>
      </c>
      <c r="AF521" s="20">
        <v>0</v>
      </c>
      <c r="AG521" s="20">
        <v>0</v>
      </c>
      <c r="AH521" s="20">
        <v>0</v>
      </c>
      <c r="AI521" s="20">
        <v>0</v>
      </c>
      <c r="AJ521" s="20">
        <v>0</v>
      </c>
      <c r="AK521" s="20">
        <v>0</v>
      </c>
      <c r="AL521" s="20">
        <v>0</v>
      </c>
      <c r="AM521" s="20">
        <v>0</v>
      </c>
      <c r="AN521" s="20">
        <v>0</v>
      </c>
      <c r="AO521" s="20">
        <v>8</v>
      </c>
      <c r="AP521" s="20">
        <v>0</v>
      </c>
      <c r="AQ521" s="20">
        <v>0</v>
      </c>
      <c r="AR521" s="20">
        <v>0</v>
      </c>
      <c r="AS521" s="20">
        <v>0</v>
      </c>
      <c r="AT521" s="20">
        <v>0</v>
      </c>
      <c r="AU521" s="20">
        <v>0</v>
      </c>
      <c r="AV521" s="20">
        <v>0</v>
      </c>
      <c r="AW521" s="20">
        <v>0</v>
      </c>
      <c r="AX521" s="20">
        <v>0</v>
      </c>
      <c r="AY521" s="20">
        <v>0</v>
      </c>
      <c r="AZ521" s="20">
        <v>0</v>
      </c>
      <c r="BA521" s="20">
        <v>0</v>
      </c>
      <c r="BB521" s="20">
        <v>0</v>
      </c>
      <c r="BC521" s="20">
        <v>0</v>
      </c>
      <c r="BD521" s="20">
        <v>0</v>
      </c>
      <c r="BE521" s="20">
        <v>0</v>
      </c>
      <c r="BF521" s="20">
        <v>0</v>
      </c>
      <c r="BG521" s="20">
        <v>0</v>
      </c>
      <c r="BH521" s="20">
        <v>0</v>
      </c>
      <c r="BI521" s="22">
        <f t="shared" si="129"/>
        <v>8</v>
      </c>
      <c r="BJ521" s="22">
        <f t="shared" si="130"/>
        <v>0</v>
      </c>
      <c r="BK521" s="22">
        <f t="shared" si="131"/>
        <v>8</v>
      </c>
      <c r="BL521" s="22">
        <f t="shared" si="132"/>
        <v>8</v>
      </c>
      <c r="BM521" s="22">
        <f t="shared" si="134"/>
        <v>0</v>
      </c>
      <c r="BN521" s="23">
        <f t="shared" si="137"/>
        <v>0</v>
      </c>
      <c r="BO521" s="23" t="e">
        <f t="shared" si="137"/>
        <v>#DIV/0!</v>
      </c>
      <c r="BP521" s="7" t="e">
        <f>VLOOKUP(A521,[1]Sheet15!B:E,4,0)</f>
        <v>#N/A</v>
      </c>
      <c r="BQ521" s="7" t="e">
        <f>VLOOKUP(A521,[1]Sheet15!B:E,3,0)</f>
        <v>#N/A</v>
      </c>
    </row>
    <row r="522" spans="1:69" ht="22.5" customHeight="1" x14ac:dyDescent="0.25">
      <c r="A522" s="15" t="s">
        <v>1217</v>
      </c>
      <c r="B522" s="35" t="e">
        <f>VLOOKUP(A522,'[1]Master clients'!F901:W4448,17,0)</f>
        <v>#N/A</v>
      </c>
      <c r="C522" s="15" t="e">
        <f>VLOOKUP(A522,'[1]Master clients'!F901:P4448,11,0)</f>
        <v>#N/A</v>
      </c>
      <c r="D522" s="15" t="e">
        <f>VLOOKUP(A522,'[1]Master clients'!F:M,8,0)</f>
        <v>#N/A</v>
      </c>
      <c r="E522" s="16" t="s">
        <v>1270</v>
      </c>
      <c r="F522" s="29" t="s">
        <v>1271</v>
      </c>
      <c r="G522" s="20"/>
      <c r="H522" s="20"/>
      <c r="I522" s="18">
        <v>0</v>
      </c>
      <c r="J522" s="18">
        <v>0</v>
      </c>
      <c r="K522" s="20">
        <v>1</v>
      </c>
      <c r="L522" s="20">
        <v>0</v>
      </c>
      <c r="M522" s="20">
        <v>0</v>
      </c>
      <c r="N522" s="20">
        <v>0</v>
      </c>
      <c r="O522" s="20">
        <v>0</v>
      </c>
      <c r="P522" s="20">
        <v>0</v>
      </c>
      <c r="Q522" s="20">
        <v>0</v>
      </c>
      <c r="R522" s="20">
        <v>0</v>
      </c>
      <c r="S522" s="20">
        <v>0</v>
      </c>
      <c r="T522" s="20">
        <v>0</v>
      </c>
      <c r="U522" s="20">
        <v>0</v>
      </c>
      <c r="V522" s="20">
        <v>0</v>
      </c>
      <c r="W522" s="20">
        <v>0</v>
      </c>
      <c r="X522" s="20">
        <v>0</v>
      </c>
      <c r="Y522" s="20">
        <v>0</v>
      </c>
      <c r="Z522" s="20">
        <v>0</v>
      </c>
      <c r="AA522" s="20">
        <v>0</v>
      </c>
      <c r="AB522" s="20">
        <v>0</v>
      </c>
      <c r="AC522" s="20">
        <v>0</v>
      </c>
      <c r="AD522" s="20">
        <v>0</v>
      </c>
      <c r="AE522" s="20">
        <v>0</v>
      </c>
      <c r="AF522" s="20">
        <v>0</v>
      </c>
      <c r="AG522" s="20">
        <v>0</v>
      </c>
      <c r="AH522" s="20">
        <v>0</v>
      </c>
      <c r="AI522" s="20">
        <v>0</v>
      </c>
      <c r="AJ522" s="20">
        <v>0</v>
      </c>
      <c r="AK522" s="20">
        <v>0</v>
      </c>
      <c r="AL522" s="20">
        <v>0</v>
      </c>
      <c r="AM522" s="20">
        <v>0</v>
      </c>
      <c r="AN522" s="20">
        <v>0</v>
      </c>
      <c r="AO522" s="20">
        <v>7</v>
      </c>
      <c r="AP522" s="20">
        <v>0</v>
      </c>
      <c r="AQ522" s="20">
        <v>0</v>
      </c>
      <c r="AR522" s="20">
        <v>0</v>
      </c>
      <c r="AS522" s="20">
        <v>0</v>
      </c>
      <c r="AT522" s="20">
        <v>0</v>
      </c>
      <c r="AU522" s="20">
        <v>0</v>
      </c>
      <c r="AV522" s="20">
        <v>0</v>
      </c>
      <c r="AW522" s="20">
        <v>0</v>
      </c>
      <c r="AX522" s="20">
        <v>0</v>
      </c>
      <c r="AY522" s="20">
        <v>0</v>
      </c>
      <c r="AZ522" s="20">
        <v>0</v>
      </c>
      <c r="BA522" s="20">
        <v>0</v>
      </c>
      <c r="BB522" s="20">
        <v>0</v>
      </c>
      <c r="BC522" s="20">
        <v>0</v>
      </c>
      <c r="BD522" s="20">
        <v>0</v>
      </c>
      <c r="BE522" s="20">
        <v>0</v>
      </c>
      <c r="BF522" s="20">
        <v>0</v>
      </c>
      <c r="BG522" s="20">
        <v>0</v>
      </c>
      <c r="BH522" s="20">
        <v>0</v>
      </c>
      <c r="BI522" s="22">
        <f t="shared" si="129"/>
        <v>8</v>
      </c>
      <c r="BJ522" s="22">
        <f t="shared" si="130"/>
        <v>0</v>
      </c>
      <c r="BK522" s="22">
        <f t="shared" si="131"/>
        <v>8</v>
      </c>
      <c r="BL522" s="22">
        <f t="shared" si="132"/>
        <v>8</v>
      </c>
      <c r="BM522" s="22">
        <f t="shared" si="134"/>
        <v>0</v>
      </c>
      <c r="BN522" s="23">
        <f t="shared" si="137"/>
        <v>0</v>
      </c>
      <c r="BO522" s="23" t="e">
        <f t="shared" si="137"/>
        <v>#DIV/0!</v>
      </c>
      <c r="BP522" s="7" t="e">
        <f>VLOOKUP(A522,[1]Sheet15!B:E,4,0)</f>
        <v>#N/A</v>
      </c>
      <c r="BQ522" s="7" t="e">
        <f>VLOOKUP(A522,[1]Sheet15!B:E,3,0)</f>
        <v>#N/A</v>
      </c>
    </row>
    <row r="523" spans="1:69" ht="22.5" customHeight="1" x14ac:dyDescent="0.25">
      <c r="A523" s="15" t="s">
        <v>1217</v>
      </c>
      <c r="B523" s="35" t="e">
        <f>VLOOKUP(A523,'[1]Master clients'!F903:W4450,17,0)</f>
        <v>#N/A</v>
      </c>
      <c r="C523" s="15" t="e">
        <f>VLOOKUP(A523,'[1]Master clients'!F903:P4450,11,0)</f>
        <v>#N/A</v>
      </c>
      <c r="D523" s="15" t="e">
        <f>VLOOKUP(A523,'[1]Master clients'!F:M,8,0)</f>
        <v>#N/A</v>
      </c>
      <c r="E523" s="16" t="s">
        <v>1272</v>
      </c>
      <c r="F523" s="29"/>
      <c r="G523" s="20"/>
      <c r="H523" s="20"/>
      <c r="I523" s="18">
        <v>0</v>
      </c>
      <c r="J523" s="18">
        <v>0</v>
      </c>
      <c r="K523" s="20">
        <v>0</v>
      </c>
      <c r="L523" s="20">
        <v>0</v>
      </c>
      <c r="M523" s="20">
        <v>0</v>
      </c>
      <c r="N523" s="20">
        <v>0</v>
      </c>
      <c r="O523" s="20">
        <v>0</v>
      </c>
      <c r="P523" s="20">
        <v>0</v>
      </c>
      <c r="Q523" s="20">
        <v>0</v>
      </c>
      <c r="R523" s="20">
        <v>0</v>
      </c>
      <c r="S523" s="20">
        <v>0</v>
      </c>
      <c r="T523" s="20">
        <v>0</v>
      </c>
      <c r="U523" s="20">
        <v>0</v>
      </c>
      <c r="V523" s="20">
        <v>0</v>
      </c>
      <c r="W523" s="20">
        <v>0</v>
      </c>
      <c r="X523" s="20">
        <v>0</v>
      </c>
      <c r="Y523" s="20">
        <v>0</v>
      </c>
      <c r="Z523" s="20">
        <v>0</v>
      </c>
      <c r="AA523" s="20">
        <v>0</v>
      </c>
      <c r="AB523" s="20">
        <v>0</v>
      </c>
      <c r="AC523" s="20">
        <v>0</v>
      </c>
      <c r="AD523" s="20">
        <v>0</v>
      </c>
      <c r="AE523" s="20">
        <v>0</v>
      </c>
      <c r="AF523" s="20">
        <v>0</v>
      </c>
      <c r="AG523" s="20">
        <v>0</v>
      </c>
      <c r="AH523" s="20">
        <v>0</v>
      </c>
      <c r="AI523" s="20">
        <v>0</v>
      </c>
      <c r="AJ523" s="20">
        <v>0</v>
      </c>
      <c r="AK523" s="20">
        <v>7</v>
      </c>
      <c r="AL523" s="20">
        <v>0</v>
      </c>
      <c r="AM523" s="20">
        <v>0</v>
      </c>
      <c r="AN523" s="20">
        <v>0</v>
      </c>
      <c r="AO523" s="20">
        <v>0</v>
      </c>
      <c r="AP523" s="20">
        <v>0</v>
      </c>
      <c r="AQ523" s="20">
        <v>0</v>
      </c>
      <c r="AR523" s="20">
        <v>0</v>
      </c>
      <c r="AS523" s="20">
        <v>0</v>
      </c>
      <c r="AT523" s="20">
        <v>0</v>
      </c>
      <c r="AU523" s="20">
        <v>0</v>
      </c>
      <c r="AV523" s="20">
        <v>0</v>
      </c>
      <c r="AW523" s="20">
        <v>0</v>
      </c>
      <c r="AX523" s="20">
        <v>0</v>
      </c>
      <c r="AY523" s="20">
        <v>0</v>
      </c>
      <c r="AZ523" s="20">
        <v>0</v>
      </c>
      <c r="BA523" s="20">
        <v>0</v>
      </c>
      <c r="BB523" s="20">
        <v>0</v>
      </c>
      <c r="BC523" s="20">
        <v>0</v>
      </c>
      <c r="BD523" s="20">
        <v>0</v>
      </c>
      <c r="BE523" s="20">
        <v>0</v>
      </c>
      <c r="BF523" s="20">
        <v>0</v>
      </c>
      <c r="BG523" s="20">
        <v>0</v>
      </c>
      <c r="BH523" s="20">
        <v>0</v>
      </c>
      <c r="BI523" s="22">
        <f t="shared" si="129"/>
        <v>7</v>
      </c>
      <c r="BJ523" s="22">
        <f t="shared" si="130"/>
        <v>0</v>
      </c>
      <c r="BK523" s="22">
        <f t="shared" si="131"/>
        <v>7</v>
      </c>
      <c r="BL523" s="22">
        <f t="shared" si="132"/>
        <v>7</v>
      </c>
      <c r="BM523" s="22">
        <f t="shared" si="134"/>
        <v>0</v>
      </c>
      <c r="BN523" s="23">
        <f t="shared" si="137"/>
        <v>0</v>
      </c>
      <c r="BO523" s="23" t="e">
        <f t="shared" si="137"/>
        <v>#DIV/0!</v>
      </c>
      <c r="BP523" s="7" t="e">
        <f>VLOOKUP(A523,[1]Sheet15!B:E,4,0)</f>
        <v>#N/A</v>
      </c>
      <c r="BQ523" s="7" t="e">
        <f>VLOOKUP(A523,[1]Sheet15!B:E,3,0)</f>
        <v>#N/A</v>
      </c>
    </row>
    <row r="524" spans="1:69" ht="22.5" customHeight="1" x14ac:dyDescent="0.25">
      <c r="A524" s="15" t="s">
        <v>1217</v>
      </c>
      <c r="B524" s="35" t="e">
        <f>VLOOKUP(A524,'[1]Master clients'!F904:W4451,17,0)</f>
        <v>#N/A</v>
      </c>
      <c r="C524" s="15" t="e">
        <f>VLOOKUP(A524,'[1]Master clients'!F904:P4451,11,0)</f>
        <v>#N/A</v>
      </c>
      <c r="D524" s="15" t="e">
        <f>VLOOKUP(A524,'[1]Master clients'!F:M,8,0)</f>
        <v>#N/A</v>
      </c>
      <c r="E524" s="16" t="s">
        <v>1273</v>
      </c>
      <c r="F524" s="29" t="s">
        <v>1274</v>
      </c>
      <c r="G524" s="20"/>
      <c r="H524" s="20"/>
      <c r="I524" s="18">
        <v>0</v>
      </c>
      <c r="J524" s="18">
        <v>0</v>
      </c>
      <c r="K524" s="20">
        <v>0</v>
      </c>
      <c r="L524" s="20">
        <v>11</v>
      </c>
      <c r="M524" s="20">
        <v>0</v>
      </c>
      <c r="N524" s="20">
        <v>0</v>
      </c>
      <c r="O524" s="20">
        <v>0</v>
      </c>
      <c r="P524" s="20">
        <v>0</v>
      </c>
      <c r="Q524" s="20">
        <v>0</v>
      </c>
      <c r="R524" s="20">
        <v>0</v>
      </c>
      <c r="S524" s="20">
        <v>0</v>
      </c>
      <c r="T524" s="20">
        <v>0</v>
      </c>
      <c r="U524" s="20">
        <v>0</v>
      </c>
      <c r="V524" s="20">
        <v>0</v>
      </c>
      <c r="W524" s="20">
        <v>0</v>
      </c>
      <c r="X524" s="20">
        <v>0</v>
      </c>
      <c r="Y524" s="20">
        <v>0</v>
      </c>
      <c r="Z524" s="20">
        <v>0</v>
      </c>
      <c r="AA524" s="20">
        <v>0</v>
      </c>
      <c r="AB524" s="20">
        <v>0</v>
      </c>
      <c r="AC524" s="20">
        <v>0</v>
      </c>
      <c r="AD524" s="20">
        <v>0</v>
      </c>
      <c r="AE524" s="20">
        <v>0</v>
      </c>
      <c r="AF524" s="20">
        <v>0</v>
      </c>
      <c r="AG524" s="20">
        <v>0</v>
      </c>
      <c r="AH524" s="20">
        <v>0</v>
      </c>
      <c r="AI524" s="20">
        <v>0</v>
      </c>
      <c r="AJ524" s="20">
        <v>0</v>
      </c>
      <c r="AK524" s="20">
        <v>6</v>
      </c>
      <c r="AL524" s="20">
        <v>0</v>
      </c>
      <c r="AM524" s="20">
        <v>0</v>
      </c>
      <c r="AN524" s="20">
        <v>0</v>
      </c>
      <c r="AO524" s="20">
        <v>0</v>
      </c>
      <c r="AP524" s="20">
        <v>0</v>
      </c>
      <c r="AQ524" s="20">
        <v>0</v>
      </c>
      <c r="AR524" s="20">
        <v>0</v>
      </c>
      <c r="AS524" s="20">
        <v>0</v>
      </c>
      <c r="AT524" s="20">
        <v>0</v>
      </c>
      <c r="AU524" s="20">
        <v>0</v>
      </c>
      <c r="AV524" s="20">
        <v>0</v>
      </c>
      <c r="AW524" s="20">
        <v>0</v>
      </c>
      <c r="AX524" s="20">
        <v>0</v>
      </c>
      <c r="AY524" s="20">
        <v>0</v>
      </c>
      <c r="AZ524" s="20">
        <v>0</v>
      </c>
      <c r="BA524" s="20">
        <v>0</v>
      </c>
      <c r="BB524" s="20">
        <v>0</v>
      </c>
      <c r="BC524" s="20">
        <v>0</v>
      </c>
      <c r="BD524" s="20">
        <v>0</v>
      </c>
      <c r="BE524" s="20">
        <v>0</v>
      </c>
      <c r="BF524" s="20">
        <v>0</v>
      </c>
      <c r="BG524" s="20">
        <v>0</v>
      </c>
      <c r="BH524" s="20">
        <v>0</v>
      </c>
      <c r="BI524" s="22">
        <f t="shared" si="129"/>
        <v>17</v>
      </c>
      <c r="BJ524" s="22">
        <f t="shared" si="130"/>
        <v>0</v>
      </c>
      <c r="BK524" s="22">
        <f t="shared" si="131"/>
        <v>17</v>
      </c>
      <c r="BL524" s="22">
        <f t="shared" si="132"/>
        <v>17</v>
      </c>
      <c r="BM524" s="22">
        <f t="shared" si="134"/>
        <v>0</v>
      </c>
      <c r="BN524" s="23">
        <f t="shared" si="137"/>
        <v>0</v>
      </c>
      <c r="BO524" s="23" t="e">
        <f t="shared" si="137"/>
        <v>#DIV/0!</v>
      </c>
      <c r="BP524" s="7" t="e">
        <f>VLOOKUP(A524,[1]Sheet15!B:E,4,0)</f>
        <v>#N/A</v>
      </c>
      <c r="BQ524" s="7" t="e">
        <f>VLOOKUP(A524,[1]Sheet15!B:E,3,0)</f>
        <v>#N/A</v>
      </c>
    </row>
    <row r="525" spans="1:69" ht="22.5" customHeight="1" x14ac:dyDescent="0.25">
      <c r="A525" s="15" t="s">
        <v>1217</v>
      </c>
      <c r="B525" s="35" t="e">
        <f>VLOOKUP(A525,'[1]Master clients'!F907:W4454,17,0)</f>
        <v>#N/A</v>
      </c>
      <c r="C525" s="15" t="e">
        <f>VLOOKUP(A525,'[1]Master clients'!F907:P4454,11,0)</f>
        <v>#N/A</v>
      </c>
      <c r="D525" s="15" t="e">
        <f>VLOOKUP(A525,'[1]Master clients'!F:M,8,0)</f>
        <v>#N/A</v>
      </c>
      <c r="E525" s="16" t="s">
        <v>1275</v>
      </c>
      <c r="F525" s="29" t="s">
        <v>1271</v>
      </c>
      <c r="G525" s="20"/>
      <c r="H525" s="20"/>
      <c r="I525" s="18">
        <v>0</v>
      </c>
      <c r="J525" s="18">
        <v>0</v>
      </c>
      <c r="K525" s="20">
        <v>0</v>
      </c>
      <c r="L525" s="20">
        <v>0</v>
      </c>
      <c r="M525" s="20">
        <v>0</v>
      </c>
      <c r="N525" s="20">
        <v>0</v>
      </c>
      <c r="O525" s="20">
        <v>0</v>
      </c>
      <c r="P525" s="20">
        <v>0</v>
      </c>
      <c r="Q525" s="20">
        <v>0</v>
      </c>
      <c r="R525" s="20">
        <v>0</v>
      </c>
      <c r="S525" s="20">
        <v>0</v>
      </c>
      <c r="T525" s="20">
        <v>0</v>
      </c>
      <c r="U525" s="20">
        <v>0</v>
      </c>
      <c r="V525" s="20">
        <v>0</v>
      </c>
      <c r="W525" s="20">
        <v>0</v>
      </c>
      <c r="X525" s="20">
        <v>0</v>
      </c>
      <c r="Y525" s="20">
        <v>0</v>
      </c>
      <c r="Z525" s="20">
        <v>0</v>
      </c>
      <c r="AA525" s="20">
        <v>0</v>
      </c>
      <c r="AB525" s="20">
        <v>0</v>
      </c>
      <c r="AC525" s="20">
        <v>0</v>
      </c>
      <c r="AD525" s="20">
        <v>0</v>
      </c>
      <c r="AE525" s="20">
        <v>0</v>
      </c>
      <c r="AF525" s="20">
        <v>0</v>
      </c>
      <c r="AG525" s="20">
        <v>0</v>
      </c>
      <c r="AH525" s="20">
        <v>0</v>
      </c>
      <c r="AI525" s="20">
        <v>0</v>
      </c>
      <c r="AJ525" s="20">
        <v>0</v>
      </c>
      <c r="AK525" s="20">
        <v>0</v>
      </c>
      <c r="AL525" s="20">
        <v>0</v>
      </c>
      <c r="AM525" s="20">
        <v>0</v>
      </c>
      <c r="AN525" s="20">
        <v>0</v>
      </c>
      <c r="AO525" s="20">
        <v>2</v>
      </c>
      <c r="AP525" s="20">
        <v>0</v>
      </c>
      <c r="AQ525" s="20">
        <v>0</v>
      </c>
      <c r="AR525" s="20">
        <v>0</v>
      </c>
      <c r="AS525" s="20">
        <v>0</v>
      </c>
      <c r="AT525" s="20">
        <v>0</v>
      </c>
      <c r="AU525" s="20">
        <v>0</v>
      </c>
      <c r="AV525" s="20">
        <v>0</v>
      </c>
      <c r="AW525" s="20">
        <v>0</v>
      </c>
      <c r="AX525" s="20">
        <v>0</v>
      </c>
      <c r="AY525" s="20">
        <v>0</v>
      </c>
      <c r="AZ525" s="20">
        <v>0</v>
      </c>
      <c r="BA525" s="20">
        <v>0</v>
      </c>
      <c r="BB525" s="20">
        <v>0</v>
      </c>
      <c r="BC525" s="20">
        <v>0</v>
      </c>
      <c r="BD525" s="20">
        <v>0</v>
      </c>
      <c r="BE525" s="20">
        <v>0</v>
      </c>
      <c r="BF525" s="20">
        <v>0</v>
      </c>
      <c r="BG525" s="20">
        <v>0</v>
      </c>
      <c r="BH525" s="20">
        <v>0</v>
      </c>
      <c r="BI525" s="22">
        <f t="shared" si="129"/>
        <v>2</v>
      </c>
      <c r="BJ525" s="22">
        <f t="shared" si="130"/>
        <v>0</v>
      </c>
      <c r="BK525" s="22">
        <f t="shared" si="131"/>
        <v>2</v>
      </c>
      <c r="BL525" s="22">
        <f t="shared" si="132"/>
        <v>2</v>
      </c>
      <c r="BM525" s="22">
        <f t="shared" si="134"/>
        <v>0</v>
      </c>
      <c r="BN525" s="23">
        <f t="shared" si="137"/>
        <v>0</v>
      </c>
      <c r="BO525" s="23" t="e">
        <f t="shared" si="137"/>
        <v>#DIV/0!</v>
      </c>
      <c r="BP525" s="7" t="e">
        <f>VLOOKUP(A525,[1]Sheet15!B:E,4,0)</f>
        <v>#N/A</v>
      </c>
      <c r="BQ525" s="7" t="e">
        <f>VLOOKUP(A525,[1]Sheet15!B:E,3,0)</f>
        <v>#N/A</v>
      </c>
    </row>
    <row r="526" spans="1:69" ht="22.5" customHeight="1" x14ac:dyDescent="0.25">
      <c r="A526" s="15" t="s">
        <v>1217</v>
      </c>
      <c r="B526" s="35" t="e">
        <f>VLOOKUP(A526,'[1]Master clients'!F914:W4461,17,0)</f>
        <v>#N/A</v>
      </c>
      <c r="C526" s="15" t="e">
        <f>VLOOKUP(A526,'[1]Master clients'!F914:P4461,11,0)</f>
        <v>#N/A</v>
      </c>
      <c r="D526" s="15" t="e">
        <f>VLOOKUP(A526,'[1]Master clients'!F:M,8,0)</f>
        <v>#N/A</v>
      </c>
      <c r="E526" s="16" t="s">
        <v>1276</v>
      </c>
      <c r="F526" s="29" t="s">
        <v>976</v>
      </c>
      <c r="G526" s="20"/>
      <c r="H526" s="20"/>
      <c r="I526" s="18">
        <v>0</v>
      </c>
      <c r="J526" s="18">
        <v>0</v>
      </c>
      <c r="K526" s="20">
        <v>15</v>
      </c>
      <c r="L526" s="20">
        <v>0</v>
      </c>
      <c r="M526" s="20">
        <v>0</v>
      </c>
      <c r="N526" s="20">
        <v>0</v>
      </c>
      <c r="O526" s="20">
        <v>0</v>
      </c>
      <c r="P526" s="20">
        <v>0</v>
      </c>
      <c r="Q526" s="20">
        <v>0</v>
      </c>
      <c r="R526" s="20">
        <v>0</v>
      </c>
      <c r="S526" s="20">
        <v>0</v>
      </c>
      <c r="T526" s="20">
        <v>0</v>
      </c>
      <c r="U526" s="20">
        <v>0</v>
      </c>
      <c r="V526" s="20">
        <v>0</v>
      </c>
      <c r="W526" s="20">
        <v>0</v>
      </c>
      <c r="X526" s="20">
        <v>0</v>
      </c>
      <c r="Y526" s="20">
        <v>0</v>
      </c>
      <c r="Z526" s="20">
        <v>0</v>
      </c>
      <c r="AA526" s="20">
        <v>0</v>
      </c>
      <c r="AB526" s="20">
        <v>0</v>
      </c>
      <c r="AC526" s="20">
        <v>0</v>
      </c>
      <c r="AD526" s="20">
        <v>0</v>
      </c>
      <c r="AE526" s="20">
        <v>0</v>
      </c>
      <c r="AF526" s="20">
        <v>0</v>
      </c>
      <c r="AG526" s="20">
        <v>0</v>
      </c>
      <c r="AH526" s="20">
        <v>0</v>
      </c>
      <c r="AI526" s="20">
        <v>0</v>
      </c>
      <c r="AJ526" s="20">
        <v>0</v>
      </c>
      <c r="AK526" s="20">
        <v>0</v>
      </c>
      <c r="AL526" s="20">
        <v>0</v>
      </c>
      <c r="AM526" s="20">
        <v>0</v>
      </c>
      <c r="AN526" s="20">
        <v>0</v>
      </c>
      <c r="AO526" s="20">
        <v>0</v>
      </c>
      <c r="AP526" s="20">
        <v>0</v>
      </c>
      <c r="AQ526" s="20">
        <v>0</v>
      </c>
      <c r="AR526" s="20">
        <v>0</v>
      </c>
      <c r="AS526" s="20">
        <v>0</v>
      </c>
      <c r="AT526" s="20">
        <v>0</v>
      </c>
      <c r="AU526" s="20">
        <v>0</v>
      </c>
      <c r="AV526" s="20">
        <v>0</v>
      </c>
      <c r="AW526" s="20">
        <v>0</v>
      </c>
      <c r="AX526" s="20">
        <v>0</v>
      </c>
      <c r="AY526" s="20">
        <v>0</v>
      </c>
      <c r="AZ526" s="20">
        <v>0</v>
      </c>
      <c r="BA526" s="20">
        <v>0</v>
      </c>
      <c r="BB526" s="20">
        <v>0</v>
      </c>
      <c r="BC526" s="20">
        <v>0</v>
      </c>
      <c r="BD526" s="20">
        <v>0</v>
      </c>
      <c r="BE526" s="20">
        <v>0</v>
      </c>
      <c r="BF526" s="20">
        <v>0</v>
      </c>
      <c r="BG526" s="20">
        <v>0</v>
      </c>
      <c r="BH526" s="20">
        <v>0</v>
      </c>
      <c r="BI526" s="22">
        <f t="shared" si="129"/>
        <v>15</v>
      </c>
      <c r="BJ526" s="22">
        <f t="shared" si="130"/>
        <v>0</v>
      </c>
      <c r="BK526" s="22">
        <f t="shared" si="131"/>
        <v>15</v>
      </c>
      <c r="BL526" s="22">
        <f t="shared" si="132"/>
        <v>15</v>
      </c>
      <c r="BM526" s="22">
        <f t="shared" si="134"/>
        <v>0</v>
      </c>
      <c r="BN526" s="23">
        <f t="shared" si="137"/>
        <v>0</v>
      </c>
      <c r="BO526" s="23" t="e">
        <f t="shared" si="137"/>
        <v>#DIV/0!</v>
      </c>
      <c r="BP526" s="7" t="e">
        <f>VLOOKUP(A526,[1]Sheet15!B:E,4,0)</f>
        <v>#N/A</v>
      </c>
      <c r="BQ526" s="7" t="e">
        <f>VLOOKUP(A526,[1]Sheet15!B:E,3,0)</f>
        <v>#N/A</v>
      </c>
    </row>
    <row r="527" spans="1:69" ht="22.5" customHeight="1" x14ac:dyDescent="0.25">
      <c r="A527" s="15" t="s">
        <v>1217</v>
      </c>
      <c r="B527" s="35" t="e">
        <f>VLOOKUP(A527,'[1]Master clients'!F915:W4462,17,0)</f>
        <v>#N/A</v>
      </c>
      <c r="C527" s="15" t="e">
        <f>VLOOKUP(A527,'[1]Master clients'!F915:P4462,11,0)</f>
        <v>#N/A</v>
      </c>
      <c r="D527" s="15" t="e">
        <f>VLOOKUP(A527,'[1]Master clients'!F:M,8,0)</f>
        <v>#N/A</v>
      </c>
      <c r="E527" s="16" t="s">
        <v>1277</v>
      </c>
      <c r="F527" s="29" t="s">
        <v>1278</v>
      </c>
      <c r="G527" s="20"/>
      <c r="H527" s="20"/>
      <c r="I527" s="18">
        <v>0</v>
      </c>
      <c r="J527" s="18">
        <v>0</v>
      </c>
      <c r="K527" s="20">
        <v>0</v>
      </c>
      <c r="L527" s="20">
        <v>2</v>
      </c>
      <c r="M527" s="20">
        <v>0</v>
      </c>
      <c r="N527" s="20">
        <v>0</v>
      </c>
      <c r="O527" s="20">
        <v>0</v>
      </c>
      <c r="P527" s="20">
        <v>0</v>
      </c>
      <c r="Q527" s="20">
        <v>0</v>
      </c>
      <c r="R527" s="20">
        <v>0</v>
      </c>
      <c r="S527" s="20">
        <v>0</v>
      </c>
      <c r="T527" s="20">
        <v>0</v>
      </c>
      <c r="U527" s="20">
        <v>0</v>
      </c>
      <c r="V527" s="20">
        <v>0</v>
      </c>
      <c r="W527" s="20">
        <v>0</v>
      </c>
      <c r="X527" s="20">
        <v>0</v>
      </c>
      <c r="Y527" s="20">
        <v>0</v>
      </c>
      <c r="Z527" s="20">
        <v>0</v>
      </c>
      <c r="AA527" s="20">
        <v>0</v>
      </c>
      <c r="AB527" s="20">
        <v>0</v>
      </c>
      <c r="AC527" s="20">
        <v>0</v>
      </c>
      <c r="AD527" s="20">
        <v>0</v>
      </c>
      <c r="AE527" s="20">
        <v>0</v>
      </c>
      <c r="AF527" s="20">
        <v>0</v>
      </c>
      <c r="AG527" s="20">
        <v>0</v>
      </c>
      <c r="AH527" s="20">
        <v>0</v>
      </c>
      <c r="AI527" s="20">
        <v>0</v>
      </c>
      <c r="AJ527" s="20">
        <v>0</v>
      </c>
      <c r="AK527" s="20">
        <v>0</v>
      </c>
      <c r="AL527" s="20">
        <v>0</v>
      </c>
      <c r="AM527" s="20">
        <v>0</v>
      </c>
      <c r="AN527" s="20">
        <v>0</v>
      </c>
      <c r="AO527" s="20">
        <v>0</v>
      </c>
      <c r="AP527" s="20">
        <v>0</v>
      </c>
      <c r="AQ527" s="20">
        <v>0</v>
      </c>
      <c r="AR527" s="20">
        <v>0</v>
      </c>
      <c r="AS527" s="20">
        <v>0</v>
      </c>
      <c r="AT527" s="20">
        <v>0</v>
      </c>
      <c r="AU527" s="20">
        <v>0</v>
      </c>
      <c r="AV527" s="20">
        <v>0</v>
      </c>
      <c r="AW527" s="20">
        <v>0</v>
      </c>
      <c r="AX527" s="20">
        <v>0</v>
      </c>
      <c r="AY527" s="20">
        <v>0</v>
      </c>
      <c r="AZ527" s="20">
        <v>0</v>
      </c>
      <c r="BA527" s="20">
        <v>0</v>
      </c>
      <c r="BB527" s="20">
        <v>0</v>
      </c>
      <c r="BC527" s="20">
        <v>0</v>
      </c>
      <c r="BD527" s="20">
        <v>0</v>
      </c>
      <c r="BE527" s="20">
        <v>0</v>
      </c>
      <c r="BF527" s="20">
        <v>0</v>
      </c>
      <c r="BG527" s="20">
        <v>0</v>
      </c>
      <c r="BH527" s="20">
        <v>0</v>
      </c>
      <c r="BI527" s="22">
        <f t="shared" si="129"/>
        <v>2</v>
      </c>
      <c r="BJ527" s="22">
        <f t="shared" si="130"/>
        <v>0</v>
      </c>
      <c r="BK527" s="22">
        <f t="shared" si="131"/>
        <v>2</v>
      </c>
      <c r="BL527" s="22">
        <f t="shared" si="132"/>
        <v>2</v>
      </c>
      <c r="BM527" s="22">
        <f t="shared" si="134"/>
        <v>0</v>
      </c>
      <c r="BN527" s="23">
        <f t="shared" si="137"/>
        <v>0</v>
      </c>
      <c r="BO527" s="23" t="e">
        <f t="shared" si="137"/>
        <v>#DIV/0!</v>
      </c>
      <c r="BP527" s="7" t="e">
        <f>VLOOKUP(A527,[1]Sheet15!B:E,4,0)</f>
        <v>#N/A</v>
      </c>
      <c r="BQ527" s="7" t="e">
        <f>VLOOKUP(A527,[1]Sheet15!B:E,3,0)</f>
        <v>#N/A</v>
      </c>
    </row>
    <row r="528" spans="1:69" ht="22.5" customHeight="1" x14ac:dyDescent="0.25">
      <c r="A528" s="15" t="s">
        <v>1279</v>
      </c>
      <c r="B528" s="15" t="e">
        <f>VLOOKUP(A528,'[1]Master clients'!F512:W4059,17,0)</f>
        <v>#N/A</v>
      </c>
      <c r="C528" s="15" t="e">
        <f>VLOOKUP(A528,'[1]Master clients'!F512:P4059,11,0)</f>
        <v>#N/A</v>
      </c>
      <c r="D528" s="15" t="str">
        <f>VLOOKUP(A528,'[1]Master clients'!F:M,8,0)</f>
        <v>End User</v>
      </c>
      <c r="E528" s="16" t="s">
        <v>1280</v>
      </c>
      <c r="F528" s="16" t="s">
        <v>1281</v>
      </c>
      <c r="G528" s="17"/>
      <c r="H528" s="17"/>
      <c r="I528" s="26">
        <v>1</v>
      </c>
      <c r="J528" s="31">
        <v>0</v>
      </c>
      <c r="K528" s="17">
        <v>0</v>
      </c>
      <c r="L528" s="17">
        <v>0</v>
      </c>
      <c r="M528" s="17">
        <v>0</v>
      </c>
      <c r="N528" s="17">
        <v>0</v>
      </c>
      <c r="O528" s="17">
        <v>0</v>
      </c>
      <c r="P528" s="17">
        <v>0</v>
      </c>
      <c r="Q528" s="17">
        <v>0</v>
      </c>
      <c r="R528" s="17">
        <v>0</v>
      </c>
      <c r="S528" s="17">
        <v>0</v>
      </c>
      <c r="T528" s="17">
        <v>0</v>
      </c>
      <c r="U528" s="17">
        <v>0</v>
      </c>
      <c r="V528" s="17">
        <v>0</v>
      </c>
      <c r="W528" s="17">
        <v>0</v>
      </c>
      <c r="X528" s="17">
        <v>0</v>
      </c>
      <c r="Y528" s="17">
        <v>0</v>
      </c>
      <c r="Z528" s="17">
        <v>0</v>
      </c>
      <c r="AA528" s="17">
        <v>0</v>
      </c>
      <c r="AB528" s="17">
        <v>0</v>
      </c>
      <c r="AC528" s="17">
        <v>0</v>
      </c>
      <c r="AD528" s="17">
        <v>0</v>
      </c>
      <c r="AE528" s="17">
        <v>0</v>
      </c>
      <c r="AF528" s="17">
        <v>0</v>
      </c>
      <c r="AG528" s="17">
        <v>0</v>
      </c>
      <c r="AH528" s="17">
        <v>0</v>
      </c>
      <c r="AI528" s="17">
        <v>0</v>
      </c>
      <c r="AJ528" s="17">
        <v>0</v>
      </c>
      <c r="AK528" s="17">
        <v>0</v>
      </c>
      <c r="AL528" s="17">
        <v>0</v>
      </c>
      <c r="AM528" s="17">
        <v>0</v>
      </c>
      <c r="AN528" s="17">
        <v>0</v>
      </c>
      <c r="AO528" s="17">
        <v>0</v>
      </c>
      <c r="AP528" s="17">
        <v>0</v>
      </c>
      <c r="AQ528" s="17">
        <v>0</v>
      </c>
      <c r="AR528" s="17">
        <v>0</v>
      </c>
      <c r="AS528" s="17">
        <v>0</v>
      </c>
      <c r="AT528" s="17">
        <v>0</v>
      </c>
      <c r="AU528" s="17">
        <v>0</v>
      </c>
      <c r="AV528" s="17">
        <v>0</v>
      </c>
      <c r="AW528" s="17">
        <v>0</v>
      </c>
      <c r="AX528" s="17">
        <v>0</v>
      </c>
      <c r="AY528" s="17">
        <v>0</v>
      </c>
      <c r="AZ528" s="17">
        <v>0</v>
      </c>
      <c r="BA528" s="17">
        <v>0</v>
      </c>
      <c r="BB528" s="17">
        <v>0</v>
      </c>
      <c r="BC528" s="17">
        <v>0</v>
      </c>
      <c r="BD528" s="17">
        <v>0</v>
      </c>
      <c r="BE528" s="17">
        <v>0</v>
      </c>
      <c r="BF528" s="17">
        <v>0</v>
      </c>
      <c r="BG528" s="17">
        <v>0</v>
      </c>
      <c r="BH528" s="17">
        <v>0</v>
      </c>
      <c r="BI528" s="22">
        <f t="shared" si="129"/>
        <v>0</v>
      </c>
      <c r="BJ528" s="22">
        <f t="shared" si="130"/>
        <v>0</v>
      </c>
      <c r="BK528" s="22">
        <f t="shared" si="131"/>
        <v>1</v>
      </c>
      <c r="BL528" s="22">
        <f t="shared" si="132"/>
        <v>1</v>
      </c>
      <c r="BM528" s="22">
        <f t="shared" si="134"/>
        <v>0</v>
      </c>
      <c r="BN528" s="23">
        <f t="shared" si="137"/>
        <v>1</v>
      </c>
      <c r="BO528" s="23" t="e">
        <f t="shared" si="137"/>
        <v>#DIV/0!</v>
      </c>
      <c r="BP528" s="7">
        <f>VLOOKUP(A528,[1]Sheet15!B:E,4,0)</f>
        <v>1</v>
      </c>
      <c r="BQ528" s="7">
        <f>VLOOKUP(A528,[1]Sheet15!B:E,3,0)</f>
        <v>0</v>
      </c>
    </row>
    <row r="529" spans="1:69" ht="22.5" customHeight="1" x14ac:dyDescent="0.25">
      <c r="A529" s="15" t="s">
        <v>1282</v>
      </c>
      <c r="B529" s="15">
        <f>VLOOKUP(A529,'[1]Master clients'!F513:W4060,17,0)</f>
        <v>0</v>
      </c>
      <c r="C529" s="15" t="str">
        <f>VLOOKUP(A529,'[1]Master clients'!F513:P4060,11,0)</f>
        <v>NI</v>
      </c>
      <c r="D529" s="15" t="str">
        <f>VLOOKUP(A529,'[1]Master clients'!F:M,8,0)</f>
        <v>End User</v>
      </c>
      <c r="E529" s="16" t="s">
        <v>1283</v>
      </c>
      <c r="F529" s="16" t="s">
        <v>1281</v>
      </c>
      <c r="G529" s="17"/>
      <c r="H529" s="17"/>
      <c r="I529" s="26">
        <v>4</v>
      </c>
      <c r="J529" s="31">
        <v>0</v>
      </c>
      <c r="K529" s="17">
        <v>0</v>
      </c>
      <c r="L529" s="17">
        <v>0</v>
      </c>
      <c r="M529" s="17">
        <v>0</v>
      </c>
      <c r="N529" s="17">
        <v>0</v>
      </c>
      <c r="O529" s="17">
        <v>0</v>
      </c>
      <c r="P529" s="17">
        <v>0</v>
      </c>
      <c r="Q529" s="17">
        <v>0</v>
      </c>
      <c r="R529" s="17">
        <v>0</v>
      </c>
      <c r="S529" s="17">
        <v>0</v>
      </c>
      <c r="T529" s="17">
        <v>0</v>
      </c>
      <c r="U529" s="17">
        <v>0</v>
      </c>
      <c r="V529" s="17">
        <v>0</v>
      </c>
      <c r="W529" s="17">
        <v>0</v>
      </c>
      <c r="X529" s="17">
        <v>0</v>
      </c>
      <c r="Y529" s="17">
        <v>0</v>
      </c>
      <c r="Z529" s="17">
        <v>0</v>
      </c>
      <c r="AA529" s="17">
        <v>0</v>
      </c>
      <c r="AB529" s="17">
        <v>0</v>
      </c>
      <c r="AC529" s="17">
        <v>0</v>
      </c>
      <c r="AD529" s="17">
        <v>0</v>
      </c>
      <c r="AE529" s="17">
        <v>0</v>
      </c>
      <c r="AF529" s="17">
        <v>0</v>
      </c>
      <c r="AG529" s="17">
        <v>0</v>
      </c>
      <c r="AH529" s="17">
        <v>0</v>
      </c>
      <c r="AI529" s="17">
        <v>0</v>
      </c>
      <c r="AJ529" s="17">
        <v>0</v>
      </c>
      <c r="AK529" s="17">
        <v>0</v>
      </c>
      <c r="AL529" s="17">
        <v>0</v>
      </c>
      <c r="AM529" s="17">
        <v>0</v>
      </c>
      <c r="AN529" s="17">
        <v>0</v>
      </c>
      <c r="AO529" s="17">
        <v>0</v>
      </c>
      <c r="AP529" s="17">
        <v>0</v>
      </c>
      <c r="AQ529" s="17">
        <v>0</v>
      </c>
      <c r="AR529" s="17">
        <v>0</v>
      </c>
      <c r="AS529" s="17">
        <v>0</v>
      </c>
      <c r="AT529" s="17">
        <v>0</v>
      </c>
      <c r="AU529" s="17">
        <v>0</v>
      </c>
      <c r="AV529" s="17">
        <v>0</v>
      </c>
      <c r="AW529" s="17">
        <v>0</v>
      </c>
      <c r="AX529" s="17">
        <v>0</v>
      </c>
      <c r="AY529" s="17">
        <v>0</v>
      </c>
      <c r="AZ529" s="17">
        <v>0</v>
      </c>
      <c r="BA529" s="17">
        <v>0</v>
      </c>
      <c r="BB529" s="17">
        <v>0</v>
      </c>
      <c r="BC529" s="17">
        <v>0</v>
      </c>
      <c r="BD529" s="17">
        <v>0</v>
      </c>
      <c r="BE529" s="17">
        <v>0</v>
      </c>
      <c r="BF529" s="17">
        <v>0</v>
      </c>
      <c r="BG529" s="17">
        <v>0</v>
      </c>
      <c r="BH529" s="17">
        <v>0</v>
      </c>
      <c r="BI529" s="22">
        <f t="shared" si="129"/>
        <v>0</v>
      </c>
      <c r="BJ529" s="22">
        <f t="shared" si="130"/>
        <v>0</v>
      </c>
      <c r="BK529" s="22">
        <f t="shared" si="131"/>
        <v>4</v>
      </c>
      <c r="BL529" s="22">
        <f t="shared" si="132"/>
        <v>4</v>
      </c>
      <c r="BM529" s="22">
        <f t="shared" si="134"/>
        <v>0</v>
      </c>
      <c r="BN529" s="23">
        <f t="shared" si="137"/>
        <v>1</v>
      </c>
      <c r="BO529" s="23" t="e">
        <f t="shared" si="137"/>
        <v>#DIV/0!</v>
      </c>
      <c r="BP529" s="7">
        <f>VLOOKUP(A529,[1]Sheet15!B:E,4,0)</f>
        <v>4</v>
      </c>
      <c r="BQ529" s="7">
        <f>VLOOKUP(A529,[1]Sheet15!B:E,3,0)</f>
        <v>0</v>
      </c>
    </row>
    <row r="530" spans="1:69" ht="22.5" customHeight="1" x14ac:dyDescent="0.25">
      <c r="A530" s="15" t="s">
        <v>1284</v>
      </c>
      <c r="B530" s="15">
        <f>VLOOKUP(A530,'[1]Master clients'!F514:W4061,17,0)</f>
        <v>0</v>
      </c>
      <c r="C530" s="15" t="str">
        <f>VLOOKUP(A530,'[1]Master clients'!F514:P4061,11,0)</f>
        <v>NI</v>
      </c>
      <c r="D530" s="15" t="str">
        <f>VLOOKUP(A530,'[1]Master clients'!F:M,8,0)</f>
        <v>End User</v>
      </c>
      <c r="E530" s="16" t="s">
        <v>1285</v>
      </c>
      <c r="F530" s="16" t="s">
        <v>1281</v>
      </c>
      <c r="G530" s="17"/>
      <c r="H530" s="17"/>
      <c r="I530" s="26">
        <v>1</v>
      </c>
      <c r="J530" s="31">
        <v>0</v>
      </c>
      <c r="K530" s="17">
        <v>0</v>
      </c>
      <c r="L530" s="17">
        <v>0</v>
      </c>
      <c r="M530" s="17">
        <v>0</v>
      </c>
      <c r="N530" s="17">
        <v>0</v>
      </c>
      <c r="O530" s="17">
        <v>0</v>
      </c>
      <c r="P530" s="17">
        <v>0</v>
      </c>
      <c r="Q530" s="17">
        <v>0</v>
      </c>
      <c r="R530" s="17">
        <v>0</v>
      </c>
      <c r="S530" s="17">
        <v>0</v>
      </c>
      <c r="T530" s="17">
        <v>0</v>
      </c>
      <c r="U530" s="17">
        <v>0</v>
      </c>
      <c r="V530" s="17">
        <v>0</v>
      </c>
      <c r="W530" s="17">
        <v>0</v>
      </c>
      <c r="X530" s="17">
        <v>0</v>
      </c>
      <c r="Y530" s="17">
        <v>0</v>
      </c>
      <c r="Z530" s="17">
        <v>0</v>
      </c>
      <c r="AA530" s="17">
        <v>0</v>
      </c>
      <c r="AB530" s="17">
        <v>0</v>
      </c>
      <c r="AC530" s="17">
        <v>0</v>
      </c>
      <c r="AD530" s="17">
        <v>0</v>
      </c>
      <c r="AE530" s="17">
        <v>0</v>
      </c>
      <c r="AF530" s="17">
        <v>0</v>
      </c>
      <c r="AG530" s="17">
        <v>0</v>
      </c>
      <c r="AH530" s="17">
        <v>0</v>
      </c>
      <c r="AI530" s="17">
        <v>0</v>
      </c>
      <c r="AJ530" s="17">
        <v>0</v>
      </c>
      <c r="AK530" s="17">
        <v>0</v>
      </c>
      <c r="AL530" s="17">
        <v>0</v>
      </c>
      <c r="AM530" s="17">
        <v>0</v>
      </c>
      <c r="AN530" s="17">
        <v>0</v>
      </c>
      <c r="AO530" s="17">
        <v>0</v>
      </c>
      <c r="AP530" s="17">
        <v>0</v>
      </c>
      <c r="AQ530" s="17">
        <v>0</v>
      </c>
      <c r="AR530" s="17">
        <v>0</v>
      </c>
      <c r="AS530" s="17">
        <v>0</v>
      </c>
      <c r="AT530" s="17">
        <v>0</v>
      </c>
      <c r="AU530" s="17">
        <v>0</v>
      </c>
      <c r="AV530" s="17">
        <v>0</v>
      </c>
      <c r="AW530" s="17">
        <v>0</v>
      </c>
      <c r="AX530" s="17">
        <v>0</v>
      </c>
      <c r="AY530" s="17">
        <v>0</v>
      </c>
      <c r="AZ530" s="17">
        <v>0</v>
      </c>
      <c r="BA530" s="17">
        <v>0</v>
      </c>
      <c r="BB530" s="17">
        <v>0</v>
      </c>
      <c r="BC530" s="17">
        <v>0</v>
      </c>
      <c r="BD530" s="17">
        <v>0</v>
      </c>
      <c r="BE530" s="17">
        <v>0</v>
      </c>
      <c r="BF530" s="17">
        <v>0</v>
      </c>
      <c r="BG530" s="17">
        <v>0</v>
      </c>
      <c r="BH530" s="17">
        <v>0</v>
      </c>
      <c r="BI530" s="22">
        <f t="shared" si="129"/>
        <v>0</v>
      </c>
      <c r="BJ530" s="22">
        <f t="shared" si="130"/>
        <v>0</v>
      </c>
      <c r="BK530" s="22">
        <f t="shared" si="131"/>
        <v>1</v>
      </c>
      <c r="BL530" s="22">
        <f t="shared" si="132"/>
        <v>1</v>
      </c>
      <c r="BM530" s="22">
        <f t="shared" si="134"/>
        <v>0</v>
      </c>
      <c r="BN530" s="23">
        <f t="shared" si="137"/>
        <v>1</v>
      </c>
      <c r="BO530" s="23" t="e">
        <f t="shared" si="137"/>
        <v>#DIV/0!</v>
      </c>
      <c r="BP530" s="7">
        <f>VLOOKUP(A530,[1]Sheet15!B:E,4,0)</f>
        <v>1</v>
      </c>
      <c r="BQ530" s="7">
        <f>VLOOKUP(A530,[1]Sheet15!B:E,3,0)</f>
        <v>0</v>
      </c>
    </row>
    <row r="531" spans="1:69" ht="22.5" customHeight="1" x14ac:dyDescent="0.25">
      <c r="A531" s="15" t="s">
        <v>1286</v>
      </c>
      <c r="B531" s="15">
        <f>VLOOKUP(A531,'[1]Master clients'!F515:W4062,17,0)</f>
        <v>0</v>
      </c>
      <c r="C531" s="15" t="str">
        <f>VLOOKUP(A531,'[1]Master clients'!F515:P4062,11,0)</f>
        <v>NI</v>
      </c>
      <c r="D531" s="15" t="str">
        <f>VLOOKUP(A531,'[1]Master clients'!F:M,8,0)</f>
        <v>End User</v>
      </c>
      <c r="E531" s="16" t="s">
        <v>1287</v>
      </c>
      <c r="F531" s="16" t="s">
        <v>1281</v>
      </c>
      <c r="G531" s="17"/>
      <c r="H531" s="17"/>
      <c r="I531" s="31">
        <v>0</v>
      </c>
      <c r="J531" s="31">
        <v>0</v>
      </c>
      <c r="K531" s="17">
        <v>0</v>
      </c>
      <c r="L531" s="17">
        <v>0</v>
      </c>
      <c r="M531" s="17">
        <v>0</v>
      </c>
      <c r="N531" s="17">
        <v>0</v>
      </c>
      <c r="O531" s="17">
        <v>0</v>
      </c>
      <c r="P531" s="17">
        <v>0</v>
      </c>
      <c r="Q531" s="17">
        <v>0</v>
      </c>
      <c r="R531" s="17">
        <v>0</v>
      </c>
      <c r="S531" s="17">
        <v>0</v>
      </c>
      <c r="T531" s="17">
        <v>0</v>
      </c>
      <c r="U531" s="17">
        <v>0</v>
      </c>
      <c r="V531" s="17">
        <v>0</v>
      </c>
      <c r="W531" s="17">
        <v>0</v>
      </c>
      <c r="X531" s="17">
        <v>0</v>
      </c>
      <c r="Y531" s="17">
        <v>0</v>
      </c>
      <c r="Z531" s="17">
        <v>0</v>
      </c>
      <c r="AA531" s="17">
        <v>0</v>
      </c>
      <c r="AB531" s="17">
        <v>0</v>
      </c>
      <c r="AC531" s="17">
        <v>0</v>
      </c>
      <c r="AD531" s="17">
        <v>0</v>
      </c>
      <c r="AE531" s="17">
        <v>0</v>
      </c>
      <c r="AF531" s="17">
        <v>0</v>
      </c>
      <c r="AG531" s="17">
        <v>0</v>
      </c>
      <c r="AH531" s="17">
        <v>0</v>
      </c>
      <c r="AI531" s="17">
        <v>0</v>
      </c>
      <c r="AJ531" s="17">
        <v>0</v>
      </c>
      <c r="AK531" s="17">
        <v>0</v>
      </c>
      <c r="AL531" s="17">
        <v>0</v>
      </c>
      <c r="AM531" s="17">
        <v>0</v>
      </c>
      <c r="AN531" s="17">
        <v>0</v>
      </c>
      <c r="AO531" s="17">
        <v>0</v>
      </c>
      <c r="AP531" s="17">
        <v>0</v>
      </c>
      <c r="AQ531" s="17">
        <v>0</v>
      </c>
      <c r="AR531" s="17">
        <v>0</v>
      </c>
      <c r="AS531" s="17">
        <v>0</v>
      </c>
      <c r="AT531" s="17">
        <v>0</v>
      </c>
      <c r="AU531" s="17">
        <v>0</v>
      </c>
      <c r="AV531" s="17">
        <v>0</v>
      </c>
      <c r="AW531" s="17">
        <v>0</v>
      </c>
      <c r="AX531" s="17">
        <v>0</v>
      </c>
      <c r="AY531" s="17">
        <v>0</v>
      </c>
      <c r="AZ531" s="17">
        <v>0</v>
      </c>
      <c r="BA531" s="17">
        <v>0</v>
      </c>
      <c r="BB531" s="17">
        <v>0</v>
      </c>
      <c r="BC531" s="17">
        <v>0</v>
      </c>
      <c r="BD531" s="17">
        <v>0</v>
      </c>
      <c r="BE531" s="17">
        <v>0</v>
      </c>
      <c r="BF531" s="17">
        <v>0</v>
      </c>
      <c r="BG531" s="17">
        <v>0</v>
      </c>
      <c r="BH531" s="17">
        <v>0</v>
      </c>
      <c r="BI531" s="22">
        <f t="shared" si="129"/>
        <v>0</v>
      </c>
      <c r="BJ531" s="22">
        <f t="shared" si="130"/>
        <v>0</v>
      </c>
      <c r="BK531" s="22">
        <f t="shared" si="131"/>
        <v>0</v>
      </c>
      <c r="BL531" s="22">
        <f t="shared" si="132"/>
        <v>0</v>
      </c>
      <c r="BM531" s="22">
        <f t="shared" si="134"/>
        <v>0</v>
      </c>
      <c r="BN531" s="23" t="e">
        <f t="shared" si="137"/>
        <v>#DIV/0!</v>
      </c>
      <c r="BO531" s="23" t="e">
        <f t="shared" si="137"/>
        <v>#DIV/0!</v>
      </c>
      <c r="BP531" s="7" t="e">
        <f>VLOOKUP(A531,[1]Sheet15!B:E,4,0)</f>
        <v>#N/A</v>
      </c>
      <c r="BQ531" s="7" t="e">
        <f>VLOOKUP(A531,[1]Sheet15!B:E,3,0)</f>
        <v>#N/A</v>
      </c>
    </row>
    <row r="532" spans="1:69" ht="22.5" customHeight="1" x14ac:dyDescent="0.25">
      <c r="A532" s="15" t="s">
        <v>1288</v>
      </c>
      <c r="B532" s="15" t="e">
        <f>VLOOKUP(A532,'[1]Master clients'!F516:W4063,17,0)</f>
        <v>#N/A</v>
      </c>
      <c r="C532" s="15" t="e">
        <f>VLOOKUP(A532,'[1]Master clients'!F516:P4063,11,0)</f>
        <v>#N/A</v>
      </c>
      <c r="D532" s="15" t="str">
        <f>VLOOKUP(A532,'[1]Master clients'!F:M,8,0)</f>
        <v>End User</v>
      </c>
      <c r="E532" s="16" t="s">
        <v>1289</v>
      </c>
      <c r="F532" s="16" t="s">
        <v>1290</v>
      </c>
      <c r="G532" s="17"/>
      <c r="H532" s="17"/>
      <c r="I532" s="26">
        <v>4</v>
      </c>
      <c r="J532" s="31">
        <v>0</v>
      </c>
      <c r="K532" s="17">
        <v>0</v>
      </c>
      <c r="L532" s="17">
        <v>0</v>
      </c>
      <c r="M532" s="17">
        <v>0</v>
      </c>
      <c r="N532" s="17">
        <v>0</v>
      </c>
      <c r="O532" s="17">
        <v>0</v>
      </c>
      <c r="P532" s="17">
        <v>0</v>
      </c>
      <c r="Q532" s="17">
        <v>0</v>
      </c>
      <c r="R532" s="17">
        <v>0</v>
      </c>
      <c r="S532" s="17">
        <v>0</v>
      </c>
      <c r="T532" s="17">
        <v>0</v>
      </c>
      <c r="U532" s="17">
        <v>0</v>
      </c>
      <c r="V532" s="17">
        <v>0</v>
      </c>
      <c r="W532" s="17">
        <v>0</v>
      </c>
      <c r="X532" s="17">
        <v>0</v>
      </c>
      <c r="Y532" s="17">
        <v>0</v>
      </c>
      <c r="Z532" s="17">
        <v>0</v>
      </c>
      <c r="AA532" s="17">
        <v>0</v>
      </c>
      <c r="AB532" s="17">
        <v>0</v>
      </c>
      <c r="AC532" s="17">
        <v>0</v>
      </c>
      <c r="AD532" s="17">
        <v>0</v>
      </c>
      <c r="AE532" s="17">
        <v>0</v>
      </c>
      <c r="AF532" s="17">
        <v>0</v>
      </c>
      <c r="AG532" s="17">
        <v>0</v>
      </c>
      <c r="AH532" s="17">
        <v>0</v>
      </c>
      <c r="AI532" s="17">
        <v>0</v>
      </c>
      <c r="AJ532" s="17">
        <v>0</v>
      </c>
      <c r="AK532" s="17">
        <v>0</v>
      </c>
      <c r="AL532" s="17">
        <v>0</v>
      </c>
      <c r="AM532" s="17">
        <v>0</v>
      </c>
      <c r="AN532" s="17">
        <v>0</v>
      </c>
      <c r="AO532" s="17">
        <v>0</v>
      </c>
      <c r="AP532" s="17">
        <v>0</v>
      </c>
      <c r="AQ532" s="17">
        <v>0</v>
      </c>
      <c r="AR532" s="17">
        <v>0</v>
      </c>
      <c r="AS532" s="17">
        <v>0</v>
      </c>
      <c r="AT532" s="17">
        <v>0</v>
      </c>
      <c r="AU532" s="17">
        <v>0</v>
      </c>
      <c r="AV532" s="17">
        <v>0</v>
      </c>
      <c r="AW532" s="17">
        <v>0</v>
      </c>
      <c r="AX532" s="17">
        <v>0</v>
      </c>
      <c r="AY532" s="17">
        <v>0</v>
      </c>
      <c r="AZ532" s="17">
        <v>0</v>
      </c>
      <c r="BA532" s="17">
        <v>0</v>
      </c>
      <c r="BB532" s="17">
        <v>0</v>
      </c>
      <c r="BC532" s="17">
        <v>0</v>
      </c>
      <c r="BD532" s="17">
        <v>0</v>
      </c>
      <c r="BE532" s="17">
        <v>0</v>
      </c>
      <c r="BF532" s="17">
        <v>0</v>
      </c>
      <c r="BG532" s="17">
        <v>0</v>
      </c>
      <c r="BH532" s="17">
        <v>0</v>
      </c>
      <c r="BI532" s="22">
        <f t="shared" si="129"/>
        <v>0</v>
      </c>
      <c r="BJ532" s="22">
        <f t="shared" si="130"/>
        <v>0</v>
      </c>
      <c r="BK532" s="22">
        <f t="shared" si="131"/>
        <v>4</v>
      </c>
      <c r="BL532" s="22">
        <f t="shared" si="132"/>
        <v>4</v>
      </c>
      <c r="BM532" s="22">
        <f t="shared" si="134"/>
        <v>0</v>
      </c>
      <c r="BN532" s="23">
        <f t="shared" si="137"/>
        <v>1</v>
      </c>
      <c r="BO532" s="23" t="e">
        <f t="shared" si="137"/>
        <v>#DIV/0!</v>
      </c>
      <c r="BP532" s="7">
        <f>VLOOKUP(A532,[1]Sheet15!B:E,4,0)</f>
        <v>4</v>
      </c>
      <c r="BQ532" s="7">
        <f>VLOOKUP(A532,[1]Sheet15!B:E,3,0)</f>
        <v>0</v>
      </c>
    </row>
    <row r="533" spans="1:69" ht="22.5" customHeight="1" x14ac:dyDescent="0.25">
      <c r="A533" s="15" t="s">
        <v>1291</v>
      </c>
      <c r="B533" s="15">
        <f>VLOOKUP(A533,'[1]Master clients'!F517:W4064,17,0)</f>
        <v>0</v>
      </c>
      <c r="C533" s="15" t="str">
        <f>VLOOKUP(A533,'[1]Master clients'!F517:P4064,11,0)</f>
        <v>NI</v>
      </c>
      <c r="D533" s="15" t="str">
        <f>VLOOKUP(A533,'[1]Master clients'!F:M,8,0)</f>
        <v>End User</v>
      </c>
      <c r="E533" s="16" t="s">
        <v>1292</v>
      </c>
      <c r="F533" s="16" t="s">
        <v>1290</v>
      </c>
      <c r="G533" s="17"/>
      <c r="H533" s="17"/>
      <c r="I533" s="31">
        <v>0</v>
      </c>
      <c r="J533" s="31">
        <v>0</v>
      </c>
      <c r="K533" s="17">
        <v>0</v>
      </c>
      <c r="L533" s="17">
        <v>0</v>
      </c>
      <c r="M533" s="17">
        <v>0</v>
      </c>
      <c r="N533" s="17">
        <v>0</v>
      </c>
      <c r="O533" s="17">
        <v>0</v>
      </c>
      <c r="P533" s="17">
        <v>0</v>
      </c>
      <c r="Q533" s="17">
        <v>0</v>
      </c>
      <c r="R533" s="17">
        <v>0</v>
      </c>
      <c r="S533" s="17">
        <v>0</v>
      </c>
      <c r="T533" s="17">
        <v>0</v>
      </c>
      <c r="U533" s="17">
        <v>0</v>
      </c>
      <c r="V533" s="17">
        <v>0</v>
      </c>
      <c r="W533" s="17">
        <v>0</v>
      </c>
      <c r="X533" s="17">
        <v>0</v>
      </c>
      <c r="Y533" s="17">
        <v>0</v>
      </c>
      <c r="Z533" s="17">
        <v>0</v>
      </c>
      <c r="AA533" s="17">
        <v>0</v>
      </c>
      <c r="AB533" s="17">
        <v>0</v>
      </c>
      <c r="AC533" s="17">
        <v>0</v>
      </c>
      <c r="AD533" s="17">
        <v>0</v>
      </c>
      <c r="AE533" s="17">
        <v>0</v>
      </c>
      <c r="AF533" s="17">
        <v>0</v>
      </c>
      <c r="AG533" s="17">
        <v>0</v>
      </c>
      <c r="AH533" s="17">
        <v>0</v>
      </c>
      <c r="AI533" s="17">
        <v>0</v>
      </c>
      <c r="AJ533" s="17">
        <v>0</v>
      </c>
      <c r="AK533" s="17">
        <v>0</v>
      </c>
      <c r="AL533" s="17">
        <v>0</v>
      </c>
      <c r="AM533" s="17">
        <v>0</v>
      </c>
      <c r="AN533" s="17">
        <v>0</v>
      </c>
      <c r="AO533" s="17">
        <v>0</v>
      </c>
      <c r="AP533" s="17">
        <v>0</v>
      </c>
      <c r="AQ533" s="17">
        <v>0</v>
      </c>
      <c r="AR533" s="17">
        <v>0</v>
      </c>
      <c r="AS533" s="17">
        <v>0</v>
      </c>
      <c r="AT533" s="17">
        <v>0</v>
      </c>
      <c r="AU533" s="17">
        <v>0</v>
      </c>
      <c r="AV533" s="17">
        <v>0</v>
      </c>
      <c r="AW533" s="17">
        <v>0</v>
      </c>
      <c r="AX533" s="17">
        <v>0</v>
      </c>
      <c r="AY533" s="17">
        <v>0</v>
      </c>
      <c r="AZ533" s="17">
        <v>0</v>
      </c>
      <c r="BA533" s="17">
        <v>0</v>
      </c>
      <c r="BB533" s="17">
        <v>0</v>
      </c>
      <c r="BC533" s="17">
        <v>0</v>
      </c>
      <c r="BD533" s="17">
        <v>0</v>
      </c>
      <c r="BE533" s="17">
        <v>0</v>
      </c>
      <c r="BF533" s="17">
        <v>0</v>
      </c>
      <c r="BG533" s="17">
        <v>0</v>
      </c>
      <c r="BH533" s="17">
        <v>0</v>
      </c>
      <c r="BI533" s="22">
        <f t="shared" si="129"/>
        <v>0</v>
      </c>
      <c r="BJ533" s="22">
        <f t="shared" si="130"/>
        <v>0</v>
      </c>
      <c r="BK533" s="22">
        <f t="shared" si="131"/>
        <v>0</v>
      </c>
      <c r="BL533" s="22">
        <f t="shared" si="132"/>
        <v>0</v>
      </c>
      <c r="BM533" s="22">
        <f t="shared" si="134"/>
        <v>0</v>
      </c>
      <c r="BN533" s="23" t="e">
        <f t="shared" ref="BN533:BO548" si="138">I533/BL533</f>
        <v>#DIV/0!</v>
      </c>
      <c r="BO533" s="23" t="e">
        <f t="shared" si="138"/>
        <v>#DIV/0!</v>
      </c>
      <c r="BP533" s="7" t="e">
        <f>VLOOKUP(A533,[1]Sheet15!B:E,4,0)</f>
        <v>#N/A</v>
      </c>
      <c r="BQ533" s="7" t="e">
        <f>VLOOKUP(A533,[1]Sheet15!B:E,3,0)</f>
        <v>#N/A</v>
      </c>
    </row>
    <row r="534" spans="1:69" ht="22.5" customHeight="1" x14ac:dyDescent="0.25">
      <c r="A534" s="15" t="s">
        <v>1293</v>
      </c>
      <c r="B534" s="15">
        <f>VLOOKUP(A534,'[1]Master clients'!F518:W4065,17,0)</f>
        <v>0</v>
      </c>
      <c r="C534" s="15" t="str">
        <f>VLOOKUP(A534,'[1]Master clients'!F518:P4065,11,0)</f>
        <v>NI</v>
      </c>
      <c r="D534" s="15" t="str">
        <f>VLOOKUP(A534,'[1]Master clients'!F:M,8,0)</f>
        <v>End User</v>
      </c>
      <c r="E534" s="24" t="s">
        <v>1294</v>
      </c>
      <c r="F534" s="25" t="s">
        <v>1290</v>
      </c>
      <c r="G534" s="20">
        <v>14</v>
      </c>
      <c r="H534" s="20">
        <v>1</v>
      </c>
      <c r="I534" s="26">
        <v>9</v>
      </c>
      <c r="J534" s="26">
        <v>1</v>
      </c>
      <c r="K534" s="20">
        <v>0</v>
      </c>
      <c r="L534" s="20">
        <v>0</v>
      </c>
      <c r="M534" s="20">
        <v>0</v>
      </c>
      <c r="N534" s="20">
        <v>6</v>
      </c>
      <c r="O534" s="20">
        <v>0</v>
      </c>
      <c r="P534" s="20">
        <v>0</v>
      </c>
      <c r="Q534" s="20">
        <v>0</v>
      </c>
      <c r="R534" s="20">
        <v>0</v>
      </c>
      <c r="S534" s="20">
        <v>0</v>
      </c>
      <c r="T534" s="20">
        <v>1</v>
      </c>
      <c r="U534" s="20">
        <v>0</v>
      </c>
      <c r="V534" s="20">
        <v>0</v>
      </c>
      <c r="W534" s="20">
        <v>0</v>
      </c>
      <c r="X534" s="20">
        <v>0</v>
      </c>
      <c r="Y534" s="20">
        <v>0</v>
      </c>
      <c r="Z534" s="20">
        <v>0</v>
      </c>
      <c r="AA534" s="20">
        <v>0</v>
      </c>
      <c r="AB534" s="20">
        <v>0</v>
      </c>
      <c r="AC534" s="20">
        <v>0</v>
      </c>
      <c r="AD534" s="20">
        <v>0</v>
      </c>
      <c r="AE534" s="20">
        <v>0</v>
      </c>
      <c r="AF534" s="20">
        <v>0</v>
      </c>
      <c r="AG534" s="20">
        <v>0</v>
      </c>
      <c r="AH534" s="20">
        <v>0</v>
      </c>
      <c r="AI534" s="20">
        <v>0</v>
      </c>
      <c r="AJ534" s="20">
        <v>0</v>
      </c>
      <c r="AK534" s="20">
        <v>0</v>
      </c>
      <c r="AL534" s="20">
        <v>0</v>
      </c>
      <c r="AM534" s="20">
        <v>0</v>
      </c>
      <c r="AN534" s="20">
        <v>0</v>
      </c>
      <c r="AO534" s="20">
        <v>0</v>
      </c>
      <c r="AP534" s="20">
        <v>0</v>
      </c>
      <c r="AQ534" s="20">
        <v>0</v>
      </c>
      <c r="AR534" s="20">
        <v>0</v>
      </c>
      <c r="AS534" s="20">
        <v>0</v>
      </c>
      <c r="AT534" s="20">
        <v>0</v>
      </c>
      <c r="AU534" s="20">
        <v>0</v>
      </c>
      <c r="AV534" s="20">
        <v>0</v>
      </c>
      <c r="AW534" s="20">
        <v>0</v>
      </c>
      <c r="AX534" s="20">
        <v>0</v>
      </c>
      <c r="AY534" s="20">
        <v>0</v>
      </c>
      <c r="AZ534" s="20">
        <v>0</v>
      </c>
      <c r="BA534" s="20">
        <v>0</v>
      </c>
      <c r="BB534" s="27">
        <v>0</v>
      </c>
      <c r="BC534" s="20">
        <v>0</v>
      </c>
      <c r="BD534" s="20">
        <v>0</v>
      </c>
      <c r="BE534" s="21">
        <v>0</v>
      </c>
      <c r="BF534" s="21">
        <v>0</v>
      </c>
      <c r="BG534" s="20">
        <v>0</v>
      </c>
      <c r="BH534" s="20">
        <v>0</v>
      </c>
      <c r="BI534" s="22">
        <f t="shared" si="129"/>
        <v>1</v>
      </c>
      <c r="BJ534" s="22">
        <f t="shared" si="130"/>
        <v>6</v>
      </c>
      <c r="BK534" s="28">
        <f t="shared" si="131"/>
        <v>17</v>
      </c>
      <c r="BL534" s="22">
        <f t="shared" si="132"/>
        <v>10</v>
      </c>
      <c r="BM534" s="22">
        <f t="shared" si="134"/>
        <v>7</v>
      </c>
      <c r="BN534" s="23">
        <f t="shared" si="138"/>
        <v>0.9</v>
      </c>
      <c r="BO534" s="23">
        <f t="shared" si="138"/>
        <v>0.14285714285714285</v>
      </c>
      <c r="BP534" s="7">
        <f>VLOOKUP(A534,[1]Sheet15!B:E,4,0)</f>
        <v>6</v>
      </c>
      <c r="BQ534" s="7">
        <f>VLOOKUP(A534,[1]Sheet15!B:E,3,0)</f>
        <v>1</v>
      </c>
    </row>
    <row r="535" spans="1:69" ht="22.5" customHeight="1" x14ac:dyDescent="0.25">
      <c r="A535" s="15" t="s">
        <v>1295</v>
      </c>
      <c r="B535" s="15">
        <f>VLOOKUP(A535,'[1]Master clients'!F519:W4066,17,0)</f>
        <v>0</v>
      </c>
      <c r="C535" s="15" t="str">
        <f>VLOOKUP(A535,'[1]Master clients'!F519:P4066,11,0)</f>
        <v>SI-GS</v>
      </c>
      <c r="D535" s="15" t="str">
        <f>VLOOKUP(A535,'[1]Master clients'!F:M,8,0)</f>
        <v>End User</v>
      </c>
      <c r="E535" s="16" t="s">
        <v>1296</v>
      </c>
      <c r="F535" s="16" t="s">
        <v>1297</v>
      </c>
      <c r="G535" s="17"/>
      <c r="H535" s="17"/>
      <c r="I535" s="26">
        <v>2</v>
      </c>
      <c r="J535" s="31">
        <v>0</v>
      </c>
      <c r="K535" s="17">
        <v>0</v>
      </c>
      <c r="L535" s="17">
        <v>0</v>
      </c>
      <c r="M535" s="17">
        <v>0</v>
      </c>
      <c r="N535" s="17">
        <v>0</v>
      </c>
      <c r="O535" s="17">
        <v>0</v>
      </c>
      <c r="P535" s="17">
        <v>0</v>
      </c>
      <c r="Q535" s="17">
        <v>0</v>
      </c>
      <c r="R535" s="17">
        <v>0</v>
      </c>
      <c r="S535" s="17">
        <v>0</v>
      </c>
      <c r="T535" s="17">
        <v>0</v>
      </c>
      <c r="U535" s="17">
        <v>0</v>
      </c>
      <c r="V535" s="17">
        <v>0</v>
      </c>
      <c r="W535" s="17">
        <v>0</v>
      </c>
      <c r="X535" s="17">
        <v>0</v>
      </c>
      <c r="Y535" s="17">
        <v>0</v>
      </c>
      <c r="Z535" s="17">
        <v>0</v>
      </c>
      <c r="AA535" s="17">
        <v>0</v>
      </c>
      <c r="AB535" s="17">
        <v>0</v>
      </c>
      <c r="AC535" s="17">
        <v>0</v>
      </c>
      <c r="AD535" s="17">
        <v>0</v>
      </c>
      <c r="AE535" s="17">
        <v>0</v>
      </c>
      <c r="AF535" s="17">
        <v>0</v>
      </c>
      <c r="AG535" s="17">
        <v>0</v>
      </c>
      <c r="AH535" s="17">
        <v>0</v>
      </c>
      <c r="AI535" s="17">
        <v>0</v>
      </c>
      <c r="AJ535" s="17">
        <v>0</v>
      </c>
      <c r="AK535" s="17">
        <v>0</v>
      </c>
      <c r="AL535" s="17">
        <v>0</v>
      </c>
      <c r="AM535" s="17">
        <v>0</v>
      </c>
      <c r="AN535" s="17">
        <v>0</v>
      </c>
      <c r="AO535" s="17">
        <v>0</v>
      </c>
      <c r="AP535" s="17">
        <v>0</v>
      </c>
      <c r="AQ535" s="17">
        <v>0</v>
      </c>
      <c r="AR535" s="17">
        <v>0</v>
      </c>
      <c r="AS535" s="17">
        <v>0</v>
      </c>
      <c r="AT535" s="17">
        <v>0</v>
      </c>
      <c r="AU535" s="17">
        <v>0</v>
      </c>
      <c r="AV535" s="17">
        <v>0</v>
      </c>
      <c r="AW535" s="17">
        <v>0</v>
      </c>
      <c r="AX535" s="17">
        <v>0</v>
      </c>
      <c r="AY535" s="17">
        <v>0</v>
      </c>
      <c r="AZ535" s="17">
        <v>0</v>
      </c>
      <c r="BA535" s="17">
        <v>0</v>
      </c>
      <c r="BB535" s="17">
        <v>0</v>
      </c>
      <c r="BC535" s="17">
        <v>0</v>
      </c>
      <c r="BD535" s="17">
        <v>0</v>
      </c>
      <c r="BE535" s="17">
        <v>0</v>
      </c>
      <c r="BF535" s="17">
        <v>0</v>
      </c>
      <c r="BG535" s="17">
        <v>0</v>
      </c>
      <c r="BH535" s="17">
        <v>0</v>
      </c>
      <c r="BI535" s="22">
        <f t="shared" si="129"/>
        <v>0</v>
      </c>
      <c r="BJ535" s="22">
        <f t="shared" si="130"/>
        <v>0</v>
      </c>
      <c r="BK535" s="28">
        <f t="shared" si="131"/>
        <v>2</v>
      </c>
      <c r="BL535" s="22">
        <f t="shared" si="132"/>
        <v>2</v>
      </c>
      <c r="BM535" s="22">
        <f t="shared" si="134"/>
        <v>0</v>
      </c>
      <c r="BN535" s="23">
        <f t="shared" si="138"/>
        <v>1</v>
      </c>
      <c r="BO535" s="23" t="e">
        <f t="shared" si="138"/>
        <v>#DIV/0!</v>
      </c>
      <c r="BP535" s="7">
        <f>VLOOKUP(A535,[1]Sheet15!B:E,4,0)</f>
        <v>2</v>
      </c>
      <c r="BQ535" s="7">
        <f>VLOOKUP(A535,[1]Sheet15!B:E,3,0)</f>
        <v>0</v>
      </c>
    </row>
    <row r="536" spans="1:69" ht="22.5" customHeight="1" x14ac:dyDescent="0.25">
      <c r="A536" s="15" t="s">
        <v>1298</v>
      </c>
      <c r="B536" s="15" t="e">
        <f>VLOOKUP(A536,'[1]Master clients'!F520:W4067,17,0)</f>
        <v>#N/A</v>
      </c>
      <c r="C536" s="15" t="e">
        <f>VLOOKUP(A536,'[1]Master clients'!F520:P4067,11,0)</f>
        <v>#N/A</v>
      </c>
      <c r="D536" s="15" t="str">
        <f>VLOOKUP(A536,'[1]Master clients'!F:M,8,0)</f>
        <v>Group (Mills)</v>
      </c>
      <c r="E536" s="24" t="s">
        <v>1299</v>
      </c>
      <c r="F536" s="25" t="s">
        <v>1300</v>
      </c>
      <c r="G536" s="20">
        <v>0</v>
      </c>
      <c r="H536" s="20">
        <v>0</v>
      </c>
      <c r="I536" s="26">
        <v>10</v>
      </c>
      <c r="J536" s="26">
        <v>0</v>
      </c>
      <c r="K536" s="20">
        <v>0</v>
      </c>
      <c r="L536" s="20">
        <v>0</v>
      </c>
      <c r="M536" s="20">
        <v>0</v>
      </c>
      <c r="N536" s="20">
        <v>3</v>
      </c>
      <c r="O536" s="20">
        <v>0</v>
      </c>
      <c r="P536" s="20">
        <v>0</v>
      </c>
      <c r="Q536" s="20">
        <v>3</v>
      </c>
      <c r="R536" s="20">
        <v>0</v>
      </c>
      <c r="S536" s="20">
        <v>0</v>
      </c>
      <c r="T536" s="20">
        <v>0</v>
      </c>
      <c r="U536" s="20">
        <v>0</v>
      </c>
      <c r="V536" s="20">
        <v>0</v>
      </c>
      <c r="W536" s="20">
        <v>0</v>
      </c>
      <c r="X536" s="20">
        <v>0</v>
      </c>
      <c r="Y536" s="20">
        <v>0</v>
      </c>
      <c r="Z536" s="20">
        <v>0</v>
      </c>
      <c r="AA536" s="20">
        <v>0</v>
      </c>
      <c r="AB536" s="20">
        <v>0</v>
      </c>
      <c r="AC536" s="20">
        <v>0</v>
      </c>
      <c r="AD536" s="20">
        <v>0</v>
      </c>
      <c r="AE536" s="20">
        <v>0</v>
      </c>
      <c r="AF536" s="20">
        <v>0</v>
      </c>
      <c r="AG536" s="20">
        <v>0</v>
      </c>
      <c r="AH536" s="20">
        <v>0</v>
      </c>
      <c r="AI536" s="20">
        <v>0</v>
      </c>
      <c r="AJ536" s="20">
        <v>0</v>
      </c>
      <c r="AK536" s="20">
        <v>0</v>
      </c>
      <c r="AL536" s="20">
        <v>0</v>
      </c>
      <c r="AM536" s="20">
        <v>0</v>
      </c>
      <c r="AN536" s="20">
        <v>0</v>
      </c>
      <c r="AO536" s="20">
        <v>0</v>
      </c>
      <c r="AP536" s="20">
        <v>0</v>
      </c>
      <c r="AQ536" s="20">
        <v>0</v>
      </c>
      <c r="AR536" s="20">
        <v>0</v>
      </c>
      <c r="AS536" s="20">
        <v>0</v>
      </c>
      <c r="AT536" s="20">
        <v>0</v>
      </c>
      <c r="AU536" s="20">
        <v>0</v>
      </c>
      <c r="AV536" s="20">
        <v>0</v>
      </c>
      <c r="AW536" s="20">
        <v>0</v>
      </c>
      <c r="AX536" s="20">
        <v>0</v>
      </c>
      <c r="AY536" s="20">
        <v>0</v>
      </c>
      <c r="AZ536" s="20">
        <v>0</v>
      </c>
      <c r="BA536" s="20">
        <v>0</v>
      </c>
      <c r="BB536" s="27">
        <v>0</v>
      </c>
      <c r="BC536" s="20">
        <v>0</v>
      </c>
      <c r="BD536" s="20">
        <v>0</v>
      </c>
      <c r="BE536" s="21">
        <v>0</v>
      </c>
      <c r="BF536" s="21">
        <v>0</v>
      </c>
      <c r="BG536" s="20">
        <v>0</v>
      </c>
      <c r="BH536" s="20">
        <v>0</v>
      </c>
      <c r="BI536" s="22">
        <f t="shared" si="129"/>
        <v>0</v>
      </c>
      <c r="BJ536" s="22">
        <f t="shared" si="130"/>
        <v>6</v>
      </c>
      <c r="BK536" s="28">
        <f t="shared" si="131"/>
        <v>16</v>
      </c>
      <c r="BL536" s="22">
        <f t="shared" si="132"/>
        <v>10</v>
      </c>
      <c r="BM536" s="22">
        <f t="shared" si="134"/>
        <v>6</v>
      </c>
      <c r="BN536" s="23">
        <f t="shared" si="138"/>
        <v>1</v>
      </c>
      <c r="BO536" s="23">
        <f t="shared" si="138"/>
        <v>0</v>
      </c>
      <c r="BP536" s="7">
        <f>VLOOKUP(A536,[1]Sheet15!B:E,4,0)</f>
        <v>7</v>
      </c>
      <c r="BQ536" s="7">
        <f>VLOOKUP(A536,[1]Sheet15!B:E,3,0)</f>
        <v>0</v>
      </c>
    </row>
    <row r="537" spans="1:69" ht="22.5" customHeight="1" x14ac:dyDescent="0.25">
      <c r="A537" s="15" t="s">
        <v>1301</v>
      </c>
      <c r="B537" s="15">
        <f>VLOOKUP(A537,'[1]Master clients'!F521:W4068,17,0)</f>
        <v>0</v>
      </c>
      <c r="C537" s="15" t="str">
        <f>VLOOKUP(A537,'[1]Master clients'!F521:P4068,11,0)</f>
        <v>-</v>
      </c>
      <c r="D537" s="15" t="str">
        <f>VLOOKUP(A537,'[1]Master clients'!F:M,8,0)</f>
        <v>End User</v>
      </c>
      <c r="E537" s="24" t="s">
        <v>1302</v>
      </c>
      <c r="F537" s="25" t="s">
        <v>1303</v>
      </c>
      <c r="G537" s="20">
        <v>0</v>
      </c>
      <c r="H537" s="20">
        <v>0</v>
      </c>
      <c r="I537" s="26">
        <v>7</v>
      </c>
      <c r="J537" s="26">
        <v>0</v>
      </c>
      <c r="K537" s="20">
        <v>2</v>
      </c>
      <c r="L537" s="20">
        <v>0</v>
      </c>
      <c r="M537" s="20">
        <v>0</v>
      </c>
      <c r="N537" s="20">
        <v>0</v>
      </c>
      <c r="O537" s="20">
        <v>0</v>
      </c>
      <c r="P537" s="20">
        <v>0</v>
      </c>
      <c r="Q537" s="20">
        <v>10</v>
      </c>
      <c r="R537" s="20">
        <v>0</v>
      </c>
      <c r="S537" s="20">
        <v>0</v>
      </c>
      <c r="T537" s="20">
        <v>0</v>
      </c>
      <c r="U537" s="20">
        <v>0</v>
      </c>
      <c r="V537" s="20">
        <v>0</v>
      </c>
      <c r="W537" s="20">
        <v>5</v>
      </c>
      <c r="X537" s="20">
        <v>0</v>
      </c>
      <c r="Y537" s="20">
        <v>0</v>
      </c>
      <c r="Z537" s="20">
        <v>0</v>
      </c>
      <c r="AA537" s="20">
        <v>0</v>
      </c>
      <c r="AB537" s="20">
        <v>0</v>
      </c>
      <c r="AC537" s="20">
        <v>0</v>
      </c>
      <c r="AD537" s="20">
        <v>0</v>
      </c>
      <c r="AE537" s="20">
        <v>0</v>
      </c>
      <c r="AF537" s="20">
        <v>0</v>
      </c>
      <c r="AG537" s="20">
        <v>0</v>
      </c>
      <c r="AH537" s="20">
        <v>0</v>
      </c>
      <c r="AI537" s="20">
        <v>0</v>
      </c>
      <c r="AJ537" s="20">
        <v>0</v>
      </c>
      <c r="AK537" s="20">
        <v>0</v>
      </c>
      <c r="AL537" s="20">
        <v>0</v>
      </c>
      <c r="AM537" s="20">
        <v>0</v>
      </c>
      <c r="AN537" s="20">
        <v>0</v>
      </c>
      <c r="AO537" s="20">
        <v>0</v>
      </c>
      <c r="AP537" s="20">
        <v>0</v>
      </c>
      <c r="AQ537" s="20">
        <v>0</v>
      </c>
      <c r="AR537" s="20">
        <v>0</v>
      </c>
      <c r="AS537" s="20">
        <v>0</v>
      </c>
      <c r="AT537" s="20">
        <v>0</v>
      </c>
      <c r="AU537" s="20">
        <v>0</v>
      </c>
      <c r="AV537" s="20">
        <v>0</v>
      </c>
      <c r="AW537" s="20">
        <v>0</v>
      </c>
      <c r="AX537" s="20">
        <v>0</v>
      </c>
      <c r="AY537" s="20">
        <v>0</v>
      </c>
      <c r="AZ537" s="20">
        <v>0</v>
      </c>
      <c r="BA537" s="20">
        <v>0</v>
      </c>
      <c r="BB537" s="27">
        <v>0</v>
      </c>
      <c r="BC537" s="20">
        <v>0</v>
      </c>
      <c r="BD537" s="20">
        <v>0</v>
      </c>
      <c r="BE537" s="21">
        <v>0</v>
      </c>
      <c r="BF537" s="21">
        <v>0</v>
      </c>
      <c r="BG537" s="20">
        <v>0</v>
      </c>
      <c r="BH537" s="20">
        <v>0</v>
      </c>
      <c r="BI537" s="22">
        <f t="shared" si="129"/>
        <v>7</v>
      </c>
      <c r="BJ537" s="22">
        <f t="shared" si="130"/>
        <v>10</v>
      </c>
      <c r="BK537" s="28">
        <f t="shared" si="131"/>
        <v>24</v>
      </c>
      <c r="BL537" s="22">
        <f t="shared" si="132"/>
        <v>14</v>
      </c>
      <c r="BM537" s="22">
        <f t="shared" si="134"/>
        <v>10</v>
      </c>
      <c r="BN537" s="23">
        <f t="shared" si="138"/>
        <v>0.5</v>
      </c>
      <c r="BO537" s="23">
        <f t="shared" si="138"/>
        <v>0</v>
      </c>
      <c r="BP537" s="7">
        <f>VLOOKUP(A537,[1]Sheet15!B:E,4,0)</f>
        <v>2</v>
      </c>
      <c r="BQ537" s="7">
        <f>VLOOKUP(A537,[1]Sheet15!B:E,3,0)</f>
        <v>0</v>
      </c>
    </row>
    <row r="538" spans="1:69" ht="22.5" customHeight="1" x14ac:dyDescent="0.25">
      <c r="A538" s="15" t="s">
        <v>1304</v>
      </c>
      <c r="B538" s="15">
        <f>VLOOKUP(A538,'[1]Master clients'!F522:W4069,17,0)</f>
        <v>0</v>
      </c>
      <c r="C538" s="15" t="str">
        <f>VLOOKUP(A538,'[1]Master clients'!F522:P4069,11,0)</f>
        <v>HO</v>
      </c>
      <c r="D538" s="15" t="str">
        <f>VLOOKUP(A538,'[1]Master clients'!F:M,8,0)</f>
        <v>End User</v>
      </c>
      <c r="E538" s="24" t="s">
        <v>1305</v>
      </c>
      <c r="F538" s="25" t="s">
        <v>1303</v>
      </c>
      <c r="G538" s="20">
        <v>0</v>
      </c>
      <c r="H538" s="20">
        <v>0</v>
      </c>
      <c r="I538" s="26">
        <v>11</v>
      </c>
      <c r="J538" s="26">
        <v>0</v>
      </c>
      <c r="K538" s="20">
        <v>2</v>
      </c>
      <c r="L538" s="20">
        <v>0</v>
      </c>
      <c r="M538" s="20">
        <v>0</v>
      </c>
      <c r="N538" s="20">
        <v>0</v>
      </c>
      <c r="O538" s="20">
        <v>0</v>
      </c>
      <c r="P538" s="20">
        <v>0</v>
      </c>
      <c r="Q538" s="20">
        <v>10</v>
      </c>
      <c r="R538" s="20">
        <v>0</v>
      </c>
      <c r="S538" s="20">
        <v>0</v>
      </c>
      <c r="T538" s="20">
        <v>0</v>
      </c>
      <c r="U538" s="20">
        <v>0</v>
      </c>
      <c r="V538" s="20">
        <v>0</v>
      </c>
      <c r="W538" s="20">
        <v>3</v>
      </c>
      <c r="X538" s="20">
        <v>0</v>
      </c>
      <c r="Y538" s="20">
        <v>0</v>
      </c>
      <c r="Z538" s="20">
        <v>0</v>
      </c>
      <c r="AA538" s="20">
        <v>0</v>
      </c>
      <c r="AB538" s="20">
        <v>0</v>
      </c>
      <c r="AC538" s="20">
        <v>0</v>
      </c>
      <c r="AD538" s="20">
        <v>0</v>
      </c>
      <c r="AE538" s="20">
        <v>0</v>
      </c>
      <c r="AF538" s="20">
        <v>0</v>
      </c>
      <c r="AG538" s="20">
        <v>0</v>
      </c>
      <c r="AH538" s="20">
        <v>0</v>
      </c>
      <c r="AI538" s="20">
        <v>0</v>
      </c>
      <c r="AJ538" s="20">
        <v>0</v>
      </c>
      <c r="AK538" s="20">
        <v>0</v>
      </c>
      <c r="AL538" s="20">
        <v>0</v>
      </c>
      <c r="AM538" s="20">
        <v>0</v>
      </c>
      <c r="AN538" s="20">
        <v>0</v>
      </c>
      <c r="AO538" s="20">
        <v>0</v>
      </c>
      <c r="AP538" s="20">
        <v>0</v>
      </c>
      <c r="AQ538" s="20">
        <v>0</v>
      </c>
      <c r="AR538" s="20">
        <v>0</v>
      </c>
      <c r="AS538" s="20">
        <v>0</v>
      </c>
      <c r="AT538" s="20">
        <v>0</v>
      </c>
      <c r="AU538" s="20">
        <v>0</v>
      </c>
      <c r="AV538" s="20">
        <v>0</v>
      </c>
      <c r="AW538" s="20">
        <v>0</v>
      </c>
      <c r="AX538" s="20">
        <v>0</v>
      </c>
      <c r="AY538" s="20">
        <v>0</v>
      </c>
      <c r="AZ538" s="20">
        <v>0</v>
      </c>
      <c r="BA538" s="20">
        <v>0</v>
      </c>
      <c r="BB538" s="27">
        <v>0</v>
      </c>
      <c r="BC538" s="20">
        <v>0</v>
      </c>
      <c r="BD538" s="20">
        <v>0</v>
      </c>
      <c r="BE538" s="21">
        <v>0</v>
      </c>
      <c r="BF538" s="21">
        <v>0</v>
      </c>
      <c r="BG538" s="20">
        <v>0</v>
      </c>
      <c r="BH538" s="20">
        <v>0</v>
      </c>
      <c r="BI538" s="22">
        <f t="shared" si="129"/>
        <v>5</v>
      </c>
      <c r="BJ538" s="22">
        <f t="shared" si="130"/>
        <v>10</v>
      </c>
      <c r="BK538" s="28">
        <f t="shared" si="131"/>
        <v>26</v>
      </c>
      <c r="BL538" s="22">
        <f t="shared" si="132"/>
        <v>16</v>
      </c>
      <c r="BM538" s="22">
        <f t="shared" si="134"/>
        <v>10</v>
      </c>
      <c r="BN538" s="23">
        <f t="shared" si="138"/>
        <v>0.6875</v>
      </c>
      <c r="BO538" s="23">
        <f t="shared" si="138"/>
        <v>0</v>
      </c>
      <c r="BP538" s="7">
        <f>VLOOKUP(A538,[1]Sheet15!B:E,4,0)</f>
        <v>6</v>
      </c>
      <c r="BQ538" s="7">
        <f>VLOOKUP(A538,[1]Sheet15!B:E,3,0)</f>
        <v>0</v>
      </c>
    </row>
    <row r="539" spans="1:69" ht="22.5" customHeight="1" x14ac:dyDescent="0.25">
      <c r="A539" s="15" t="s">
        <v>1306</v>
      </c>
      <c r="B539" s="15">
        <f>VLOOKUP(A539,'[1]Master clients'!F523:W4070,17,0)</f>
        <v>0</v>
      </c>
      <c r="C539" s="15" t="str">
        <f>VLOOKUP(A539,'[1]Master clients'!F523:P4070,11,0)</f>
        <v>NI</v>
      </c>
      <c r="D539" s="15" t="str">
        <f>VLOOKUP(A539,'[1]Master clients'!F:M,8,0)</f>
        <v>End User</v>
      </c>
      <c r="E539" s="24" t="s">
        <v>1307</v>
      </c>
      <c r="F539" s="25" t="s">
        <v>1308</v>
      </c>
      <c r="G539" s="20">
        <v>0</v>
      </c>
      <c r="H539" s="20">
        <v>0</v>
      </c>
      <c r="I539" s="26">
        <v>7</v>
      </c>
      <c r="J539" s="26">
        <v>0</v>
      </c>
      <c r="K539" s="20">
        <v>0</v>
      </c>
      <c r="L539" s="20">
        <v>0</v>
      </c>
      <c r="M539" s="20">
        <v>0</v>
      </c>
      <c r="N539" s="20">
        <v>0</v>
      </c>
      <c r="O539" s="20">
        <v>0</v>
      </c>
      <c r="P539" s="20">
        <v>0</v>
      </c>
      <c r="Q539" s="20">
        <v>0</v>
      </c>
      <c r="R539" s="20">
        <v>0</v>
      </c>
      <c r="S539" s="20">
        <v>0</v>
      </c>
      <c r="T539" s="20">
        <v>0</v>
      </c>
      <c r="U539" s="20">
        <v>0</v>
      </c>
      <c r="V539" s="20">
        <v>0</v>
      </c>
      <c r="W539" s="20">
        <v>0</v>
      </c>
      <c r="X539" s="20">
        <v>0</v>
      </c>
      <c r="Y539" s="20">
        <v>0</v>
      </c>
      <c r="Z539" s="20">
        <v>0</v>
      </c>
      <c r="AA539" s="20">
        <v>0</v>
      </c>
      <c r="AB539" s="20">
        <v>0</v>
      </c>
      <c r="AC539" s="20">
        <v>0</v>
      </c>
      <c r="AD539" s="20">
        <v>0</v>
      </c>
      <c r="AE539" s="20">
        <v>0</v>
      </c>
      <c r="AF539" s="20">
        <v>0</v>
      </c>
      <c r="AG539" s="20">
        <v>0</v>
      </c>
      <c r="AH539" s="20">
        <v>0</v>
      </c>
      <c r="AI539" s="20">
        <v>0</v>
      </c>
      <c r="AJ539" s="20">
        <v>0</v>
      </c>
      <c r="AK539" s="20">
        <v>0</v>
      </c>
      <c r="AL539" s="20">
        <v>0</v>
      </c>
      <c r="AM539" s="20">
        <v>0</v>
      </c>
      <c r="AN539" s="20">
        <v>0</v>
      </c>
      <c r="AO539" s="20">
        <v>0</v>
      </c>
      <c r="AP539" s="20">
        <v>0</v>
      </c>
      <c r="AQ539" s="20">
        <v>0</v>
      </c>
      <c r="AR539" s="20">
        <v>0</v>
      </c>
      <c r="AS539" s="20">
        <v>0</v>
      </c>
      <c r="AT539" s="20">
        <v>0</v>
      </c>
      <c r="AU539" s="20">
        <v>0</v>
      </c>
      <c r="AV539" s="20">
        <v>0</v>
      </c>
      <c r="AW539" s="20">
        <v>0</v>
      </c>
      <c r="AX539" s="20">
        <v>0</v>
      </c>
      <c r="AY539" s="20">
        <v>0</v>
      </c>
      <c r="AZ539" s="20">
        <v>0</v>
      </c>
      <c r="BA539" s="20">
        <v>0</v>
      </c>
      <c r="BB539" s="27">
        <v>0</v>
      </c>
      <c r="BC539" s="20">
        <v>0</v>
      </c>
      <c r="BD539" s="20">
        <v>0</v>
      </c>
      <c r="BE539" s="21">
        <v>0</v>
      </c>
      <c r="BF539" s="21">
        <v>0</v>
      </c>
      <c r="BG539" s="20">
        <v>0</v>
      </c>
      <c r="BH539" s="20">
        <v>0</v>
      </c>
      <c r="BI539" s="22">
        <f t="shared" si="129"/>
        <v>0</v>
      </c>
      <c r="BJ539" s="22">
        <f t="shared" si="130"/>
        <v>0</v>
      </c>
      <c r="BK539" s="28">
        <f t="shared" si="131"/>
        <v>7</v>
      </c>
      <c r="BL539" s="22">
        <f t="shared" si="132"/>
        <v>7</v>
      </c>
      <c r="BM539" s="22">
        <f t="shared" si="134"/>
        <v>0</v>
      </c>
      <c r="BN539" s="23">
        <f t="shared" si="138"/>
        <v>1</v>
      </c>
      <c r="BO539" s="23" t="e">
        <f t="shared" si="138"/>
        <v>#DIV/0!</v>
      </c>
      <c r="BP539" s="7">
        <f>VLOOKUP(A539,[1]Sheet15!B:E,4,0)</f>
        <v>7</v>
      </c>
      <c r="BQ539" s="7">
        <f>VLOOKUP(A539,[1]Sheet15!B:E,3,0)</f>
        <v>0</v>
      </c>
    </row>
    <row r="540" spans="1:69" ht="22.5" customHeight="1" x14ac:dyDescent="0.25">
      <c r="A540" s="15" t="s">
        <v>1309</v>
      </c>
      <c r="B540" s="15" t="e">
        <f>VLOOKUP(A540,'[1]Master clients'!F524:W4071,17,0)</f>
        <v>#N/A</v>
      </c>
      <c r="C540" s="15" t="e">
        <f>VLOOKUP(A540,'[1]Master clients'!F524:P4071,11,0)</f>
        <v>#N/A</v>
      </c>
      <c r="D540" s="15" t="str">
        <f>VLOOKUP(A540,'[1]Master clients'!F:M,8,0)</f>
        <v>End User</v>
      </c>
      <c r="E540" s="16" t="s">
        <v>1310</v>
      </c>
      <c r="F540" s="16" t="s">
        <v>1311</v>
      </c>
      <c r="G540" s="17"/>
      <c r="H540" s="17"/>
      <c r="I540" s="26">
        <v>3</v>
      </c>
      <c r="J540" s="31">
        <v>0</v>
      </c>
      <c r="K540" s="17">
        <v>0</v>
      </c>
      <c r="L540" s="17">
        <v>0</v>
      </c>
      <c r="M540" s="17">
        <v>0</v>
      </c>
      <c r="N540" s="17">
        <v>0</v>
      </c>
      <c r="O540" s="17">
        <v>0</v>
      </c>
      <c r="P540" s="17">
        <v>0</v>
      </c>
      <c r="Q540" s="17">
        <v>0</v>
      </c>
      <c r="R540" s="17">
        <v>0</v>
      </c>
      <c r="S540" s="17">
        <v>0</v>
      </c>
      <c r="T540" s="17">
        <v>0</v>
      </c>
      <c r="U540" s="17">
        <v>0</v>
      </c>
      <c r="V540" s="17">
        <v>0</v>
      </c>
      <c r="W540" s="17">
        <v>0</v>
      </c>
      <c r="X540" s="17">
        <v>0</v>
      </c>
      <c r="Y540" s="17">
        <v>0</v>
      </c>
      <c r="Z540" s="17">
        <v>0</v>
      </c>
      <c r="AA540" s="17">
        <v>0</v>
      </c>
      <c r="AB540" s="17">
        <v>0</v>
      </c>
      <c r="AC540" s="17">
        <v>0</v>
      </c>
      <c r="AD540" s="17">
        <v>0</v>
      </c>
      <c r="AE540" s="17">
        <v>0</v>
      </c>
      <c r="AF540" s="17">
        <v>0</v>
      </c>
      <c r="AG540" s="17">
        <v>0</v>
      </c>
      <c r="AH540" s="17">
        <v>0</v>
      </c>
      <c r="AI540" s="17">
        <v>0</v>
      </c>
      <c r="AJ540" s="17">
        <v>0</v>
      </c>
      <c r="AK540" s="17">
        <v>0</v>
      </c>
      <c r="AL540" s="17">
        <v>0</v>
      </c>
      <c r="AM540" s="17">
        <v>0</v>
      </c>
      <c r="AN540" s="17">
        <v>0</v>
      </c>
      <c r="AO540" s="17">
        <v>0</v>
      </c>
      <c r="AP540" s="17">
        <v>0</v>
      </c>
      <c r="AQ540" s="17">
        <v>0</v>
      </c>
      <c r="AR540" s="17">
        <v>0</v>
      </c>
      <c r="AS540" s="17">
        <v>0</v>
      </c>
      <c r="AT540" s="17">
        <v>0</v>
      </c>
      <c r="AU540" s="17">
        <v>0</v>
      </c>
      <c r="AV540" s="17">
        <v>0</v>
      </c>
      <c r="AW540" s="17">
        <v>0</v>
      </c>
      <c r="AX540" s="17">
        <v>0</v>
      </c>
      <c r="AY540" s="17">
        <v>0</v>
      </c>
      <c r="AZ540" s="17">
        <v>0</v>
      </c>
      <c r="BA540" s="17">
        <v>0</v>
      </c>
      <c r="BB540" s="17">
        <v>0</v>
      </c>
      <c r="BC540" s="17">
        <v>0</v>
      </c>
      <c r="BD540" s="17">
        <v>0</v>
      </c>
      <c r="BE540" s="17">
        <v>0</v>
      </c>
      <c r="BF540" s="17">
        <v>0</v>
      </c>
      <c r="BG540" s="17">
        <v>0</v>
      </c>
      <c r="BH540" s="17">
        <v>0</v>
      </c>
      <c r="BI540" s="22">
        <f>SUM(M540+N540+P540+R540+T540+W540+Z540+AC540+AE540+AL540+AO540+AP540+AS540+AW540+AX540+BC540+BE540+BG540)</f>
        <v>0</v>
      </c>
      <c r="BJ540" s="22">
        <f>SUM(H540:BG540)</f>
        <v>3</v>
      </c>
      <c r="BK540" s="22">
        <f>SUM(H540+J540+K540+L540+O540+Q540+S540+U540+V540+X540+Y540+AA540+AB540+AD540+AF540+AG540+AH540+AI540+AJ540+AK540+AM540+AN540+AQ540+AR540+AT540+AU540+AV540+AY540+AZ540+BA540+BB540+BF540+BD540)</f>
        <v>0</v>
      </c>
      <c r="BL540" s="22">
        <f t="shared" ref="BL540:BM543" si="139">SUM(I540+M540+N540+P540+R540+T540+W540+Z540+AC540+AE540+AL540+AO540+AP540+AS540+AW540+AX540+BC540+BG540)</f>
        <v>3</v>
      </c>
      <c r="BM540" s="22">
        <f t="shared" si="139"/>
        <v>0</v>
      </c>
      <c r="BN540" s="23">
        <f t="shared" si="138"/>
        <v>1</v>
      </c>
      <c r="BO540" s="23" t="e">
        <f t="shared" si="138"/>
        <v>#DIV/0!</v>
      </c>
      <c r="BP540" s="7">
        <f>VLOOKUP(A540,[1]Sheet15!B:E,4,0)</f>
        <v>3</v>
      </c>
      <c r="BQ540" s="7">
        <f>VLOOKUP(A540,[1]Sheet15!B:E,3,0)</f>
        <v>0</v>
      </c>
    </row>
    <row r="541" spans="1:69" ht="22.5" customHeight="1" x14ac:dyDescent="0.25">
      <c r="A541" s="15" t="s">
        <v>1312</v>
      </c>
      <c r="B541" s="15">
        <f>VLOOKUP(A541,'[1]Master clients'!F525:W4072,17,0)</f>
        <v>0</v>
      </c>
      <c r="C541" s="15" t="str">
        <f>VLOOKUP(A541,'[1]Master clients'!F525:P4072,11,0)</f>
        <v>AV</v>
      </c>
      <c r="D541" s="15" t="str">
        <f>VLOOKUP(A541,'[1]Master clients'!F:M,8,0)</f>
        <v>Group (Mills)</v>
      </c>
      <c r="E541" s="16" t="s">
        <v>1313</v>
      </c>
      <c r="F541" s="16" t="s">
        <v>1311</v>
      </c>
      <c r="G541" s="17"/>
      <c r="H541" s="17"/>
      <c r="I541" s="18">
        <v>7</v>
      </c>
      <c r="J541" s="18">
        <v>7</v>
      </c>
      <c r="K541" s="17">
        <v>11</v>
      </c>
      <c r="L541" s="17">
        <v>0</v>
      </c>
      <c r="M541" s="17">
        <v>0</v>
      </c>
      <c r="N541" s="17">
        <v>0</v>
      </c>
      <c r="O541" s="19">
        <v>0</v>
      </c>
      <c r="P541" s="19">
        <v>0</v>
      </c>
      <c r="Q541" s="19">
        <v>2</v>
      </c>
      <c r="R541" s="19">
        <v>0</v>
      </c>
      <c r="S541" s="19">
        <v>0</v>
      </c>
      <c r="T541" s="19">
        <v>0</v>
      </c>
      <c r="U541" s="19">
        <v>0</v>
      </c>
      <c r="V541" s="19">
        <v>0</v>
      </c>
      <c r="W541" s="20">
        <v>0</v>
      </c>
      <c r="X541" s="20">
        <v>0</v>
      </c>
      <c r="Y541" s="19">
        <v>0</v>
      </c>
      <c r="Z541" s="19">
        <v>7</v>
      </c>
      <c r="AA541" s="19">
        <v>1</v>
      </c>
      <c r="AB541" s="19">
        <v>0</v>
      </c>
      <c r="AC541" s="19">
        <v>0</v>
      </c>
      <c r="AD541" s="19">
        <v>5</v>
      </c>
      <c r="AE541" s="19">
        <v>0</v>
      </c>
      <c r="AF541" s="19">
        <v>0</v>
      </c>
      <c r="AG541" s="19">
        <v>0</v>
      </c>
      <c r="AH541" s="19">
        <v>0</v>
      </c>
      <c r="AI541" s="20">
        <v>0</v>
      </c>
      <c r="AJ541" s="20">
        <v>0</v>
      </c>
      <c r="AK541" s="19">
        <v>0</v>
      </c>
      <c r="AL541" s="20">
        <v>0</v>
      </c>
      <c r="AM541" s="19">
        <v>0</v>
      </c>
      <c r="AN541" s="19">
        <v>0</v>
      </c>
      <c r="AO541" s="19">
        <v>0</v>
      </c>
      <c r="AP541" s="19">
        <v>0</v>
      </c>
      <c r="AQ541" s="19">
        <v>6</v>
      </c>
      <c r="AR541" s="19">
        <v>0</v>
      </c>
      <c r="AS541" s="19">
        <v>9</v>
      </c>
      <c r="AT541" s="19">
        <v>0</v>
      </c>
      <c r="AU541" s="19">
        <v>0</v>
      </c>
      <c r="AV541" s="19">
        <v>0</v>
      </c>
      <c r="AW541" s="20">
        <v>0</v>
      </c>
      <c r="AX541" s="20">
        <v>0</v>
      </c>
      <c r="AY541" s="20">
        <v>0</v>
      </c>
      <c r="AZ541" s="19">
        <v>0</v>
      </c>
      <c r="BA541" s="19">
        <v>0</v>
      </c>
      <c r="BB541" s="19">
        <v>0</v>
      </c>
      <c r="BC541" s="19">
        <v>0</v>
      </c>
      <c r="BD541" s="19">
        <v>0</v>
      </c>
      <c r="BE541" s="21">
        <v>0</v>
      </c>
      <c r="BF541" s="21">
        <v>0</v>
      </c>
      <c r="BG541" s="19">
        <v>0</v>
      </c>
      <c r="BH541" s="19">
        <v>0</v>
      </c>
      <c r="BI541" s="22">
        <f t="shared" ref="BI541:BI543" si="140">SUM(K541+L541+M541+P541+R541+T541+V541+W541+Y541+Z541+AB541+AC541+AE541+AG541+AH541+AI541+AJ541+AK541+AL541+AN541+AO541+AR541+AS541+AU541+AV541+AW541+AZ541+BA541+BB541+BC541+BE541+BG541)</f>
        <v>27</v>
      </c>
      <c r="BJ541" s="22">
        <v>6</v>
      </c>
      <c r="BK541" s="22">
        <f t="shared" ref="BK541:BK543" si="141">SUM(I541:BH541)</f>
        <v>55</v>
      </c>
      <c r="BL541" s="22">
        <f t="shared" ref="BL541:BL543" si="142">SUM(I541+K541+L541+M541+P541+R541+T541+V541+W541+Y541+Z541+AB541+AC541+AE541+AG541+AH541+AI541+AJ541+AK541+AL541+AN541+AO541+AR541+AS541+AU541+AV541+AW541+AZ541+BA541+BB541+BC541+BG541+BE541)</f>
        <v>34</v>
      </c>
      <c r="BM541" s="22">
        <f t="shared" si="139"/>
        <v>21</v>
      </c>
      <c r="BN541" s="23">
        <f t="shared" si="138"/>
        <v>0.20588235294117646</v>
      </c>
      <c r="BO541" s="23">
        <f t="shared" si="138"/>
        <v>0.33333333333333331</v>
      </c>
      <c r="BP541" s="7">
        <f>VLOOKUP(A541,[1]Sheet15!B:E,4,0)</f>
        <v>2</v>
      </c>
      <c r="BQ541" s="7">
        <f>VLOOKUP(A541,[1]Sheet15!B:E,3,0)</f>
        <v>11</v>
      </c>
    </row>
    <row r="542" spans="1:69" ht="22.5" customHeight="1" x14ac:dyDescent="0.25">
      <c r="A542" s="15" t="s">
        <v>1314</v>
      </c>
      <c r="B542" s="15">
        <f>VLOOKUP(A542,'[1]Master clients'!F526:W4073,17,0)</f>
        <v>0</v>
      </c>
      <c r="C542" s="15" t="str">
        <f>VLOOKUP(A542,'[1]Master clients'!F526:P4073,11,0)</f>
        <v>SI-GS</v>
      </c>
      <c r="D542" s="15" t="str">
        <f>VLOOKUP(A542,'[1]Master clients'!F:M,8,0)</f>
        <v>Group (Mills)</v>
      </c>
      <c r="E542" s="16" t="s">
        <v>1315</v>
      </c>
      <c r="F542" s="16" t="s">
        <v>1311</v>
      </c>
      <c r="G542" s="17"/>
      <c r="H542" s="17"/>
      <c r="I542" s="26">
        <v>10</v>
      </c>
      <c r="J542" s="31">
        <v>0</v>
      </c>
      <c r="K542" s="17">
        <v>0</v>
      </c>
      <c r="L542" s="17">
        <v>0</v>
      </c>
      <c r="M542" s="17">
        <v>0</v>
      </c>
      <c r="N542" s="17">
        <v>0</v>
      </c>
      <c r="O542" s="17">
        <v>0</v>
      </c>
      <c r="P542" s="17">
        <v>0</v>
      </c>
      <c r="Q542" s="17">
        <v>0</v>
      </c>
      <c r="R542" s="17">
        <v>0</v>
      </c>
      <c r="S542" s="17">
        <v>0</v>
      </c>
      <c r="T542" s="17">
        <v>0</v>
      </c>
      <c r="U542" s="17">
        <v>0</v>
      </c>
      <c r="V542" s="17">
        <v>0</v>
      </c>
      <c r="W542" s="17">
        <v>0</v>
      </c>
      <c r="X542" s="17">
        <v>0</v>
      </c>
      <c r="Y542" s="17">
        <v>0</v>
      </c>
      <c r="Z542" s="17">
        <v>0</v>
      </c>
      <c r="AA542" s="17">
        <v>0</v>
      </c>
      <c r="AB542" s="17">
        <v>0</v>
      </c>
      <c r="AC542" s="17">
        <v>0</v>
      </c>
      <c r="AD542" s="17">
        <v>0</v>
      </c>
      <c r="AE542" s="17">
        <v>0</v>
      </c>
      <c r="AF542" s="17">
        <v>0</v>
      </c>
      <c r="AG542" s="17">
        <v>0</v>
      </c>
      <c r="AH542" s="17">
        <v>0</v>
      </c>
      <c r="AI542" s="17">
        <v>0</v>
      </c>
      <c r="AJ542" s="17">
        <v>0</v>
      </c>
      <c r="AK542" s="17">
        <v>0</v>
      </c>
      <c r="AL542" s="17">
        <v>0</v>
      </c>
      <c r="AM542" s="17">
        <v>0</v>
      </c>
      <c r="AN542" s="17">
        <v>0</v>
      </c>
      <c r="AO542" s="17">
        <v>0</v>
      </c>
      <c r="AP542" s="17">
        <v>0</v>
      </c>
      <c r="AQ542" s="17">
        <v>0</v>
      </c>
      <c r="AR542" s="17">
        <v>0</v>
      </c>
      <c r="AS542" s="17">
        <v>0</v>
      </c>
      <c r="AT542" s="17">
        <v>0</v>
      </c>
      <c r="AU542" s="17">
        <v>0</v>
      </c>
      <c r="AV542" s="17">
        <v>0</v>
      </c>
      <c r="AW542" s="17">
        <v>0</v>
      </c>
      <c r="AX542" s="17">
        <v>0</v>
      </c>
      <c r="AY542" s="17">
        <v>0</v>
      </c>
      <c r="AZ542" s="17">
        <v>0</v>
      </c>
      <c r="BA542" s="17">
        <v>0</v>
      </c>
      <c r="BB542" s="17">
        <v>0</v>
      </c>
      <c r="BC542" s="17">
        <v>0</v>
      </c>
      <c r="BD542" s="17">
        <v>0</v>
      </c>
      <c r="BE542" s="17">
        <v>0</v>
      </c>
      <c r="BF542" s="17">
        <v>0</v>
      </c>
      <c r="BG542" s="17">
        <v>0</v>
      </c>
      <c r="BH542" s="17">
        <v>0</v>
      </c>
      <c r="BI542" s="22">
        <f t="shared" si="140"/>
        <v>0</v>
      </c>
      <c r="BJ542" s="22">
        <f t="shared" ref="BJ542:BJ543" si="143">SUM(N542+O542+Q542+S542+U542+X542+AA542+AD542+AF542+AM542+AP542+AQ542+AT542+AX542+AY542+BD542+BF542+BH542)</f>
        <v>0</v>
      </c>
      <c r="BK542" s="28">
        <f t="shared" si="141"/>
        <v>10</v>
      </c>
      <c r="BL542" s="22">
        <f t="shared" si="142"/>
        <v>10</v>
      </c>
      <c r="BM542" s="22">
        <f t="shared" si="139"/>
        <v>0</v>
      </c>
      <c r="BN542" s="23">
        <f t="shared" si="138"/>
        <v>1</v>
      </c>
      <c r="BO542" s="23" t="e">
        <f t="shared" si="138"/>
        <v>#DIV/0!</v>
      </c>
      <c r="BP542" s="7">
        <f>VLOOKUP(A542,[1]Sheet15!B:E,4,0)</f>
        <v>10</v>
      </c>
      <c r="BQ542" s="7">
        <f>VLOOKUP(A542,[1]Sheet15!B:E,3,0)</f>
        <v>0</v>
      </c>
    </row>
    <row r="543" spans="1:69" ht="22.5" customHeight="1" x14ac:dyDescent="0.25">
      <c r="A543" s="15" t="s">
        <v>1316</v>
      </c>
      <c r="B543" s="15">
        <f>VLOOKUP(A543,'[1]Master clients'!F527:W4074,17,0)</f>
        <v>0</v>
      </c>
      <c r="C543" s="15" t="str">
        <f>VLOOKUP(A543,'[1]Master clients'!F527:P4074,11,0)</f>
        <v>SI-GS</v>
      </c>
      <c r="D543" s="15" t="str">
        <f>VLOOKUP(A543,'[1]Master clients'!F:M,8,0)</f>
        <v>End User</v>
      </c>
      <c r="E543" s="16" t="s">
        <v>1317</v>
      </c>
      <c r="F543" s="16" t="s">
        <v>1311</v>
      </c>
      <c r="G543" s="17"/>
      <c r="H543" s="17"/>
      <c r="I543" s="26">
        <v>7</v>
      </c>
      <c r="J543" s="31">
        <v>0</v>
      </c>
      <c r="K543" s="17">
        <v>0</v>
      </c>
      <c r="L543" s="17">
        <v>0</v>
      </c>
      <c r="M543" s="17">
        <v>0</v>
      </c>
      <c r="N543" s="17">
        <v>0</v>
      </c>
      <c r="O543" s="17">
        <v>0</v>
      </c>
      <c r="P543" s="17">
        <v>0</v>
      </c>
      <c r="Q543" s="17">
        <v>0</v>
      </c>
      <c r="R543" s="17">
        <v>0</v>
      </c>
      <c r="S543" s="17">
        <v>0</v>
      </c>
      <c r="T543" s="17">
        <v>0</v>
      </c>
      <c r="U543" s="17">
        <v>0</v>
      </c>
      <c r="V543" s="17">
        <v>0</v>
      </c>
      <c r="W543" s="17">
        <v>0</v>
      </c>
      <c r="X543" s="17">
        <v>0</v>
      </c>
      <c r="Y543" s="17">
        <v>0</v>
      </c>
      <c r="Z543" s="17">
        <v>0</v>
      </c>
      <c r="AA543" s="17">
        <v>0</v>
      </c>
      <c r="AB543" s="17">
        <v>0</v>
      </c>
      <c r="AC543" s="17">
        <v>0</v>
      </c>
      <c r="AD543" s="17">
        <v>0</v>
      </c>
      <c r="AE543" s="17">
        <v>0</v>
      </c>
      <c r="AF543" s="17">
        <v>0</v>
      </c>
      <c r="AG543" s="17">
        <v>0</v>
      </c>
      <c r="AH543" s="17">
        <v>0</v>
      </c>
      <c r="AI543" s="17">
        <v>0</v>
      </c>
      <c r="AJ543" s="17">
        <v>0</v>
      </c>
      <c r="AK543" s="17">
        <v>0</v>
      </c>
      <c r="AL543" s="17">
        <v>0</v>
      </c>
      <c r="AM543" s="17">
        <v>0</v>
      </c>
      <c r="AN543" s="17">
        <v>0</v>
      </c>
      <c r="AO543" s="17">
        <v>0</v>
      </c>
      <c r="AP543" s="17">
        <v>0</v>
      </c>
      <c r="AQ543" s="17">
        <v>0</v>
      </c>
      <c r="AR543" s="17">
        <v>0</v>
      </c>
      <c r="AS543" s="17">
        <v>0</v>
      </c>
      <c r="AT543" s="17">
        <v>0</v>
      </c>
      <c r="AU543" s="17">
        <v>0</v>
      </c>
      <c r="AV543" s="17">
        <v>0</v>
      </c>
      <c r="AW543" s="17">
        <v>0</v>
      </c>
      <c r="AX543" s="17">
        <v>0</v>
      </c>
      <c r="AY543" s="17">
        <v>0</v>
      </c>
      <c r="AZ543" s="17">
        <v>0</v>
      </c>
      <c r="BA543" s="17">
        <v>0</v>
      </c>
      <c r="BB543" s="17">
        <v>0</v>
      </c>
      <c r="BC543" s="17">
        <v>0</v>
      </c>
      <c r="BD543" s="17">
        <v>0</v>
      </c>
      <c r="BE543" s="17">
        <v>0</v>
      </c>
      <c r="BF543" s="17">
        <v>0</v>
      </c>
      <c r="BG543" s="17">
        <v>0</v>
      </c>
      <c r="BH543" s="17">
        <v>0</v>
      </c>
      <c r="BI543" s="22">
        <f t="shared" si="140"/>
        <v>0</v>
      </c>
      <c r="BJ543" s="22">
        <f t="shared" si="143"/>
        <v>0</v>
      </c>
      <c r="BK543" s="28">
        <f t="shared" si="141"/>
        <v>7</v>
      </c>
      <c r="BL543" s="22">
        <f t="shared" si="142"/>
        <v>7</v>
      </c>
      <c r="BM543" s="22">
        <f t="shared" si="139"/>
        <v>0</v>
      </c>
      <c r="BN543" s="23">
        <f t="shared" si="138"/>
        <v>1</v>
      </c>
      <c r="BO543" s="23" t="e">
        <f t="shared" si="138"/>
        <v>#DIV/0!</v>
      </c>
      <c r="BP543" s="7">
        <f>VLOOKUP(A543,[1]Sheet15!B:E,4,0)</f>
        <v>7</v>
      </c>
      <c r="BQ543" s="7">
        <f>VLOOKUP(A543,[1]Sheet15!B:E,3,0)</f>
        <v>0</v>
      </c>
    </row>
    <row r="544" spans="1:69" ht="22.5" customHeight="1" x14ac:dyDescent="0.25">
      <c r="A544" s="15" t="s">
        <v>1318</v>
      </c>
      <c r="B544" s="15" t="e">
        <f>VLOOKUP(A544,'[1]Master clients'!F528:W4075,17,0)</f>
        <v>#N/A</v>
      </c>
      <c r="C544" s="15" t="e">
        <f>VLOOKUP(A544,'[1]Master clients'!F528:P4075,11,0)</f>
        <v>#N/A</v>
      </c>
      <c r="D544" s="15" t="str">
        <f>VLOOKUP(A544,'[1]Master clients'!F:M,8,0)</f>
        <v>End User</v>
      </c>
      <c r="E544" s="16" t="s">
        <v>1319</v>
      </c>
      <c r="F544" s="16" t="s">
        <v>1320</v>
      </c>
      <c r="G544" s="17"/>
      <c r="H544" s="17"/>
      <c r="I544" s="31">
        <v>0</v>
      </c>
      <c r="J544" s="31">
        <v>0</v>
      </c>
      <c r="K544" s="17">
        <v>0</v>
      </c>
      <c r="L544" s="17">
        <v>0</v>
      </c>
      <c r="M544" s="17">
        <v>0</v>
      </c>
      <c r="N544" s="17">
        <v>0</v>
      </c>
      <c r="O544" s="17">
        <v>0</v>
      </c>
      <c r="P544" s="17">
        <v>0</v>
      </c>
      <c r="Q544" s="17">
        <v>0</v>
      </c>
      <c r="R544" s="17">
        <v>0</v>
      </c>
      <c r="S544" s="17">
        <v>0</v>
      </c>
      <c r="T544" s="17">
        <v>0</v>
      </c>
      <c r="U544" s="17">
        <v>0</v>
      </c>
      <c r="V544" s="17">
        <v>0</v>
      </c>
      <c r="W544" s="17">
        <v>0</v>
      </c>
      <c r="X544" s="17">
        <v>0</v>
      </c>
      <c r="Y544" s="17">
        <v>0</v>
      </c>
      <c r="Z544" s="17">
        <v>0</v>
      </c>
      <c r="AA544" s="17">
        <v>0</v>
      </c>
      <c r="AB544" s="17">
        <v>0</v>
      </c>
      <c r="AC544" s="17">
        <v>0</v>
      </c>
      <c r="AD544" s="17">
        <v>0</v>
      </c>
      <c r="AE544" s="17">
        <v>0</v>
      </c>
      <c r="AF544" s="17">
        <v>0</v>
      </c>
      <c r="AG544" s="17">
        <v>0</v>
      </c>
      <c r="AH544" s="17">
        <v>0</v>
      </c>
      <c r="AI544" s="17">
        <v>0</v>
      </c>
      <c r="AJ544" s="17">
        <v>0</v>
      </c>
      <c r="AK544" s="17">
        <v>0</v>
      </c>
      <c r="AL544" s="17">
        <v>0</v>
      </c>
      <c r="AM544" s="17">
        <v>0</v>
      </c>
      <c r="AN544" s="17">
        <v>0</v>
      </c>
      <c r="AO544" s="17">
        <v>0</v>
      </c>
      <c r="AP544" s="17">
        <v>0</v>
      </c>
      <c r="AQ544" s="17">
        <v>0</v>
      </c>
      <c r="AR544" s="17">
        <v>0</v>
      </c>
      <c r="AS544" s="17">
        <v>0</v>
      </c>
      <c r="AT544" s="17">
        <v>0</v>
      </c>
      <c r="AU544" s="17">
        <v>0</v>
      </c>
      <c r="AV544" s="17">
        <v>0</v>
      </c>
      <c r="AW544" s="17">
        <v>0</v>
      </c>
      <c r="AX544" s="17">
        <v>0</v>
      </c>
      <c r="AY544" s="17">
        <v>0</v>
      </c>
      <c r="AZ544" s="17">
        <v>0</v>
      </c>
      <c r="BA544" s="17">
        <v>0</v>
      </c>
      <c r="BB544" s="17">
        <v>0</v>
      </c>
      <c r="BC544" s="17">
        <v>0</v>
      </c>
      <c r="BD544" s="17">
        <v>0</v>
      </c>
      <c r="BE544" s="17">
        <v>0</v>
      </c>
      <c r="BF544" s="17">
        <v>0</v>
      </c>
      <c r="BG544" s="17">
        <v>0</v>
      </c>
      <c r="BH544" s="17">
        <v>0</v>
      </c>
      <c r="BI544" s="22">
        <f>SUM(M544+N544+P544+R544+T544+W544+Z544+AC544+AE544+AL544+AO544+AP544+AS544+AW544+AX544+BC544+BE544+BG544)</f>
        <v>0</v>
      </c>
      <c r="BJ544" s="22">
        <f>SUM(H544:BG544)</f>
        <v>0</v>
      </c>
      <c r="BK544" s="22">
        <f>SUM(H544+J544+K544+L544+O544+Q544+S544+U544+V544+X544+Y544+AA544+AB544+AD544+AF544+AG544+AH544+AI544+AJ544+AK544+AM544+AN544+AQ544+AR544+AT544+AU544+AV544+AY544+AZ544+BA544+BB544+BF544+BD544)</f>
        <v>0</v>
      </c>
      <c r="BL544" s="22">
        <f t="shared" ref="BL544:BM559" si="144">SUM(I544+M544+N544+P544+R544+T544+W544+Z544+AC544+AE544+AL544+AO544+AP544+AS544+AW544+AX544+BC544+BG544)</f>
        <v>0</v>
      </c>
      <c r="BM544" s="22">
        <f t="shared" si="144"/>
        <v>0</v>
      </c>
      <c r="BN544" s="23" t="e">
        <f t="shared" si="138"/>
        <v>#DIV/0!</v>
      </c>
      <c r="BO544" s="23" t="e">
        <f t="shared" si="138"/>
        <v>#DIV/0!</v>
      </c>
      <c r="BP544" s="7" t="e">
        <f>VLOOKUP(A544,[1]Sheet15!B:E,4,0)</f>
        <v>#N/A</v>
      </c>
      <c r="BQ544" s="7" t="e">
        <f>VLOOKUP(A544,[1]Sheet15!B:E,3,0)</f>
        <v>#N/A</v>
      </c>
    </row>
    <row r="545" spans="1:69" ht="22.5" customHeight="1" x14ac:dyDescent="0.25">
      <c r="A545" s="15" t="s">
        <v>1321</v>
      </c>
      <c r="B545" s="35">
        <f>VLOOKUP(A545,'[1]Master clients'!F902:W4449,17,0)</f>
        <v>0</v>
      </c>
      <c r="C545" s="15" t="str">
        <f>VLOOKUP(A545,'[1]Master clients'!F902:P4449,11,0)</f>
        <v xml:space="preserve">HO </v>
      </c>
      <c r="D545" s="15">
        <f>VLOOKUP(A545,'[1]Master clients'!F:M,8,0)</f>
        <v>0</v>
      </c>
      <c r="E545" s="16" t="s">
        <v>1322</v>
      </c>
      <c r="F545" s="29" t="s">
        <v>1323</v>
      </c>
      <c r="G545" s="20"/>
      <c r="H545" s="20"/>
      <c r="I545" s="18">
        <v>0</v>
      </c>
      <c r="J545" s="18">
        <v>0</v>
      </c>
      <c r="K545" s="20">
        <v>0</v>
      </c>
      <c r="L545" s="20">
        <v>0</v>
      </c>
      <c r="M545" s="20">
        <v>0</v>
      </c>
      <c r="N545" s="20">
        <v>0</v>
      </c>
      <c r="O545" s="20">
        <v>0</v>
      </c>
      <c r="P545" s="20">
        <v>0</v>
      </c>
      <c r="Q545" s="20">
        <v>0</v>
      </c>
      <c r="R545" s="20">
        <v>0</v>
      </c>
      <c r="S545" s="20">
        <v>0</v>
      </c>
      <c r="T545" s="20">
        <v>0</v>
      </c>
      <c r="U545" s="20">
        <v>0</v>
      </c>
      <c r="V545" s="20">
        <v>0</v>
      </c>
      <c r="W545" s="20">
        <v>0</v>
      </c>
      <c r="X545" s="20">
        <v>0</v>
      </c>
      <c r="Y545" s="20">
        <v>0</v>
      </c>
      <c r="Z545" s="20">
        <v>0</v>
      </c>
      <c r="AA545" s="20">
        <v>0</v>
      </c>
      <c r="AB545" s="20">
        <v>0</v>
      </c>
      <c r="AC545" s="20">
        <v>0</v>
      </c>
      <c r="AD545" s="20">
        <v>0</v>
      </c>
      <c r="AE545" s="20">
        <v>0</v>
      </c>
      <c r="AF545" s="20">
        <v>0</v>
      </c>
      <c r="AG545" s="20">
        <v>0</v>
      </c>
      <c r="AH545" s="20">
        <v>0</v>
      </c>
      <c r="AI545" s="20">
        <v>0</v>
      </c>
      <c r="AJ545" s="20">
        <v>0</v>
      </c>
      <c r="AK545" s="20">
        <v>2</v>
      </c>
      <c r="AL545" s="20">
        <v>0</v>
      </c>
      <c r="AM545" s="20">
        <v>0</v>
      </c>
      <c r="AN545" s="20">
        <v>0</v>
      </c>
      <c r="AO545" s="20">
        <v>1</v>
      </c>
      <c r="AP545" s="20">
        <v>0</v>
      </c>
      <c r="AQ545" s="20">
        <v>0</v>
      </c>
      <c r="AR545" s="20">
        <v>0</v>
      </c>
      <c r="AS545" s="20">
        <v>0</v>
      </c>
      <c r="AT545" s="20">
        <v>0</v>
      </c>
      <c r="AU545" s="20">
        <v>0</v>
      </c>
      <c r="AV545" s="20">
        <v>0</v>
      </c>
      <c r="AW545" s="20">
        <v>0</v>
      </c>
      <c r="AX545" s="20">
        <v>0</v>
      </c>
      <c r="AY545" s="20">
        <v>0</v>
      </c>
      <c r="AZ545" s="20">
        <v>0</v>
      </c>
      <c r="BA545" s="20">
        <v>0</v>
      </c>
      <c r="BB545" s="20">
        <v>0</v>
      </c>
      <c r="BC545" s="20">
        <v>0</v>
      </c>
      <c r="BD545" s="20">
        <v>0</v>
      </c>
      <c r="BE545" s="20">
        <v>0</v>
      </c>
      <c r="BF545" s="20">
        <v>0</v>
      </c>
      <c r="BG545" s="20">
        <v>0</v>
      </c>
      <c r="BH545" s="20">
        <v>0</v>
      </c>
      <c r="BI545" s="22">
        <f t="shared" ref="BI545:BI579" si="145">SUM(K545+L545+M545+P545+R545+T545+V545+W545+Y545+Z545+AB545+AC545+AE545+AG545+AH545+AI545+AJ545+AK545+AL545+AN545+AO545+AR545+AS545+AU545+AV545+AW545+AZ545+BA545+BB545+BC545+BE545+BG545)</f>
        <v>3</v>
      </c>
      <c r="BJ545" s="22">
        <f t="shared" ref="BJ545:BJ579" si="146">SUM(N545+O545+Q545+S545+U545+X545+AA545+AD545+AF545+AM545+AP545+AQ545+AT545+AX545+AY545+BD545+BF545+BH545)</f>
        <v>0</v>
      </c>
      <c r="BK545" s="22">
        <f t="shared" ref="BK545:BK579" si="147">SUM(I545:BH545)</f>
        <v>3</v>
      </c>
      <c r="BL545" s="22">
        <f t="shared" ref="BL545:BL579" si="148">SUM(I545+K545+L545+M545+P545+R545+T545+V545+W545+Y545+Z545+AB545+AC545+AE545+AG545+AH545+AI545+AJ545+AK545+AL545+AN545+AO545+AR545+AS545+AU545+AV545+AW545+AZ545+BA545+BB545+BC545+BG545+BE545)</f>
        <v>3</v>
      </c>
      <c r="BM545" s="22">
        <f t="shared" si="144"/>
        <v>0</v>
      </c>
      <c r="BN545" s="23">
        <f t="shared" si="138"/>
        <v>0</v>
      </c>
      <c r="BO545" s="23" t="e">
        <f t="shared" si="138"/>
        <v>#DIV/0!</v>
      </c>
      <c r="BP545" s="7" t="e">
        <f>VLOOKUP(A545,[1]Sheet15!B:E,4,0)</f>
        <v>#N/A</v>
      </c>
      <c r="BQ545" s="7" t="e">
        <f>VLOOKUP(A545,[1]Sheet15!B:E,3,0)</f>
        <v>#N/A</v>
      </c>
    </row>
    <row r="546" spans="1:69" ht="22.5" customHeight="1" x14ac:dyDescent="0.25">
      <c r="A546" s="15" t="s">
        <v>1324</v>
      </c>
      <c r="B546" s="15" t="e">
        <f>VLOOKUP(A546,'[1]Master clients'!F529:W4076,17,0)</f>
        <v>#N/A</v>
      </c>
      <c r="C546" s="15" t="e">
        <f>VLOOKUP(A546,'[1]Master clients'!F529:P4076,11,0)</f>
        <v>#N/A</v>
      </c>
      <c r="D546" s="15" t="str">
        <f>VLOOKUP(A546,'[1]Master clients'!F:M,8,0)</f>
        <v>Group (Mills)</v>
      </c>
      <c r="E546" s="24" t="s">
        <v>1325</v>
      </c>
      <c r="F546" s="25" t="s">
        <v>1323</v>
      </c>
      <c r="G546" s="20">
        <v>0</v>
      </c>
      <c r="H546" s="20">
        <v>1</v>
      </c>
      <c r="I546" s="26">
        <v>10</v>
      </c>
      <c r="J546" s="26">
        <v>1</v>
      </c>
      <c r="K546" s="20">
        <v>22</v>
      </c>
      <c r="L546" s="20">
        <v>0</v>
      </c>
      <c r="M546" s="20">
        <v>0</v>
      </c>
      <c r="N546" s="20">
        <v>10</v>
      </c>
      <c r="O546" s="20">
        <v>0</v>
      </c>
      <c r="P546" s="20">
        <v>0</v>
      </c>
      <c r="Q546" s="20">
        <v>12</v>
      </c>
      <c r="R546" s="20">
        <v>0</v>
      </c>
      <c r="S546" s="20">
        <v>0</v>
      </c>
      <c r="T546" s="20">
        <v>0</v>
      </c>
      <c r="U546" s="20">
        <v>0</v>
      </c>
      <c r="V546" s="20">
        <v>0</v>
      </c>
      <c r="W546" s="20">
        <v>0</v>
      </c>
      <c r="X546" s="20">
        <v>0</v>
      </c>
      <c r="Y546" s="20">
        <v>0</v>
      </c>
      <c r="Z546" s="20">
        <v>0</v>
      </c>
      <c r="AA546" s="20">
        <v>0</v>
      </c>
      <c r="AB546" s="20">
        <v>0</v>
      </c>
      <c r="AC546" s="20">
        <v>0</v>
      </c>
      <c r="AD546" s="20">
        <v>0</v>
      </c>
      <c r="AE546" s="20">
        <v>0</v>
      </c>
      <c r="AF546" s="20">
        <v>0</v>
      </c>
      <c r="AG546" s="20">
        <v>0</v>
      </c>
      <c r="AH546" s="20">
        <v>0</v>
      </c>
      <c r="AI546" s="20">
        <v>0</v>
      </c>
      <c r="AJ546" s="20">
        <v>0</v>
      </c>
      <c r="AK546" s="20">
        <v>0</v>
      </c>
      <c r="AL546" s="20">
        <v>0</v>
      </c>
      <c r="AM546" s="20">
        <v>0</v>
      </c>
      <c r="AN546" s="20">
        <v>0</v>
      </c>
      <c r="AO546" s="20">
        <v>0</v>
      </c>
      <c r="AP546" s="20">
        <v>0</v>
      </c>
      <c r="AQ546" s="20">
        <v>0</v>
      </c>
      <c r="AR546" s="20">
        <v>0</v>
      </c>
      <c r="AS546" s="20">
        <v>0</v>
      </c>
      <c r="AT546" s="20">
        <v>0</v>
      </c>
      <c r="AU546" s="19">
        <v>0</v>
      </c>
      <c r="AV546" s="20">
        <v>0</v>
      </c>
      <c r="AW546" s="20">
        <v>0</v>
      </c>
      <c r="AX546" s="20">
        <v>0</v>
      </c>
      <c r="AY546" s="20">
        <v>0</v>
      </c>
      <c r="AZ546" s="20">
        <v>0</v>
      </c>
      <c r="BA546" s="19">
        <v>0</v>
      </c>
      <c r="BB546" s="27">
        <v>0</v>
      </c>
      <c r="BC546" s="19">
        <v>0</v>
      </c>
      <c r="BD546" s="19">
        <v>0</v>
      </c>
      <c r="BE546" s="21">
        <v>0</v>
      </c>
      <c r="BF546" s="21">
        <v>0</v>
      </c>
      <c r="BG546" s="19">
        <v>0</v>
      </c>
      <c r="BH546" s="19">
        <v>0</v>
      </c>
      <c r="BI546" s="22">
        <f t="shared" si="145"/>
        <v>22</v>
      </c>
      <c r="BJ546" s="22">
        <f t="shared" si="146"/>
        <v>22</v>
      </c>
      <c r="BK546" s="28">
        <f t="shared" si="147"/>
        <v>55</v>
      </c>
      <c r="BL546" s="22">
        <f t="shared" si="148"/>
        <v>32</v>
      </c>
      <c r="BM546" s="22">
        <f t="shared" si="144"/>
        <v>23</v>
      </c>
      <c r="BN546" s="23">
        <f t="shared" si="138"/>
        <v>0.3125</v>
      </c>
      <c r="BO546" s="23">
        <f t="shared" si="138"/>
        <v>4.3478260869565216E-2</v>
      </c>
      <c r="BP546" s="7">
        <f>VLOOKUP(A546,[1]Sheet15!B:E,4,0)</f>
        <v>8</v>
      </c>
      <c r="BQ546" s="7">
        <f>VLOOKUP(A546,[1]Sheet15!B:E,3,0)</f>
        <v>1</v>
      </c>
    </row>
    <row r="547" spans="1:69" ht="22.5" customHeight="1" x14ac:dyDescent="0.25">
      <c r="A547" s="15" t="s">
        <v>1326</v>
      </c>
      <c r="B547" s="15" t="e">
        <f>VLOOKUP(A547,'[1]Master clients'!F530:W4077,17,0)</f>
        <v>#N/A</v>
      </c>
      <c r="C547" s="15" t="e">
        <f>VLOOKUP(A547,'[1]Master clients'!F530:P4077,11,0)</f>
        <v>#N/A</v>
      </c>
      <c r="D547" s="15" t="str">
        <f>VLOOKUP(A547,'[1]Master clients'!F:M,8,0)</f>
        <v>End User</v>
      </c>
      <c r="E547" s="24" t="s">
        <v>1327</v>
      </c>
      <c r="F547" s="25" t="s">
        <v>1323</v>
      </c>
      <c r="G547" s="20">
        <v>13</v>
      </c>
      <c r="H547" s="20">
        <v>0</v>
      </c>
      <c r="I547" s="26">
        <v>4</v>
      </c>
      <c r="J547" s="26">
        <v>0</v>
      </c>
      <c r="K547" s="20">
        <v>15</v>
      </c>
      <c r="L547" s="20">
        <v>0</v>
      </c>
      <c r="M547" s="20">
        <v>0</v>
      </c>
      <c r="N547" s="20">
        <v>6</v>
      </c>
      <c r="O547" s="20">
        <v>0</v>
      </c>
      <c r="P547" s="20">
        <v>0</v>
      </c>
      <c r="Q547" s="20">
        <v>14</v>
      </c>
      <c r="R547" s="20">
        <v>0</v>
      </c>
      <c r="S547" s="20">
        <v>0</v>
      </c>
      <c r="T547" s="20">
        <v>0</v>
      </c>
      <c r="U547" s="20">
        <v>0</v>
      </c>
      <c r="V547" s="20">
        <v>0</v>
      </c>
      <c r="W547" s="20">
        <v>0</v>
      </c>
      <c r="X547" s="20">
        <v>0</v>
      </c>
      <c r="Y547" s="20">
        <v>0</v>
      </c>
      <c r="Z547" s="20">
        <v>0</v>
      </c>
      <c r="AA547" s="20">
        <v>0</v>
      </c>
      <c r="AB547" s="20">
        <v>0</v>
      </c>
      <c r="AC547" s="20">
        <v>0</v>
      </c>
      <c r="AD547" s="20">
        <v>0</v>
      </c>
      <c r="AE547" s="20">
        <v>0</v>
      </c>
      <c r="AF547" s="20">
        <v>0</v>
      </c>
      <c r="AG547" s="20">
        <v>0</v>
      </c>
      <c r="AH547" s="20">
        <v>0</v>
      </c>
      <c r="AI547" s="20">
        <v>0</v>
      </c>
      <c r="AJ547" s="20">
        <v>0</v>
      </c>
      <c r="AK547" s="20">
        <v>0</v>
      </c>
      <c r="AL547" s="20">
        <v>0</v>
      </c>
      <c r="AM547" s="20">
        <v>0</v>
      </c>
      <c r="AN547" s="20">
        <v>0</v>
      </c>
      <c r="AO547" s="20">
        <v>0</v>
      </c>
      <c r="AP547" s="20">
        <v>0</v>
      </c>
      <c r="AQ547" s="20">
        <v>0</v>
      </c>
      <c r="AR547" s="20">
        <v>0</v>
      </c>
      <c r="AS547" s="20">
        <v>0</v>
      </c>
      <c r="AT547" s="20">
        <v>0</v>
      </c>
      <c r="AU547" s="20">
        <v>0</v>
      </c>
      <c r="AV547" s="20">
        <v>0</v>
      </c>
      <c r="AW547" s="20">
        <v>0</v>
      </c>
      <c r="AX547" s="20">
        <v>0</v>
      </c>
      <c r="AY547" s="20">
        <v>0</v>
      </c>
      <c r="AZ547" s="20">
        <v>0</v>
      </c>
      <c r="BA547" s="20">
        <v>0</v>
      </c>
      <c r="BB547" s="27">
        <v>0</v>
      </c>
      <c r="BC547" s="20">
        <v>0</v>
      </c>
      <c r="BD547" s="20">
        <v>0</v>
      </c>
      <c r="BE547" s="21">
        <v>0</v>
      </c>
      <c r="BF547" s="21">
        <v>0</v>
      </c>
      <c r="BG547" s="20">
        <v>0</v>
      </c>
      <c r="BH547" s="20">
        <v>0</v>
      </c>
      <c r="BI547" s="22">
        <f t="shared" si="145"/>
        <v>15</v>
      </c>
      <c r="BJ547" s="22">
        <f t="shared" si="146"/>
        <v>20</v>
      </c>
      <c r="BK547" s="28">
        <f t="shared" si="147"/>
        <v>39</v>
      </c>
      <c r="BL547" s="22">
        <f t="shared" si="148"/>
        <v>19</v>
      </c>
      <c r="BM547" s="22">
        <f t="shared" si="144"/>
        <v>20</v>
      </c>
      <c r="BN547" s="23">
        <f t="shared" si="138"/>
        <v>0.21052631578947367</v>
      </c>
      <c r="BO547" s="23">
        <f t="shared" si="138"/>
        <v>0</v>
      </c>
      <c r="BP547" s="7">
        <f>VLOOKUP(A547,[1]Sheet15!B:E,4,0)</f>
        <v>2</v>
      </c>
      <c r="BQ547" s="7">
        <f>VLOOKUP(A547,[1]Sheet15!B:E,3,0)</f>
        <v>0</v>
      </c>
    </row>
    <row r="548" spans="1:69" ht="22.5" customHeight="1" x14ac:dyDescent="0.25">
      <c r="A548" s="15" t="s">
        <v>1328</v>
      </c>
      <c r="B548" s="15">
        <f>VLOOKUP(A548,'[1]Master clients'!F531:W4078,17,0)</f>
        <v>0</v>
      </c>
      <c r="C548" s="15" t="str">
        <f>VLOOKUP(A548,'[1]Master clients'!F531:P4078,11,0)</f>
        <v>-</v>
      </c>
      <c r="D548" s="15">
        <f>VLOOKUP(A548,'[1]Master clients'!F:M,8,0)</f>
        <v>0</v>
      </c>
      <c r="E548" s="24" t="s">
        <v>1329</v>
      </c>
      <c r="F548" s="25" t="s">
        <v>1323</v>
      </c>
      <c r="G548" s="20">
        <v>0</v>
      </c>
      <c r="H548" s="20">
        <v>0</v>
      </c>
      <c r="I548" s="26">
        <v>0</v>
      </c>
      <c r="J548" s="26">
        <v>0</v>
      </c>
      <c r="K548" s="20">
        <v>0</v>
      </c>
      <c r="L548" s="20">
        <v>0</v>
      </c>
      <c r="M548" s="20">
        <v>0</v>
      </c>
      <c r="N548" s="20">
        <v>6</v>
      </c>
      <c r="O548" s="20">
        <v>0</v>
      </c>
      <c r="P548" s="20">
        <v>0</v>
      </c>
      <c r="Q548" s="20">
        <v>0</v>
      </c>
      <c r="R548" s="20">
        <v>0</v>
      </c>
      <c r="S548" s="20">
        <v>0</v>
      </c>
      <c r="T548" s="20">
        <v>12</v>
      </c>
      <c r="U548" s="20">
        <v>0</v>
      </c>
      <c r="V548" s="20">
        <v>0</v>
      </c>
      <c r="W548" s="20">
        <v>0</v>
      </c>
      <c r="X548" s="20">
        <v>5</v>
      </c>
      <c r="Y548" s="20">
        <v>0</v>
      </c>
      <c r="Z548" s="20">
        <v>0</v>
      </c>
      <c r="AA548" s="20">
        <v>0</v>
      </c>
      <c r="AB548" s="20">
        <v>0</v>
      </c>
      <c r="AC548" s="20">
        <v>0</v>
      </c>
      <c r="AD548" s="20">
        <v>0</v>
      </c>
      <c r="AE548" s="20">
        <v>0</v>
      </c>
      <c r="AF548" s="20">
        <v>0</v>
      </c>
      <c r="AG548" s="20">
        <v>0</v>
      </c>
      <c r="AH548" s="20">
        <v>0</v>
      </c>
      <c r="AI548" s="20">
        <v>0</v>
      </c>
      <c r="AJ548" s="20">
        <v>0</v>
      </c>
      <c r="AK548" s="20">
        <v>0</v>
      </c>
      <c r="AL548" s="20">
        <v>0</v>
      </c>
      <c r="AM548" s="20">
        <v>0</v>
      </c>
      <c r="AN548" s="20">
        <v>0</v>
      </c>
      <c r="AO548" s="20">
        <v>0</v>
      </c>
      <c r="AP548" s="20">
        <v>0</v>
      </c>
      <c r="AQ548" s="20">
        <v>0</v>
      </c>
      <c r="AR548" s="20">
        <v>0</v>
      </c>
      <c r="AS548" s="20">
        <v>0</v>
      </c>
      <c r="AT548" s="20">
        <v>0</v>
      </c>
      <c r="AU548" s="20">
        <v>0</v>
      </c>
      <c r="AV548" s="20">
        <v>0</v>
      </c>
      <c r="AW548" s="20">
        <v>0</v>
      </c>
      <c r="AX548" s="20">
        <v>0</v>
      </c>
      <c r="AY548" s="20">
        <v>0</v>
      </c>
      <c r="AZ548" s="20">
        <v>0</v>
      </c>
      <c r="BA548" s="20">
        <v>0</v>
      </c>
      <c r="BB548" s="27">
        <v>0</v>
      </c>
      <c r="BC548" s="20">
        <v>0</v>
      </c>
      <c r="BD548" s="20">
        <v>0</v>
      </c>
      <c r="BE548" s="21">
        <v>0</v>
      </c>
      <c r="BF548" s="21">
        <v>0</v>
      </c>
      <c r="BG548" s="20">
        <v>0</v>
      </c>
      <c r="BH548" s="20">
        <v>0</v>
      </c>
      <c r="BI548" s="22">
        <f t="shared" si="145"/>
        <v>12</v>
      </c>
      <c r="BJ548" s="22">
        <f t="shared" si="146"/>
        <v>11</v>
      </c>
      <c r="BK548" s="28">
        <f t="shared" si="147"/>
        <v>23</v>
      </c>
      <c r="BL548" s="22">
        <f t="shared" si="148"/>
        <v>12</v>
      </c>
      <c r="BM548" s="22">
        <f t="shared" si="144"/>
        <v>11</v>
      </c>
      <c r="BN548" s="23">
        <f t="shared" si="138"/>
        <v>0</v>
      </c>
      <c r="BO548" s="23">
        <f t="shared" si="138"/>
        <v>0</v>
      </c>
      <c r="BP548" s="7" t="e">
        <f>VLOOKUP(A548,[1]Sheet15!B:E,4,0)</f>
        <v>#N/A</v>
      </c>
      <c r="BQ548" s="7" t="e">
        <f>VLOOKUP(A548,[1]Sheet15!B:E,3,0)</f>
        <v>#N/A</v>
      </c>
    </row>
    <row r="549" spans="1:69" ht="22.5" customHeight="1" x14ac:dyDescent="0.25">
      <c r="A549" s="15" t="s">
        <v>1330</v>
      </c>
      <c r="B549" s="15" t="e">
        <f>VLOOKUP(A549,'[1]Master clients'!F532:W4079,17,0)</f>
        <v>#N/A</v>
      </c>
      <c r="C549" s="15" t="e">
        <f>VLOOKUP(A549,'[1]Master clients'!F532:P4079,11,0)</f>
        <v>#N/A</v>
      </c>
      <c r="D549" s="15" t="str">
        <f>VLOOKUP(A549,'[1]Master clients'!F:M,8,0)</f>
        <v>End User</v>
      </c>
      <c r="E549" s="24" t="s">
        <v>1331</v>
      </c>
      <c r="F549" s="25" t="s">
        <v>1323</v>
      </c>
      <c r="G549" s="20">
        <v>0</v>
      </c>
      <c r="H549" s="20">
        <v>0</v>
      </c>
      <c r="I549" s="26">
        <v>4</v>
      </c>
      <c r="J549" s="26">
        <v>0</v>
      </c>
      <c r="K549" s="20">
        <v>15</v>
      </c>
      <c r="L549" s="20">
        <v>0</v>
      </c>
      <c r="M549" s="20">
        <v>0</v>
      </c>
      <c r="N549" s="20">
        <v>0</v>
      </c>
      <c r="O549" s="20">
        <v>4</v>
      </c>
      <c r="P549" s="20">
        <v>0</v>
      </c>
      <c r="Q549" s="20">
        <v>10</v>
      </c>
      <c r="R549" s="20">
        <v>12</v>
      </c>
      <c r="S549" s="20">
        <v>0</v>
      </c>
      <c r="T549" s="20">
        <v>0</v>
      </c>
      <c r="U549" s="20">
        <v>0</v>
      </c>
      <c r="V549" s="20">
        <v>0</v>
      </c>
      <c r="W549" s="20">
        <v>0</v>
      </c>
      <c r="X549" s="20">
        <v>0</v>
      </c>
      <c r="Y549" s="20">
        <v>0</v>
      </c>
      <c r="Z549" s="20">
        <v>0</v>
      </c>
      <c r="AA549" s="20">
        <v>0</v>
      </c>
      <c r="AB549" s="20">
        <v>0</v>
      </c>
      <c r="AC549" s="20">
        <v>0</v>
      </c>
      <c r="AD549" s="20">
        <v>0</v>
      </c>
      <c r="AE549" s="20">
        <v>0</v>
      </c>
      <c r="AF549" s="20">
        <v>0</v>
      </c>
      <c r="AG549" s="20">
        <v>0</v>
      </c>
      <c r="AH549" s="20">
        <v>0</v>
      </c>
      <c r="AI549" s="20">
        <v>0</v>
      </c>
      <c r="AJ549" s="20">
        <v>0</v>
      </c>
      <c r="AK549" s="20">
        <v>0</v>
      </c>
      <c r="AL549" s="20">
        <v>0</v>
      </c>
      <c r="AM549" s="20">
        <v>0</v>
      </c>
      <c r="AN549" s="20">
        <v>0</v>
      </c>
      <c r="AO549" s="20">
        <v>0</v>
      </c>
      <c r="AP549" s="20">
        <v>0</v>
      </c>
      <c r="AQ549" s="20">
        <v>0</v>
      </c>
      <c r="AR549" s="20">
        <v>0</v>
      </c>
      <c r="AS549" s="20">
        <v>0</v>
      </c>
      <c r="AT549" s="20">
        <v>0</v>
      </c>
      <c r="AU549" s="20">
        <v>0</v>
      </c>
      <c r="AV549" s="20">
        <v>0</v>
      </c>
      <c r="AW549" s="20">
        <v>0</v>
      </c>
      <c r="AX549" s="20">
        <v>0</v>
      </c>
      <c r="AY549" s="20">
        <v>0</v>
      </c>
      <c r="AZ549" s="20">
        <v>0</v>
      </c>
      <c r="BA549" s="20">
        <v>0</v>
      </c>
      <c r="BB549" s="27">
        <v>0</v>
      </c>
      <c r="BC549" s="20">
        <v>0</v>
      </c>
      <c r="BD549" s="20">
        <v>0</v>
      </c>
      <c r="BE549" s="21">
        <v>0</v>
      </c>
      <c r="BF549" s="21">
        <v>0</v>
      </c>
      <c r="BG549" s="20">
        <v>0</v>
      </c>
      <c r="BH549" s="20">
        <v>0</v>
      </c>
      <c r="BI549" s="22">
        <f t="shared" si="145"/>
        <v>27</v>
      </c>
      <c r="BJ549" s="22">
        <f t="shared" si="146"/>
        <v>14</v>
      </c>
      <c r="BK549" s="28">
        <f t="shared" si="147"/>
        <v>45</v>
      </c>
      <c r="BL549" s="22">
        <f t="shared" si="148"/>
        <v>31</v>
      </c>
      <c r="BM549" s="22">
        <f t="shared" si="144"/>
        <v>14</v>
      </c>
      <c r="BN549" s="23">
        <f t="shared" ref="BN549:BO564" si="149">I549/BL549</f>
        <v>0.12903225806451613</v>
      </c>
      <c r="BO549" s="23">
        <f t="shared" si="149"/>
        <v>0</v>
      </c>
      <c r="BP549" s="7">
        <f>VLOOKUP(A549,[1]Sheet15!B:E,4,0)</f>
        <v>4</v>
      </c>
      <c r="BQ549" s="7">
        <f>VLOOKUP(A549,[1]Sheet15!B:E,3,0)</f>
        <v>0</v>
      </c>
    </row>
    <row r="550" spans="1:69" ht="22.5" customHeight="1" x14ac:dyDescent="0.25">
      <c r="A550" s="15" t="s">
        <v>1332</v>
      </c>
      <c r="B550" s="15" t="str">
        <f>VLOOKUP(A550,'[1]Master clients'!F533:W4080,17,0)</f>
        <v>Mar</v>
      </c>
      <c r="C550" s="15" t="str">
        <f>VLOOKUP(A550,'[1]Master clients'!F533:P4080,11,0)</f>
        <v>NI</v>
      </c>
      <c r="D550" s="15" t="str">
        <f>VLOOKUP(A550,'[1]Master clients'!F:M,8,0)</f>
        <v>End User</v>
      </c>
      <c r="E550" s="24" t="s">
        <v>1333</v>
      </c>
      <c r="F550" s="25" t="s">
        <v>1323</v>
      </c>
      <c r="G550" s="20">
        <v>0</v>
      </c>
      <c r="H550" s="20">
        <v>0</v>
      </c>
      <c r="I550" s="26">
        <v>8</v>
      </c>
      <c r="J550" s="26">
        <v>0</v>
      </c>
      <c r="K550" s="20">
        <v>14</v>
      </c>
      <c r="L550" s="20">
        <v>0</v>
      </c>
      <c r="M550" s="20">
        <v>0</v>
      </c>
      <c r="N550" s="20">
        <v>14</v>
      </c>
      <c r="O550" s="20">
        <v>0</v>
      </c>
      <c r="P550" s="20">
        <v>0</v>
      </c>
      <c r="Q550" s="20">
        <v>0</v>
      </c>
      <c r="R550" s="20">
        <v>0</v>
      </c>
      <c r="S550" s="20">
        <v>0</v>
      </c>
      <c r="T550" s="20">
        <v>0</v>
      </c>
      <c r="U550" s="20">
        <v>0</v>
      </c>
      <c r="V550" s="20">
        <v>0</v>
      </c>
      <c r="W550" s="20">
        <v>0</v>
      </c>
      <c r="X550" s="20">
        <v>0</v>
      </c>
      <c r="Y550" s="20">
        <v>0</v>
      </c>
      <c r="Z550" s="20">
        <v>0</v>
      </c>
      <c r="AA550" s="20">
        <v>0</v>
      </c>
      <c r="AB550" s="20">
        <v>0</v>
      </c>
      <c r="AC550" s="20">
        <v>0</v>
      </c>
      <c r="AD550" s="20">
        <v>0</v>
      </c>
      <c r="AE550" s="20">
        <v>0</v>
      </c>
      <c r="AF550" s="20">
        <v>0</v>
      </c>
      <c r="AG550" s="20">
        <v>0</v>
      </c>
      <c r="AH550" s="20">
        <v>0</v>
      </c>
      <c r="AI550" s="20">
        <v>0</v>
      </c>
      <c r="AJ550" s="20">
        <v>0</v>
      </c>
      <c r="AK550" s="20">
        <v>0</v>
      </c>
      <c r="AL550" s="20">
        <v>0</v>
      </c>
      <c r="AM550" s="20">
        <v>0</v>
      </c>
      <c r="AN550" s="20">
        <v>0</v>
      </c>
      <c r="AO550" s="20">
        <v>0</v>
      </c>
      <c r="AP550" s="20">
        <v>0</v>
      </c>
      <c r="AQ550" s="20">
        <v>0</v>
      </c>
      <c r="AR550" s="20">
        <v>0</v>
      </c>
      <c r="AS550" s="20">
        <v>0</v>
      </c>
      <c r="AT550" s="20">
        <v>0</v>
      </c>
      <c r="AU550" s="20">
        <v>0</v>
      </c>
      <c r="AV550" s="20">
        <v>0</v>
      </c>
      <c r="AW550" s="20">
        <v>0</v>
      </c>
      <c r="AX550" s="20">
        <v>0</v>
      </c>
      <c r="AY550" s="20">
        <v>0</v>
      </c>
      <c r="AZ550" s="20">
        <v>0</v>
      </c>
      <c r="BA550" s="20">
        <v>0</v>
      </c>
      <c r="BB550" s="27">
        <v>0</v>
      </c>
      <c r="BC550" s="20">
        <v>0</v>
      </c>
      <c r="BD550" s="20">
        <v>0</v>
      </c>
      <c r="BE550" s="21">
        <v>0</v>
      </c>
      <c r="BF550" s="21">
        <v>0</v>
      </c>
      <c r="BG550" s="20">
        <v>0</v>
      </c>
      <c r="BH550" s="20">
        <v>0</v>
      </c>
      <c r="BI550" s="22">
        <f t="shared" si="145"/>
        <v>14</v>
      </c>
      <c r="BJ550" s="22">
        <f t="shared" si="146"/>
        <v>14</v>
      </c>
      <c r="BK550" s="28">
        <f t="shared" si="147"/>
        <v>36</v>
      </c>
      <c r="BL550" s="22">
        <f t="shared" si="148"/>
        <v>22</v>
      </c>
      <c r="BM550" s="22">
        <f t="shared" si="144"/>
        <v>14</v>
      </c>
      <c r="BN550" s="23">
        <f t="shared" si="149"/>
        <v>0.36363636363636365</v>
      </c>
      <c r="BO550" s="23">
        <f t="shared" si="149"/>
        <v>0</v>
      </c>
      <c r="BP550" s="7">
        <f>VLOOKUP(A550,[1]Sheet15!B:E,4,0)</f>
        <v>3</v>
      </c>
      <c r="BQ550" s="7">
        <f>VLOOKUP(A550,[1]Sheet15!B:E,3,0)</f>
        <v>0</v>
      </c>
    </row>
    <row r="551" spans="1:69" ht="22.5" customHeight="1" x14ac:dyDescent="0.25">
      <c r="A551" s="15" t="s">
        <v>1334</v>
      </c>
      <c r="B551" s="15">
        <f>VLOOKUP(A551,'[1]Master clients'!F534:W4081,17,0)</f>
        <v>0</v>
      </c>
      <c r="C551" s="15" t="str">
        <f>VLOOKUP(A551,'[1]Master clients'!F534:P4081,11,0)</f>
        <v>NI</v>
      </c>
      <c r="D551" s="15" t="str">
        <f>VLOOKUP(A551,'[1]Master clients'!F:M,8,0)</f>
        <v>End User</v>
      </c>
      <c r="E551" s="16" t="s">
        <v>1335</v>
      </c>
      <c r="F551" s="16" t="s">
        <v>1323</v>
      </c>
      <c r="G551" s="17"/>
      <c r="H551" s="17"/>
      <c r="I551" s="26">
        <v>2</v>
      </c>
      <c r="J551" s="31">
        <v>0</v>
      </c>
      <c r="K551" s="17">
        <v>0</v>
      </c>
      <c r="L551" s="17">
        <v>0</v>
      </c>
      <c r="M551" s="17">
        <v>0</v>
      </c>
      <c r="N551" s="17">
        <v>0</v>
      </c>
      <c r="O551" s="17">
        <v>0</v>
      </c>
      <c r="P551" s="17">
        <v>0</v>
      </c>
      <c r="Q551" s="17">
        <v>0</v>
      </c>
      <c r="R551" s="17">
        <v>0</v>
      </c>
      <c r="S551" s="17">
        <v>0</v>
      </c>
      <c r="T551" s="17">
        <v>0</v>
      </c>
      <c r="U551" s="17">
        <v>0</v>
      </c>
      <c r="V551" s="17">
        <v>0</v>
      </c>
      <c r="W551" s="17">
        <v>0</v>
      </c>
      <c r="X551" s="17">
        <v>0</v>
      </c>
      <c r="Y551" s="17">
        <v>0</v>
      </c>
      <c r="Z551" s="17">
        <v>0</v>
      </c>
      <c r="AA551" s="17">
        <v>0</v>
      </c>
      <c r="AB551" s="17">
        <v>0</v>
      </c>
      <c r="AC551" s="17">
        <v>0</v>
      </c>
      <c r="AD551" s="17">
        <v>0</v>
      </c>
      <c r="AE551" s="17">
        <v>0</v>
      </c>
      <c r="AF551" s="17">
        <v>0</v>
      </c>
      <c r="AG551" s="17">
        <v>0</v>
      </c>
      <c r="AH551" s="17">
        <v>0</v>
      </c>
      <c r="AI551" s="17">
        <v>0</v>
      </c>
      <c r="AJ551" s="17">
        <v>0</v>
      </c>
      <c r="AK551" s="17">
        <v>0</v>
      </c>
      <c r="AL551" s="17">
        <v>0</v>
      </c>
      <c r="AM551" s="17">
        <v>0</v>
      </c>
      <c r="AN551" s="17">
        <v>0</v>
      </c>
      <c r="AO551" s="17">
        <v>0</v>
      </c>
      <c r="AP551" s="17">
        <v>0</v>
      </c>
      <c r="AQ551" s="17">
        <v>0</v>
      </c>
      <c r="AR551" s="17">
        <v>0</v>
      </c>
      <c r="AS551" s="17">
        <v>0</v>
      </c>
      <c r="AT551" s="17">
        <v>0</v>
      </c>
      <c r="AU551" s="17">
        <v>0</v>
      </c>
      <c r="AV551" s="17">
        <v>0</v>
      </c>
      <c r="AW551" s="17">
        <v>0</v>
      </c>
      <c r="AX551" s="17">
        <v>0</v>
      </c>
      <c r="AY551" s="17">
        <v>0</v>
      </c>
      <c r="AZ551" s="17">
        <v>0</v>
      </c>
      <c r="BA551" s="17">
        <v>0</v>
      </c>
      <c r="BB551" s="17">
        <v>0</v>
      </c>
      <c r="BC551" s="17">
        <v>0</v>
      </c>
      <c r="BD551" s="17">
        <v>0</v>
      </c>
      <c r="BE551" s="17">
        <v>0</v>
      </c>
      <c r="BF551" s="17">
        <v>0</v>
      </c>
      <c r="BG551" s="17">
        <v>0</v>
      </c>
      <c r="BH551" s="17">
        <v>0</v>
      </c>
      <c r="BI551" s="22">
        <f t="shared" si="145"/>
        <v>0</v>
      </c>
      <c r="BJ551" s="22">
        <f t="shared" si="146"/>
        <v>0</v>
      </c>
      <c r="BK551" s="28">
        <f t="shared" si="147"/>
        <v>2</v>
      </c>
      <c r="BL551" s="22">
        <f t="shared" si="148"/>
        <v>2</v>
      </c>
      <c r="BM551" s="22">
        <f t="shared" si="144"/>
        <v>0</v>
      </c>
      <c r="BN551" s="23">
        <f t="shared" si="149"/>
        <v>1</v>
      </c>
      <c r="BO551" s="23" t="e">
        <f t="shared" si="149"/>
        <v>#DIV/0!</v>
      </c>
      <c r="BP551" s="7">
        <f>VLOOKUP(A551,[1]Sheet15!B:E,4,0)</f>
        <v>2</v>
      </c>
      <c r="BQ551" s="7">
        <f>VLOOKUP(A551,[1]Sheet15!B:E,3,0)</f>
        <v>0</v>
      </c>
    </row>
    <row r="552" spans="1:69" ht="22.5" customHeight="1" x14ac:dyDescent="0.25">
      <c r="A552" s="15" t="s">
        <v>1334</v>
      </c>
      <c r="B552" s="35" t="e">
        <f>VLOOKUP(A552,'[1]Master clients'!F910:W4457,17,0)</f>
        <v>#N/A</v>
      </c>
      <c r="C552" s="15" t="e">
        <f>VLOOKUP(A552,'[1]Master clients'!F910:P4457,11,0)</f>
        <v>#N/A</v>
      </c>
      <c r="D552" s="15" t="str">
        <f>VLOOKUP(A552,'[1]Master clients'!F:M,8,0)</f>
        <v>End User</v>
      </c>
      <c r="E552" s="16" t="s">
        <v>1335</v>
      </c>
      <c r="F552" s="29" t="s">
        <v>1323</v>
      </c>
      <c r="G552" s="20"/>
      <c r="H552" s="20"/>
      <c r="I552" s="26">
        <v>2</v>
      </c>
      <c r="J552" s="18">
        <v>0</v>
      </c>
      <c r="K552" s="20">
        <v>0</v>
      </c>
      <c r="L552" s="20">
        <v>0</v>
      </c>
      <c r="M552" s="20">
        <v>0</v>
      </c>
      <c r="N552" s="20">
        <v>0</v>
      </c>
      <c r="O552" s="20">
        <v>0</v>
      </c>
      <c r="P552" s="20">
        <v>0</v>
      </c>
      <c r="Q552" s="20">
        <v>0</v>
      </c>
      <c r="R552" s="20">
        <v>0</v>
      </c>
      <c r="S552" s="20">
        <v>0</v>
      </c>
      <c r="T552" s="20">
        <v>0</v>
      </c>
      <c r="U552" s="20">
        <v>0</v>
      </c>
      <c r="V552" s="20">
        <v>0</v>
      </c>
      <c r="W552" s="20">
        <v>0</v>
      </c>
      <c r="X552" s="20">
        <v>0</v>
      </c>
      <c r="Y552" s="20">
        <v>0</v>
      </c>
      <c r="Z552" s="20">
        <v>0</v>
      </c>
      <c r="AA552" s="20">
        <v>0</v>
      </c>
      <c r="AB552" s="20">
        <v>0</v>
      </c>
      <c r="AC552" s="20">
        <v>0</v>
      </c>
      <c r="AD552" s="20">
        <v>0</v>
      </c>
      <c r="AE552" s="20">
        <v>0</v>
      </c>
      <c r="AF552" s="20">
        <v>0</v>
      </c>
      <c r="AG552" s="20">
        <v>0</v>
      </c>
      <c r="AH552" s="20">
        <v>0</v>
      </c>
      <c r="AI552" s="20">
        <v>0</v>
      </c>
      <c r="AJ552" s="20">
        <v>0</v>
      </c>
      <c r="AK552" s="20">
        <v>0</v>
      </c>
      <c r="AL552" s="20">
        <v>0</v>
      </c>
      <c r="AM552" s="20">
        <v>0</v>
      </c>
      <c r="AN552" s="20">
        <v>0</v>
      </c>
      <c r="AO552" s="20">
        <v>4</v>
      </c>
      <c r="AP552" s="20">
        <v>0</v>
      </c>
      <c r="AQ552" s="20">
        <v>0</v>
      </c>
      <c r="AR552" s="20">
        <v>0</v>
      </c>
      <c r="AS552" s="20">
        <v>0</v>
      </c>
      <c r="AT552" s="20">
        <v>0</v>
      </c>
      <c r="AU552" s="20">
        <v>0</v>
      </c>
      <c r="AV552" s="20">
        <v>0</v>
      </c>
      <c r="AW552" s="20">
        <v>0</v>
      </c>
      <c r="AX552" s="20">
        <v>0</v>
      </c>
      <c r="AY552" s="20">
        <v>0</v>
      </c>
      <c r="AZ552" s="20">
        <v>0</v>
      </c>
      <c r="BA552" s="20">
        <v>0</v>
      </c>
      <c r="BB552" s="20">
        <v>0</v>
      </c>
      <c r="BC552" s="20">
        <v>0</v>
      </c>
      <c r="BD552" s="20">
        <v>0</v>
      </c>
      <c r="BE552" s="20">
        <v>0</v>
      </c>
      <c r="BF552" s="20">
        <v>0</v>
      </c>
      <c r="BG552" s="20">
        <v>0</v>
      </c>
      <c r="BH552" s="20">
        <v>0</v>
      </c>
      <c r="BI552" s="22">
        <f t="shared" si="145"/>
        <v>4</v>
      </c>
      <c r="BJ552" s="22">
        <f t="shared" si="146"/>
        <v>0</v>
      </c>
      <c r="BK552" s="28">
        <f t="shared" si="147"/>
        <v>6</v>
      </c>
      <c r="BL552" s="22">
        <f t="shared" si="148"/>
        <v>6</v>
      </c>
      <c r="BM552" s="22">
        <f t="shared" si="144"/>
        <v>0</v>
      </c>
      <c r="BN552" s="23">
        <f t="shared" si="149"/>
        <v>0.33333333333333331</v>
      </c>
      <c r="BO552" s="23" t="e">
        <f t="shared" si="149"/>
        <v>#DIV/0!</v>
      </c>
      <c r="BP552" s="7">
        <f>VLOOKUP(A552,[1]Sheet15!B:E,4,0)</f>
        <v>2</v>
      </c>
      <c r="BQ552" s="7">
        <f>VLOOKUP(A552,[1]Sheet15!B:E,3,0)</f>
        <v>0</v>
      </c>
    </row>
    <row r="553" spans="1:69" ht="22.5" customHeight="1" x14ac:dyDescent="0.25">
      <c r="A553" s="15" t="s">
        <v>1336</v>
      </c>
      <c r="B553" s="15">
        <f>VLOOKUP(A553,'[1]Master clients'!F535:W4082,17,0)</f>
        <v>0</v>
      </c>
      <c r="C553" s="15" t="str">
        <f>VLOOKUP(A553,'[1]Master clients'!F535:P4082,11,0)</f>
        <v>NI</v>
      </c>
      <c r="D553" s="15" t="str">
        <f>VLOOKUP(A553,'[1]Master clients'!F:M,8,0)</f>
        <v>End User</v>
      </c>
      <c r="E553" s="16" t="s">
        <v>1337</v>
      </c>
      <c r="F553" s="16" t="s">
        <v>1323</v>
      </c>
      <c r="G553" s="17"/>
      <c r="H553" s="17">
        <v>1</v>
      </c>
      <c r="I553" s="31">
        <v>0</v>
      </c>
      <c r="J553" s="31">
        <v>1</v>
      </c>
      <c r="K553" s="17">
        <v>0</v>
      </c>
      <c r="L553" s="17">
        <v>0</v>
      </c>
      <c r="M553" s="17">
        <v>0</v>
      </c>
      <c r="N553" s="17">
        <v>0</v>
      </c>
      <c r="O553" s="17">
        <v>0</v>
      </c>
      <c r="P553" s="17">
        <v>0</v>
      </c>
      <c r="Q553" s="17">
        <v>0</v>
      </c>
      <c r="R553" s="17">
        <v>0</v>
      </c>
      <c r="S553" s="17">
        <v>0</v>
      </c>
      <c r="T553" s="17">
        <v>0</v>
      </c>
      <c r="U553" s="17">
        <v>0</v>
      </c>
      <c r="V553" s="17">
        <v>0</v>
      </c>
      <c r="W553" s="17">
        <v>0</v>
      </c>
      <c r="X553" s="17">
        <v>0</v>
      </c>
      <c r="Y553" s="17">
        <v>0</v>
      </c>
      <c r="Z553" s="17">
        <v>0</v>
      </c>
      <c r="AA553" s="17">
        <v>0</v>
      </c>
      <c r="AB553" s="17">
        <v>0</v>
      </c>
      <c r="AC553" s="17">
        <v>0</v>
      </c>
      <c r="AD553" s="17">
        <v>0</v>
      </c>
      <c r="AE553" s="17">
        <v>0</v>
      </c>
      <c r="AF553" s="17">
        <v>0</v>
      </c>
      <c r="AG553" s="17">
        <v>0</v>
      </c>
      <c r="AH553" s="17">
        <v>0</v>
      </c>
      <c r="AI553" s="17">
        <v>0</v>
      </c>
      <c r="AJ553" s="17">
        <v>0</v>
      </c>
      <c r="AK553" s="17">
        <v>0</v>
      </c>
      <c r="AL553" s="17">
        <v>0</v>
      </c>
      <c r="AM553" s="17">
        <v>0</v>
      </c>
      <c r="AN553" s="17">
        <v>0</v>
      </c>
      <c r="AO553" s="17">
        <v>0</v>
      </c>
      <c r="AP553" s="17">
        <v>0</v>
      </c>
      <c r="AQ553" s="17">
        <v>0</v>
      </c>
      <c r="AR553" s="17">
        <v>0</v>
      </c>
      <c r="AS553" s="17">
        <v>0</v>
      </c>
      <c r="AT553" s="17">
        <v>0</v>
      </c>
      <c r="AU553" s="17">
        <v>0</v>
      </c>
      <c r="AV553" s="17">
        <v>0</v>
      </c>
      <c r="AW553" s="17">
        <v>0</v>
      </c>
      <c r="AX553" s="17">
        <v>0</v>
      </c>
      <c r="AY553" s="17">
        <v>0</v>
      </c>
      <c r="AZ553" s="17">
        <v>0</v>
      </c>
      <c r="BA553" s="17">
        <v>0</v>
      </c>
      <c r="BB553" s="17">
        <v>0</v>
      </c>
      <c r="BC553" s="17">
        <v>0</v>
      </c>
      <c r="BD553" s="17">
        <v>0</v>
      </c>
      <c r="BE553" s="17">
        <v>0</v>
      </c>
      <c r="BF553" s="17">
        <v>0</v>
      </c>
      <c r="BG553" s="17">
        <v>0</v>
      </c>
      <c r="BH553" s="17">
        <v>0</v>
      </c>
      <c r="BI553" s="22">
        <f t="shared" si="145"/>
        <v>0</v>
      </c>
      <c r="BJ553" s="22">
        <f t="shared" si="146"/>
        <v>0</v>
      </c>
      <c r="BK553" s="22">
        <f t="shared" si="147"/>
        <v>1</v>
      </c>
      <c r="BL553" s="22">
        <f t="shared" si="148"/>
        <v>0</v>
      </c>
      <c r="BM553" s="22">
        <f t="shared" si="144"/>
        <v>1</v>
      </c>
      <c r="BN553" s="23" t="e">
        <f t="shared" si="149"/>
        <v>#DIV/0!</v>
      </c>
      <c r="BO553" s="23">
        <f t="shared" si="149"/>
        <v>1</v>
      </c>
      <c r="BP553" s="7">
        <f>VLOOKUP(A553,[1]Sheet15!B:E,4,0)</f>
        <v>0</v>
      </c>
      <c r="BQ553" s="7">
        <f>VLOOKUP(A553,[1]Sheet15!B:E,3,0)</f>
        <v>1</v>
      </c>
    </row>
    <row r="554" spans="1:69" ht="22.5" customHeight="1" x14ac:dyDescent="0.25">
      <c r="A554" s="15" t="s">
        <v>1338</v>
      </c>
      <c r="B554" s="15" t="str">
        <f>VLOOKUP(A554,'[1]Master clients'!F536:W4083,17,0)</f>
        <v>Mar</v>
      </c>
      <c r="C554" s="15" t="str">
        <f>VLOOKUP(A554,'[1]Master clients'!F536:P4083,11,0)</f>
        <v>NI</v>
      </c>
      <c r="D554" s="15" t="str">
        <f>VLOOKUP(A554,'[1]Master clients'!F:M,8,0)</f>
        <v>End User</v>
      </c>
      <c r="E554" s="24" t="s">
        <v>1339</v>
      </c>
      <c r="F554" s="25" t="s">
        <v>1323</v>
      </c>
      <c r="G554" s="20">
        <v>0</v>
      </c>
      <c r="H554" s="20">
        <v>4</v>
      </c>
      <c r="I554" s="26">
        <v>24</v>
      </c>
      <c r="J554" s="26">
        <v>10</v>
      </c>
      <c r="K554" s="20">
        <v>0</v>
      </c>
      <c r="L554" s="20">
        <v>0</v>
      </c>
      <c r="M554" s="20">
        <v>0</v>
      </c>
      <c r="N554" s="20">
        <v>0</v>
      </c>
      <c r="O554" s="20">
        <v>0</v>
      </c>
      <c r="P554" s="20">
        <v>0</v>
      </c>
      <c r="Q554" s="20">
        <v>3</v>
      </c>
      <c r="R554" s="20">
        <v>0</v>
      </c>
      <c r="S554" s="20">
        <v>0</v>
      </c>
      <c r="T554" s="20">
        <v>0</v>
      </c>
      <c r="U554" s="20">
        <v>0</v>
      </c>
      <c r="V554" s="20">
        <v>0</v>
      </c>
      <c r="W554" s="20">
        <v>0</v>
      </c>
      <c r="X554" s="20">
        <v>0</v>
      </c>
      <c r="Y554" s="20">
        <v>0</v>
      </c>
      <c r="Z554" s="20">
        <v>0</v>
      </c>
      <c r="AA554" s="20">
        <v>0</v>
      </c>
      <c r="AB554" s="20">
        <v>0</v>
      </c>
      <c r="AC554" s="20">
        <v>0</v>
      </c>
      <c r="AD554" s="20">
        <v>0</v>
      </c>
      <c r="AE554" s="20">
        <v>0</v>
      </c>
      <c r="AF554" s="20">
        <v>0</v>
      </c>
      <c r="AG554" s="20">
        <v>0</v>
      </c>
      <c r="AH554" s="20">
        <v>0</v>
      </c>
      <c r="AI554" s="20">
        <v>0</v>
      </c>
      <c r="AJ554" s="20">
        <v>0</v>
      </c>
      <c r="AK554" s="20">
        <v>0</v>
      </c>
      <c r="AL554" s="20">
        <v>0</v>
      </c>
      <c r="AM554" s="20">
        <v>0</v>
      </c>
      <c r="AN554" s="20">
        <v>0</v>
      </c>
      <c r="AO554" s="20">
        <v>0</v>
      </c>
      <c r="AP554" s="20">
        <v>0</v>
      </c>
      <c r="AQ554" s="20">
        <v>0</v>
      </c>
      <c r="AR554" s="20">
        <v>0</v>
      </c>
      <c r="AS554" s="20">
        <v>0</v>
      </c>
      <c r="AT554" s="20">
        <v>0</v>
      </c>
      <c r="AU554" s="20">
        <v>0</v>
      </c>
      <c r="AV554" s="20">
        <v>0</v>
      </c>
      <c r="AW554" s="20">
        <v>0</v>
      </c>
      <c r="AX554" s="20">
        <v>0</v>
      </c>
      <c r="AY554" s="20">
        <v>0</v>
      </c>
      <c r="AZ554" s="20">
        <v>0</v>
      </c>
      <c r="BA554" s="20">
        <v>0</v>
      </c>
      <c r="BB554" s="27">
        <v>0</v>
      </c>
      <c r="BC554" s="20">
        <v>0</v>
      </c>
      <c r="BD554" s="20">
        <v>0</v>
      </c>
      <c r="BE554" s="21">
        <v>0</v>
      </c>
      <c r="BF554" s="21">
        <v>0</v>
      </c>
      <c r="BG554" s="20">
        <v>0</v>
      </c>
      <c r="BH554" s="20">
        <v>0</v>
      </c>
      <c r="BI554" s="22">
        <f t="shared" si="145"/>
        <v>0</v>
      </c>
      <c r="BJ554" s="22">
        <f t="shared" si="146"/>
        <v>3</v>
      </c>
      <c r="BK554" s="28">
        <f t="shared" si="147"/>
        <v>37</v>
      </c>
      <c r="BL554" s="22">
        <f t="shared" si="148"/>
        <v>24</v>
      </c>
      <c r="BM554" s="22">
        <f t="shared" si="144"/>
        <v>13</v>
      </c>
      <c r="BN554" s="23">
        <f t="shared" si="149"/>
        <v>1</v>
      </c>
      <c r="BO554" s="23">
        <f t="shared" si="149"/>
        <v>0.76923076923076927</v>
      </c>
      <c r="BP554" s="7">
        <f>VLOOKUP(A554,[1]Sheet15!B:E,4,0)</f>
        <v>2</v>
      </c>
      <c r="BQ554" s="7">
        <f>VLOOKUP(A554,[1]Sheet15!B:E,3,0)</f>
        <v>5</v>
      </c>
    </row>
    <row r="555" spans="1:69" ht="22.5" customHeight="1" x14ac:dyDescent="0.25">
      <c r="A555" s="15" t="s">
        <v>1340</v>
      </c>
      <c r="B555" s="15" t="str">
        <f>VLOOKUP(A555,'[1]Master clients'!F537:W4084,17,0)</f>
        <v>Mar</v>
      </c>
      <c r="C555" s="15" t="str">
        <f>VLOOKUP(A555,'[1]Master clients'!F537:P4084,11,0)</f>
        <v>NI</v>
      </c>
      <c r="D555" s="15" t="str">
        <f>VLOOKUP(A555,'[1]Master clients'!F:M,8,0)</f>
        <v>End User</v>
      </c>
      <c r="E555" s="24" t="s">
        <v>1341</v>
      </c>
      <c r="F555" s="25" t="s">
        <v>1342</v>
      </c>
      <c r="G555" s="20">
        <v>0</v>
      </c>
      <c r="H555" s="20">
        <v>0</v>
      </c>
      <c r="I555" s="26">
        <v>34</v>
      </c>
      <c r="J555" s="26">
        <v>0</v>
      </c>
      <c r="K555" s="20">
        <v>2</v>
      </c>
      <c r="L555" s="20">
        <v>0</v>
      </c>
      <c r="M555" s="20">
        <v>0</v>
      </c>
      <c r="N555" s="20">
        <v>14</v>
      </c>
      <c r="O555" s="20">
        <v>0</v>
      </c>
      <c r="P555" s="20">
        <v>0</v>
      </c>
      <c r="Q555" s="20">
        <v>0</v>
      </c>
      <c r="R555" s="20">
        <v>0</v>
      </c>
      <c r="S555" s="20">
        <v>0</v>
      </c>
      <c r="T555" s="20">
        <v>0</v>
      </c>
      <c r="U555" s="20">
        <v>0</v>
      </c>
      <c r="V555" s="20">
        <v>0</v>
      </c>
      <c r="W555" s="20">
        <v>0</v>
      </c>
      <c r="X555" s="20">
        <v>0</v>
      </c>
      <c r="Y555" s="20">
        <v>0</v>
      </c>
      <c r="Z555" s="20">
        <v>0</v>
      </c>
      <c r="AA555" s="20">
        <v>0</v>
      </c>
      <c r="AB555" s="20">
        <v>0</v>
      </c>
      <c r="AC555" s="20">
        <v>0</v>
      </c>
      <c r="AD555" s="20">
        <v>0</v>
      </c>
      <c r="AE555" s="20">
        <v>0</v>
      </c>
      <c r="AF555" s="20">
        <v>0</v>
      </c>
      <c r="AG555" s="20">
        <v>0</v>
      </c>
      <c r="AH555" s="20">
        <v>0</v>
      </c>
      <c r="AI555" s="20">
        <v>0</v>
      </c>
      <c r="AJ555" s="20">
        <v>0</v>
      </c>
      <c r="AK555" s="20">
        <v>0</v>
      </c>
      <c r="AL555" s="20">
        <v>0</v>
      </c>
      <c r="AM555" s="20">
        <v>0</v>
      </c>
      <c r="AN555" s="20">
        <v>0</v>
      </c>
      <c r="AO555" s="20">
        <v>0</v>
      </c>
      <c r="AP555" s="20">
        <v>0</v>
      </c>
      <c r="AQ555" s="20">
        <v>0</v>
      </c>
      <c r="AR555" s="20">
        <v>0</v>
      </c>
      <c r="AS555" s="20">
        <v>0</v>
      </c>
      <c r="AT555" s="20">
        <v>0</v>
      </c>
      <c r="AU555" s="20">
        <v>0</v>
      </c>
      <c r="AV555" s="20">
        <v>0</v>
      </c>
      <c r="AW555" s="20">
        <v>0</v>
      </c>
      <c r="AX555" s="20">
        <v>0</v>
      </c>
      <c r="AY555" s="20">
        <v>0</v>
      </c>
      <c r="AZ555" s="20">
        <v>0</v>
      </c>
      <c r="BA555" s="20">
        <v>0</v>
      </c>
      <c r="BB555" s="27">
        <v>0</v>
      </c>
      <c r="BC555" s="20">
        <v>0</v>
      </c>
      <c r="BD555" s="20">
        <v>0</v>
      </c>
      <c r="BE555" s="21">
        <v>0</v>
      </c>
      <c r="BF555" s="21">
        <v>0</v>
      </c>
      <c r="BG555" s="20">
        <v>0</v>
      </c>
      <c r="BH555" s="20">
        <v>0</v>
      </c>
      <c r="BI555" s="22">
        <f t="shared" si="145"/>
        <v>2</v>
      </c>
      <c r="BJ555" s="22">
        <f t="shared" si="146"/>
        <v>14</v>
      </c>
      <c r="BK555" s="28">
        <f t="shared" si="147"/>
        <v>50</v>
      </c>
      <c r="BL555" s="22">
        <f t="shared" si="148"/>
        <v>36</v>
      </c>
      <c r="BM555" s="22">
        <f t="shared" si="144"/>
        <v>14</v>
      </c>
      <c r="BN555" s="23">
        <f t="shared" si="149"/>
        <v>0.94444444444444442</v>
      </c>
      <c r="BO555" s="23">
        <f t="shared" si="149"/>
        <v>0</v>
      </c>
      <c r="BP555" s="7">
        <f>VLOOKUP(A555,[1]Sheet15!B:E,4,0)</f>
        <v>15</v>
      </c>
      <c r="BQ555" s="7">
        <f>VLOOKUP(A555,[1]Sheet15!B:E,3,0)</f>
        <v>0</v>
      </c>
    </row>
    <row r="556" spans="1:69" ht="22.5" customHeight="1" x14ac:dyDescent="0.25">
      <c r="A556" s="15" t="s">
        <v>1343</v>
      </c>
      <c r="B556" s="15">
        <f>VLOOKUP(A556,'[1]Master clients'!F538:W4085,17,0)</f>
        <v>0</v>
      </c>
      <c r="C556" s="15" t="str">
        <f>VLOOKUP(A556,'[1]Master clients'!F538:P4085,11,0)</f>
        <v>-</v>
      </c>
      <c r="D556" s="15" t="str">
        <f>VLOOKUP(A556,'[1]Master clients'!F:M,8,0)</f>
        <v>Group (Mills)</v>
      </c>
      <c r="E556" s="24" t="s">
        <v>1344</v>
      </c>
      <c r="F556" s="25" t="s">
        <v>1342</v>
      </c>
      <c r="G556" s="20"/>
      <c r="H556" s="20"/>
      <c r="I556" s="26">
        <v>38</v>
      </c>
      <c r="J556" s="26">
        <v>0</v>
      </c>
      <c r="K556" s="20">
        <v>0</v>
      </c>
      <c r="L556" s="20">
        <v>0</v>
      </c>
      <c r="M556" s="20">
        <v>0</v>
      </c>
      <c r="N556" s="20">
        <v>14</v>
      </c>
      <c r="O556" s="20">
        <v>0</v>
      </c>
      <c r="P556" s="20">
        <v>0</v>
      </c>
      <c r="Q556" s="20">
        <v>0</v>
      </c>
      <c r="R556" s="20">
        <v>0</v>
      </c>
      <c r="S556" s="20">
        <v>0</v>
      </c>
      <c r="T556" s="20">
        <v>0</v>
      </c>
      <c r="U556" s="20">
        <v>0</v>
      </c>
      <c r="V556" s="20">
        <v>0</v>
      </c>
      <c r="W556" s="20">
        <v>0</v>
      </c>
      <c r="X556" s="20">
        <v>0</v>
      </c>
      <c r="Y556" s="20">
        <v>0</v>
      </c>
      <c r="Z556" s="20">
        <v>0</v>
      </c>
      <c r="AA556" s="20">
        <v>0</v>
      </c>
      <c r="AB556" s="20">
        <v>0</v>
      </c>
      <c r="AC556" s="20">
        <v>0</v>
      </c>
      <c r="AD556" s="20">
        <v>0</v>
      </c>
      <c r="AE556" s="20">
        <v>0</v>
      </c>
      <c r="AF556" s="20">
        <v>0</v>
      </c>
      <c r="AG556" s="20">
        <v>0</v>
      </c>
      <c r="AH556" s="20">
        <v>0</v>
      </c>
      <c r="AI556" s="20">
        <v>0</v>
      </c>
      <c r="AJ556" s="20">
        <v>0</v>
      </c>
      <c r="AK556" s="20">
        <v>0</v>
      </c>
      <c r="AL556" s="20">
        <v>0</v>
      </c>
      <c r="AM556" s="20">
        <v>0</v>
      </c>
      <c r="AN556" s="20">
        <v>0</v>
      </c>
      <c r="AO556" s="20">
        <v>0</v>
      </c>
      <c r="AP556" s="20">
        <v>0</v>
      </c>
      <c r="AQ556" s="20">
        <v>0</v>
      </c>
      <c r="AR556" s="20">
        <v>0</v>
      </c>
      <c r="AS556" s="20">
        <v>0</v>
      </c>
      <c r="AT556" s="20">
        <v>0</v>
      </c>
      <c r="AU556" s="20">
        <v>0</v>
      </c>
      <c r="AV556" s="20">
        <v>0</v>
      </c>
      <c r="AW556" s="20">
        <v>0</v>
      </c>
      <c r="AX556" s="20">
        <v>0</v>
      </c>
      <c r="AY556" s="20">
        <v>0</v>
      </c>
      <c r="AZ556" s="20">
        <v>0</v>
      </c>
      <c r="BA556" s="20">
        <v>0</v>
      </c>
      <c r="BB556" s="27">
        <v>0</v>
      </c>
      <c r="BC556" s="20">
        <v>0</v>
      </c>
      <c r="BD556" s="20">
        <v>0</v>
      </c>
      <c r="BE556" s="21">
        <v>0</v>
      </c>
      <c r="BF556" s="21">
        <v>0</v>
      </c>
      <c r="BG556" s="20">
        <v>0</v>
      </c>
      <c r="BH556" s="20">
        <v>0</v>
      </c>
      <c r="BI556" s="22">
        <f t="shared" si="145"/>
        <v>0</v>
      </c>
      <c r="BJ556" s="22">
        <f t="shared" si="146"/>
        <v>14</v>
      </c>
      <c r="BK556" s="28">
        <f t="shared" si="147"/>
        <v>52</v>
      </c>
      <c r="BL556" s="22">
        <f t="shared" si="148"/>
        <v>38</v>
      </c>
      <c r="BM556" s="22">
        <f t="shared" si="144"/>
        <v>14</v>
      </c>
      <c r="BN556" s="23">
        <f t="shared" si="149"/>
        <v>1</v>
      </c>
      <c r="BO556" s="23">
        <f t="shared" si="149"/>
        <v>0</v>
      </c>
      <c r="BP556" s="7" t="e">
        <f>VLOOKUP(A556,[1]Sheet15!B:E,4,0)</f>
        <v>#N/A</v>
      </c>
      <c r="BQ556" s="7" t="e">
        <f>VLOOKUP(A556,[1]Sheet15!B:E,3,0)</f>
        <v>#N/A</v>
      </c>
    </row>
    <row r="557" spans="1:69" ht="22.5" customHeight="1" x14ac:dyDescent="0.25">
      <c r="A557" s="15" t="s">
        <v>1345</v>
      </c>
      <c r="B557" s="15" t="e">
        <f>VLOOKUP(A557,'[1]Master clients'!F539:W4086,17,0)</f>
        <v>#N/A</v>
      </c>
      <c r="C557" s="15" t="e">
        <f>VLOOKUP(A557,'[1]Master clients'!F539:P4086,11,0)</f>
        <v>#N/A</v>
      </c>
      <c r="D557" s="15" t="str">
        <f>VLOOKUP(A557,'[1]Master clients'!F:M,8,0)</f>
        <v>End User</v>
      </c>
      <c r="E557" s="16" t="s">
        <v>1346</v>
      </c>
      <c r="F557" s="16" t="s">
        <v>1347</v>
      </c>
      <c r="G557" s="17"/>
      <c r="H557" s="17"/>
      <c r="I557" s="26">
        <v>1</v>
      </c>
      <c r="J557" s="18">
        <v>0</v>
      </c>
      <c r="K557" s="17">
        <v>0</v>
      </c>
      <c r="L557" s="17">
        <v>0</v>
      </c>
      <c r="M557" s="17">
        <v>0</v>
      </c>
      <c r="N557" s="17">
        <v>0</v>
      </c>
      <c r="O557" s="17">
        <v>0</v>
      </c>
      <c r="P557" s="17">
        <v>0</v>
      </c>
      <c r="Q557" s="17">
        <v>0</v>
      </c>
      <c r="R557" s="17">
        <v>0</v>
      </c>
      <c r="S557" s="17">
        <v>0</v>
      </c>
      <c r="T557" s="17">
        <v>0</v>
      </c>
      <c r="U557" s="17">
        <v>0</v>
      </c>
      <c r="V557" s="17">
        <v>0</v>
      </c>
      <c r="W557" s="17">
        <v>0</v>
      </c>
      <c r="X557" s="17">
        <v>0</v>
      </c>
      <c r="Y557" s="17">
        <v>0</v>
      </c>
      <c r="Z557" s="17">
        <v>0</v>
      </c>
      <c r="AA557" s="17">
        <v>0</v>
      </c>
      <c r="AB557" s="17">
        <v>0</v>
      </c>
      <c r="AC557" s="17">
        <v>0</v>
      </c>
      <c r="AD557" s="17">
        <v>0</v>
      </c>
      <c r="AE557" s="17">
        <v>0</v>
      </c>
      <c r="AF557" s="17">
        <v>0</v>
      </c>
      <c r="AG557" s="17">
        <v>0</v>
      </c>
      <c r="AH557" s="17">
        <v>0</v>
      </c>
      <c r="AI557" s="17">
        <v>0</v>
      </c>
      <c r="AJ557" s="17">
        <v>0</v>
      </c>
      <c r="AK557" s="17">
        <v>0</v>
      </c>
      <c r="AL557" s="17">
        <v>0</v>
      </c>
      <c r="AM557" s="17">
        <v>0</v>
      </c>
      <c r="AN557" s="17">
        <v>0</v>
      </c>
      <c r="AO557" s="17">
        <v>0</v>
      </c>
      <c r="AP557" s="17">
        <v>0</v>
      </c>
      <c r="AQ557" s="17">
        <v>0</v>
      </c>
      <c r="AR557" s="17">
        <v>0</v>
      </c>
      <c r="AS557" s="17">
        <v>0</v>
      </c>
      <c r="AT557" s="17">
        <v>0</v>
      </c>
      <c r="AU557" s="17">
        <v>0</v>
      </c>
      <c r="AV557" s="17">
        <v>0</v>
      </c>
      <c r="AW557" s="17">
        <v>0</v>
      </c>
      <c r="AX557" s="17">
        <v>0</v>
      </c>
      <c r="AY557" s="17">
        <v>0</v>
      </c>
      <c r="AZ557" s="17">
        <v>0</v>
      </c>
      <c r="BA557" s="17">
        <v>0</v>
      </c>
      <c r="BB557" s="17">
        <v>0</v>
      </c>
      <c r="BC557" s="17">
        <v>0</v>
      </c>
      <c r="BD557" s="17">
        <v>0</v>
      </c>
      <c r="BE557" s="17">
        <v>0</v>
      </c>
      <c r="BF557" s="17">
        <v>0</v>
      </c>
      <c r="BG557" s="17">
        <v>0</v>
      </c>
      <c r="BH557" s="17">
        <v>0</v>
      </c>
      <c r="BI557" s="22">
        <f t="shared" si="145"/>
        <v>0</v>
      </c>
      <c r="BJ557" s="22">
        <f t="shared" si="146"/>
        <v>0</v>
      </c>
      <c r="BK557" s="22">
        <f t="shared" si="147"/>
        <v>1</v>
      </c>
      <c r="BL557" s="22">
        <f t="shared" si="148"/>
        <v>1</v>
      </c>
      <c r="BM557" s="22">
        <f t="shared" si="144"/>
        <v>0</v>
      </c>
      <c r="BN557" s="23">
        <f t="shared" si="149"/>
        <v>1</v>
      </c>
      <c r="BO557" s="23" t="e">
        <f t="shared" si="149"/>
        <v>#DIV/0!</v>
      </c>
      <c r="BP557" s="7">
        <f>VLOOKUP(A557,[1]Sheet15!B:E,4,0)</f>
        <v>1</v>
      </c>
      <c r="BQ557" s="7">
        <f>VLOOKUP(A557,[1]Sheet15!B:E,3,0)</f>
        <v>0</v>
      </c>
    </row>
    <row r="558" spans="1:69" ht="22.5" customHeight="1" x14ac:dyDescent="0.25">
      <c r="A558" s="15" t="s">
        <v>1348</v>
      </c>
      <c r="B558" s="15" t="e">
        <f>VLOOKUP(A558,'[1]Master clients'!F540:W4087,17,0)</f>
        <v>#N/A</v>
      </c>
      <c r="C558" s="15" t="e">
        <f>VLOOKUP(A558,'[1]Master clients'!F540:P4087,11,0)</f>
        <v>#N/A</v>
      </c>
      <c r="D558" s="15" t="str">
        <f>VLOOKUP(A558,'[1]Master clients'!F:M,8,0)</f>
        <v>End User</v>
      </c>
      <c r="E558" s="16" t="s">
        <v>1349</v>
      </c>
      <c r="F558" s="29" t="s">
        <v>553</v>
      </c>
      <c r="G558" s="20"/>
      <c r="H558" s="20"/>
      <c r="I558" s="26">
        <v>7</v>
      </c>
      <c r="J558" s="26">
        <v>4</v>
      </c>
      <c r="K558" s="20">
        <v>0</v>
      </c>
      <c r="L558" s="20">
        <v>0</v>
      </c>
      <c r="M558" s="20">
        <v>0</v>
      </c>
      <c r="N558" s="20">
        <v>2</v>
      </c>
      <c r="O558" s="20">
        <v>0</v>
      </c>
      <c r="P558" s="20">
        <v>0</v>
      </c>
      <c r="Q558" s="20">
        <v>0</v>
      </c>
      <c r="R558" s="20">
        <v>0</v>
      </c>
      <c r="S558" s="20">
        <v>0</v>
      </c>
      <c r="T558" s="20">
        <v>0</v>
      </c>
      <c r="U558" s="20">
        <v>0</v>
      </c>
      <c r="V558" s="20">
        <v>0</v>
      </c>
      <c r="W558" s="20">
        <v>0</v>
      </c>
      <c r="X558" s="20">
        <v>0</v>
      </c>
      <c r="Y558" s="20">
        <v>0</v>
      </c>
      <c r="Z558" s="20">
        <v>0</v>
      </c>
      <c r="AA558" s="20">
        <v>0</v>
      </c>
      <c r="AB558" s="20">
        <v>0</v>
      </c>
      <c r="AC558" s="20">
        <v>0</v>
      </c>
      <c r="AD558" s="20">
        <v>0</v>
      </c>
      <c r="AE558" s="20">
        <v>0</v>
      </c>
      <c r="AF558" s="20">
        <v>0</v>
      </c>
      <c r="AG558" s="20">
        <v>0</v>
      </c>
      <c r="AH558" s="20">
        <v>0</v>
      </c>
      <c r="AI558" s="20">
        <v>0</v>
      </c>
      <c r="AJ558" s="20">
        <v>0</v>
      </c>
      <c r="AK558" s="20">
        <v>13</v>
      </c>
      <c r="AL558" s="20">
        <v>0</v>
      </c>
      <c r="AM558" s="20">
        <v>0</v>
      </c>
      <c r="AN558" s="20">
        <v>0</v>
      </c>
      <c r="AO558" s="20">
        <v>0</v>
      </c>
      <c r="AP558" s="20">
        <v>0</v>
      </c>
      <c r="AQ558" s="20">
        <v>0</v>
      </c>
      <c r="AR558" s="20">
        <v>0</v>
      </c>
      <c r="AS558" s="20">
        <v>0</v>
      </c>
      <c r="AT558" s="20">
        <v>0</v>
      </c>
      <c r="AU558" s="20">
        <v>0</v>
      </c>
      <c r="AV558" s="20">
        <v>0</v>
      </c>
      <c r="AW558" s="20">
        <v>0</v>
      </c>
      <c r="AX558" s="20">
        <v>0</v>
      </c>
      <c r="AY558" s="20">
        <v>0</v>
      </c>
      <c r="AZ558" s="20">
        <v>2</v>
      </c>
      <c r="BA558" s="20">
        <v>0</v>
      </c>
      <c r="BB558" s="20">
        <v>0</v>
      </c>
      <c r="BC558" s="20">
        <v>0</v>
      </c>
      <c r="BD558" s="20">
        <v>0</v>
      </c>
      <c r="BE558" s="20">
        <v>0</v>
      </c>
      <c r="BF558" s="20">
        <v>0</v>
      </c>
      <c r="BG558" s="20">
        <v>0</v>
      </c>
      <c r="BH558" s="20">
        <v>0</v>
      </c>
      <c r="BI558" s="22">
        <f t="shared" si="145"/>
        <v>15</v>
      </c>
      <c r="BJ558" s="22">
        <f t="shared" si="146"/>
        <v>2</v>
      </c>
      <c r="BK558" s="28">
        <f t="shared" si="147"/>
        <v>28</v>
      </c>
      <c r="BL558" s="22">
        <f t="shared" si="148"/>
        <v>22</v>
      </c>
      <c r="BM558" s="22">
        <f t="shared" si="144"/>
        <v>6</v>
      </c>
      <c r="BN558" s="23">
        <f t="shared" si="149"/>
        <v>0.31818181818181818</v>
      </c>
      <c r="BO558" s="23">
        <f t="shared" si="149"/>
        <v>0.66666666666666663</v>
      </c>
      <c r="BP558" s="7">
        <f>VLOOKUP(A558,[1]Sheet15!B:E,4,0)</f>
        <v>8</v>
      </c>
      <c r="BQ558" s="7">
        <f>VLOOKUP(A558,[1]Sheet15!B:E,3,0)</f>
        <v>1</v>
      </c>
    </row>
    <row r="559" spans="1:69" ht="22.5" customHeight="1" x14ac:dyDescent="0.25">
      <c r="A559" s="15" t="s">
        <v>1350</v>
      </c>
      <c r="B559" s="15" t="e">
        <f>VLOOKUP(A559,'[1]Master clients'!F541:W4088,17,0)</f>
        <v>#N/A</v>
      </c>
      <c r="C559" s="15" t="e">
        <f>VLOOKUP(A559,'[1]Master clients'!F541:P4088,11,0)</f>
        <v>#N/A</v>
      </c>
      <c r="D559" s="15" t="str">
        <f>VLOOKUP(A559,'[1]Master clients'!F:M,8,0)</f>
        <v>End User</v>
      </c>
      <c r="E559" s="16" t="s">
        <v>1351</v>
      </c>
      <c r="F559" s="16" t="s">
        <v>1352</v>
      </c>
      <c r="G559" s="17"/>
      <c r="H559" s="17"/>
      <c r="I559" s="18">
        <v>0</v>
      </c>
      <c r="J559" s="18">
        <v>0</v>
      </c>
      <c r="K559" s="17">
        <v>0</v>
      </c>
      <c r="L559" s="17">
        <v>0</v>
      </c>
      <c r="M559" s="17">
        <v>0</v>
      </c>
      <c r="N559" s="17">
        <v>0</v>
      </c>
      <c r="O559" s="17">
        <v>0</v>
      </c>
      <c r="P559" s="17">
        <v>0</v>
      </c>
      <c r="Q559" s="17">
        <v>0</v>
      </c>
      <c r="R559" s="17">
        <v>0</v>
      </c>
      <c r="S559" s="17">
        <v>0</v>
      </c>
      <c r="T559" s="17">
        <v>0</v>
      </c>
      <c r="U559" s="17">
        <v>0</v>
      </c>
      <c r="V559" s="17">
        <v>0</v>
      </c>
      <c r="W559" s="17">
        <v>0</v>
      </c>
      <c r="X559" s="17">
        <v>0</v>
      </c>
      <c r="Y559" s="17">
        <v>0</v>
      </c>
      <c r="Z559" s="17">
        <v>0</v>
      </c>
      <c r="AA559" s="17">
        <v>0</v>
      </c>
      <c r="AB559" s="17">
        <v>0</v>
      </c>
      <c r="AC559" s="17">
        <v>0</v>
      </c>
      <c r="AD559" s="17">
        <v>0</v>
      </c>
      <c r="AE559" s="17">
        <v>0</v>
      </c>
      <c r="AF559" s="17">
        <v>0</v>
      </c>
      <c r="AG559" s="17">
        <v>0</v>
      </c>
      <c r="AH559" s="17">
        <v>0</v>
      </c>
      <c r="AI559" s="17">
        <v>0</v>
      </c>
      <c r="AJ559" s="17">
        <v>0</v>
      </c>
      <c r="AK559" s="17">
        <v>0</v>
      </c>
      <c r="AL559" s="17">
        <v>0</v>
      </c>
      <c r="AM559" s="17">
        <v>0</v>
      </c>
      <c r="AN559" s="17">
        <v>0</v>
      </c>
      <c r="AO559" s="17">
        <v>0</v>
      </c>
      <c r="AP559" s="17">
        <v>0</v>
      </c>
      <c r="AQ559" s="17">
        <v>0</v>
      </c>
      <c r="AR559" s="17">
        <v>0</v>
      </c>
      <c r="AS559" s="17">
        <v>0</v>
      </c>
      <c r="AT559" s="17">
        <v>0</v>
      </c>
      <c r="AU559" s="17">
        <v>0</v>
      </c>
      <c r="AV559" s="17">
        <v>0</v>
      </c>
      <c r="AW559" s="17">
        <v>0</v>
      </c>
      <c r="AX559" s="17">
        <v>0</v>
      </c>
      <c r="AY559" s="17">
        <v>0</v>
      </c>
      <c r="AZ559" s="17">
        <v>0</v>
      </c>
      <c r="BA559" s="17">
        <v>0</v>
      </c>
      <c r="BB559" s="17">
        <v>0</v>
      </c>
      <c r="BC559" s="17">
        <v>0</v>
      </c>
      <c r="BD559" s="17">
        <v>0</v>
      </c>
      <c r="BE559" s="17">
        <v>0</v>
      </c>
      <c r="BF559" s="17">
        <v>0</v>
      </c>
      <c r="BG559" s="17">
        <v>0</v>
      </c>
      <c r="BH559" s="17">
        <v>0</v>
      </c>
      <c r="BI559" s="22">
        <f t="shared" si="145"/>
        <v>0</v>
      </c>
      <c r="BJ559" s="22">
        <f t="shared" si="146"/>
        <v>0</v>
      </c>
      <c r="BK559" s="22">
        <f t="shared" si="147"/>
        <v>0</v>
      </c>
      <c r="BL559" s="22">
        <f t="shared" si="148"/>
        <v>0</v>
      </c>
      <c r="BM559" s="22">
        <f t="shared" si="144"/>
        <v>0</v>
      </c>
      <c r="BN559" s="23" t="e">
        <f t="shared" si="149"/>
        <v>#DIV/0!</v>
      </c>
      <c r="BO559" s="23" t="e">
        <f t="shared" si="149"/>
        <v>#DIV/0!</v>
      </c>
      <c r="BP559" s="7" t="e">
        <f>VLOOKUP(A559,[1]Sheet15!B:E,4,0)</f>
        <v>#N/A</v>
      </c>
      <c r="BQ559" s="7" t="e">
        <f>VLOOKUP(A559,[1]Sheet15!B:E,3,0)</f>
        <v>#N/A</v>
      </c>
    </row>
    <row r="560" spans="1:69" ht="22.5" customHeight="1" x14ac:dyDescent="0.25">
      <c r="A560" s="15" t="s">
        <v>1353</v>
      </c>
      <c r="B560" s="15" t="e">
        <f>VLOOKUP(A560,'[1]Master clients'!F542:W4089,17,0)</f>
        <v>#N/A</v>
      </c>
      <c r="C560" s="15" t="e">
        <f>VLOOKUP(A560,'[1]Master clients'!F542:P4089,11,0)</f>
        <v>#N/A</v>
      </c>
      <c r="D560" s="15" t="str">
        <f>VLOOKUP(A560,'[1]Master clients'!F:M,8,0)</f>
        <v>End User</v>
      </c>
      <c r="E560" s="24" t="s">
        <v>1354</v>
      </c>
      <c r="F560" s="25" t="s">
        <v>1355</v>
      </c>
      <c r="G560" s="20">
        <v>0</v>
      </c>
      <c r="H560" s="20">
        <v>0</v>
      </c>
      <c r="I560" s="26">
        <v>3</v>
      </c>
      <c r="J560" s="26">
        <v>0</v>
      </c>
      <c r="K560" s="20">
        <v>19</v>
      </c>
      <c r="L560" s="20">
        <v>0</v>
      </c>
      <c r="M560" s="20">
        <v>0</v>
      </c>
      <c r="N560" s="20">
        <v>6</v>
      </c>
      <c r="O560" s="20">
        <v>0</v>
      </c>
      <c r="P560" s="20">
        <v>0</v>
      </c>
      <c r="Q560" s="20">
        <v>5</v>
      </c>
      <c r="R560" s="20">
        <v>0</v>
      </c>
      <c r="S560" s="20">
        <v>0</v>
      </c>
      <c r="T560" s="20">
        <v>0</v>
      </c>
      <c r="U560" s="20">
        <v>0</v>
      </c>
      <c r="V560" s="20">
        <v>0</v>
      </c>
      <c r="W560" s="20">
        <v>0</v>
      </c>
      <c r="X560" s="20">
        <v>0</v>
      </c>
      <c r="Y560" s="20">
        <v>0</v>
      </c>
      <c r="Z560" s="20">
        <v>0</v>
      </c>
      <c r="AA560" s="20">
        <v>0</v>
      </c>
      <c r="AB560" s="20">
        <v>0</v>
      </c>
      <c r="AC560" s="20">
        <v>0</v>
      </c>
      <c r="AD560" s="20">
        <v>0</v>
      </c>
      <c r="AE560" s="20">
        <v>0</v>
      </c>
      <c r="AF560" s="20">
        <v>0</v>
      </c>
      <c r="AG560" s="20">
        <v>0</v>
      </c>
      <c r="AH560" s="20">
        <v>0</v>
      </c>
      <c r="AI560" s="20">
        <v>0</v>
      </c>
      <c r="AJ560" s="20">
        <v>0</v>
      </c>
      <c r="AK560" s="20">
        <v>0</v>
      </c>
      <c r="AL560" s="20">
        <v>0</v>
      </c>
      <c r="AM560" s="20">
        <v>0</v>
      </c>
      <c r="AN560" s="20">
        <v>0</v>
      </c>
      <c r="AO560" s="20">
        <v>0</v>
      </c>
      <c r="AP560" s="20">
        <v>0</v>
      </c>
      <c r="AQ560" s="20">
        <v>0</v>
      </c>
      <c r="AR560" s="20">
        <v>0</v>
      </c>
      <c r="AS560" s="20">
        <v>0</v>
      </c>
      <c r="AT560" s="20">
        <v>0</v>
      </c>
      <c r="AU560" s="20">
        <v>0</v>
      </c>
      <c r="AV560" s="20">
        <v>0</v>
      </c>
      <c r="AW560" s="20">
        <v>0</v>
      </c>
      <c r="AX560" s="20">
        <v>0</v>
      </c>
      <c r="AY560" s="20">
        <v>0</v>
      </c>
      <c r="AZ560" s="20">
        <v>0</v>
      </c>
      <c r="BA560" s="20">
        <v>0</v>
      </c>
      <c r="BB560" s="27">
        <v>0</v>
      </c>
      <c r="BC560" s="20">
        <v>0</v>
      </c>
      <c r="BD560" s="20">
        <v>0</v>
      </c>
      <c r="BE560" s="21">
        <v>0</v>
      </c>
      <c r="BF560" s="21">
        <v>0</v>
      </c>
      <c r="BG560" s="20">
        <v>0</v>
      </c>
      <c r="BH560" s="20">
        <v>0</v>
      </c>
      <c r="BI560" s="22">
        <f t="shared" si="145"/>
        <v>19</v>
      </c>
      <c r="BJ560" s="22">
        <f t="shared" si="146"/>
        <v>11</v>
      </c>
      <c r="BK560" s="28">
        <f t="shared" si="147"/>
        <v>33</v>
      </c>
      <c r="BL560" s="22">
        <f t="shared" si="148"/>
        <v>22</v>
      </c>
      <c r="BM560" s="22">
        <f t="shared" ref="BM560:BM594" si="150">SUM(J560+N560+O560+Q560+S560+U560+X560+AA560+AD560+AF560+AM560+AP560+AQ560+AT560+AX560+AY560+BD560+BH560)</f>
        <v>11</v>
      </c>
      <c r="BN560" s="23">
        <f t="shared" si="149"/>
        <v>0.13636363636363635</v>
      </c>
      <c r="BO560" s="23">
        <f t="shared" si="149"/>
        <v>0</v>
      </c>
      <c r="BP560" s="7">
        <f>VLOOKUP(A560,[1]Sheet15!B:E,4,0)</f>
        <v>3</v>
      </c>
      <c r="BQ560" s="7">
        <f>VLOOKUP(A560,[1]Sheet15!B:E,3,0)</f>
        <v>0</v>
      </c>
    </row>
    <row r="561" spans="1:69" ht="22.5" customHeight="1" x14ac:dyDescent="0.25">
      <c r="A561" s="15" t="s">
        <v>1356</v>
      </c>
      <c r="B561" s="15">
        <f>VLOOKUP(A561,'[1]Master clients'!F543:W4090,17,0)</f>
        <v>0</v>
      </c>
      <c r="C561" s="15" t="str">
        <f>VLOOKUP(A561,'[1]Master clients'!F543:P4090,11,0)</f>
        <v>HO</v>
      </c>
      <c r="D561" s="15" t="str">
        <f>VLOOKUP(A561,'[1]Master clients'!F:M,8,0)</f>
        <v>End User</v>
      </c>
      <c r="E561" s="24" t="s">
        <v>1357</v>
      </c>
      <c r="F561" s="25" t="s">
        <v>1355</v>
      </c>
      <c r="G561" s="20">
        <v>37</v>
      </c>
      <c r="H561" s="20">
        <v>0</v>
      </c>
      <c r="I561" s="26">
        <v>16</v>
      </c>
      <c r="J561" s="26">
        <v>0</v>
      </c>
      <c r="K561" s="20">
        <v>12</v>
      </c>
      <c r="L561" s="20">
        <v>0</v>
      </c>
      <c r="M561" s="20">
        <v>0</v>
      </c>
      <c r="N561" s="20">
        <v>4</v>
      </c>
      <c r="O561" s="20">
        <v>10</v>
      </c>
      <c r="P561" s="20">
        <v>0</v>
      </c>
      <c r="Q561" s="20">
        <v>6</v>
      </c>
      <c r="R561" s="20">
        <v>0</v>
      </c>
      <c r="S561" s="20">
        <v>0</v>
      </c>
      <c r="T561" s="20">
        <v>0</v>
      </c>
      <c r="U561" s="20">
        <v>0</v>
      </c>
      <c r="V561" s="20">
        <v>0</v>
      </c>
      <c r="W561" s="20">
        <v>0</v>
      </c>
      <c r="X561" s="20">
        <v>0</v>
      </c>
      <c r="Y561" s="20">
        <v>0</v>
      </c>
      <c r="Z561" s="20">
        <v>0</v>
      </c>
      <c r="AA561" s="20">
        <v>0</v>
      </c>
      <c r="AB561" s="20">
        <v>0</v>
      </c>
      <c r="AC561" s="20">
        <v>0</v>
      </c>
      <c r="AD561" s="20">
        <v>0</v>
      </c>
      <c r="AE561" s="20">
        <v>0</v>
      </c>
      <c r="AF561" s="20">
        <v>0</v>
      </c>
      <c r="AG561" s="20">
        <v>0</v>
      </c>
      <c r="AH561" s="20">
        <v>0</v>
      </c>
      <c r="AI561" s="20">
        <v>0</v>
      </c>
      <c r="AJ561" s="20">
        <v>0</v>
      </c>
      <c r="AK561" s="20">
        <v>0</v>
      </c>
      <c r="AL561" s="20">
        <v>0</v>
      </c>
      <c r="AM561" s="20">
        <v>0</v>
      </c>
      <c r="AN561" s="20">
        <v>0</v>
      </c>
      <c r="AO561" s="20">
        <v>0</v>
      </c>
      <c r="AP561" s="20">
        <v>0</v>
      </c>
      <c r="AQ561" s="20">
        <v>0</v>
      </c>
      <c r="AR561" s="20">
        <v>0</v>
      </c>
      <c r="AS561" s="20">
        <v>0</v>
      </c>
      <c r="AT561" s="20">
        <v>0</v>
      </c>
      <c r="AU561" s="20">
        <v>0</v>
      </c>
      <c r="AV561" s="20">
        <v>0</v>
      </c>
      <c r="AW561" s="20">
        <v>0</v>
      </c>
      <c r="AX561" s="20">
        <v>0</v>
      </c>
      <c r="AY561" s="20">
        <v>0</v>
      </c>
      <c r="AZ561" s="20">
        <v>0</v>
      </c>
      <c r="BA561" s="20">
        <v>0</v>
      </c>
      <c r="BB561" s="27">
        <v>0</v>
      </c>
      <c r="BC561" s="20">
        <v>0</v>
      </c>
      <c r="BD561" s="20">
        <v>0</v>
      </c>
      <c r="BE561" s="21">
        <v>0</v>
      </c>
      <c r="BF561" s="21">
        <v>0</v>
      </c>
      <c r="BG561" s="20">
        <v>0</v>
      </c>
      <c r="BH561" s="20">
        <v>0</v>
      </c>
      <c r="BI561" s="22">
        <f t="shared" si="145"/>
        <v>12</v>
      </c>
      <c r="BJ561" s="22">
        <f t="shared" si="146"/>
        <v>20</v>
      </c>
      <c r="BK561" s="28">
        <f t="shared" si="147"/>
        <v>48</v>
      </c>
      <c r="BL561" s="22">
        <f t="shared" si="148"/>
        <v>28</v>
      </c>
      <c r="BM561" s="22">
        <f t="shared" si="150"/>
        <v>20</v>
      </c>
      <c r="BN561" s="23">
        <f t="shared" si="149"/>
        <v>0.5714285714285714</v>
      </c>
      <c r="BO561" s="23">
        <f t="shared" si="149"/>
        <v>0</v>
      </c>
      <c r="BP561" s="7" t="e">
        <f>VLOOKUP(A561,[1]Sheet15!B:E,4,0)</f>
        <v>#N/A</v>
      </c>
      <c r="BQ561" s="7" t="e">
        <f>VLOOKUP(A561,[1]Sheet15!B:E,3,0)</f>
        <v>#N/A</v>
      </c>
    </row>
    <row r="562" spans="1:69" ht="22.5" customHeight="1" x14ac:dyDescent="0.25">
      <c r="A562" s="15" t="s">
        <v>1358</v>
      </c>
      <c r="B562" s="15" t="e">
        <f>VLOOKUP(A562,'[1]Master clients'!F544:W4091,17,0)</f>
        <v>#N/A</v>
      </c>
      <c r="C562" s="15" t="e">
        <f>VLOOKUP(A562,'[1]Master clients'!F544:P4091,11,0)</f>
        <v>#N/A</v>
      </c>
      <c r="D562" s="15" t="str">
        <f>VLOOKUP(A562,'[1]Master clients'!F:M,8,0)</f>
        <v>Group (Mills)</v>
      </c>
      <c r="E562" s="24" t="s">
        <v>1359</v>
      </c>
      <c r="F562" s="25" t="s">
        <v>1355</v>
      </c>
      <c r="G562" s="20">
        <v>0</v>
      </c>
      <c r="H562" s="20">
        <v>3</v>
      </c>
      <c r="I562" s="26">
        <v>19</v>
      </c>
      <c r="J562" s="26">
        <v>3</v>
      </c>
      <c r="K562" s="20">
        <v>12</v>
      </c>
      <c r="L562" s="20">
        <v>0</v>
      </c>
      <c r="M562" s="20">
        <v>0</v>
      </c>
      <c r="N562" s="20">
        <v>7</v>
      </c>
      <c r="O562" s="20">
        <v>10</v>
      </c>
      <c r="P562" s="20">
        <v>0</v>
      </c>
      <c r="Q562" s="20">
        <v>6</v>
      </c>
      <c r="R562" s="20">
        <v>0</v>
      </c>
      <c r="S562" s="20">
        <v>0</v>
      </c>
      <c r="T562" s="20">
        <v>0</v>
      </c>
      <c r="U562" s="20">
        <v>0</v>
      </c>
      <c r="V562" s="20">
        <v>0</v>
      </c>
      <c r="W562" s="20">
        <v>0</v>
      </c>
      <c r="X562" s="20">
        <v>0</v>
      </c>
      <c r="Y562" s="20">
        <v>0</v>
      </c>
      <c r="Z562" s="20">
        <v>0</v>
      </c>
      <c r="AA562" s="20">
        <v>0</v>
      </c>
      <c r="AB562" s="20">
        <v>0</v>
      </c>
      <c r="AC562" s="20">
        <v>0</v>
      </c>
      <c r="AD562" s="20">
        <v>0</v>
      </c>
      <c r="AE562" s="20">
        <v>0</v>
      </c>
      <c r="AF562" s="20">
        <v>0</v>
      </c>
      <c r="AG562" s="20">
        <v>0</v>
      </c>
      <c r="AH562" s="20">
        <v>0</v>
      </c>
      <c r="AI562" s="20">
        <v>0</v>
      </c>
      <c r="AJ562" s="20">
        <v>0</v>
      </c>
      <c r="AK562" s="20">
        <v>0</v>
      </c>
      <c r="AL562" s="20">
        <v>0</v>
      </c>
      <c r="AM562" s="20">
        <v>0</v>
      </c>
      <c r="AN562" s="20">
        <v>0</v>
      </c>
      <c r="AO562" s="20">
        <v>0</v>
      </c>
      <c r="AP562" s="20">
        <v>0</v>
      </c>
      <c r="AQ562" s="20">
        <v>0</v>
      </c>
      <c r="AR562" s="20">
        <v>0</v>
      </c>
      <c r="AS562" s="20">
        <v>0</v>
      </c>
      <c r="AT562" s="20">
        <v>0</v>
      </c>
      <c r="AU562" s="20">
        <v>0</v>
      </c>
      <c r="AV562" s="20">
        <v>0</v>
      </c>
      <c r="AW562" s="20">
        <v>0</v>
      </c>
      <c r="AX562" s="20">
        <v>0</v>
      </c>
      <c r="AY562" s="20">
        <v>0</v>
      </c>
      <c r="AZ562" s="20">
        <v>0</v>
      </c>
      <c r="BA562" s="20">
        <v>0</v>
      </c>
      <c r="BB562" s="27">
        <v>0</v>
      </c>
      <c r="BC562" s="20">
        <v>0</v>
      </c>
      <c r="BD562" s="20">
        <v>0</v>
      </c>
      <c r="BE562" s="21">
        <v>0</v>
      </c>
      <c r="BF562" s="21">
        <v>0</v>
      </c>
      <c r="BG562" s="20">
        <v>0</v>
      </c>
      <c r="BH562" s="20">
        <v>0</v>
      </c>
      <c r="BI562" s="22">
        <f t="shared" si="145"/>
        <v>12</v>
      </c>
      <c r="BJ562" s="22">
        <f t="shared" si="146"/>
        <v>23</v>
      </c>
      <c r="BK562" s="28">
        <f t="shared" si="147"/>
        <v>57</v>
      </c>
      <c r="BL562" s="22">
        <f t="shared" si="148"/>
        <v>31</v>
      </c>
      <c r="BM562" s="22">
        <f t="shared" si="150"/>
        <v>26</v>
      </c>
      <c r="BN562" s="23">
        <f t="shared" si="149"/>
        <v>0.61290322580645162</v>
      </c>
      <c r="BO562" s="23">
        <f t="shared" si="149"/>
        <v>0.11538461538461539</v>
      </c>
      <c r="BP562" s="7">
        <f>VLOOKUP(A562,[1]Sheet15!B:E,4,0)</f>
        <v>6</v>
      </c>
      <c r="BQ562" s="7">
        <f>VLOOKUP(A562,[1]Sheet15!B:E,3,0)</f>
        <v>3</v>
      </c>
    </row>
    <row r="563" spans="1:69" ht="22.5" customHeight="1" x14ac:dyDescent="0.25">
      <c r="A563" s="15" t="s">
        <v>1360</v>
      </c>
      <c r="B563" s="15" t="e">
        <f>VLOOKUP(A563,'[1]Master clients'!F545:W4092,17,0)</f>
        <v>#N/A</v>
      </c>
      <c r="C563" s="15" t="e">
        <f>VLOOKUP(A563,'[1]Master clients'!F545:P4092,11,0)</f>
        <v>#N/A</v>
      </c>
      <c r="D563" s="15" t="str">
        <f>VLOOKUP(A563,'[1]Master clients'!F:M,8,0)</f>
        <v>Group (Mills)</v>
      </c>
      <c r="E563" s="24" t="s">
        <v>1361</v>
      </c>
      <c r="F563" s="25" t="s">
        <v>1355</v>
      </c>
      <c r="G563" s="20">
        <v>0</v>
      </c>
      <c r="H563" s="20">
        <v>0</v>
      </c>
      <c r="I563" s="26">
        <v>22</v>
      </c>
      <c r="J563" s="26">
        <v>0</v>
      </c>
      <c r="K563" s="20">
        <v>12</v>
      </c>
      <c r="L563" s="20">
        <v>0</v>
      </c>
      <c r="M563" s="20">
        <v>0</v>
      </c>
      <c r="N563" s="20">
        <v>0</v>
      </c>
      <c r="O563" s="20">
        <v>9</v>
      </c>
      <c r="P563" s="20">
        <v>0</v>
      </c>
      <c r="Q563" s="20">
        <v>0</v>
      </c>
      <c r="R563" s="20">
        <v>0</v>
      </c>
      <c r="S563" s="20">
        <v>0</v>
      </c>
      <c r="T563" s="20">
        <v>0</v>
      </c>
      <c r="U563" s="20">
        <v>0</v>
      </c>
      <c r="V563" s="20">
        <v>0</v>
      </c>
      <c r="W563" s="20">
        <v>0</v>
      </c>
      <c r="X563" s="20">
        <v>0</v>
      </c>
      <c r="Y563" s="20">
        <v>0</v>
      </c>
      <c r="Z563" s="20">
        <v>0</v>
      </c>
      <c r="AA563" s="20">
        <v>0</v>
      </c>
      <c r="AB563" s="20">
        <v>0</v>
      </c>
      <c r="AC563" s="20">
        <v>0</v>
      </c>
      <c r="AD563" s="20">
        <v>0</v>
      </c>
      <c r="AE563" s="20">
        <v>0</v>
      </c>
      <c r="AF563" s="20">
        <v>0</v>
      </c>
      <c r="AG563" s="20">
        <v>0</v>
      </c>
      <c r="AH563" s="20">
        <v>0</v>
      </c>
      <c r="AI563" s="20">
        <v>0</v>
      </c>
      <c r="AJ563" s="20">
        <v>0</v>
      </c>
      <c r="AK563" s="20">
        <v>0</v>
      </c>
      <c r="AL563" s="20">
        <v>0</v>
      </c>
      <c r="AM563" s="20">
        <v>0</v>
      </c>
      <c r="AN563" s="20">
        <v>0</v>
      </c>
      <c r="AO563" s="20">
        <v>0</v>
      </c>
      <c r="AP563" s="20">
        <v>0</v>
      </c>
      <c r="AQ563" s="20">
        <v>0</v>
      </c>
      <c r="AR563" s="20">
        <v>0</v>
      </c>
      <c r="AS563" s="20">
        <v>0</v>
      </c>
      <c r="AT563" s="20">
        <v>0</v>
      </c>
      <c r="AU563" s="20">
        <v>0</v>
      </c>
      <c r="AV563" s="20">
        <v>0</v>
      </c>
      <c r="AW563" s="20">
        <v>0</v>
      </c>
      <c r="AX563" s="20">
        <v>0</v>
      </c>
      <c r="AY563" s="20">
        <v>0</v>
      </c>
      <c r="AZ563" s="20">
        <v>0</v>
      </c>
      <c r="BA563" s="20">
        <v>0</v>
      </c>
      <c r="BB563" s="27">
        <v>0</v>
      </c>
      <c r="BC563" s="20">
        <v>0</v>
      </c>
      <c r="BD563" s="20">
        <v>0</v>
      </c>
      <c r="BE563" s="21">
        <v>0</v>
      </c>
      <c r="BF563" s="21">
        <v>0</v>
      </c>
      <c r="BG563" s="20">
        <v>0</v>
      </c>
      <c r="BH563" s="20">
        <v>0</v>
      </c>
      <c r="BI563" s="22">
        <f t="shared" si="145"/>
        <v>12</v>
      </c>
      <c r="BJ563" s="22">
        <f t="shared" si="146"/>
        <v>9</v>
      </c>
      <c r="BK563" s="28">
        <f t="shared" si="147"/>
        <v>43</v>
      </c>
      <c r="BL563" s="22">
        <f t="shared" si="148"/>
        <v>34</v>
      </c>
      <c r="BM563" s="22">
        <f t="shared" si="150"/>
        <v>9</v>
      </c>
      <c r="BN563" s="23">
        <f t="shared" si="149"/>
        <v>0.6470588235294118</v>
      </c>
      <c r="BO563" s="23">
        <f t="shared" si="149"/>
        <v>0</v>
      </c>
      <c r="BP563" s="7">
        <f>VLOOKUP(A563,[1]Sheet15!B:E,4,0)</f>
        <v>5</v>
      </c>
      <c r="BQ563" s="7">
        <f>VLOOKUP(A563,[1]Sheet15!B:E,3,0)</f>
        <v>0</v>
      </c>
    </row>
    <row r="564" spans="1:69" ht="22.5" customHeight="1" x14ac:dyDescent="0.25">
      <c r="A564" s="15" t="s">
        <v>1362</v>
      </c>
      <c r="B564" s="15" t="e">
        <f>VLOOKUP(A564,'[1]Master clients'!F546:W4093,17,0)</f>
        <v>#N/A</v>
      </c>
      <c r="C564" s="15" t="e">
        <f>VLOOKUP(A564,'[1]Master clients'!F546:P4093,11,0)</f>
        <v>#N/A</v>
      </c>
      <c r="D564" s="15" t="str">
        <f>VLOOKUP(A564,'[1]Master clients'!F:M,8,0)</f>
        <v>End User</v>
      </c>
      <c r="E564" s="16" t="s">
        <v>1363</v>
      </c>
      <c r="F564" s="16" t="s">
        <v>1352</v>
      </c>
      <c r="G564" s="17"/>
      <c r="H564" s="17"/>
      <c r="I564" s="26">
        <v>2</v>
      </c>
      <c r="J564" s="31">
        <v>0</v>
      </c>
      <c r="K564" s="17">
        <v>0</v>
      </c>
      <c r="L564" s="17">
        <v>0</v>
      </c>
      <c r="M564" s="17">
        <v>0</v>
      </c>
      <c r="N564" s="17">
        <v>0</v>
      </c>
      <c r="O564" s="17">
        <v>0</v>
      </c>
      <c r="P564" s="17">
        <v>0</v>
      </c>
      <c r="Q564" s="17">
        <v>0</v>
      </c>
      <c r="R564" s="17">
        <v>0</v>
      </c>
      <c r="S564" s="17">
        <v>0</v>
      </c>
      <c r="T564" s="17">
        <v>0</v>
      </c>
      <c r="U564" s="17">
        <v>0</v>
      </c>
      <c r="V564" s="17">
        <v>0</v>
      </c>
      <c r="W564" s="17">
        <v>0</v>
      </c>
      <c r="X564" s="17">
        <v>0</v>
      </c>
      <c r="Y564" s="17">
        <v>0</v>
      </c>
      <c r="Z564" s="17">
        <v>0</v>
      </c>
      <c r="AA564" s="17">
        <v>0</v>
      </c>
      <c r="AB564" s="17">
        <v>0</v>
      </c>
      <c r="AC564" s="17">
        <v>0</v>
      </c>
      <c r="AD564" s="17">
        <v>0</v>
      </c>
      <c r="AE564" s="17">
        <v>0</v>
      </c>
      <c r="AF564" s="17">
        <v>0</v>
      </c>
      <c r="AG564" s="17">
        <v>0</v>
      </c>
      <c r="AH564" s="17">
        <v>0</v>
      </c>
      <c r="AI564" s="17">
        <v>0</v>
      </c>
      <c r="AJ564" s="17">
        <v>0</v>
      </c>
      <c r="AK564" s="17">
        <v>0</v>
      </c>
      <c r="AL564" s="17">
        <v>0</v>
      </c>
      <c r="AM564" s="17">
        <v>0</v>
      </c>
      <c r="AN564" s="17">
        <v>0</v>
      </c>
      <c r="AO564" s="17">
        <v>0</v>
      </c>
      <c r="AP564" s="17">
        <v>0</v>
      </c>
      <c r="AQ564" s="17">
        <v>0</v>
      </c>
      <c r="AR564" s="17">
        <v>0</v>
      </c>
      <c r="AS564" s="17">
        <v>0</v>
      </c>
      <c r="AT564" s="17">
        <v>0</v>
      </c>
      <c r="AU564" s="17">
        <v>0</v>
      </c>
      <c r="AV564" s="17">
        <v>0</v>
      </c>
      <c r="AW564" s="17">
        <v>0</v>
      </c>
      <c r="AX564" s="17">
        <v>0</v>
      </c>
      <c r="AY564" s="17">
        <v>0</v>
      </c>
      <c r="AZ564" s="17">
        <v>0</v>
      </c>
      <c r="BA564" s="17">
        <v>0</v>
      </c>
      <c r="BB564" s="17">
        <v>0</v>
      </c>
      <c r="BC564" s="17">
        <v>0</v>
      </c>
      <c r="BD564" s="17">
        <v>0</v>
      </c>
      <c r="BE564" s="17">
        <v>0</v>
      </c>
      <c r="BF564" s="17">
        <v>0</v>
      </c>
      <c r="BG564" s="17">
        <v>0</v>
      </c>
      <c r="BH564" s="17">
        <v>0</v>
      </c>
      <c r="BI564" s="22">
        <f t="shared" si="145"/>
        <v>0</v>
      </c>
      <c r="BJ564" s="22">
        <f t="shared" si="146"/>
        <v>0</v>
      </c>
      <c r="BK564" s="22">
        <f t="shared" si="147"/>
        <v>2</v>
      </c>
      <c r="BL564" s="22">
        <f t="shared" si="148"/>
        <v>2</v>
      </c>
      <c r="BM564" s="22">
        <f t="shared" si="150"/>
        <v>0</v>
      </c>
      <c r="BN564" s="23">
        <f t="shared" si="149"/>
        <v>1</v>
      </c>
      <c r="BO564" s="23" t="e">
        <f t="shared" si="149"/>
        <v>#DIV/0!</v>
      </c>
      <c r="BP564" s="7">
        <f>VLOOKUP(A564,[1]Sheet15!B:E,4,0)</f>
        <v>2</v>
      </c>
      <c r="BQ564" s="7">
        <f>VLOOKUP(A564,[1]Sheet15!B:E,3,0)</f>
        <v>0</v>
      </c>
    </row>
    <row r="565" spans="1:69" ht="22.5" customHeight="1" x14ac:dyDescent="0.25">
      <c r="A565" s="15" t="s">
        <v>1364</v>
      </c>
      <c r="B565" s="15" t="e">
        <f>VLOOKUP(A565,'[1]Master clients'!F547:W4094,17,0)</f>
        <v>#N/A</v>
      </c>
      <c r="C565" s="15" t="e">
        <f>VLOOKUP(A565,'[1]Master clients'!F547:P4094,11,0)</f>
        <v>#N/A</v>
      </c>
      <c r="D565" s="15" t="str">
        <f>VLOOKUP(A565,'[1]Master clients'!F:M,8,0)</f>
        <v>Group (Mills)</v>
      </c>
      <c r="E565" s="24" t="s">
        <v>1365</v>
      </c>
      <c r="F565" s="25" t="s">
        <v>1355</v>
      </c>
      <c r="G565" s="20">
        <v>20</v>
      </c>
      <c r="H565" s="20">
        <v>0</v>
      </c>
      <c r="I565" s="26">
        <v>20</v>
      </c>
      <c r="J565" s="26">
        <v>0</v>
      </c>
      <c r="K565" s="20">
        <v>0</v>
      </c>
      <c r="L565" s="20">
        <v>0</v>
      </c>
      <c r="M565" s="20">
        <v>0</v>
      </c>
      <c r="N565" s="20">
        <v>8</v>
      </c>
      <c r="O565" s="20">
        <v>6</v>
      </c>
      <c r="P565" s="20">
        <v>0</v>
      </c>
      <c r="Q565" s="20">
        <v>3</v>
      </c>
      <c r="R565" s="20">
        <v>0</v>
      </c>
      <c r="S565" s="20">
        <v>0</v>
      </c>
      <c r="T565" s="20">
        <v>0</v>
      </c>
      <c r="U565" s="20">
        <v>0</v>
      </c>
      <c r="V565" s="20">
        <v>0</v>
      </c>
      <c r="W565" s="20">
        <v>0</v>
      </c>
      <c r="X565" s="20">
        <v>0</v>
      </c>
      <c r="Y565" s="20">
        <v>0</v>
      </c>
      <c r="Z565" s="20">
        <v>0</v>
      </c>
      <c r="AA565" s="20">
        <v>0</v>
      </c>
      <c r="AB565" s="20">
        <v>0</v>
      </c>
      <c r="AC565" s="20">
        <v>0</v>
      </c>
      <c r="AD565" s="20">
        <v>0</v>
      </c>
      <c r="AE565" s="20">
        <v>0</v>
      </c>
      <c r="AF565" s="20">
        <v>0</v>
      </c>
      <c r="AG565" s="20">
        <v>0</v>
      </c>
      <c r="AH565" s="20">
        <v>0</v>
      </c>
      <c r="AI565" s="20">
        <v>0</v>
      </c>
      <c r="AJ565" s="20">
        <v>0</v>
      </c>
      <c r="AK565" s="20">
        <v>0</v>
      </c>
      <c r="AL565" s="20">
        <v>0</v>
      </c>
      <c r="AM565" s="20">
        <v>0</v>
      </c>
      <c r="AN565" s="20">
        <v>0</v>
      </c>
      <c r="AO565" s="20">
        <v>0</v>
      </c>
      <c r="AP565" s="20">
        <v>0</v>
      </c>
      <c r="AQ565" s="20">
        <v>0</v>
      </c>
      <c r="AR565" s="20">
        <v>0</v>
      </c>
      <c r="AS565" s="20">
        <v>0</v>
      </c>
      <c r="AT565" s="20">
        <v>0</v>
      </c>
      <c r="AU565" s="20">
        <v>0</v>
      </c>
      <c r="AV565" s="20">
        <v>0</v>
      </c>
      <c r="AW565" s="20">
        <v>0</v>
      </c>
      <c r="AX565" s="20">
        <v>0</v>
      </c>
      <c r="AY565" s="20">
        <v>0</v>
      </c>
      <c r="AZ565" s="20">
        <v>0</v>
      </c>
      <c r="BA565" s="20">
        <v>0</v>
      </c>
      <c r="BB565" s="27">
        <v>0</v>
      </c>
      <c r="BC565" s="20">
        <v>0</v>
      </c>
      <c r="BD565" s="20">
        <v>0</v>
      </c>
      <c r="BE565" s="21">
        <v>0</v>
      </c>
      <c r="BF565" s="21">
        <v>0</v>
      </c>
      <c r="BG565" s="20">
        <v>0</v>
      </c>
      <c r="BH565" s="20">
        <v>0</v>
      </c>
      <c r="BI565" s="22">
        <f t="shared" si="145"/>
        <v>0</v>
      </c>
      <c r="BJ565" s="22">
        <f t="shared" si="146"/>
        <v>17</v>
      </c>
      <c r="BK565" s="28">
        <f t="shared" si="147"/>
        <v>37</v>
      </c>
      <c r="BL565" s="22">
        <f t="shared" si="148"/>
        <v>20</v>
      </c>
      <c r="BM565" s="22">
        <f t="shared" si="150"/>
        <v>17</v>
      </c>
      <c r="BN565" s="23">
        <f t="shared" ref="BN565:BO580" si="151">I565/BL565</f>
        <v>1</v>
      </c>
      <c r="BO565" s="23">
        <f t="shared" si="151"/>
        <v>0</v>
      </c>
      <c r="BP565" s="7">
        <f>VLOOKUP(A565,[1]Sheet15!B:E,4,0)</f>
        <v>10</v>
      </c>
      <c r="BQ565" s="7">
        <f>VLOOKUP(A565,[1]Sheet15!B:E,3,0)</f>
        <v>0</v>
      </c>
    </row>
    <row r="566" spans="1:69" ht="22.5" customHeight="1" x14ac:dyDescent="0.25">
      <c r="A566" s="15" t="s">
        <v>1366</v>
      </c>
      <c r="B566" s="15">
        <f>VLOOKUP(A566,'[1]Master clients'!F548:W4095,17,0)</f>
        <v>0</v>
      </c>
      <c r="C566" s="15" t="str">
        <f>VLOOKUP(A566,'[1]Master clients'!F548:P4095,11,0)</f>
        <v>NI</v>
      </c>
      <c r="D566" s="15" t="str">
        <f>VLOOKUP(A566,'[1]Master clients'!F:M,8,0)</f>
        <v>Group (Mills)</v>
      </c>
      <c r="E566" s="24" t="s">
        <v>1367</v>
      </c>
      <c r="F566" s="25" t="s">
        <v>1355</v>
      </c>
      <c r="G566" s="20">
        <v>10</v>
      </c>
      <c r="H566" s="20">
        <v>0</v>
      </c>
      <c r="I566" s="26">
        <v>14</v>
      </c>
      <c r="J566" s="26">
        <v>0</v>
      </c>
      <c r="K566" s="20">
        <v>2</v>
      </c>
      <c r="L566" s="20">
        <v>10</v>
      </c>
      <c r="M566" s="20">
        <v>0</v>
      </c>
      <c r="N566" s="20">
        <v>6</v>
      </c>
      <c r="O566" s="20">
        <v>0</v>
      </c>
      <c r="P566" s="20">
        <v>0</v>
      </c>
      <c r="Q566" s="20">
        <v>5</v>
      </c>
      <c r="R566" s="20">
        <v>0</v>
      </c>
      <c r="S566" s="20">
        <v>0</v>
      </c>
      <c r="T566" s="20">
        <v>0</v>
      </c>
      <c r="U566" s="20">
        <v>0</v>
      </c>
      <c r="V566" s="20">
        <v>0</v>
      </c>
      <c r="W566" s="20">
        <v>0</v>
      </c>
      <c r="X566" s="20">
        <v>0</v>
      </c>
      <c r="Y566" s="20">
        <v>0</v>
      </c>
      <c r="Z566" s="20">
        <v>0</v>
      </c>
      <c r="AA566" s="20">
        <v>0</v>
      </c>
      <c r="AB566" s="20">
        <v>0</v>
      </c>
      <c r="AC566" s="20">
        <v>0</v>
      </c>
      <c r="AD566" s="20">
        <v>0</v>
      </c>
      <c r="AE566" s="20">
        <v>0</v>
      </c>
      <c r="AF566" s="20">
        <v>0</v>
      </c>
      <c r="AG566" s="20">
        <v>0</v>
      </c>
      <c r="AH566" s="20">
        <v>0</v>
      </c>
      <c r="AI566" s="20">
        <v>0</v>
      </c>
      <c r="AJ566" s="20">
        <v>0</v>
      </c>
      <c r="AK566" s="20">
        <v>0</v>
      </c>
      <c r="AL566" s="20">
        <v>0</v>
      </c>
      <c r="AM566" s="20">
        <v>0</v>
      </c>
      <c r="AN566" s="20">
        <v>0</v>
      </c>
      <c r="AO566" s="20">
        <v>0</v>
      </c>
      <c r="AP566" s="20">
        <v>0</v>
      </c>
      <c r="AQ566" s="20">
        <v>0</v>
      </c>
      <c r="AR566" s="20">
        <v>0</v>
      </c>
      <c r="AS566" s="20">
        <v>0</v>
      </c>
      <c r="AT566" s="20">
        <v>0</v>
      </c>
      <c r="AU566" s="20">
        <v>0</v>
      </c>
      <c r="AV566" s="20">
        <v>0</v>
      </c>
      <c r="AW566" s="20">
        <v>0</v>
      </c>
      <c r="AX566" s="20">
        <v>0</v>
      </c>
      <c r="AY566" s="20">
        <v>0</v>
      </c>
      <c r="AZ566" s="20">
        <v>0</v>
      </c>
      <c r="BA566" s="20">
        <v>0</v>
      </c>
      <c r="BB566" s="27">
        <v>0</v>
      </c>
      <c r="BC566" s="20">
        <v>0</v>
      </c>
      <c r="BD566" s="20">
        <v>0</v>
      </c>
      <c r="BE566" s="21">
        <v>0</v>
      </c>
      <c r="BF566" s="21">
        <v>0</v>
      </c>
      <c r="BG566" s="20">
        <v>0</v>
      </c>
      <c r="BH566" s="20">
        <v>0</v>
      </c>
      <c r="BI566" s="22">
        <f t="shared" si="145"/>
        <v>12</v>
      </c>
      <c r="BJ566" s="22">
        <f t="shared" si="146"/>
        <v>11</v>
      </c>
      <c r="BK566" s="28">
        <f t="shared" si="147"/>
        <v>37</v>
      </c>
      <c r="BL566" s="22">
        <f t="shared" si="148"/>
        <v>26</v>
      </c>
      <c r="BM566" s="22">
        <f t="shared" si="150"/>
        <v>11</v>
      </c>
      <c r="BN566" s="23">
        <f t="shared" si="151"/>
        <v>0.53846153846153844</v>
      </c>
      <c r="BO566" s="23">
        <f t="shared" si="151"/>
        <v>0</v>
      </c>
      <c r="BP566" s="7">
        <f>VLOOKUP(A566,[1]Sheet15!B:E,4,0)</f>
        <v>12</v>
      </c>
      <c r="BQ566" s="7">
        <f>VLOOKUP(A566,[1]Sheet15!B:E,3,0)</f>
        <v>0</v>
      </c>
    </row>
    <row r="567" spans="1:69" ht="22.5" customHeight="1" x14ac:dyDescent="0.25">
      <c r="A567" s="15" t="s">
        <v>1368</v>
      </c>
      <c r="B567" s="15">
        <f>VLOOKUP(A567,'[1]Master clients'!F549:W4096,17,0)</f>
        <v>0</v>
      </c>
      <c r="C567" s="15" t="str">
        <f>VLOOKUP(A567,'[1]Master clients'!F549:P4096,11,0)</f>
        <v>NI</v>
      </c>
      <c r="D567" s="15" t="str">
        <f>VLOOKUP(A567,'[1]Master clients'!F:M,8,0)</f>
        <v>Group (Mills)</v>
      </c>
      <c r="E567" s="24" t="s">
        <v>1369</v>
      </c>
      <c r="F567" s="25" t="s">
        <v>1355</v>
      </c>
      <c r="G567" s="20">
        <v>0</v>
      </c>
      <c r="H567" s="20">
        <v>0</v>
      </c>
      <c r="I567" s="26">
        <v>7</v>
      </c>
      <c r="J567" s="26">
        <v>0</v>
      </c>
      <c r="K567" s="20">
        <v>14</v>
      </c>
      <c r="L567" s="20">
        <v>0</v>
      </c>
      <c r="M567" s="20">
        <v>0</v>
      </c>
      <c r="N567" s="20">
        <v>2</v>
      </c>
      <c r="O567" s="20">
        <v>10</v>
      </c>
      <c r="P567" s="20">
        <v>0</v>
      </c>
      <c r="Q567" s="20">
        <v>8</v>
      </c>
      <c r="R567" s="20">
        <v>0</v>
      </c>
      <c r="S567" s="20">
        <v>0</v>
      </c>
      <c r="T567" s="20">
        <v>0</v>
      </c>
      <c r="U567" s="20">
        <v>0</v>
      </c>
      <c r="V567" s="20">
        <v>0</v>
      </c>
      <c r="W567" s="20">
        <v>0</v>
      </c>
      <c r="X567" s="20">
        <v>0</v>
      </c>
      <c r="Y567" s="20">
        <v>0</v>
      </c>
      <c r="Z567" s="20">
        <v>0</v>
      </c>
      <c r="AA567" s="20">
        <v>0</v>
      </c>
      <c r="AB567" s="20">
        <v>0</v>
      </c>
      <c r="AC567" s="20">
        <v>0</v>
      </c>
      <c r="AD567" s="20">
        <v>0</v>
      </c>
      <c r="AE567" s="20">
        <v>0</v>
      </c>
      <c r="AF567" s="20">
        <v>0</v>
      </c>
      <c r="AG567" s="20">
        <v>0</v>
      </c>
      <c r="AH567" s="20">
        <v>0</v>
      </c>
      <c r="AI567" s="20">
        <v>0</v>
      </c>
      <c r="AJ567" s="20">
        <v>0</v>
      </c>
      <c r="AK567" s="20">
        <v>0</v>
      </c>
      <c r="AL567" s="20">
        <v>0</v>
      </c>
      <c r="AM567" s="20">
        <v>0</v>
      </c>
      <c r="AN567" s="20">
        <v>0</v>
      </c>
      <c r="AO567" s="20">
        <v>0</v>
      </c>
      <c r="AP567" s="20">
        <v>0</v>
      </c>
      <c r="AQ567" s="20">
        <v>0</v>
      </c>
      <c r="AR567" s="20">
        <v>0</v>
      </c>
      <c r="AS567" s="20">
        <v>0</v>
      </c>
      <c r="AT567" s="20">
        <v>0</v>
      </c>
      <c r="AU567" s="20">
        <v>0</v>
      </c>
      <c r="AV567" s="20">
        <v>0</v>
      </c>
      <c r="AW567" s="20">
        <v>0</v>
      </c>
      <c r="AX567" s="20">
        <v>0</v>
      </c>
      <c r="AY567" s="20">
        <v>0</v>
      </c>
      <c r="AZ567" s="20">
        <v>0</v>
      </c>
      <c r="BA567" s="20">
        <v>0</v>
      </c>
      <c r="BB567" s="27">
        <v>0</v>
      </c>
      <c r="BC567" s="20">
        <v>0</v>
      </c>
      <c r="BD567" s="20">
        <v>0</v>
      </c>
      <c r="BE567" s="21">
        <v>0</v>
      </c>
      <c r="BF567" s="21">
        <v>0</v>
      </c>
      <c r="BG567" s="20">
        <v>0</v>
      </c>
      <c r="BH567" s="20">
        <v>0</v>
      </c>
      <c r="BI567" s="22">
        <f t="shared" si="145"/>
        <v>14</v>
      </c>
      <c r="BJ567" s="22">
        <f t="shared" si="146"/>
        <v>20</v>
      </c>
      <c r="BK567" s="28">
        <f t="shared" si="147"/>
        <v>41</v>
      </c>
      <c r="BL567" s="22">
        <f t="shared" si="148"/>
        <v>21</v>
      </c>
      <c r="BM567" s="22">
        <f t="shared" si="150"/>
        <v>20</v>
      </c>
      <c r="BN567" s="23">
        <f t="shared" si="151"/>
        <v>0.33333333333333331</v>
      </c>
      <c r="BO567" s="23">
        <f t="shared" si="151"/>
        <v>0</v>
      </c>
      <c r="BP567" s="7">
        <f>VLOOKUP(A567,[1]Sheet15!B:E,4,0)</f>
        <v>3</v>
      </c>
      <c r="BQ567" s="7">
        <f>VLOOKUP(A567,[1]Sheet15!B:E,3,0)</f>
        <v>0</v>
      </c>
    </row>
    <row r="568" spans="1:69" ht="22.5" customHeight="1" x14ac:dyDescent="0.25">
      <c r="A568" s="15" t="s">
        <v>1370</v>
      </c>
      <c r="B568" s="15">
        <f>VLOOKUP(A568,'[1]Master clients'!F550:W4097,17,0)</f>
        <v>0</v>
      </c>
      <c r="C568" s="15" t="str">
        <f>VLOOKUP(A568,'[1]Master clients'!F550:P4097,11,0)</f>
        <v>AV</v>
      </c>
      <c r="D568" s="15" t="str">
        <f>VLOOKUP(A568,'[1]Master clients'!F:M,8,0)</f>
        <v>Group (Mills)</v>
      </c>
      <c r="E568" s="16" t="s">
        <v>1371</v>
      </c>
      <c r="F568" s="16" t="s">
        <v>274</v>
      </c>
      <c r="G568" s="17"/>
      <c r="H568" s="17"/>
      <c r="I568" s="31">
        <v>0</v>
      </c>
      <c r="J568" s="31">
        <v>0</v>
      </c>
      <c r="K568" s="17">
        <v>0</v>
      </c>
      <c r="L568" s="17">
        <v>0</v>
      </c>
      <c r="M568" s="17">
        <v>0</v>
      </c>
      <c r="N568" s="17">
        <v>0</v>
      </c>
      <c r="O568" s="17">
        <v>0</v>
      </c>
      <c r="P568" s="17">
        <v>0</v>
      </c>
      <c r="Q568" s="17">
        <v>0</v>
      </c>
      <c r="R568" s="17">
        <v>0</v>
      </c>
      <c r="S568" s="17">
        <v>0</v>
      </c>
      <c r="T568" s="17">
        <v>0</v>
      </c>
      <c r="U568" s="17">
        <v>0</v>
      </c>
      <c r="V568" s="17">
        <v>0</v>
      </c>
      <c r="W568" s="17">
        <v>0</v>
      </c>
      <c r="X568" s="17">
        <v>0</v>
      </c>
      <c r="Y568" s="17">
        <v>0</v>
      </c>
      <c r="Z568" s="17">
        <v>0</v>
      </c>
      <c r="AA568" s="17">
        <v>0</v>
      </c>
      <c r="AB568" s="17">
        <v>0</v>
      </c>
      <c r="AC568" s="17">
        <v>0</v>
      </c>
      <c r="AD568" s="17">
        <v>0</v>
      </c>
      <c r="AE568" s="17">
        <v>0</v>
      </c>
      <c r="AF568" s="17">
        <v>0</v>
      </c>
      <c r="AG568" s="17">
        <v>0</v>
      </c>
      <c r="AH568" s="17">
        <v>0</v>
      </c>
      <c r="AI568" s="17">
        <v>0</v>
      </c>
      <c r="AJ568" s="17">
        <v>0</v>
      </c>
      <c r="AK568" s="17">
        <v>0</v>
      </c>
      <c r="AL568" s="17">
        <v>0</v>
      </c>
      <c r="AM568" s="17">
        <v>0</v>
      </c>
      <c r="AN568" s="17">
        <v>0</v>
      </c>
      <c r="AO568" s="17">
        <v>0</v>
      </c>
      <c r="AP568" s="17">
        <v>0</v>
      </c>
      <c r="AQ568" s="17">
        <v>0</v>
      </c>
      <c r="AR568" s="17">
        <v>0</v>
      </c>
      <c r="AS568" s="17">
        <v>0</v>
      </c>
      <c r="AT568" s="17">
        <v>0</v>
      </c>
      <c r="AU568" s="17">
        <v>0</v>
      </c>
      <c r="AV568" s="17">
        <v>0</v>
      </c>
      <c r="AW568" s="17">
        <v>0</v>
      </c>
      <c r="AX568" s="17">
        <v>0</v>
      </c>
      <c r="AY568" s="17">
        <v>0</v>
      </c>
      <c r="AZ568" s="17">
        <v>0</v>
      </c>
      <c r="BA568" s="17">
        <v>0</v>
      </c>
      <c r="BB568" s="17">
        <v>0</v>
      </c>
      <c r="BC568" s="17">
        <v>0</v>
      </c>
      <c r="BD568" s="17">
        <v>0</v>
      </c>
      <c r="BE568" s="17">
        <v>0</v>
      </c>
      <c r="BF568" s="17">
        <v>0</v>
      </c>
      <c r="BG568" s="17">
        <v>0</v>
      </c>
      <c r="BH568" s="17">
        <v>0</v>
      </c>
      <c r="BI568" s="22">
        <f t="shared" si="145"/>
        <v>0</v>
      </c>
      <c r="BJ568" s="22">
        <f t="shared" si="146"/>
        <v>0</v>
      </c>
      <c r="BK568" s="22">
        <f t="shared" si="147"/>
        <v>0</v>
      </c>
      <c r="BL568" s="22">
        <f t="shared" si="148"/>
        <v>0</v>
      </c>
      <c r="BM568" s="22">
        <f t="shared" si="150"/>
        <v>0</v>
      </c>
      <c r="BN568" s="23" t="e">
        <f t="shared" si="151"/>
        <v>#DIV/0!</v>
      </c>
      <c r="BO568" s="23" t="e">
        <f t="shared" si="151"/>
        <v>#DIV/0!</v>
      </c>
      <c r="BP568" s="7" t="e">
        <f>VLOOKUP(A568,[1]Sheet15!B:E,4,0)</f>
        <v>#N/A</v>
      </c>
      <c r="BQ568" s="7" t="e">
        <f>VLOOKUP(A568,[1]Sheet15!B:E,3,0)</f>
        <v>#N/A</v>
      </c>
    </row>
    <row r="569" spans="1:69" ht="22.5" customHeight="1" x14ac:dyDescent="0.25">
      <c r="A569" s="15" t="s">
        <v>1372</v>
      </c>
      <c r="B569" s="15">
        <f>VLOOKUP(A569,'[1]Master clients'!F551:W4098,17,0)</f>
        <v>0</v>
      </c>
      <c r="C569" s="15" t="str">
        <f>VLOOKUP(A569,'[1]Master clients'!F551:P4098,11,0)</f>
        <v>AV</v>
      </c>
      <c r="D569" s="15" t="str">
        <f>VLOOKUP(A569,'[1]Master clients'!F:M,8,0)</f>
        <v>Group (Mills)</v>
      </c>
      <c r="E569" s="24" t="s">
        <v>1373</v>
      </c>
      <c r="F569" s="25" t="s">
        <v>274</v>
      </c>
      <c r="G569" s="20"/>
      <c r="H569" s="20"/>
      <c r="I569" s="26">
        <v>29</v>
      </c>
      <c r="J569" s="26">
        <v>7</v>
      </c>
      <c r="K569" s="17">
        <v>0</v>
      </c>
      <c r="L569" s="17">
        <v>0</v>
      </c>
      <c r="M569" s="17">
        <v>0</v>
      </c>
      <c r="N569" s="17">
        <v>0</v>
      </c>
      <c r="O569" s="17">
        <v>0</v>
      </c>
      <c r="P569" s="17">
        <v>0</v>
      </c>
      <c r="Q569" s="17">
        <v>0</v>
      </c>
      <c r="R569" s="17">
        <v>0</v>
      </c>
      <c r="S569" s="17">
        <v>0</v>
      </c>
      <c r="T569" s="17">
        <v>0</v>
      </c>
      <c r="U569" s="17">
        <v>0</v>
      </c>
      <c r="V569" s="17">
        <v>0</v>
      </c>
      <c r="W569" s="17">
        <v>0</v>
      </c>
      <c r="X569" s="17">
        <v>0</v>
      </c>
      <c r="Y569" s="17">
        <v>0</v>
      </c>
      <c r="Z569" s="17">
        <v>0</v>
      </c>
      <c r="AA569" s="17">
        <v>0</v>
      </c>
      <c r="AB569" s="17">
        <v>0</v>
      </c>
      <c r="AC569" s="17">
        <v>0</v>
      </c>
      <c r="AD569" s="17">
        <v>0</v>
      </c>
      <c r="AE569" s="17">
        <v>0</v>
      </c>
      <c r="AF569" s="17">
        <v>0</v>
      </c>
      <c r="AG569" s="17">
        <v>0</v>
      </c>
      <c r="AH569" s="17">
        <v>0</v>
      </c>
      <c r="AI569" s="17">
        <v>0</v>
      </c>
      <c r="AJ569" s="17">
        <v>0</v>
      </c>
      <c r="AK569" s="17">
        <v>0</v>
      </c>
      <c r="AL569" s="17">
        <v>0</v>
      </c>
      <c r="AM569" s="17">
        <v>0</v>
      </c>
      <c r="AN569" s="17">
        <v>0</v>
      </c>
      <c r="AO569" s="17">
        <v>0</v>
      </c>
      <c r="AP569" s="17">
        <v>12</v>
      </c>
      <c r="AQ569" s="17">
        <v>0</v>
      </c>
      <c r="AR569" s="17">
        <v>0</v>
      </c>
      <c r="AS569" s="17">
        <v>0</v>
      </c>
      <c r="AT569" s="17">
        <v>0</v>
      </c>
      <c r="AU569" s="17">
        <v>0</v>
      </c>
      <c r="AV569" s="17">
        <v>0</v>
      </c>
      <c r="AW569" s="17">
        <v>0</v>
      </c>
      <c r="AX569" s="17">
        <v>0</v>
      </c>
      <c r="AY569" s="17">
        <v>0</v>
      </c>
      <c r="AZ569" s="17">
        <v>0</v>
      </c>
      <c r="BA569" s="17">
        <v>0</v>
      </c>
      <c r="BB569" s="17">
        <v>0</v>
      </c>
      <c r="BC569" s="17">
        <v>0</v>
      </c>
      <c r="BD569" s="17">
        <v>0</v>
      </c>
      <c r="BE569" s="21">
        <v>0</v>
      </c>
      <c r="BF569" s="21">
        <v>0</v>
      </c>
      <c r="BG569" s="17">
        <v>0</v>
      </c>
      <c r="BH569" s="17">
        <v>0</v>
      </c>
      <c r="BI569" s="22">
        <f t="shared" si="145"/>
        <v>0</v>
      </c>
      <c r="BJ569" s="22">
        <f t="shared" si="146"/>
        <v>12</v>
      </c>
      <c r="BK569" s="28">
        <f t="shared" si="147"/>
        <v>48</v>
      </c>
      <c r="BL569" s="22">
        <f t="shared" si="148"/>
        <v>29</v>
      </c>
      <c r="BM569" s="22">
        <f t="shared" si="150"/>
        <v>19</v>
      </c>
      <c r="BN569" s="23">
        <f t="shared" si="151"/>
        <v>1</v>
      </c>
      <c r="BO569" s="23">
        <f t="shared" si="151"/>
        <v>0.36842105263157893</v>
      </c>
      <c r="BP569" s="7" t="e">
        <f>VLOOKUP(A569,[1]Sheet15!B:E,4,0)</f>
        <v>#N/A</v>
      </c>
      <c r="BQ569" s="7" t="e">
        <f>VLOOKUP(A569,[1]Sheet15!B:E,3,0)</f>
        <v>#N/A</v>
      </c>
    </row>
    <row r="570" spans="1:69" ht="22.5" customHeight="1" x14ac:dyDescent="0.25">
      <c r="A570" s="15" t="s">
        <v>1374</v>
      </c>
      <c r="B570" s="15" t="e">
        <f>VLOOKUP(A570,'[1]Master clients'!F552:W4099,17,0)</f>
        <v>#N/A</v>
      </c>
      <c r="C570" s="15" t="e">
        <f>VLOOKUP(A570,'[1]Master clients'!F552:P4099,11,0)</f>
        <v>#N/A</v>
      </c>
      <c r="D570" s="15" t="str">
        <f>VLOOKUP(A570,'[1]Master clients'!F:M,8,0)</f>
        <v>End User</v>
      </c>
      <c r="E570" s="24" t="s">
        <v>1375</v>
      </c>
      <c r="F570" s="25" t="s">
        <v>1376</v>
      </c>
      <c r="G570" s="20"/>
      <c r="H570" s="20">
        <v>4</v>
      </c>
      <c r="I570" s="26">
        <v>6</v>
      </c>
      <c r="J570" s="18">
        <v>4</v>
      </c>
      <c r="K570" s="20">
        <v>0</v>
      </c>
      <c r="L570" s="20">
        <v>3</v>
      </c>
      <c r="M570" s="20">
        <v>0</v>
      </c>
      <c r="N570" s="20">
        <v>0</v>
      </c>
      <c r="O570" s="20">
        <v>0</v>
      </c>
      <c r="P570" s="20">
        <v>0</v>
      </c>
      <c r="Q570" s="20">
        <v>0</v>
      </c>
      <c r="R570" s="20">
        <v>0</v>
      </c>
      <c r="S570" s="20">
        <v>0</v>
      </c>
      <c r="T570" s="20">
        <v>0</v>
      </c>
      <c r="U570" s="20">
        <v>0</v>
      </c>
      <c r="V570" s="20">
        <v>0</v>
      </c>
      <c r="W570" s="20">
        <v>0</v>
      </c>
      <c r="X570" s="20">
        <v>0</v>
      </c>
      <c r="Y570" s="20">
        <v>0</v>
      </c>
      <c r="Z570" s="20">
        <v>0</v>
      </c>
      <c r="AA570" s="20">
        <v>4</v>
      </c>
      <c r="AB570" s="20">
        <v>0</v>
      </c>
      <c r="AC570" s="20">
        <v>0</v>
      </c>
      <c r="AD570" s="20">
        <v>0</v>
      </c>
      <c r="AE570" s="20">
        <v>0</v>
      </c>
      <c r="AF570" s="20">
        <v>0</v>
      </c>
      <c r="AG570" s="20">
        <v>0</v>
      </c>
      <c r="AH570" s="20">
        <v>0</v>
      </c>
      <c r="AI570" s="20">
        <v>0</v>
      </c>
      <c r="AJ570" s="20">
        <v>0</v>
      </c>
      <c r="AK570" s="20">
        <v>0</v>
      </c>
      <c r="AL570" s="20">
        <v>0</v>
      </c>
      <c r="AM570" s="20">
        <v>0</v>
      </c>
      <c r="AN570" s="20">
        <v>0</v>
      </c>
      <c r="AO570" s="20">
        <v>0</v>
      </c>
      <c r="AP570" s="20">
        <v>0</v>
      </c>
      <c r="AQ570" s="20">
        <v>0</v>
      </c>
      <c r="AR570" s="20">
        <v>0</v>
      </c>
      <c r="AS570" s="20">
        <v>0</v>
      </c>
      <c r="AT570" s="20">
        <v>0</v>
      </c>
      <c r="AU570" s="20">
        <v>0</v>
      </c>
      <c r="AV570" s="20">
        <v>0</v>
      </c>
      <c r="AW570" s="20">
        <v>0</v>
      </c>
      <c r="AX570" s="20">
        <v>0</v>
      </c>
      <c r="AY570" s="20">
        <v>0</v>
      </c>
      <c r="AZ570" s="20">
        <v>0</v>
      </c>
      <c r="BA570" s="20">
        <v>0</v>
      </c>
      <c r="BB570" s="20">
        <v>0</v>
      </c>
      <c r="BC570" s="20">
        <v>0</v>
      </c>
      <c r="BD570" s="20">
        <v>0</v>
      </c>
      <c r="BE570" s="20">
        <v>0</v>
      </c>
      <c r="BF570" s="20">
        <v>0</v>
      </c>
      <c r="BG570" s="20">
        <v>0</v>
      </c>
      <c r="BH570" s="20">
        <v>0</v>
      </c>
      <c r="BI570" s="22">
        <f t="shared" si="145"/>
        <v>3</v>
      </c>
      <c r="BJ570" s="22">
        <f t="shared" si="146"/>
        <v>4</v>
      </c>
      <c r="BK570" s="28">
        <f t="shared" si="147"/>
        <v>17</v>
      </c>
      <c r="BL570" s="22">
        <f t="shared" si="148"/>
        <v>9</v>
      </c>
      <c r="BM570" s="22">
        <f t="shared" si="150"/>
        <v>8</v>
      </c>
      <c r="BN570" s="23">
        <f t="shared" si="151"/>
        <v>0.66666666666666663</v>
      </c>
      <c r="BO570" s="23">
        <f t="shared" si="151"/>
        <v>0.5</v>
      </c>
      <c r="BP570" s="7">
        <f>VLOOKUP(A570,[1]Sheet15!B:E,4,0)</f>
        <v>6</v>
      </c>
      <c r="BQ570" s="7">
        <f>VLOOKUP(A570,[1]Sheet15!B:E,3,0)</f>
        <v>4</v>
      </c>
    </row>
    <row r="571" spans="1:69" ht="22.5" customHeight="1" x14ac:dyDescent="0.25">
      <c r="A571" s="15" t="s">
        <v>1377</v>
      </c>
      <c r="B571" s="15" t="e">
        <f>VLOOKUP(A571,'[1]Master clients'!F553:W4100,17,0)</f>
        <v>#N/A</v>
      </c>
      <c r="C571" s="15" t="e">
        <f>VLOOKUP(A571,'[1]Master clients'!F553:P4100,11,0)</f>
        <v>#N/A</v>
      </c>
      <c r="D571" s="15" t="str">
        <f>VLOOKUP(A571,'[1]Master clients'!F:M,8,0)</f>
        <v>End User</v>
      </c>
      <c r="E571" s="16" t="s">
        <v>1378</v>
      </c>
      <c r="F571" s="16" t="s">
        <v>1379</v>
      </c>
      <c r="G571" s="17"/>
      <c r="H571" s="17"/>
      <c r="I571" s="26">
        <v>6</v>
      </c>
      <c r="J571" s="18">
        <v>0</v>
      </c>
      <c r="K571" s="17">
        <v>0</v>
      </c>
      <c r="L571" s="17">
        <v>0</v>
      </c>
      <c r="M571" s="17">
        <v>0</v>
      </c>
      <c r="N571" s="17">
        <v>0</v>
      </c>
      <c r="O571" s="17">
        <v>0</v>
      </c>
      <c r="P571" s="17">
        <v>0</v>
      </c>
      <c r="Q571" s="17">
        <v>0</v>
      </c>
      <c r="R571" s="17">
        <v>0</v>
      </c>
      <c r="S571" s="17">
        <v>0</v>
      </c>
      <c r="T571" s="17">
        <v>0</v>
      </c>
      <c r="U571" s="17">
        <v>0</v>
      </c>
      <c r="V571" s="17">
        <v>0</v>
      </c>
      <c r="W571" s="17">
        <v>0</v>
      </c>
      <c r="X571" s="17">
        <v>0</v>
      </c>
      <c r="Y571" s="17">
        <v>0</v>
      </c>
      <c r="Z571" s="17">
        <v>0</v>
      </c>
      <c r="AA571" s="17">
        <v>0</v>
      </c>
      <c r="AB571" s="17">
        <v>0</v>
      </c>
      <c r="AC571" s="17">
        <v>0</v>
      </c>
      <c r="AD571" s="17">
        <v>0</v>
      </c>
      <c r="AE571" s="17">
        <v>0</v>
      </c>
      <c r="AF571" s="17">
        <v>0</v>
      </c>
      <c r="AG571" s="17">
        <v>0</v>
      </c>
      <c r="AH571" s="17">
        <v>0</v>
      </c>
      <c r="AI571" s="17">
        <v>0</v>
      </c>
      <c r="AJ571" s="17">
        <v>0</v>
      </c>
      <c r="AK571" s="17">
        <v>0</v>
      </c>
      <c r="AL571" s="17">
        <v>0</v>
      </c>
      <c r="AM571" s="17">
        <v>0</v>
      </c>
      <c r="AN571" s="17">
        <v>0</v>
      </c>
      <c r="AO571" s="17">
        <v>0</v>
      </c>
      <c r="AP571" s="17">
        <v>0</v>
      </c>
      <c r="AQ571" s="17">
        <v>0</v>
      </c>
      <c r="AR571" s="17">
        <v>0</v>
      </c>
      <c r="AS571" s="17">
        <v>0</v>
      </c>
      <c r="AT571" s="17">
        <v>0</v>
      </c>
      <c r="AU571" s="17">
        <v>0</v>
      </c>
      <c r="AV571" s="17">
        <v>0</v>
      </c>
      <c r="AW571" s="17">
        <v>0</v>
      </c>
      <c r="AX571" s="17">
        <v>0</v>
      </c>
      <c r="AY571" s="17">
        <v>0</v>
      </c>
      <c r="AZ571" s="17">
        <v>0</v>
      </c>
      <c r="BA571" s="17">
        <v>0</v>
      </c>
      <c r="BB571" s="17">
        <v>0</v>
      </c>
      <c r="BC571" s="17">
        <v>0</v>
      </c>
      <c r="BD571" s="17">
        <v>0</v>
      </c>
      <c r="BE571" s="17">
        <v>0</v>
      </c>
      <c r="BF571" s="17">
        <v>0</v>
      </c>
      <c r="BG571" s="17">
        <v>0</v>
      </c>
      <c r="BH571" s="17">
        <v>0</v>
      </c>
      <c r="BI571" s="22">
        <f t="shared" si="145"/>
        <v>0</v>
      </c>
      <c r="BJ571" s="22">
        <f t="shared" si="146"/>
        <v>0</v>
      </c>
      <c r="BK571" s="22">
        <f t="shared" si="147"/>
        <v>6</v>
      </c>
      <c r="BL571" s="22">
        <f t="shared" si="148"/>
        <v>6</v>
      </c>
      <c r="BM571" s="22">
        <f t="shared" si="150"/>
        <v>0</v>
      </c>
      <c r="BN571" s="23">
        <f t="shared" si="151"/>
        <v>1</v>
      </c>
      <c r="BO571" s="23" t="e">
        <f t="shared" si="151"/>
        <v>#DIV/0!</v>
      </c>
      <c r="BP571" s="7">
        <f>VLOOKUP(A571,[1]Sheet15!B:E,4,0)</f>
        <v>6</v>
      </c>
      <c r="BQ571" s="7">
        <f>VLOOKUP(A571,[1]Sheet15!B:E,3,0)</f>
        <v>0</v>
      </c>
    </row>
    <row r="572" spans="1:69" ht="36" customHeight="1" x14ac:dyDescent="0.25">
      <c r="A572" s="15" t="s">
        <v>1380</v>
      </c>
      <c r="B572" s="15" t="e">
        <f>VLOOKUP(A572,'[1]Master clients'!F554:W4101,17,0)</f>
        <v>#N/A</v>
      </c>
      <c r="C572" s="15" t="e">
        <f>VLOOKUP(A572,'[1]Master clients'!F554:P4101,11,0)</f>
        <v>#N/A</v>
      </c>
      <c r="D572" s="15" t="str">
        <f>VLOOKUP(A572,'[1]Master clients'!F:M,8,0)</f>
        <v>End User</v>
      </c>
      <c r="E572" s="16" t="s">
        <v>1381</v>
      </c>
      <c r="F572" s="16" t="s">
        <v>1382</v>
      </c>
      <c r="G572" s="17">
        <v>6</v>
      </c>
      <c r="H572" s="17">
        <v>0</v>
      </c>
      <c r="I572" s="18">
        <v>5</v>
      </c>
      <c r="J572" s="18">
        <v>2</v>
      </c>
      <c r="K572" s="17">
        <v>0</v>
      </c>
      <c r="L572" s="17">
        <v>0</v>
      </c>
      <c r="M572" s="17">
        <v>0</v>
      </c>
      <c r="N572" s="17">
        <v>0</v>
      </c>
      <c r="O572" s="19">
        <v>0</v>
      </c>
      <c r="P572" s="19">
        <v>0</v>
      </c>
      <c r="Q572" s="19">
        <v>0</v>
      </c>
      <c r="R572" s="19">
        <v>0</v>
      </c>
      <c r="S572" s="19">
        <v>0</v>
      </c>
      <c r="T572" s="19">
        <v>0</v>
      </c>
      <c r="U572" s="19">
        <v>0</v>
      </c>
      <c r="V572" s="19">
        <v>0</v>
      </c>
      <c r="W572" s="20">
        <v>0</v>
      </c>
      <c r="X572" s="20">
        <v>0</v>
      </c>
      <c r="Y572" s="19">
        <v>0</v>
      </c>
      <c r="Z572" s="19">
        <v>0</v>
      </c>
      <c r="AA572" s="19">
        <v>0</v>
      </c>
      <c r="AB572" s="19">
        <v>0</v>
      </c>
      <c r="AC572" s="19">
        <v>0</v>
      </c>
      <c r="AD572" s="19">
        <v>0</v>
      </c>
      <c r="AE572" s="19">
        <v>0</v>
      </c>
      <c r="AF572" s="19">
        <v>0</v>
      </c>
      <c r="AG572" s="19">
        <v>0</v>
      </c>
      <c r="AH572" s="19">
        <v>0</v>
      </c>
      <c r="AI572" s="20">
        <v>0</v>
      </c>
      <c r="AJ572" s="20">
        <v>0</v>
      </c>
      <c r="AK572" s="19">
        <v>0</v>
      </c>
      <c r="AL572" s="20">
        <v>0</v>
      </c>
      <c r="AM572" s="19">
        <v>0</v>
      </c>
      <c r="AN572" s="19">
        <v>0</v>
      </c>
      <c r="AO572" s="19">
        <v>2</v>
      </c>
      <c r="AP572" s="19">
        <v>2</v>
      </c>
      <c r="AQ572" s="19">
        <v>1</v>
      </c>
      <c r="AR572" s="19">
        <v>0</v>
      </c>
      <c r="AS572" s="19">
        <v>0</v>
      </c>
      <c r="AT572" s="19">
        <v>0</v>
      </c>
      <c r="AU572" s="19">
        <v>0</v>
      </c>
      <c r="AV572" s="19">
        <v>0</v>
      </c>
      <c r="AW572" s="20">
        <v>0</v>
      </c>
      <c r="AX572" s="20">
        <v>0</v>
      </c>
      <c r="AY572" s="20">
        <v>0</v>
      </c>
      <c r="AZ572" s="19">
        <v>0</v>
      </c>
      <c r="BA572" s="19">
        <v>0</v>
      </c>
      <c r="BB572" s="19">
        <v>0</v>
      </c>
      <c r="BC572" s="19">
        <v>0</v>
      </c>
      <c r="BD572" s="19">
        <v>0</v>
      </c>
      <c r="BE572" s="21">
        <v>0</v>
      </c>
      <c r="BF572" s="21">
        <v>0</v>
      </c>
      <c r="BG572" s="19">
        <v>0</v>
      </c>
      <c r="BH572" s="19">
        <v>0</v>
      </c>
      <c r="BI572" s="22">
        <f t="shared" si="145"/>
        <v>2</v>
      </c>
      <c r="BJ572" s="22">
        <f t="shared" si="146"/>
        <v>3</v>
      </c>
      <c r="BK572" s="22">
        <f t="shared" si="147"/>
        <v>12</v>
      </c>
      <c r="BL572" s="22">
        <f t="shared" si="148"/>
        <v>7</v>
      </c>
      <c r="BM572" s="22">
        <f t="shared" si="150"/>
        <v>5</v>
      </c>
      <c r="BN572" s="23">
        <f t="shared" si="151"/>
        <v>0.7142857142857143</v>
      </c>
      <c r="BO572" s="23">
        <f t="shared" si="151"/>
        <v>0.4</v>
      </c>
      <c r="BP572" s="7">
        <f>VLOOKUP(A572,[1]Sheet15!B:E,4,0)</f>
        <v>10</v>
      </c>
      <c r="BQ572" s="7">
        <f>VLOOKUP(A572,[1]Sheet15!B:E,3,0)</f>
        <v>2</v>
      </c>
    </row>
    <row r="573" spans="1:69" ht="22.5" customHeight="1" x14ac:dyDescent="0.25">
      <c r="A573" s="15" t="s">
        <v>1383</v>
      </c>
      <c r="B573" s="15" t="e">
        <f>VLOOKUP(A573,'[1]Master clients'!F555:W4102,17,0)</f>
        <v>#N/A</v>
      </c>
      <c r="C573" s="15" t="e">
        <f>VLOOKUP(A573,'[1]Master clients'!F555:P4102,11,0)</f>
        <v>#N/A</v>
      </c>
      <c r="D573" s="15" t="str">
        <f>VLOOKUP(A573,'[1]Master clients'!F:M,8,0)</f>
        <v>End User</v>
      </c>
      <c r="E573" s="16" t="s">
        <v>1384</v>
      </c>
      <c r="F573" s="16" t="s">
        <v>1379</v>
      </c>
      <c r="G573" s="17"/>
      <c r="H573" s="17"/>
      <c r="I573" s="31">
        <v>1</v>
      </c>
      <c r="J573" s="31">
        <v>0</v>
      </c>
      <c r="K573" s="17">
        <v>0</v>
      </c>
      <c r="L573" s="17">
        <v>0</v>
      </c>
      <c r="M573" s="17">
        <v>0</v>
      </c>
      <c r="N573" s="17">
        <v>0</v>
      </c>
      <c r="O573" s="17">
        <v>0</v>
      </c>
      <c r="P573" s="17">
        <v>0</v>
      </c>
      <c r="Q573" s="17">
        <v>0</v>
      </c>
      <c r="R573" s="17">
        <v>0</v>
      </c>
      <c r="S573" s="17">
        <v>0</v>
      </c>
      <c r="T573" s="17">
        <v>0</v>
      </c>
      <c r="U573" s="17">
        <v>0</v>
      </c>
      <c r="V573" s="17">
        <v>0</v>
      </c>
      <c r="W573" s="17">
        <v>0</v>
      </c>
      <c r="X573" s="17">
        <v>0</v>
      </c>
      <c r="Y573" s="17">
        <v>0</v>
      </c>
      <c r="Z573" s="17">
        <v>0</v>
      </c>
      <c r="AA573" s="17">
        <v>0</v>
      </c>
      <c r="AB573" s="17">
        <v>0</v>
      </c>
      <c r="AC573" s="17">
        <v>0</v>
      </c>
      <c r="AD573" s="17">
        <v>0</v>
      </c>
      <c r="AE573" s="17">
        <v>0</v>
      </c>
      <c r="AF573" s="17">
        <v>0</v>
      </c>
      <c r="AG573" s="17">
        <v>0</v>
      </c>
      <c r="AH573" s="17">
        <v>0</v>
      </c>
      <c r="AI573" s="17">
        <v>0</v>
      </c>
      <c r="AJ573" s="17">
        <v>0</v>
      </c>
      <c r="AK573" s="17">
        <v>0</v>
      </c>
      <c r="AL573" s="17">
        <v>0</v>
      </c>
      <c r="AM573" s="17">
        <v>0</v>
      </c>
      <c r="AN573" s="17">
        <v>0</v>
      </c>
      <c r="AO573" s="17">
        <v>5</v>
      </c>
      <c r="AP573" s="17">
        <v>0</v>
      </c>
      <c r="AQ573" s="17">
        <v>0</v>
      </c>
      <c r="AR573" s="17">
        <v>0</v>
      </c>
      <c r="AS573" s="17">
        <v>0</v>
      </c>
      <c r="AT573" s="17">
        <v>0</v>
      </c>
      <c r="AU573" s="17">
        <v>0</v>
      </c>
      <c r="AV573" s="17">
        <v>0</v>
      </c>
      <c r="AW573" s="17">
        <v>0</v>
      </c>
      <c r="AX573" s="17">
        <v>0</v>
      </c>
      <c r="AY573" s="17">
        <v>0</v>
      </c>
      <c r="AZ573" s="17">
        <v>0</v>
      </c>
      <c r="BA573" s="17">
        <v>0</v>
      </c>
      <c r="BB573" s="17">
        <v>0</v>
      </c>
      <c r="BC573" s="17">
        <v>0</v>
      </c>
      <c r="BD573" s="17">
        <v>0</v>
      </c>
      <c r="BE573" s="17">
        <v>0</v>
      </c>
      <c r="BF573" s="17">
        <v>0</v>
      </c>
      <c r="BG573" s="17">
        <v>0</v>
      </c>
      <c r="BH573" s="17">
        <v>0</v>
      </c>
      <c r="BI573" s="22">
        <f t="shared" si="145"/>
        <v>5</v>
      </c>
      <c r="BJ573" s="22">
        <f t="shared" si="146"/>
        <v>0</v>
      </c>
      <c r="BK573" s="22">
        <f t="shared" si="147"/>
        <v>6</v>
      </c>
      <c r="BL573" s="22">
        <f t="shared" si="148"/>
        <v>6</v>
      </c>
      <c r="BM573" s="22">
        <f t="shared" si="150"/>
        <v>0</v>
      </c>
      <c r="BN573" s="23">
        <f t="shared" si="151"/>
        <v>0.16666666666666666</v>
      </c>
      <c r="BO573" s="23" t="e">
        <f t="shared" si="151"/>
        <v>#DIV/0!</v>
      </c>
      <c r="BP573" s="7" t="e">
        <f>VLOOKUP(A573,[1]Sheet15!B:E,4,0)</f>
        <v>#N/A</v>
      </c>
      <c r="BQ573" s="7" t="e">
        <f>VLOOKUP(A573,[1]Sheet15!B:E,3,0)</f>
        <v>#N/A</v>
      </c>
    </row>
    <row r="574" spans="1:69" ht="22.5" customHeight="1" x14ac:dyDescent="0.25">
      <c r="A574" s="15" t="s">
        <v>1385</v>
      </c>
      <c r="B574" s="15">
        <f>VLOOKUP(A574,'[1]Master clients'!F556:W4103,17,0)</f>
        <v>0</v>
      </c>
      <c r="C574" s="15" t="str">
        <f>VLOOKUP(A574,'[1]Master clients'!F556:P4103,11,0)</f>
        <v>NI</v>
      </c>
      <c r="D574" s="15" t="str">
        <f>VLOOKUP(A574,'[1]Master clients'!F:M,8,0)</f>
        <v>End User</v>
      </c>
      <c r="E574" s="16" t="s">
        <v>1386</v>
      </c>
      <c r="F574" s="16" t="s">
        <v>1379</v>
      </c>
      <c r="G574" s="17"/>
      <c r="H574" s="17"/>
      <c r="I574" s="26">
        <v>2</v>
      </c>
      <c r="J574" s="31">
        <v>0</v>
      </c>
      <c r="K574" s="17">
        <v>0</v>
      </c>
      <c r="L574" s="17">
        <v>0</v>
      </c>
      <c r="M574" s="17">
        <v>0</v>
      </c>
      <c r="N574" s="17">
        <v>0</v>
      </c>
      <c r="O574" s="17">
        <v>0</v>
      </c>
      <c r="P574" s="17">
        <v>0</v>
      </c>
      <c r="Q574" s="17">
        <v>0</v>
      </c>
      <c r="R574" s="17">
        <v>0</v>
      </c>
      <c r="S574" s="17">
        <v>0</v>
      </c>
      <c r="T574" s="17">
        <v>0</v>
      </c>
      <c r="U574" s="17">
        <v>0</v>
      </c>
      <c r="V574" s="17">
        <v>0</v>
      </c>
      <c r="W574" s="17">
        <v>0</v>
      </c>
      <c r="X574" s="17">
        <v>0</v>
      </c>
      <c r="Y574" s="17">
        <v>0</v>
      </c>
      <c r="Z574" s="17">
        <v>0</v>
      </c>
      <c r="AA574" s="17">
        <v>0</v>
      </c>
      <c r="AB574" s="17">
        <v>0</v>
      </c>
      <c r="AC574" s="17">
        <v>0</v>
      </c>
      <c r="AD574" s="17">
        <v>0</v>
      </c>
      <c r="AE574" s="17">
        <v>0</v>
      </c>
      <c r="AF574" s="17">
        <v>0</v>
      </c>
      <c r="AG574" s="17">
        <v>0</v>
      </c>
      <c r="AH574" s="17">
        <v>0</v>
      </c>
      <c r="AI574" s="17">
        <v>0</v>
      </c>
      <c r="AJ574" s="17">
        <v>0</v>
      </c>
      <c r="AK574" s="17">
        <v>0</v>
      </c>
      <c r="AL574" s="17">
        <v>0</v>
      </c>
      <c r="AM574" s="17">
        <v>0</v>
      </c>
      <c r="AN574" s="17">
        <v>0</v>
      </c>
      <c r="AO574" s="17">
        <v>0</v>
      </c>
      <c r="AP574" s="17">
        <v>0</v>
      </c>
      <c r="AQ574" s="17">
        <v>0</v>
      </c>
      <c r="AR574" s="17">
        <v>0</v>
      </c>
      <c r="AS574" s="17">
        <v>0</v>
      </c>
      <c r="AT574" s="17">
        <v>0</v>
      </c>
      <c r="AU574" s="17">
        <v>0</v>
      </c>
      <c r="AV574" s="17">
        <v>0</v>
      </c>
      <c r="AW574" s="17">
        <v>0</v>
      </c>
      <c r="AX574" s="17">
        <v>0</v>
      </c>
      <c r="AY574" s="17">
        <v>0</v>
      </c>
      <c r="AZ574" s="17">
        <v>0</v>
      </c>
      <c r="BA574" s="17">
        <v>0</v>
      </c>
      <c r="BB574" s="17">
        <v>0</v>
      </c>
      <c r="BC574" s="17">
        <v>0</v>
      </c>
      <c r="BD574" s="17">
        <v>0</v>
      </c>
      <c r="BE574" s="17">
        <v>0</v>
      </c>
      <c r="BF574" s="17">
        <v>0</v>
      </c>
      <c r="BG574" s="17">
        <v>0</v>
      </c>
      <c r="BH574" s="17">
        <v>0</v>
      </c>
      <c r="BI574" s="22">
        <f t="shared" si="145"/>
        <v>0</v>
      </c>
      <c r="BJ574" s="22">
        <f t="shared" si="146"/>
        <v>0</v>
      </c>
      <c r="BK574" s="28">
        <f t="shared" si="147"/>
        <v>2</v>
      </c>
      <c r="BL574" s="22">
        <f t="shared" si="148"/>
        <v>2</v>
      </c>
      <c r="BM574" s="22">
        <f t="shared" si="150"/>
        <v>0</v>
      </c>
      <c r="BN574" s="23">
        <f t="shared" si="151"/>
        <v>1</v>
      </c>
      <c r="BO574" s="23" t="e">
        <f t="shared" si="151"/>
        <v>#DIV/0!</v>
      </c>
      <c r="BP574" s="7">
        <f>VLOOKUP(A574,[1]Sheet15!B:E,4,0)</f>
        <v>2</v>
      </c>
      <c r="BQ574" s="7">
        <f>VLOOKUP(A574,[1]Sheet15!B:E,3,0)</f>
        <v>0</v>
      </c>
    </row>
    <row r="575" spans="1:69" ht="22.5" customHeight="1" x14ac:dyDescent="0.25">
      <c r="A575" s="15" t="s">
        <v>1387</v>
      </c>
      <c r="B575" s="15">
        <f>VLOOKUP(A575,'[1]Master clients'!F557:W4104,17,0)</f>
        <v>0</v>
      </c>
      <c r="C575" s="15" t="str">
        <f>VLOOKUP(A575,'[1]Master clients'!F557:P4104,11,0)</f>
        <v>WI-SV</v>
      </c>
      <c r="D575" s="15" t="str">
        <f>VLOOKUP(A575,'[1]Master clients'!F:M,8,0)</f>
        <v>End User</v>
      </c>
      <c r="E575" s="16" t="s">
        <v>1388</v>
      </c>
      <c r="F575" s="16" t="s">
        <v>1379</v>
      </c>
      <c r="G575" s="17"/>
      <c r="H575" s="17"/>
      <c r="I575" s="31">
        <v>0</v>
      </c>
      <c r="J575" s="31">
        <v>0</v>
      </c>
      <c r="K575" s="17">
        <v>0</v>
      </c>
      <c r="L575" s="17">
        <v>0</v>
      </c>
      <c r="M575" s="17">
        <v>0</v>
      </c>
      <c r="N575" s="17">
        <v>0</v>
      </c>
      <c r="O575" s="17">
        <v>0</v>
      </c>
      <c r="P575" s="17">
        <v>0</v>
      </c>
      <c r="Q575" s="17">
        <v>0</v>
      </c>
      <c r="R575" s="17">
        <v>0</v>
      </c>
      <c r="S575" s="17">
        <v>0</v>
      </c>
      <c r="T575" s="17">
        <v>0</v>
      </c>
      <c r="U575" s="17">
        <v>0</v>
      </c>
      <c r="V575" s="17">
        <v>0</v>
      </c>
      <c r="W575" s="17">
        <v>0</v>
      </c>
      <c r="X575" s="17">
        <v>0</v>
      </c>
      <c r="Y575" s="17">
        <v>0</v>
      </c>
      <c r="Z575" s="17">
        <v>0</v>
      </c>
      <c r="AA575" s="17">
        <v>0</v>
      </c>
      <c r="AB575" s="17">
        <v>0</v>
      </c>
      <c r="AC575" s="17">
        <v>0</v>
      </c>
      <c r="AD575" s="17">
        <v>0</v>
      </c>
      <c r="AE575" s="17">
        <v>0</v>
      </c>
      <c r="AF575" s="17">
        <v>0</v>
      </c>
      <c r="AG575" s="17">
        <v>0</v>
      </c>
      <c r="AH575" s="17">
        <v>0</v>
      </c>
      <c r="AI575" s="17">
        <v>0</v>
      </c>
      <c r="AJ575" s="17">
        <v>0</v>
      </c>
      <c r="AK575" s="17">
        <v>0</v>
      </c>
      <c r="AL575" s="17">
        <v>0</v>
      </c>
      <c r="AM575" s="17">
        <v>0</v>
      </c>
      <c r="AN575" s="17">
        <v>0</v>
      </c>
      <c r="AO575" s="17">
        <v>0</v>
      </c>
      <c r="AP575" s="17">
        <v>0</v>
      </c>
      <c r="AQ575" s="17">
        <v>0</v>
      </c>
      <c r="AR575" s="17">
        <v>0</v>
      </c>
      <c r="AS575" s="17">
        <v>0</v>
      </c>
      <c r="AT575" s="17">
        <v>0</v>
      </c>
      <c r="AU575" s="17">
        <v>0</v>
      </c>
      <c r="AV575" s="17">
        <v>0</v>
      </c>
      <c r="AW575" s="17">
        <v>0</v>
      </c>
      <c r="AX575" s="17">
        <v>0</v>
      </c>
      <c r="AY575" s="17">
        <v>0</v>
      </c>
      <c r="AZ575" s="17">
        <v>0</v>
      </c>
      <c r="BA575" s="17">
        <v>0</v>
      </c>
      <c r="BB575" s="17">
        <v>0</v>
      </c>
      <c r="BC575" s="17">
        <v>0</v>
      </c>
      <c r="BD575" s="17">
        <v>0</v>
      </c>
      <c r="BE575" s="17">
        <v>0</v>
      </c>
      <c r="BF575" s="17">
        <v>0</v>
      </c>
      <c r="BG575" s="17">
        <v>0</v>
      </c>
      <c r="BH575" s="17">
        <v>0</v>
      </c>
      <c r="BI575" s="22">
        <f t="shared" si="145"/>
        <v>0</v>
      </c>
      <c r="BJ575" s="22">
        <f t="shared" si="146"/>
        <v>0</v>
      </c>
      <c r="BK575" s="22">
        <f t="shared" si="147"/>
        <v>0</v>
      </c>
      <c r="BL575" s="22">
        <f t="shared" si="148"/>
        <v>0</v>
      </c>
      <c r="BM575" s="22">
        <f t="shared" si="150"/>
        <v>0</v>
      </c>
      <c r="BN575" s="23" t="e">
        <f t="shared" si="151"/>
        <v>#DIV/0!</v>
      </c>
      <c r="BO575" s="23" t="e">
        <f t="shared" si="151"/>
        <v>#DIV/0!</v>
      </c>
      <c r="BP575" s="7" t="e">
        <f>VLOOKUP(A575,[1]Sheet15!B:E,4,0)</f>
        <v>#N/A</v>
      </c>
      <c r="BQ575" s="7" t="e">
        <f>VLOOKUP(A575,[1]Sheet15!B:E,3,0)</f>
        <v>#N/A</v>
      </c>
    </row>
    <row r="576" spans="1:69" ht="22.5" customHeight="1" x14ac:dyDescent="0.25">
      <c r="A576" s="15" t="s">
        <v>1389</v>
      </c>
      <c r="B576" s="15" t="e">
        <f>VLOOKUP(A576,'[1]Master clients'!F558:W4105,17,0)</f>
        <v>#N/A</v>
      </c>
      <c r="C576" s="15" t="e">
        <f>VLOOKUP(A576,'[1]Master clients'!F558:P4105,11,0)</f>
        <v>#N/A</v>
      </c>
      <c r="D576" s="15" t="str">
        <f>VLOOKUP(A576,'[1]Master clients'!F:M,8,0)</f>
        <v>Group (Mills)</v>
      </c>
      <c r="E576" s="24" t="s">
        <v>1390</v>
      </c>
      <c r="F576" s="25" t="s">
        <v>1391</v>
      </c>
      <c r="G576" s="20">
        <v>0</v>
      </c>
      <c r="H576" s="20">
        <v>0</v>
      </c>
      <c r="I576" s="26">
        <v>21</v>
      </c>
      <c r="J576" s="26">
        <v>0</v>
      </c>
      <c r="K576" s="20">
        <v>2</v>
      </c>
      <c r="L576" s="20">
        <v>8</v>
      </c>
      <c r="M576" s="20">
        <v>0</v>
      </c>
      <c r="N576" s="20">
        <v>8</v>
      </c>
      <c r="O576" s="20">
        <v>12</v>
      </c>
      <c r="P576" s="20">
        <v>0</v>
      </c>
      <c r="Q576" s="20">
        <v>0</v>
      </c>
      <c r="R576" s="20">
        <v>0</v>
      </c>
      <c r="S576" s="20">
        <v>0</v>
      </c>
      <c r="T576" s="20">
        <v>0</v>
      </c>
      <c r="U576" s="20">
        <v>0</v>
      </c>
      <c r="V576" s="20">
        <v>0</v>
      </c>
      <c r="W576" s="20">
        <v>0</v>
      </c>
      <c r="X576" s="20">
        <v>0</v>
      </c>
      <c r="Y576" s="20">
        <v>0</v>
      </c>
      <c r="Z576" s="20">
        <v>0</v>
      </c>
      <c r="AA576" s="20">
        <v>0</v>
      </c>
      <c r="AB576" s="20">
        <v>0</v>
      </c>
      <c r="AC576" s="20">
        <v>0</v>
      </c>
      <c r="AD576" s="20">
        <v>0</v>
      </c>
      <c r="AE576" s="20">
        <v>0</v>
      </c>
      <c r="AF576" s="20">
        <v>0</v>
      </c>
      <c r="AG576" s="20">
        <v>0</v>
      </c>
      <c r="AH576" s="20">
        <v>0</v>
      </c>
      <c r="AI576" s="20">
        <v>0</v>
      </c>
      <c r="AJ576" s="20">
        <v>0</v>
      </c>
      <c r="AK576" s="20">
        <v>0</v>
      </c>
      <c r="AL576" s="20">
        <v>0</v>
      </c>
      <c r="AM576" s="20">
        <v>0</v>
      </c>
      <c r="AN576" s="20">
        <v>0</v>
      </c>
      <c r="AO576" s="20">
        <v>0</v>
      </c>
      <c r="AP576" s="20">
        <v>0</v>
      </c>
      <c r="AQ576" s="20">
        <v>0</v>
      </c>
      <c r="AR576" s="20">
        <v>0</v>
      </c>
      <c r="AS576" s="20">
        <v>0</v>
      </c>
      <c r="AT576" s="20">
        <v>0</v>
      </c>
      <c r="AU576" s="19">
        <v>0</v>
      </c>
      <c r="AV576" s="20">
        <v>0</v>
      </c>
      <c r="AW576" s="20">
        <v>0</v>
      </c>
      <c r="AX576" s="20">
        <v>0</v>
      </c>
      <c r="AY576" s="20">
        <v>0</v>
      </c>
      <c r="AZ576" s="20">
        <v>0</v>
      </c>
      <c r="BA576" s="19">
        <v>0</v>
      </c>
      <c r="BB576" s="27">
        <v>0</v>
      </c>
      <c r="BC576" s="19">
        <v>0</v>
      </c>
      <c r="BD576" s="19">
        <v>0</v>
      </c>
      <c r="BE576" s="21">
        <v>0</v>
      </c>
      <c r="BF576" s="21">
        <v>0</v>
      </c>
      <c r="BG576" s="19">
        <v>0</v>
      </c>
      <c r="BH576" s="19">
        <v>0</v>
      </c>
      <c r="BI576" s="22">
        <f t="shared" si="145"/>
        <v>10</v>
      </c>
      <c r="BJ576" s="22">
        <f t="shared" si="146"/>
        <v>20</v>
      </c>
      <c r="BK576" s="28">
        <f t="shared" si="147"/>
        <v>51</v>
      </c>
      <c r="BL576" s="22">
        <f t="shared" si="148"/>
        <v>31</v>
      </c>
      <c r="BM576" s="22">
        <f t="shared" si="150"/>
        <v>20</v>
      </c>
      <c r="BN576" s="23">
        <f t="shared" si="151"/>
        <v>0.67741935483870963</v>
      </c>
      <c r="BO576" s="23">
        <f t="shared" si="151"/>
        <v>0</v>
      </c>
      <c r="BP576" s="7">
        <f>VLOOKUP(A576,[1]Sheet15!B:E,4,0)</f>
        <v>10</v>
      </c>
      <c r="BQ576" s="7">
        <f>VLOOKUP(A576,[1]Sheet15!B:E,3,0)</f>
        <v>0</v>
      </c>
    </row>
    <row r="577" spans="1:69" ht="22.5" customHeight="1" x14ac:dyDescent="0.25">
      <c r="A577" s="15" t="s">
        <v>1392</v>
      </c>
      <c r="B577" s="15" t="e">
        <f>VLOOKUP(A577,'[1]Master clients'!F559:W4106,17,0)</f>
        <v>#N/A</v>
      </c>
      <c r="C577" s="15" t="e">
        <f>VLOOKUP(A577,'[1]Master clients'!F559:P4106,11,0)</f>
        <v>#N/A</v>
      </c>
      <c r="D577" s="15" t="str">
        <f>VLOOKUP(A577,'[1]Master clients'!F:M,8,0)</f>
        <v>Group (Mills)</v>
      </c>
      <c r="E577" s="24" t="s">
        <v>1393</v>
      </c>
      <c r="F577" s="25" t="s">
        <v>1391</v>
      </c>
      <c r="G577" s="20">
        <v>0</v>
      </c>
      <c r="H577" s="20">
        <v>0</v>
      </c>
      <c r="I577" s="26">
        <v>30</v>
      </c>
      <c r="J577" s="26">
        <v>0</v>
      </c>
      <c r="K577" s="20">
        <v>0</v>
      </c>
      <c r="L577" s="20">
        <v>0</v>
      </c>
      <c r="M577" s="20">
        <v>0</v>
      </c>
      <c r="N577" s="20">
        <v>14</v>
      </c>
      <c r="O577" s="20">
        <v>0</v>
      </c>
      <c r="P577" s="20">
        <v>0</v>
      </c>
      <c r="Q577" s="20">
        <v>0</v>
      </c>
      <c r="R577" s="20">
        <v>0</v>
      </c>
      <c r="S577" s="20">
        <v>0</v>
      </c>
      <c r="T577" s="20">
        <v>0</v>
      </c>
      <c r="U577" s="20">
        <v>0</v>
      </c>
      <c r="V577" s="20">
        <v>0</v>
      </c>
      <c r="W577" s="20">
        <v>0</v>
      </c>
      <c r="X577" s="20">
        <v>0</v>
      </c>
      <c r="Y577" s="20">
        <v>0</v>
      </c>
      <c r="Z577" s="20">
        <v>0</v>
      </c>
      <c r="AA577" s="20">
        <v>0</v>
      </c>
      <c r="AB577" s="20">
        <v>0</v>
      </c>
      <c r="AC577" s="20">
        <v>0</v>
      </c>
      <c r="AD577" s="20">
        <v>0</v>
      </c>
      <c r="AE577" s="20">
        <v>0</v>
      </c>
      <c r="AF577" s="20">
        <v>0</v>
      </c>
      <c r="AG577" s="20">
        <v>0</v>
      </c>
      <c r="AH577" s="20">
        <v>0</v>
      </c>
      <c r="AI577" s="20">
        <v>0</v>
      </c>
      <c r="AJ577" s="20">
        <v>0</v>
      </c>
      <c r="AK577" s="20">
        <v>0</v>
      </c>
      <c r="AL577" s="20">
        <v>0</v>
      </c>
      <c r="AM577" s="20">
        <v>0</v>
      </c>
      <c r="AN577" s="20">
        <v>0</v>
      </c>
      <c r="AO577" s="20">
        <v>0</v>
      </c>
      <c r="AP577" s="20">
        <v>0</v>
      </c>
      <c r="AQ577" s="20">
        <v>0</v>
      </c>
      <c r="AR577" s="20">
        <v>0</v>
      </c>
      <c r="AS577" s="20">
        <v>0</v>
      </c>
      <c r="AT577" s="20">
        <v>0</v>
      </c>
      <c r="AU577" s="19">
        <v>0</v>
      </c>
      <c r="AV577" s="20">
        <v>0</v>
      </c>
      <c r="AW577" s="20">
        <v>0</v>
      </c>
      <c r="AX577" s="20">
        <v>0</v>
      </c>
      <c r="AY577" s="20">
        <v>0</v>
      </c>
      <c r="AZ577" s="20">
        <v>0</v>
      </c>
      <c r="BA577" s="19">
        <v>0</v>
      </c>
      <c r="BB577" s="27">
        <v>0</v>
      </c>
      <c r="BC577" s="19">
        <v>0</v>
      </c>
      <c r="BD577" s="19">
        <v>0</v>
      </c>
      <c r="BE577" s="21">
        <v>0</v>
      </c>
      <c r="BF577" s="21">
        <v>0</v>
      </c>
      <c r="BG577" s="19">
        <v>0</v>
      </c>
      <c r="BH577" s="19">
        <v>0</v>
      </c>
      <c r="BI577" s="22">
        <f t="shared" si="145"/>
        <v>0</v>
      </c>
      <c r="BJ577" s="22">
        <f t="shared" si="146"/>
        <v>14</v>
      </c>
      <c r="BK577" s="28">
        <f t="shared" si="147"/>
        <v>44</v>
      </c>
      <c r="BL577" s="22">
        <f t="shared" si="148"/>
        <v>30</v>
      </c>
      <c r="BM577" s="22">
        <f t="shared" si="150"/>
        <v>14</v>
      </c>
      <c r="BN577" s="23">
        <f t="shared" si="151"/>
        <v>1</v>
      </c>
      <c r="BO577" s="23">
        <f t="shared" si="151"/>
        <v>0</v>
      </c>
      <c r="BP577" s="7">
        <f>VLOOKUP(A577,[1]Sheet15!B:E,4,0)</f>
        <v>10</v>
      </c>
      <c r="BQ577" s="7">
        <f>VLOOKUP(A577,[1]Sheet15!B:E,3,0)</f>
        <v>0</v>
      </c>
    </row>
    <row r="578" spans="1:69" ht="22.5" customHeight="1" x14ac:dyDescent="0.25">
      <c r="A578" s="15" t="s">
        <v>1394</v>
      </c>
      <c r="B578" s="15" t="e">
        <f>VLOOKUP(A578,'[1]Master clients'!F560:W4107,17,0)</f>
        <v>#N/A</v>
      </c>
      <c r="C578" s="15" t="e">
        <f>VLOOKUP(A578,'[1]Master clients'!F560:P4107,11,0)</f>
        <v>#N/A</v>
      </c>
      <c r="D578" s="15" t="str">
        <f>VLOOKUP(A578,'[1]Master clients'!F:M,8,0)</f>
        <v>End User</v>
      </c>
      <c r="E578" s="24" t="s">
        <v>1395</v>
      </c>
      <c r="F578" s="25" t="s">
        <v>1391</v>
      </c>
      <c r="G578" s="20">
        <v>0</v>
      </c>
      <c r="H578" s="20">
        <v>0</v>
      </c>
      <c r="I578" s="26">
        <v>4</v>
      </c>
      <c r="J578" s="26">
        <v>0</v>
      </c>
      <c r="K578" s="20">
        <v>8</v>
      </c>
      <c r="L578" s="20">
        <v>0</v>
      </c>
      <c r="M578" s="20">
        <v>0</v>
      </c>
      <c r="N578" s="20">
        <v>0</v>
      </c>
      <c r="O578" s="20">
        <v>0</v>
      </c>
      <c r="P578" s="20">
        <v>0</v>
      </c>
      <c r="Q578" s="20">
        <v>0</v>
      </c>
      <c r="R578" s="20">
        <v>0</v>
      </c>
      <c r="S578" s="20">
        <v>0</v>
      </c>
      <c r="T578" s="20">
        <v>0</v>
      </c>
      <c r="U578" s="20">
        <v>0</v>
      </c>
      <c r="V578" s="20">
        <v>0</v>
      </c>
      <c r="W578" s="20">
        <v>0</v>
      </c>
      <c r="X578" s="20">
        <v>0</v>
      </c>
      <c r="Y578" s="20">
        <v>0</v>
      </c>
      <c r="Z578" s="20">
        <v>0</v>
      </c>
      <c r="AA578" s="20">
        <v>0</v>
      </c>
      <c r="AB578" s="20">
        <v>0</v>
      </c>
      <c r="AC578" s="20">
        <v>0</v>
      </c>
      <c r="AD578" s="20">
        <v>0</v>
      </c>
      <c r="AE578" s="20">
        <v>0</v>
      </c>
      <c r="AF578" s="20">
        <v>0</v>
      </c>
      <c r="AG578" s="20">
        <v>0</v>
      </c>
      <c r="AH578" s="20">
        <v>0</v>
      </c>
      <c r="AI578" s="20">
        <v>0</v>
      </c>
      <c r="AJ578" s="20">
        <v>0</v>
      </c>
      <c r="AK578" s="20">
        <v>2</v>
      </c>
      <c r="AL578" s="20">
        <v>0</v>
      </c>
      <c r="AM578" s="20">
        <v>0</v>
      </c>
      <c r="AN578" s="20">
        <v>0</v>
      </c>
      <c r="AO578" s="20">
        <v>0</v>
      </c>
      <c r="AP578" s="20">
        <v>0</v>
      </c>
      <c r="AQ578" s="20">
        <v>0</v>
      </c>
      <c r="AR578" s="20">
        <v>0</v>
      </c>
      <c r="AS578" s="20">
        <v>0</v>
      </c>
      <c r="AT578" s="20">
        <v>0</v>
      </c>
      <c r="AU578" s="20">
        <v>0</v>
      </c>
      <c r="AV578" s="20">
        <v>0</v>
      </c>
      <c r="AW578" s="20">
        <v>0</v>
      </c>
      <c r="AX578" s="20">
        <v>0</v>
      </c>
      <c r="AY578" s="20">
        <v>0</v>
      </c>
      <c r="AZ578" s="20">
        <v>0</v>
      </c>
      <c r="BA578" s="20">
        <v>0</v>
      </c>
      <c r="BB578" s="27">
        <v>0</v>
      </c>
      <c r="BC578" s="20">
        <v>0</v>
      </c>
      <c r="BD578" s="20">
        <v>0</v>
      </c>
      <c r="BE578" s="21">
        <v>0</v>
      </c>
      <c r="BF578" s="21">
        <v>0</v>
      </c>
      <c r="BG578" s="20">
        <v>0</v>
      </c>
      <c r="BH578" s="20">
        <v>0</v>
      </c>
      <c r="BI578" s="22">
        <f t="shared" si="145"/>
        <v>10</v>
      </c>
      <c r="BJ578" s="22">
        <f t="shared" si="146"/>
        <v>0</v>
      </c>
      <c r="BK578" s="28">
        <f t="shared" si="147"/>
        <v>14</v>
      </c>
      <c r="BL578" s="22">
        <f t="shared" si="148"/>
        <v>14</v>
      </c>
      <c r="BM578" s="22">
        <f t="shared" si="150"/>
        <v>0</v>
      </c>
      <c r="BN578" s="23">
        <f t="shared" si="151"/>
        <v>0.2857142857142857</v>
      </c>
      <c r="BO578" s="23" t="e">
        <f t="shared" si="151"/>
        <v>#DIV/0!</v>
      </c>
      <c r="BP578" s="7">
        <f>VLOOKUP(A578,[1]Sheet15!B:E,4,0)</f>
        <v>15</v>
      </c>
      <c r="BQ578" s="7">
        <f>VLOOKUP(A578,[1]Sheet15!B:E,3,0)</f>
        <v>0</v>
      </c>
    </row>
    <row r="579" spans="1:69" ht="22.5" customHeight="1" x14ac:dyDescent="0.25">
      <c r="A579" s="15" t="s">
        <v>1396</v>
      </c>
      <c r="B579" s="35">
        <f>VLOOKUP(A579,'[1]Master clients'!F905:W4452,17,0)</f>
        <v>0</v>
      </c>
      <c r="C579" s="15" t="str">
        <f>VLOOKUP(A579,'[1]Master clients'!F905:P4452,11,0)</f>
        <v>HO</v>
      </c>
      <c r="D579" s="15" t="str">
        <f>VLOOKUP(A579,'[1]Master clients'!F:M,8,0)</f>
        <v>End User</v>
      </c>
      <c r="E579" s="16" t="s">
        <v>1397</v>
      </c>
      <c r="F579" s="29"/>
      <c r="G579" s="20"/>
      <c r="H579" s="20"/>
      <c r="I579" s="18">
        <v>0</v>
      </c>
      <c r="J579" s="18">
        <v>0</v>
      </c>
      <c r="K579" s="20">
        <v>6</v>
      </c>
      <c r="L579" s="20">
        <v>0</v>
      </c>
      <c r="M579" s="20">
        <v>0</v>
      </c>
      <c r="N579" s="20">
        <v>0</v>
      </c>
      <c r="O579" s="20">
        <v>0</v>
      </c>
      <c r="P579" s="20">
        <v>0</v>
      </c>
      <c r="Q579" s="20">
        <v>0</v>
      </c>
      <c r="R579" s="20">
        <v>3</v>
      </c>
      <c r="S579" s="20">
        <v>0</v>
      </c>
      <c r="T579" s="20">
        <v>0</v>
      </c>
      <c r="U579" s="20">
        <v>0</v>
      </c>
      <c r="V579" s="20">
        <v>0</v>
      </c>
      <c r="W579" s="20">
        <v>0</v>
      </c>
      <c r="X579" s="20">
        <v>0</v>
      </c>
      <c r="Y579" s="20">
        <v>0</v>
      </c>
      <c r="Z579" s="20">
        <v>0</v>
      </c>
      <c r="AA579" s="20">
        <v>0</v>
      </c>
      <c r="AB579" s="20">
        <v>0</v>
      </c>
      <c r="AC579" s="20">
        <v>0</v>
      </c>
      <c r="AD579" s="20">
        <v>0</v>
      </c>
      <c r="AE579" s="20">
        <v>0</v>
      </c>
      <c r="AF579" s="20">
        <v>0</v>
      </c>
      <c r="AG579" s="20">
        <v>0</v>
      </c>
      <c r="AH579" s="20">
        <v>0</v>
      </c>
      <c r="AI579" s="20">
        <v>0</v>
      </c>
      <c r="AJ579" s="20">
        <v>0</v>
      </c>
      <c r="AK579" s="20">
        <v>0</v>
      </c>
      <c r="AL579" s="20">
        <v>0</v>
      </c>
      <c r="AM579" s="20">
        <v>0</v>
      </c>
      <c r="AN579" s="20">
        <v>0</v>
      </c>
      <c r="AO579" s="20">
        <v>0</v>
      </c>
      <c r="AP579" s="20">
        <v>0</v>
      </c>
      <c r="AQ579" s="20">
        <v>0</v>
      </c>
      <c r="AR579" s="20">
        <v>0</v>
      </c>
      <c r="AS579" s="20">
        <v>0</v>
      </c>
      <c r="AT579" s="20">
        <v>0</v>
      </c>
      <c r="AU579" s="20">
        <v>0</v>
      </c>
      <c r="AV579" s="20">
        <v>0</v>
      </c>
      <c r="AW579" s="20">
        <v>0</v>
      </c>
      <c r="AX579" s="20">
        <v>0</v>
      </c>
      <c r="AY579" s="20">
        <v>0</v>
      </c>
      <c r="AZ579" s="20">
        <v>0</v>
      </c>
      <c r="BA579" s="20">
        <v>0</v>
      </c>
      <c r="BB579" s="20">
        <v>0</v>
      </c>
      <c r="BC579" s="20">
        <v>0</v>
      </c>
      <c r="BD579" s="20">
        <v>0</v>
      </c>
      <c r="BE579" s="20">
        <v>0</v>
      </c>
      <c r="BF579" s="20">
        <v>0</v>
      </c>
      <c r="BG579" s="20">
        <v>0</v>
      </c>
      <c r="BH579" s="20">
        <v>0</v>
      </c>
      <c r="BI579" s="22">
        <f t="shared" si="145"/>
        <v>9</v>
      </c>
      <c r="BJ579" s="22">
        <f t="shared" si="146"/>
        <v>0</v>
      </c>
      <c r="BK579" s="22">
        <f t="shared" si="147"/>
        <v>9</v>
      </c>
      <c r="BL579" s="22">
        <f t="shared" si="148"/>
        <v>9</v>
      </c>
      <c r="BM579" s="22">
        <f t="shared" si="150"/>
        <v>0</v>
      </c>
      <c r="BN579" s="23">
        <f t="shared" si="151"/>
        <v>0</v>
      </c>
      <c r="BO579" s="23" t="e">
        <f t="shared" si="151"/>
        <v>#DIV/0!</v>
      </c>
      <c r="BP579" s="7" t="e">
        <f>VLOOKUP(A579,[1]Sheet15!B:E,4,0)</f>
        <v>#N/A</v>
      </c>
      <c r="BQ579" s="7" t="e">
        <f>VLOOKUP(A579,[1]Sheet15!B:E,3,0)</f>
        <v>#N/A</v>
      </c>
    </row>
    <row r="580" spans="1:69" ht="22.5" customHeight="1" x14ac:dyDescent="0.25">
      <c r="A580" s="15" t="s">
        <v>1398</v>
      </c>
      <c r="B580" s="15" t="e">
        <f>VLOOKUP(A580,'[1]Master clients'!F561:W4108,17,0)</f>
        <v>#N/A</v>
      </c>
      <c r="C580" s="15" t="e">
        <f>VLOOKUP(A580,'[1]Master clients'!F561:P4108,11,0)</f>
        <v>#N/A</v>
      </c>
      <c r="D580" s="15" t="str">
        <f>VLOOKUP(A580,'[1]Master clients'!F:M,8,0)</f>
        <v>End User</v>
      </c>
      <c r="E580" s="16" t="s">
        <v>1399</v>
      </c>
      <c r="F580" s="16" t="s">
        <v>1391</v>
      </c>
      <c r="G580" s="17"/>
      <c r="H580" s="17"/>
      <c r="I580" s="26">
        <v>3</v>
      </c>
      <c r="J580" s="31">
        <v>0</v>
      </c>
      <c r="K580" s="17">
        <v>0</v>
      </c>
      <c r="L580" s="17">
        <v>0</v>
      </c>
      <c r="M580" s="17">
        <v>0</v>
      </c>
      <c r="N580" s="17">
        <v>0</v>
      </c>
      <c r="O580" s="17">
        <v>0</v>
      </c>
      <c r="P580" s="17">
        <v>0</v>
      </c>
      <c r="Q580" s="17">
        <v>0</v>
      </c>
      <c r="R580" s="17">
        <v>0</v>
      </c>
      <c r="S580" s="17">
        <v>0</v>
      </c>
      <c r="T580" s="17">
        <v>0</v>
      </c>
      <c r="U580" s="17">
        <v>0</v>
      </c>
      <c r="V580" s="17">
        <v>0</v>
      </c>
      <c r="W580" s="17">
        <v>0</v>
      </c>
      <c r="X580" s="17">
        <v>0</v>
      </c>
      <c r="Y580" s="17">
        <v>0</v>
      </c>
      <c r="Z580" s="17">
        <v>0</v>
      </c>
      <c r="AA580" s="17">
        <v>0</v>
      </c>
      <c r="AB580" s="17">
        <v>0</v>
      </c>
      <c r="AC580" s="17">
        <v>0</v>
      </c>
      <c r="AD580" s="17">
        <v>0</v>
      </c>
      <c r="AE580" s="17">
        <v>0</v>
      </c>
      <c r="AF580" s="17">
        <v>0</v>
      </c>
      <c r="AG580" s="17">
        <v>0</v>
      </c>
      <c r="AH580" s="17">
        <v>0</v>
      </c>
      <c r="AI580" s="17">
        <v>0</v>
      </c>
      <c r="AJ580" s="17">
        <v>0</v>
      </c>
      <c r="AK580" s="17">
        <v>0</v>
      </c>
      <c r="AL580" s="17">
        <v>0</v>
      </c>
      <c r="AM580" s="17">
        <v>0</v>
      </c>
      <c r="AN580" s="17">
        <v>0</v>
      </c>
      <c r="AO580" s="17">
        <v>0</v>
      </c>
      <c r="AP580" s="17">
        <v>0</v>
      </c>
      <c r="AQ580" s="17">
        <v>0</v>
      </c>
      <c r="AR580" s="17">
        <v>0</v>
      </c>
      <c r="AS580" s="17">
        <v>0</v>
      </c>
      <c r="AT580" s="17">
        <v>0</v>
      </c>
      <c r="AU580" s="17">
        <v>0</v>
      </c>
      <c r="AV580" s="17">
        <v>0</v>
      </c>
      <c r="AW580" s="17">
        <v>0</v>
      </c>
      <c r="AX580" s="17">
        <v>0</v>
      </c>
      <c r="AY580" s="17">
        <v>0</v>
      </c>
      <c r="AZ580" s="17">
        <v>0</v>
      </c>
      <c r="BA580" s="17">
        <v>0</v>
      </c>
      <c r="BB580" s="17">
        <v>0</v>
      </c>
      <c r="BC580" s="17">
        <v>0</v>
      </c>
      <c r="BD580" s="17">
        <v>0</v>
      </c>
      <c r="BE580" s="17">
        <v>0</v>
      </c>
      <c r="BF580" s="17">
        <v>0</v>
      </c>
      <c r="BG580" s="17">
        <v>0</v>
      </c>
      <c r="BH580" s="17">
        <v>0</v>
      </c>
      <c r="BI580" s="22">
        <f>SUM(M580+N580+P580+R580+T580+W580+Z580+AC580+AE580+AL580+AO580+AP580+AS580+AW580+AX580+BC580+BE580+BG580)</f>
        <v>0</v>
      </c>
      <c r="BJ580" s="22">
        <f>SUM(H580:BG580)</f>
        <v>3</v>
      </c>
      <c r="BK580" s="22">
        <f>SUM(H580+J580+K580+L580+O580+Q580+S580+U580+V580+X580+Y580+AA580+AB580+AD580+AF580+AG580+AH580+AI580+AJ580+AK580+AM580+AN580+AQ580+AR580+AT580+AU580+AV580+AY580+AZ580+BA580+BB580+BF580+BD580)</f>
        <v>0</v>
      </c>
      <c r="BL580" s="22">
        <f t="shared" ref="BL580:BM592" si="152">SUM(I580+M580+N580+P580+R580+T580+W580+Z580+AC580+AE580+AL580+AO580+AP580+AS580+AW580+AX580+BC580+BG580)</f>
        <v>3</v>
      </c>
      <c r="BM580" s="22">
        <f t="shared" si="152"/>
        <v>0</v>
      </c>
      <c r="BN580" s="23">
        <f t="shared" si="151"/>
        <v>1</v>
      </c>
      <c r="BO580" s="23" t="e">
        <f t="shared" si="151"/>
        <v>#DIV/0!</v>
      </c>
      <c r="BP580" s="7">
        <f>VLOOKUP(A580,[1]Sheet15!B:E,4,0)</f>
        <v>3</v>
      </c>
      <c r="BQ580" s="7">
        <f>VLOOKUP(A580,[1]Sheet15!B:E,3,0)</f>
        <v>0</v>
      </c>
    </row>
    <row r="581" spans="1:69" ht="22.5" customHeight="1" x14ac:dyDescent="0.25">
      <c r="A581" s="15" t="s">
        <v>1400</v>
      </c>
      <c r="B581" s="15" t="e">
        <f>VLOOKUP(A581,'[1]Master clients'!F562:W4109,17,0)</f>
        <v>#N/A</v>
      </c>
      <c r="C581" s="15" t="e">
        <f>VLOOKUP(A581,'[1]Master clients'!F562:P4109,11,0)</f>
        <v>#N/A</v>
      </c>
      <c r="D581" s="15" t="str">
        <f>VLOOKUP(A581,'[1]Master clients'!F:M,8,0)</f>
        <v>Group (Mills)</v>
      </c>
      <c r="E581" s="24" t="s">
        <v>1401</v>
      </c>
      <c r="F581" s="25" t="s">
        <v>1391</v>
      </c>
      <c r="G581" s="20">
        <v>0</v>
      </c>
      <c r="H581" s="20">
        <v>0</v>
      </c>
      <c r="I581" s="26">
        <v>18</v>
      </c>
      <c r="J581" s="26">
        <v>4</v>
      </c>
      <c r="K581" s="20">
        <v>0</v>
      </c>
      <c r="L581" s="20">
        <v>0</v>
      </c>
      <c r="M581" s="20">
        <v>0</v>
      </c>
      <c r="N581" s="20">
        <v>0</v>
      </c>
      <c r="O581" s="20">
        <v>0</v>
      </c>
      <c r="P581" s="20">
        <v>0</v>
      </c>
      <c r="Q581" s="20">
        <v>2</v>
      </c>
      <c r="R581" s="20">
        <v>0</v>
      </c>
      <c r="S581" s="20">
        <v>0</v>
      </c>
      <c r="T581" s="20">
        <v>6</v>
      </c>
      <c r="U581" s="20">
        <v>0</v>
      </c>
      <c r="V581" s="20">
        <v>0</v>
      </c>
      <c r="W581" s="20">
        <v>0</v>
      </c>
      <c r="X581" s="20">
        <v>8</v>
      </c>
      <c r="Y581" s="20">
        <v>0</v>
      </c>
      <c r="Z581" s="20">
        <v>0</v>
      </c>
      <c r="AA581" s="20">
        <v>0</v>
      </c>
      <c r="AB581" s="20">
        <v>0</v>
      </c>
      <c r="AC581" s="20">
        <v>0</v>
      </c>
      <c r="AD581" s="20">
        <v>0</v>
      </c>
      <c r="AE581" s="20">
        <v>0</v>
      </c>
      <c r="AF581" s="20">
        <v>0</v>
      </c>
      <c r="AG581" s="20">
        <v>0</v>
      </c>
      <c r="AH581" s="20">
        <v>0</v>
      </c>
      <c r="AI581" s="20">
        <v>0</v>
      </c>
      <c r="AJ581" s="20">
        <v>0</v>
      </c>
      <c r="AK581" s="20">
        <v>0</v>
      </c>
      <c r="AL581" s="20">
        <v>0</v>
      </c>
      <c r="AM581" s="20">
        <v>0</v>
      </c>
      <c r="AN581" s="20">
        <v>0</v>
      </c>
      <c r="AO581" s="20">
        <v>0</v>
      </c>
      <c r="AP581" s="20">
        <v>0</v>
      </c>
      <c r="AQ581" s="20">
        <v>0</v>
      </c>
      <c r="AR581" s="20">
        <v>0</v>
      </c>
      <c r="AS581" s="20">
        <v>0</v>
      </c>
      <c r="AT581" s="20">
        <v>0</v>
      </c>
      <c r="AU581" s="20">
        <v>0</v>
      </c>
      <c r="AV581" s="20">
        <v>0</v>
      </c>
      <c r="AW581" s="20">
        <v>0</v>
      </c>
      <c r="AX581" s="20">
        <v>0</v>
      </c>
      <c r="AY581" s="20">
        <v>0</v>
      </c>
      <c r="AZ581" s="20">
        <v>0</v>
      </c>
      <c r="BA581" s="20">
        <v>0</v>
      </c>
      <c r="BB581" s="27">
        <v>0</v>
      </c>
      <c r="BC581" s="20">
        <v>0</v>
      </c>
      <c r="BD581" s="20">
        <v>0</v>
      </c>
      <c r="BE581" s="21">
        <v>0</v>
      </c>
      <c r="BF581" s="21">
        <v>0</v>
      </c>
      <c r="BG581" s="20">
        <v>0</v>
      </c>
      <c r="BH581" s="20">
        <v>0</v>
      </c>
      <c r="BI581" s="22">
        <f t="shared" ref="BI581:BI592" si="153">SUM(K581+L581+M581+P581+R581+T581+V581+W581+Y581+Z581+AB581+AC581+AE581+AG581+AH581+AI581+AJ581+AK581+AL581+AN581+AO581+AR581+AS581+AU581+AV581+AW581+AZ581+BA581+BB581+BC581+BE581+BG581)</f>
        <v>6</v>
      </c>
      <c r="BJ581" s="22">
        <f t="shared" ref="BJ581:BJ592" si="154">SUM(N581+O581+Q581+S581+U581+X581+AA581+AD581+AF581+AM581+AP581+AQ581+AT581+AX581+AY581+BD581+BF581+BH581)</f>
        <v>10</v>
      </c>
      <c r="BK581" s="28">
        <f t="shared" ref="BK581:BK592" si="155">SUM(I581:BH581)</f>
        <v>38</v>
      </c>
      <c r="BL581" s="22">
        <f t="shared" ref="BL581:BL592" si="156">SUM(I581+K581+L581+M581+P581+R581+T581+V581+W581+Y581+Z581+AB581+AC581+AE581+AG581+AH581+AI581+AJ581+AK581+AL581+AN581+AO581+AR581+AS581+AU581+AV581+AW581+AZ581+BA581+BB581+BC581+BG581+BE581)</f>
        <v>24</v>
      </c>
      <c r="BM581" s="22">
        <f t="shared" si="152"/>
        <v>14</v>
      </c>
      <c r="BN581" s="23">
        <f t="shared" ref="BN581:BO596" si="157">I581/BL581</f>
        <v>0.75</v>
      </c>
      <c r="BO581" s="23">
        <f t="shared" si="157"/>
        <v>0.2857142857142857</v>
      </c>
      <c r="BP581" s="7">
        <f>VLOOKUP(A581,[1]Sheet15!B:E,4,0)</f>
        <v>17</v>
      </c>
      <c r="BQ581" s="7">
        <f>VLOOKUP(A581,[1]Sheet15!B:E,3,0)</f>
        <v>4</v>
      </c>
    </row>
    <row r="582" spans="1:69" ht="22.5" customHeight="1" x14ac:dyDescent="0.25">
      <c r="A582" s="15" t="s">
        <v>1402</v>
      </c>
      <c r="B582" s="15" t="e">
        <f>VLOOKUP(A582,'[1]Master clients'!F563:W4110,17,0)</f>
        <v>#N/A</v>
      </c>
      <c r="C582" s="15" t="e">
        <f>VLOOKUP(A582,'[1]Master clients'!F563:P4110,11,0)</f>
        <v>#N/A</v>
      </c>
      <c r="D582" s="15" t="str">
        <f>VLOOKUP(A582,'[1]Master clients'!F:M,8,0)</f>
        <v>End User</v>
      </c>
      <c r="E582" s="16" t="s">
        <v>1403</v>
      </c>
      <c r="F582" s="16" t="s">
        <v>1391</v>
      </c>
      <c r="G582" s="17"/>
      <c r="H582" s="17"/>
      <c r="I582" s="26">
        <v>2</v>
      </c>
      <c r="J582" s="31">
        <v>0</v>
      </c>
      <c r="K582" s="17">
        <v>0</v>
      </c>
      <c r="L582" s="17">
        <v>0</v>
      </c>
      <c r="M582" s="17">
        <v>0</v>
      </c>
      <c r="N582" s="17">
        <v>0</v>
      </c>
      <c r="O582" s="17">
        <v>0</v>
      </c>
      <c r="P582" s="17">
        <v>0</v>
      </c>
      <c r="Q582" s="17">
        <v>0</v>
      </c>
      <c r="R582" s="17">
        <v>0</v>
      </c>
      <c r="S582" s="17">
        <v>0</v>
      </c>
      <c r="T582" s="17">
        <v>0</v>
      </c>
      <c r="U582" s="17">
        <v>0</v>
      </c>
      <c r="V582" s="17">
        <v>0</v>
      </c>
      <c r="W582" s="17">
        <v>0</v>
      </c>
      <c r="X582" s="17">
        <v>0</v>
      </c>
      <c r="Y582" s="17">
        <v>0</v>
      </c>
      <c r="Z582" s="17">
        <v>0</v>
      </c>
      <c r="AA582" s="17">
        <v>0</v>
      </c>
      <c r="AB582" s="17">
        <v>0</v>
      </c>
      <c r="AC582" s="17">
        <v>0</v>
      </c>
      <c r="AD582" s="17">
        <v>0</v>
      </c>
      <c r="AE582" s="17">
        <v>0</v>
      </c>
      <c r="AF582" s="17">
        <v>0</v>
      </c>
      <c r="AG582" s="17">
        <v>0</v>
      </c>
      <c r="AH582" s="17">
        <v>0</v>
      </c>
      <c r="AI582" s="17">
        <v>0</v>
      </c>
      <c r="AJ582" s="17">
        <v>0</v>
      </c>
      <c r="AK582" s="17">
        <v>0</v>
      </c>
      <c r="AL582" s="17">
        <v>0</v>
      </c>
      <c r="AM582" s="17">
        <v>0</v>
      </c>
      <c r="AN582" s="17">
        <v>0</v>
      </c>
      <c r="AO582" s="17">
        <v>0</v>
      </c>
      <c r="AP582" s="17">
        <v>0</v>
      </c>
      <c r="AQ582" s="17">
        <v>0</v>
      </c>
      <c r="AR582" s="17">
        <v>0</v>
      </c>
      <c r="AS582" s="17">
        <v>0</v>
      </c>
      <c r="AT582" s="17">
        <v>0</v>
      </c>
      <c r="AU582" s="17">
        <v>0</v>
      </c>
      <c r="AV582" s="17">
        <v>0</v>
      </c>
      <c r="AW582" s="17">
        <v>0</v>
      </c>
      <c r="AX582" s="17">
        <v>0</v>
      </c>
      <c r="AY582" s="17">
        <v>0</v>
      </c>
      <c r="AZ582" s="17">
        <v>0</v>
      </c>
      <c r="BA582" s="17">
        <v>0</v>
      </c>
      <c r="BB582" s="17">
        <v>0</v>
      </c>
      <c r="BC582" s="17">
        <v>0</v>
      </c>
      <c r="BD582" s="17">
        <v>0</v>
      </c>
      <c r="BE582" s="17">
        <v>0</v>
      </c>
      <c r="BF582" s="17">
        <v>0</v>
      </c>
      <c r="BG582" s="17">
        <v>0</v>
      </c>
      <c r="BH582" s="17">
        <v>0</v>
      </c>
      <c r="BI582" s="22">
        <f t="shared" si="153"/>
        <v>0</v>
      </c>
      <c r="BJ582" s="22">
        <f t="shared" si="154"/>
        <v>0</v>
      </c>
      <c r="BK582" s="22">
        <f t="shared" si="155"/>
        <v>2</v>
      </c>
      <c r="BL582" s="22">
        <f t="shared" si="156"/>
        <v>2</v>
      </c>
      <c r="BM582" s="22">
        <f t="shared" si="152"/>
        <v>0</v>
      </c>
      <c r="BN582" s="23">
        <f t="shared" si="157"/>
        <v>1</v>
      </c>
      <c r="BO582" s="23" t="e">
        <f t="shared" si="157"/>
        <v>#DIV/0!</v>
      </c>
      <c r="BP582" s="7">
        <f>VLOOKUP(A582,[1]Sheet15!B:E,4,0)</f>
        <v>2</v>
      </c>
      <c r="BQ582" s="7">
        <f>VLOOKUP(A582,[1]Sheet15!B:E,3,0)</f>
        <v>0</v>
      </c>
    </row>
    <row r="583" spans="1:69" ht="22.5" customHeight="1" x14ac:dyDescent="0.25">
      <c r="A583" s="15" t="s">
        <v>1404</v>
      </c>
      <c r="B583" s="15">
        <f>VLOOKUP(A583,'[1]Master clients'!F564:W4111,17,0)</f>
        <v>0</v>
      </c>
      <c r="C583" s="15" t="str">
        <f>VLOOKUP(A583,'[1]Master clients'!F564:P4111,11,0)</f>
        <v>NI</v>
      </c>
      <c r="D583" s="15" t="str">
        <f>VLOOKUP(A583,'[1]Master clients'!F:M,8,0)</f>
        <v>End User</v>
      </c>
      <c r="E583" s="16" t="s">
        <v>1405</v>
      </c>
      <c r="F583" s="16" t="s">
        <v>1391</v>
      </c>
      <c r="G583" s="17"/>
      <c r="H583" s="17"/>
      <c r="I583" s="31">
        <v>0</v>
      </c>
      <c r="J583" s="31">
        <v>0</v>
      </c>
      <c r="K583" s="17">
        <v>0</v>
      </c>
      <c r="L583" s="17">
        <v>0</v>
      </c>
      <c r="M583" s="17">
        <v>0</v>
      </c>
      <c r="N583" s="17">
        <v>0</v>
      </c>
      <c r="O583" s="17">
        <v>0</v>
      </c>
      <c r="P583" s="17">
        <v>0</v>
      </c>
      <c r="Q583" s="17">
        <v>0</v>
      </c>
      <c r="R583" s="17">
        <v>0</v>
      </c>
      <c r="S583" s="17">
        <v>0</v>
      </c>
      <c r="T583" s="17">
        <v>0</v>
      </c>
      <c r="U583" s="17">
        <v>0</v>
      </c>
      <c r="V583" s="17">
        <v>0</v>
      </c>
      <c r="W583" s="17">
        <v>0</v>
      </c>
      <c r="X583" s="17">
        <v>0</v>
      </c>
      <c r="Y583" s="17">
        <v>0</v>
      </c>
      <c r="Z583" s="17">
        <v>0</v>
      </c>
      <c r="AA583" s="17">
        <v>0</v>
      </c>
      <c r="AB583" s="17">
        <v>0</v>
      </c>
      <c r="AC583" s="17">
        <v>0</v>
      </c>
      <c r="AD583" s="17">
        <v>0</v>
      </c>
      <c r="AE583" s="17">
        <v>0</v>
      </c>
      <c r="AF583" s="17">
        <v>0</v>
      </c>
      <c r="AG583" s="17">
        <v>0</v>
      </c>
      <c r="AH583" s="17">
        <v>0</v>
      </c>
      <c r="AI583" s="17">
        <v>0</v>
      </c>
      <c r="AJ583" s="17">
        <v>0</v>
      </c>
      <c r="AK583" s="17">
        <v>0</v>
      </c>
      <c r="AL583" s="17">
        <v>0</v>
      </c>
      <c r="AM583" s="17">
        <v>0</v>
      </c>
      <c r="AN583" s="17">
        <v>0</v>
      </c>
      <c r="AO583" s="17">
        <v>0</v>
      </c>
      <c r="AP583" s="17">
        <v>0</v>
      </c>
      <c r="AQ583" s="17">
        <v>0</v>
      </c>
      <c r="AR583" s="17">
        <v>0</v>
      </c>
      <c r="AS583" s="17">
        <v>0</v>
      </c>
      <c r="AT583" s="17">
        <v>0</v>
      </c>
      <c r="AU583" s="17">
        <v>0</v>
      </c>
      <c r="AV583" s="17">
        <v>0</v>
      </c>
      <c r="AW583" s="17">
        <v>0</v>
      </c>
      <c r="AX583" s="17">
        <v>0</v>
      </c>
      <c r="AY583" s="17">
        <v>0</v>
      </c>
      <c r="AZ583" s="17">
        <v>0</v>
      </c>
      <c r="BA583" s="17">
        <v>0</v>
      </c>
      <c r="BB583" s="17">
        <v>0</v>
      </c>
      <c r="BC583" s="17">
        <v>0</v>
      </c>
      <c r="BD583" s="17">
        <v>0</v>
      </c>
      <c r="BE583" s="17">
        <v>0</v>
      </c>
      <c r="BF583" s="17">
        <v>0</v>
      </c>
      <c r="BG583" s="17">
        <v>0</v>
      </c>
      <c r="BH583" s="17">
        <v>0</v>
      </c>
      <c r="BI583" s="22">
        <f t="shared" si="153"/>
        <v>0</v>
      </c>
      <c r="BJ583" s="22">
        <f t="shared" si="154"/>
        <v>0</v>
      </c>
      <c r="BK583" s="22">
        <f t="shared" si="155"/>
        <v>0</v>
      </c>
      <c r="BL583" s="22">
        <f t="shared" si="156"/>
        <v>0</v>
      </c>
      <c r="BM583" s="22">
        <f t="shared" si="152"/>
        <v>0</v>
      </c>
      <c r="BN583" s="23" t="e">
        <f t="shared" si="157"/>
        <v>#DIV/0!</v>
      </c>
      <c r="BO583" s="23" t="e">
        <f t="shared" si="157"/>
        <v>#DIV/0!</v>
      </c>
      <c r="BP583" s="7" t="e">
        <f>VLOOKUP(A583,[1]Sheet15!B:E,4,0)</f>
        <v>#N/A</v>
      </c>
      <c r="BQ583" s="7" t="e">
        <f>VLOOKUP(A583,[1]Sheet15!B:E,3,0)</f>
        <v>#N/A</v>
      </c>
    </row>
    <row r="584" spans="1:69" ht="22.5" customHeight="1" x14ac:dyDescent="0.25">
      <c r="A584" s="15" t="s">
        <v>1406</v>
      </c>
      <c r="B584" s="15">
        <f>VLOOKUP(A584,'[1]Master clients'!F565:W4112,17,0)</f>
        <v>0</v>
      </c>
      <c r="C584" s="15" t="str">
        <f>VLOOKUP(A584,'[1]Master clients'!F565:P4112,11,0)</f>
        <v>HO</v>
      </c>
      <c r="D584" s="15" t="str">
        <f>VLOOKUP(A584,'[1]Master clients'!F:M,8,0)</f>
        <v>End User</v>
      </c>
      <c r="E584" s="16" t="s">
        <v>1407</v>
      </c>
      <c r="F584" s="29" t="s">
        <v>1391</v>
      </c>
      <c r="G584" s="20"/>
      <c r="H584" s="20"/>
      <c r="I584" s="26">
        <v>1</v>
      </c>
      <c r="J584" s="18">
        <v>0</v>
      </c>
      <c r="K584" s="20">
        <v>0</v>
      </c>
      <c r="L584" s="20">
        <v>0</v>
      </c>
      <c r="M584" s="20">
        <v>0</v>
      </c>
      <c r="N584" s="20">
        <v>0</v>
      </c>
      <c r="O584" s="20">
        <v>0</v>
      </c>
      <c r="P584" s="20">
        <v>0</v>
      </c>
      <c r="Q584" s="20">
        <v>0</v>
      </c>
      <c r="R584" s="20">
        <v>0</v>
      </c>
      <c r="S584" s="20">
        <v>0</v>
      </c>
      <c r="T584" s="20">
        <v>0</v>
      </c>
      <c r="U584" s="20">
        <v>0</v>
      </c>
      <c r="V584" s="20">
        <v>0</v>
      </c>
      <c r="W584" s="20">
        <v>0</v>
      </c>
      <c r="X584" s="20">
        <v>0</v>
      </c>
      <c r="Y584" s="20">
        <v>0</v>
      </c>
      <c r="Z584" s="20">
        <v>0</v>
      </c>
      <c r="AA584" s="20">
        <v>0</v>
      </c>
      <c r="AB584" s="20">
        <v>0</v>
      </c>
      <c r="AC584" s="20">
        <v>0</v>
      </c>
      <c r="AD584" s="20">
        <v>0</v>
      </c>
      <c r="AE584" s="20">
        <v>0</v>
      </c>
      <c r="AF584" s="20">
        <v>0</v>
      </c>
      <c r="AG584" s="20">
        <v>0</v>
      </c>
      <c r="AH584" s="20">
        <v>0</v>
      </c>
      <c r="AI584" s="20">
        <v>0</v>
      </c>
      <c r="AJ584" s="20">
        <v>0</v>
      </c>
      <c r="AK584" s="20">
        <v>0</v>
      </c>
      <c r="AL584" s="20">
        <v>0</v>
      </c>
      <c r="AM584" s="20">
        <v>0</v>
      </c>
      <c r="AN584" s="20">
        <v>0</v>
      </c>
      <c r="AO584" s="20">
        <v>0</v>
      </c>
      <c r="AP584" s="20">
        <v>0</v>
      </c>
      <c r="AQ584" s="20">
        <v>0</v>
      </c>
      <c r="AR584" s="20">
        <v>0</v>
      </c>
      <c r="AS584" s="20">
        <v>0</v>
      </c>
      <c r="AT584" s="20">
        <v>0</v>
      </c>
      <c r="AU584" s="20">
        <v>0</v>
      </c>
      <c r="AV584" s="20">
        <v>0</v>
      </c>
      <c r="AW584" s="20">
        <v>0</v>
      </c>
      <c r="AX584" s="20">
        <v>0</v>
      </c>
      <c r="AY584" s="20">
        <v>0</v>
      </c>
      <c r="AZ584" s="20">
        <v>0</v>
      </c>
      <c r="BA584" s="20">
        <v>0</v>
      </c>
      <c r="BB584" s="20">
        <v>0</v>
      </c>
      <c r="BC584" s="20">
        <v>0</v>
      </c>
      <c r="BD584" s="20">
        <v>0</v>
      </c>
      <c r="BE584" s="20">
        <v>0</v>
      </c>
      <c r="BF584" s="20">
        <v>0</v>
      </c>
      <c r="BG584" s="20">
        <v>0</v>
      </c>
      <c r="BH584" s="20">
        <v>0</v>
      </c>
      <c r="BI584" s="22">
        <f t="shared" si="153"/>
        <v>0</v>
      </c>
      <c r="BJ584" s="22">
        <f t="shared" si="154"/>
        <v>0</v>
      </c>
      <c r="BK584" s="28">
        <f t="shared" si="155"/>
        <v>1</v>
      </c>
      <c r="BL584" s="22">
        <f t="shared" si="156"/>
        <v>1</v>
      </c>
      <c r="BM584" s="22">
        <f t="shared" si="152"/>
        <v>0</v>
      </c>
      <c r="BN584" s="23">
        <f t="shared" si="157"/>
        <v>1</v>
      </c>
      <c r="BO584" s="23" t="e">
        <f t="shared" si="157"/>
        <v>#DIV/0!</v>
      </c>
      <c r="BP584" s="7">
        <f>VLOOKUP(A584,[1]Sheet15!B:E,4,0)</f>
        <v>2</v>
      </c>
      <c r="BQ584" s="7">
        <f>VLOOKUP(A584,[1]Sheet15!B:E,3,0)</f>
        <v>0</v>
      </c>
    </row>
    <row r="585" spans="1:69" ht="22.5" customHeight="1" x14ac:dyDescent="0.25">
      <c r="A585" s="15" t="s">
        <v>1408</v>
      </c>
      <c r="B585" s="15">
        <f>VLOOKUP(A585,'[1]Master clients'!F566:W4113,17,0)</f>
        <v>0</v>
      </c>
      <c r="C585" s="15" t="str">
        <f>VLOOKUP(A585,'[1]Master clients'!F566:P4113,11,0)</f>
        <v>NI</v>
      </c>
      <c r="D585" s="15" t="str">
        <f>VLOOKUP(A585,'[1]Master clients'!F:M,8,0)</f>
        <v>End User</v>
      </c>
      <c r="E585" s="16" t="s">
        <v>1409</v>
      </c>
      <c r="F585" s="16" t="s">
        <v>1391</v>
      </c>
      <c r="G585" s="17"/>
      <c r="H585" s="17"/>
      <c r="I585" s="31">
        <v>0</v>
      </c>
      <c r="J585" s="31">
        <v>0</v>
      </c>
      <c r="K585" s="17">
        <v>0</v>
      </c>
      <c r="L585" s="17">
        <v>0</v>
      </c>
      <c r="M585" s="17">
        <v>0</v>
      </c>
      <c r="N585" s="17">
        <v>0</v>
      </c>
      <c r="O585" s="17">
        <v>0</v>
      </c>
      <c r="P585" s="17">
        <v>0</v>
      </c>
      <c r="Q585" s="17">
        <v>0</v>
      </c>
      <c r="R585" s="17">
        <v>0</v>
      </c>
      <c r="S585" s="17">
        <v>0</v>
      </c>
      <c r="T585" s="17">
        <v>0</v>
      </c>
      <c r="U585" s="17">
        <v>0</v>
      </c>
      <c r="V585" s="17">
        <v>0</v>
      </c>
      <c r="W585" s="17">
        <v>0</v>
      </c>
      <c r="X585" s="17">
        <v>0</v>
      </c>
      <c r="Y585" s="17">
        <v>0</v>
      </c>
      <c r="Z585" s="17">
        <v>0</v>
      </c>
      <c r="AA585" s="17">
        <v>0</v>
      </c>
      <c r="AB585" s="17">
        <v>0</v>
      </c>
      <c r="AC585" s="17">
        <v>0</v>
      </c>
      <c r="AD585" s="17">
        <v>0</v>
      </c>
      <c r="AE585" s="17">
        <v>0</v>
      </c>
      <c r="AF585" s="17">
        <v>0</v>
      </c>
      <c r="AG585" s="17">
        <v>0</v>
      </c>
      <c r="AH585" s="17">
        <v>0</v>
      </c>
      <c r="AI585" s="17">
        <v>0</v>
      </c>
      <c r="AJ585" s="17">
        <v>0</v>
      </c>
      <c r="AK585" s="17">
        <v>0</v>
      </c>
      <c r="AL585" s="17">
        <v>0</v>
      </c>
      <c r="AM585" s="17">
        <v>0</v>
      </c>
      <c r="AN585" s="17">
        <v>0</v>
      </c>
      <c r="AO585" s="17">
        <v>0</v>
      </c>
      <c r="AP585" s="17">
        <v>0</v>
      </c>
      <c r="AQ585" s="17">
        <v>0</v>
      </c>
      <c r="AR585" s="17">
        <v>0</v>
      </c>
      <c r="AS585" s="17">
        <v>0</v>
      </c>
      <c r="AT585" s="17">
        <v>0</v>
      </c>
      <c r="AU585" s="17">
        <v>0</v>
      </c>
      <c r="AV585" s="17">
        <v>0</v>
      </c>
      <c r="AW585" s="17">
        <v>0</v>
      </c>
      <c r="AX585" s="17">
        <v>0</v>
      </c>
      <c r="AY585" s="17">
        <v>0</v>
      </c>
      <c r="AZ585" s="17">
        <v>0</v>
      </c>
      <c r="BA585" s="17">
        <v>0</v>
      </c>
      <c r="BB585" s="17">
        <v>0</v>
      </c>
      <c r="BC585" s="17">
        <v>0</v>
      </c>
      <c r="BD585" s="17">
        <v>0</v>
      </c>
      <c r="BE585" s="17">
        <v>0</v>
      </c>
      <c r="BF585" s="17">
        <v>0</v>
      </c>
      <c r="BG585" s="17">
        <v>0</v>
      </c>
      <c r="BH585" s="17">
        <v>0</v>
      </c>
      <c r="BI585" s="22">
        <f t="shared" si="153"/>
        <v>0</v>
      </c>
      <c r="BJ585" s="22">
        <f t="shared" si="154"/>
        <v>0</v>
      </c>
      <c r="BK585" s="22">
        <f t="shared" si="155"/>
        <v>0</v>
      </c>
      <c r="BL585" s="22">
        <f t="shared" si="156"/>
        <v>0</v>
      </c>
      <c r="BM585" s="22">
        <f t="shared" si="152"/>
        <v>0</v>
      </c>
      <c r="BN585" s="23" t="e">
        <f t="shared" si="157"/>
        <v>#DIV/0!</v>
      </c>
      <c r="BO585" s="23" t="e">
        <f t="shared" si="157"/>
        <v>#DIV/0!</v>
      </c>
      <c r="BP585" s="7" t="e">
        <f>VLOOKUP(A585,[1]Sheet15!B:E,4,0)</f>
        <v>#N/A</v>
      </c>
      <c r="BQ585" s="7" t="e">
        <f>VLOOKUP(A585,[1]Sheet15!B:E,3,0)</f>
        <v>#N/A</v>
      </c>
    </row>
    <row r="586" spans="1:69" ht="22.5" customHeight="1" x14ac:dyDescent="0.25">
      <c r="A586" s="15" t="s">
        <v>1410</v>
      </c>
      <c r="B586" s="15">
        <f>VLOOKUP(A586,'[1]Master clients'!F567:W4114,17,0)</f>
        <v>0</v>
      </c>
      <c r="C586" s="15" t="str">
        <f>VLOOKUP(A586,'[1]Master clients'!F567:P4114,11,0)</f>
        <v>NI</v>
      </c>
      <c r="D586" s="15" t="str">
        <f>VLOOKUP(A586,'[1]Master clients'!F:M,8,0)</f>
        <v>End User</v>
      </c>
      <c r="E586" s="16" t="s">
        <v>1411</v>
      </c>
      <c r="F586" s="16" t="s">
        <v>1391</v>
      </c>
      <c r="G586" s="17"/>
      <c r="H586" s="17"/>
      <c r="I586" s="26">
        <v>2</v>
      </c>
      <c r="J586" s="31">
        <v>0</v>
      </c>
      <c r="K586" s="17">
        <v>0</v>
      </c>
      <c r="L586" s="17">
        <v>0</v>
      </c>
      <c r="M586" s="17">
        <v>0</v>
      </c>
      <c r="N586" s="17">
        <v>0</v>
      </c>
      <c r="O586" s="17">
        <v>0</v>
      </c>
      <c r="P586" s="17">
        <v>0</v>
      </c>
      <c r="Q586" s="17">
        <v>0</v>
      </c>
      <c r="R586" s="17">
        <v>0</v>
      </c>
      <c r="S586" s="17">
        <v>0</v>
      </c>
      <c r="T586" s="17">
        <v>0</v>
      </c>
      <c r="U586" s="17">
        <v>0</v>
      </c>
      <c r="V586" s="17">
        <v>0</v>
      </c>
      <c r="W586" s="17">
        <v>0</v>
      </c>
      <c r="X586" s="17">
        <v>0</v>
      </c>
      <c r="Y586" s="17">
        <v>0</v>
      </c>
      <c r="Z586" s="17">
        <v>0</v>
      </c>
      <c r="AA586" s="17">
        <v>0</v>
      </c>
      <c r="AB586" s="17">
        <v>0</v>
      </c>
      <c r="AC586" s="17">
        <v>0</v>
      </c>
      <c r="AD586" s="17">
        <v>0</v>
      </c>
      <c r="AE586" s="17">
        <v>0</v>
      </c>
      <c r="AF586" s="17">
        <v>0</v>
      </c>
      <c r="AG586" s="17">
        <v>0</v>
      </c>
      <c r="AH586" s="17">
        <v>0</v>
      </c>
      <c r="AI586" s="17">
        <v>0</v>
      </c>
      <c r="AJ586" s="17">
        <v>0</v>
      </c>
      <c r="AK586" s="17">
        <v>0</v>
      </c>
      <c r="AL586" s="17">
        <v>0</v>
      </c>
      <c r="AM586" s="17">
        <v>0</v>
      </c>
      <c r="AN586" s="17">
        <v>0</v>
      </c>
      <c r="AO586" s="17">
        <v>0</v>
      </c>
      <c r="AP586" s="17">
        <v>0</v>
      </c>
      <c r="AQ586" s="17">
        <v>0</v>
      </c>
      <c r="AR586" s="17">
        <v>0</v>
      </c>
      <c r="AS586" s="17">
        <v>0</v>
      </c>
      <c r="AT586" s="17">
        <v>0</v>
      </c>
      <c r="AU586" s="17">
        <v>0</v>
      </c>
      <c r="AV586" s="17">
        <v>0</v>
      </c>
      <c r="AW586" s="17">
        <v>0</v>
      </c>
      <c r="AX586" s="17">
        <v>0</v>
      </c>
      <c r="AY586" s="17">
        <v>0</v>
      </c>
      <c r="AZ586" s="17">
        <v>0</v>
      </c>
      <c r="BA586" s="17">
        <v>0</v>
      </c>
      <c r="BB586" s="17">
        <v>0</v>
      </c>
      <c r="BC586" s="17">
        <v>0</v>
      </c>
      <c r="BD586" s="17">
        <v>0</v>
      </c>
      <c r="BE586" s="17">
        <v>0</v>
      </c>
      <c r="BF586" s="17">
        <v>0</v>
      </c>
      <c r="BG586" s="17">
        <v>0</v>
      </c>
      <c r="BH586" s="17">
        <v>0</v>
      </c>
      <c r="BI586" s="22">
        <f t="shared" si="153"/>
        <v>0</v>
      </c>
      <c r="BJ586" s="22">
        <f t="shared" si="154"/>
        <v>0</v>
      </c>
      <c r="BK586" s="28">
        <f t="shared" si="155"/>
        <v>2</v>
      </c>
      <c r="BL586" s="22">
        <f t="shared" si="156"/>
        <v>2</v>
      </c>
      <c r="BM586" s="22">
        <f t="shared" si="152"/>
        <v>0</v>
      </c>
      <c r="BN586" s="23">
        <f t="shared" si="157"/>
        <v>1</v>
      </c>
      <c r="BO586" s="23" t="e">
        <f t="shared" si="157"/>
        <v>#DIV/0!</v>
      </c>
      <c r="BP586" s="7">
        <f>VLOOKUP(A586,[1]Sheet15!B:E,4,0)</f>
        <v>2</v>
      </c>
      <c r="BQ586" s="7">
        <f>VLOOKUP(A586,[1]Sheet15!B:E,3,0)</f>
        <v>0</v>
      </c>
    </row>
    <row r="587" spans="1:69" ht="22.5" customHeight="1" x14ac:dyDescent="0.25">
      <c r="A587" s="15" t="s">
        <v>1412</v>
      </c>
      <c r="B587" s="15" t="e">
        <f>VLOOKUP(A587,'[1]Master clients'!F568:W4115,17,0)</f>
        <v>#N/A</v>
      </c>
      <c r="C587" s="15" t="e">
        <f>VLOOKUP(A587,'[1]Master clients'!F568:P4115,11,0)</f>
        <v>#N/A</v>
      </c>
      <c r="D587" s="15" t="str">
        <f>VLOOKUP(A587,'[1]Master clients'!F:M,8,0)</f>
        <v>Group (Mills)</v>
      </c>
      <c r="E587" s="24" t="s">
        <v>1413</v>
      </c>
      <c r="F587" s="25" t="s">
        <v>1391</v>
      </c>
      <c r="G587" s="20">
        <v>0</v>
      </c>
      <c r="H587" s="20">
        <v>0</v>
      </c>
      <c r="I587" s="26">
        <v>6</v>
      </c>
      <c r="J587" s="26">
        <v>0</v>
      </c>
      <c r="K587" s="20">
        <v>6</v>
      </c>
      <c r="L587" s="20">
        <v>0</v>
      </c>
      <c r="M587" s="20">
        <v>0</v>
      </c>
      <c r="N587" s="20">
        <v>4</v>
      </c>
      <c r="O587" s="20">
        <v>0</v>
      </c>
      <c r="P587" s="20">
        <v>0</v>
      </c>
      <c r="Q587" s="20">
        <v>0</v>
      </c>
      <c r="R587" s="20">
        <v>5</v>
      </c>
      <c r="S587" s="20">
        <v>0</v>
      </c>
      <c r="T587" s="20">
        <v>0</v>
      </c>
      <c r="U587" s="20">
        <v>0</v>
      </c>
      <c r="V587" s="20">
        <v>0</v>
      </c>
      <c r="W587" s="20">
        <v>0</v>
      </c>
      <c r="X587" s="20">
        <v>0</v>
      </c>
      <c r="Y587" s="20">
        <v>0</v>
      </c>
      <c r="Z587" s="20">
        <v>0</v>
      </c>
      <c r="AA587" s="20">
        <v>0</v>
      </c>
      <c r="AB587" s="20">
        <v>0</v>
      </c>
      <c r="AC587" s="20">
        <v>0</v>
      </c>
      <c r="AD587" s="20">
        <v>0</v>
      </c>
      <c r="AE587" s="20">
        <v>0</v>
      </c>
      <c r="AF587" s="20">
        <v>0</v>
      </c>
      <c r="AG587" s="20">
        <v>0</v>
      </c>
      <c r="AH587" s="20">
        <v>0</v>
      </c>
      <c r="AI587" s="20">
        <v>0</v>
      </c>
      <c r="AJ587" s="20">
        <v>0</v>
      </c>
      <c r="AK587" s="20">
        <v>0</v>
      </c>
      <c r="AL587" s="20">
        <v>0</v>
      </c>
      <c r="AM587" s="20">
        <v>0</v>
      </c>
      <c r="AN587" s="20">
        <v>0</v>
      </c>
      <c r="AO587" s="20">
        <v>0</v>
      </c>
      <c r="AP587" s="20">
        <v>0</v>
      </c>
      <c r="AQ587" s="20">
        <v>0</v>
      </c>
      <c r="AR587" s="20">
        <v>0</v>
      </c>
      <c r="AS587" s="20">
        <v>0</v>
      </c>
      <c r="AT587" s="20">
        <v>0</v>
      </c>
      <c r="AU587" s="19">
        <v>0</v>
      </c>
      <c r="AV587" s="20">
        <v>0</v>
      </c>
      <c r="AW587" s="20">
        <v>0</v>
      </c>
      <c r="AX587" s="20">
        <v>0</v>
      </c>
      <c r="AY587" s="20">
        <v>0</v>
      </c>
      <c r="AZ587" s="20">
        <v>0</v>
      </c>
      <c r="BA587" s="19">
        <v>0</v>
      </c>
      <c r="BB587" s="27">
        <v>0</v>
      </c>
      <c r="BC587" s="19">
        <v>0</v>
      </c>
      <c r="BD587" s="19">
        <v>0</v>
      </c>
      <c r="BE587" s="21">
        <v>0</v>
      </c>
      <c r="BF587" s="21">
        <v>0</v>
      </c>
      <c r="BG587" s="19">
        <v>0</v>
      </c>
      <c r="BH587" s="19">
        <v>0</v>
      </c>
      <c r="BI587" s="22">
        <f t="shared" si="153"/>
        <v>11</v>
      </c>
      <c r="BJ587" s="22">
        <f t="shared" si="154"/>
        <v>4</v>
      </c>
      <c r="BK587" s="28">
        <f t="shared" si="155"/>
        <v>21</v>
      </c>
      <c r="BL587" s="22">
        <f t="shared" si="156"/>
        <v>17</v>
      </c>
      <c r="BM587" s="22">
        <f t="shared" si="152"/>
        <v>4</v>
      </c>
      <c r="BN587" s="23">
        <f t="shared" si="157"/>
        <v>0.35294117647058826</v>
      </c>
      <c r="BO587" s="23">
        <f t="shared" si="157"/>
        <v>0</v>
      </c>
      <c r="BP587" s="7">
        <f>VLOOKUP(A587,[1]Sheet15!B:E,4,0)</f>
        <v>8</v>
      </c>
      <c r="BQ587" s="7">
        <f>VLOOKUP(A587,[1]Sheet15!B:E,3,0)</f>
        <v>0</v>
      </c>
    </row>
    <row r="588" spans="1:69" ht="22.5" customHeight="1" x14ac:dyDescent="0.25">
      <c r="A588" s="15" t="s">
        <v>1414</v>
      </c>
      <c r="B588" s="15">
        <f>VLOOKUP(A588,'[1]Master clients'!F569:W4116,17,0)</f>
        <v>0</v>
      </c>
      <c r="C588" s="15" t="str">
        <f>VLOOKUP(A588,'[1]Master clients'!F569:P4116,11,0)</f>
        <v>NI</v>
      </c>
      <c r="D588" s="15" t="str">
        <f>VLOOKUP(A588,'[1]Master clients'!F:M,8,0)</f>
        <v>Group (Mills)</v>
      </c>
      <c r="E588" s="24" t="s">
        <v>1415</v>
      </c>
      <c r="F588" s="25" t="s">
        <v>1391</v>
      </c>
      <c r="G588" s="20">
        <v>0</v>
      </c>
      <c r="H588" s="20">
        <v>3</v>
      </c>
      <c r="I588" s="26">
        <v>33</v>
      </c>
      <c r="J588" s="26">
        <v>3</v>
      </c>
      <c r="K588" s="20">
        <v>4</v>
      </c>
      <c r="L588" s="20">
        <v>2</v>
      </c>
      <c r="M588" s="20">
        <v>0</v>
      </c>
      <c r="N588" s="20">
        <v>12</v>
      </c>
      <c r="O588" s="20">
        <v>8</v>
      </c>
      <c r="P588" s="20">
        <v>0</v>
      </c>
      <c r="Q588" s="20">
        <v>0</v>
      </c>
      <c r="R588" s="20">
        <v>0</v>
      </c>
      <c r="S588" s="20">
        <v>0</v>
      </c>
      <c r="T588" s="20">
        <v>0</v>
      </c>
      <c r="U588" s="20">
        <v>0</v>
      </c>
      <c r="V588" s="20">
        <v>0</v>
      </c>
      <c r="W588" s="20">
        <v>0</v>
      </c>
      <c r="X588" s="20">
        <v>0</v>
      </c>
      <c r="Y588" s="20">
        <v>0</v>
      </c>
      <c r="Z588" s="20">
        <v>0</v>
      </c>
      <c r="AA588" s="20">
        <v>0</v>
      </c>
      <c r="AB588" s="20">
        <v>0</v>
      </c>
      <c r="AC588" s="20">
        <v>0</v>
      </c>
      <c r="AD588" s="20">
        <v>0</v>
      </c>
      <c r="AE588" s="20">
        <v>0</v>
      </c>
      <c r="AF588" s="20">
        <v>0</v>
      </c>
      <c r="AG588" s="20">
        <v>0</v>
      </c>
      <c r="AH588" s="20">
        <v>0</v>
      </c>
      <c r="AI588" s="20">
        <v>0</v>
      </c>
      <c r="AJ588" s="20">
        <v>0</v>
      </c>
      <c r="AK588" s="20">
        <v>0</v>
      </c>
      <c r="AL588" s="20">
        <v>0</v>
      </c>
      <c r="AM588" s="20">
        <v>0</v>
      </c>
      <c r="AN588" s="20">
        <v>0</v>
      </c>
      <c r="AO588" s="20">
        <v>0</v>
      </c>
      <c r="AP588" s="20">
        <v>0</v>
      </c>
      <c r="AQ588" s="20">
        <v>0</v>
      </c>
      <c r="AR588" s="20">
        <v>0</v>
      </c>
      <c r="AS588" s="20">
        <v>0</v>
      </c>
      <c r="AT588" s="20">
        <v>0</v>
      </c>
      <c r="AU588" s="20">
        <v>0</v>
      </c>
      <c r="AV588" s="20">
        <v>0</v>
      </c>
      <c r="AW588" s="20">
        <v>0</v>
      </c>
      <c r="AX588" s="20">
        <v>0</v>
      </c>
      <c r="AY588" s="20">
        <v>0</v>
      </c>
      <c r="AZ588" s="20">
        <v>0</v>
      </c>
      <c r="BA588" s="20">
        <v>0</v>
      </c>
      <c r="BB588" s="27">
        <v>0</v>
      </c>
      <c r="BC588" s="20">
        <v>0</v>
      </c>
      <c r="BD588" s="20">
        <v>0</v>
      </c>
      <c r="BE588" s="21">
        <v>0</v>
      </c>
      <c r="BF588" s="21">
        <v>0</v>
      </c>
      <c r="BG588" s="20">
        <v>0</v>
      </c>
      <c r="BH588" s="20">
        <v>0</v>
      </c>
      <c r="BI588" s="22">
        <f t="shared" si="153"/>
        <v>6</v>
      </c>
      <c r="BJ588" s="22">
        <f t="shared" si="154"/>
        <v>20</v>
      </c>
      <c r="BK588" s="28">
        <f t="shared" si="155"/>
        <v>62</v>
      </c>
      <c r="BL588" s="22">
        <f t="shared" si="156"/>
        <v>39</v>
      </c>
      <c r="BM588" s="22">
        <f t="shared" si="152"/>
        <v>23</v>
      </c>
      <c r="BN588" s="23">
        <f t="shared" si="157"/>
        <v>0.84615384615384615</v>
      </c>
      <c r="BO588" s="23">
        <f t="shared" si="157"/>
        <v>0.13043478260869565</v>
      </c>
      <c r="BP588" s="7">
        <f>VLOOKUP(A588,[1]Sheet15!B:E,4,0)</f>
        <v>23</v>
      </c>
      <c r="BQ588" s="7">
        <f>VLOOKUP(A588,[1]Sheet15!B:E,3,0)</f>
        <v>3</v>
      </c>
    </row>
    <row r="589" spans="1:69" ht="22.5" customHeight="1" x14ac:dyDescent="0.25">
      <c r="A589" s="15" t="s">
        <v>1416</v>
      </c>
      <c r="B589" s="15">
        <f>VLOOKUP(A589,'[1]Master clients'!F570:W4117,17,0)</f>
        <v>0</v>
      </c>
      <c r="C589" s="15" t="str">
        <f>VLOOKUP(A589,'[1]Master clients'!F570:P4117,11,0)</f>
        <v>NI</v>
      </c>
      <c r="D589" s="15" t="str">
        <f>VLOOKUP(A589,'[1]Master clients'!F:M,8,0)</f>
        <v>End User</v>
      </c>
      <c r="E589" s="24" t="s">
        <v>1417</v>
      </c>
      <c r="F589" s="25" t="s">
        <v>1391</v>
      </c>
      <c r="G589" s="20">
        <v>0</v>
      </c>
      <c r="H589" s="20">
        <v>0</v>
      </c>
      <c r="I589" s="26">
        <v>32</v>
      </c>
      <c r="J589" s="26">
        <v>0</v>
      </c>
      <c r="K589" s="20">
        <v>0</v>
      </c>
      <c r="L589" s="20">
        <v>0</v>
      </c>
      <c r="M589" s="20">
        <v>0</v>
      </c>
      <c r="N589" s="20">
        <v>0</v>
      </c>
      <c r="O589" s="20">
        <v>5</v>
      </c>
      <c r="P589" s="20">
        <v>0</v>
      </c>
      <c r="Q589" s="20">
        <v>0</v>
      </c>
      <c r="R589" s="20">
        <v>0</v>
      </c>
      <c r="S589" s="20">
        <v>0</v>
      </c>
      <c r="T589" s="20">
        <v>0</v>
      </c>
      <c r="U589" s="20">
        <v>0</v>
      </c>
      <c r="V589" s="20">
        <v>0</v>
      </c>
      <c r="W589" s="20">
        <v>0</v>
      </c>
      <c r="X589" s="20">
        <v>0</v>
      </c>
      <c r="Y589" s="20">
        <v>0</v>
      </c>
      <c r="Z589" s="20">
        <v>0</v>
      </c>
      <c r="AA589" s="20">
        <v>0</v>
      </c>
      <c r="AB589" s="20">
        <v>0</v>
      </c>
      <c r="AC589" s="20">
        <v>0</v>
      </c>
      <c r="AD589" s="20">
        <v>0</v>
      </c>
      <c r="AE589" s="20">
        <v>0</v>
      </c>
      <c r="AF589" s="20">
        <v>0</v>
      </c>
      <c r="AG589" s="20">
        <v>0</v>
      </c>
      <c r="AH589" s="20">
        <v>0</v>
      </c>
      <c r="AI589" s="20">
        <v>0</v>
      </c>
      <c r="AJ589" s="20">
        <v>0</v>
      </c>
      <c r="AK589" s="20">
        <v>0</v>
      </c>
      <c r="AL589" s="20">
        <v>0</v>
      </c>
      <c r="AM589" s="20">
        <v>0</v>
      </c>
      <c r="AN589" s="20">
        <v>0</v>
      </c>
      <c r="AO589" s="20">
        <v>0</v>
      </c>
      <c r="AP589" s="20">
        <v>0</v>
      </c>
      <c r="AQ589" s="20">
        <v>0</v>
      </c>
      <c r="AR589" s="20">
        <v>0</v>
      </c>
      <c r="AS589" s="20">
        <v>0</v>
      </c>
      <c r="AT589" s="20">
        <v>0</v>
      </c>
      <c r="AU589" s="20">
        <v>0</v>
      </c>
      <c r="AV589" s="20">
        <v>0</v>
      </c>
      <c r="AW589" s="20">
        <v>0</v>
      </c>
      <c r="AX589" s="20">
        <v>0</v>
      </c>
      <c r="AY589" s="20">
        <v>0</v>
      </c>
      <c r="AZ589" s="20">
        <v>3</v>
      </c>
      <c r="BA589" s="20">
        <v>0</v>
      </c>
      <c r="BB589" s="27">
        <v>0</v>
      </c>
      <c r="BC589" s="20">
        <v>0</v>
      </c>
      <c r="BD589" s="20">
        <v>0</v>
      </c>
      <c r="BE589" s="21">
        <v>0</v>
      </c>
      <c r="BF589" s="21">
        <v>0</v>
      </c>
      <c r="BG589" s="20">
        <v>0</v>
      </c>
      <c r="BH589" s="20">
        <v>0</v>
      </c>
      <c r="BI589" s="22">
        <f t="shared" si="153"/>
        <v>3</v>
      </c>
      <c r="BJ589" s="22">
        <f t="shared" si="154"/>
        <v>5</v>
      </c>
      <c r="BK589" s="28">
        <f t="shared" si="155"/>
        <v>40</v>
      </c>
      <c r="BL589" s="22">
        <f t="shared" si="156"/>
        <v>35</v>
      </c>
      <c r="BM589" s="22">
        <f t="shared" si="152"/>
        <v>5</v>
      </c>
      <c r="BN589" s="23">
        <f t="shared" si="157"/>
        <v>0.91428571428571426</v>
      </c>
      <c r="BO589" s="23">
        <f t="shared" si="157"/>
        <v>0</v>
      </c>
      <c r="BP589" s="7">
        <f>VLOOKUP(A589,[1]Sheet15!B:E,4,0)</f>
        <v>39</v>
      </c>
      <c r="BQ589" s="7">
        <f>VLOOKUP(A589,[1]Sheet15!B:E,3,0)</f>
        <v>0</v>
      </c>
    </row>
    <row r="590" spans="1:69" ht="22.5" customHeight="1" x14ac:dyDescent="0.25">
      <c r="A590" s="15" t="s">
        <v>1418</v>
      </c>
      <c r="B590" s="35">
        <f>VLOOKUP(A590,'[1]Master clients'!F911:W4458,17,0)</f>
        <v>0</v>
      </c>
      <c r="C590" s="15" t="str">
        <f>VLOOKUP(A590,'[1]Master clients'!F911:P4458,11,0)</f>
        <v>HO</v>
      </c>
      <c r="D590" s="15" t="str">
        <f>VLOOKUP(A590,'[1]Master clients'!F:M,8,0)</f>
        <v>End User</v>
      </c>
      <c r="E590" s="16" t="s">
        <v>1419</v>
      </c>
      <c r="F590" s="29" t="s">
        <v>1391</v>
      </c>
      <c r="G590" s="20"/>
      <c r="H590" s="20"/>
      <c r="I590" s="18">
        <v>0</v>
      </c>
      <c r="J590" s="18">
        <v>0</v>
      </c>
      <c r="K590" s="20">
        <v>0</v>
      </c>
      <c r="L590" s="20">
        <v>0</v>
      </c>
      <c r="M590" s="20">
        <v>0</v>
      </c>
      <c r="N590" s="20">
        <v>0</v>
      </c>
      <c r="O590" s="20">
        <v>0</v>
      </c>
      <c r="P590" s="20">
        <v>0</v>
      </c>
      <c r="Q590" s="20">
        <v>0</v>
      </c>
      <c r="R590" s="20">
        <v>0</v>
      </c>
      <c r="S590" s="20">
        <v>0</v>
      </c>
      <c r="T590" s="20">
        <v>0</v>
      </c>
      <c r="U590" s="20">
        <v>0</v>
      </c>
      <c r="V590" s="20">
        <v>0</v>
      </c>
      <c r="W590" s="20">
        <v>0</v>
      </c>
      <c r="X590" s="20">
        <v>0</v>
      </c>
      <c r="Y590" s="20">
        <v>0</v>
      </c>
      <c r="Z590" s="20">
        <v>0</v>
      </c>
      <c r="AA590" s="20">
        <v>0</v>
      </c>
      <c r="AB590" s="20">
        <v>0</v>
      </c>
      <c r="AC590" s="20">
        <v>0</v>
      </c>
      <c r="AD590" s="20">
        <v>0</v>
      </c>
      <c r="AE590" s="20">
        <v>0</v>
      </c>
      <c r="AF590" s="20">
        <v>0</v>
      </c>
      <c r="AG590" s="20">
        <v>0</v>
      </c>
      <c r="AH590" s="20">
        <v>0</v>
      </c>
      <c r="AI590" s="20">
        <v>0</v>
      </c>
      <c r="AJ590" s="20">
        <v>0</v>
      </c>
      <c r="AK590" s="20">
        <v>0</v>
      </c>
      <c r="AL590" s="20">
        <v>0</v>
      </c>
      <c r="AM590" s="20">
        <v>0</v>
      </c>
      <c r="AN590" s="20">
        <v>0</v>
      </c>
      <c r="AO590" s="20">
        <v>4</v>
      </c>
      <c r="AP590" s="20">
        <v>0</v>
      </c>
      <c r="AQ590" s="20">
        <v>0</v>
      </c>
      <c r="AR590" s="20">
        <v>0</v>
      </c>
      <c r="AS590" s="20">
        <v>0</v>
      </c>
      <c r="AT590" s="20">
        <v>0</v>
      </c>
      <c r="AU590" s="20">
        <v>0</v>
      </c>
      <c r="AV590" s="20">
        <v>0</v>
      </c>
      <c r="AW590" s="20">
        <v>0</v>
      </c>
      <c r="AX590" s="20">
        <v>0</v>
      </c>
      <c r="AY590" s="20">
        <v>0</v>
      </c>
      <c r="AZ590" s="20">
        <v>0</v>
      </c>
      <c r="BA590" s="20">
        <v>0</v>
      </c>
      <c r="BB590" s="20">
        <v>0</v>
      </c>
      <c r="BC590" s="20">
        <v>0</v>
      </c>
      <c r="BD590" s="20">
        <v>0</v>
      </c>
      <c r="BE590" s="20">
        <v>0</v>
      </c>
      <c r="BF590" s="20">
        <v>0</v>
      </c>
      <c r="BG590" s="20">
        <v>0</v>
      </c>
      <c r="BH590" s="20">
        <v>0</v>
      </c>
      <c r="BI590" s="22">
        <f t="shared" si="153"/>
        <v>4</v>
      </c>
      <c r="BJ590" s="22">
        <f t="shared" si="154"/>
        <v>0</v>
      </c>
      <c r="BK590" s="22">
        <f t="shared" si="155"/>
        <v>4</v>
      </c>
      <c r="BL590" s="22">
        <f t="shared" si="156"/>
        <v>4</v>
      </c>
      <c r="BM590" s="22">
        <f t="shared" si="152"/>
        <v>0</v>
      </c>
      <c r="BN590" s="23">
        <f t="shared" si="157"/>
        <v>0</v>
      </c>
      <c r="BO590" s="23" t="e">
        <f t="shared" si="157"/>
        <v>#DIV/0!</v>
      </c>
      <c r="BP590" s="7" t="e">
        <f>VLOOKUP(A590,[1]Sheet15!B:E,4,0)</f>
        <v>#N/A</v>
      </c>
      <c r="BQ590" s="7" t="e">
        <f>VLOOKUP(A590,[1]Sheet15!B:E,3,0)</f>
        <v>#N/A</v>
      </c>
    </row>
    <row r="591" spans="1:69" ht="22.5" customHeight="1" x14ac:dyDescent="0.25">
      <c r="A591" s="15" t="s">
        <v>1420</v>
      </c>
      <c r="B591" s="35">
        <f>VLOOKUP(A591,'[1]Master clients'!F912:W4459,17,0)</f>
        <v>0</v>
      </c>
      <c r="C591" s="15" t="str">
        <f>VLOOKUP(A591,'[1]Master clients'!F912:P4459,11,0)</f>
        <v>HO</v>
      </c>
      <c r="D591" s="15" t="str">
        <f>VLOOKUP(A591,'[1]Master clients'!F:M,8,0)</f>
        <v>End User</v>
      </c>
      <c r="E591" s="16" t="s">
        <v>1421</v>
      </c>
      <c r="F591" s="29" t="s">
        <v>1391</v>
      </c>
      <c r="G591" s="20"/>
      <c r="H591" s="20"/>
      <c r="I591" s="26">
        <v>2</v>
      </c>
      <c r="J591" s="18">
        <v>0</v>
      </c>
      <c r="K591" s="20">
        <v>0</v>
      </c>
      <c r="L591" s="20">
        <v>0</v>
      </c>
      <c r="M591" s="20">
        <v>0</v>
      </c>
      <c r="N591" s="20">
        <v>0</v>
      </c>
      <c r="O591" s="20">
        <v>0</v>
      </c>
      <c r="P591" s="20">
        <v>0</v>
      </c>
      <c r="Q591" s="20">
        <v>0</v>
      </c>
      <c r="R591" s="20">
        <v>0</v>
      </c>
      <c r="S591" s="20">
        <v>0</v>
      </c>
      <c r="T591" s="20">
        <v>0</v>
      </c>
      <c r="U591" s="20">
        <v>0</v>
      </c>
      <c r="V591" s="20">
        <v>0</v>
      </c>
      <c r="W591" s="20">
        <v>0</v>
      </c>
      <c r="X591" s="20">
        <v>0</v>
      </c>
      <c r="Y591" s="20">
        <v>0</v>
      </c>
      <c r="Z591" s="20">
        <v>0</v>
      </c>
      <c r="AA591" s="20">
        <v>0</v>
      </c>
      <c r="AB591" s="20">
        <v>0</v>
      </c>
      <c r="AC591" s="20">
        <v>0</v>
      </c>
      <c r="AD591" s="20">
        <v>0</v>
      </c>
      <c r="AE591" s="20">
        <v>0</v>
      </c>
      <c r="AF591" s="20">
        <v>0</v>
      </c>
      <c r="AG591" s="20">
        <v>0</v>
      </c>
      <c r="AH591" s="20">
        <v>0</v>
      </c>
      <c r="AI591" s="20">
        <v>0</v>
      </c>
      <c r="AJ591" s="20">
        <v>0</v>
      </c>
      <c r="AK591" s="20">
        <v>0</v>
      </c>
      <c r="AL591" s="20">
        <v>0</v>
      </c>
      <c r="AM591" s="20">
        <v>0</v>
      </c>
      <c r="AN591" s="20">
        <v>0</v>
      </c>
      <c r="AO591" s="20">
        <v>0</v>
      </c>
      <c r="AP591" s="20">
        <v>0</v>
      </c>
      <c r="AQ591" s="20">
        <v>0</v>
      </c>
      <c r="AR591" s="20">
        <v>0</v>
      </c>
      <c r="AS591" s="20">
        <v>0</v>
      </c>
      <c r="AT591" s="20">
        <v>0</v>
      </c>
      <c r="AU591" s="20">
        <v>0</v>
      </c>
      <c r="AV591" s="20">
        <v>0</v>
      </c>
      <c r="AW591" s="20">
        <v>0</v>
      </c>
      <c r="AX591" s="20">
        <v>0</v>
      </c>
      <c r="AY591" s="20">
        <v>0</v>
      </c>
      <c r="AZ591" s="20">
        <v>0</v>
      </c>
      <c r="BA591" s="20">
        <v>0</v>
      </c>
      <c r="BB591" s="20">
        <v>0</v>
      </c>
      <c r="BC591" s="20">
        <v>0</v>
      </c>
      <c r="BD591" s="20">
        <v>0</v>
      </c>
      <c r="BE591" s="20">
        <v>0</v>
      </c>
      <c r="BF591" s="20">
        <v>0</v>
      </c>
      <c r="BG591" s="20">
        <v>0</v>
      </c>
      <c r="BH591" s="20">
        <v>0</v>
      </c>
      <c r="BI591" s="22">
        <f t="shared" si="153"/>
        <v>0</v>
      </c>
      <c r="BJ591" s="22">
        <f t="shared" si="154"/>
        <v>0</v>
      </c>
      <c r="BK591" s="28">
        <f t="shared" si="155"/>
        <v>2</v>
      </c>
      <c r="BL591" s="22">
        <f t="shared" si="156"/>
        <v>2</v>
      </c>
      <c r="BM591" s="22">
        <f t="shared" si="152"/>
        <v>0</v>
      </c>
      <c r="BN591" s="23">
        <f t="shared" si="157"/>
        <v>1</v>
      </c>
      <c r="BO591" s="23" t="e">
        <f t="shared" si="157"/>
        <v>#DIV/0!</v>
      </c>
      <c r="BP591" s="7">
        <f>VLOOKUP(A591,[1]Sheet15!B:E,4,0)</f>
        <v>2</v>
      </c>
      <c r="BQ591" s="7">
        <f>VLOOKUP(A591,[1]Sheet15!B:E,3,0)</f>
        <v>0</v>
      </c>
    </row>
    <row r="592" spans="1:69" ht="22.5" customHeight="1" x14ac:dyDescent="0.25">
      <c r="A592" s="15" t="s">
        <v>1422</v>
      </c>
      <c r="B592" s="15">
        <f>VLOOKUP(A592,'[1]Master clients'!F571:W4118,17,0)</f>
        <v>0</v>
      </c>
      <c r="C592" s="15" t="str">
        <f>VLOOKUP(A592,'[1]Master clients'!F571:P4118,11,0)</f>
        <v>NI</v>
      </c>
      <c r="D592" s="15" t="str">
        <f>VLOOKUP(A592,'[1]Master clients'!F:M,8,0)</f>
        <v>End User</v>
      </c>
      <c r="E592" s="24" t="s">
        <v>1423</v>
      </c>
      <c r="F592" s="25" t="s">
        <v>1391</v>
      </c>
      <c r="G592" s="20">
        <v>0</v>
      </c>
      <c r="H592" s="20">
        <v>0</v>
      </c>
      <c r="I592" s="26">
        <v>34</v>
      </c>
      <c r="J592" s="26">
        <v>0</v>
      </c>
      <c r="K592" s="20">
        <v>0</v>
      </c>
      <c r="L592" s="20">
        <v>0</v>
      </c>
      <c r="M592" s="20">
        <v>0</v>
      </c>
      <c r="N592" s="20">
        <v>0</v>
      </c>
      <c r="O592" s="20">
        <v>6</v>
      </c>
      <c r="P592" s="20">
        <v>0</v>
      </c>
      <c r="Q592" s="20">
        <v>0</v>
      </c>
      <c r="R592" s="20">
        <v>0</v>
      </c>
      <c r="S592" s="20">
        <v>0</v>
      </c>
      <c r="T592" s="20">
        <v>0</v>
      </c>
      <c r="U592" s="20">
        <v>0</v>
      </c>
      <c r="V592" s="20">
        <v>0</v>
      </c>
      <c r="W592" s="20">
        <v>0</v>
      </c>
      <c r="X592" s="20">
        <v>0</v>
      </c>
      <c r="Y592" s="20">
        <v>0</v>
      </c>
      <c r="Z592" s="20">
        <v>0</v>
      </c>
      <c r="AA592" s="20">
        <v>0</v>
      </c>
      <c r="AB592" s="20">
        <v>0</v>
      </c>
      <c r="AC592" s="20">
        <v>0</v>
      </c>
      <c r="AD592" s="20">
        <v>0</v>
      </c>
      <c r="AE592" s="20">
        <v>0</v>
      </c>
      <c r="AF592" s="20">
        <v>0</v>
      </c>
      <c r="AG592" s="20">
        <v>0</v>
      </c>
      <c r="AH592" s="20">
        <v>0</v>
      </c>
      <c r="AI592" s="20">
        <v>0</v>
      </c>
      <c r="AJ592" s="20">
        <v>0</v>
      </c>
      <c r="AK592" s="20">
        <v>0</v>
      </c>
      <c r="AL592" s="20">
        <v>0</v>
      </c>
      <c r="AM592" s="20">
        <v>0</v>
      </c>
      <c r="AN592" s="20">
        <v>0</v>
      </c>
      <c r="AO592" s="20">
        <v>0</v>
      </c>
      <c r="AP592" s="20">
        <v>0</v>
      </c>
      <c r="AQ592" s="20">
        <v>0</v>
      </c>
      <c r="AR592" s="20">
        <v>0</v>
      </c>
      <c r="AS592" s="20">
        <v>0</v>
      </c>
      <c r="AT592" s="20">
        <v>0</v>
      </c>
      <c r="AU592" s="20">
        <v>0</v>
      </c>
      <c r="AV592" s="20">
        <v>0</v>
      </c>
      <c r="AW592" s="20">
        <v>0</v>
      </c>
      <c r="AX592" s="20">
        <v>0</v>
      </c>
      <c r="AY592" s="20">
        <v>0</v>
      </c>
      <c r="AZ592" s="20">
        <v>0</v>
      </c>
      <c r="BA592" s="20">
        <v>0</v>
      </c>
      <c r="BB592" s="27">
        <v>0</v>
      </c>
      <c r="BC592" s="20">
        <v>0</v>
      </c>
      <c r="BD592" s="20">
        <v>0</v>
      </c>
      <c r="BE592" s="21">
        <v>0</v>
      </c>
      <c r="BF592" s="21">
        <v>0</v>
      </c>
      <c r="BG592" s="20">
        <v>0</v>
      </c>
      <c r="BH592" s="20">
        <v>0</v>
      </c>
      <c r="BI592" s="22">
        <f t="shared" si="153"/>
        <v>0</v>
      </c>
      <c r="BJ592" s="22">
        <f t="shared" si="154"/>
        <v>6</v>
      </c>
      <c r="BK592" s="28">
        <f t="shared" si="155"/>
        <v>40</v>
      </c>
      <c r="BL592" s="22">
        <f t="shared" si="156"/>
        <v>34</v>
      </c>
      <c r="BM592" s="22">
        <f t="shared" si="152"/>
        <v>6</v>
      </c>
      <c r="BN592" s="23">
        <f t="shared" si="157"/>
        <v>1</v>
      </c>
      <c r="BO592" s="23">
        <f t="shared" si="157"/>
        <v>0</v>
      </c>
      <c r="BP592" s="7">
        <f>VLOOKUP(A592,[1]Sheet15!B:E,4,0)</f>
        <v>5</v>
      </c>
      <c r="BQ592" s="7">
        <f>VLOOKUP(A592,[1]Sheet15!B:E,3,0)</f>
        <v>0</v>
      </c>
    </row>
    <row r="593" spans="1:69" ht="22.5" customHeight="1" x14ac:dyDescent="0.25">
      <c r="A593" s="15" t="s">
        <v>1424</v>
      </c>
      <c r="B593" s="15" t="e">
        <f>VLOOKUP(A593,'[1]Master clients'!F572:W4119,17,0)</f>
        <v>#N/A</v>
      </c>
      <c r="C593" s="15" t="e">
        <f>VLOOKUP(A593,'[1]Master clients'!F572:P4119,11,0)</f>
        <v>#N/A</v>
      </c>
      <c r="D593" s="15" t="str">
        <f>VLOOKUP(A593,'[1]Master clients'!F:M,8,0)</f>
        <v>Group (Mills)</v>
      </c>
      <c r="E593" s="16" t="s">
        <v>1425</v>
      </c>
      <c r="F593" s="16" t="s">
        <v>1426</v>
      </c>
      <c r="G593" s="17"/>
      <c r="H593" s="17"/>
      <c r="I593" s="26">
        <v>3</v>
      </c>
      <c r="J593" s="18">
        <v>0</v>
      </c>
      <c r="K593" s="17">
        <v>0</v>
      </c>
      <c r="L593" s="17">
        <v>0</v>
      </c>
      <c r="M593" s="17">
        <v>0</v>
      </c>
      <c r="N593" s="17">
        <v>0</v>
      </c>
      <c r="O593" s="17">
        <v>0</v>
      </c>
      <c r="P593" s="17">
        <v>0</v>
      </c>
      <c r="Q593" s="17">
        <v>0</v>
      </c>
      <c r="R593" s="17">
        <v>0</v>
      </c>
      <c r="S593" s="17">
        <v>0</v>
      </c>
      <c r="T593" s="17">
        <v>0</v>
      </c>
      <c r="U593" s="17">
        <v>0</v>
      </c>
      <c r="V593" s="17">
        <v>0</v>
      </c>
      <c r="W593" s="17">
        <v>0</v>
      </c>
      <c r="X593" s="17">
        <v>0</v>
      </c>
      <c r="Y593" s="17">
        <v>0</v>
      </c>
      <c r="Z593" s="17">
        <v>0</v>
      </c>
      <c r="AA593" s="17">
        <v>0</v>
      </c>
      <c r="AB593" s="17">
        <v>0</v>
      </c>
      <c r="AC593" s="17">
        <v>0</v>
      </c>
      <c r="AD593" s="17">
        <v>0</v>
      </c>
      <c r="AE593" s="17">
        <v>0</v>
      </c>
      <c r="AF593" s="17">
        <v>0</v>
      </c>
      <c r="AG593" s="17">
        <v>0</v>
      </c>
      <c r="AH593" s="17">
        <v>0</v>
      </c>
      <c r="AI593" s="17">
        <v>0</v>
      </c>
      <c r="AJ593" s="17">
        <v>0</v>
      </c>
      <c r="AK593" s="17">
        <v>0</v>
      </c>
      <c r="AL593" s="17">
        <v>0</v>
      </c>
      <c r="AM593" s="17">
        <v>0</v>
      </c>
      <c r="AN593" s="17">
        <v>0</v>
      </c>
      <c r="AO593" s="17">
        <v>0</v>
      </c>
      <c r="AP593" s="17">
        <v>0</v>
      </c>
      <c r="AQ593" s="17">
        <v>0</v>
      </c>
      <c r="AR593" s="17">
        <v>0</v>
      </c>
      <c r="AS593" s="17">
        <v>0</v>
      </c>
      <c r="AT593" s="17">
        <v>0</v>
      </c>
      <c r="AU593" s="17">
        <v>0</v>
      </c>
      <c r="AV593" s="17">
        <v>0</v>
      </c>
      <c r="AW593" s="17">
        <v>0</v>
      </c>
      <c r="AX593" s="17">
        <v>0</v>
      </c>
      <c r="AY593" s="17">
        <v>0</v>
      </c>
      <c r="AZ593" s="17">
        <v>0</v>
      </c>
      <c r="BA593" s="17">
        <v>0</v>
      </c>
      <c r="BB593" s="17">
        <v>0</v>
      </c>
      <c r="BC593" s="17">
        <v>0</v>
      </c>
      <c r="BD593" s="17">
        <v>0</v>
      </c>
      <c r="BE593" s="17">
        <v>0</v>
      </c>
      <c r="BF593" s="17">
        <v>0</v>
      </c>
      <c r="BG593" s="17">
        <v>0</v>
      </c>
      <c r="BH593" s="17">
        <v>0</v>
      </c>
      <c r="BI593" s="22">
        <f t="shared" ref="BI593:BI594" si="158">SUM(M593+N593+P593+R593+T593+W593+Z593+AC593+AE593+AL593+AO593+AP593+AS593+AW593+AX593+BC593+BE593+BG593)</f>
        <v>0</v>
      </c>
      <c r="BJ593" s="22">
        <f t="shared" ref="BJ593:BJ594" si="159">SUM(H593:BG593)</f>
        <v>3</v>
      </c>
      <c r="BK593" s="22">
        <f t="shared" ref="BK593:BK594" si="160">SUM(H593+J593+K593+L593+O593+Q593+S593+U593+V593+X593+Y593+AA593+AB593+AD593+AF593+AG593+AH593+AI593+AJ593+AK593+AM593+AN593+AQ593+AR593+AT593+AU593+AV593+AY593+AZ593+BA593+BB593+BF593+BD593)</f>
        <v>0</v>
      </c>
      <c r="BL593" s="22">
        <f t="shared" ref="BL593:BM608" si="161">SUM(I593+M593+N593+P593+R593+T593+W593+Z593+AC593+AE593+AL593+AO593+AP593+AS593+AW593+AX593+BC593+BG593)</f>
        <v>3</v>
      </c>
      <c r="BM593" s="22">
        <f t="shared" si="161"/>
        <v>0</v>
      </c>
      <c r="BN593" s="23">
        <f t="shared" si="157"/>
        <v>1</v>
      </c>
      <c r="BO593" s="23" t="e">
        <f t="shared" si="157"/>
        <v>#DIV/0!</v>
      </c>
      <c r="BP593" s="7">
        <f>VLOOKUP(A593,[1]Sheet15!B:E,4,0)</f>
        <v>3</v>
      </c>
      <c r="BQ593" s="7">
        <f>VLOOKUP(A593,[1]Sheet15!B:E,3,0)</f>
        <v>0</v>
      </c>
    </row>
    <row r="594" spans="1:69" ht="22.5" customHeight="1" x14ac:dyDescent="0.25">
      <c r="A594" s="15" t="s">
        <v>1427</v>
      </c>
      <c r="B594" s="15" t="e">
        <f>VLOOKUP(A594,'[1]Master clients'!F573:W4120,17,0)</f>
        <v>#N/A</v>
      </c>
      <c r="C594" s="15" t="e">
        <f>VLOOKUP(A594,'[1]Master clients'!F573:P4120,11,0)</f>
        <v>#N/A</v>
      </c>
      <c r="D594" s="15" t="str">
        <f>VLOOKUP(A594,'[1]Master clients'!F:M,8,0)</f>
        <v>End User</v>
      </c>
      <c r="E594" s="16" t="s">
        <v>1428</v>
      </c>
      <c r="F594" s="16" t="s">
        <v>1426</v>
      </c>
      <c r="G594" s="17"/>
      <c r="H594" s="17"/>
      <c r="I594" s="26">
        <v>2</v>
      </c>
      <c r="J594" s="18">
        <v>0</v>
      </c>
      <c r="K594" s="17">
        <v>0</v>
      </c>
      <c r="L594" s="17">
        <v>0</v>
      </c>
      <c r="M594" s="17">
        <v>0</v>
      </c>
      <c r="N594" s="17">
        <v>0</v>
      </c>
      <c r="O594" s="17">
        <v>0</v>
      </c>
      <c r="P594" s="17">
        <v>0</v>
      </c>
      <c r="Q594" s="17">
        <v>0</v>
      </c>
      <c r="R594" s="17">
        <v>0</v>
      </c>
      <c r="S594" s="17">
        <v>0</v>
      </c>
      <c r="T594" s="17">
        <v>0</v>
      </c>
      <c r="U594" s="17">
        <v>0</v>
      </c>
      <c r="V594" s="17">
        <v>0</v>
      </c>
      <c r="W594" s="17">
        <v>0</v>
      </c>
      <c r="X594" s="17">
        <v>0</v>
      </c>
      <c r="Y594" s="17">
        <v>0</v>
      </c>
      <c r="Z594" s="17">
        <v>0</v>
      </c>
      <c r="AA594" s="17">
        <v>0</v>
      </c>
      <c r="AB594" s="17">
        <v>0</v>
      </c>
      <c r="AC594" s="17">
        <v>0</v>
      </c>
      <c r="AD594" s="17">
        <v>0</v>
      </c>
      <c r="AE594" s="17">
        <v>0</v>
      </c>
      <c r="AF594" s="17">
        <v>0</v>
      </c>
      <c r="AG594" s="17">
        <v>0</v>
      </c>
      <c r="AH594" s="17">
        <v>0</v>
      </c>
      <c r="AI594" s="17">
        <v>0</v>
      </c>
      <c r="AJ594" s="17">
        <v>0</v>
      </c>
      <c r="AK594" s="17">
        <v>0</v>
      </c>
      <c r="AL594" s="17">
        <v>0</v>
      </c>
      <c r="AM594" s="17">
        <v>0</v>
      </c>
      <c r="AN594" s="17">
        <v>0</v>
      </c>
      <c r="AO594" s="17">
        <v>0</v>
      </c>
      <c r="AP594" s="17">
        <v>0</v>
      </c>
      <c r="AQ594" s="17">
        <v>0</v>
      </c>
      <c r="AR594" s="17">
        <v>0</v>
      </c>
      <c r="AS594" s="17">
        <v>0</v>
      </c>
      <c r="AT594" s="17">
        <v>0</v>
      </c>
      <c r="AU594" s="17">
        <v>0</v>
      </c>
      <c r="AV594" s="17">
        <v>0</v>
      </c>
      <c r="AW594" s="17">
        <v>0</v>
      </c>
      <c r="AX594" s="17">
        <v>0</v>
      </c>
      <c r="AY594" s="17">
        <v>0</v>
      </c>
      <c r="AZ594" s="17">
        <v>0</v>
      </c>
      <c r="BA594" s="17">
        <v>0</v>
      </c>
      <c r="BB594" s="17">
        <v>0</v>
      </c>
      <c r="BC594" s="17">
        <v>0</v>
      </c>
      <c r="BD594" s="17">
        <v>0</v>
      </c>
      <c r="BE594" s="17">
        <v>0</v>
      </c>
      <c r="BF594" s="17">
        <v>0</v>
      </c>
      <c r="BG594" s="17">
        <v>0</v>
      </c>
      <c r="BH594" s="17">
        <v>0</v>
      </c>
      <c r="BI594" s="22">
        <f t="shared" si="158"/>
        <v>0</v>
      </c>
      <c r="BJ594" s="22">
        <f t="shared" si="159"/>
        <v>2</v>
      </c>
      <c r="BK594" s="22">
        <f t="shared" si="160"/>
        <v>0</v>
      </c>
      <c r="BL594" s="22">
        <f t="shared" si="161"/>
        <v>2</v>
      </c>
      <c r="BM594" s="22">
        <f t="shared" si="161"/>
        <v>0</v>
      </c>
      <c r="BN594" s="23">
        <f t="shared" si="157"/>
        <v>1</v>
      </c>
      <c r="BO594" s="23" t="e">
        <f t="shared" si="157"/>
        <v>#DIV/0!</v>
      </c>
      <c r="BP594" s="7">
        <f>VLOOKUP(A594,[1]Sheet15!B:E,4,0)</f>
        <v>2</v>
      </c>
      <c r="BQ594" s="7">
        <f>VLOOKUP(A594,[1]Sheet15!B:E,3,0)</f>
        <v>0</v>
      </c>
    </row>
    <row r="595" spans="1:69" ht="22.5" customHeight="1" x14ac:dyDescent="0.25">
      <c r="A595" s="15" t="s">
        <v>1429</v>
      </c>
      <c r="B595" s="15" t="e">
        <f>VLOOKUP(A595,'[1]Master clients'!F574:W4121,17,0)</f>
        <v>#N/A</v>
      </c>
      <c r="C595" s="15" t="e">
        <f>VLOOKUP(A595,'[1]Master clients'!F574:P4121,11,0)</f>
        <v>#N/A</v>
      </c>
      <c r="D595" s="15" t="str">
        <f>VLOOKUP(A595,'[1]Master clients'!F:M,8,0)</f>
        <v>End User</v>
      </c>
      <c r="E595" s="16" t="s">
        <v>1430</v>
      </c>
      <c r="F595" s="16" t="s">
        <v>1426</v>
      </c>
      <c r="G595" s="17"/>
      <c r="H595" s="17"/>
      <c r="I595" s="31">
        <v>0</v>
      </c>
      <c r="J595" s="31">
        <v>0</v>
      </c>
      <c r="K595" s="17">
        <v>0</v>
      </c>
      <c r="L595" s="17">
        <v>0</v>
      </c>
      <c r="M595" s="17">
        <v>0</v>
      </c>
      <c r="N595" s="17">
        <v>0</v>
      </c>
      <c r="O595" s="17">
        <v>0</v>
      </c>
      <c r="P595" s="17">
        <v>0</v>
      </c>
      <c r="Q595" s="17">
        <v>0</v>
      </c>
      <c r="R595" s="17">
        <v>0</v>
      </c>
      <c r="S595" s="17">
        <v>0</v>
      </c>
      <c r="T595" s="17">
        <v>0</v>
      </c>
      <c r="U595" s="17">
        <v>0</v>
      </c>
      <c r="V595" s="17">
        <v>0</v>
      </c>
      <c r="W595" s="17">
        <v>0</v>
      </c>
      <c r="X595" s="17">
        <v>0</v>
      </c>
      <c r="Y595" s="17">
        <v>0</v>
      </c>
      <c r="Z595" s="17">
        <v>0</v>
      </c>
      <c r="AA595" s="17">
        <v>0</v>
      </c>
      <c r="AB595" s="17">
        <v>0</v>
      </c>
      <c r="AC595" s="17">
        <v>0</v>
      </c>
      <c r="AD595" s="17">
        <v>0</v>
      </c>
      <c r="AE595" s="17">
        <v>0</v>
      </c>
      <c r="AF595" s="17">
        <v>0</v>
      </c>
      <c r="AG595" s="17">
        <v>0</v>
      </c>
      <c r="AH595" s="17">
        <v>0</v>
      </c>
      <c r="AI595" s="17">
        <v>0</v>
      </c>
      <c r="AJ595" s="17">
        <v>0</v>
      </c>
      <c r="AK595" s="17">
        <v>0</v>
      </c>
      <c r="AL595" s="17">
        <v>0</v>
      </c>
      <c r="AM595" s="17">
        <v>0</v>
      </c>
      <c r="AN595" s="17">
        <v>0</v>
      </c>
      <c r="AO595" s="17">
        <v>0</v>
      </c>
      <c r="AP595" s="17">
        <v>0</v>
      </c>
      <c r="AQ595" s="17">
        <v>0</v>
      </c>
      <c r="AR595" s="17">
        <v>0</v>
      </c>
      <c r="AS595" s="17">
        <v>0</v>
      </c>
      <c r="AT595" s="17">
        <v>0</v>
      </c>
      <c r="AU595" s="17">
        <v>0</v>
      </c>
      <c r="AV595" s="17">
        <v>0</v>
      </c>
      <c r="AW595" s="17">
        <v>0</v>
      </c>
      <c r="AX595" s="17">
        <v>0</v>
      </c>
      <c r="AY595" s="17">
        <v>0</v>
      </c>
      <c r="AZ595" s="17">
        <v>0</v>
      </c>
      <c r="BA595" s="17">
        <v>0</v>
      </c>
      <c r="BB595" s="17">
        <v>0</v>
      </c>
      <c r="BC595" s="17">
        <v>0</v>
      </c>
      <c r="BD595" s="17">
        <v>0</v>
      </c>
      <c r="BE595" s="17">
        <v>0</v>
      </c>
      <c r="BF595" s="17">
        <v>0</v>
      </c>
      <c r="BG595" s="17">
        <v>0</v>
      </c>
      <c r="BH595" s="17">
        <v>0</v>
      </c>
      <c r="BI595" s="22">
        <f t="shared" ref="BI595:BI622" si="162">SUM(K595+L595+M595+P595+R595+T595+V595+W595+Y595+Z595+AB595+AC595+AE595+AG595+AH595+AI595+AJ595+AK595+AL595+AN595+AO595+AR595+AS595+AU595+AV595+AW595+AZ595+BA595+BB595+BC595+BE595+BG595)</f>
        <v>0</v>
      </c>
      <c r="BJ595" s="22">
        <f t="shared" ref="BJ595:BJ622" si="163">SUM(N595+O595+Q595+S595+U595+X595+AA595+AD595+AF595+AM595+AP595+AQ595+AT595+AX595+AY595+BD595+BF595+BH595)</f>
        <v>0</v>
      </c>
      <c r="BK595" s="22">
        <f t="shared" ref="BK595:BK622" si="164">SUM(I595:BH595)</f>
        <v>0</v>
      </c>
      <c r="BL595" s="22">
        <f t="shared" ref="BL595:BL622" si="165">SUM(I595+K595+L595+M595+P595+R595+T595+V595+W595+Y595+Z595+AB595+AC595+AE595+AG595+AH595+AI595+AJ595+AK595+AL595+AN595+AO595+AR595+AS595+AU595+AV595+AW595+AZ595+BA595+BB595+BC595+BG595+BE595)</f>
        <v>0</v>
      </c>
      <c r="BM595" s="22">
        <f t="shared" si="161"/>
        <v>0</v>
      </c>
      <c r="BN595" s="23" t="e">
        <f t="shared" si="157"/>
        <v>#DIV/0!</v>
      </c>
      <c r="BO595" s="23" t="e">
        <f t="shared" si="157"/>
        <v>#DIV/0!</v>
      </c>
      <c r="BP595" s="7" t="e">
        <f>VLOOKUP(A595,[1]Sheet15!B:E,4,0)</f>
        <v>#N/A</v>
      </c>
      <c r="BQ595" s="7" t="e">
        <f>VLOOKUP(A595,[1]Sheet15!B:E,3,0)</f>
        <v>#N/A</v>
      </c>
    </row>
    <row r="596" spans="1:69" ht="22.5" customHeight="1" x14ac:dyDescent="0.25">
      <c r="A596" s="15" t="s">
        <v>1431</v>
      </c>
      <c r="B596" s="15">
        <f>VLOOKUP(A596,'[1]Master clients'!F575:W4122,17,0)</f>
        <v>0</v>
      </c>
      <c r="C596" s="15" t="str">
        <f>VLOOKUP(A596,'[1]Master clients'!F575:P4122,11,0)</f>
        <v>NI</v>
      </c>
      <c r="D596" s="15" t="str">
        <f>VLOOKUP(A596,'[1]Master clients'!F:M,8,0)</f>
        <v>End User</v>
      </c>
      <c r="E596" s="24" t="s">
        <v>1432</v>
      </c>
      <c r="F596" s="25" t="s">
        <v>1433</v>
      </c>
      <c r="G596" s="20" t="s">
        <v>1434</v>
      </c>
      <c r="H596" s="20">
        <v>6</v>
      </c>
      <c r="I596" s="26">
        <v>1</v>
      </c>
      <c r="J596" s="26">
        <v>6</v>
      </c>
      <c r="K596" s="20">
        <v>0</v>
      </c>
      <c r="L596" s="20">
        <v>0</v>
      </c>
      <c r="M596" s="20">
        <v>0</v>
      </c>
      <c r="N596" s="20">
        <v>5</v>
      </c>
      <c r="O596" s="20">
        <v>0</v>
      </c>
      <c r="P596" s="20">
        <v>0</v>
      </c>
      <c r="Q596" s="20">
        <v>0</v>
      </c>
      <c r="R596" s="20">
        <v>0</v>
      </c>
      <c r="S596" s="20">
        <v>0</v>
      </c>
      <c r="T596" s="20">
        <v>10</v>
      </c>
      <c r="U596" s="20">
        <v>0</v>
      </c>
      <c r="V596" s="20">
        <v>0</v>
      </c>
      <c r="W596" s="20">
        <v>0</v>
      </c>
      <c r="X596" s="20">
        <v>0</v>
      </c>
      <c r="Y596" s="20">
        <v>0</v>
      </c>
      <c r="Z596" s="20">
        <v>0</v>
      </c>
      <c r="AA596" s="20">
        <v>0</v>
      </c>
      <c r="AB596" s="20">
        <v>0</v>
      </c>
      <c r="AC596" s="20">
        <v>0</v>
      </c>
      <c r="AD596" s="20">
        <v>0</v>
      </c>
      <c r="AE596" s="20">
        <v>0</v>
      </c>
      <c r="AF596" s="20">
        <v>0</v>
      </c>
      <c r="AG596" s="20">
        <v>0</v>
      </c>
      <c r="AH596" s="20">
        <v>0</v>
      </c>
      <c r="AI596" s="20">
        <v>0</v>
      </c>
      <c r="AJ596" s="20">
        <v>0</v>
      </c>
      <c r="AK596" s="20">
        <v>0</v>
      </c>
      <c r="AL596" s="20">
        <v>0</v>
      </c>
      <c r="AM596" s="20">
        <v>0</v>
      </c>
      <c r="AN596" s="20">
        <v>0</v>
      </c>
      <c r="AO596" s="20">
        <v>0</v>
      </c>
      <c r="AP596" s="20">
        <v>0</v>
      </c>
      <c r="AQ596" s="20">
        <v>0</v>
      </c>
      <c r="AR596" s="20">
        <v>0</v>
      </c>
      <c r="AS596" s="20">
        <v>0</v>
      </c>
      <c r="AT596" s="20">
        <v>0</v>
      </c>
      <c r="AU596" s="20">
        <v>0</v>
      </c>
      <c r="AV596" s="20">
        <v>0</v>
      </c>
      <c r="AW596" s="20">
        <v>0</v>
      </c>
      <c r="AX596" s="20">
        <v>0</v>
      </c>
      <c r="AY596" s="20">
        <v>0</v>
      </c>
      <c r="AZ596" s="20">
        <v>0</v>
      </c>
      <c r="BA596" s="20">
        <v>0</v>
      </c>
      <c r="BB596" s="27">
        <v>0</v>
      </c>
      <c r="BC596" s="20">
        <v>0</v>
      </c>
      <c r="BD596" s="20">
        <v>0</v>
      </c>
      <c r="BE596" s="21">
        <v>0</v>
      </c>
      <c r="BF596" s="21">
        <v>0</v>
      </c>
      <c r="BG596" s="20">
        <v>0</v>
      </c>
      <c r="BH596" s="20">
        <v>0</v>
      </c>
      <c r="BI596" s="22">
        <f t="shared" si="162"/>
        <v>10</v>
      </c>
      <c r="BJ596" s="22">
        <f t="shared" si="163"/>
        <v>5</v>
      </c>
      <c r="BK596" s="28">
        <f t="shared" si="164"/>
        <v>22</v>
      </c>
      <c r="BL596" s="22">
        <f t="shared" si="165"/>
        <v>11</v>
      </c>
      <c r="BM596" s="22">
        <f t="shared" si="161"/>
        <v>11</v>
      </c>
      <c r="BN596" s="23">
        <f t="shared" si="157"/>
        <v>9.0909090909090912E-2</v>
      </c>
      <c r="BO596" s="23">
        <f t="shared" si="157"/>
        <v>0.54545454545454541</v>
      </c>
      <c r="BP596" s="7">
        <f>VLOOKUP(A596,[1]Sheet15!B:E,4,0)</f>
        <v>8</v>
      </c>
      <c r="BQ596" s="7">
        <f>VLOOKUP(A596,[1]Sheet15!B:E,3,0)</f>
        <v>13</v>
      </c>
    </row>
    <row r="597" spans="1:69" ht="22.5" customHeight="1" x14ac:dyDescent="0.25">
      <c r="A597" s="15" t="s">
        <v>1435</v>
      </c>
      <c r="B597" s="15" t="e">
        <f>VLOOKUP(A597,'[1]Master clients'!F576:W4123,17,0)</f>
        <v>#N/A</v>
      </c>
      <c r="C597" s="15" t="e">
        <f>VLOOKUP(A597,'[1]Master clients'!F576:P4123,11,0)</f>
        <v>#N/A</v>
      </c>
      <c r="D597" s="15" t="str">
        <f>VLOOKUP(A597,'[1]Master clients'!F:M,8,0)</f>
        <v>End User</v>
      </c>
      <c r="E597" s="24" t="s">
        <v>1436</v>
      </c>
      <c r="F597" s="25" t="s">
        <v>1437</v>
      </c>
      <c r="G597" s="20">
        <v>0</v>
      </c>
      <c r="H597" s="20">
        <v>0</v>
      </c>
      <c r="I597" s="26">
        <v>4</v>
      </c>
      <c r="J597" s="26">
        <v>0</v>
      </c>
      <c r="K597" s="20">
        <v>0</v>
      </c>
      <c r="L597" s="20">
        <v>0</v>
      </c>
      <c r="M597" s="20">
        <v>0</v>
      </c>
      <c r="N597" s="20">
        <v>0</v>
      </c>
      <c r="O597" s="20">
        <v>0</v>
      </c>
      <c r="P597" s="20">
        <v>0</v>
      </c>
      <c r="Q597" s="20">
        <v>0</v>
      </c>
      <c r="R597" s="20">
        <v>0</v>
      </c>
      <c r="S597" s="20">
        <v>0</v>
      </c>
      <c r="T597" s="20">
        <v>0</v>
      </c>
      <c r="U597" s="20">
        <v>0</v>
      </c>
      <c r="V597" s="20">
        <v>0</v>
      </c>
      <c r="W597" s="20">
        <v>0</v>
      </c>
      <c r="X597" s="20">
        <v>0</v>
      </c>
      <c r="Y597" s="20">
        <v>0</v>
      </c>
      <c r="Z597" s="20">
        <v>0</v>
      </c>
      <c r="AA597" s="20">
        <v>0</v>
      </c>
      <c r="AB597" s="20">
        <v>0</v>
      </c>
      <c r="AC597" s="20">
        <v>0</v>
      </c>
      <c r="AD597" s="20">
        <v>0</v>
      </c>
      <c r="AE597" s="20">
        <v>0</v>
      </c>
      <c r="AF597" s="20">
        <v>0</v>
      </c>
      <c r="AG597" s="20">
        <v>0</v>
      </c>
      <c r="AH597" s="20">
        <v>0</v>
      </c>
      <c r="AI597" s="20">
        <v>0</v>
      </c>
      <c r="AJ597" s="20">
        <v>0</v>
      </c>
      <c r="AK597" s="20">
        <v>0</v>
      </c>
      <c r="AL597" s="20">
        <v>0</v>
      </c>
      <c r="AM597" s="20">
        <v>0</v>
      </c>
      <c r="AN597" s="20">
        <v>0</v>
      </c>
      <c r="AO597" s="20">
        <v>0</v>
      </c>
      <c r="AP597" s="20">
        <v>0</v>
      </c>
      <c r="AQ597" s="20">
        <v>0</v>
      </c>
      <c r="AR597" s="20">
        <v>0</v>
      </c>
      <c r="AS597" s="20">
        <v>0</v>
      </c>
      <c r="AT597" s="20">
        <v>0</v>
      </c>
      <c r="AU597" s="19">
        <v>0</v>
      </c>
      <c r="AV597" s="20">
        <v>0</v>
      </c>
      <c r="AW597" s="20">
        <v>0</v>
      </c>
      <c r="AX597" s="20">
        <v>0</v>
      </c>
      <c r="AY597" s="20">
        <v>0</v>
      </c>
      <c r="AZ597" s="20">
        <v>0</v>
      </c>
      <c r="BA597" s="19">
        <v>0</v>
      </c>
      <c r="BB597" s="27">
        <v>0</v>
      </c>
      <c r="BC597" s="19">
        <v>0</v>
      </c>
      <c r="BD597" s="19">
        <v>0</v>
      </c>
      <c r="BE597" s="21">
        <v>0</v>
      </c>
      <c r="BF597" s="21">
        <v>0</v>
      </c>
      <c r="BG597" s="19">
        <v>0</v>
      </c>
      <c r="BH597" s="19">
        <v>0</v>
      </c>
      <c r="BI597" s="22">
        <f t="shared" si="162"/>
        <v>0</v>
      </c>
      <c r="BJ597" s="22">
        <f t="shared" si="163"/>
        <v>0</v>
      </c>
      <c r="BK597" s="28">
        <f t="shared" si="164"/>
        <v>4</v>
      </c>
      <c r="BL597" s="22">
        <f t="shared" si="165"/>
        <v>4</v>
      </c>
      <c r="BM597" s="22">
        <f t="shared" si="161"/>
        <v>0</v>
      </c>
      <c r="BN597" s="23">
        <f t="shared" ref="BN597:BO612" si="166">I597/BL597</f>
        <v>1</v>
      </c>
      <c r="BO597" s="23" t="e">
        <f t="shared" si="166"/>
        <v>#DIV/0!</v>
      </c>
      <c r="BP597" s="7">
        <f>VLOOKUP(A597,[1]Sheet15!B:E,4,0)</f>
        <v>4</v>
      </c>
      <c r="BQ597" s="7">
        <f>VLOOKUP(A597,[1]Sheet15!B:E,3,0)</f>
        <v>0</v>
      </c>
    </row>
    <row r="598" spans="1:69" ht="22.5" customHeight="1" x14ac:dyDescent="0.25">
      <c r="A598" s="15" t="s">
        <v>1438</v>
      </c>
      <c r="B598" s="15" t="e">
        <f>VLOOKUP(A598,'[1]Master clients'!F577:W4124,17,0)</f>
        <v>#N/A</v>
      </c>
      <c r="C598" s="15" t="e">
        <f>VLOOKUP(A598,'[1]Master clients'!F577:P4124,11,0)</f>
        <v>#N/A</v>
      </c>
      <c r="D598" s="15" t="str">
        <f>VLOOKUP(A598,'[1]Master clients'!F:M,8,0)</f>
        <v>End User</v>
      </c>
      <c r="E598" s="16" t="s">
        <v>1439</v>
      </c>
      <c r="F598" s="16" t="s">
        <v>1437</v>
      </c>
      <c r="G598" s="17"/>
      <c r="H598" s="17"/>
      <c r="I598" s="18">
        <v>0</v>
      </c>
      <c r="J598" s="18">
        <v>0</v>
      </c>
      <c r="K598" s="17">
        <v>0</v>
      </c>
      <c r="L598" s="17">
        <v>0</v>
      </c>
      <c r="M598" s="17">
        <v>0</v>
      </c>
      <c r="N598" s="17">
        <v>0</v>
      </c>
      <c r="O598" s="17">
        <v>0</v>
      </c>
      <c r="P598" s="17">
        <v>0</v>
      </c>
      <c r="Q598" s="17">
        <v>0</v>
      </c>
      <c r="R598" s="17">
        <v>0</v>
      </c>
      <c r="S598" s="17">
        <v>0</v>
      </c>
      <c r="T598" s="17">
        <v>0</v>
      </c>
      <c r="U598" s="17">
        <v>0</v>
      </c>
      <c r="V598" s="17">
        <v>0</v>
      </c>
      <c r="W598" s="17">
        <v>0</v>
      </c>
      <c r="X598" s="17">
        <v>0</v>
      </c>
      <c r="Y598" s="17">
        <v>0</v>
      </c>
      <c r="Z598" s="17">
        <v>0</v>
      </c>
      <c r="AA598" s="17">
        <v>0</v>
      </c>
      <c r="AB598" s="17">
        <v>0</v>
      </c>
      <c r="AC598" s="17">
        <v>0</v>
      </c>
      <c r="AD598" s="17">
        <v>0</v>
      </c>
      <c r="AE598" s="17">
        <v>0</v>
      </c>
      <c r="AF598" s="17">
        <v>0</v>
      </c>
      <c r="AG598" s="17">
        <v>0</v>
      </c>
      <c r="AH598" s="17">
        <v>0</v>
      </c>
      <c r="AI598" s="17">
        <v>0</v>
      </c>
      <c r="AJ598" s="17">
        <v>0</v>
      </c>
      <c r="AK598" s="17">
        <v>0</v>
      </c>
      <c r="AL598" s="17">
        <v>0</v>
      </c>
      <c r="AM598" s="17">
        <v>0</v>
      </c>
      <c r="AN598" s="17">
        <v>0</v>
      </c>
      <c r="AO598" s="17">
        <v>0</v>
      </c>
      <c r="AP598" s="17">
        <v>0</v>
      </c>
      <c r="AQ598" s="17">
        <v>0</v>
      </c>
      <c r="AR598" s="17">
        <v>0</v>
      </c>
      <c r="AS598" s="17">
        <v>0</v>
      </c>
      <c r="AT598" s="17">
        <v>0</v>
      </c>
      <c r="AU598" s="17">
        <v>0</v>
      </c>
      <c r="AV598" s="17">
        <v>0</v>
      </c>
      <c r="AW598" s="17">
        <v>0</v>
      </c>
      <c r="AX598" s="17">
        <v>0</v>
      </c>
      <c r="AY598" s="17">
        <v>0</v>
      </c>
      <c r="AZ598" s="17">
        <v>0</v>
      </c>
      <c r="BA598" s="17">
        <v>0</v>
      </c>
      <c r="BB598" s="17">
        <v>0</v>
      </c>
      <c r="BC598" s="17">
        <v>0</v>
      </c>
      <c r="BD598" s="17">
        <v>0</v>
      </c>
      <c r="BE598" s="17">
        <v>0</v>
      </c>
      <c r="BF598" s="17">
        <v>0</v>
      </c>
      <c r="BG598" s="17">
        <v>0</v>
      </c>
      <c r="BH598" s="17">
        <v>0</v>
      </c>
      <c r="BI598" s="22">
        <f t="shared" si="162"/>
        <v>0</v>
      </c>
      <c r="BJ598" s="22">
        <f t="shared" si="163"/>
        <v>0</v>
      </c>
      <c r="BK598" s="22">
        <f t="shared" si="164"/>
        <v>0</v>
      </c>
      <c r="BL598" s="22">
        <f t="shared" si="165"/>
        <v>0</v>
      </c>
      <c r="BM598" s="22">
        <f t="shared" si="161"/>
        <v>0</v>
      </c>
      <c r="BN598" s="23" t="e">
        <f t="shared" si="166"/>
        <v>#DIV/0!</v>
      </c>
      <c r="BO598" s="23" t="e">
        <f t="shared" si="166"/>
        <v>#DIV/0!</v>
      </c>
      <c r="BP598" s="7" t="e">
        <f>VLOOKUP(A598,[1]Sheet15!B:E,4,0)</f>
        <v>#N/A</v>
      </c>
      <c r="BQ598" s="7" t="e">
        <f>VLOOKUP(A598,[1]Sheet15!B:E,3,0)</f>
        <v>#N/A</v>
      </c>
    </row>
    <row r="599" spans="1:69" ht="22.5" customHeight="1" x14ac:dyDescent="0.25">
      <c r="A599" s="15" t="s">
        <v>1440</v>
      </c>
      <c r="B599" s="15" t="e">
        <f>VLOOKUP(A599,'[1]Master clients'!F578:W4125,17,0)</f>
        <v>#N/A</v>
      </c>
      <c r="C599" s="15" t="e">
        <f>VLOOKUP(A599,'[1]Master clients'!F578:P4125,11,0)</f>
        <v>#N/A</v>
      </c>
      <c r="D599" s="15" t="str">
        <f>VLOOKUP(A599,'[1]Master clients'!F:M,8,0)</f>
        <v>End User</v>
      </c>
      <c r="E599" s="24" t="s">
        <v>1441</v>
      </c>
      <c r="F599" s="25" t="s">
        <v>1437</v>
      </c>
      <c r="G599" s="20">
        <v>0</v>
      </c>
      <c r="H599" s="20">
        <v>0</v>
      </c>
      <c r="I599" s="26">
        <v>2</v>
      </c>
      <c r="J599" s="26">
        <v>0</v>
      </c>
      <c r="K599" s="20">
        <v>0</v>
      </c>
      <c r="L599" s="20">
        <v>0</v>
      </c>
      <c r="M599" s="20">
        <v>0</v>
      </c>
      <c r="N599" s="20">
        <v>0</v>
      </c>
      <c r="O599" s="20">
        <v>0</v>
      </c>
      <c r="P599" s="20">
        <v>0</v>
      </c>
      <c r="Q599" s="20">
        <v>0</v>
      </c>
      <c r="R599" s="20">
        <v>0</v>
      </c>
      <c r="S599" s="20">
        <v>0</v>
      </c>
      <c r="T599" s="20">
        <v>0</v>
      </c>
      <c r="U599" s="20">
        <v>0</v>
      </c>
      <c r="V599" s="20">
        <v>0</v>
      </c>
      <c r="W599" s="20">
        <v>0</v>
      </c>
      <c r="X599" s="20">
        <v>0</v>
      </c>
      <c r="Y599" s="20">
        <v>0</v>
      </c>
      <c r="Z599" s="20">
        <v>0</v>
      </c>
      <c r="AA599" s="20">
        <v>0</v>
      </c>
      <c r="AB599" s="20">
        <v>0</v>
      </c>
      <c r="AC599" s="20">
        <v>0</v>
      </c>
      <c r="AD599" s="20">
        <v>0</v>
      </c>
      <c r="AE599" s="20">
        <v>0</v>
      </c>
      <c r="AF599" s="20">
        <v>0</v>
      </c>
      <c r="AG599" s="20">
        <v>0</v>
      </c>
      <c r="AH599" s="20">
        <v>0</v>
      </c>
      <c r="AI599" s="20">
        <v>0</v>
      </c>
      <c r="AJ599" s="20">
        <v>0</v>
      </c>
      <c r="AK599" s="20">
        <v>0</v>
      </c>
      <c r="AL599" s="20">
        <v>0</v>
      </c>
      <c r="AM599" s="20">
        <v>0</v>
      </c>
      <c r="AN599" s="20">
        <v>0</v>
      </c>
      <c r="AO599" s="20">
        <v>0</v>
      </c>
      <c r="AP599" s="20">
        <v>0</v>
      </c>
      <c r="AQ599" s="20">
        <v>0</v>
      </c>
      <c r="AR599" s="20">
        <v>0</v>
      </c>
      <c r="AS599" s="20">
        <v>0</v>
      </c>
      <c r="AT599" s="20">
        <v>0</v>
      </c>
      <c r="AU599" s="20">
        <v>0</v>
      </c>
      <c r="AV599" s="20">
        <v>0</v>
      </c>
      <c r="AW599" s="20">
        <v>0</v>
      </c>
      <c r="AX599" s="20">
        <v>0</v>
      </c>
      <c r="AY599" s="20">
        <v>0</v>
      </c>
      <c r="AZ599" s="20">
        <v>0</v>
      </c>
      <c r="BA599" s="20">
        <v>0</v>
      </c>
      <c r="BB599" s="27">
        <v>0</v>
      </c>
      <c r="BC599" s="20">
        <v>0</v>
      </c>
      <c r="BD599" s="20">
        <v>0</v>
      </c>
      <c r="BE599" s="21">
        <v>0</v>
      </c>
      <c r="BF599" s="21">
        <v>0</v>
      </c>
      <c r="BG599" s="20">
        <v>0</v>
      </c>
      <c r="BH599" s="20">
        <v>0</v>
      </c>
      <c r="BI599" s="22">
        <f t="shared" si="162"/>
        <v>0</v>
      </c>
      <c r="BJ599" s="22">
        <f t="shared" si="163"/>
        <v>0</v>
      </c>
      <c r="BK599" s="28">
        <f t="shared" si="164"/>
        <v>2</v>
      </c>
      <c r="BL599" s="22">
        <f t="shared" si="165"/>
        <v>2</v>
      </c>
      <c r="BM599" s="22">
        <f t="shared" si="161"/>
        <v>0</v>
      </c>
      <c r="BN599" s="23">
        <f t="shared" si="166"/>
        <v>1</v>
      </c>
      <c r="BO599" s="23" t="e">
        <f t="shared" si="166"/>
        <v>#DIV/0!</v>
      </c>
      <c r="BP599" s="7">
        <f>VLOOKUP(A599,[1]Sheet15!B:E,4,0)</f>
        <v>3</v>
      </c>
      <c r="BQ599" s="7">
        <f>VLOOKUP(A599,[1]Sheet15!B:E,3,0)</f>
        <v>0</v>
      </c>
    </row>
    <row r="600" spans="1:69" ht="22.5" customHeight="1" x14ac:dyDescent="0.25">
      <c r="A600" s="15" t="s">
        <v>1442</v>
      </c>
      <c r="B600" s="15">
        <f>VLOOKUP(A600,'[1]Master clients'!F579:W4126,17,0)</f>
        <v>0</v>
      </c>
      <c r="C600" s="15" t="str">
        <f>VLOOKUP(A600,'[1]Master clients'!F579:P4126,11,0)</f>
        <v>AV</v>
      </c>
      <c r="D600" s="15" t="str">
        <f>VLOOKUP(A600,'[1]Master clients'!F:M,8,0)</f>
        <v>End User</v>
      </c>
      <c r="E600" s="16" t="s">
        <v>1443</v>
      </c>
      <c r="F600" s="16" t="s">
        <v>1444</v>
      </c>
      <c r="G600" s="17">
        <v>19</v>
      </c>
      <c r="H600" s="17">
        <v>0</v>
      </c>
      <c r="I600" s="18">
        <v>15</v>
      </c>
      <c r="J600" s="18">
        <v>0</v>
      </c>
      <c r="K600" s="17">
        <v>0</v>
      </c>
      <c r="L600" s="17">
        <v>0</v>
      </c>
      <c r="M600" s="17">
        <v>0</v>
      </c>
      <c r="N600" s="17">
        <v>0</v>
      </c>
      <c r="O600" s="19">
        <v>0</v>
      </c>
      <c r="P600" s="19">
        <v>0</v>
      </c>
      <c r="Q600" s="19">
        <v>0</v>
      </c>
      <c r="R600" s="19">
        <v>0</v>
      </c>
      <c r="S600" s="19">
        <v>0</v>
      </c>
      <c r="T600" s="19">
        <v>0</v>
      </c>
      <c r="U600" s="19">
        <v>0</v>
      </c>
      <c r="V600" s="19">
        <v>0</v>
      </c>
      <c r="W600" s="20">
        <v>0</v>
      </c>
      <c r="X600" s="20">
        <v>0</v>
      </c>
      <c r="Y600" s="19">
        <v>0</v>
      </c>
      <c r="Z600" s="19">
        <v>0</v>
      </c>
      <c r="AA600" s="19">
        <v>0</v>
      </c>
      <c r="AB600" s="19">
        <v>0</v>
      </c>
      <c r="AC600" s="19">
        <v>0</v>
      </c>
      <c r="AD600" s="19">
        <v>0</v>
      </c>
      <c r="AE600" s="19">
        <v>0</v>
      </c>
      <c r="AF600" s="19">
        <v>0</v>
      </c>
      <c r="AG600" s="19">
        <v>0</v>
      </c>
      <c r="AH600" s="19">
        <v>0</v>
      </c>
      <c r="AI600" s="20">
        <v>0</v>
      </c>
      <c r="AJ600" s="20">
        <v>0</v>
      </c>
      <c r="AK600" s="19">
        <v>0</v>
      </c>
      <c r="AL600" s="20">
        <v>0</v>
      </c>
      <c r="AM600" s="19">
        <v>0</v>
      </c>
      <c r="AN600" s="19">
        <v>0</v>
      </c>
      <c r="AO600" s="19">
        <v>0</v>
      </c>
      <c r="AP600" s="19">
        <v>3</v>
      </c>
      <c r="AQ600" s="19">
        <v>0</v>
      </c>
      <c r="AR600" s="19">
        <v>0</v>
      </c>
      <c r="AS600" s="19">
        <v>0</v>
      </c>
      <c r="AT600" s="19">
        <v>0</v>
      </c>
      <c r="AU600" s="19">
        <v>0</v>
      </c>
      <c r="AV600" s="19">
        <v>0</v>
      </c>
      <c r="AW600" s="20">
        <v>0</v>
      </c>
      <c r="AX600" s="20">
        <v>0</v>
      </c>
      <c r="AY600" s="20">
        <v>0</v>
      </c>
      <c r="AZ600" s="19">
        <v>0</v>
      </c>
      <c r="BA600" s="19">
        <v>0</v>
      </c>
      <c r="BB600" s="19">
        <v>0</v>
      </c>
      <c r="BC600" s="19">
        <v>0</v>
      </c>
      <c r="BD600" s="19">
        <v>0</v>
      </c>
      <c r="BE600" s="21">
        <v>0</v>
      </c>
      <c r="BF600" s="21">
        <v>0</v>
      </c>
      <c r="BG600" s="19">
        <v>0</v>
      </c>
      <c r="BH600" s="19">
        <v>0</v>
      </c>
      <c r="BI600" s="22">
        <f t="shared" si="162"/>
        <v>0</v>
      </c>
      <c r="BJ600" s="22">
        <f t="shared" si="163"/>
        <v>3</v>
      </c>
      <c r="BK600" s="22">
        <f t="shared" si="164"/>
        <v>18</v>
      </c>
      <c r="BL600" s="22">
        <f t="shared" si="165"/>
        <v>15</v>
      </c>
      <c r="BM600" s="22">
        <f t="shared" si="161"/>
        <v>3</v>
      </c>
      <c r="BN600" s="23">
        <f t="shared" si="166"/>
        <v>1</v>
      </c>
      <c r="BO600" s="23">
        <f t="shared" si="166"/>
        <v>0</v>
      </c>
      <c r="BP600" s="7" t="e">
        <f>VLOOKUP(A600,[1]Sheet15!B:E,4,0)</f>
        <v>#N/A</v>
      </c>
      <c r="BQ600" s="7" t="e">
        <f>VLOOKUP(A600,[1]Sheet15!B:E,3,0)</f>
        <v>#N/A</v>
      </c>
    </row>
    <row r="601" spans="1:69" ht="22.5" customHeight="1" x14ac:dyDescent="0.25">
      <c r="A601" s="15" t="s">
        <v>1445</v>
      </c>
      <c r="B601" s="15">
        <f>VLOOKUP(A601,'[1]Master clients'!F580:W4127,17,0)</f>
        <v>0</v>
      </c>
      <c r="C601" s="15" t="str">
        <f>VLOOKUP(A601,'[1]Master clients'!F580:P4127,11,0)</f>
        <v>NI</v>
      </c>
      <c r="D601" s="15" t="str">
        <f>VLOOKUP(A601,'[1]Master clients'!F:M,8,0)</f>
        <v>End User</v>
      </c>
      <c r="E601" s="24" t="s">
        <v>1446</v>
      </c>
      <c r="F601" s="25" t="s">
        <v>1437</v>
      </c>
      <c r="G601" s="20">
        <v>0</v>
      </c>
      <c r="H601" s="20">
        <v>0</v>
      </c>
      <c r="I601" s="26">
        <v>7</v>
      </c>
      <c r="J601" s="26">
        <v>0</v>
      </c>
      <c r="K601" s="20">
        <v>0</v>
      </c>
      <c r="L601" s="20">
        <v>0</v>
      </c>
      <c r="M601" s="20">
        <v>0</v>
      </c>
      <c r="N601" s="20">
        <v>0</v>
      </c>
      <c r="O601" s="20">
        <v>0</v>
      </c>
      <c r="P601" s="20">
        <v>0</v>
      </c>
      <c r="Q601" s="20">
        <v>0</v>
      </c>
      <c r="R601" s="20">
        <v>0</v>
      </c>
      <c r="S601" s="20">
        <v>0</v>
      </c>
      <c r="T601" s="20">
        <v>0</v>
      </c>
      <c r="U601" s="20">
        <v>0</v>
      </c>
      <c r="V601" s="20">
        <v>0</v>
      </c>
      <c r="W601" s="20">
        <v>0</v>
      </c>
      <c r="X601" s="20">
        <v>0</v>
      </c>
      <c r="Y601" s="20">
        <v>0</v>
      </c>
      <c r="Z601" s="20">
        <v>0</v>
      </c>
      <c r="AA601" s="20">
        <v>0</v>
      </c>
      <c r="AB601" s="20">
        <v>0</v>
      </c>
      <c r="AC601" s="20">
        <v>0</v>
      </c>
      <c r="AD601" s="20">
        <v>0</v>
      </c>
      <c r="AE601" s="20">
        <v>0</v>
      </c>
      <c r="AF601" s="20">
        <v>0</v>
      </c>
      <c r="AG601" s="20">
        <v>0</v>
      </c>
      <c r="AH601" s="20">
        <v>0</v>
      </c>
      <c r="AI601" s="20">
        <v>0</v>
      </c>
      <c r="AJ601" s="20">
        <v>0</v>
      </c>
      <c r="AK601" s="20">
        <v>0</v>
      </c>
      <c r="AL601" s="20">
        <v>0</v>
      </c>
      <c r="AM601" s="20">
        <v>0</v>
      </c>
      <c r="AN601" s="20">
        <v>0</v>
      </c>
      <c r="AO601" s="20">
        <v>0</v>
      </c>
      <c r="AP601" s="20">
        <v>0</v>
      </c>
      <c r="AQ601" s="20">
        <v>0</v>
      </c>
      <c r="AR601" s="20">
        <v>0</v>
      </c>
      <c r="AS601" s="20">
        <v>0</v>
      </c>
      <c r="AT601" s="20">
        <v>0</v>
      </c>
      <c r="AU601" s="20">
        <v>0</v>
      </c>
      <c r="AV601" s="20">
        <v>0</v>
      </c>
      <c r="AW601" s="20">
        <v>0</v>
      </c>
      <c r="AX601" s="20">
        <v>0</v>
      </c>
      <c r="AY601" s="20">
        <v>0</v>
      </c>
      <c r="AZ601" s="20">
        <v>0</v>
      </c>
      <c r="BA601" s="20">
        <v>0</v>
      </c>
      <c r="BB601" s="27">
        <v>0</v>
      </c>
      <c r="BC601" s="20">
        <v>0</v>
      </c>
      <c r="BD601" s="20">
        <v>0</v>
      </c>
      <c r="BE601" s="21">
        <v>0</v>
      </c>
      <c r="BF601" s="21">
        <v>0</v>
      </c>
      <c r="BG601" s="20">
        <v>0</v>
      </c>
      <c r="BH601" s="20">
        <v>0</v>
      </c>
      <c r="BI601" s="22">
        <f t="shared" si="162"/>
        <v>0</v>
      </c>
      <c r="BJ601" s="22">
        <f t="shared" si="163"/>
        <v>0</v>
      </c>
      <c r="BK601" s="28">
        <f t="shared" si="164"/>
        <v>7</v>
      </c>
      <c r="BL601" s="22">
        <f t="shared" si="165"/>
        <v>7</v>
      </c>
      <c r="BM601" s="22">
        <f t="shared" si="161"/>
        <v>0</v>
      </c>
      <c r="BN601" s="23">
        <f t="shared" si="166"/>
        <v>1</v>
      </c>
      <c r="BO601" s="23" t="e">
        <f t="shared" si="166"/>
        <v>#DIV/0!</v>
      </c>
      <c r="BP601" s="7">
        <f>VLOOKUP(A601,[1]Sheet15!B:E,4,0)</f>
        <v>14</v>
      </c>
      <c r="BQ601" s="7">
        <f>VLOOKUP(A601,[1]Sheet15!B:E,3,0)</f>
        <v>0</v>
      </c>
    </row>
    <row r="602" spans="1:69" ht="22.5" customHeight="1" x14ac:dyDescent="0.25">
      <c r="A602" s="15" t="s">
        <v>1447</v>
      </c>
      <c r="B602" s="15">
        <f>VLOOKUP(A602,'[1]Master clients'!F581:W4128,17,0)</f>
        <v>0</v>
      </c>
      <c r="C602" s="15" t="str">
        <f>VLOOKUP(A602,'[1]Master clients'!F581:P4128,11,0)</f>
        <v>NI</v>
      </c>
      <c r="D602" s="15" t="str">
        <f>VLOOKUP(A602,'[1]Master clients'!F:M,8,0)</f>
        <v>End User</v>
      </c>
      <c r="E602" s="16" t="s">
        <v>1448</v>
      </c>
      <c r="F602" s="16" t="s">
        <v>1437</v>
      </c>
      <c r="G602" s="17"/>
      <c r="H602" s="17"/>
      <c r="I602" s="26">
        <v>4</v>
      </c>
      <c r="J602" s="31">
        <v>0</v>
      </c>
      <c r="K602" s="17">
        <v>0</v>
      </c>
      <c r="L602" s="17">
        <v>0</v>
      </c>
      <c r="M602" s="17">
        <v>0</v>
      </c>
      <c r="N602" s="17">
        <v>0</v>
      </c>
      <c r="O602" s="17">
        <v>0</v>
      </c>
      <c r="P602" s="17">
        <v>0</v>
      </c>
      <c r="Q602" s="17">
        <v>0</v>
      </c>
      <c r="R602" s="17">
        <v>0</v>
      </c>
      <c r="S602" s="17">
        <v>0</v>
      </c>
      <c r="T602" s="17">
        <v>0</v>
      </c>
      <c r="U602" s="17">
        <v>0</v>
      </c>
      <c r="V602" s="17">
        <v>0</v>
      </c>
      <c r="W602" s="17">
        <v>0</v>
      </c>
      <c r="X602" s="17">
        <v>0</v>
      </c>
      <c r="Y602" s="17">
        <v>0</v>
      </c>
      <c r="Z602" s="17">
        <v>0</v>
      </c>
      <c r="AA602" s="17">
        <v>0</v>
      </c>
      <c r="AB602" s="17">
        <v>0</v>
      </c>
      <c r="AC602" s="17">
        <v>0</v>
      </c>
      <c r="AD602" s="17">
        <v>0</v>
      </c>
      <c r="AE602" s="17">
        <v>0</v>
      </c>
      <c r="AF602" s="17">
        <v>0</v>
      </c>
      <c r="AG602" s="17">
        <v>0</v>
      </c>
      <c r="AH602" s="17">
        <v>0</v>
      </c>
      <c r="AI602" s="17">
        <v>0</v>
      </c>
      <c r="AJ602" s="17">
        <v>0</v>
      </c>
      <c r="AK602" s="17">
        <v>0</v>
      </c>
      <c r="AL602" s="17">
        <v>0</v>
      </c>
      <c r="AM602" s="17">
        <v>0</v>
      </c>
      <c r="AN602" s="17">
        <v>0</v>
      </c>
      <c r="AO602" s="17">
        <v>0</v>
      </c>
      <c r="AP602" s="17">
        <v>0</v>
      </c>
      <c r="AQ602" s="17">
        <v>0</v>
      </c>
      <c r="AR602" s="17">
        <v>0</v>
      </c>
      <c r="AS602" s="17">
        <v>0</v>
      </c>
      <c r="AT602" s="17">
        <v>0</v>
      </c>
      <c r="AU602" s="17">
        <v>0</v>
      </c>
      <c r="AV602" s="17">
        <v>0</v>
      </c>
      <c r="AW602" s="17">
        <v>0</v>
      </c>
      <c r="AX602" s="17">
        <v>0</v>
      </c>
      <c r="AY602" s="17">
        <v>0</v>
      </c>
      <c r="AZ602" s="17">
        <v>0</v>
      </c>
      <c r="BA602" s="17">
        <v>0</v>
      </c>
      <c r="BB602" s="17">
        <v>0</v>
      </c>
      <c r="BC602" s="17">
        <v>0</v>
      </c>
      <c r="BD602" s="17">
        <v>0</v>
      </c>
      <c r="BE602" s="17">
        <v>0</v>
      </c>
      <c r="BF602" s="17">
        <v>0</v>
      </c>
      <c r="BG602" s="17">
        <v>0</v>
      </c>
      <c r="BH602" s="17">
        <v>0</v>
      </c>
      <c r="BI602" s="22">
        <f t="shared" si="162"/>
        <v>0</v>
      </c>
      <c r="BJ602" s="22">
        <f t="shared" si="163"/>
        <v>0</v>
      </c>
      <c r="BK602" s="22">
        <f t="shared" si="164"/>
        <v>4</v>
      </c>
      <c r="BL602" s="22">
        <f t="shared" si="165"/>
        <v>4</v>
      </c>
      <c r="BM602" s="22">
        <f t="shared" si="161"/>
        <v>0</v>
      </c>
      <c r="BN602" s="23">
        <f t="shared" si="166"/>
        <v>1</v>
      </c>
      <c r="BO602" s="23" t="e">
        <f t="shared" si="166"/>
        <v>#DIV/0!</v>
      </c>
      <c r="BP602" s="7">
        <f>VLOOKUP(A602,[1]Sheet15!B:E,4,0)</f>
        <v>4</v>
      </c>
      <c r="BQ602" s="7">
        <f>VLOOKUP(A602,[1]Sheet15!B:E,3,0)</f>
        <v>0</v>
      </c>
    </row>
    <row r="603" spans="1:69" ht="22.5" customHeight="1" x14ac:dyDescent="0.25">
      <c r="A603" s="15" t="s">
        <v>1449</v>
      </c>
      <c r="B603" s="15">
        <f>VLOOKUP(A603,'[1]Master clients'!F582:W4129,17,0)</f>
        <v>0</v>
      </c>
      <c r="C603" s="15" t="str">
        <f>VLOOKUP(A603,'[1]Master clients'!F582:P4129,11,0)</f>
        <v>NI</v>
      </c>
      <c r="D603" s="15" t="str">
        <f>VLOOKUP(A603,'[1]Master clients'!F:M,8,0)</f>
        <v>End User</v>
      </c>
      <c r="E603" s="16" t="s">
        <v>1450</v>
      </c>
      <c r="F603" s="16" t="s">
        <v>1437</v>
      </c>
      <c r="G603" s="17"/>
      <c r="H603" s="17"/>
      <c r="I603" s="26">
        <v>4</v>
      </c>
      <c r="J603" s="31">
        <v>0</v>
      </c>
      <c r="K603" s="17">
        <v>0</v>
      </c>
      <c r="L603" s="17">
        <v>0</v>
      </c>
      <c r="M603" s="17">
        <v>0</v>
      </c>
      <c r="N603" s="17">
        <v>0</v>
      </c>
      <c r="O603" s="17">
        <v>0</v>
      </c>
      <c r="P603" s="17">
        <v>0</v>
      </c>
      <c r="Q603" s="17">
        <v>0</v>
      </c>
      <c r="R603" s="17">
        <v>0</v>
      </c>
      <c r="S603" s="17">
        <v>0</v>
      </c>
      <c r="T603" s="17">
        <v>0</v>
      </c>
      <c r="U603" s="17">
        <v>0</v>
      </c>
      <c r="V603" s="17">
        <v>0</v>
      </c>
      <c r="W603" s="17">
        <v>0</v>
      </c>
      <c r="X603" s="17">
        <v>0</v>
      </c>
      <c r="Y603" s="17">
        <v>0</v>
      </c>
      <c r="Z603" s="17">
        <v>0</v>
      </c>
      <c r="AA603" s="17">
        <v>0</v>
      </c>
      <c r="AB603" s="17">
        <v>0</v>
      </c>
      <c r="AC603" s="17">
        <v>0</v>
      </c>
      <c r="AD603" s="17">
        <v>0</v>
      </c>
      <c r="AE603" s="17">
        <v>0</v>
      </c>
      <c r="AF603" s="17">
        <v>0</v>
      </c>
      <c r="AG603" s="17">
        <v>0</v>
      </c>
      <c r="AH603" s="17">
        <v>0</v>
      </c>
      <c r="AI603" s="17">
        <v>0</v>
      </c>
      <c r="AJ603" s="17">
        <v>0</v>
      </c>
      <c r="AK603" s="17">
        <v>0</v>
      </c>
      <c r="AL603" s="17">
        <v>0</v>
      </c>
      <c r="AM603" s="17">
        <v>0</v>
      </c>
      <c r="AN603" s="17">
        <v>0</v>
      </c>
      <c r="AO603" s="17">
        <v>0</v>
      </c>
      <c r="AP603" s="17">
        <v>0</v>
      </c>
      <c r="AQ603" s="17">
        <v>0</v>
      </c>
      <c r="AR603" s="17">
        <v>0</v>
      </c>
      <c r="AS603" s="17">
        <v>0</v>
      </c>
      <c r="AT603" s="17">
        <v>0</v>
      </c>
      <c r="AU603" s="17">
        <v>0</v>
      </c>
      <c r="AV603" s="17">
        <v>0</v>
      </c>
      <c r="AW603" s="17">
        <v>0</v>
      </c>
      <c r="AX603" s="17">
        <v>0</v>
      </c>
      <c r="AY603" s="17">
        <v>0</v>
      </c>
      <c r="AZ603" s="17">
        <v>0</v>
      </c>
      <c r="BA603" s="17">
        <v>0</v>
      </c>
      <c r="BB603" s="17">
        <v>0</v>
      </c>
      <c r="BC603" s="17">
        <v>0</v>
      </c>
      <c r="BD603" s="17">
        <v>0</v>
      </c>
      <c r="BE603" s="17">
        <v>0</v>
      </c>
      <c r="BF603" s="17">
        <v>0</v>
      </c>
      <c r="BG603" s="17">
        <v>0</v>
      </c>
      <c r="BH603" s="17">
        <v>0</v>
      </c>
      <c r="BI603" s="22">
        <f t="shared" si="162"/>
        <v>0</v>
      </c>
      <c r="BJ603" s="22">
        <f t="shared" si="163"/>
        <v>0</v>
      </c>
      <c r="BK603" s="22">
        <f t="shared" si="164"/>
        <v>4</v>
      </c>
      <c r="BL603" s="22">
        <f t="shared" si="165"/>
        <v>4</v>
      </c>
      <c r="BM603" s="22">
        <f t="shared" si="161"/>
        <v>0</v>
      </c>
      <c r="BN603" s="23">
        <f t="shared" si="166"/>
        <v>1</v>
      </c>
      <c r="BO603" s="23" t="e">
        <f t="shared" si="166"/>
        <v>#DIV/0!</v>
      </c>
      <c r="BP603" s="7">
        <f>VLOOKUP(A603,[1]Sheet15!B:E,4,0)</f>
        <v>4</v>
      </c>
      <c r="BQ603" s="7">
        <f>VLOOKUP(A603,[1]Sheet15!B:E,3,0)</f>
        <v>0</v>
      </c>
    </row>
    <row r="604" spans="1:69" ht="22.5" customHeight="1" x14ac:dyDescent="0.25">
      <c r="A604" s="15" t="s">
        <v>1451</v>
      </c>
      <c r="B604" s="15">
        <f>VLOOKUP(A604,'[1]Master clients'!F583:W4130,17,0)</f>
        <v>0</v>
      </c>
      <c r="C604" s="15" t="str">
        <f>VLOOKUP(A604,'[1]Master clients'!F583:P4130,11,0)</f>
        <v>NI</v>
      </c>
      <c r="D604" s="15" t="str">
        <f>VLOOKUP(A604,'[1]Master clients'!F:M,8,0)</f>
        <v>End User</v>
      </c>
      <c r="E604" s="16" t="s">
        <v>1452</v>
      </c>
      <c r="F604" s="16" t="s">
        <v>1437</v>
      </c>
      <c r="G604" s="17"/>
      <c r="H604" s="17"/>
      <c r="I604" s="26">
        <v>1</v>
      </c>
      <c r="J604" s="31">
        <v>0</v>
      </c>
      <c r="K604" s="17">
        <v>0</v>
      </c>
      <c r="L604" s="17">
        <v>0</v>
      </c>
      <c r="M604" s="17">
        <v>0</v>
      </c>
      <c r="N604" s="17">
        <v>0</v>
      </c>
      <c r="O604" s="17">
        <v>0</v>
      </c>
      <c r="P604" s="17">
        <v>0</v>
      </c>
      <c r="Q604" s="17">
        <v>0</v>
      </c>
      <c r="R604" s="17">
        <v>0</v>
      </c>
      <c r="S604" s="17">
        <v>0</v>
      </c>
      <c r="T604" s="17">
        <v>0</v>
      </c>
      <c r="U604" s="17">
        <v>0</v>
      </c>
      <c r="V604" s="17">
        <v>0</v>
      </c>
      <c r="W604" s="17">
        <v>0</v>
      </c>
      <c r="X604" s="17">
        <v>0</v>
      </c>
      <c r="Y604" s="17">
        <v>0</v>
      </c>
      <c r="Z604" s="17">
        <v>0</v>
      </c>
      <c r="AA604" s="17">
        <v>0</v>
      </c>
      <c r="AB604" s="17">
        <v>0</v>
      </c>
      <c r="AC604" s="17">
        <v>0</v>
      </c>
      <c r="AD604" s="17">
        <v>0</v>
      </c>
      <c r="AE604" s="17">
        <v>0</v>
      </c>
      <c r="AF604" s="17">
        <v>0</v>
      </c>
      <c r="AG604" s="17">
        <v>0</v>
      </c>
      <c r="AH604" s="17">
        <v>0</v>
      </c>
      <c r="AI604" s="17">
        <v>0</v>
      </c>
      <c r="AJ604" s="17">
        <v>0</v>
      </c>
      <c r="AK604" s="17">
        <v>0</v>
      </c>
      <c r="AL604" s="17">
        <v>0</v>
      </c>
      <c r="AM604" s="17">
        <v>0</v>
      </c>
      <c r="AN604" s="17">
        <v>0</v>
      </c>
      <c r="AO604" s="17">
        <v>0</v>
      </c>
      <c r="AP604" s="17">
        <v>0</v>
      </c>
      <c r="AQ604" s="17">
        <v>0</v>
      </c>
      <c r="AR604" s="17">
        <v>0</v>
      </c>
      <c r="AS604" s="17">
        <v>0</v>
      </c>
      <c r="AT604" s="17">
        <v>0</v>
      </c>
      <c r="AU604" s="17">
        <v>0</v>
      </c>
      <c r="AV604" s="17">
        <v>0</v>
      </c>
      <c r="AW604" s="17">
        <v>0</v>
      </c>
      <c r="AX604" s="17">
        <v>0</v>
      </c>
      <c r="AY604" s="17">
        <v>0</v>
      </c>
      <c r="AZ604" s="17">
        <v>0</v>
      </c>
      <c r="BA604" s="17">
        <v>0</v>
      </c>
      <c r="BB604" s="17">
        <v>0</v>
      </c>
      <c r="BC604" s="17">
        <v>0</v>
      </c>
      <c r="BD604" s="17">
        <v>0</v>
      </c>
      <c r="BE604" s="17">
        <v>0</v>
      </c>
      <c r="BF604" s="17">
        <v>0</v>
      </c>
      <c r="BG604" s="17">
        <v>0</v>
      </c>
      <c r="BH604" s="17">
        <v>0</v>
      </c>
      <c r="BI604" s="22">
        <f t="shared" si="162"/>
        <v>0</v>
      </c>
      <c r="BJ604" s="22">
        <f t="shared" si="163"/>
        <v>0</v>
      </c>
      <c r="BK604" s="28">
        <f t="shared" si="164"/>
        <v>1</v>
      </c>
      <c r="BL604" s="22">
        <f t="shared" si="165"/>
        <v>1</v>
      </c>
      <c r="BM604" s="22">
        <f t="shared" si="161"/>
        <v>0</v>
      </c>
      <c r="BN604" s="23">
        <f t="shared" si="166"/>
        <v>1</v>
      </c>
      <c r="BO604" s="23" t="e">
        <f t="shared" si="166"/>
        <v>#DIV/0!</v>
      </c>
      <c r="BP604" s="7">
        <f>VLOOKUP(A604,[1]Sheet15!B:E,4,0)</f>
        <v>1</v>
      </c>
      <c r="BQ604" s="7">
        <f>VLOOKUP(A604,[1]Sheet15!B:E,3,0)</f>
        <v>0</v>
      </c>
    </row>
    <row r="605" spans="1:69" ht="22.5" customHeight="1" x14ac:dyDescent="0.25">
      <c r="A605" s="15" t="s">
        <v>1453</v>
      </c>
      <c r="B605" s="15">
        <f>VLOOKUP(A605,'[1]Master clients'!F584:W4131,17,0)</f>
        <v>0</v>
      </c>
      <c r="C605" s="15" t="str">
        <f>VLOOKUP(A605,'[1]Master clients'!F584:P4131,11,0)</f>
        <v>AV</v>
      </c>
      <c r="D605" s="15" t="str">
        <f>VLOOKUP(A605,'[1]Master clients'!F:M,8,0)</f>
        <v>End User</v>
      </c>
      <c r="E605" s="24" t="s">
        <v>1454</v>
      </c>
      <c r="F605" s="25" t="s">
        <v>1437</v>
      </c>
      <c r="G605" s="20">
        <v>11</v>
      </c>
      <c r="H605" s="20">
        <v>0</v>
      </c>
      <c r="I605" s="26">
        <v>11</v>
      </c>
      <c r="J605" s="26">
        <v>0</v>
      </c>
      <c r="K605" s="20">
        <v>0</v>
      </c>
      <c r="L605" s="20">
        <v>0</v>
      </c>
      <c r="M605" s="20">
        <v>0</v>
      </c>
      <c r="N605" s="20">
        <v>0</v>
      </c>
      <c r="O605" s="20">
        <v>0</v>
      </c>
      <c r="P605" s="20">
        <v>0</v>
      </c>
      <c r="Q605" s="20">
        <v>3</v>
      </c>
      <c r="R605" s="20">
        <v>0</v>
      </c>
      <c r="S605" s="20">
        <v>0</v>
      </c>
      <c r="T605" s="20">
        <v>0</v>
      </c>
      <c r="U605" s="20">
        <v>0</v>
      </c>
      <c r="V605" s="20">
        <v>0</v>
      </c>
      <c r="W605" s="20">
        <v>0</v>
      </c>
      <c r="X605" s="20">
        <v>0</v>
      </c>
      <c r="Y605" s="20">
        <v>0</v>
      </c>
      <c r="Z605" s="20">
        <v>0</v>
      </c>
      <c r="AA605" s="20">
        <v>0</v>
      </c>
      <c r="AB605" s="20">
        <v>0</v>
      </c>
      <c r="AC605" s="20">
        <v>0</v>
      </c>
      <c r="AD605" s="20">
        <v>0</v>
      </c>
      <c r="AE605" s="20">
        <v>0</v>
      </c>
      <c r="AF605" s="20">
        <v>0</v>
      </c>
      <c r="AG605" s="20">
        <v>0</v>
      </c>
      <c r="AH605" s="20">
        <v>0</v>
      </c>
      <c r="AI605" s="20">
        <v>0</v>
      </c>
      <c r="AJ605" s="20">
        <v>0</v>
      </c>
      <c r="AK605" s="20">
        <v>0</v>
      </c>
      <c r="AL605" s="20">
        <v>0</v>
      </c>
      <c r="AM605" s="20">
        <v>0</v>
      </c>
      <c r="AN605" s="20">
        <v>0</v>
      </c>
      <c r="AO605" s="20">
        <v>0</v>
      </c>
      <c r="AP605" s="20">
        <v>0</v>
      </c>
      <c r="AQ605" s="20">
        <v>0</v>
      </c>
      <c r="AR605" s="20">
        <v>0</v>
      </c>
      <c r="AS605" s="20">
        <v>0</v>
      </c>
      <c r="AT605" s="20">
        <v>0</v>
      </c>
      <c r="AU605" s="20">
        <v>0</v>
      </c>
      <c r="AV605" s="20">
        <v>0</v>
      </c>
      <c r="AW605" s="20">
        <v>0</v>
      </c>
      <c r="AX605" s="20">
        <v>0</v>
      </c>
      <c r="AY605" s="20">
        <v>0</v>
      </c>
      <c r="AZ605" s="20">
        <v>0</v>
      </c>
      <c r="BA605" s="20">
        <v>0</v>
      </c>
      <c r="BB605" s="27">
        <v>0</v>
      </c>
      <c r="BC605" s="20">
        <v>0</v>
      </c>
      <c r="BD605" s="20">
        <v>0</v>
      </c>
      <c r="BE605" s="21">
        <v>0</v>
      </c>
      <c r="BF605" s="21">
        <v>0</v>
      </c>
      <c r="BG605" s="20">
        <v>0</v>
      </c>
      <c r="BH605" s="20">
        <v>0</v>
      </c>
      <c r="BI605" s="22">
        <f t="shared" si="162"/>
        <v>0</v>
      </c>
      <c r="BJ605" s="22">
        <f t="shared" si="163"/>
        <v>3</v>
      </c>
      <c r="BK605" s="28">
        <f t="shared" si="164"/>
        <v>14</v>
      </c>
      <c r="BL605" s="22">
        <f t="shared" si="165"/>
        <v>11</v>
      </c>
      <c r="BM605" s="22">
        <f t="shared" si="161"/>
        <v>3</v>
      </c>
      <c r="BN605" s="23">
        <f t="shared" si="166"/>
        <v>1</v>
      </c>
      <c r="BO605" s="23">
        <f t="shared" si="166"/>
        <v>0</v>
      </c>
      <c r="BP605" s="7">
        <f>VLOOKUP(A605,[1]Sheet15!B:E,4,0)</f>
        <v>11</v>
      </c>
      <c r="BQ605" s="7">
        <f>VLOOKUP(A605,[1]Sheet15!B:E,3,0)</f>
        <v>0</v>
      </c>
    </row>
    <row r="606" spans="1:69" ht="22.5" customHeight="1" x14ac:dyDescent="0.25">
      <c r="A606" s="15" t="s">
        <v>1455</v>
      </c>
      <c r="B606" s="15">
        <f>VLOOKUP(A606,'[1]Master clients'!F585:W4132,17,0)</f>
        <v>0</v>
      </c>
      <c r="C606" s="15" t="str">
        <f>VLOOKUP(A606,'[1]Master clients'!F585:P4132,11,0)</f>
        <v>VA</v>
      </c>
      <c r="D606" s="15" t="str">
        <f>VLOOKUP(A606,'[1]Master clients'!F:M,8,0)</f>
        <v>End User</v>
      </c>
      <c r="E606" s="24" t="s">
        <v>1456</v>
      </c>
      <c r="F606" s="25" t="s">
        <v>1457</v>
      </c>
      <c r="G606" s="20">
        <v>0</v>
      </c>
      <c r="H606" s="20">
        <v>0</v>
      </c>
      <c r="I606" s="26">
        <v>1</v>
      </c>
      <c r="J606" s="26">
        <v>0</v>
      </c>
      <c r="K606" s="20">
        <v>16</v>
      </c>
      <c r="L606" s="20">
        <v>0</v>
      </c>
      <c r="M606" s="20">
        <v>0</v>
      </c>
      <c r="N606" s="20">
        <v>0</v>
      </c>
      <c r="O606" s="20">
        <v>0</v>
      </c>
      <c r="P606" s="20">
        <v>0</v>
      </c>
      <c r="Q606" s="20">
        <v>0</v>
      </c>
      <c r="R606" s="20">
        <v>0</v>
      </c>
      <c r="S606" s="20">
        <v>0</v>
      </c>
      <c r="T606" s="20">
        <v>0</v>
      </c>
      <c r="U606" s="20">
        <v>0</v>
      </c>
      <c r="V606" s="20">
        <v>0</v>
      </c>
      <c r="W606" s="20">
        <v>0</v>
      </c>
      <c r="X606" s="20">
        <v>0</v>
      </c>
      <c r="Y606" s="20">
        <v>0</v>
      </c>
      <c r="Z606" s="20">
        <v>0</v>
      </c>
      <c r="AA606" s="20">
        <v>0</v>
      </c>
      <c r="AB606" s="20">
        <v>0</v>
      </c>
      <c r="AC606" s="20">
        <v>0</v>
      </c>
      <c r="AD606" s="20">
        <v>0</v>
      </c>
      <c r="AE606" s="20">
        <v>0</v>
      </c>
      <c r="AF606" s="20">
        <v>0</v>
      </c>
      <c r="AG606" s="20">
        <v>0</v>
      </c>
      <c r="AH606" s="20">
        <v>0</v>
      </c>
      <c r="AI606" s="20">
        <v>0</v>
      </c>
      <c r="AJ606" s="20">
        <v>0</v>
      </c>
      <c r="AK606" s="20">
        <v>40</v>
      </c>
      <c r="AL606" s="20">
        <v>0</v>
      </c>
      <c r="AM606" s="20">
        <v>0</v>
      </c>
      <c r="AN606" s="20">
        <v>0</v>
      </c>
      <c r="AO606" s="20">
        <v>18</v>
      </c>
      <c r="AP606" s="20">
        <v>0</v>
      </c>
      <c r="AQ606" s="20">
        <v>0</v>
      </c>
      <c r="AR606" s="20">
        <v>0</v>
      </c>
      <c r="AS606" s="20">
        <v>0</v>
      </c>
      <c r="AT606" s="20">
        <v>0</v>
      </c>
      <c r="AU606" s="20">
        <v>0</v>
      </c>
      <c r="AV606" s="20">
        <v>0</v>
      </c>
      <c r="AW606" s="20">
        <v>0</v>
      </c>
      <c r="AX606" s="20">
        <v>0</v>
      </c>
      <c r="AY606" s="20">
        <v>0</v>
      </c>
      <c r="AZ606" s="20">
        <v>0</v>
      </c>
      <c r="BA606" s="20">
        <v>0</v>
      </c>
      <c r="BB606" s="27">
        <v>0</v>
      </c>
      <c r="BC606" s="20">
        <v>0</v>
      </c>
      <c r="BD606" s="20">
        <v>0</v>
      </c>
      <c r="BE606" s="21">
        <v>0</v>
      </c>
      <c r="BF606" s="21">
        <v>0</v>
      </c>
      <c r="BG606" s="20">
        <v>0</v>
      </c>
      <c r="BH606" s="20">
        <v>0</v>
      </c>
      <c r="BI606" s="22">
        <f t="shared" si="162"/>
        <v>74</v>
      </c>
      <c r="BJ606" s="22">
        <f t="shared" si="163"/>
        <v>0</v>
      </c>
      <c r="BK606" s="28">
        <f t="shared" si="164"/>
        <v>75</v>
      </c>
      <c r="BL606" s="22">
        <f t="shared" si="165"/>
        <v>75</v>
      </c>
      <c r="BM606" s="22">
        <f t="shared" si="161"/>
        <v>0</v>
      </c>
      <c r="BN606" s="23">
        <f t="shared" si="166"/>
        <v>1.3333333333333334E-2</v>
      </c>
      <c r="BO606" s="23" t="e">
        <f t="shared" si="166"/>
        <v>#DIV/0!</v>
      </c>
      <c r="BP606" s="7">
        <f>VLOOKUP(A606,[1]Sheet15!B:E,4,0)</f>
        <v>1</v>
      </c>
      <c r="BQ606" s="7">
        <f>VLOOKUP(A606,[1]Sheet15!B:E,3,0)</f>
        <v>0</v>
      </c>
    </row>
    <row r="607" spans="1:69" ht="22.5" customHeight="1" x14ac:dyDescent="0.25">
      <c r="A607" s="15" t="s">
        <v>1458</v>
      </c>
      <c r="B607" s="15">
        <f>VLOOKUP(A607,'[1]Master clients'!F586:W4133,17,0)</f>
        <v>0</v>
      </c>
      <c r="C607" s="15" t="str">
        <f>VLOOKUP(A607,'[1]Master clients'!F586:P4133,11,0)</f>
        <v>SI-GS</v>
      </c>
      <c r="D607" s="15" t="str">
        <f>VLOOKUP(A607,'[1]Master clients'!F:M,8,0)</f>
        <v>End User</v>
      </c>
      <c r="E607" s="16" t="s">
        <v>1459</v>
      </c>
      <c r="F607" s="16" t="s">
        <v>1460</v>
      </c>
      <c r="G607" s="17"/>
      <c r="H607" s="17">
        <v>1</v>
      </c>
      <c r="I607" s="26">
        <v>4</v>
      </c>
      <c r="J607" s="31">
        <v>1</v>
      </c>
      <c r="K607" s="17">
        <v>0</v>
      </c>
      <c r="L607" s="17">
        <v>0</v>
      </c>
      <c r="M607" s="17">
        <v>0</v>
      </c>
      <c r="N607" s="17">
        <v>0</v>
      </c>
      <c r="O607" s="17">
        <v>0</v>
      </c>
      <c r="P607" s="17">
        <v>0</v>
      </c>
      <c r="Q607" s="17">
        <v>0</v>
      </c>
      <c r="R607" s="17">
        <v>0</v>
      </c>
      <c r="S607" s="17">
        <v>0</v>
      </c>
      <c r="T607" s="17">
        <v>0</v>
      </c>
      <c r="U607" s="17">
        <v>0</v>
      </c>
      <c r="V607" s="17">
        <v>0</v>
      </c>
      <c r="W607" s="17">
        <v>0</v>
      </c>
      <c r="X607" s="17">
        <v>0</v>
      </c>
      <c r="Y607" s="17">
        <v>0</v>
      </c>
      <c r="Z607" s="17">
        <v>0</v>
      </c>
      <c r="AA607" s="17">
        <v>0</v>
      </c>
      <c r="AB607" s="17">
        <v>0</v>
      </c>
      <c r="AC607" s="17">
        <v>0</v>
      </c>
      <c r="AD607" s="17">
        <v>0</v>
      </c>
      <c r="AE607" s="17">
        <v>0</v>
      </c>
      <c r="AF607" s="17">
        <v>0</v>
      </c>
      <c r="AG607" s="17">
        <v>0</v>
      </c>
      <c r="AH607" s="17">
        <v>0</v>
      </c>
      <c r="AI607" s="17">
        <v>0</v>
      </c>
      <c r="AJ607" s="17">
        <v>0</v>
      </c>
      <c r="AK607" s="17">
        <v>0</v>
      </c>
      <c r="AL607" s="17">
        <v>0</v>
      </c>
      <c r="AM607" s="17">
        <v>0</v>
      </c>
      <c r="AN607" s="17">
        <v>0</v>
      </c>
      <c r="AO607" s="17">
        <v>0</v>
      </c>
      <c r="AP607" s="17">
        <v>0</v>
      </c>
      <c r="AQ607" s="17">
        <v>0</v>
      </c>
      <c r="AR607" s="17">
        <v>0</v>
      </c>
      <c r="AS607" s="17">
        <v>0</v>
      </c>
      <c r="AT607" s="17">
        <v>0</v>
      </c>
      <c r="AU607" s="17">
        <v>0</v>
      </c>
      <c r="AV607" s="17">
        <v>0</v>
      </c>
      <c r="AW607" s="17">
        <v>0</v>
      </c>
      <c r="AX607" s="17">
        <v>0</v>
      </c>
      <c r="AY607" s="17">
        <v>0</v>
      </c>
      <c r="AZ607" s="17">
        <v>0</v>
      </c>
      <c r="BA607" s="17">
        <v>0</v>
      </c>
      <c r="BB607" s="17">
        <v>0</v>
      </c>
      <c r="BC607" s="17">
        <v>0</v>
      </c>
      <c r="BD607" s="17">
        <v>0</v>
      </c>
      <c r="BE607" s="17">
        <v>0</v>
      </c>
      <c r="BF607" s="17">
        <v>0</v>
      </c>
      <c r="BG607" s="17">
        <v>0</v>
      </c>
      <c r="BH607" s="17">
        <v>0</v>
      </c>
      <c r="BI607" s="22">
        <f t="shared" si="162"/>
        <v>0</v>
      </c>
      <c r="BJ607" s="22">
        <f t="shared" si="163"/>
        <v>0</v>
      </c>
      <c r="BK607" s="28">
        <f t="shared" si="164"/>
        <v>5</v>
      </c>
      <c r="BL607" s="22">
        <f t="shared" si="165"/>
        <v>4</v>
      </c>
      <c r="BM607" s="22">
        <f t="shared" si="161"/>
        <v>1</v>
      </c>
      <c r="BN607" s="23">
        <f t="shared" si="166"/>
        <v>1</v>
      </c>
      <c r="BO607" s="23">
        <f t="shared" si="166"/>
        <v>1</v>
      </c>
      <c r="BP607" s="7">
        <f>VLOOKUP(A607,[1]Sheet15!B:E,4,0)</f>
        <v>4</v>
      </c>
      <c r="BQ607" s="7">
        <f>VLOOKUP(A607,[1]Sheet15!B:E,3,0)</f>
        <v>1</v>
      </c>
    </row>
    <row r="608" spans="1:69" ht="22.5" customHeight="1" x14ac:dyDescent="0.25">
      <c r="A608" s="15" t="s">
        <v>1461</v>
      </c>
      <c r="B608" s="15" t="e">
        <f>VLOOKUP(A608,'[1]Master clients'!F587:W4134,17,0)</f>
        <v>#N/A</v>
      </c>
      <c r="C608" s="15" t="e">
        <f>VLOOKUP(A608,'[1]Master clients'!F587:P4134,11,0)</f>
        <v>#N/A</v>
      </c>
      <c r="D608" s="15" t="str">
        <f>VLOOKUP(A608,'[1]Master clients'!F:M,8,0)</f>
        <v>End User</v>
      </c>
      <c r="E608" s="16" t="s">
        <v>1462</v>
      </c>
      <c r="F608" s="29" t="s">
        <v>570</v>
      </c>
      <c r="G608" s="20"/>
      <c r="H608" s="20"/>
      <c r="I608" s="26">
        <v>4</v>
      </c>
      <c r="J608" s="18">
        <v>0</v>
      </c>
      <c r="K608" s="20">
        <v>6</v>
      </c>
      <c r="L608" s="20">
        <v>0</v>
      </c>
      <c r="M608" s="20">
        <v>0</v>
      </c>
      <c r="N608" s="20">
        <v>0</v>
      </c>
      <c r="O608" s="20">
        <v>0</v>
      </c>
      <c r="P608" s="20">
        <v>0</v>
      </c>
      <c r="Q608" s="20">
        <v>12</v>
      </c>
      <c r="R608" s="20">
        <v>0</v>
      </c>
      <c r="S608" s="20">
        <v>0</v>
      </c>
      <c r="T608" s="20">
        <v>0</v>
      </c>
      <c r="U608" s="20">
        <v>0</v>
      </c>
      <c r="V608" s="20">
        <v>0</v>
      </c>
      <c r="W608" s="20">
        <v>0</v>
      </c>
      <c r="X608" s="20">
        <v>0</v>
      </c>
      <c r="Y608" s="20">
        <v>0</v>
      </c>
      <c r="Z608" s="20">
        <v>0</v>
      </c>
      <c r="AA608" s="20">
        <v>0</v>
      </c>
      <c r="AB608" s="20">
        <v>0</v>
      </c>
      <c r="AC608" s="20">
        <v>0</v>
      </c>
      <c r="AD608" s="20">
        <v>0</v>
      </c>
      <c r="AE608" s="20">
        <v>0</v>
      </c>
      <c r="AF608" s="20">
        <v>0</v>
      </c>
      <c r="AG608" s="20">
        <v>0</v>
      </c>
      <c r="AH608" s="20">
        <v>0</v>
      </c>
      <c r="AI608" s="20">
        <v>0</v>
      </c>
      <c r="AJ608" s="20">
        <v>0</v>
      </c>
      <c r="AK608" s="20">
        <v>0</v>
      </c>
      <c r="AL608" s="20">
        <v>0</v>
      </c>
      <c r="AM608" s="20">
        <v>0</v>
      </c>
      <c r="AN608" s="20">
        <v>0</v>
      </c>
      <c r="AO608" s="20">
        <v>0</v>
      </c>
      <c r="AP608" s="20">
        <v>0</v>
      </c>
      <c r="AQ608" s="20">
        <v>0</v>
      </c>
      <c r="AR608" s="20">
        <v>0</v>
      </c>
      <c r="AS608" s="20">
        <v>0</v>
      </c>
      <c r="AT608" s="20">
        <v>0</v>
      </c>
      <c r="AU608" s="20">
        <v>0</v>
      </c>
      <c r="AV608" s="20">
        <v>0</v>
      </c>
      <c r="AW608" s="20">
        <v>0</v>
      </c>
      <c r="AX608" s="20">
        <v>0</v>
      </c>
      <c r="AY608" s="20">
        <v>0</v>
      </c>
      <c r="AZ608" s="20">
        <v>0</v>
      </c>
      <c r="BA608" s="20">
        <v>0</v>
      </c>
      <c r="BB608" s="20">
        <v>0</v>
      </c>
      <c r="BC608" s="20">
        <v>0</v>
      </c>
      <c r="BD608" s="20">
        <v>0</v>
      </c>
      <c r="BE608" s="20">
        <v>0</v>
      </c>
      <c r="BF608" s="20">
        <v>0</v>
      </c>
      <c r="BG608" s="20">
        <v>0</v>
      </c>
      <c r="BH608" s="20">
        <v>0</v>
      </c>
      <c r="BI608" s="22">
        <f t="shared" si="162"/>
        <v>6</v>
      </c>
      <c r="BJ608" s="22">
        <f t="shared" si="163"/>
        <v>12</v>
      </c>
      <c r="BK608" s="28">
        <f t="shared" si="164"/>
        <v>22</v>
      </c>
      <c r="BL608" s="22">
        <f t="shared" si="165"/>
        <v>10</v>
      </c>
      <c r="BM608" s="22">
        <f t="shared" si="161"/>
        <v>12</v>
      </c>
      <c r="BN608" s="23">
        <f t="shared" si="166"/>
        <v>0.4</v>
      </c>
      <c r="BO608" s="23">
        <f t="shared" si="166"/>
        <v>0</v>
      </c>
      <c r="BP608" s="7">
        <f>VLOOKUP(A608,[1]Sheet15!B:E,4,0)</f>
        <v>18</v>
      </c>
      <c r="BQ608" s="7">
        <f>VLOOKUP(A608,[1]Sheet15!B:E,3,0)</f>
        <v>0</v>
      </c>
    </row>
    <row r="609" spans="1:69" ht="22.5" customHeight="1" x14ac:dyDescent="0.25">
      <c r="A609" s="15" t="s">
        <v>1463</v>
      </c>
      <c r="B609" s="15">
        <f>VLOOKUP(A609,'[1]Master clients'!F588:W4135,17,0)</f>
        <v>0</v>
      </c>
      <c r="C609" s="15" t="str">
        <f>VLOOKUP(A609,'[1]Master clients'!F588:P4135,11,0)</f>
        <v>NI</v>
      </c>
      <c r="D609" s="15" t="str">
        <f>VLOOKUP(A609,'[1]Master clients'!F:M,8,0)</f>
        <v>End User</v>
      </c>
      <c r="E609" s="16" t="s">
        <v>1464</v>
      </c>
      <c r="F609" s="29" t="s">
        <v>570</v>
      </c>
      <c r="G609" s="20"/>
      <c r="H609" s="20"/>
      <c r="I609" s="26">
        <v>2</v>
      </c>
      <c r="J609" s="18">
        <v>0</v>
      </c>
      <c r="K609" s="20">
        <v>0</v>
      </c>
      <c r="L609" s="20">
        <v>0</v>
      </c>
      <c r="M609" s="20">
        <v>0</v>
      </c>
      <c r="N609" s="20">
        <v>0</v>
      </c>
      <c r="O609" s="20">
        <v>0</v>
      </c>
      <c r="P609" s="20">
        <v>0</v>
      </c>
      <c r="Q609" s="20">
        <v>8</v>
      </c>
      <c r="R609" s="20">
        <v>0</v>
      </c>
      <c r="S609" s="20">
        <v>0</v>
      </c>
      <c r="T609" s="20">
        <v>0</v>
      </c>
      <c r="U609" s="20">
        <v>0</v>
      </c>
      <c r="V609" s="20">
        <v>0</v>
      </c>
      <c r="W609" s="20">
        <v>0</v>
      </c>
      <c r="X609" s="20">
        <v>0</v>
      </c>
      <c r="Y609" s="20">
        <v>0</v>
      </c>
      <c r="Z609" s="20">
        <v>0</v>
      </c>
      <c r="AA609" s="20">
        <v>0</v>
      </c>
      <c r="AB609" s="20">
        <v>0</v>
      </c>
      <c r="AC609" s="20">
        <v>0</v>
      </c>
      <c r="AD609" s="20">
        <v>0</v>
      </c>
      <c r="AE609" s="20">
        <v>0</v>
      </c>
      <c r="AF609" s="20">
        <v>0</v>
      </c>
      <c r="AG609" s="20">
        <v>0</v>
      </c>
      <c r="AH609" s="20">
        <v>0</v>
      </c>
      <c r="AI609" s="20">
        <v>0</v>
      </c>
      <c r="AJ609" s="20">
        <v>0</v>
      </c>
      <c r="AK609" s="20">
        <v>0</v>
      </c>
      <c r="AL609" s="20">
        <v>0</v>
      </c>
      <c r="AM609" s="20">
        <v>0</v>
      </c>
      <c r="AN609" s="20">
        <v>0</v>
      </c>
      <c r="AO609" s="20">
        <v>0</v>
      </c>
      <c r="AP609" s="20">
        <v>0</v>
      </c>
      <c r="AQ609" s="20">
        <v>0</v>
      </c>
      <c r="AR609" s="20">
        <v>0</v>
      </c>
      <c r="AS609" s="20">
        <v>0</v>
      </c>
      <c r="AT609" s="20">
        <v>0</v>
      </c>
      <c r="AU609" s="20">
        <v>0</v>
      </c>
      <c r="AV609" s="20">
        <v>0</v>
      </c>
      <c r="AW609" s="20">
        <v>0</v>
      </c>
      <c r="AX609" s="20">
        <v>0</v>
      </c>
      <c r="AY609" s="20">
        <v>0</v>
      </c>
      <c r="AZ609" s="20">
        <v>0</v>
      </c>
      <c r="BA609" s="20">
        <v>0</v>
      </c>
      <c r="BB609" s="20">
        <v>0</v>
      </c>
      <c r="BC609" s="20">
        <v>0</v>
      </c>
      <c r="BD609" s="20">
        <v>0</v>
      </c>
      <c r="BE609" s="20">
        <v>0</v>
      </c>
      <c r="BF609" s="20">
        <v>0</v>
      </c>
      <c r="BG609" s="20">
        <v>0</v>
      </c>
      <c r="BH609" s="20">
        <v>0</v>
      </c>
      <c r="BI609" s="22">
        <f t="shared" si="162"/>
        <v>0</v>
      </c>
      <c r="BJ609" s="22">
        <f t="shared" si="163"/>
        <v>8</v>
      </c>
      <c r="BK609" s="28">
        <f t="shared" si="164"/>
        <v>10</v>
      </c>
      <c r="BL609" s="22">
        <f t="shared" si="165"/>
        <v>2</v>
      </c>
      <c r="BM609" s="22">
        <f t="shared" ref="BM609:BM636" si="167">SUM(J609+N609+O609+Q609+S609+U609+X609+AA609+AD609+AF609+AM609+AP609+AQ609+AT609+AX609+AY609+BD609+BH609)</f>
        <v>8</v>
      </c>
      <c r="BN609" s="23">
        <f t="shared" si="166"/>
        <v>1</v>
      </c>
      <c r="BO609" s="23">
        <f t="shared" si="166"/>
        <v>0</v>
      </c>
      <c r="BP609" s="7">
        <f>VLOOKUP(A609,[1]Sheet15!B:E,4,0)</f>
        <v>2</v>
      </c>
      <c r="BQ609" s="7">
        <f>VLOOKUP(A609,[1]Sheet15!B:E,3,0)</f>
        <v>0</v>
      </c>
    </row>
    <row r="610" spans="1:69" ht="22.5" customHeight="1" x14ac:dyDescent="0.25">
      <c r="A610" s="15" t="s">
        <v>1465</v>
      </c>
      <c r="B610" s="15">
        <f>VLOOKUP(A610,'[1]Master clients'!F589:W4136,17,0)</f>
        <v>0</v>
      </c>
      <c r="C610" s="15" t="str">
        <f>VLOOKUP(A610,'[1]Master clients'!F589:P4136,11,0)</f>
        <v>VA</v>
      </c>
      <c r="D610" s="15">
        <f>VLOOKUP(A610,'[1]Master clients'!F:M,8,0)</f>
        <v>0</v>
      </c>
      <c r="E610" s="16" t="s">
        <v>1466</v>
      </c>
      <c r="F610" s="29" t="s">
        <v>570</v>
      </c>
      <c r="G610" s="20"/>
      <c r="H610" s="20"/>
      <c r="I610" s="26">
        <v>6</v>
      </c>
      <c r="J610" s="18">
        <v>0</v>
      </c>
      <c r="K610" s="20">
        <v>0</v>
      </c>
      <c r="L610" s="20">
        <v>0</v>
      </c>
      <c r="M610" s="20">
        <v>0</v>
      </c>
      <c r="N610" s="20">
        <v>0</v>
      </c>
      <c r="O610" s="20">
        <v>0</v>
      </c>
      <c r="P610" s="20">
        <v>0</v>
      </c>
      <c r="Q610" s="20">
        <v>8</v>
      </c>
      <c r="R610" s="20">
        <v>0</v>
      </c>
      <c r="S610" s="20">
        <v>0</v>
      </c>
      <c r="T610" s="20">
        <v>0</v>
      </c>
      <c r="U610" s="20">
        <v>0</v>
      </c>
      <c r="V610" s="20">
        <v>0</v>
      </c>
      <c r="W610" s="20">
        <v>0</v>
      </c>
      <c r="X610" s="20">
        <v>0</v>
      </c>
      <c r="Y610" s="20">
        <v>0</v>
      </c>
      <c r="Z610" s="20">
        <v>0</v>
      </c>
      <c r="AA610" s="20">
        <v>0</v>
      </c>
      <c r="AB610" s="20">
        <v>0</v>
      </c>
      <c r="AC610" s="20">
        <v>0</v>
      </c>
      <c r="AD610" s="20">
        <v>0</v>
      </c>
      <c r="AE610" s="20">
        <v>0</v>
      </c>
      <c r="AF610" s="20">
        <v>0</v>
      </c>
      <c r="AG610" s="20">
        <v>0</v>
      </c>
      <c r="AH610" s="20">
        <v>0</v>
      </c>
      <c r="AI610" s="20">
        <v>0</v>
      </c>
      <c r="AJ610" s="20">
        <v>0</v>
      </c>
      <c r="AK610" s="20">
        <v>0</v>
      </c>
      <c r="AL610" s="20">
        <v>0</v>
      </c>
      <c r="AM610" s="20">
        <v>0</v>
      </c>
      <c r="AN610" s="20">
        <v>0</v>
      </c>
      <c r="AO610" s="20">
        <v>0</v>
      </c>
      <c r="AP610" s="20">
        <v>0</v>
      </c>
      <c r="AQ610" s="20">
        <v>0</v>
      </c>
      <c r="AR610" s="20">
        <v>0</v>
      </c>
      <c r="AS610" s="20">
        <v>0</v>
      </c>
      <c r="AT610" s="20">
        <v>0</v>
      </c>
      <c r="AU610" s="20">
        <v>0</v>
      </c>
      <c r="AV610" s="20">
        <v>0</v>
      </c>
      <c r="AW610" s="20">
        <v>0</v>
      </c>
      <c r="AX610" s="20">
        <v>0</v>
      </c>
      <c r="AY610" s="20">
        <v>0</v>
      </c>
      <c r="AZ610" s="20">
        <v>0</v>
      </c>
      <c r="BA610" s="20">
        <v>8</v>
      </c>
      <c r="BB610" s="20">
        <v>0</v>
      </c>
      <c r="BC610" s="20">
        <v>0</v>
      </c>
      <c r="BD610" s="20">
        <v>0</v>
      </c>
      <c r="BE610" s="20">
        <v>0</v>
      </c>
      <c r="BF610" s="20">
        <v>0</v>
      </c>
      <c r="BG610" s="20">
        <v>0</v>
      </c>
      <c r="BH610" s="20">
        <v>0</v>
      </c>
      <c r="BI610" s="22">
        <f t="shared" si="162"/>
        <v>8</v>
      </c>
      <c r="BJ610" s="22">
        <f t="shared" si="163"/>
        <v>8</v>
      </c>
      <c r="BK610" s="28">
        <f t="shared" si="164"/>
        <v>22</v>
      </c>
      <c r="BL610" s="22">
        <f t="shared" si="165"/>
        <v>14</v>
      </c>
      <c r="BM610" s="22">
        <f t="shared" si="167"/>
        <v>8</v>
      </c>
      <c r="BN610" s="23">
        <f t="shared" si="166"/>
        <v>0.42857142857142855</v>
      </c>
      <c r="BO610" s="23">
        <f t="shared" si="166"/>
        <v>0</v>
      </c>
      <c r="BP610" s="7" t="e">
        <f>VLOOKUP(A610,[1]Sheet15!B:E,4,0)</f>
        <v>#N/A</v>
      </c>
      <c r="BQ610" s="7" t="e">
        <f>VLOOKUP(A610,[1]Sheet15!B:E,3,0)</f>
        <v>#N/A</v>
      </c>
    </row>
    <row r="611" spans="1:69" ht="22.5" customHeight="1" x14ac:dyDescent="0.25">
      <c r="A611" s="15" t="s">
        <v>1467</v>
      </c>
      <c r="B611" s="15" t="e">
        <f>VLOOKUP(A611,'[1]Master clients'!F590:W4137,17,0)</f>
        <v>#N/A</v>
      </c>
      <c r="C611" s="15" t="e">
        <f>VLOOKUP(A611,'[1]Master clients'!F590:P4137,11,0)</f>
        <v>#N/A</v>
      </c>
      <c r="D611" s="15" t="str">
        <f>VLOOKUP(A611,'[1]Master clients'!F:M,8,0)</f>
        <v>End User</v>
      </c>
      <c r="E611" s="16" t="s">
        <v>1468</v>
      </c>
      <c r="F611" s="16" t="s">
        <v>87</v>
      </c>
      <c r="G611" s="17">
        <v>0</v>
      </c>
      <c r="H611" s="17">
        <v>0</v>
      </c>
      <c r="I611" s="18">
        <v>0</v>
      </c>
      <c r="J611" s="18">
        <v>0</v>
      </c>
      <c r="K611" s="17">
        <v>0</v>
      </c>
      <c r="L611" s="17">
        <v>0</v>
      </c>
      <c r="M611" s="17">
        <v>4</v>
      </c>
      <c r="N611" s="17">
        <v>0</v>
      </c>
      <c r="O611" s="19">
        <v>0</v>
      </c>
      <c r="P611" s="19">
        <v>0</v>
      </c>
      <c r="Q611" s="19">
        <v>0</v>
      </c>
      <c r="R611" s="19">
        <v>0</v>
      </c>
      <c r="S611" s="19">
        <v>0</v>
      </c>
      <c r="T611" s="19">
        <v>0</v>
      </c>
      <c r="U611" s="19">
        <v>0</v>
      </c>
      <c r="V611" s="19">
        <v>0</v>
      </c>
      <c r="W611" s="20">
        <v>0</v>
      </c>
      <c r="X611" s="20">
        <v>0</v>
      </c>
      <c r="Y611" s="19">
        <v>0</v>
      </c>
      <c r="Z611" s="19">
        <v>0</v>
      </c>
      <c r="AA611" s="19">
        <v>0</v>
      </c>
      <c r="AB611" s="19">
        <v>0</v>
      </c>
      <c r="AC611" s="19">
        <v>0</v>
      </c>
      <c r="AD611" s="19">
        <v>0</v>
      </c>
      <c r="AE611" s="19">
        <v>0</v>
      </c>
      <c r="AF611" s="19">
        <v>0</v>
      </c>
      <c r="AG611" s="19">
        <v>0</v>
      </c>
      <c r="AH611" s="19">
        <v>0</v>
      </c>
      <c r="AI611" s="20">
        <v>0</v>
      </c>
      <c r="AJ611" s="20">
        <v>0</v>
      </c>
      <c r="AK611" s="19">
        <v>0</v>
      </c>
      <c r="AL611" s="20">
        <v>0</v>
      </c>
      <c r="AM611" s="19">
        <v>0</v>
      </c>
      <c r="AN611" s="19">
        <v>0</v>
      </c>
      <c r="AO611" s="19">
        <v>0</v>
      </c>
      <c r="AP611" s="19">
        <v>0</v>
      </c>
      <c r="AQ611" s="19">
        <v>0</v>
      </c>
      <c r="AR611" s="19">
        <v>0</v>
      </c>
      <c r="AS611" s="19">
        <v>0</v>
      </c>
      <c r="AT611" s="19">
        <v>0</v>
      </c>
      <c r="AU611" s="19">
        <v>0</v>
      </c>
      <c r="AV611" s="19">
        <v>0</v>
      </c>
      <c r="AW611" s="20">
        <v>0</v>
      </c>
      <c r="AX611" s="20">
        <v>0</v>
      </c>
      <c r="AY611" s="20">
        <v>0</v>
      </c>
      <c r="AZ611" s="19">
        <v>0</v>
      </c>
      <c r="BA611" s="19">
        <v>0</v>
      </c>
      <c r="BB611" s="19">
        <v>0</v>
      </c>
      <c r="BC611" s="19">
        <v>0</v>
      </c>
      <c r="BD611" s="19">
        <v>0</v>
      </c>
      <c r="BE611" s="21">
        <v>0</v>
      </c>
      <c r="BF611" s="21">
        <v>0</v>
      </c>
      <c r="BG611" s="19">
        <v>0</v>
      </c>
      <c r="BH611" s="19">
        <v>0</v>
      </c>
      <c r="BI611" s="22">
        <f t="shared" si="162"/>
        <v>4</v>
      </c>
      <c r="BJ611" s="22">
        <f t="shared" si="163"/>
        <v>0</v>
      </c>
      <c r="BK611" s="22">
        <f t="shared" si="164"/>
        <v>4</v>
      </c>
      <c r="BL611" s="22">
        <f t="shared" si="165"/>
        <v>4</v>
      </c>
      <c r="BM611" s="22">
        <f t="shared" si="167"/>
        <v>0</v>
      </c>
      <c r="BN611" s="23">
        <f t="shared" si="166"/>
        <v>0</v>
      </c>
      <c r="BO611" s="23" t="e">
        <f t="shared" si="166"/>
        <v>#DIV/0!</v>
      </c>
      <c r="BP611" s="7" t="e">
        <f>VLOOKUP(A611,[1]Sheet15!B:E,4,0)</f>
        <v>#N/A</v>
      </c>
      <c r="BQ611" s="7" t="e">
        <f>VLOOKUP(A611,[1]Sheet15!B:E,3,0)</f>
        <v>#N/A</v>
      </c>
    </row>
    <row r="612" spans="1:69" ht="22.5" customHeight="1" x14ac:dyDescent="0.25">
      <c r="A612" s="15" t="s">
        <v>1469</v>
      </c>
      <c r="B612" s="15" t="str">
        <f>VLOOKUP(A612,'[1]Master clients'!F591:W4138,17,0)</f>
        <v>Apr</v>
      </c>
      <c r="C612" s="15" t="str">
        <f>VLOOKUP(A612,'[1]Master clients'!F591:P4138,11,0)</f>
        <v>AV</v>
      </c>
      <c r="D612" s="15" t="str">
        <f>VLOOKUP(A612,'[1]Master clients'!F:M,8,0)</f>
        <v>End User</v>
      </c>
      <c r="E612" s="16" t="s">
        <v>90</v>
      </c>
      <c r="F612" s="16" t="s">
        <v>87</v>
      </c>
      <c r="G612" s="17"/>
      <c r="H612" s="17">
        <v>1</v>
      </c>
      <c r="I612" s="31">
        <v>0</v>
      </c>
      <c r="J612" s="31">
        <v>1</v>
      </c>
      <c r="K612" s="17">
        <v>0</v>
      </c>
      <c r="L612" s="17">
        <v>0</v>
      </c>
      <c r="M612" s="17">
        <v>0</v>
      </c>
      <c r="N612" s="17">
        <v>0</v>
      </c>
      <c r="O612" s="17">
        <v>0</v>
      </c>
      <c r="P612" s="17">
        <v>0</v>
      </c>
      <c r="Q612" s="17">
        <v>0</v>
      </c>
      <c r="R612" s="17">
        <v>0</v>
      </c>
      <c r="S612" s="17">
        <v>0</v>
      </c>
      <c r="T612" s="17">
        <v>0</v>
      </c>
      <c r="U612" s="17">
        <v>0</v>
      </c>
      <c r="V612" s="17">
        <v>0</v>
      </c>
      <c r="W612" s="17">
        <v>0</v>
      </c>
      <c r="X612" s="17">
        <v>0</v>
      </c>
      <c r="Y612" s="17">
        <v>0</v>
      </c>
      <c r="Z612" s="17">
        <v>0</v>
      </c>
      <c r="AA612" s="17">
        <v>0</v>
      </c>
      <c r="AB612" s="17">
        <v>0</v>
      </c>
      <c r="AC612" s="17">
        <v>0</v>
      </c>
      <c r="AD612" s="17">
        <v>0</v>
      </c>
      <c r="AE612" s="17">
        <v>0</v>
      </c>
      <c r="AF612" s="17">
        <v>0</v>
      </c>
      <c r="AG612" s="17">
        <v>0</v>
      </c>
      <c r="AH612" s="17">
        <v>0</v>
      </c>
      <c r="AI612" s="17">
        <v>0</v>
      </c>
      <c r="AJ612" s="17">
        <v>0</v>
      </c>
      <c r="AK612" s="17">
        <v>0</v>
      </c>
      <c r="AL612" s="17">
        <v>0</v>
      </c>
      <c r="AM612" s="17">
        <v>0</v>
      </c>
      <c r="AN612" s="17">
        <v>0</v>
      </c>
      <c r="AO612" s="17">
        <v>0</v>
      </c>
      <c r="AP612" s="17">
        <v>0</v>
      </c>
      <c r="AQ612" s="17">
        <v>0</v>
      </c>
      <c r="AR612" s="17">
        <v>0</v>
      </c>
      <c r="AS612" s="17">
        <v>0</v>
      </c>
      <c r="AT612" s="17">
        <v>0</v>
      </c>
      <c r="AU612" s="17">
        <v>0</v>
      </c>
      <c r="AV612" s="17">
        <v>0</v>
      </c>
      <c r="AW612" s="17">
        <v>0</v>
      </c>
      <c r="AX612" s="17">
        <v>0</v>
      </c>
      <c r="AY612" s="17">
        <v>0</v>
      </c>
      <c r="AZ612" s="17">
        <v>0</v>
      </c>
      <c r="BA612" s="17">
        <v>0</v>
      </c>
      <c r="BB612" s="17">
        <v>0</v>
      </c>
      <c r="BC612" s="17">
        <v>0</v>
      </c>
      <c r="BD612" s="17">
        <v>0</v>
      </c>
      <c r="BE612" s="17">
        <v>0</v>
      </c>
      <c r="BF612" s="17">
        <v>0</v>
      </c>
      <c r="BG612" s="17">
        <v>0</v>
      </c>
      <c r="BH612" s="17">
        <v>0</v>
      </c>
      <c r="BI612" s="22">
        <f t="shared" si="162"/>
        <v>0</v>
      </c>
      <c r="BJ612" s="22">
        <f t="shared" si="163"/>
        <v>0</v>
      </c>
      <c r="BK612" s="22">
        <f t="shared" si="164"/>
        <v>1</v>
      </c>
      <c r="BL612" s="22">
        <f t="shared" si="165"/>
        <v>0</v>
      </c>
      <c r="BM612" s="22">
        <f t="shared" si="167"/>
        <v>1</v>
      </c>
      <c r="BN612" s="23" t="e">
        <f t="shared" si="166"/>
        <v>#DIV/0!</v>
      </c>
      <c r="BO612" s="23">
        <f t="shared" si="166"/>
        <v>1</v>
      </c>
      <c r="BP612" s="7">
        <f>VLOOKUP(A612,[1]Sheet15!B:E,4,0)</f>
        <v>0</v>
      </c>
      <c r="BQ612" s="7">
        <f>VLOOKUP(A612,[1]Sheet15!B:E,3,0)</f>
        <v>1</v>
      </c>
    </row>
    <row r="613" spans="1:69" ht="22.5" customHeight="1" x14ac:dyDescent="0.25">
      <c r="A613" s="15" t="s">
        <v>1470</v>
      </c>
      <c r="B613" s="15" t="str">
        <f>VLOOKUP(A613,'[1]Master clients'!F592:W4139,17,0)</f>
        <v>Apr</v>
      </c>
      <c r="C613" s="15" t="str">
        <f>VLOOKUP(A613,'[1]Master clients'!F592:P4139,11,0)</f>
        <v>AV</v>
      </c>
      <c r="D613" s="15" t="str">
        <f>VLOOKUP(A613,'[1]Master clients'!F:M,8,0)</f>
        <v>Group (Mills)</v>
      </c>
      <c r="E613" s="16" t="s">
        <v>1471</v>
      </c>
      <c r="F613" s="16" t="s">
        <v>87</v>
      </c>
      <c r="G613" s="17">
        <v>4</v>
      </c>
      <c r="H613" s="17">
        <v>0</v>
      </c>
      <c r="I613" s="18">
        <v>7</v>
      </c>
      <c r="J613" s="18">
        <v>0</v>
      </c>
      <c r="K613" s="17">
        <v>0</v>
      </c>
      <c r="L613" s="17">
        <v>0</v>
      </c>
      <c r="M613" s="17">
        <v>0</v>
      </c>
      <c r="N613" s="17">
        <v>0</v>
      </c>
      <c r="O613" s="19">
        <v>0</v>
      </c>
      <c r="P613" s="19">
        <v>1</v>
      </c>
      <c r="Q613" s="19">
        <v>0</v>
      </c>
      <c r="R613" s="19">
        <v>0</v>
      </c>
      <c r="S613" s="19">
        <v>0</v>
      </c>
      <c r="T613" s="19">
        <v>0</v>
      </c>
      <c r="U613" s="19">
        <v>0</v>
      </c>
      <c r="V613" s="19">
        <v>0</v>
      </c>
      <c r="W613" s="20">
        <v>0</v>
      </c>
      <c r="X613" s="20">
        <v>0</v>
      </c>
      <c r="Y613" s="19">
        <v>0</v>
      </c>
      <c r="Z613" s="19">
        <v>0</v>
      </c>
      <c r="AA613" s="19">
        <v>0</v>
      </c>
      <c r="AB613" s="19">
        <v>0</v>
      </c>
      <c r="AC613" s="19">
        <v>0</v>
      </c>
      <c r="AD613" s="19">
        <v>0</v>
      </c>
      <c r="AE613" s="19">
        <v>0</v>
      </c>
      <c r="AF613" s="19">
        <v>0</v>
      </c>
      <c r="AG613" s="19">
        <v>0</v>
      </c>
      <c r="AH613" s="19">
        <v>0</v>
      </c>
      <c r="AI613" s="20">
        <v>0</v>
      </c>
      <c r="AJ613" s="20">
        <v>0</v>
      </c>
      <c r="AK613" s="19">
        <v>0</v>
      </c>
      <c r="AL613" s="20">
        <v>0</v>
      </c>
      <c r="AM613" s="19">
        <v>0</v>
      </c>
      <c r="AN613" s="19">
        <v>0</v>
      </c>
      <c r="AO613" s="19">
        <v>0</v>
      </c>
      <c r="AP613" s="19">
        <v>0</v>
      </c>
      <c r="AQ613" s="19">
        <v>0</v>
      </c>
      <c r="AR613" s="19">
        <v>0</v>
      </c>
      <c r="AS613" s="19">
        <v>0</v>
      </c>
      <c r="AT613" s="19">
        <v>0</v>
      </c>
      <c r="AU613" s="19">
        <v>0</v>
      </c>
      <c r="AV613" s="19">
        <v>0</v>
      </c>
      <c r="AW613" s="20">
        <v>0</v>
      </c>
      <c r="AX613" s="20">
        <v>0</v>
      </c>
      <c r="AY613" s="20">
        <v>0</v>
      </c>
      <c r="AZ613" s="19">
        <v>5</v>
      </c>
      <c r="BA613" s="19">
        <v>0</v>
      </c>
      <c r="BB613" s="19">
        <v>0</v>
      </c>
      <c r="BC613" s="19">
        <v>0</v>
      </c>
      <c r="BD613" s="19">
        <v>0</v>
      </c>
      <c r="BE613" s="21">
        <v>0</v>
      </c>
      <c r="BF613" s="21">
        <v>0</v>
      </c>
      <c r="BG613" s="19">
        <v>0</v>
      </c>
      <c r="BH613" s="19">
        <v>4</v>
      </c>
      <c r="BI613" s="22">
        <f t="shared" si="162"/>
        <v>6</v>
      </c>
      <c r="BJ613" s="22">
        <f t="shared" si="163"/>
        <v>4</v>
      </c>
      <c r="BK613" s="22">
        <f t="shared" si="164"/>
        <v>17</v>
      </c>
      <c r="BL613" s="22">
        <f t="shared" si="165"/>
        <v>13</v>
      </c>
      <c r="BM613" s="22">
        <f t="shared" si="167"/>
        <v>4</v>
      </c>
      <c r="BN613" s="23">
        <f t="shared" ref="BN613:BO628" si="168">I613/BL613</f>
        <v>0.53846153846153844</v>
      </c>
      <c r="BO613" s="23">
        <f t="shared" si="168"/>
        <v>0</v>
      </c>
      <c r="BP613" s="7" t="e">
        <f>VLOOKUP(A613,[1]Sheet15!B:E,4,0)</f>
        <v>#N/A</v>
      </c>
      <c r="BQ613" s="7" t="e">
        <f>VLOOKUP(A613,[1]Sheet15!B:E,3,0)</f>
        <v>#N/A</v>
      </c>
    </row>
    <row r="614" spans="1:69" ht="22.5" customHeight="1" x14ac:dyDescent="0.25">
      <c r="A614" s="15" t="s">
        <v>1472</v>
      </c>
      <c r="B614" s="15">
        <f>VLOOKUP(A614,'[1]Master clients'!F593:W4140,17,0)</f>
        <v>0</v>
      </c>
      <c r="C614" s="15" t="str">
        <f>VLOOKUP(A614,'[1]Master clients'!F593:P4140,11,0)</f>
        <v>AV</v>
      </c>
      <c r="D614" s="15" t="str">
        <f>VLOOKUP(A614,'[1]Master clients'!F:M,8,0)</f>
        <v>End User</v>
      </c>
      <c r="E614" s="16" t="s">
        <v>1473</v>
      </c>
      <c r="F614" s="16" t="s">
        <v>87</v>
      </c>
      <c r="G614" s="17">
        <v>2</v>
      </c>
      <c r="H614" s="17">
        <v>0</v>
      </c>
      <c r="I614" s="18">
        <v>2</v>
      </c>
      <c r="J614" s="18">
        <v>0</v>
      </c>
      <c r="K614" s="17">
        <v>0</v>
      </c>
      <c r="L614" s="17">
        <v>0</v>
      </c>
      <c r="M614" s="17">
        <v>0</v>
      </c>
      <c r="N614" s="17">
        <v>0</v>
      </c>
      <c r="O614" s="19">
        <v>0</v>
      </c>
      <c r="P614" s="19">
        <v>0</v>
      </c>
      <c r="Q614" s="19">
        <v>0</v>
      </c>
      <c r="R614" s="19">
        <v>2</v>
      </c>
      <c r="S614" s="19">
        <v>0</v>
      </c>
      <c r="T614" s="19">
        <v>0</v>
      </c>
      <c r="U614" s="19">
        <v>0</v>
      </c>
      <c r="V614" s="19">
        <v>0</v>
      </c>
      <c r="W614" s="20">
        <v>0</v>
      </c>
      <c r="X614" s="20">
        <v>0</v>
      </c>
      <c r="Y614" s="19">
        <v>0</v>
      </c>
      <c r="Z614" s="19">
        <v>0</v>
      </c>
      <c r="AA614" s="19">
        <v>0</v>
      </c>
      <c r="AB614" s="19">
        <v>0</v>
      </c>
      <c r="AC614" s="19">
        <v>0</v>
      </c>
      <c r="AD614" s="19">
        <v>0</v>
      </c>
      <c r="AE614" s="19">
        <v>0</v>
      </c>
      <c r="AF614" s="19">
        <v>0</v>
      </c>
      <c r="AG614" s="19">
        <v>0</v>
      </c>
      <c r="AH614" s="19">
        <v>0</v>
      </c>
      <c r="AI614" s="20">
        <v>0</v>
      </c>
      <c r="AJ614" s="20">
        <v>0</v>
      </c>
      <c r="AK614" s="19">
        <v>0</v>
      </c>
      <c r="AL614" s="20">
        <v>0</v>
      </c>
      <c r="AM614" s="19">
        <v>0</v>
      </c>
      <c r="AN614" s="19">
        <v>0</v>
      </c>
      <c r="AO614" s="19">
        <v>0</v>
      </c>
      <c r="AP614" s="19">
        <v>0</v>
      </c>
      <c r="AQ614" s="19">
        <v>0</v>
      </c>
      <c r="AR614" s="19">
        <v>0</v>
      </c>
      <c r="AS614" s="19">
        <v>0</v>
      </c>
      <c r="AT614" s="19">
        <v>0</v>
      </c>
      <c r="AU614" s="19">
        <v>0</v>
      </c>
      <c r="AV614" s="19">
        <v>0</v>
      </c>
      <c r="AW614" s="20">
        <v>0</v>
      </c>
      <c r="AX614" s="20">
        <v>0</v>
      </c>
      <c r="AY614" s="20">
        <v>0</v>
      </c>
      <c r="AZ614" s="19">
        <v>0</v>
      </c>
      <c r="BA614" s="19">
        <v>0</v>
      </c>
      <c r="BB614" s="19">
        <v>0</v>
      </c>
      <c r="BC614" s="19">
        <v>0</v>
      </c>
      <c r="BD614" s="19">
        <v>0</v>
      </c>
      <c r="BE614" s="21">
        <v>0</v>
      </c>
      <c r="BF614" s="21">
        <v>0</v>
      </c>
      <c r="BG614" s="19">
        <v>0</v>
      </c>
      <c r="BH614" s="19">
        <v>0</v>
      </c>
      <c r="BI614" s="22">
        <f t="shared" si="162"/>
        <v>2</v>
      </c>
      <c r="BJ614" s="22">
        <f t="shared" si="163"/>
        <v>0</v>
      </c>
      <c r="BK614" s="22">
        <f t="shared" si="164"/>
        <v>4</v>
      </c>
      <c r="BL614" s="22">
        <f t="shared" si="165"/>
        <v>4</v>
      </c>
      <c r="BM614" s="22">
        <f t="shared" si="167"/>
        <v>0</v>
      </c>
      <c r="BN614" s="23">
        <f t="shared" si="168"/>
        <v>0.5</v>
      </c>
      <c r="BO614" s="23" t="e">
        <f t="shared" si="168"/>
        <v>#DIV/0!</v>
      </c>
      <c r="BP614" s="7">
        <f>VLOOKUP(A614,[1]Sheet15!B:E,4,0)</f>
        <v>1</v>
      </c>
      <c r="BQ614" s="7">
        <f>VLOOKUP(A614,[1]Sheet15!B:E,3,0)</f>
        <v>0</v>
      </c>
    </row>
    <row r="615" spans="1:69" ht="22.5" customHeight="1" x14ac:dyDescent="0.25">
      <c r="A615" s="15" t="s">
        <v>1474</v>
      </c>
      <c r="B615" s="15" t="e">
        <f>VLOOKUP(A615,'[1]Master clients'!F594:W4141,17,0)</f>
        <v>#N/A</v>
      </c>
      <c r="C615" s="15" t="e">
        <f>VLOOKUP(A615,'[1]Master clients'!F594:P4141,11,0)</f>
        <v>#N/A</v>
      </c>
      <c r="D615" s="15" t="str">
        <f>VLOOKUP(A615,'[1]Master clients'!F:M,8,0)</f>
        <v>End User</v>
      </c>
      <c r="E615" s="16" t="s">
        <v>1475</v>
      </c>
      <c r="F615" s="16" t="s">
        <v>87</v>
      </c>
      <c r="G615" s="17">
        <v>9</v>
      </c>
      <c r="H615" s="17">
        <v>0</v>
      </c>
      <c r="I615" s="18">
        <v>9</v>
      </c>
      <c r="J615" s="18">
        <v>0</v>
      </c>
      <c r="K615" s="17">
        <v>0</v>
      </c>
      <c r="L615" s="17">
        <v>0</v>
      </c>
      <c r="M615" s="17">
        <v>0</v>
      </c>
      <c r="N615" s="17">
        <v>0</v>
      </c>
      <c r="O615" s="19">
        <v>0</v>
      </c>
      <c r="P615" s="19">
        <v>1</v>
      </c>
      <c r="Q615" s="19">
        <v>5</v>
      </c>
      <c r="R615" s="19">
        <v>0</v>
      </c>
      <c r="S615" s="19">
        <v>0</v>
      </c>
      <c r="T615" s="19">
        <v>0</v>
      </c>
      <c r="U615" s="19">
        <v>0</v>
      </c>
      <c r="V615" s="19">
        <v>0</v>
      </c>
      <c r="W615" s="20">
        <v>0</v>
      </c>
      <c r="X615" s="20">
        <v>0</v>
      </c>
      <c r="Y615" s="19">
        <v>0</v>
      </c>
      <c r="Z615" s="19">
        <v>0</v>
      </c>
      <c r="AA615" s="19">
        <v>0</v>
      </c>
      <c r="AB615" s="19">
        <v>0</v>
      </c>
      <c r="AC615" s="19">
        <v>0</v>
      </c>
      <c r="AD615" s="19">
        <v>0</v>
      </c>
      <c r="AE615" s="19">
        <v>0</v>
      </c>
      <c r="AF615" s="19">
        <v>0</v>
      </c>
      <c r="AG615" s="19">
        <v>0</v>
      </c>
      <c r="AH615" s="19">
        <v>0</v>
      </c>
      <c r="AI615" s="20">
        <v>0</v>
      </c>
      <c r="AJ615" s="20">
        <v>0</v>
      </c>
      <c r="AK615" s="19">
        <v>0</v>
      </c>
      <c r="AL615" s="20">
        <v>0</v>
      </c>
      <c r="AM615" s="19">
        <v>0</v>
      </c>
      <c r="AN615" s="19">
        <v>0</v>
      </c>
      <c r="AO615" s="19">
        <v>0</v>
      </c>
      <c r="AP615" s="19">
        <v>0</v>
      </c>
      <c r="AQ615" s="19">
        <v>0</v>
      </c>
      <c r="AR615" s="19">
        <v>0</v>
      </c>
      <c r="AS615" s="19">
        <v>0</v>
      </c>
      <c r="AT615" s="19">
        <v>0</v>
      </c>
      <c r="AU615" s="19">
        <v>0</v>
      </c>
      <c r="AV615" s="19">
        <v>0</v>
      </c>
      <c r="AW615" s="20">
        <v>0</v>
      </c>
      <c r="AX615" s="20">
        <v>0</v>
      </c>
      <c r="AY615" s="20">
        <v>0</v>
      </c>
      <c r="AZ615" s="19">
        <v>0</v>
      </c>
      <c r="BA615" s="19">
        <v>0</v>
      </c>
      <c r="BB615" s="19">
        <v>0</v>
      </c>
      <c r="BC615" s="19">
        <v>0</v>
      </c>
      <c r="BD615" s="19">
        <v>0</v>
      </c>
      <c r="BE615" s="21">
        <v>0</v>
      </c>
      <c r="BF615" s="21">
        <v>0</v>
      </c>
      <c r="BG615" s="19">
        <v>0</v>
      </c>
      <c r="BH615" s="19">
        <v>0</v>
      </c>
      <c r="BI615" s="22">
        <f t="shared" si="162"/>
        <v>1</v>
      </c>
      <c r="BJ615" s="22">
        <f t="shared" si="163"/>
        <v>5</v>
      </c>
      <c r="BK615" s="22">
        <f t="shared" si="164"/>
        <v>15</v>
      </c>
      <c r="BL615" s="22">
        <f t="shared" si="165"/>
        <v>10</v>
      </c>
      <c r="BM615" s="22">
        <f t="shared" si="167"/>
        <v>5</v>
      </c>
      <c r="BN615" s="23">
        <f t="shared" si="168"/>
        <v>0.9</v>
      </c>
      <c r="BO615" s="23">
        <f t="shared" si="168"/>
        <v>0</v>
      </c>
      <c r="BP615" s="7">
        <f>VLOOKUP(A615,[1]Sheet15!B:E,4,0)</f>
        <v>3</v>
      </c>
      <c r="BQ615" s="7">
        <f>VLOOKUP(A615,[1]Sheet15!B:E,3,0)</f>
        <v>0</v>
      </c>
    </row>
    <row r="616" spans="1:69" ht="22.5" customHeight="1" x14ac:dyDescent="0.25">
      <c r="A616" s="15" t="s">
        <v>1476</v>
      </c>
      <c r="B616" s="15">
        <f>VLOOKUP(A616,'[1]Master clients'!F595:W4142,17,0)</f>
        <v>0</v>
      </c>
      <c r="C616" s="15" t="str">
        <f>VLOOKUP(A616,'[1]Master clients'!F595:P4142,11,0)</f>
        <v>NI</v>
      </c>
      <c r="D616" s="15" t="str">
        <f>VLOOKUP(A616,'[1]Master clients'!F:M,8,0)</f>
        <v>End User</v>
      </c>
      <c r="E616" s="16" t="s">
        <v>1477</v>
      </c>
      <c r="F616" s="16" t="s">
        <v>620</v>
      </c>
      <c r="G616" s="17"/>
      <c r="H616" s="17"/>
      <c r="I616" s="26">
        <v>25</v>
      </c>
      <c r="J616" s="31">
        <v>0</v>
      </c>
      <c r="K616" s="17">
        <v>0</v>
      </c>
      <c r="L616" s="17">
        <v>0</v>
      </c>
      <c r="M616" s="17">
        <v>0</v>
      </c>
      <c r="N616" s="17">
        <v>0</v>
      </c>
      <c r="O616" s="17">
        <v>0</v>
      </c>
      <c r="P616" s="17">
        <v>0</v>
      </c>
      <c r="Q616" s="17">
        <v>0</v>
      </c>
      <c r="R616" s="17">
        <v>0</v>
      </c>
      <c r="S616" s="17">
        <v>0</v>
      </c>
      <c r="T616" s="17">
        <v>0</v>
      </c>
      <c r="U616" s="17">
        <v>0</v>
      </c>
      <c r="V616" s="17">
        <v>0</v>
      </c>
      <c r="W616" s="17">
        <v>0</v>
      </c>
      <c r="X616" s="17">
        <v>0</v>
      </c>
      <c r="Y616" s="17">
        <v>0</v>
      </c>
      <c r="Z616" s="17">
        <v>0</v>
      </c>
      <c r="AA616" s="17">
        <v>0</v>
      </c>
      <c r="AB616" s="17">
        <v>0</v>
      </c>
      <c r="AC616" s="17">
        <v>0</v>
      </c>
      <c r="AD616" s="17">
        <v>0</v>
      </c>
      <c r="AE616" s="17">
        <v>0</v>
      </c>
      <c r="AF616" s="17">
        <v>0</v>
      </c>
      <c r="AG616" s="17">
        <v>0</v>
      </c>
      <c r="AH616" s="17">
        <v>0</v>
      </c>
      <c r="AI616" s="17">
        <v>0</v>
      </c>
      <c r="AJ616" s="17">
        <v>0</v>
      </c>
      <c r="AK616" s="17">
        <v>0</v>
      </c>
      <c r="AL616" s="17">
        <v>0</v>
      </c>
      <c r="AM616" s="17">
        <v>0</v>
      </c>
      <c r="AN616" s="17">
        <v>0</v>
      </c>
      <c r="AO616" s="17">
        <v>0</v>
      </c>
      <c r="AP616" s="17">
        <v>0</v>
      </c>
      <c r="AQ616" s="17">
        <v>0</v>
      </c>
      <c r="AR616" s="17">
        <v>0</v>
      </c>
      <c r="AS616" s="17">
        <v>0</v>
      </c>
      <c r="AT616" s="17">
        <v>0</v>
      </c>
      <c r="AU616" s="17">
        <v>0</v>
      </c>
      <c r="AV616" s="17">
        <v>0</v>
      </c>
      <c r="AW616" s="17">
        <v>0</v>
      </c>
      <c r="AX616" s="17">
        <v>0</v>
      </c>
      <c r="AY616" s="17">
        <v>0</v>
      </c>
      <c r="AZ616" s="17">
        <v>0</v>
      </c>
      <c r="BA616" s="17">
        <v>0</v>
      </c>
      <c r="BB616" s="17">
        <v>0</v>
      </c>
      <c r="BC616" s="17">
        <v>0</v>
      </c>
      <c r="BD616" s="17">
        <v>0</v>
      </c>
      <c r="BE616" s="17">
        <v>0</v>
      </c>
      <c r="BF616" s="17">
        <v>0</v>
      </c>
      <c r="BG616" s="17">
        <v>0</v>
      </c>
      <c r="BH616" s="17">
        <v>0</v>
      </c>
      <c r="BI616" s="22">
        <f t="shared" si="162"/>
        <v>0</v>
      </c>
      <c r="BJ616" s="22">
        <f t="shared" si="163"/>
        <v>0</v>
      </c>
      <c r="BK616" s="22">
        <f t="shared" si="164"/>
        <v>25</v>
      </c>
      <c r="BL616" s="22">
        <f t="shared" si="165"/>
        <v>25</v>
      </c>
      <c r="BM616" s="22">
        <f t="shared" si="167"/>
        <v>0</v>
      </c>
      <c r="BN616" s="23">
        <f t="shared" si="168"/>
        <v>1</v>
      </c>
      <c r="BO616" s="23" t="e">
        <f t="shared" si="168"/>
        <v>#DIV/0!</v>
      </c>
      <c r="BP616" s="7">
        <f>VLOOKUP(A616,[1]Sheet15!B:E,4,0)</f>
        <v>25</v>
      </c>
      <c r="BQ616" s="7">
        <f>VLOOKUP(A616,[1]Sheet15!B:E,3,0)</f>
        <v>0</v>
      </c>
    </row>
    <row r="617" spans="1:69" ht="22.5" customHeight="1" x14ac:dyDescent="0.25">
      <c r="A617" s="15" t="s">
        <v>1478</v>
      </c>
      <c r="B617" s="15" t="e">
        <f>VLOOKUP(A617,'[1]Master clients'!F596:W4143,17,0)</f>
        <v>#N/A</v>
      </c>
      <c r="C617" s="15" t="e">
        <f>VLOOKUP(A617,'[1]Master clients'!F596:P4143,11,0)</f>
        <v>#N/A</v>
      </c>
      <c r="D617" s="15" t="str">
        <f>VLOOKUP(A617,'[1]Master clients'!F:M,8,0)</f>
        <v>Group (Mills)</v>
      </c>
      <c r="E617" s="24" t="s">
        <v>1479</v>
      </c>
      <c r="F617" s="25" t="s">
        <v>1480</v>
      </c>
      <c r="G617" s="20">
        <v>0</v>
      </c>
      <c r="H617" s="20">
        <v>0</v>
      </c>
      <c r="I617" s="26">
        <v>6</v>
      </c>
      <c r="J617" s="26">
        <v>0</v>
      </c>
      <c r="K617" s="20">
        <v>0</v>
      </c>
      <c r="L617" s="20">
        <v>0</v>
      </c>
      <c r="M617" s="20">
        <v>0</v>
      </c>
      <c r="N617" s="20">
        <v>0</v>
      </c>
      <c r="O617" s="20">
        <v>2</v>
      </c>
      <c r="P617" s="20">
        <v>0</v>
      </c>
      <c r="Q617" s="20">
        <v>3</v>
      </c>
      <c r="R617" s="20">
        <v>0</v>
      </c>
      <c r="S617" s="20">
        <v>0</v>
      </c>
      <c r="T617" s="20">
        <v>0</v>
      </c>
      <c r="U617" s="20">
        <v>0</v>
      </c>
      <c r="V617" s="20">
        <v>0</v>
      </c>
      <c r="W617" s="20">
        <v>0</v>
      </c>
      <c r="X617" s="20">
        <v>4</v>
      </c>
      <c r="Y617" s="20">
        <v>0</v>
      </c>
      <c r="Z617" s="20">
        <v>0</v>
      </c>
      <c r="AA617" s="20">
        <v>0</v>
      </c>
      <c r="AB617" s="20">
        <v>0</v>
      </c>
      <c r="AC617" s="20">
        <v>0</v>
      </c>
      <c r="AD617" s="20">
        <v>0</v>
      </c>
      <c r="AE617" s="20">
        <v>0</v>
      </c>
      <c r="AF617" s="20">
        <v>0</v>
      </c>
      <c r="AG617" s="20">
        <v>0</v>
      </c>
      <c r="AH617" s="20">
        <v>0</v>
      </c>
      <c r="AI617" s="20">
        <v>0</v>
      </c>
      <c r="AJ617" s="20">
        <v>0</v>
      </c>
      <c r="AK617" s="20">
        <v>0</v>
      </c>
      <c r="AL617" s="20">
        <v>0</v>
      </c>
      <c r="AM617" s="20">
        <v>0</v>
      </c>
      <c r="AN617" s="20">
        <v>0</v>
      </c>
      <c r="AO617" s="20">
        <v>0</v>
      </c>
      <c r="AP617" s="20">
        <v>0</v>
      </c>
      <c r="AQ617" s="20">
        <v>0</v>
      </c>
      <c r="AR617" s="20">
        <v>0</v>
      </c>
      <c r="AS617" s="20">
        <v>0</v>
      </c>
      <c r="AT617" s="20">
        <v>0</v>
      </c>
      <c r="AU617" s="20">
        <v>10</v>
      </c>
      <c r="AV617" s="20">
        <v>0</v>
      </c>
      <c r="AW617" s="20">
        <v>0</v>
      </c>
      <c r="AX617" s="20">
        <v>0</v>
      </c>
      <c r="AY617" s="20">
        <v>0</v>
      </c>
      <c r="AZ617" s="20">
        <v>0</v>
      </c>
      <c r="BA617" s="19">
        <v>0</v>
      </c>
      <c r="BB617" s="27">
        <v>0</v>
      </c>
      <c r="BC617" s="19">
        <v>0</v>
      </c>
      <c r="BD617" s="19">
        <v>0</v>
      </c>
      <c r="BE617" s="21">
        <v>0</v>
      </c>
      <c r="BF617" s="21">
        <v>0</v>
      </c>
      <c r="BG617" s="19">
        <v>0</v>
      </c>
      <c r="BH617" s="19">
        <v>0</v>
      </c>
      <c r="BI617" s="22">
        <f t="shared" si="162"/>
        <v>10</v>
      </c>
      <c r="BJ617" s="22">
        <f t="shared" si="163"/>
        <v>9</v>
      </c>
      <c r="BK617" s="28">
        <f t="shared" si="164"/>
        <v>25</v>
      </c>
      <c r="BL617" s="22">
        <f t="shared" si="165"/>
        <v>16</v>
      </c>
      <c r="BM617" s="22">
        <f t="shared" si="167"/>
        <v>9</v>
      </c>
      <c r="BN617" s="23">
        <f t="shared" si="168"/>
        <v>0.375</v>
      </c>
      <c r="BO617" s="23">
        <f t="shared" si="168"/>
        <v>0</v>
      </c>
      <c r="BP617" s="7">
        <f>VLOOKUP(A617,[1]Sheet15!B:E,4,0)</f>
        <v>6</v>
      </c>
      <c r="BQ617" s="7">
        <f>VLOOKUP(A617,[1]Sheet15!B:E,3,0)</f>
        <v>0</v>
      </c>
    </row>
    <row r="618" spans="1:69" ht="22.5" customHeight="1" x14ac:dyDescent="0.25">
      <c r="A618" s="15" t="s">
        <v>1481</v>
      </c>
      <c r="B618" s="15" t="e">
        <f>VLOOKUP(A618,'[1]Master clients'!F597:W4144,17,0)</f>
        <v>#N/A</v>
      </c>
      <c r="C618" s="15" t="e">
        <f>VLOOKUP(A618,'[1]Master clients'!F597:P4144,11,0)</f>
        <v>#N/A</v>
      </c>
      <c r="D618" s="15" t="str">
        <f>VLOOKUP(A618,'[1]Master clients'!F:M,8,0)</f>
        <v>End User</v>
      </c>
      <c r="E618" s="24" t="s">
        <v>1482</v>
      </c>
      <c r="F618" s="25" t="s">
        <v>1480</v>
      </c>
      <c r="G618" s="20">
        <v>0</v>
      </c>
      <c r="H618" s="20">
        <v>2</v>
      </c>
      <c r="I618" s="26">
        <v>0</v>
      </c>
      <c r="J618" s="26">
        <v>2</v>
      </c>
      <c r="K618" s="20">
        <v>0</v>
      </c>
      <c r="L618" s="20">
        <v>0</v>
      </c>
      <c r="M618" s="20">
        <v>0</v>
      </c>
      <c r="N618" s="20">
        <v>0</v>
      </c>
      <c r="O618" s="20">
        <v>0</v>
      </c>
      <c r="P618" s="20">
        <v>0</v>
      </c>
      <c r="Q618" s="20">
        <v>0</v>
      </c>
      <c r="R618" s="20">
        <v>0</v>
      </c>
      <c r="S618" s="20">
        <v>0</v>
      </c>
      <c r="T618" s="20">
        <v>0</v>
      </c>
      <c r="U618" s="20">
        <v>0</v>
      </c>
      <c r="V618" s="20">
        <v>0</v>
      </c>
      <c r="W618" s="20">
        <v>0</v>
      </c>
      <c r="X618" s="20">
        <v>10</v>
      </c>
      <c r="Y618" s="20">
        <v>0</v>
      </c>
      <c r="Z618" s="20">
        <v>0</v>
      </c>
      <c r="AA618" s="20">
        <v>0</v>
      </c>
      <c r="AB618" s="20">
        <v>0</v>
      </c>
      <c r="AC618" s="20">
        <v>0</v>
      </c>
      <c r="AD618" s="20">
        <v>0</v>
      </c>
      <c r="AE618" s="20">
        <v>0</v>
      </c>
      <c r="AF618" s="20">
        <v>0</v>
      </c>
      <c r="AG618" s="20">
        <v>0</v>
      </c>
      <c r="AH618" s="20">
        <v>0</v>
      </c>
      <c r="AI618" s="20">
        <v>0</v>
      </c>
      <c r="AJ618" s="20">
        <v>0</v>
      </c>
      <c r="AK618" s="20">
        <v>0</v>
      </c>
      <c r="AL618" s="20">
        <v>0</v>
      </c>
      <c r="AM618" s="20">
        <v>0</v>
      </c>
      <c r="AN618" s="20">
        <v>0</v>
      </c>
      <c r="AO618" s="20">
        <v>0</v>
      </c>
      <c r="AP618" s="20">
        <v>0</v>
      </c>
      <c r="AQ618" s="20">
        <v>0</v>
      </c>
      <c r="AR618" s="20">
        <v>0</v>
      </c>
      <c r="AS618" s="20">
        <v>0</v>
      </c>
      <c r="AT618" s="20">
        <v>0</v>
      </c>
      <c r="AU618" s="20">
        <v>0</v>
      </c>
      <c r="AV618" s="20">
        <v>0</v>
      </c>
      <c r="AW618" s="20">
        <v>0</v>
      </c>
      <c r="AX618" s="20">
        <v>0</v>
      </c>
      <c r="AY618" s="20">
        <v>0</v>
      </c>
      <c r="AZ618" s="20">
        <v>20</v>
      </c>
      <c r="BA618" s="20">
        <v>0</v>
      </c>
      <c r="BB618" s="27">
        <v>0</v>
      </c>
      <c r="BC618" s="20">
        <v>0</v>
      </c>
      <c r="BD618" s="20">
        <v>0</v>
      </c>
      <c r="BE618" s="21">
        <v>0</v>
      </c>
      <c r="BF618" s="21">
        <v>0</v>
      </c>
      <c r="BG618" s="20">
        <v>0</v>
      </c>
      <c r="BH618" s="20">
        <v>0</v>
      </c>
      <c r="BI618" s="22">
        <f t="shared" si="162"/>
        <v>20</v>
      </c>
      <c r="BJ618" s="22">
        <f t="shared" si="163"/>
        <v>10</v>
      </c>
      <c r="BK618" s="28">
        <f t="shared" si="164"/>
        <v>32</v>
      </c>
      <c r="BL618" s="22">
        <f t="shared" si="165"/>
        <v>20</v>
      </c>
      <c r="BM618" s="22">
        <f t="shared" si="167"/>
        <v>12</v>
      </c>
      <c r="BN618" s="23">
        <f t="shared" si="168"/>
        <v>0</v>
      </c>
      <c r="BO618" s="23">
        <f t="shared" si="168"/>
        <v>0.16666666666666666</v>
      </c>
      <c r="BP618" s="7">
        <f>VLOOKUP(A618,[1]Sheet15!B:E,4,0)</f>
        <v>0</v>
      </c>
      <c r="BQ618" s="7">
        <f>VLOOKUP(A618,[1]Sheet15!B:E,3,0)</f>
        <v>2</v>
      </c>
    </row>
    <row r="619" spans="1:69" x14ac:dyDescent="0.25">
      <c r="A619" s="15" t="s">
        <v>1483</v>
      </c>
      <c r="B619" s="15" t="e">
        <f>VLOOKUP(A619,'[1]Master clients'!F598:W4145,17,0)</f>
        <v>#N/A</v>
      </c>
      <c r="C619" s="15" t="e">
        <f>VLOOKUP(A619,'[1]Master clients'!F598:P4145,11,0)</f>
        <v>#N/A</v>
      </c>
      <c r="D619" s="15" t="str">
        <f>VLOOKUP(A619,'[1]Master clients'!F:M,8,0)</f>
        <v>End User</v>
      </c>
      <c r="E619" s="24" t="s">
        <v>1484</v>
      </c>
      <c r="F619" s="25" t="s">
        <v>1480</v>
      </c>
      <c r="G619" s="20">
        <v>19</v>
      </c>
      <c r="H619" s="20">
        <v>2</v>
      </c>
      <c r="I619" s="26">
        <v>11</v>
      </c>
      <c r="J619" s="26">
        <v>2</v>
      </c>
      <c r="K619" s="20">
        <v>0</v>
      </c>
      <c r="L619" s="20">
        <v>3</v>
      </c>
      <c r="M619" s="20">
        <v>0</v>
      </c>
      <c r="N619" s="20">
        <v>5</v>
      </c>
      <c r="O619" s="20">
        <v>0</v>
      </c>
      <c r="P619" s="20">
        <v>0</v>
      </c>
      <c r="Q619" s="20">
        <v>2</v>
      </c>
      <c r="R619" s="20">
        <v>0</v>
      </c>
      <c r="S619" s="20">
        <v>0</v>
      </c>
      <c r="T619" s="20">
        <v>0</v>
      </c>
      <c r="U619" s="20">
        <v>0</v>
      </c>
      <c r="V619" s="20">
        <v>0</v>
      </c>
      <c r="W619" s="20">
        <v>0</v>
      </c>
      <c r="X619" s="20">
        <v>3</v>
      </c>
      <c r="Y619" s="20">
        <v>0</v>
      </c>
      <c r="Z619" s="20">
        <v>0</v>
      </c>
      <c r="AA619" s="20">
        <v>0</v>
      </c>
      <c r="AB619" s="20">
        <v>0</v>
      </c>
      <c r="AC619" s="20">
        <v>0</v>
      </c>
      <c r="AD619" s="20">
        <v>0</v>
      </c>
      <c r="AE619" s="20">
        <v>0</v>
      </c>
      <c r="AF619" s="20">
        <v>0</v>
      </c>
      <c r="AG619" s="20">
        <v>0</v>
      </c>
      <c r="AH619" s="20">
        <v>0</v>
      </c>
      <c r="AI619" s="20">
        <v>4</v>
      </c>
      <c r="AJ619" s="20">
        <v>0</v>
      </c>
      <c r="AK619" s="20">
        <v>0</v>
      </c>
      <c r="AL619" s="20">
        <v>0</v>
      </c>
      <c r="AM619" s="20">
        <v>0</v>
      </c>
      <c r="AN619" s="20">
        <v>0</v>
      </c>
      <c r="AO619" s="20">
        <v>0</v>
      </c>
      <c r="AP619" s="20">
        <v>0</v>
      </c>
      <c r="AQ619" s="20">
        <v>0</v>
      </c>
      <c r="AR619" s="20">
        <v>0</v>
      </c>
      <c r="AS619" s="20">
        <v>0</v>
      </c>
      <c r="AT619" s="20">
        <v>0</v>
      </c>
      <c r="AU619" s="20">
        <v>0</v>
      </c>
      <c r="AV619" s="20">
        <v>0</v>
      </c>
      <c r="AW619" s="20">
        <v>0</v>
      </c>
      <c r="AX619" s="20">
        <v>0</v>
      </c>
      <c r="AY619" s="20">
        <v>0</v>
      </c>
      <c r="AZ619" s="20">
        <v>0</v>
      </c>
      <c r="BA619" s="20">
        <v>0</v>
      </c>
      <c r="BB619" s="27">
        <v>0</v>
      </c>
      <c r="BC619" s="20">
        <v>0</v>
      </c>
      <c r="BD619" s="20">
        <v>0</v>
      </c>
      <c r="BE619" s="21">
        <v>0</v>
      </c>
      <c r="BF619" s="21">
        <v>0</v>
      </c>
      <c r="BG619" s="20">
        <v>0</v>
      </c>
      <c r="BH619" s="20">
        <v>0</v>
      </c>
      <c r="BI619" s="22">
        <f t="shared" si="162"/>
        <v>7</v>
      </c>
      <c r="BJ619" s="22">
        <f t="shared" si="163"/>
        <v>10</v>
      </c>
      <c r="BK619" s="28">
        <f t="shared" si="164"/>
        <v>30</v>
      </c>
      <c r="BL619" s="22">
        <f t="shared" si="165"/>
        <v>18</v>
      </c>
      <c r="BM619" s="22">
        <f t="shared" si="167"/>
        <v>12</v>
      </c>
      <c r="BN619" s="23">
        <f t="shared" si="168"/>
        <v>0.61111111111111116</v>
      </c>
      <c r="BO619" s="23">
        <f t="shared" si="168"/>
        <v>0.16666666666666666</v>
      </c>
      <c r="BP619" s="7">
        <f>VLOOKUP(A619,[1]Sheet15!B:E,4,0)</f>
        <v>11</v>
      </c>
      <c r="BQ619" s="7">
        <f>VLOOKUP(A619,[1]Sheet15!B:E,3,0)</f>
        <v>2</v>
      </c>
    </row>
    <row r="620" spans="1:69" ht="22.5" customHeight="1" x14ac:dyDescent="0.25">
      <c r="A620" s="15" t="s">
        <v>1485</v>
      </c>
      <c r="B620" s="15" t="e">
        <f>VLOOKUP(A620,'[1]Master clients'!F599:W4146,17,0)</f>
        <v>#N/A</v>
      </c>
      <c r="C620" s="15" t="e">
        <f>VLOOKUP(A620,'[1]Master clients'!F599:P4146,11,0)</f>
        <v>#N/A</v>
      </c>
      <c r="D620" s="15" t="str">
        <f>VLOOKUP(A620,'[1]Master clients'!F:M,8,0)</f>
        <v>End User</v>
      </c>
      <c r="E620" s="16" t="s">
        <v>1486</v>
      </c>
      <c r="F620" s="16" t="s">
        <v>1480</v>
      </c>
      <c r="G620" s="17"/>
      <c r="H620" s="17"/>
      <c r="I620" s="31">
        <v>13</v>
      </c>
      <c r="J620" s="31">
        <v>2</v>
      </c>
      <c r="K620" s="17">
        <v>0</v>
      </c>
      <c r="L620" s="17">
        <v>0</v>
      </c>
      <c r="M620" s="17">
        <v>0</v>
      </c>
      <c r="N620" s="17">
        <v>0</v>
      </c>
      <c r="O620" s="17">
        <v>0</v>
      </c>
      <c r="P620" s="17">
        <v>0</v>
      </c>
      <c r="Q620" s="17">
        <v>4</v>
      </c>
      <c r="R620" s="17">
        <v>0</v>
      </c>
      <c r="S620" s="17">
        <v>0</v>
      </c>
      <c r="T620" s="17">
        <v>0</v>
      </c>
      <c r="U620" s="17">
        <v>0</v>
      </c>
      <c r="V620" s="17">
        <v>0</v>
      </c>
      <c r="W620" s="17">
        <v>0</v>
      </c>
      <c r="X620" s="17">
        <v>0</v>
      </c>
      <c r="Y620" s="17">
        <v>0</v>
      </c>
      <c r="Z620" s="17">
        <v>0</v>
      </c>
      <c r="AA620" s="17">
        <v>0</v>
      </c>
      <c r="AB620" s="17">
        <v>0</v>
      </c>
      <c r="AC620" s="17">
        <v>0</v>
      </c>
      <c r="AD620" s="17">
        <v>0</v>
      </c>
      <c r="AE620" s="17">
        <v>0</v>
      </c>
      <c r="AF620" s="17">
        <v>0</v>
      </c>
      <c r="AG620" s="17">
        <v>0</v>
      </c>
      <c r="AH620" s="17">
        <v>0</v>
      </c>
      <c r="AI620" s="17">
        <v>0</v>
      </c>
      <c r="AJ620" s="17">
        <v>0</v>
      </c>
      <c r="AK620" s="17">
        <v>0</v>
      </c>
      <c r="AL620" s="17">
        <v>0</v>
      </c>
      <c r="AM620" s="17">
        <v>0</v>
      </c>
      <c r="AN620" s="17">
        <v>0</v>
      </c>
      <c r="AO620" s="17">
        <v>0</v>
      </c>
      <c r="AP620" s="17">
        <v>0</v>
      </c>
      <c r="AQ620" s="17">
        <v>0</v>
      </c>
      <c r="AR620" s="17">
        <v>0</v>
      </c>
      <c r="AS620" s="17">
        <v>0</v>
      </c>
      <c r="AT620" s="17">
        <v>0</v>
      </c>
      <c r="AU620" s="17">
        <v>0</v>
      </c>
      <c r="AV620" s="17">
        <v>0</v>
      </c>
      <c r="AW620" s="17">
        <v>0</v>
      </c>
      <c r="AX620" s="17">
        <v>0</v>
      </c>
      <c r="AY620" s="17">
        <v>0</v>
      </c>
      <c r="AZ620" s="17">
        <v>0</v>
      </c>
      <c r="BA620" s="17">
        <v>0</v>
      </c>
      <c r="BB620" s="17">
        <v>0</v>
      </c>
      <c r="BC620" s="17">
        <v>0</v>
      </c>
      <c r="BD620" s="17">
        <v>0</v>
      </c>
      <c r="BE620" s="17">
        <v>0</v>
      </c>
      <c r="BF620" s="17">
        <v>0</v>
      </c>
      <c r="BG620" s="17">
        <v>0</v>
      </c>
      <c r="BH620" s="17">
        <v>0</v>
      </c>
      <c r="BI620" s="22">
        <f t="shared" si="162"/>
        <v>0</v>
      </c>
      <c r="BJ620" s="22">
        <f t="shared" si="163"/>
        <v>4</v>
      </c>
      <c r="BK620" s="22">
        <f t="shared" si="164"/>
        <v>19</v>
      </c>
      <c r="BL620" s="22">
        <f t="shared" si="165"/>
        <v>13</v>
      </c>
      <c r="BM620" s="22">
        <f t="shared" si="167"/>
        <v>6</v>
      </c>
      <c r="BN620" s="23">
        <f t="shared" si="168"/>
        <v>1</v>
      </c>
      <c r="BO620" s="23">
        <f t="shared" si="168"/>
        <v>0.33333333333333331</v>
      </c>
      <c r="BP620" s="7">
        <f>VLOOKUP(A620,[1]Sheet15!B:E,4,0)</f>
        <v>6</v>
      </c>
      <c r="BQ620" s="7">
        <f>VLOOKUP(A620,[1]Sheet15!B:E,3,0)</f>
        <v>0</v>
      </c>
    </row>
    <row r="621" spans="1:69" ht="22.5" customHeight="1" x14ac:dyDescent="0.25">
      <c r="A621" s="15" t="s">
        <v>1487</v>
      </c>
      <c r="B621" s="15" t="str">
        <f>VLOOKUP(A621,'[1]Master clients'!F600:W4147,17,0)</f>
        <v>Mar</v>
      </c>
      <c r="C621" s="15" t="str">
        <f>VLOOKUP(A621,'[1]Master clients'!F600:P4147,11,0)</f>
        <v>NI</v>
      </c>
      <c r="D621" s="15" t="str">
        <f>VLOOKUP(A621,'[1]Master clients'!F:M,8,0)</f>
        <v>Group (Mills)</v>
      </c>
      <c r="E621" s="16" t="s">
        <v>1488</v>
      </c>
      <c r="F621" s="16" t="s">
        <v>1480</v>
      </c>
      <c r="G621" s="17"/>
      <c r="H621" s="17"/>
      <c r="I621" s="31">
        <v>15</v>
      </c>
      <c r="J621" s="31">
        <v>0</v>
      </c>
      <c r="K621" s="17">
        <v>6</v>
      </c>
      <c r="L621" s="17">
        <v>0</v>
      </c>
      <c r="M621" s="17">
        <v>0</v>
      </c>
      <c r="N621" s="17">
        <v>0</v>
      </c>
      <c r="O621" s="17">
        <v>6</v>
      </c>
      <c r="P621" s="17">
        <v>0</v>
      </c>
      <c r="Q621" s="17">
        <v>5</v>
      </c>
      <c r="R621" s="17">
        <v>0</v>
      </c>
      <c r="S621" s="17">
        <v>0</v>
      </c>
      <c r="T621" s="17">
        <v>0</v>
      </c>
      <c r="U621" s="17">
        <v>0</v>
      </c>
      <c r="V621" s="17">
        <v>0</v>
      </c>
      <c r="W621" s="17">
        <v>0</v>
      </c>
      <c r="X621" s="17">
        <v>0</v>
      </c>
      <c r="Y621" s="17">
        <v>0</v>
      </c>
      <c r="Z621" s="17">
        <v>0</v>
      </c>
      <c r="AA621" s="17">
        <v>0</v>
      </c>
      <c r="AB621" s="17">
        <v>0</v>
      </c>
      <c r="AC621" s="17">
        <v>0</v>
      </c>
      <c r="AD621" s="17">
        <v>0</v>
      </c>
      <c r="AE621" s="17">
        <v>0</v>
      </c>
      <c r="AF621" s="17">
        <v>0</v>
      </c>
      <c r="AG621" s="17">
        <v>0</v>
      </c>
      <c r="AH621" s="17">
        <v>0</v>
      </c>
      <c r="AI621" s="17">
        <v>0</v>
      </c>
      <c r="AJ621" s="17">
        <v>0</v>
      </c>
      <c r="AK621" s="17">
        <v>0</v>
      </c>
      <c r="AL621" s="17">
        <v>0</v>
      </c>
      <c r="AM621" s="17">
        <v>0</v>
      </c>
      <c r="AN621" s="17">
        <v>0</v>
      </c>
      <c r="AO621" s="17">
        <v>0</v>
      </c>
      <c r="AP621" s="17">
        <v>0</v>
      </c>
      <c r="AQ621" s="17">
        <v>0</v>
      </c>
      <c r="AR621" s="17">
        <v>0</v>
      </c>
      <c r="AS621" s="17">
        <v>0</v>
      </c>
      <c r="AT621" s="17">
        <v>0</v>
      </c>
      <c r="AU621" s="17">
        <v>0</v>
      </c>
      <c r="AV621" s="17">
        <v>0</v>
      </c>
      <c r="AW621" s="17">
        <v>0</v>
      </c>
      <c r="AX621" s="17">
        <v>0</v>
      </c>
      <c r="AY621" s="17">
        <v>0</v>
      </c>
      <c r="AZ621" s="17">
        <v>0</v>
      </c>
      <c r="BA621" s="17">
        <v>0</v>
      </c>
      <c r="BB621" s="17">
        <v>0</v>
      </c>
      <c r="BC621" s="17">
        <v>0</v>
      </c>
      <c r="BD621" s="17">
        <v>0</v>
      </c>
      <c r="BE621" s="17">
        <v>0</v>
      </c>
      <c r="BF621" s="17">
        <v>0</v>
      </c>
      <c r="BG621" s="17">
        <v>0</v>
      </c>
      <c r="BH621" s="17">
        <v>0</v>
      </c>
      <c r="BI621" s="22">
        <f t="shared" si="162"/>
        <v>6</v>
      </c>
      <c r="BJ621" s="22">
        <f t="shared" si="163"/>
        <v>11</v>
      </c>
      <c r="BK621" s="22">
        <f t="shared" si="164"/>
        <v>32</v>
      </c>
      <c r="BL621" s="22">
        <f t="shared" si="165"/>
        <v>21</v>
      </c>
      <c r="BM621" s="22">
        <f t="shared" si="167"/>
        <v>11</v>
      </c>
      <c r="BN621" s="23">
        <f t="shared" si="168"/>
        <v>0.7142857142857143</v>
      </c>
      <c r="BO621" s="23">
        <f t="shared" si="168"/>
        <v>0</v>
      </c>
      <c r="BP621" s="7">
        <f>VLOOKUP(A621,[1]Sheet15!B:E,4,0)</f>
        <v>18</v>
      </c>
      <c r="BQ621" s="7">
        <f>VLOOKUP(A621,[1]Sheet15!B:E,3,0)</f>
        <v>0</v>
      </c>
    </row>
    <row r="622" spans="1:69" ht="22.5" customHeight="1" x14ac:dyDescent="0.25">
      <c r="A622" s="15" t="s">
        <v>1489</v>
      </c>
      <c r="B622" s="15" t="str">
        <f>VLOOKUP(A622,'[1]Master clients'!F601:W4148,17,0)</f>
        <v>Mar</v>
      </c>
      <c r="C622" s="15" t="str">
        <f>VLOOKUP(A622,'[1]Master clients'!F601:P4148,11,0)</f>
        <v>NI</v>
      </c>
      <c r="D622" s="15" t="str">
        <f>VLOOKUP(A622,'[1]Master clients'!F:M,8,0)</f>
        <v>End User</v>
      </c>
      <c r="E622" s="24" t="s">
        <v>1490</v>
      </c>
      <c r="F622" s="25" t="s">
        <v>1480</v>
      </c>
      <c r="G622" s="20">
        <v>0</v>
      </c>
      <c r="H622" s="20">
        <v>0</v>
      </c>
      <c r="I622" s="26">
        <v>9</v>
      </c>
      <c r="J622" s="26">
        <v>0</v>
      </c>
      <c r="K622" s="20">
        <v>0</v>
      </c>
      <c r="L622" s="20">
        <v>0</v>
      </c>
      <c r="M622" s="20">
        <v>0</v>
      </c>
      <c r="N622" s="20">
        <v>6</v>
      </c>
      <c r="O622" s="20">
        <v>0</v>
      </c>
      <c r="P622" s="20">
        <v>0</v>
      </c>
      <c r="Q622" s="20">
        <v>6</v>
      </c>
      <c r="R622" s="20">
        <v>0</v>
      </c>
      <c r="S622" s="20">
        <v>0</v>
      </c>
      <c r="T622" s="20">
        <v>0</v>
      </c>
      <c r="U622" s="20">
        <v>0</v>
      </c>
      <c r="V622" s="20">
        <v>0</v>
      </c>
      <c r="W622" s="20">
        <v>0</v>
      </c>
      <c r="X622" s="20">
        <v>0</v>
      </c>
      <c r="Y622" s="20">
        <v>0</v>
      </c>
      <c r="Z622" s="20">
        <v>0</v>
      </c>
      <c r="AA622" s="20">
        <v>0</v>
      </c>
      <c r="AB622" s="20">
        <v>0</v>
      </c>
      <c r="AC622" s="20">
        <v>0</v>
      </c>
      <c r="AD622" s="20">
        <v>0</v>
      </c>
      <c r="AE622" s="20">
        <v>0</v>
      </c>
      <c r="AF622" s="20">
        <v>0</v>
      </c>
      <c r="AG622" s="20">
        <v>0</v>
      </c>
      <c r="AH622" s="20">
        <v>0</v>
      </c>
      <c r="AI622" s="20">
        <v>0</v>
      </c>
      <c r="AJ622" s="20">
        <v>0</v>
      </c>
      <c r="AK622" s="20">
        <v>0</v>
      </c>
      <c r="AL622" s="20">
        <v>0</v>
      </c>
      <c r="AM622" s="20">
        <v>0</v>
      </c>
      <c r="AN622" s="20">
        <v>0</v>
      </c>
      <c r="AO622" s="20">
        <v>0</v>
      </c>
      <c r="AP622" s="20">
        <v>0</v>
      </c>
      <c r="AQ622" s="20">
        <v>0</v>
      </c>
      <c r="AR622" s="20">
        <v>0</v>
      </c>
      <c r="AS622" s="20">
        <v>0</v>
      </c>
      <c r="AT622" s="20">
        <v>0</v>
      </c>
      <c r="AU622" s="20">
        <v>0</v>
      </c>
      <c r="AV622" s="20">
        <v>0</v>
      </c>
      <c r="AW622" s="20">
        <v>0</v>
      </c>
      <c r="AX622" s="20">
        <v>0</v>
      </c>
      <c r="AY622" s="20">
        <v>0</v>
      </c>
      <c r="AZ622" s="20">
        <v>0</v>
      </c>
      <c r="BA622" s="20">
        <v>0</v>
      </c>
      <c r="BB622" s="27">
        <v>0</v>
      </c>
      <c r="BC622" s="20">
        <v>0</v>
      </c>
      <c r="BD622" s="20">
        <v>0</v>
      </c>
      <c r="BE622" s="21">
        <v>0</v>
      </c>
      <c r="BF622" s="21">
        <v>0</v>
      </c>
      <c r="BG622" s="20">
        <v>0</v>
      </c>
      <c r="BH622" s="20">
        <v>0</v>
      </c>
      <c r="BI622" s="22">
        <f t="shared" si="162"/>
        <v>0</v>
      </c>
      <c r="BJ622" s="22">
        <f t="shared" si="163"/>
        <v>12</v>
      </c>
      <c r="BK622" s="28">
        <f t="shared" si="164"/>
        <v>21</v>
      </c>
      <c r="BL622" s="22">
        <f t="shared" si="165"/>
        <v>9</v>
      </c>
      <c r="BM622" s="22">
        <f t="shared" si="167"/>
        <v>12</v>
      </c>
      <c r="BN622" s="23">
        <f t="shared" si="168"/>
        <v>1</v>
      </c>
      <c r="BO622" s="23">
        <f t="shared" si="168"/>
        <v>0</v>
      </c>
      <c r="BP622" s="7">
        <f>VLOOKUP(A622,[1]Sheet15!B:E,4,0)</f>
        <v>9</v>
      </c>
      <c r="BQ622" s="7">
        <f>VLOOKUP(A622,[1]Sheet15!B:E,3,0)</f>
        <v>0</v>
      </c>
    </row>
    <row r="623" spans="1:69" ht="22.5" customHeight="1" x14ac:dyDescent="0.25">
      <c r="A623" s="15" t="s">
        <v>1491</v>
      </c>
      <c r="B623" s="15" t="e">
        <f>VLOOKUP(A623,'[1]Master clients'!F602:W4149,17,0)</f>
        <v>#N/A</v>
      </c>
      <c r="C623" s="15" t="e">
        <f>VLOOKUP(A623,'[1]Master clients'!F602:P4149,11,0)</f>
        <v>#N/A</v>
      </c>
      <c r="D623" s="15" t="str">
        <f>VLOOKUP(A623,'[1]Master clients'!F:M,8,0)</f>
        <v>End User</v>
      </c>
      <c r="E623" s="16" t="s">
        <v>1492</v>
      </c>
      <c r="F623" s="16" t="s">
        <v>1382</v>
      </c>
      <c r="G623" s="17"/>
      <c r="H623" s="17"/>
      <c r="I623" s="18">
        <v>0</v>
      </c>
      <c r="J623" s="18">
        <v>0</v>
      </c>
      <c r="K623" s="17">
        <v>0</v>
      </c>
      <c r="L623" s="17">
        <v>0</v>
      </c>
      <c r="M623" s="17">
        <v>0</v>
      </c>
      <c r="N623" s="17">
        <v>0</v>
      </c>
      <c r="O623" s="17">
        <v>0</v>
      </c>
      <c r="P623" s="17">
        <v>0</v>
      </c>
      <c r="Q623" s="17">
        <v>0</v>
      </c>
      <c r="R623" s="17">
        <v>0</v>
      </c>
      <c r="S623" s="17">
        <v>0</v>
      </c>
      <c r="T623" s="17">
        <v>0</v>
      </c>
      <c r="U623" s="17">
        <v>0</v>
      </c>
      <c r="V623" s="17">
        <v>0</v>
      </c>
      <c r="W623" s="17">
        <v>0</v>
      </c>
      <c r="X623" s="17">
        <v>0</v>
      </c>
      <c r="Y623" s="17">
        <v>0</v>
      </c>
      <c r="Z623" s="17">
        <v>0</v>
      </c>
      <c r="AA623" s="17">
        <v>0</v>
      </c>
      <c r="AB623" s="17">
        <v>0</v>
      </c>
      <c r="AC623" s="17">
        <v>0</v>
      </c>
      <c r="AD623" s="17">
        <v>0</v>
      </c>
      <c r="AE623" s="17">
        <v>0</v>
      </c>
      <c r="AF623" s="17">
        <v>0</v>
      </c>
      <c r="AG623" s="17">
        <v>0</v>
      </c>
      <c r="AH623" s="17">
        <v>0</v>
      </c>
      <c r="AI623" s="17">
        <v>0</v>
      </c>
      <c r="AJ623" s="17">
        <v>0</v>
      </c>
      <c r="AK623" s="17">
        <v>0</v>
      </c>
      <c r="AL623" s="17">
        <v>0</v>
      </c>
      <c r="AM623" s="17">
        <v>0</v>
      </c>
      <c r="AN623" s="17">
        <v>0</v>
      </c>
      <c r="AO623" s="17">
        <v>0</v>
      </c>
      <c r="AP623" s="17">
        <v>0</v>
      </c>
      <c r="AQ623" s="17">
        <v>0</v>
      </c>
      <c r="AR623" s="17">
        <v>0</v>
      </c>
      <c r="AS623" s="17">
        <v>0</v>
      </c>
      <c r="AT623" s="17">
        <v>0</v>
      </c>
      <c r="AU623" s="17">
        <v>0</v>
      </c>
      <c r="AV623" s="17">
        <v>0</v>
      </c>
      <c r="AW623" s="17">
        <v>0</v>
      </c>
      <c r="AX623" s="17">
        <v>0</v>
      </c>
      <c r="AY623" s="17">
        <v>0</v>
      </c>
      <c r="AZ623" s="17">
        <v>0</v>
      </c>
      <c r="BA623" s="17">
        <v>0</v>
      </c>
      <c r="BB623" s="17">
        <v>0</v>
      </c>
      <c r="BC623" s="17">
        <v>0</v>
      </c>
      <c r="BD623" s="17">
        <v>0</v>
      </c>
      <c r="BE623" s="17">
        <v>0</v>
      </c>
      <c r="BF623" s="17">
        <v>0</v>
      </c>
      <c r="BG623" s="17">
        <v>0</v>
      </c>
      <c r="BH623" s="17">
        <v>0</v>
      </c>
      <c r="BI623" s="22">
        <f>SUM(M623+N623+P623+R623+T623+W623+Z623+AC623+AE623+AL623+AO623+AP623+AS623+AW623+AX623+BC623+BE623+BG623)</f>
        <v>0</v>
      </c>
      <c r="BJ623" s="22">
        <f>SUM(H623:BG623)</f>
        <v>0</v>
      </c>
      <c r="BK623" s="22">
        <f>SUM(H623+J623+K623+L623+O623+Q623+S623+U623+V623+X623+Y623+AA623+AB623+AD623+AF623+AG623+AH623+AI623+AJ623+AK623+AM623+AN623+AQ623+AR623+AT623+AU623+AV623+AY623+AZ623+BA623+BB623+BF623+BD623)</f>
        <v>0</v>
      </c>
      <c r="BL623" s="22">
        <f t="shared" ref="BL623:BM627" si="169">SUM(I623+M623+N623+P623+R623+T623+W623+Z623+AC623+AE623+AL623+AO623+AP623+AS623+AW623+AX623+BC623+BG623)</f>
        <v>0</v>
      </c>
      <c r="BM623" s="22">
        <f t="shared" si="169"/>
        <v>0</v>
      </c>
      <c r="BN623" s="23" t="e">
        <f t="shared" si="168"/>
        <v>#DIV/0!</v>
      </c>
      <c r="BO623" s="23" t="e">
        <f t="shared" si="168"/>
        <v>#DIV/0!</v>
      </c>
      <c r="BP623" s="7" t="e">
        <f>VLOOKUP(A623,[1]Sheet15!B:E,4,0)</f>
        <v>#N/A</v>
      </c>
      <c r="BQ623" s="7" t="e">
        <f>VLOOKUP(A623,[1]Sheet15!B:E,3,0)</f>
        <v>#N/A</v>
      </c>
    </row>
    <row r="624" spans="1:69" ht="22.5" customHeight="1" x14ac:dyDescent="0.25">
      <c r="A624" s="15" t="s">
        <v>1493</v>
      </c>
      <c r="B624" s="15">
        <f>VLOOKUP(A624,'[1]Master clients'!F603:W4150,17,0)</f>
        <v>0</v>
      </c>
      <c r="C624" s="15" t="str">
        <f>VLOOKUP(A624,'[1]Master clients'!F603:P4150,11,0)</f>
        <v>AV</v>
      </c>
      <c r="D624" s="15" t="str">
        <f>VLOOKUP(A624,'[1]Master clients'!F:M,8,0)</f>
        <v>End User</v>
      </c>
      <c r="E624" s="16" t="s">
        <v>1494</v>
      </c>
      <c r="F624" s="16" t="s">
        <v>1382</v>
      </c>
      <c r="G624" s="17">
        <v>0</v>
      </c>
      <c r="H624" s="17">
        <v>0</v>
      </c>
      <c r="I624" s="18">
        <v>0</v>
      </c>
      <c r="J624" s="18">
        <v>0</v>
      </c>
      <c r="K624" s="17">
        <v>0</v>
      </c>
      <c r="L624" s="17">
        <v>0</v>
      </c>
      <c r="M624" s="17">
        <v>0</v>
      </c>
      <c r="N624" s="17">
        <v>0</v>
      </c>
      <c r="O624" s="17">
        <v>0</v>
      </c>
      <c r="P624" s="19">
        <v>0</v>
      </c>
      <c r="Q624" s="19">
        <v>0</v>
      </c>
      <c r="R624" s="17">
        <v>7</v>
      </c>
      <c r="S624" s="17">
        <v>0</v>
      </c>
      <c r="T624" s="17">
        <v>0</v>
      </c>
      <c r="U624" s="17">
        <v>0</v>
      </c>
      <c r="V624" s="17">
        <v>0</v>
      </c>
      <c r="W624" s="20">
        <v>0</v>
      </c>
      <c r="X624" s="20">
        <v>0</v>
      </c>
      <c r="Y624" s="17">
        <v>0</v>
      </c>
      <c r="Z624" s="17">
        <v>0</v>
      </c>
      <c r="AA624" s="17">
        <v>0</v>
      </c>
      <c r="AB624" s="17">
        <v>0</v>
      </c>
      <c r="AC624" s="17">
        <v>0</v>
      </c>
      <c r="AD624" s="17">
        <v>0</v>
      </c>
      <c r="AE624" s="17">
        <v>0</v>
      </c>
      <c r="AF624" s="17">
        <v>0</v>
      </c>
      <c r="AG624" s="17">
        <v>0</v>
      </c>
      <c r="AH624" s="17">
        <v>0</v>
      </c>
      <c r="AI624" s="20">
        <v>0</v>
      </c>
      <c r="AJ624" s="20">
        <v>0</v>
      </c>
      <c r="AK624" s="17">
        <v>0</v>
      </c>
      <c r="AL624" s="20">
        <v>0</v>
      </c>
      <c r="AM624" s="17">
        <v>0</v>
      </c>
      <c r="AN624" s="17">
        <v>0</v>
      </c>
      <c r="AO624" s="17">
        <v>0</v>
      </c>
      <c r="AP624" s="17">
        <v>0</v>
      </c>
      <c r="AQ624" s="17">
        <v>0</v>
      </c>
      <c r="AR624" s="17">
        <v>0</v>
      </c>
      <c r="AS624" s="17">
        <v>0</v>
      </c>
      <c r="AT624" s="17">
        <v>0</v>
      </c>
      <c r="AU624" s="17">
        <v>0</v>
      </c>
      <c r="AV624" s="17">
        <v>0</v>
      </c>
      <c r="AW624" s="20">
        <v>0</v>
      </c>
      <c r="AX624" s="20">
        <v>0</v>
      </c>
      <c r="AY624" s="20">
        <v>0</v>
      </c>
      <c r="AZ624" s="17">
        <v>0</v>
      </c>
      <c r="BA624" s="17">
        <v>0</v>
      </c>
      <c r="BB624" s="17">
        <v>0</v>
      </c>
      <c r="BC624" s="17">
        <v>0</v>
      </c>
      <c r="BD624" s="17">
        <v>0</v>
      </c>
      <c r="BE624" s="21">
        <v>0</v>
      </c>
      <c r="BF624" s="21">
        <v>0</v>
      </c>
      <c r="BG624" s="17">
        <v>0</v>
      </c>
      <c r="BH624" s="17">
        <v>0</v>
      </c>
      <c r="BI624" s="22">
        <f t="shared" ref="BI624:BI627" si="170">SUM(K624+L624+M624+P624+R624+T624+V624+W624+Y624+Z624+AB624+AC624+AE624+AG624+AH624+AI624+AJ624+AK624+AL624+AN624+AO624+AR624+AS624+AU624+AV624+AW624+AZ624+BA624+BB624+BC624+BE624+BG624)</f>
        <v>7</v>
      </c>
      <c r="BJ624" s="22">
        <f t="shared" ref="BJ624:BJ627" si="171">SUM(N624+O624+Q624+S624+U624+X624+AA624+AD624+AF624+AM624+AP624+AQ624+AT624+AX624+AY624+BD624+BF624+BH624)</f>
        <v>0</v>
      </c>
      <c r="BK624" s="22">
        <f t="shared" ref="BK624:BK627" si="172">SUM(I624:BH624)</f>
        <v>7</v>
      </c>
      <c r="BL624" s="22">
        <f t="shared" ref="BL624:BL627" si="173">SUM(I624+K624+L624+M624+P624+R624+T624+V624+W624+Y624+Z624+AB624+AC624+AE624+AG624+AH624+AI624+AJ624+AK624+AL624+AN624+AO624+AR624+AS624+AU624+AV624+AW624+AZ624+BA624+BB624+BC624+BG624+BE624)</f>
        <v>7</v>
      </c>
      <c r="BM624" s="22">
        <f t="shared" si="169"/>
        <v>0</v>
      </c>
      <c r="BN624" s="23">
        <f t="shared" si="168"/>
        <v>0</v>
      </c>
      <c r="BO624" s="23" t="e">
        <f t="shared" si="168"/>
        <v>#DIV/0!</v>
      </c>
      <c r="BP624" s="7" t="e">
        <f>VLOOKUP(A624,[1]Sheet15!B:E,4,0)</f>
        <v>#N/A</v>
      </c>
      <c r="BQ624" s="7" t="e">
        <f>VLOOKUP(A624,[1]Sheet15!B:E,3,0)</f>
        <v>#N/A</v>
      </c>
    </row>
    <row r="625" spans="1:69" ht="22.5" customHeight="1" x14ac:dyDescent="0.25">
      <c r="A625" s="15" t="s">
        <v>1495</v>
      </c>
      <c r="B625" s="15">
        <f>VLOOKUP(A625,'[1]Master clients'!F604:W4151,17,0)</f>
        <v>0</v>
      </c>
      <c r="C625" s="15" t="str">
        <f>VLOOKUP(A625,'[1]Master clients'!F604:P4151,11,0)</f>
        <v>WI-SV</v>
      </c>
      <c r="D625" s="15" t="str">
        <f>VLOOKUP(A625,'[1]Master clients'!F:M,8,0)</f>
        <v>End User</v>
      </c>
      <c r="E625" s="16" t="s">
        <v>1496</v>
      </c>
      <c r="F625" s="16" t="s">
        <v>1382</v>
      </c>
      <c r="G625" s="17"/>
      <c r="H625" s="17"/>
      <c r="I625" s="26">
        <v>2</v>
      </c>
      <c r="J625" s="31">
        <v>0</v>
      </c>
      <c r="K625" s="17">
        <v>0</v>
      </c>
      <c r="L625" s="17">
        <v>0</v>
      </c>
      <c r="M625" s="17">
        <v>0</v>
      </c>
      <c r="N625" s="17">
        <v>0</v>
      </c>
      <c r="O625" s="17">
        <v>0</v>
      </c>
      <c r="P625" s="17">
        <v>0</v>
      </c>
      <c r="Q625" s="17">
        <v>0</v>
      </c>
      <c r="R625" s="17">
        <v>0</v>
      </c>
      <c r="S625" s="17">
        <v>0</v>
      </c>
      <c r="T625" s="17">
        <v>0</v>
      </c>
      <c r="U625" s="17">
        <v>0</v>
      </c>
      <c r="V625" s="17">
        <v>0</v>
      </c>
      <c r="W625" s="17">
        <v>0</v>
      </c>
      <c r="X625" s="17">
        <v>0</v>
      </c>
      <c r="Y625" s="17">
        <v>0</v>
      </c>
      <c r="Z625" s="17">
        <v>0</v>
      </c>
      <c r="AA625" s="17">
        <v>0</v>
      </c>
      <c r="AB625" s="17">
        <v>0</v>
      </c>
      <c r="AC625" s="17">
        <v>0</v>
      </c>
      <c r="AD625" s="17">
        <v>0</v>
      </c>
      <c r="AE625" s="17">
        <v>0</v>
      </c>
      <c r="AF625" s="17">
        <v>0</v>
      </c>
      <c r="AG625" s="17">
        <v>0</v>
      </c>
      <c r="AH625" s="17">
        <v>0</v>
      </c>
      <c r="AI625" s="17">
        <v>0</v>
      </c>
      <c r="AJ625" s="17">
        <v>0</v>
      </c>
      <c r="AK625" s="17">
        <v>0</v>
      </c>
      <c r="AL625" s="17">
        <v>0</v>
      </c>
      <c r="AM625" s="17">
        <v>0</v>
      </c>
      <c r="AN625" s="17">
        <v>0</v>
      </c>
      <c r="AO625" s="17">
        <v>0</v>
      </c>
      <c r="AP625" s="17">
        <v>0</v>
      </c>
      <c r="AQ625" s="17">
        <v>0</v>
      </c>
      <c r="AR625" s="17">
        <v>0</v>
      </c>
      <c r="AS625" s="17">
        <v>0</v>
      </c>
      <c r="AT625" s="17">
        <v>0</v>
      </c>
      <c r="AU625" s="17">
        <v>0</v>
      </c>
      <c r="AV625" s="17">
        <v>0</v>
      </c>
      <c r="AW625" s="17">
        <v>0</v>
      </c>
      <c r="AX625" s="17">
        <v>0</v>
      </c>
      <c r="AY625" s="17">
        <v>0</v>
      </c>
      <c r="AZ625" s="17">
        <v>0</v>
      </c>
      <c r="BA625" s="17">
        <v>0</v>
      </c>
      <c r="BB625" s="17">
        <v>0</v>
      </c>
      <c r="BC625" s="17">
        <v>0</v>
      </c>
      <c r="BD625" s="17">
        <v>0</v>
      </c>
      <c r="BE625" s="17">
        <v>0</v>
      </c>
      <c r="BF625" s="17">
        <v>0</v>
      </c>
      <c r="BG625" s="17">
        <v>0</v>
      </c>
      <c r="BH625" s="17">
        <v>0</v>
      </c>
      <c r="BI625" s="22">
        <f t="shared" si="170"/>
        <v>0</v>
      </c>
      <c r="BJ625" s="22">
        <f t="shared" si="171"/>
        <v>0</v>
      </c>
      <c r="BK625" s="22">
        <f t="shared" si="172"/>
        <v>2</v>
      </c>
      <c r="BL625" s="22">
        <f t="shared" si="173"/>
        <v>2</v>
      </c>
      <c r="BM625" s="22">
        <f t="shared" si="169"/>
        <v>0</v>
      </c>
      <c r="BN625" s="23">
        <f t="shared" si="168"/>
        <v>1</v>
      </c>
      <c r="BO625" s="23" t="e">
        <f t="shared" si="168"/>
        <v>#DIV/0!</v>
      </c>
      <c r="BP625" s="7">
        <f>VLOOKUP(A625,[1]Sheet15!B:E,4,0)</f>
        <v>2</v>
      </c>
      <c r="BQ625" s="7">
        <f>VLOOKUP(A625,[1]Sheet15!B:E,3,0)</f>
        <v>0</v>
      </c>
    </row>
    <row r="626" spans="1:69" ht="22.5" customHeight="1" x14ac:dyDescent="0.25">
      <c r="A626" s="15" t="s">
        <v>1497</v>
      </c>
      <c r="B626" s="15">
        <f>VLOOKUP(A626,'[1]Master clients'!F605:W4152,17,0)</f>
        <v>0</v>
      </c>
      <c r="C626" s="15" t="str">
        <f>VLOOKUP(A626,'[1]Master clients'!F605:P4152,11,0)</f>
        <v>NI</v>
      </c>
      <c r="D626" s="15" t="str">
        <f>VLOOKUP(A626,'[1]Master clients'!F:M,8,0)</f>
        <v>End User</v>
      </c>
      <c r="E626" s="24" t="s">
        <v>1498</v>
      </c>
      <c r="F626" s="25" t="s">
        <v>1499</v>
      </c>
      <c r="G626" s="20">
        <v>22</v>
      </c>
      <c r="H626" s="20">
        <v>0</v>
      </c>
      <c r="I626" s="26">
        <v>14</v>
      </c>
      <c r="J626" s="26">
        <v>0</v>
      </c>
      <c r="K626" s="20">
        <v>0</v>
      </c>
      <c r="L626" s="20">
        <v>0</v>
      </c>
      <c r="M626" s="20">
        <v>0</v>
      </c>
      <c r="N626" s="20">
        <v>0</v>
      </c>
      <c r="O626" s="20">
        <v>0</v>
      </c>
      <c r="P626" s="20">
        <v>0</v>
      </c>
      <c r="Q626" s="20">
        <v>14</v>
      </c>
      <c r="R626" s="20">
        <v>0</v>
      </c>
      <c r="S626" s="20">
        <v>0</v>
      </c>
      <c r="T626" s="20">
        <v>0</v>
      </c>
      <c r="U626" s="20">
        <v>0</v>
      </c>
      <c r="V626" s="20">
        <v>0</v>
      </c>
      <c r="W626" s="20">
        <v>0</v>
      </c>
      <c r="X626" s="20">
        <v>0</v>
      </c>
      <c r="Y626" s="20">
        <v>0</v>
      </c>
      <c r="Z626" s="20">
        <v>1</v>
      </c>
      <c r="AA626" s="20">
        <v>0</v>
      </c>
      <c r="AB626" s="20">
        <v>0</v>
      </c>
      <c r="AC626" s="20">
        <v>0</v>
      </c>
      <c r="AD626" s="20">
        <v>0</v>
      </c>
      <c r="AE626" s="20">
        <v>0</v>
      </c>
      <c r="AF626" s="20">
        <v>0</v>
      </c>
      <c r="AG626" s="20">
        <v>0</v>
      </c>
      <c r="AH626" s="20">
        <v>0</v>
      </c>
      <c r="AI626" s="20">
        <v>0</v>
      </c>
      <c r="AJ626" s="20">
        <v>0</v>
      </c>
      <c r="AK626" s="20">
        <v>0</v>
      </c>
      <c r="AL626" s="20">
        <v>0</v>
      </c>
      <c r="AM626" s="20">
        <v>0</v>
      </c>
      <c r="AN626" s="20">
        <v>0</v>
      </c>
      <c r="AO626" s="20">
        <v>0</v>
      </c>
      <c r="AP626" s="20">
        <v>0</v>
      </c>
      <c r="AQ626" s="20">
        <v>0</v>
      </c>
      <c r="AR626" s="20">
        <v>0</v>
      </c>
      <c r="AS626" s="20">
        <v>0</v>
      </c>
      <c r="AT626" s="20">
        <v>0</v>
      </c>
      <c r="AU626" s="20">
        <v>0</v>
      </c>
      <c r="AV626" s="20">
        <v>0</v>
      </c>
      <c r="AW626" s="20">
        <v>0</v>
      </c>
      <c r="AX626" s="20">
        <v>0</v>
      </c>
      <c r="AY626" s="20">
        <v>0</v>
      </c>
      <c r="AZ626" s="20">
        <v>0</v>
      </c>
      <c r="BA626" s="20">
        <v>0</v>
      </c>
      <c r="BB626" s="27">
        <v>0</v>
      </c>
      <c r="BC626" s="20">
        <v>0</v>
      </c>
      <c r="BD626" s="20">
        <v>0</v>
      </c>
      <c r="BE626" s="21">
        <v>0</v>
      </c>
      <c r="BF626" s="21">
        <v>0</v>
      </c>
      <c r="BG626" s="20">
        <v>0</v>
      </c>
      <c r="BH626" s="20">
        <v>0</v>
      </c>
      <c r="BI626" s="22">
        <f t="shared" si="170"/>
        <v>1</v>
      </c>
      <c r="BJ626" s="22">
        <f t="shared" si="171"/>
        <v>14</v>
      </c>
      <c r="BK626" s="28">
        <f t="shared" si="172"/>
        <v>29</v>
      </c>
      <c r="BL626" s="22">
        <f t="shared" si="173"/>
        <v>15</v>
      </c>
      <c r="BM626" s="22">
        <f t="shared" si="169"/>
        <v>14</v>
      </c>
      <c r="BN626" s="23">
        <f t="shared" si="168"/>
        <v>0.93333333333333335</v>
      </c>
      <c r="BO626" s="23">
        <f t="shared" si="168"/>
        <v>0</v>
      </c>
      <c r="BP626" s="7" t="e">
        <f>VLOOKUP(A626,[1]Sheet15!B:E,4,0)</f>
        <v>#N/A</v>
      </c>
      <c r="BQ626" s="7" t="e">
        <f>VLOOKUP(A626,[1]Sheet15!B:E,3,0)</f>
        <v>#N/A</v>
      </c>
    </row>
    <row r="627" spans="1:69" ht="22.5" customHeight="1" x14ac:dyDescent="0.25">
      <c r="A627" s="15" t="s">
        <v>1500</v>
      </c>
      <c r="B627" s="15">
        <f>VLOOKUP(A627,'[1]Master clients'!F606:W4153,17,0)</f>
        <v>0</v>
      </c>
      <c r="C627" s="15" t="str">
        <f>VLOOKUP(A627,'[1]Master clients'!F606:P4153,11,0)</f>
        <v>NI</v>
      </c>
      <c r="D627" s="15" t="str">
        <f>VLOOKUP(A627,'[1]Master clients'!F:M,8,0)</f>
        <v>End User</v>
      </c>
      <c r="E627" s="24" t="s">
        <v>1501</v>
      </c>
      <c r="F627" s="25" t="s">
        <v>1502</v>
      </c>
      <c r="G627" s="20">
        <v>0</v>
      </c>
      <c r="H627" s="20">
        <v>0</v>
      </c>
      <c r="I627" s="26">
        <v>10</v>
      </c>
      <c r="J627" s="26">
        <v>6</v>
      </c>
      <c r="K627" s="20">
        <v>0</v>
      </c>
      <c r="L627" s="20">
        <v>0</v>
      </c>
      <c r="M627" s="20">
        <v>0</v>
      </c>
      <c r="N627" s="20">
        <v>0</v>
      </c>
      <c r="O627" s="20">
        <v>0</v>
      </c>
      <c r="P627" s="20">
        <v>2</v>
      </c>
      <c r="Q627" s="20">
        <v>4</v>
      </c>
      <c r="R627" s="20">
        <v>6</v>
      </c>
      <c r="S627" s="20">
        <v>0</v>
      </c>
      <c r="T627" s="20">
        <v>0</v>
      </c>
      <c r="U627" s="20">
        <v>0</v>
      </c>
      <c r="V627" s="20">
        <v>0</v>
      </c>
      <c r="W627" s="20">
        <v>0</v>
      </c>
      <c r="X627" s="20">
        <v>0</v>
      </c>
      <c r="Y627" s="20">
        <v>0</v>
      </c>
      <c r="Z627" s="20">
        <v>0</v>
      </c>
      <c r="AA627" s="20">
        <v>0</v>
      </c>
      <c r="AB627" s="20">
        <v>0</v>
      </c>
      <c r="AC627" s="20">
        <v>0</v>
      </c>
      <c r="AD627" s="20">
        <v>0</v>
      </c>
      <c r="AE627" s="20">
        <v>0</v>
      </c>
      <c r="AF627" s="20">
        <v>0</v>
      </c>
      <c r="AG627" s="20">
        <v>0</v>
      </c>
      <c r="AH627" s="20">
        <v>0</v>
      </c>
      <c r="AI627" s="20">
        <v>0</v>
      </c>
      <c r="AJ627" s="20">
        <v>0</v>
      </c>
      <c r="AK627" s="20">
        <v>0</v>
      </c>
      <c r="AL627" s="20">
        <v>0</v>
      </c>
      <c r="AM627" s="20">
        <v>0</v>
      </c>
      <c r="AN627" s="20">
        <v>0</v>
      </c>
      <c r="AO627" s="20">
        <v>0</v>
      </c>
      <c r="AP627" s="20">
        <v>0</v>
      </c>
      <c r="AQ627" s="20">
        <v>0</v>
      </c>
      <c r="AR627" s="20">
        <v>0</v>
      </c>
      <c r="AS627" s="20">
        <v>0</v>
      </c>
      <c r="AT627" s="20">
        <v>0</v>
      </c>
      <c r="AU627" s="20">
        <v>0</v>
      </c>
      <c r="AV627" s="20">
        <v>0</v>
      </c>
      <c r="AW627" s="20">
        <v>0</v>
      </c>
      <c r="AX627" s="20">
        <v>0</v>
      </c>
      <c r="AY627" s="20">
        <v>0</v>
      </c>
      <c r="AZ627" s="20">
        <v>0</v>
      </c>
      <c r="BA627" s="20">
        <v>0</v>
      </c>
      <c r="BB627" s="27">
        <v>0</v>
      </c>
      <c r="BC627" s="20">
        <v>0</v>
      </c>
      <c r="BD627" s="20">
        <v>0</v>
      </c>
      <c r="BE627" s="21">
        <v>0</v>
      </c>
      <c r="BF627" s="21">
        <v>0</v>
      </c>
      <c r="BG627" s="20">
        <v>0</v>
      </c>
      <c r="BH627" s="20">
        <v>0</v>
      </c>
      <c r="BI627" s="22">
        <f t="shared" si="170"/>
        <v>8</v>
      </c>
      <c r="BJ627" s="22">
        <f t="shared" si="171"/>
        <v>4</v>
      </c>
      <c r="BK627" s="28">
        <f t="shared" si="172"/>
        <v>28</v>
      </c>
      <c r="BL627" s="22">
        <f t="shared" si="173"/>
        <v>18</v>
      </c>
      <c r="BM627" s="22">
        <f t="shared" si="169"/>
        <v>10</v>
      </c>
      <c r="BN627" s="23">
        <f t="shared" si="168"/>
        <v>0.55555555555555558</v>
      </c>
      <c r="BO627" s="23">
        <f t="shared" si="168"/>
        <v>0.6</v>
      </c>
      <c r="BP627" s="7">
        <f>VLOOKUP(A627,[1]Sheet15!B:E,4,0)</f>
        <v>5</v>
      </c>
      <c r="BQ627" s="7">
        <f>VLOOKUP(A627,[1]Sheet15!B:E,3,0)</f>
        <v>0</v>
      </c>
    </row>
    <row r="628" spans="1:69" ht="22.5" customHeight="1" x14ac:dyDescent="0.25">
      <c r="A628" s="15" t="s">
        <v>1503</v>
      </c>
      <c r="B628" s="15" t="e">
        <f>VLOOKUP(A628,'[1]Master clients'!F607:W4154,17,0)</f>
        <v>#N/A</v>
      </c>
      <c r="C628" s="15" t="e">
        <f>VLOOKUP(A628,'[1]Master clients'!F607:P4154,11,0)</f>
        <v>#N/A</v>
      </c>
      <c r="D628" s="15" t="str">
        <f>VLOOKUP(A628,'[1]Master clients'!F:M,8,0)</f>
        <v>End User</v>
      </c>
      <c r="E628" s="16" t="s">
        <v>1504</v>
      </c>
      <c r="F628" s="16" t="s">
        <v>1505</v>
      </c>
      <c r="G628" s="17"/>
      <c r="H628" s="17"/>
      <c r="I628" s="26">
        <v>7</v>
      </c>
      <c r="J628" s="31">
        <v>0</v>
      </c>
      <c r="K628" s="17">
        <v>0</v>
      </c>
      <c r="L628" s="17">
        <v>0</v>
      </c>
      <c r="M628" s="17">
        <v>0</v>
      </c>
      <c r="N628" s="17">
        <v>0</v>
      </c>
      <c r="O628" s="17">
        <v>0</v>
      </c>
      <c r="P628" s="17">
        <v>0</v>
      </c>
      <c r="Q628" s="17">
        <v>0</v>
      </c>
      <c r="R628" s="17">
        <v>0</v>
      </c>
      <c r="S628" s="17">
        <v>0</v>
      </c>
      <c r="T628" s="17">
        <v>0</v>
      </c>
      <c r="U628" s="17">
        <v>0</v>
      </c>
      <c r="V628" s="17">
        <v>0</v>
      </c>
      <c r="W628" s="17">
        <v>0</v>
      </c>
      <c r="X628" s="17">
        <v>0</v>
      </c>
      <c r="Y628" s="17">
        <v>0</v>
      </c>
      <c r="Z628" s="17">
        <v>0</v>
      </c>
      <c r="AA628" s="17">
        <v>0</v>
      </c>
      <c r="AB628" s="17">
        <v>0</v>
      </c>
      <c r="AC628" s="17">
        <v>0</v>
      </c>
      <c r="AD628" s="17">
        <v>0</v>
      </c>
      <c r="AE628" s="17">
        <v>0</v>
      </c>
      <c r="AF628" s="17">
        <v>0</v>
      </c>
      <c r="AG628" s="17">
        <v>0</v>
      </c>
      <c r="AH628" s="17">
        <v>0</v>
      </c>
      <c r="AI628" s="17">
        <v>0</v>
      </c>
      <c r="AJ628" s="17">
        <v>0</v>
      </c>
      <c r="AK628" s="17">
        <v>0</v>
      </c>
      <c r="AL628" s="17">
        <v>0</v>
      </c>
      <c r="AM628" s="17">
        <v>0</v>
      </c>
      <c r="AN628" s="17">
        <v>0</v>
      </c>
      <c r="AO628" s="17">
        <v>0</v>
      </c>
      <c r="AP628" s="17">
        <v>0</v>
      </c>
      <c r="AQ628" s="17">
        <v>0</v>
      </c>
      <c r="AR628" s="17">
        <v>0</v>
      </c>
      <c r="AS628" s="17">
        <v>0</v>
      </c>
      <c r="AT628" s="17">
        <v>0</v>
      </c>
      <c r="AU628" s="17">
        <v>0</v>
      </c>
      <c r="AV628" s="17">
        <v>0</v>
      </c>
      <c r="AW628" s="17">
        <v>0</v>
      </c>
      <c r="AX628" s="17">
        <v>0</v>
      </c>
      <c r="AY628" s="17">
        <v>0</v>
      </c>
      <c r="AZ628" s="17">
        <v>0</v>
      </c>
      <c r="BA628" s="17">
        <v>0</v>
      </c>
      <c r="BB628" s="17">
        <v>0</v>
      </c>
      <c r="BC628" s="17">
        <v>0</v>
      </c>
      <c r="BD628" s="17">
        <v>0</v>
      </c>
      <c r="BE628" s="17">
        <v>0</v>
      </c>
      <c r="BF628" s="17">
        <v>0</v>
      </c>
      <c r="BG628" s="17">
        <v>0</v>
      </c>
      <c r="BH628" s="17">
        <v>0</v>
      </c>
      <c r="BI628" s="22">
        <f t="shared" ref="BI628:BI629" si="174">SUM(M628+N628+P628+R628+T628+W628+Z628+AC628+AE628+AL628+AO628+AP628+AS628+AW628+AX628+BC628+BE628+BG628)</f>
        <v>0</v>
      </c>
      <c r="BJ628" s="22">
        <f t="shared" ref="BJ628:BJ629" si="175">SUM(H628:BG628)</f>
        <v>7</v>
      </c>
      <c r="BK628" s="22">
        <f t="shared" ref="BK628:BK629" si="176">SUM(H628+J628+K628+L628+O628+Q628+S628+U628+V628+X628+Y628+AA628+AB628+AD628+AF628+AG628+AH628+AI628+AJ628+AK628+AM628+AN628+AQ628+AR628+AT628+AU628+AV628+AY628+AZ628+BA628+BB628+BF628+BD628)</f>
        <v>0</v>
      </c>
      <c r="BL628" s="22">
        <f t="shared" ref="BL628:BM639" si="177">SUM(I628+M628+N628+P628+R628+T628+W628+Z628+AC628+AE628+AL628+AO628+AP628+AS628+AW628+AX628+BC628+BG628)</f>
        <v>7</v>
      </c>
      <c r="BM628" s="22">
        <f t="shared" si="177"/>
        <v>0</v>
      </c>
      <c r="BN628" s="23">
        <f t="shared" si="168"/>
        <v>1</v>
      </c>
      <c r="BO628" s="23" t="e">
        <f t="shared" si="168"/>
        <v>#DIV/0!</v>
      </c>
      <c r="BP628" s="7">
        <f>VLOOKUP(A628,[1]Sheet15!B:E,4,0)</f>
        <v>7</v>
      </c>
      <c r="BQ628" s="7">
        <f>VLOOKUP(A628,[1]Sheet15!B:E,3,0)</f>
        <v>0</v>
      </c>
    </row>
    <row r="629" spans="1:69" ht="22.5" customHeight="1" x14ac:dyDescent="0.25">
      <c r="A629" s="15" t="s">
        <v>1506</v>
      </c>
      <c r="B629" s="15" t="e">
        <f>VLOOKUP(A629,'[1]Master clients'!F608:W4155,17,0)</f>
        <v>#N/A</v>
      </c>
      <c r="C629" s="15" t="e">
        <f>VLOOKUP(A629,'[1]Master clients'!F608:P4155,11,0)</f>
        <v>#N/A</v>
      </c>
      <c r="D629" s="15" t="str">
        <f>VLOOKUP(A629,'[1]Master clients'!F:M,8,0)</f>
        <v>End User</v>
      </c>
      <c r="E629" s="16" t="s">
        <v>1507</v>
      </c>
      <c r="F629" s="16" t="s">
        <v>1508</v>
      </c>
      <c r="G629" s="17"/>
      <c r="H629" s="17">
        <v>6</v>
      </c>
      <c r="I629" s="26">
        <v>2</v>
      </c>
      <c r="J629" s="31">
        <v>6</v>
      </c>
      <c r="K629" s="17">
        <v>0</v>
      </c>
      <c r="L629" s="17">
        <v>0</v>
      </c>
      <c r="M629" s="17">
        <v>0</v>
      </c>
      <c r="N629" s="17">
        <v>0</v>
      </c>
      <c r="O629" s="17">
        <v>0</v>
      </c>
      <c r="P629" s="17">
        <v>0</v>
      </c>
      <c r="Q629" s="17">
        <v>0</v>
      </c>
      <c r="R629" s="17">
        <v>0</v>
      </c>
      <c r="S629" s="17">
        <v>0</v>
      </c>
      <c r="T629" s="17">
        <v>0</v>
      </c>
      <c r="U629" s="17">
        <v>0</v>
      </c>
      <c r="V629" s="17">
        <v>0</v>
      </c>
      <c r="W629" s="17">
        <v>0</v>
      </c>
      <c r="X629" s="17">
        <v>0</v>
      </c>
      <c r="Y629" s="17">
        <v>0</v>
      </c>
      <c r="Z629" s="17">
        <v>0</v>
      </c>
      <c r="AA629" s="17">
        <v>0</v>
      </c>
      <c r="AB629" s="17">
        <v>0</v>
      </c>
      <c r="AC629" s="17">
        <v>0</v>
      </c>
      <c r="AD629" s="17">
        <v>0</v>
      </c>
      <c r="AE629" s="17">
        <v>0</v>
      </c>
      <c r="AF629" s="17">
        <v>0</v>
      </c>
      <c r="AG629" s="17">
        <v>0</v>
      </c>
      <c r="AH629" s="17">
        <v>0</v>
      </c>
      <c r="AI629" s="17">
        <v>0</v>
      </c>
      <c r="AJ629" s="17">
        <v>0</v>
      </c>
      <c r="AK629" s="17">
        <v>0</v>
      </c>
      <c r="AL629" s="17">
        <v>0</v>
      </c>
      <c r="AM629" s="17">
        <v>0</v>
      </c>
      <c r="AN629" s="17">
        <v>0</v>
      </c>
      <c r="AO629" s="17">
        <v>0</v>
      </c>
      <c r="AP629" s="17">
        <v>0</v>
      </c>
      <c r="AQ629" s="17">
        <v>0</v>
      </c>
      <c r="AR629" s="17">
        <v>0</v>
      </c>
      <c r="AS629" s="17">
        <v>0</v>
      </c>
      <c r="AT629" s="17">
        <v>0</v>
      </c>
      <c r="AU629" s="17">
        <v>0</v>
      </c>
      <c r="AV629" s="17">
        <v>0</v>
      </c>
      <c r="AW629" s="17">
        <v>0</v>
      </c>
      <c r="AX629" s="17">
        <v>0</v>
      </c>
      <c r="AY629" s="17">
        <v>0</v>
      </c>
      <c r="AZ629" s="17">
        <v>0</v>
      </c>
      <c r="BA629" s="17">
        <v>0</v>
      </c>
      <c r="BB629" s="17">
        <v>0</v>
      </c>
      <c r="BC629" s="17">
        <v>0</v>
      </c>
      <c r="BD629" s="17">
        <v>0</v>
      </c>
      <c r="BE629" s="17">
        <v>0</v>
      </c>
      <c r="BF629" s="17">
        <v>0</v>
      </c>
      <c r="BG629" s="17">
        <v>0</v>
      </c>
      <c r="BH629" s="17">
        <v>0</v>
      </c>
      <c r="BI629" s="22">
        <f t="shared" si="174"/>
        <v>0</v>
      </c>
      <c r="BJ629" s="22">
        <f t="shared" si="175"/>
        <v>14</v>
      </c>
      <c r="BK629" s="22">
        <f t="shared" si="176"/>
        <v>12</v>
      </c>
      <c r="BL629" s="22">
        <f t="shared" si="177"/>
        <v>2</v>
      </c>
      <c r="BM629" s="22">
        <f t="shared" si="177"/>
        <v>6</v>
      </c>
      <c r="BN629" s="23">
        <f t="shared" ref="BN629:BO639" si="178">I629/BL629</f>
        <v>1</v>
      </c>
      <c r="BO629" s="23">
        <f t="shared" si="178"/>
        <v>1</v>
      </c>
      <c r="BP629" s="7">
        <f>VLOOKUP(A629,[1]Sheet15!B:E,4,0)</f>
        <v>2</v>
      </c>
      <c r="BQ629" s="7">
        <f>VLOOKUP(A629,[1]Sheet15!B:E,3,0)</f>
        <v>6</v>
      </c>
    </row>
    <row r="630" spans="1:69" ht="22.5" customHeight="1" x14ac:dyDescent="0.25">
      <c r="A630" s="15" t="s">
        <v>1509</v>
      </c>
      <c r="B630" s="15" t="e">
        <f>VLOOKUP(A630,'[1]Master clients'!F609:W4156,17,0)</f>
        <v>#N/A</v>
      </c>
      <c r="C630" s="15" t="e">
        <f>VLOOKUP(A630,'[1]Master clients'!F609:P4156,11,0)</f>
        <v>#N/A</v>
      </c>
      <c r="D630" s="15" t="str">
        <f>VLOOKUP(A630,'[1]Master clients'!F:M,8,0)</f>
        <v>End User</v>
      </c>
      <c r="E630" s="16" t="s">
        <v>1510</v>
      </c>
      <c r="F630" s="16" t="s">
        <v>1511</v>
      </c>
      <c r="G630" s="17"/>
      <c r="H630" s="17"/>
      <c r="I630" s="26">
        <v>8</v>
      </c>
      <c r="J630" s="18">
        <v>0</v>
      </c>
      <c r="K630" s="17">
        <v>0</v>
      </c>
      <c r="L630" s="17">
        <v>0</v>
      </c>
      <c r="M630" s="17">
        <v>0</v>
      </c>
      <c r="N630" s="17">
        <v>0</v>
      </c>
      <c r="O630" s="17">
        <v>0</v>
      </c>
      <c r="P630" s="17">
        <v>0</v>
      </c>
      <c r="Q630" s="17">
        <v>0</v>
      </c>
      <c r="R630" s="17">
        <v>0</v>
      </c>
      <c r="S630" s="17">
        <v>0</v>
      </c>
      <c r="T630" s="17">
        <v>0</v>
      </c>
      <c r="U630" s="17">
        <v>0</v>
      </c>
      <c r="V630" s="17">
        <v>0</v>
      </c>
      <c r="W630" s="17">
        <v>0</v>
      </c>
      <c r="X630" s="17">
        <v>0</v>
      </c>
      <c r="Y630" s="17">
        <v>0</v>
      </c>
      <c r="Z630" s="17">
        <v>0</v>
      </c>
      <c r="AA630" s="17">
        <v>0</v>
      </c>
      <c r="AB630" s="17">
        <v>0</v>
      </c>
      <c r="AC630" s="17">
        <v>0</v>
      </c>
      <c r="AD630" s="17">
        <v>0</v>
      </c>
      <c r="AE630" s="17">
        <v>0</v>
      </c>
      <c r="AF630" s="17">
        <v>0</v>
      </c>
      <c r="AG630" s="17">
        <v>0</v>
      </c>
      <c r="AH630" s="17">
        <v>0</v>
      </c>
      <c r="AI630" s="17">
        <v>0</v>
      </c>
      <c r="AJ630" s="17">
        <v>0</v>
      </c>
      <c r="AK630" s="17">
        <v>0</v>
      </c>
      <c r="AL630" s="17">
        <v>0</v>
      </c>
      <c r="AM630" s="17">
        <v>0</v>
      </c>
      <c r="AN630" s="17">
        <v>0</v>
      </c>
      <c r="AO630" s="17">
        <v>0</v>
      </c>
      <c r="AP630" s="17">
        <v>0</v>
      </c>
      <c r="AQ630" s="17">
        <v>0</v>
      </c>
      <c r="AR630" s="17">
        <v>0</v>
      </c>
      <c r="AS630" s="17">
        <v>0</v>
      </c>
      <c r="AT630" s="17">
        <v>0</v>
      </c>
      <c r="AU630" s="17">
        <v>0</v>
      </c>
      <c r="AV630" s="17">
        <v>0</v>
      </c>
      <c r="AW630" s="17">
        <v>0</v>
      </c>
      <c r="AX630" s="17">
        <v>0</v>
      </c>
      <c r="AY630" s="17">
        <v>0</v>
      </c>
      <c r="AZ630" s="17">
        <v>0</v>
      </c>
      <c r="BA630" s="17">
        <v>0</v>
      </c>
      <c r="BB630" s="17">
        <v>0</v>
      </c>
      <c r="BC630" s="17">
        <v>0</v>
      </c>
      <c r="BD630" s="17">
        <v>0</v>
      </c>
      <c r="BE630" s="17">
        <v>0</v>
      </c>
      <c r="BF630" s="17">
        <v>0</v>
      </c>
      <c r="BG630" s="17">
        <v>0</v>
      </c>
      <c r="BH630" s="17">
        <v>0</v>
      </c>
      <c r="BI630" s="22">
        <f t="shared" ref="BI630:BI639" si="179">SUM(K630+L630+M630+P630+R630+T630+V630+W630+Y630+Z630+AB630+AC630+AE630+AG630+AH630+AI630+AJ630+AK630+AL630+AN630+AO630+AR630+AS630+AU630+AV630+AW630+AZ630+BA630+BB630+BC630+BE630+BG630)</f>
        <v>0</v>
      </c>
      <c r="BJ630" s="22">
        <f t="shared" ref="BJ630:BJ639" si="180">SUM(N630+O630+Q630+S630+U630+X630+AA630+AD630+AF630+AM630+AP630+AQ630+AT630+AX630+AY630+BD630+BF630+BH630)</f>
        <v>0</v>
      </c>
      <c r="BK630" s="22">
        <f t="shared" ref="BK630:BK639" si="181">SUM(I630:BH630)</f>
        <v>8</v>
      </c>
      <c r="BL630" s="22">
        <f t="shared" ref="BL630:BL639" si="182">SUM(I630+K630+L630+M630+P630+R630+T630+V630+W630+Y630+Z630+AB630+AC630+AE630+AG630+AH630+AI630+AJ630+AK630+AL630+AN630+AO630+AR630+AS630+AU630+AV630+AW630+AZ630+BA630+BB630+BC630+BG630+BE630)</f>
        <v>8</v>
      </c>
      <c r="BM630" s="22">
        <f t="shared" si="177"/>
        <v>0</v>
      </c>
      <c r="BN630" s="23">
        <f t="shared" si="178"/>
        <v>1</v>
      </c>
      <c r="BO630" s="23" t="e">
        <f t="shared" si="178"/>
        <v>#DIV/0!</v>
      </c>
      <c r="BP630" s="7">
        <f>VLOOKUP(A630,[1]Sheet15!B:E,4,0)</f>
        <v>8</v>
      </c>
      <c r="BQ630" s="7">
        <f>VLOOKUP(A630,[1]Sheet15!B:E,3,0)</f>
        <v>0</v>
      </c>
    </row>
    <row r="631" spans="1:69" ht="22.5" customHeight="1" x14ac:dyDescent="0.25">
      <c r="A631" s="15" t="s">
        <v>1512</v>
      </c>
      <c r="B631" s="15" t="e">
        <f>VLOOKUP(A631,'[1]Master clients'!F610:W4157,17,0)</f>
        <v>#N/A</v>
      </c>
      <c r="C631" s="15" t="e">
        <f>VLOOKUP(A631,'[1]Master clients'!F610:P4157,11,0)</f>
        <v>#N/A</v>
      </c>
      <c r="D631" s="15" t="str">
        <f>VLOOKUP(A631,'[1]Master clients'!F:M,8,0)</f>
        <v>End User</v>
      </c>
      <c r="E631" s="24" t="s">
        <v>1513</v>
      </c>
      <c r="F631" s="25" t="s">
        <v>1514</v>
      </c>
      <c r="G631" s="20">
        <v>5</v>
      </c>
      <c r="H631" s="20">
        <v>0</v>
      </c>
      <c r="I631" s="26">
        <v>4</v>
      </c>
      <c r="J631" s="26">
        <v>0</v>
      </c>
      <c r="K631" s="20">
        <v>0</v>
      </c>
      <c r="L631" s="20">
        <v>0</v>
      </c>
      <c r="M631" s="20">
        <v>0</v>
      </c>
      <c r="N631" s="20">
        <v>0</v>
      </c>
      <c r="O631" s="20">
        <v>0</v>
      </c>
      <c r="P631" s="20">
        <v>0</v>
      </c>
      <c r="Q631" s="20">
        <v>0</v>
      </c>
      <c r="R631" s="20">
        <v>0</v>
      </c>
      <c r="S631" s="20">
        <v>0</v>
      </c>
      <c r="T631" s="20">
        <v>0</v>
      </c>
      <c r="U631" s="20">
        <v>0</v>
      </c>
      <c r="V631" s="20">
        <v>0</v>
      </c>
      <c r="W631" s="20">
        <v>0</v>
      </c>
      <c r="X631" s="20">
        <v>0</v>
      </c>
      <c r="Y631" s="20">
        <v>0</v>
      </c>
      <c r="Z631" s="20">
        <v>0</v>
      </c>
      <c r="AA631" s="20">
        <v>0</v>
      </c>
      <c r="AB631" s="20">
        <v>0</v>
      </c>
      <c r="AC631" s="20">
        <v>0</v>
      </c>
      <c r="AD631" s="20">
        <v>0</v>
      </c>
      <c r="AE631" s="20">
        <v>0</v>
      </c>
      <c r="AF631" s="20">
        <v>0</v>
      </c>
      <c r="AG631" s="20">
        <v>0</v>
      </c>
      <c r="AH631" s="20">
        <v>0</v>
      </c>
      <c r="AI631" s="20">
        <v>0</v>
      </c>
      <c r="AJ631" s="20">
        <v>0</v>
      </c>
      <c r="AK631" s="20">
        <v>0</v>
      </c>
      <c r="AL631" s="20">
        <v>0</v>
      </c>
      <c r="AM631" s="20">
        <v>0</v>
      </c>
      <c r="AN631" s="20">
        <v>0</v>
      </c>
      <c r="AO631" s="20">
        <v>0</v>
      </c>
      <c r="AP631" s="20">
        <v>0</v>
      </c>
      <c r="AQ631" s="20">
        <v>0</v>
      </c>
      <c r="AR631" s="20">
        <v>0</v>
      </c>
      <c r="AS631" s="20">
        <v>0</v>
      </c>
      <c r="AT631" s="20">
        <v>0</v>
      </c>
      <c r="AU631" s="19">
        <v>0</v>
      </c>
      <c r="AV631" s="20">
        <v>0</v>
      </c>
      <c r="AW631" s="20">
        <v>0</v>
      </c>
      <c r="AX631" s="20">
        <v>0</v>
      </c>
      <c r="AY631" s="20">
        <v>0</v>
      </c>
      <c r="AZ631" s="20">
        <v>0</v>
      </c>
      <c r="BA631" s="19">
        <v>0</v>
      </c>
      <c r="BB631" s="27">
        <v>0</v>
      </c>
      <c r="BC631" s="19">
        <v>0</v>
      </c>
      <c r="BD631" s="19">
        <v>0</v>
      </c>
      <c r="BE631" s="21">
        <v>0</v>
      </c>
      <c r="BF631" s="21">
        <v>0</v>
      </c>
      <c r="BG631" s="19">
        <v>0</v>
      </c>
      <c r="BH631" s="19">
        <v>0</v>
      </c>
      <c r="BI631" s="22">
        <f t="shared" si="179"/>
        <v>0</v>
      </c>
      <c r="BJ631" s="22">
        <f t="shared" si="180"/>
        <v>0</v>
      </c>
      <c r="BK631" s="28">
        <f t="shared" si="181"/>
        <v>4</v>
      </c>
      <c r="BL631" s="22">
        <f t="shared" si="182"/>
        <v>4</v>
      </c>
      <c r="BM631" s="22">
        <f t="shared" si="177"/>
        <v>0</v>
      </c>
      <c r="BN631" s="23">
        <f t="shared" si="178"/>
        <v>1</v>
      </c>
      <c r="BO631" s="23" t="e">
        <f t="shared" si="178"/>
        <v>#DIV/0!</v>
      </c>
      <c r="BP631" s="7">
        <f>VLOOKUP(A631,[1]Sheet15!B:E,4,0)</f>
        <v>5</v>
      </c>
      <c r="BQ631" s="7">
        <f>VLOOKUP(A631,[1]Sheet15!B:E,3,0)</f>
        <v>0</v>
      </c>
    </row>
    <row r="632" spans="1:69" ht="22.5" customHeight="1" x14ac:dyDescent="0.25">
      <c r="A632" s="15" t="s">
        <v>1515</v>
      </c>
      <c r="B632" s="15">
        <f>VLOOKUP(A632,'[1]Master clients'!F611:W4158,17,0)</f>
        <v>0</v>
      </c>
      <c r="C632" s="15" t="str">
        <f>VLOOKUP(A632,'[1]Master clients'!F611:P4158,11,0)</f>
        <v>NI</v>
      </c>
      <c r="D632" s="15" t="str">
        <f>VLOOKUP(A632,'[1]Master clients'!F:M,8,0)</f>
        <v>End User</v>
      </c>
      <c r="E632" s="16" t="s">
        <v>1516</v>
      </c>
      <c r="F632" s="16" t="s">
        <v>1514</v>
      </c>
      <c r="G632" s="17"/>
      <c r="H632" s="17">
        <v>2</v>
      </c>
      <c r="I632" s="26">
        <v>13</v>
      </c>
      <c r="J632" s="31">
        <v>2</v>
      </c>
      <c r="K632" s="17">
        <v>0</v>
      </c>
      <c r="L632" s="17">
        <v>0</v>
      </c>
      <c r="M632" s="17">
        <v>0</v>
      </c>
      <c r="N632" s="17">
        <v>0</v>
      </c>
      <c r="O632" s="17">
        <v>0</v>
      </c>
      <c r="P632" s="17">
        <v>0</v>
      </c>
      <c r="Q632" s="17">
        <v>0</v>
      </c>
      <c r="R632" s="17">
        <v>0</v>
      </c>
      <c r="S632" s="17">
        <v>0</v>
      </c>
      <c r="T632" s="17">
        <v>0</v>
      </c>
      <c r="U632" s="17">
        <v>0</v>
      </c>
      <c r="V632" s="17">
        <v>0</v>
      </c>
      <c r="W632" s="17">
        <v>0</v>
      </c>
      <c r="X632" s="17">
        <v>0</v>
      </c>
      <c r="Y632" s="17">
        <v>0</v>
      </c>
      <c r="Z632" s="17">
        <v>0</v>
      </c>
      <c r="AA632" s="17">
        <v>0</v>
      </c>
      <c r="AB632" s="17">
        <v>0</v>
      </c>
      <c r="AC632" s="17">
        <v>0</v>
      </c>
      <c r="AD632" s="17">
        <v>0</v>
      </c>
      <c r="AE632" s="17">
        <v>0</v>
      </c>
      <c r="AF632" s="17">
        <v>0</v>
      </c>
      <c r="AG632" s="17">
        <v>0</v>
      </c>
      <c r="AH632" s="17">
        <v>0</v>
      </c>
      <c r="AI632" s="17">
        <v>0</v>
      </c>
      <c r="AJ632" s="17">
        <v>0</v>
      </c>
      <c r="AK632" s="17">
        <v>0</v>
      </c>
      <c r="AL632" s="17">
        <v>0</v>
      </c>
      <c r="AM632" s="17">
        <v>0</v>
      </c>
      <c r="AN632" s="17">
        <v>0</v>
      </c>
      <c r="AO632" s="17">
        <v>0</v>
      </c>
      <c r="AP632" s="17">
        <v>0</v>
      </c>
      <c r="AQ632" s="17">
        <v>0</v>
      </c>
      <c r="AR632" s="17">
        <v>0</v>
      </c>
      <c r="AS632" s="17">
        <v>0</v>
      </c>
      <c r="AT632" s="17">
        <v>0</v>
      </c>
      <c r="AU632" s="17">
        <v>0</v>
      </c>
      <c r="AV632" s="17">
        <v>0</v>
      </c>
      <c r="AW632" s="17">
        <v>0</v>
      </c>
      <c r="AX632" s="17">
        <v>0</v>
      </c>
      <c r="AY632" s="17">
        <v>0</v>
      </c>
      <c r="AZ632" s="17">
        <v>0</v>
      </c>
      <c r="BA632" s="17">
        <v>0</v>
      </c>
      <c r="BB632" s="17">
        <v>0</v>
      </c>
      <c r="BC632" s="17">
        <v>0</v>
      </c>
      <c r="BD632" s="17">
        <v>0</v>
      </c>
      <c r="BE632" s="17">
        <v>0</v>
      </c>
      <c r="BF632" s="17">
        <v>0</v>
      </c>
      <c r="BG632" s="17">
        <v>0</v>
      </c>
      <c r="BH632" s="17">
        <v>0</v>
      </c>
      <c r="BI632" s="22">
        <f t="shared" si="179"/>
        <v>0</v>
      </c>
      <c r="BJ632" s="22">
        <f t="shared" si="180"/>
        <v>0</v>
      </c>
      <c r="BK632" s="28">
        <f t="shared" si="181"/>
        <v>15</v>
      </c>
      <c r="BL632" s="22">
        <f t="shared" si="182"/>
        <v>13</v>
      </c>
      <c r="BM632" s="22">
        <f t="shared" si="177"/>
        <v>2</v>
      </c>
      <c r="BN632" s="23">
        <f t="shared" si="178"/>
        <v>1</v>
      </c>
      <c r="BO632" s="23">
        <f t="shared" si="178"/>
        <v>1</v>
      </c>
      <c r="BP632" s="7">
        <f>VLOOKUP(A632,[1]Sheet15!B:E,4,0)</f>
        <v>13</v>
      </c>
      <c r="BQ632" s="7">
        <f>VLOOKUP(A632,[1]Sheet15!B:E,3,0)</f>
        <v>2</v>
      </c>
    </row>
    <row r="633" spans="1:69" ht="22.5" customHeight="1" x14ac:dyDescent="0.25">
      <c r="A633" s="15" t="s">
        <v>1517</v>
      </c>
      <c r="B633" s="15">
        <f>VLOOKUP(A633,'[1]Master clients'!F612:W4159,17,0)</f>
        <v>0</v>
      </c>
      <c r="C633" s="15" t="str">
        <f>VLOOKUP(A633,'[1]Master clients'!F612:P4159,11,0)</f>
        <v>NI</v>
      </c>
      <c r="D633" s="15" t="str">
        <f>VLOOKUP(A633,'[1]Master clients'!F:M,8,0)</f>
        <v>End User</v>
      </c>
      <c r="E633" s="16" t="s">
        <v>1518</v>
      </c>
      <c r="F633" s="16" t="s">
        <v>1514</v>
      </c>
      <c r="G633" s="17"/>
      <c r="H633" s="17"/>
      <c r="I633" s="26">
        <v>1</v>
      </c>
      <c r="J633" s="31">
        <v>0</v>
      </c>
      <c r="K633" s="17">
        <v>0</v>
      </c>
      <c r="L633" s="17">
        <v>0</v>
      </c>
      <c r="M633" s="17">
        <v>0</v>
      </c>
      <c r="N633" s="17">
        <v>0</v>
      </c>
      <c r="O633" s="17">
        <v>0</v>
      </c>
      <c r="P633" s="17">
        <v>0</v>
      </c>
      <c r="Q633" s="17">
        <v>0</v>
      </c>
      <c r="R633" s="17">
        <v>0</v>
      </c>
      <c r="S633" s="17">
        <v>0</v>
      </c>
      <c r="T633" s="17">
        <v>0</v>
      </c>
      <c r="U633" s="17">
        <v>0</v>
      </c>
      <c r="V633" s="17">
        <v>0</v>
      </c>
      <c r="W633" s="17">
        <v>0</v>
      </c>
      <c r="X633" s="17">
        <v>0</v>
      </c>
      <c r="Y633" s="17">
        <v>0</v>
      </c>
      <c r="Z633" s="17">
        <v>0</v>
      </c>
      <c r="AA633" s="17">
        <v>0</v>
      </c>
      <c r="AB633" s="17">
        <v>0</v>
      </c>
      <c r="AC633" s="17">
        <v>0</v>
      </c>
      <c r="AD633" s="17">
        <v>0</v>
      </c>
      <c r="AE633" s="17">
        <v>0</v>
      </c>
      <c r="AF633" s="17">
        <v>0</v>
      </c>
      <c r="AG633" s="17">
        <v>0</v>
      </c>
      <c r="AH633" s="17">
        <v>0</v>
      </c>
      <c r="AI633" s="17">
        <v>0</v>
      </c>
      <c r="AJ633" s="17">
        <v>0</v>
      </c>
      <c r="AK633" s="17">
        <v>0</v>
      </c>
      <c r="AL633" s="17">
        <v>0</v>
      </c>
      <c r="AM633" s="17">
        <v>0</v>
      </c>
      <c r="AN633" s="17">
        <v>0</v>
      </c>
      <c r="AO633" s="17">
        <v>0</v>
      </c>
      <c r="AP633" s="17">
        <v>0</v>
      </c>
      <c r="AQ633" s="17">
        <v>0</v>
      </c>
      <c r="AR633" s="17">
        <v>0</v>
      </c>
      <c r="AS633" s="17">
        <v>0</v>
      </c>
      <c r="AT633" s="17">
        <v>0</v>
      </c>
      <c r="AU633" s="17">
        <v>0</v>
      </c>
      <c r="AV633" s="17">
        <v>0</v>
      </c>
      <c r="AW633" s="17">
        <v>0</v>
      </c>
      <c r="AX633" s="17">
        <v>0</v>
      </c>
      <c r="AY633" s="17">
        <v>0</v>
      </c>
      <c r="AZ633" s="17">
        <v>0</v>
      </c>
      <c r="BA633" s="17">
        <v>0</v>
      </c>
      <c r="BB633" s="17">
        <v>0</v>
      </c>
      <c r="BC633" s="17">
        <v>0</v>
      </c>
      <c r="BD633" s="17">
        <v>0</v>
      </c>
      <c r="BE633" s="17">
        <v>0</v>
      </c>
      <c r="BF633" s="17">
        <v>0</v>
      </c>
      <c r="BG633" s="17">
        <v>0</v>
      </c>
      <c r="BH633" s="17">
        <v>0</v>
      </c>
      <c r="BI633" s="22">
        <f t="shared" si="179"/>
        <v>0</v>
      </c>
      <c r="BJ633" s="22">
        <f t="shared" si="180"/>
        <v>0</v>
      </c>
      <c r="BK633" s="28">
        <f t="shared" si="181"/>
        <v>1</v>
      </c>
      <c r="BL633" s="22">
        <f t="shared" si="182"/>
        <v>1</v>
      </c>
      <c r="BM633" s="22">
        <f t="shared" si="177"/>
        <v>0</v>
      </c>
      <c r="BN633" s="23">
        <f t="shared" si="178"/>
        <v>1</v>
      </c>
      <c r="BO633" s="23" t="e">
        <f t="shared" si="178"/>
        <v>#DIV/0!</v>
      </c>
      <c r="BP633" s="7">
        <f>VLOOKUP(A633,[1]Sheet15!B:E,4,0)</f>
        <v>1</v>
      </c>
      <c r="BQ633" s="7">
        <f>VLOOKUP(A633,[1]Sheet15!B:E,3,0)</f>
        <v>0</v>
      </c>
    </row>
    <row r="634" spans="1:69" ht="22.5" customHeight="1" x14ac:dyDescent="0.25">
      <c r="A634" s="15" t="s">
        <v>1519</v>
      </c>
      <c r="B634" s="15">
        <f>VLOOKUP(A634,'[1]Master clients'!F613:W4160,17,0)</f>
        <v>0</v>
      </c>
      <c r="C634" s="15" t="str">
        <f>VLOOKUP(A634,'[1]Master clients'!F613:P4160,11,0)</f>
        <v>NI</v>
      </c>
      <c r="D634" s="15" t="str">
        <f>VLOOKUP(A634,'[1]Master clients'!F:M,8,0)</f>
        <v>End User</v>
      </c>
      <c r="E634" s="16" t="s">
        <v>1520</v>
      </c>
      <c r="F634" s="16" t="s">
        <v>1514</v>
      </c>
      <c r="G634" s="17"/>
      <c r="H634" s="17"/>
      <c r="I634" s="26">
        <v>1</v>
      </c>
      <c r="J634" s="31">
        <v>0</v>
      </c>
      <c r="K634" s="17">
        <v>0</v>
      </c>
      <c r="L634" s="17">
        <v>0</v>
      </c>
      <c r="M634" s="17">
        <v>0</v>
      </c>
      <c r="N634" s="17">
        <v>0</v>
      </c>
      <c r="O634" s="17">
        <v>0</v>
      </c>
      <c r="P634" s="17">
        <v>0</v>
      </c>
      <c r="Q634" s="17">
        <v>0</v>
      </c>
      <c r="R634" s="17">
        <v>0</v>
      </c>
      <c r="S634" s="17">
        <v>0</v>
      </c>
      <c r="T634" s="17">
        <v>0</v>
      </c>
      <c r="U634" s="17">
        <v>0</v>
      </c>
      <c r="V634" s="17">
        <v>0</v>
      </c>
      <c r="W634" s="17">
        <v>0</v>
      </c>
      <c r="X634" s="17">
        <v>0</v>
      </c>
      <c r="Y634" s="17">
        <v>0</v>
      </c>
      <c r="Z634" s="17">
        <v>0</v>
      </c>
      <c r="AA634" s="17">
        <v>0</v>
      </c>
      <c r="AB634" s="17">
        <v>0</v>
      </c>
      <c r="AC634" s="17">
        <v>0</v>
      </c>
      <c r="AD634" s="17">
        <v>0</v>
      </c>
      <c r="AE634" s="17">
        <v>0</v>
      </c>
      <c r="AF634" s="17">
        <v>0</v>
      </c>
      <c r="AG634" s="17">
        <v>0</v>
      </c>
      <c r="AH634" s="17">
        <v>0</v>
      </c>
      <c r="AI634" s="17">
        <v>0</v>
      </c>
      <c r="AJ634" s="17">
        <v>0</v>
      </c>
      <c r="AK634" s="17">
        <v>0</v>
      </c>
      <c r="AL634" s="17">
        <v>0</v>
      </c>
      <c r="AM634" s="17">
        <v>0</v>
      </c>
      <c r="AN634" s="17">
        <v>0</v>
      </c>
      <c r="AO634" s="17">
        <v>0</v>
      </c>
      <c r="AP634" s="17">
        <v>0</v>
      </c>
      <c r="AQ634" s="17">
        <v>0</v>
      </c>
      <c r="AR634" s="17">
        <v>0</v>
      </c>
      <c r="AS634" s="17">
        <v>0</v>
      </c>
      <c r="AT634" s="17">
        <v>0</v>
      </c>
      <c r="AU634" s="17">
        <v>0</v>
      </c>
      <c r="AV634" s="17">
        <v>0</v>
      </c>
      <c r="AW634" s="17">
        <v>0</v>
      </c>
      <c r="AX634" s="17">
        <v>0</v>
      </c>
      <c r="AY634" s="17">
        <v>0</v>
      </c>
      <c r="AZ634" s="17">
        <v>0</v>
      </c>
      <c r="BA634" s="17">
        <v>0</v>
      </c>
      <c r="BB634" s="17">
        <v>0</v>
      </c>
      <c r="BC634" s="17">
        <v>0</v>
      </c>
      <c r="BD634" s="17">
        <v>0</v>
      </c>
      <c r="BE634" s="17">
        <v>0</v>
      </c>
      <c r="BF634" s="17">
        <v>0</v>
      </c>
      <c r="BG634" s="17">
        <v>0</v>
      </c>
      <c r="BH634" s="17">
        <v>0</v>
      </c>
      <c r="BI634" s="22">
        <f t="shared" si="179"/>
        <v>0</v>
      </c>
      <c r="BJ634" s="22">
        <f t="shared" si="180"/>
        <v>0</v>
      </c>
      <c r="BK634" s="28">
        <f t="shared" si="181"/>
        <v>1</v>
      </c>
      <c r="BL634" s="22">
        <f t="shared" si="182"/>
        <v>1</v>
      </c>
      <c r="BM634" s="22">
        <f t="shared" si="177"/>
        <v>0</v>
      </c>
      <c r="BN634" s="23">
        <f t="shared" si="178"/>
        <v>1</v>
      </c>
      <c r="BO634" s="23" t="e">
        <f t="shared" si="178"/>
        <v>#DIV/0!</v>
      </c>
      <c r="BP634" s="7">
        <f>VLOOKUP(A634,[1]Sheet15!B:E,4,0)</f>
        <v>1</v>
      </c>
      <c r="BQ634" s="7">
        <f>VLOOKUP(A634,[1]Sheet15!B:E,3,0)</f>
        <v>0</v>
      </c>
    </row>
    <row r="635" spans="1:69" ht="22.5" customHeight="1" x14ac:dyDescent="0.25">
      <c r="A635" s="15" t="s">
        <v>1521</v>
      </c>
      <c r="B635" s="15">
        <f>VLOOKUP(A635,'[1]Master clients'!F614:W4161,17,0)</f>
        <v>0</v>
      </c>
      <c r="C635" s="15" t="str">
        <f>VLOOKUP(A635,'[1]Master clients'!F614:P4161,11,0)</f>
        <v>NI</v>
      </c>
      <c r="D635" s="15" t="str">
        <f>VLOOKUP(A635,'[1]Master clients'!F:M,8,0)</f>
        <v>End User</v>
      </c>
      <c r="E635" s="16" t="s">
        <v>1522</v>
      </c>
      <c r="F635" s="16" t="s">
        <v>1514</v>
      </c>
      <c r="G635" s="17"/>
      <c r="H635" s="17"/>
      <c r="I635" s="31">
        <v>0</v>
      </c>
      <c r="J635" s="31">
        <v>0</v>
      </c>
      <c r="K635" s="17">
        <v>0</v>
      </c>
      <c r="L635" s="17">
        <v>0</v>
      </c>
      <c r="M635" s="17">
        <v>0</v>
      </c>
      <c r="N635" s="17">
        <v>0</v>
      </c>
      <c r="O635" s="17">
        <v>0</v>
      </c>
      <c r="P635" s="17">
        <v>0</v>
      </c>
      <c r="Q635" s="17">
        <v>0</v>
      </c>
      <c r="R635" s="17">
        <v>0</v>
      </c>
      <c r="S635" s="17">
        <v>0</v>
      </c>
      <c r="T635" s="17">
        <v>0</v>
      </c>
      <c r="U635" s="17">
        <v>0</v>
      </c>
      <c r="V635" s="17">
        <v>0</v>
      </c>
      <c r="W635" s="17">
        <v>0</v>
      </c>
      <c r="X635" s="17">
        <v>0</v>
      </c>
      <c r="Y635" s="17">
        <v>0</v>
      </c>
      <c r="Z635" s="17">
        <v>0</v>
      </c>
      <c r="AA635" s="17">
        <v>0</v>
      </c>
      <c r="AB635" s="17">
        <v>0</v>
      </c>
      <c r="AC635" s="17">
        <v>0</v>
      </c>
      <c r="AD635" s="17">
        <v>0</v>
      </c>
      <c r="AE635" s="17">
        <v>0</v>
      </c>
      <c r="AF635" s="17">
        <v>0</v>
      </c>
      <c r="AG635" s="17">
        <v>0</v>
      </c>
      <c r="AH635" s="17">
        <v>0</v>
      </c>
      <c r="AI635" s="17">
        <v>0</v>
      </c>
      <c r="AJ635" s="17">
        <v>0</v>
      </c>
      <c r="AK635" s="17">
        <v>0</v>
      </c>
      <c r="AL635" s="17">
        <v>0</v>
      </c>
      <c r="AM635" s="17">
        <v>0</v>
      </c>
      <c r="AN635" s="17">
        <v>0</v>
      </c>
      <c r="AO635" s="17">
        <v>0</v>
      </c>
      <c r="AP635" s="17">
        <v>0</v>
      </c>
      <c r="AQ635" s="17">
        <v>0</v>
      </c>
      <c r="AR635" s="17">
        <v>0</v>
      </c>
      <c r="AS635" s="17">
        <v>0</v>
      </c>
      <c r="AT635" s="17">
        <v>0</v>
      </c>
      <c r="AU635" s="17">
        <v>0</v>
      </c>
      <c r="AV635" s="17">
        <v>0</v>
      </c>
      <c r="AW635" s="17">
        <v>0</v>
      </c>
      <c r="AX635" s="17">
        <v>0</v>
      </c>
      <c r="AY635" s="17">
        <v>0</v>
      </c>
      <c r="AZ635" s="17">
        <v>0</v>
      </c>
      <c r="BA635" s="17">
        <v>0</v>
      </c>
      <c r="BB635" s="17">
        <v>0</v>
      </c>
      <c r="BC635" s="17">
        <v>0</v>
      </c>
      <c r="BD635" s="17">
        <v>0</v>
      </c>
      <c r="BE635" s="17">
        <v>0</v>
      </c>
      <c r="BF635" s="17">
        <v>0</v>
      </c>
      <c r="BG635" s="17">
        <v>0</v>
      </c>
      <c r="BH635" s="17">
        <v>0</v>
      </c>
      <c r="BI635" s="22">
        <f t="shared" si="179"/>
        <v>0</v>
      </c>
      <c r="BJ635" s="22">
        <f t="shared" si="180"/>
        <v>0</v>
      </c>
      <c r="BK635" s="22">
        <f t="shared" si="181"/>
        <v>0</v>
      </c>
      <c r="BL635" s="22">
        <f t="shared" si="182"/>
        <v>0</v>
      </c>
      <c r="BM635" s="22">
        <f t="shared" si="177"/>
        <v>0</v>
      </c>
      <c r="BN635" s="23" t="e">
        <f t="shared" si="178"/>
        <v>#DIV/0!</v>
      </c>
      <c r="BO635" s="23" t="e">
        <f t="shared" si="178"/>
        <v>#DIV/0!</v>
      </c>
      <c r="BP635" s="7" t="e">
        <f>VLOOKUP(A635,[1]Sheet15!B:E,4,0)</f>
        <v>#N/A</v>
      </c>
      <c r="BQ635" s="7" t="e">
        <f>VLOOKUP(A635,[1]Sheet15!B:E,3,0)</f>
        <v>#N/A</v>
      </c>
    </row>
    <row r="636" spans="1:69" ht="22.5" customHeight="1" x14ac:dyDescent="0.25">
      <c r="A636" s="15" t="s">
        <v>1523</v>
      </c>
      <c r="B636" s="15" t="e">
        <f>VLOOKUP(A636,'[1]Master clients'!F615:W4162,17,0)</f>
        <v>#N/A</v>
      </c>
      <c r="C636" s="15" t="e">
        <f>VLOOKUP(A636,'[1]Master clients'!F615:P4162,11,0)</f>
        <v>#N/A</v>
      </c>
      <c r="D636" s="15" t="str">
        <f>VLOOKUP(A636,'[1]Master clients'!F:M,8,0)</f>
        <v>Group (Mills)</v>
      </c>
      <c r="E636" s="16" t="s">
        <v>1524</v>
      </c>
      <c r="F636" s="16" t="s">
        <v>1525</v>
      </c>
      <c r="G636" s="17">
        <v>37</v>
      </c>
      <c r="H636" s="17">
        <v>9</v>
      </c>
      <c r="I636" s="18">
        <v>22</v>
      </c>
      <c r="J636" s="18">
        <v>9</v>
      </c>
      <c r="K636" s="17">
        <v>0</v>
      </c>
      <c r="L636" s="17">
        <v>0</v>
      </c>
      <c r="M636" s="17">
        <v>0</v>
      </c>
      <c r="N636" s="17">
        <v>0</v>
      </c>
      <c r="O636" s="19">
        <v>0</v>
      </c>
      <c r="P636" s="19">
        <v>0</v>
      </c>
      <c r="Q636" s="19">
        <v>0</v>
      </c>
      <c r="R636" s="19">
        <v>0</v>
      </c>
      <c r="S636" s="19">
        <v>0</v>
      </c>
      <c r="T636" s="19">
        <v>0</v>
      </c>
      <c r="U636" s="19">
        <v>0</v>
      </c>
      <c r="V636" s="19">
        <v>0</v>
      </c>
      <c r="W636" s="20">
        <v>0</v>
      </c>
      <c r="X636" s="20">
        <v>0</v>
      </c>
      <c r="Y636" s="19">
        <v>0</v>
      </c>
      <c r="Z636" s="19">
        <v>0</v>
      </c>
      <c r="AA636" s="19">
        <v>0</v>
      </c>
      <c r="AB636" s="19">
        <v>0</v>
      </c>
      <c r="AC636" s="19">
        <v>0</v>
      </c>
      <c r="AD636" s="19">
        <v>0</v>
      </c>
      <c r="AE636" s="19">
        <v>0</v>
      </c>
      <c r="AF636" s="19">
        <v>0</v>
      </c>
      <c r="AG636" s="19">
        <v>0</v>
      </c>
      <c r="AH636" s="19">
        <v>0</v>
      </c>
      <c r="AI636" s="20">
        <v>0</v>
      </c>
      <c r="AJ636" s="20">
        <v>0</v>
      </c>
      <c r="AK636" s="19">
        <v>0</v>
      </c>
      <c r="AL636" s="20">
        <v>0</v>
      </c>
      <c r="AM636" s="19">
        <v>0</v>
      </c>
      <c r="AN636" s="19">
        <v>0</v>
      </c>
      <c r="AO636" s="19">
        <v>0</v>
      </c>
      <c r="AP636" s="19">
        <v>0</v>
      </c>
      <c r="AQ636" s="19">
        <v>0</v>
      </c>
      <c r="AR636" s="19">
        <v>0</v>
      </c>
      <c r="AS636" s="19">
        <v>0</v>
      </c>
      <c r="AT636" s="19">
        <v>0</v>
      </c>
      <c r="AU636" s="19">
        <v>0</v>
      </c>
      <c r="AV636" s="19">
        <v>0</v>
      </c>
      <c r="AW636" s="20">
        <v>0</v>
      </c>
      <c r="AX636" s="20">
        <v>0</v>
      </c>
      <c r="AY636" s="20">
        <v>0</v>
      </c>
      <c r="AZ636" s="19">
        <v>0</v>
      </c>
      <c r="BA636" s="19">
        <v>0</v>
      </c>
      <c r="BB636" s="19">
        <v>0</v>
      </c>
      <c r="BC636" s="19">
        <v>0</v>
      </c>
      <c r="BD636" s="19">
        <v>0</v>
      </c>
      <c r="BE636" s="21">
        <v>0</v>
      </c>
      <c r="BF636" s="21">
        <v>0</v>
      </c>
      <c r="BG636" s="19">
        <v>0</v>
      </c>
      <c r="BH636" s="19">
        <v>0</v>
      </c>
      <c r="BI636" s="22">
        <f t="shared" si="179"/>
        <v>0</v>
      </c>
      <c r="BJ636" s="22">
        <f t="shared" si="180"/>
        <v>0</v>
      </c>
      <c r="BK636" s="22">
        <f t="shared" si="181"/>
        <v>31</v>
      </c>
      <c r="BL636" s="22">
        <f t="shared" si="182"/>
        <v>22</v>
      </c>
      <c r="BM636" s="22">
        <f t="shared" si="177"/>
        <v>9</v>
      </c>
      <c r="BN636" s="23">
        <f t="shared" si="178"/>
        <v>1</v>
      </c>
      <c r="BO636" s="23">
        <f t="shared" si="178"/>
        <v>1</v>
      </c>
      <c r="BP636" s="7">
        <f>VLOOKUP(A636,[1]Sheet15!B:E,4,0)</f>
        <v>5</v>
      </c>
      <c r="BQ636" s="7">
        <f>VLOOKUP(A636,[1]Sheet15!B:E,3,0)</f>
        <v>0</v>
      </c>
    </row>
    <row r="637" spans="1:69" ht="22.5" customHeight="1" x14ac:dyDescent="0.25">
      <c r="A637" s="15" t="s">
        <v>1526</v>
      </c>
      <c r="B637" s="15">
        <f>VLOOKUP(A637,'[1]Master clients'!F616:W4163,17,0)</f>
        <v>0</v>
      </c>
      <c r="C637" s="15" t="str">
        <f>VLOOKUP(A637,'[1]Master clients'!F616:P4163,11,0)</f>
        <v>AV</v>
      </c>
      <c r="D637" s="15" t="str">
        <f>VLOOKUP(A637,'[1]Master clients'!F:M,8,0)</f>
        <v>Group (Mills)</v>
      </c>
      <c r="E637" s="16" t="s">
        <v>1527</v>
      </c>
      <c r="F637" s="16" t="s">
        <v>1525</v>
      </c>
      <c r="G637" s="17"/>
      <c r="H637" s="17"/>
      <c r="I637" s="31">
        <v>0</v>
      </c>
      <c r="J637" s="31">
        <v>0</v>
      </c>
      <c r="K637" s="17">
        <v>0</v>
      </c>
      <c r="L637" s="17">
        <v>0</v>
      </c>
      <c r="M637" s="17">
        <v>0</v>
      </c>
      <c r="N637" s="17">
        <v>0</v>
      </c>
      <c r="O637" s="17">
        <v>0</v>
      </c>
      <c r="P637" s="17">
        <v>0</v>
      </c>
      <c r="Q637" s="17">
        <v>0</v>
      </c>
      <c r="R637" s="17">
        <v>0</v>
      </c>
      <c r="S637" s="17">
        <v>0</v>
      </c>
      <c r="T637" s="17">
        <v>0</v>
      </c>
      <c r="U637" s="17">
        <v>0</v>
      </c>
      <c r="V637" s="17">
        <v>0</v>
      </c>
      <c r="W637" s="17">
        <v>0</v>
      </c>
      <c r="X637" s="17">
        <v>0</v>
      </c>
      <c r="Y637" s="17">
        <v>0</v>
      </c>
      <c r="Z637" s="17">
        <v>0</v>
      </c>
      <c r="AA637" s="17">
        <v>0</v>
      </c>
      <c r="AB637" s="17">
        <v>0</v>
      </c>
      <c r="AC637" s="17">
        <v>0</v>
      </c>
      <c r="AD637" s="17">
        <v>0</v>
      </c>
      <c r="AE637" s="17">
        <v>0</v>
      </c>
      <c r="AF637" s="17">
        <v>0</v>
      </c>
      <c r="AG637" s="17">
        <v>0</v>
      </c>
      <c r="AH637" s="17">
        <v>0</v>
      </c>
      <c r="AI637" s="17">
        <v>0</v>
      </c>
      <c r="AJ637" s="17">
        <v>0</v>
      </c>
      <c r="AK637" s="17">
        <v>0</v>
      </c>
      <c r="AL637" s="17">
        <v>0</v>
      </c>
      <c r="AM637" s="17">
        <v>0</v>
      </c>
      <c r="AN637" s="17">
        <v>0</v>
      </c>
      <c r="AO637" s="17">
        <v>0</v>
      </c>
      <c r="AP637" s="17">
        <v>0</v>
      </c>
      <c r="AQ637" s="17">
        <v>0</v>
      </c>
      <c r="AR637" s="17">
        <v>0</v>
      </c>
      <c r="AS637" s="17">
        <v>0</v>
      </c>
      <c r="AT637" s="17">
        <v>0</v>
      </c>
      <c r="AU637" s="17">
        <v>0</v>
      </c>
      <c r="AV637" s="17">
        <v>0</v>
      </c>
      <c r="AW637" s="17">
        <v>0</v>
      </c>
      <c r="AX637" s="17">
        <v>0</v>
      </c>
      <c r="AY637" s="17">
        <v>0</v>
      </c>
      <c r="AZ637" s="17">
        <v>0</v>
      </c>
      <c r="BA637" s="17">
        <v>0</v>
      </c>
      <c r="BB637" s="17">
        <v>0</v>
      </c>
      <c r="BC637" s="17">
        <v>0</v>
      </c>
      <c r="BD637" s="17">
        <v>0</v>
      </c>
      <c r="BE637" s="17">
        <v>0</v>
      </c>
      <c r="BF637" s="17">
        <v>0</v>
      </c>
      <c r="BG637" s="17">
        <v>0</v>
      </c>
      <c r="BH637" s="17">
        <v>0</v>
      </c>
      <c r="BI637" s="22">
        <f t="shared" si="179"/>
        <v>0</v>
      </c>
      <c r="BJ637" s="22">
        <f t="shared" si="180"/>
        <v>0</v>
      </c>
      <c r="BK637" s="22">
        <f t="shared" si="181"/>
        <v>0</v>
      </c>
      <c r="BL637" s="22">
        <f t="shared" si="182"/>
        <v>0</v>
      </c>
      <c r="BM637" s="22">
        <f t="shared" si="177"/>
        <v>0</v>
      </c>
      <c r="BN637" s="23" t="e">
        <f t="shared" si="178"/>
        <v>#DIV/0!</v>
      </c>
      <c r="BO637" s="23" t="e">
        <f t="shared" si="178"/>
        <v>#DIV/0!</v>
      </c>
      <c r="BP637" s="7" t="e">
        <f>VLOOKUP(A637,[1]Sheet15!B:E,4,0)</f>
        <v>#N/A</v>
      </c>
      <c r="BQ637" s="7" t="e">
        <f>VLOOKUP(A637,[1]Sheet15!B:E,3,0)</f>
        <v>#N/A</v>
      </c>
    </row>
    <row r="638" spans="1:69" ht="22.5" customHeight="1" x14ac:dyDescent="0.25">
      <c r="A638" s="15" t="s">
        <v>1528</v>
      </c>
      <c r="B638" s="15">
        <f>VLOOKUP(A638,'[1]Master clients'!F617:W4164,17,0)</f>
        <v>0</v>
      </c>
      <c r="C638" s="15" t="str">
        <f>VLOOKUP(A638,'[1]Master clients'!F617:P4164,11,0)</f>
        <v>AV</v>
      </c>
      <c r="D638" s="15" t="str">
        <f>VLOOKUP(A638,'[1]Master clients'!F:M,8,0)</f>
        <v>End User</v>
      </c>
      <c r="E638" s="16" t="s">
        <v>1529</v>
      </c>
      <c r="F638" s="16" t="s">
        <v>1525</v>
      </c>
      <c r="G638" s="17">
        <v>13</v>
      </c>
      <c r="H638" s="17">
        <v>9</v>
      </c>
      <c r="I638" s="18">
        <v>12</v>
      </c>
      <c r="J638" s="18">
        <v>4</v>
      </c>
      <c r="K638" s="17">
        <v>2</v>
      </c>
      <c r="L638" s="17">
        <v>0</v>
      </c>
      <c r="M638" s="17">
        <v>0</v>
      </c>
      <c r="N638" s="17">
        <v>0</v>
      </c>
      <c r="O638" s="19">
        <v>5</v>
      </c>
      <c r="P638" s="19">
        <v>0</v>
      </c>
      <c r="Q638" s="19">
        <v>0</v>
      </c>
      <c r="R638" s="19">
        <v>0</v>
      </c>
      <c r="S638" s="19">
        <v>0</v>
      </c>
      <c r="T638" s="19">
        <v>0</v>
      </c>
      <c r="U638" s="19">
        <v>0</v>
      </c>
      <c r="V638" s="19">
        <v>0</v>
      </c>
      <c r="W638" s="20">
        <v>0</v>
      </c>
      <c r="X638" s="20">
        <v>0</v>
      </c>
      <c r="Y638" s="19">
        <v>0</v>
      </c>
      <c r="Z638" s="19">
        <v>0</v>
      </c>
      <c r="AA638" s="19">
        <v>0</v>
      </c>
      <c r="AB638" s="19">
        <v>0</v>
      </c>
      <c r="AC638" s="19">
        <v>0</v>
      </c>
      <c r="AD638" s="19">
        <v>0</v>
      </c>
      <c r="AE638" s="19">
        <v>0</v>
      </c>
      <c r="AF638" s="19">
        <v>0</v>
      </c>
      <c r="AG638" s="19">
        <v>0</v>
      </c>
      <c r="AH638" s="19">
        <v>0</v>
      </c>
      <c r="AI638" s="20">
        <v>0</v>
      </c>
      <c r="AJ638" s="20">
        <v>0</v>
      </c>
      <c r="AK638" s="19">
        <v>0</v>
      </c>
      <c r="AL638" s="20">
        <v>0</v>
      </c>
      <c r="AM638" s="19">
        <v>0</v>
      </c>
      <c r="AN638" s="19">
        <v>0</v>
      </c>
      <c r="AO638" s="19">
        <v>0</v>
      </c>
      <c r="AP638" s="19">
        <v>0</v>
      </c>
      <c r="AQ638" s="19">
        <v>0</v>
      </c>
      <c r="AR638" s="19">
        <v>0</v>
      </c>
      <c r="AS638" s="19">
        <v>0</v>
      </c>
      <c r="AT638" s="19">
        <v>0</v>
      </c>
      <c r="AU638" s="19">
        <v>0</v>
      </c>
      <c r="AV638" s="19">
        <v>0</v>
      </c>
      <c r="AW638" s="20">
        <v>0</v>
      </c>
      <c r="AX638" s="20">
        <v>0</v>
      </c>
      <c r="AY638" s="20">
        <v>0</v>
      </c>
      <c r="AZ638" s="19">
        <v>0</v>
      </c>
      <c r="BA638" s="19">
        <v>0</v>
      </c>
      <c r="BB638" s="19">
        <v>0</v>
      </c>
      <c r="BC638" s="19">
        <v>0</v>
      </c>
      <c r="BD638" s="19">
        <v>0</v>
      </c>
      <c r="BE638" s="21">
        <v>0</v>
      </c>
      <c r="BF638" s="21">
        <v>0</v>
      </c>
      <c r="BG638" s="19">
        <v>0</v>
      </c>
      <c r="BH638" s="19">
        <v>0</v>
      </c>
      <c r="BI638" s="22">
        <f t="shared" si="179"/>
        <v>2</v>
      </c>
      <c r="BJ638" s="22">
        <f t="shared" si="180"/>
        <v>5</v>
      </c>
      <c r="BK638" s="22">
        <f t="shared" si="181"/>
        <v>23</v>
      </c>
      <c r="BL638" s="22">
        <f t="shared" si="182"/>
        <v>14</v>
      </c>
      <c r="BM638" s="22">
        <f t="shared" si="177"/>
        <v>9</v>
      </c>
      <c r="BN638" s="23">
        <f t="shared" si="178"/>
        <v>0.8571428571428571</v>
      </c>
      <c r="BO638" s="23">
        <f t="shared" si="178"/>
        <v>0.44444444444444442</v>
      </c>
      <c r="BP638" s="7">
        <f>VLOOKUP(A638,[1]Sheet15!B:E,4,0)</f>
        <v>13</v>
      </c>
      <c r="BQ638" s="7">
        <f>VLOOKUP(A638,[1]Sheet15!B:E,3,0)</f>
        <v>9</v>
      </c>
    </row>
    <row r="639" spans="1:69" ht="22.5" customHeight="1" x14ac:dyDescent="0.25">
      <c r="A639" s="15" t="s">
        <v>1530</v>
      </c>
      <c r="B639" s="15" t="e">
        <f>VLOOKUP(A639,'[1]Master clients'!F618:W4165,17,0)</f>
        <v>#N/A</v>
      </c>
      <c r="C639" s="15" t="e">
        <f>VLOOKUP(A639,'[1]Master clients'!F618:P4165,11,0)</f>
        <v>#N/A</v>
      </c>
      <c r="D639" s="15" t="str">
        <f>VLOOKUP(A639,'[1]Master clients'!F:M,8,0)</f>
        <v>Group (Mills)</v>
      </c>
      <c r="E639" s="16" t="s">
        <v>1524</v>
      </c>
      <c r="F639" s="16" t="s">
        <v>102</v>
      </c>
      <c r="G639" s="17">
        <v>7</v>
      </c>
      <c r="H639" s="17">
        <v>0</v>
      </c>
      <c r="I639" s="18">
        <v>10</v>
      </c>
      <c r="J639" s="18">
        <v>0</v>
      </c>
      <c r="K639" s="17">
        <v>0</v>
      </c>
      <c r="L639" s="17">
        <v>0</v>
      </c>
      <c r="M639" s="17">
        <v>0</v>
      </c>
      <c r="N639" s="17">
        <v>0</v>
      </c>
      <c r="O639" s="19">
        <v>0</v>
      </c>
      <c r="P639" s="19">
        <v>0</v>
      </c>
      <c r="Q639" s="19">
        <v>6</v>
      </c>
      <c r="R639" s="19">
        <v>0</v>
      </c>
      <c r="S639" s="19">
        <v>0</v>
      </c>
      <c r="T639" s="19">
        <v>0</v>
      </c>
      <c r="U639" s="19">
        <v>0</v>
      </c>
      <c r="V639" s="19">
        <v>0</v>
      </c>
      <c r="W639" s="20">
        <v>0</v>
      </c>
      <c r="X639" s="20">
        <v>0</v>
      </c>
      <c r="Y639" s="19">
        <v>0</v>
      </c>
      <c r="Z639" s="19">
        <v>0</v>
      </c>
      <c r="AA639" s="19">
        <v>0</v>
      </c>
      <c r="AB639" s="19">
        <v>0</v>
      </c>
      <c r="AC639" s="19">
        <v>0</v>
      </c>
      <c r="AD639" s="19">
        <v>0</v>
      </c>
      <c r="AE639" s="19">
        <v>0</v>
      </c>
      <c r="AF639" s="19">
        <v>0</v>
      </c>
      <c r="AG639" s="19">
        <v>0</v>
      </c>
      <c r="AH639" s="19">
        <v>0</v>
      </c>
      <c r="AI639" s="20">
        <v>0</v>
      </c>
      <c r="AJ639" s="20">
        <v>0</v>
      </c>
      <c r="AK639" s="19">
        <v>0</v>
      </c>
      <c r="AL639" s="20">
        <v>0</v>
      </c>
      <c r="AM639" s="19">
        <v>0</v>
      </c>
      <c r="AN639" s="19">
        <v>0</v>
      </c>
      <c r="AO639" s="19">
        <v>0</v>
      </c>
      <c r="AP639" s="19">
        <v>0</v>
      </c>
      <c r="AQ639" s="19">
        <v>0</v>
      </c>
      <c r="AR639" s="19">
        <v>0</v>
      </c>
      <c r="AS639" s="19">
        <v>0</v>
      </c>
      <c r="AT639" s="19">
        <v>0</v>
      </c>
      <c r="AU639" s="19">
        <v>0</v>
      </c>
      <c r="AV639" s="19">
        <v>0</v>
      </c>
      <c r="AW639" s="20">
        <v>0</v>
      </c>
      <c r="AX639" s="20">
        <v>0</v>
      </c>
      <c r="AY639" s="20">
        <v>0</v>
      </c>
      <c r="AZ639" s="19">
        <v>0</v>
      </c>
      <c r="BA639" s="19">
        <v>0</v>
      </c>
      <c r="BB639" s="19">
        <v>0</v>
      </c>
      <c r="BC639" s="19">
        <v>0</v>
      </c>
      <c r="BD639" s="19">
        <v>0</v>
      </c>
      <c r="BE639" s="21">
        <v>0</v>
      </c>
      <c r="BF639" s="21">
        <v>0</v>
      </c>
      <c r="BG639" s="19">
        <v>0</v>
      </c>
      <c r="BH639" s="19">
        <v>0</v>
      </c>
      <c r="BI639" s="22">
        <f t="shared" si="179"/>
        <v>0</v>
      </c>
      <c r="BJ639" s="22">
        <f t="shared" si="180"/>
        <v>6</v>
      </c>
      <c r="BK639" s="22">
        <f t="shared" si="181"/>
        <v>16</v>
      </c>
      <c r="BL639" s="22">
        <f t="shared" si="182"/>
        <v>10</v>
      </c>
      <c r="BM639" s="22">
        <f t="shared" si="177"/>
        <v>6</v>
      </c>
      <c r="BN639" s="23">
        <f t="shared" si="178"/>
        <v>1</v>
      </c>
      <c r="BO639" s="23">
        <f t="shared" si="178"/>
        <v>0</v>
      </c>
      <c r="BP639" s="7">
        <f>VLOOKUP(A639,[1]Sheet15!B:E,4,0)</f>
        <v>4</v>
      </c>
      <c r="BQ639" s="7">
        <f>VLOOKUP(A639,[1]Sheet15!B:E,3,0)</f>
        <v>0</v>
      </c>
    </row>
    <row r="640" spans="1:69" ht="22.5" customHeight="1" x14ac:dyDescent="0.25">
      <c r="A640" s="15" t="s">
        <v>1531</v>
      </c>
      <c r="B640" s="15" t="e">
        <f>VLOOKUP(A640,'[1]Master clients'!F619:W4166,17,0)</f>
        <v>#N/A</v>
      </c>
      <c r="C640" s="15" t="e">
        <f>VLOOKUP(A640,'[1]Master clients'!F619:P4166,11,0)</f>
        <v>#N/A</v>
      </c>
      <c r="D640" s="15" t="str">
        <f>VLOOKUP(A640,'[1]Master clients'!F:M,8,0)</f>
        <v>Group (Mills)</v>
      </c>
      <c r="E640" s="16" t="s">
        <v>1532</v>
      </c>
      <c r="F640" s="16" t="s">
        <v>102</v>
      </c>
      <c r="G640" s="17"/>
      <c r="H640" s="17"/>
      <c r="I640" s="18">
        <v>3</v>
      </c>
      <c r="J640" s="18">
        <v>0</v>
      </c>
      <c r="K640" s="20">
        <v>0</v>
      </c>
      <c r="L640" s="20">
        <v>0</v>
      </c>
      <c r="M640" s="20">
        <v>0</v>
      </c>
      <c r="N640" s="17">
        <v>1</v>
      </c>
      <c r="O640" s="20">
        <v>0</v>
      </c>
      <c r="P640" s="20">
        <v>0</v>
      </c>
      <c r="Q640" s="19">
        <v>2</v>
      </c>
      <c r="R640" s="19">
        <v>9</v>
      </c>
      <c r="S640" s="20">
        <v>0</v>
      </c>
      <c r="T640" s="20">
        <v>0</v>
      </c>
      <c r="U640" s="20">
        <v>0</v>
      </c>
      <c r="V640" s="20">
        <v>0</v>
      </c>
      <c r="W640" s="20">
        <v>0</v>
      </c>
      <c r="X640" s="20">
        <v>0</v>
      </c>
      <c r="Y640" s="20">
        <v>0</v>
      </c>
      <c r="Z640" s="20">
        <v>0</v>
      </c>
      <c r="AA640" s="20">
        <v>0</v>
      </c>
      <c r="AB640" s="20">
        <v>0</v>
      </c>
      <c r="AC640" s="20">
        <v>0</v>
      </c>
      <c r="AD640" s="20">
        <v>0</v>
      </c>
      <c r="AE640" s="20">
        <v>0</v>
      </c>
      <c r="AF640" s="20">
        <v>0</v>
      </c>
      <c r="AG640" s="20">
        <v>0</v>
      </c>
      <c r="AH640" s="20">
        <v>0</v>
      </c>
      <c r="AI640" s="20">
        <v>0</v>
      </c>
      <c r="AJ640" s="20">
        <v>0</v>
      </c>
      <c r="AK640" s="20">
        <v>0</v>
      </c>
      <c r="AL640" s="20">
        <v>0</v>
      </c>
      <c r="AM640" s="20">
        <v>0</v>
      </c>
      <c r="AN640" s="20">
        <v>0</v>
      </c>
      <c r="AO640" s="20">
        <v>0</v>
      </c>
      <c r="AP640" s="20">
        <v>0</v>
      </c>
      <c r="AQ640" s="20">
        <v>0</v>
      </c>
      <c r="AR640" s="20">
        <v>0</v>
      </c>
      <c r="AS640" s="20">
        <v>0</v>
      </c>
      <c r="AT640" s="20">
        <v>0</v>
      </c>
      <c r="AU640" s="20">
        <v>0</v>
      </c>
      <c r="AV640" s="20">
        <v>0</v>
      </c>
      <c r="AW640" s="20">
        <v>0</v>
      </c>
      <c r="AX640" s="20">
        <v>0</v>
      </c>
      <c r="AY640" s="20">
        <v>0</v>
      </c>
      <c r="AZ640" s="20">
        <v>0</v>
      </c>
      <c r="BA640" s="20">
        <v>0</v>
      </c>
      <c r="BB640" s="20">
        <v>0</v>
      </c>
      <c r="BC640" s="20">
        <v>0</v>
      </c>
      <c r="BD640" s="20">
        <v>0</v>
      </c>
      <c r="BE640" s="20">
        <v>0</v>
      </c>
      <c r="BF640" s="20">
        <v>0</v>
      </c>
      <c r="BG640" s="20">
        <v>0</v>
      </c>
      <c r="BH640" s="20">
        <v>0</v>
      </c>
      <c r="BI640" s="22">
        <f>SUM(M640+N640+P640+R640+T640+W640+Z640+AC640+AE640+AL640+AO640+AP640+AS640+AW640+AX640+BC640+BE640+BG640)</f>
        <v>10</v>
      </c>
      <c r="BJ640" s="22">
        <f>SUM(H640:BG640)</f>
        <v>15</v>
      </c>
      <c r="BK640" s="22">
        <f>SUM(H640+J640+K640+L640+O640+Q640+S640+U640+V640+X640+Y640+AA640+AB640+AD640+AF640+AG640+AH640+AI640+AJ640+AK640+AM640+AN640+AQ640+AR640+AT640+AU640+AV640+AY640+AZ640+BA640+BB640+BF640+BD640)</f>
        <v>2</v>
      </c>
      <c r="BL640" s="22">
        <f>SUM(I640+M640+N640+P640+R640+T640+W640+Z640+AC640+AE640+AL640+AO640+AP640+AS640+AW640+AX640+BC640+BG640)</f>
        <v>13</v>
      </c>
      <c r="BM640" s="23">
        <f t="shared" ref="BM640:BO655" si="183">H640/BK640</f>
        <v>0</v>
      </c>
      <c r="BN640" s="23">
        <f t="shared" si="183"/>
        <v>0.23076923076923078</v>
      </c>
      <c r="BO640" s="23" t="e">
        <f t="shared" si="183"/>
        <v>#DIV/0!</v>
      </c>
      <c r="BP640" s="7">
        <f>VLOOKUP(A640,[1]Sheet15!B:E,4,0)</f>
        <v>5</v>
      </c>
      <c r="BQ640" s="7">
        <f>VLOOKUP(A640,[1]Sheet15!B:E,3,0)</f>
        <v>0</v>
      </c>
    </row>
    <row r="641" spans="1:69" ht="22.5" customHeight="1" x14ac:dyDescent="0.25">
      <c r="A641" s="15" t="s">
        <v>1533</v>
      </c>
      <c r="B641" s="15" t="e">
        <f>VLOOKUP(A641,'[1]Master clients'!F620:W4167,17,0)</f>
        <v>#N/A</v>
      </c>
      <c r="C641" s="15" t="e">
        <f>VLOOKUP(A641,'[1]Master clients'!F620:P4167,11,0)</f>
        <v>#N/A</v>
      </c>
      <c r="D641" s="15" t="str">
        <f>VLOOKUP(A641,'[1]Master clients'!F:M,8,0)</f>
        <v>Group (Mills)</v>
      </c>
      <c r="E641" s="16" t="s">
        <v>1534</v>
      </c>
      <c r="F641" s="16" t="s">
        <v>1535</v>
      </c>
      <c r="G641" s="17">
        <v>0</v>
      </c>
      <c r="H641" s="17">
        <v>0</v>
      </c>
      <c r="I641" s="18">
        <v>2</v>
      </c>
      <c r="J641" s="18">
        <v>3</v>
      </c>
      <c r="K641" s="17">
        <v>0</v>
      </c>
      <c r="L641" s="17">
        <v>8</v>
      </c>
      <c r="M641" s="17">
        <v>0</v>
      </c>
      <c r="N641" s="17">
        <v>0</v>
      </c>
      <c r="O641" s="19">
        <v>0</v>
      </c>
      <c r="P641" s="19">
        <v>0</v>
      </c>
      <c r="Q641" s="19">
        <v>0</v>
      </c>
      <c r="R641" s="19">
        <v>0</v>
      </c>
      <c r="S641" s="19">
        <v>0</v>
      </c>
      <c r="T641" s="19">
        <v>0</v>
      </c>
      <c r="U641" s="19">
        <v>0</v>
      </c>
      <c r="V641" s="19">
        <v>0</v>
      </c>
      <c r="W641" s="20">
        <v>0</v>
      </c>
      <c r="X641" s="20">
        <v>0</v>
      </c>
      <c r="Y641" s="19">
        <v>0</v>
      </c>
      <c r="Z641" s="19">
        <v>1</v>
      </c>
      <c r="AA641" s="19">
        <v>0</v>
      </c>
      <c r="AB641" s="19">
        <v>0</v>
      </c>
      <c r="AC641" s="19">
        <v>0</v>
      </c>
      <c r="AD641" s="19">
        <v>0</v>
      </c>
      <c r="AE641" s="19">
        <v>0</v>
      </c>
      <c r="AF641" s="19">
        <v>0</v>
      </c>
      <c r="AG641" s="19">
        <v>1</v>
      </c>
      <c r="AH641" s="19">
        <v>0</v>
      </c>
      <c r="AI641" s="20">
        <v>0</v>
      </c>
      <c r="AJ641" s="20">
        <v>0</v>
      </c>
      <c r="AK641" s="19">
        <v>0</v>
      </c>
      <c r="AL641" s="20">
        <v>0</v>
      </c>
      <c r="AM641" s="19">
        <v>0</v>
      </c>
      <c r="AN641" s="19">
        <v>0</v>
      </c>
      <c r="AO641" s="19">
        <v>0</v>
      </c>
      <c r="AP641" s="19">
        <v>0</v>
      </c>
      <c r="AQ641" s="19">
        <v>2</v>
      </c>
      <c r="AR641" s="19">
        <v>0</v>
      </c>
      <c r="AS641" s="19">
        <v>0</v>
      </c>
      <c r="AT641" s="19">
        <v>5</v>
      </c>
      <c r="AU641" s="19">
        <v>0</v>
      </c>
      <c r="AV641" s="19">
        <v>0</v>
      </c>
      <c r="AW641" s="20">
        <v>0</v>
      </c>
      <c r="AX641" s="20">
        <v>0</v>
      </c>
      <c r="AY641" s="20">
        <v>0</v>
      </c>
      <c r="AZ641" s="19">
        <v>0</v>
      </c>
      <c r="BA641" s="19">
        <v>0</v>
      </c>
      <c r="BB641" s="19">
        <v>0</v>
      </c>
      <c r="BC641" s="19">
        <v>0</v>
      </c>
      <c r="BD641" s="19">
        <v>0</v>
      </c>
      <c r="BE641" s="21">
        <v>0</v>
      </c>
      <c r="BF641" s="21">
        <v>0</v>
      </c>
      <c r="BG641" s="19">
        <v>0</v>
      </c>
      <c r="BH641" s="19">
        <v>0</v>
      </c>
      <c r="BI641" s="22">
        <f t="shared" ref="BI641:BI667" si="184">SUM(K641+L641+M641+P641+R641+T641+V641+W641+Y641+Z641+AB641+AC641+AE641+AG641+AH641+AI641+AJ641+AK641+AL641+AN641+AO641+AR641+AS641+AU641+AV641+AW641+AZ641+BA641+BB641+BC641+BE641+BG641)</f>
        <v>10</v>
      </c>
      <c r="BJ641" s="22">
        <f t="shared" ref="BJ641:BJ667" si="185">SUM(N641+O641+Q641+S641+U641+X641+AA641+AD641+AF641+AM641+AP641+AQ641+AT641+AX641+AY641+BD641+BF641+BH641)</f>
        <v>7</v>
      </c>
      <c r="BK641" s="22">
        <f t="shared" ref="BK641:BK667" si="186">SUM(I641:BH641)</f>
        <v>22</v>
      </c>
      <c r="BL641" s="22">
        <f t="shared" ref="BL641:BL667" si="187">SUM(I641+K641+L641+M641+P641+R641+T641+V641+W641+Y641+Z641+AB641+AC641+AE641+AG641+AH641+AI641+AJ641+AK641+AL641+AN641+AO641+AR641+AS641+AU641+AV641+AW641+AZ641+BA641+BB641+BC641+BG641+BE641)</f>
        <v>12</v>
      </c>
      <c r="BM641" s="22">
        <f t="shared" ref="BM641:BM667" si="188">SUM(J641+N641+O641+Q641+S641+U641+X641+AA641+AD641+AF641+AM641+AP641+AQ641+AT641+AX641+AY641+BD641+BH641)</f>
        <v>10</v>
      </c>
      <c r="BN641" s="23">
        <f t="shared" si="183"/>
        <v>0.16666666666666666</v>
      </c>
      <c r="BO641" s="23">
        <f t="shared" si="183"/>
        <v>0.3</v>
      </c>
      <c r="BP641" s="7">
        <f>VLOOKUP(A641,[1]Sheet15!B:E,4,0)</f>
        <v>6</v>
      </c>
      <c r="BQ641" s="7">
        <f>VLOOKUP(A641,[1]Sheet15!B:E,3,0)</f>
        <v>1</v>
      </c>
    </row>
    <row r="642" spans="1:69" ht="22.5" customHeight="1" x14ac:dyDescent="0.25">
      <c r="A642" s="15" t="s">
        <v>1536</v>
      </c>
      <c r="B642" s="15" t="e">
        <f>VLOOKUP(A642,'[1]Master clients'!F621:W4168,17,0)</f>
        <v>#N/A</v>
      </c>
      <c r="C642" s="15" t="e">
        <f>VLOOKUP(A642,'[1]Master clients'!F621:P4168,11,0)</f>
        <v>#N/A</v>
      </c>
      <c r="D642" s="15" t="str">
        <f>VLOOKUP(A642,'[1]Master clients'!F:M,8,0)</f>
        <v>End User</v>
      </c>
      <c r="E642" s="16" t="s">
        <v>1537</v>
      </c>
      <c r="F642" s="16" t="s">
        <v>102</v>
      </c>
      <c r="G642" s="17">
        <v>21</v>
      </c>
      <c r="H642" s="17">
        <v>7</v>
      </c>
      <c r="I642" s="18">
        <v>11</v>
      </c>
      <c r="J642" s="18">
        <v>2</v>
      </c>
      <c r="K642" s="17">
        <v>6</v>
      </c>
      <c r="L642" s="17">
        <v>0</v>
      </c>
      <c r="M642" s="17">
        <v>0</v>
      </c>
      <c r="N642" s="17">
        <v>0</v>
      </c>
      <c r="O642" s="19">
        <v>0</v>
      </c>
      <c r="P642" s="19">
        <v>0</v>
      </c>
      <c r="Q642" s="19">
        <v>0</v>
      </c>
      <c r="R642" s="19">
        <v>0</v>
      </c>
      <c r="S642" s="19">
        <v>0</v>
      </c>
      <c r="T642" s="19">
        <v>0</v>
      </c>
      <c r="U642" s="19">
        <v>0</v>
      </c>
      <c r="V642" s="19">
        <v>0</v>
      </c>
      <c r="W642" s="20">
        <v>0</v>
      </c>
      <c r="X642" s="20">
        <v>0</v>
      </c>
      <c r="Y642" s="19">
        <v>0</v>
      </c>
      <c r="Z642" s="19">
        <v>0</v>
      </c>
      <c r="AA642" s="19">
        <v>0</v>
      </c>
      <c r="AB642" s="19">
        <v>0</v>
      </c>
      <c r="AC642" s="19">
        <v>0</v>
      </c>
      <c r="AD642" s="19">
        <v>0</v>
      </c>
      <c r="AE642" s="19">
        <v>0</v>
      </c>
      <c r="AF642" s="19">
        <v>0</v>
      </c>
      <c r="AG642" s="19">
        <v>0</v>
      </c>
      <c r="AH642" s="19">
        <v>0</v>
      </c>
      <c r="AI642" s="20">
        <v>0</v>
      </c>
      <c r="AJ642" s="20">
        <v>0</v>
      </c>
      <c r="AK642" s="19">
        <v>0</v>
      </c>
      <c r="AL642" s="20">
        <v>0</v>
      </c>
      <c r="AM642" s="19">
        <v>0</v>
      </c>
      <c r="AN642" s="19">
        <v>0</v>
      </c>
      <c r="AO642" s="19">
        <v>0</v>
      </c>
      <c r="AP642" s="19">
        <v>0</v>
      </c>
      <c r="AQ642" s="19">
        <v>0</v>
      </c>
      <c r="AR642" s="19">
        <v>0</v>
      </c>
      <c r="AS642" s="19">
        <v>0</v>
      </c>
      <c r="AT642" s="19">
        <v>0</v>
      </c>
      <c r="AU642" s="19">
        <v>0</v>
      </c>
      <c r="AV642" s="19">
        <v>0</v>
      </c>
      <c r="AW642" s="20">
        <v>0</v>
      </c>
      <c r="AX642" s="20">
        <v>0</v>
      </c>
      <c r="AY642" s="20">
        <v>0</v>
      </c>
      <c r="AZ642" s="19">
        <v>0</v>
      </c>
      <c r="BA642" s="19">
        <v>0</v>
      </c>
      <c r="BB642" s="19">
        <v>0</v>
      </c>
      <c r="BC642" s="19">
        <v>0</v>
      </c>
      <c r="BD642" s="19">
        <v>0</v>
      </c>
      <c r="BE642" s="21">
        <v>0</v>
      </c>
      <c r="BF642" s="21">
        <v>0</v>
      </c>
      <c r="BG642" s="19">
        <v>0</v>
      </c>
      <c r="BH642" s="19">
        <v>0</v>
      </c>
      <c r="BI642" s="22">
        <f t="shared" si="184"/>
        <v>6</v>
      </c>
      <c r="BJ642" s="22">
        <f t="shared" si="185"/>
        <v>0</v>
      </c>
      <c r="BK642" s="22">
        <f t="shared" si="186"/>
        <v>19</v>
      </c>
      <c r="BL642" s="22">
        <f t="shared" si="187"/>
        <v>17</v>
      </c>
      <c r="BM642" s="22">
        <f t="shared" si="188"/>
        <v>2</v>
      </c>
      <c r="BN642" s="23">
        <f t="shared" si="183"/>
        <v>0.6470588235294118</v>
      </c>
      <c r="BO642" s="23">
        <f t="shared" si="183"/>
        <v>1</v>
      </c>
      <c r="BP642" s="7">
        <f>VLOOKUP(A642,[1]Sheet15!B:E,4,0)</f>
        <v>10</v>
      </c>
      <c r="BQ642" s="7">
        <f>VLOOKUP(A642,[1]Sheet15!B:E,3,0)</f>
        <v>1</v>
      </c>
    </row>
    <row r="643" spans="1:69" ht="22.5" customHeight="1" x14ac:dyDescent="0.25">
      <c r="A643" s="15" t="s">
        <v>1538</v>
      </c>
      <c r="B643" s="15" t="e">
        <f>VLOOKUP(A643,'[1]Master clients'!F622:W4169,17,0)</f>
        <v>#N/A</v>
      </c>
      <c r="C643" s="15" t="e">
        <f>VLOOKUP(A643,'[1]Master clients'!F622:P4169,11,0)</f>
        <v>#N/A</v>
      </c>
      <c r="D643" s="15" t="str">
        <f>VLOOKUP(A643,'[1]Master clients'!F:M,8,0)</f>
        <v>End User</v>
      </c>
      <c r="E643" s="16" t="s">
        <v>1539</v>
      </c>
      <c r="F643" s="16" t="s">
        <v>1540</v>
      </c>
      <c r="G643" s="17">
        <v>7</v>
      </c>
      <c r="H643" s="17">
        <v>0</v>
      </c>
      <c r="I643" s="18">
        <v>11</v>
      </c>
      <c r="J643" s="18">
        <v>0</v>
      </c>
      <c r="K643" s="17">
        <v>0</v>
      </c>
      <c r="L643" s="17">
        <v>0</v>
      </c>
      <c r="M643" s="17">
        <v>0</v>
      </c>
      <c r="N643" s="17">
        <v>0</v>
      </c>
      <c r="O643" s="19">
        <v>0</v>
      </c>
      <c r="P643" s="19">
        <v>4</v>
      </c>
      <c r="Q643" s="19">
        <v>6</v>
      </c>
      <c r="R643" s="19">
        <v>0</v>
      </c>
      <c r="S643" s="19">
        <v>0</v>
      </c>
      <c r="T643" s="19">
        <v>0</v>
      </c>
      <c r="U643" s="19">
        <v>0</v>
      </c>
      <c r="V643" s="19">
        <v>0</v>
      </c>
      <c r="W643" s="20">
        <v>0</v>
      </c>
      <c r="X643" s="20">
        <v>0</v>
      </c>
      <c r="Y643" s="19">
        <v>0</v>
      </c>
      <c r="Z643" s="19">
        <v>0</v>
      </c>
      <c r="AA643" s="19">
        <v>0</v>
      </c>
      <c r="AB643" s="19">
        <v>0</v>
      </c>
      <c r="AC643" s="19">
        <v>0</v>
      </c>
      <c r="AD643" s="19">
        <v>0</v>
      </c>
      <c r="AE643" s="19">
        <v>0</v>
      </c>
      <c r="AF643" s="19">
        <v>0</v>
      </c>
      <c r="AG643" s="19">
        <v>0</v>
      </c>
      <c r="AH643" s="19">
        <v>0</v>
      </c>
      <c r="AI643" s="20">
        <v>0</v>
      </c>
      <c r="AJ643" s="20">
        <v>0</v>
      </c>
      <c r="AK643" s="19">
        <v>0</v>
      </c>
      <c r="AL643" s="20">
        <v>0</v>
      </c>
      <c r="AM643" s="19">
        <v>0</v>
      </c>
      <c r="AN643" s="19">
        <v>0</v>
      </c>
      <c r="AO643" s="19">
        <v>0</v>
      </c>
      <c r="AP643" s="19">
        <v>0</v>
      </c>
      <c r="AQ643" s="19">
        <v>0</v>
      </c>
      <c r="AR643" s="19">
        <v>0</v>
      </c>
      <c r="AS643" s="19">
        <v>0</v>
      </c>
      <c r="AT643" s="19">
        <v>0</v>
      </c>
      <c r="AU643" s="19">
        <v>0</v>
      </c>
      <c r="AV643" s="19">
        <v>0</v>
      </c>
      <c r="AW643" s="20">
        <v>0</v>
      </c>
      <c r="AX643" s="20">
        <v>0</v>
      </c>
      <c r="AY643" s="20">
        <v>0</v>
      </c>
      <c r="AZ643" s="19">
        <v>0</v>
      </c>
      <c r="BA643" s="19">
        <v>0</v>
      </c>
      <c r="BB643" s="19">
        <v>0</v>
      </c>
      <c r="BC643" s="19">
        <v>0</v>
      </c>
      <c r="BD643" s="19">
        <v>0</v>
      </c>
      <c r="BE643" s="21">
        <v>0</v>
      </c>
      <c r="BF643" s="21">
        <v>0</v>
      </c>
      <c r="BG643" s="19">
        <v>0</v>
      </c>
      <c r="BH643" s="19">
        <v>0</v>
      </c>
      <c r="BI643" s="22">
        <f t="shared" si="184"/>
        <v>4</v>
      </c>
      <c r="BJ643" s="22">
        <f t="shared" si="185"/>
        <v>6</v>
      </c>
      <c r="BK643" s="22">
        <f t="shared" si="186"/>
        <v>21</v>
      </c>
      <c r="BL643" s="22">
        <f t="shared" si="187"/>
        <v>15</v>
      </c>
      <c r="BM643" s="22">
        <f t="shared" si="188"/>
        <v>6</v>
      </c>
      <c r="BN643" s="23">
        <f t="shared" si="183"/>
        <v>0.73333333333333328</v>
      </c>
      <c r="BO643" s="23">
        <f t="shared" si="183"/>
        <v>0</v>
      </c>
      <c r="BP643" s="7">
        <f>VLOOKUP(A643,[1]Sheet15!B:E,4,0)</f>
        <v>9</v>
      </c>
      <c r="BQ643" s="7">
        <f>VLOOKUP(A643,[1]Sheet15!B:E,3,0)</f>
        <v>0</v>
      </c>
    </row>
    <row r="644" spans="1:69" ht="22.5" customHeight="1" x14ac:dyDescent="0.25">
      <c r="A644" s="15" t="s">
        <v>1541</v>
      </c>
      <c r="B644" s="15" t="e">
        <f>VLOOKUP(A644,'[1]Master clients'!F623:W4170,17,0)</f>
        <v>#N/A</v>
      </c>
      <c r="C644" s="15" t="e">
        <f>VLOOKUP(A644,'[1]Master clients'!F623:P4170,11,0)</f>
        <v>#N/A</v>
      </c>
      <c r="D644" s="15" t="str">
        <f>VLOOKUP(A644,'[1]Master clients'!F:M,8,0)</f>
        <v>End User</v>
      </c>
      <c r="E644" s="16" t="s">
        <v>1542</v>
      </c>
      <c r="F644" s="16" t="s">
        <v>102</v>
      </c>
      <c r="G644" s="17">
        <v>21</v>
      </c>
      <c r="H644" s="17">
        <v>12</v>
      </c>
      <c r="I644" s="18">
        <v>14</v>
      </c>
      <c r="J644" s="18">
        <v>2</v>
      </c>
      <c r="K644" s="17">
        <v>0</v>
      </c>
      <c r="L644" s="17">
        <v>0</v>
      </c>
      <c r="M644" s="17">
        <v>0</v>
      </c>
      <c r="N644" s="17">
        <v>0</v>
      </c>
      <c r="O644" s="19">
        <v>0</v>
      </c>
      <c r="P644" s="19">
        <v>2</v>
      </c>
      <c r="Q644" s="19">
        <v>0</v>
      </c>
      <c r="R644" s="19">
        <v>0</v>
      </c>
      <c r="S644" s="19">
        <v>0</v>
      </c>
      <c r="T644" s="19">
        <v>0</v>
      </c>
      <c r="U644" s="19">
        <v>0</v>
      </c>
      <c r="V644" s="19">
        <v>0</v>
      </c>
      <c r="W644" s="20">
        <v>0</v>
      </c>
      <c r="X644" s="20">
        <v>0</v>
      </c>
      <c r="Y644" s="19">
        <v>0</v>
      </c>
      <c r="Z644" s="19">
        <v>0</v>
      </c>
      <c r="AA644" s="19">
        <v>0</v>
      </c>
      <c r="AB644" s="19">
        <v>0</v>
      </c>
      <c r="AC644" s="19">
        <v>0</v>
      </c>
      <c r="AD644" s="19">
        <v>0</v>
      </c>
      <c r="AE644" s="19">
        <v>0</v>
      </c>
      <c r="AF644" s="19">
        <v>0</v>
      </c>
      <c r="AG644" s="19">
        <v>0</v>
      </c>
      <c r="AH644" s="19">
        <v>0</v>
      </c>
      <c r="AI644" s="20">
        <v>0</v>
      </c>
      <c r="AJ644" s="20">
        <v>0</v>
      </c>
      <c r="AK644" s="19">
        <v>0</v>
      </c>
      <c r="AL644" s="20">
        <v>0</v>
      </c>
      <c r="AM644" s="19">
        <v>0</v>
      </c>
      <c r="AN644" s="19">
        <v>0</v>
      </c>
      <c r="AO644" s="19">
        <v>0</v>
      </c>
      <c r="AP644" s="19">
        <v>0</v>
      </c>
      <c r="AQ644" s="19">
        <v>0</v>
      </c>
      <c r="AR644" s="19">
        <v>0</v>
      </c>
      <c r="AS644" s="19">
        <v>0</v>
      </c>
      <c r="AT644" s="19">
        <v>0</v>
      </c>
      <c r="AU644" s="19">
        <v>0</v>
      </c>
      <c r="AV644" s="19">
        <v>0</v>
      </c>
      <c r="AW644" s="20">
        <v>0</v>
      </c>
      <c r="AX644" s="20">
        <v>0</v>
      </c>
      <c r="AY644" s="20">
        <v>0</v>
      </c>
      <c r="AZ644" s="19">
        <v>0</v>
      </c>
      <c r="BA644" s="19">
        <v>0</v>
      </c>
      <c r="BB644" s="19">
        <v>0</v>
      </c>
      <c r="BC644" s="19">
        <v>0</v>
      </c>
      <c r="BD644" s="19">
        <v>0</v>
      </c>
      <c r="BE644" s="21">
        <v>0</v>
      </c>
      <c r="BF644" s="21">
        <v>0</v>
      </c>
      <c r="BG644" s="19">
        <v>0</v>
      </c>
      <c r="BH644" s="19">
        <v>0</v>
      </c>
      <c r="BI644" s="22">
        <f t="shared" si="184"/>
        <v>2</v>
      </c>
      <c r="BJ644" s="22">
        <f t="shared" si="185"/>
        <v>0</v>
      </c>
      <c r="BK644" s="22">
        <f t="shared" si="186"/>
        <v>18</v>
      </c>
      <c r="BL644" s="22">
        <f t="shared" si="187"/>
        <v>16</v>
      </c>
      <c r="BM644" s="22">
        <f t="shared" si="188"/>
        <v>2</v>
      </c>
      <c r="BN644" s="23">
        <f t="shared" si="183"/>
        <v>0.875</v>
      </c>
      <c r="BO644" s="23">
        <f t="shared" si="183"/>
        <v>1</v>
      </c>
      <c r="BP644" s="7">
        <f>VLOOKUP(A644,[1]Sheet15!B:E,4,0)</f>
        <v>5</v>
      </c>
      <c r="BQ644" s="7">
        <f>VLOOKUP(A644,[1]Sheet15!B:E,3,0)</f>
        <v>0</v>
      </c>
    </row>
    <row r="645" spans="1:69" ht="22.5" customHeight="1" x14ac:dyDescent="0.25">
      <c r="A645" s="15" t="s">
        <v>1543</v>
      </c>
      <c r="B645" s="15" t="e">
        <f>VLOOKUP(A645,'[1]Master clients'!F624:W4171,17,0)</f>
        <v>#N/A</v>
      </c>
      <c r="C645" s="15" t="e">
        <f>VLOOKUP(A645,'[1]Master clients'!F624:P4171,11,0)</f>
        <v>#N/A</v>
      </c>
      <c r="D645" s="15" t="str">
        <f>VLOOKUP(A645,'[1]Master clients'!F:M,8,0)</f>
        <v>End User</v>
      </c>
      <c r="E645" s="16" t="s">
        <v>1544</v>
      </c>
      <c r="F645" s="16" t="s">
        <v>653</v>
      </c>
      <c r="G645" s="17"/>
      <c r="H645" s="17"/>
      <c r="I645" s="18">
        <v>18</v>
      </c>
      <c r="J645" s="18">
        <v>4</v>
      </c>
      <c r="K645" s="17">
        <v>0</v>
      </c>
      <c r="L645" s="17">
        <v>0</v>
      </c>
      <c r="M645" s="17">
        <v>0</v>
      </c>
      <c r="N645" s="17">
        <v>0</v>
      </c>
      <c r="O645" s="19">
        <v>0</v>
      </c>
      <c r="P645" s="19">
        <v>0</v>
      </c>
      <c r="Q645" s="19">
        <v>0</v>
      </c>
      <c r="R645" s="19">
        <v>0</v>
      </c>
      <c r="S645" s="19">
        <v>0</v>
      </c>
      <c r="T645" s="19">
        <v>0</v>
      </c>
      <c r="U645" s="19">
        <v>0</v>
      </c>
      <c r="V645" s="19">
        <v>0</v>
      </c>
      <c r="W645" s="20">
        <v>0</v>
      </c>
      <c r="X645" s="20">
        <v>0</v>
      </c>
      <c r="Y645" s="20">
        <v>0</v>
      </c>
      <c r="Z645" s="20">
        <v>0</v>
      </c>
      <c r="AA645" s="20">
        <v>0</v>
      </c>
      <c r="AB645" s="20">
        <v>0</v>
      </c>
      <c r="AC645" s="20">
        <v>0</v>
      </c>
      <c r="AD645" s="20">
        <v>0</v>
      </c>
      <c r="AE645" s="20">
        <v>0</v>
      </c>
      <c r="AF645" s="20">
        <v>0</v>
      </c>
      <c r="AG645" s="20">
        <v>0</v>
      </c>
      <c r="AH645" s="20">
        <v>0</v>
      </c>
      <c r="AI645" s="20">
        <v>0</v>
      </c>
      <c r="AJ645" s="20">
        <v>0</v>
      </c>
      <c r="AK645" s="20">
        <v>0</v>
      </c>
      <c r="AL645" s="20">
        <v>0</v>
      </c>
      <c r="AM645" s="20">
        <v>0</v>
      </c>
      <c r="AN645" s="20">
        <v>0</v>
      </c>
      <c r="AO645" s="20">
        <v>0</v>
      </c>
      <c r="AP645" s="20">
        <v>0</v>
      </c>
      <c r="AQ645" s="20">
        <v>0</v>
      </c>
      <c r="AR645" s="20">
        <v>0</v>
      </c>
      <c r="AS645" s="20">
        <v>0</v>
      </c>
      <c r="AT645" s="20">
        <v>0</v>
      </c>
      <c r="AU645" s="20">
        <v>0</v>
      </c>
      <c r="AV645" s="19">
        <v>0</v>
      </c>
      <c r="AW645" s="20">
        <v>0</v>
      </c>
      <c r="AX645" s="20">
        <v>0</v>
      </c>
      <c r="AY645" s="20">
        <v>0</v>
      </c>
      <c r="AZ645" s="19">
        <v>0</v>
      </c>
      <c r="BA645" s="19">
        <v>0</v>
      </c>
      <c r="BB645" s="19">
        <v>0</v>
      </c>
      <c r="BC645" s="19">
        <v>0</v>
      </c>
      <c r="BD645" s="19">
        <v>0</v>
      </c>
      <c r="BE645" s="21">
        <v>0</v>
      </c>
      <c r="BF645" s="21">
        <v>0</v>
      </c>
      <c r="BG645" s="19">
        <v>0</v>
      </c>
      <c r="BH645" s="19">
        <v>0</v>
      </c>
      <c r="BI645" s="22">
        <f t="shared" si="184"/>
        <v>0</v>
      </c>
      <c r="BJ645" s="22">
        <f t="shared" si="185"/>
        <v>0</v>
      </c>
      <c r="BK645" s="22">
        <f t="shared" si="186"/>
        <v>22</v>
      </c>
      <c r="BL645" s="22">
        <f t="shared" si="187"/>
        <v>18</v>
      </c>
      <c r="BM645" s="22">
        <f t="shared" si="188"/>
        <v>4</v>
      </c>
      <c r="BN645" s="23">
        <f t="shared" si="183"/>
        <v>1</v>
      </c>
      <c r="BO645" s="23">
        <f t="shared" si="183"/>
        <v>1</v>
      </c>
      <c r="BP645" s="7">
        <f>VLOOKUP(A645,[1]Sheet15!B:E,4,0)</f>
        <v>3</v>
      </c>
      <c r="BQ645" s="7">
        <f>VLOOKUP(A645,[1]Sheet15!B:E,3,0)</f>
        <v>0</v>
      </c>
    </row>
    <row r="646" spans="1:69" ht="22.5" customHeight="1" x14ac:dyDescent="0.25">
      <c r="A646" s="15" t="s">
        <v>1545</v>
      </c>
      <c r="B646" s="15" t="e">
        <f>VLOOKUP(A646,'[1]Master clients'!F625:W4172,17,0)</f>
        <v>#N/A</v>
      </c>
      <c r="C646" s="15" t="e">
        <f>VLOOKUP(A646,'[1]Master clients'!F625:P4172,11,0)</f>
        <v>#N/A</v>
      </c>
      <c r="D646" s="15" t="str">
        <f>VLOOKUP(A646,'[1]Master clients'!F:M,8,0)</f>
        <v>End User</v>
      </c>
      <c r="E646" s="16" t="s">
        <v>1546</v>
      </c>
      <c r="F646" s="16" t="s">
        <v>102</v>
      </c>
      <c r="G646" s="17">
        <v>7</v>
      </c>
      <c r="H646" s="17">
        <v>0</v>
      </c>
      <c r="I646" s="18">
        <v>5</v>
      </c>
      <c r="J646" s="18">
        <v>0</v>
      </c>
      <c r="K646" s="17">
        <v>0</v>
      </c>
      <c r="L646" s="17">
        <v>0</v>
      </c>
      <c r="M646" s="17">
        <v>0</v>
      </c>
      <c r="N646" s="17">
        <v>6</v>
      </c>
      <c r="O646" s="19">
        <v>0</v>
      </c>
      <c r="P646" s="19">
        <v>0</v>
      </c>
      <c r="Q646" s="19">
        <v>0</v>
      </c>
      <c r="R646" s="19">
        <v>13</v>
      </c>
      <c r="S646" s="19">
        <v>0</v>
      </c>
      <c r="T646" s="19">
        <v>0</v>
      </c>
      <c r="U646" s="19">
        <v>0</v>
      </c>
      <c r="V646" s="19">
        <v>0</v>
      </c>
      <c r="W646" s="20">
        <v>0</v>
      </c>
      <c r="X646" s="20">
        <v>0</v>
      </c>
      <c r="Y646" s="19">
        <v>0</v>
      </c>
      <c r="Z646" s="19">
        <v>0</v>
      </c>
      <c r="AA646" s="19">
        <v>0</v>
      </c>
      <c r="AB646" s="19">
        <v>0</v>
      </c>
      <c r="AC646" s="19">
        <v>0</v>
      </c>
      <c r="AD646" s="19">
        <v>0</v>
      </c>
      <c r="AE646" s="19">
        <v>0</v>
      </c>
      <c r="AF646" s="19">
        <v>0</v>
      </c>
      <c r="AG646" s="19">
        <v>0</v>
      </c>
      <c r="AH646" s="19">
        <v>0</v>
      </c>
      <c r="AI646" s="20">
        <v>0</v>
      </c>
      <c r="AJ646" s="20">
        <v>0</v>
      </c>
      <c r="AK646" s="19">
        <v>0</v>
      </c>
      <c r="AL646" s="20">
        <v>0</v>
      </c>
      <c r="AM646" s="19">
        <v>0</v>
      </c>
      <c r="AN646" s="19">
        <v>0</v>
      </c>
      <c r="AO646" s="19">
        <v>0</v>
      </c>
      <c r="AP646" s="19">
        <v>0</v>
      </c>
      <c r="AQ646" s="19">
        <v>0</v>
      </c>
      <c r="AR646" s="19">
        <v>0</v>
      </c>
      <c r="AS646" s="19">
        <v>0</v>
      </c>
      <c r="AT646" s="19">
        <v>0</v>
      </c>
      <c r="AU646" s="19">
        <v>0</v>
      </c>
      <c r="AV646" s="19">
        <v>0</v>
      </c>
      <c r="AW646" s="20">
        <v>0</v>
      </c>
      <c r="AX646" s="20">
        <v>0</v>
      </c>
      <c r="AY646" s="20">
        <v>0</v>
      </c>
      <c r="AZ646" s="19">
        <v>0</v>
      </c>
      <c r="BA646" s="19">
        <v>0</v>
      </c>
      <c r="BB646" s="19">
        <v>0</v>
      </c>
      <c r="BC646" s="19">
        <v>0</v>
      </c>
      <c r="BD646" s="19">
        <v>0</v>
      </c>
      <c r="BE646" s="21">
        <v>0</v>
      </c>
      <c r="BF646" s="21">
        <v>0</v>
      </c>
      <c r="BG646" s="19">
        <v>0</v>
      </c>
      <c r="BH646" s="19">
        <v>0</v>
      </c>
      <c r="BI646" s="22">
        <f t="shared" si="184"/>
        <v>13</v>
      </c>
      <c r="BJ646" s="22">
        <f t="shared" si="185"/>
        <v>6</v>
      </c>
      <c r="BK646" s="22">
        <f t="shared" si="186"/>
        <v>24</v>
      </c>
      <c r="BL646" s="22">
        <f t="shared" si="187"/>
        <v>18</v>
      </c>
      <c r="BM646" s="22">
        <f t="shared" si="188"/>
        <v>6</v>
      </c>
      <c r="BN646" s="23">
        <f t="shared" si="183"/>
        <v>0.27777777777777779</v>
      </c>
      <c r="BO646" s="23">
        <f t="shared" si="183"/>
        <v>0</v>
      </c>
      <c r="BP646" s="7" t="e">
        <f>VLOOKUP(A646,[1]Sheet15!B:E,4,0)</f>
        <v>#N/A</v>
      </c>
      <c r="BQ646" s="7" t="e">
        <f>VLOOKUP(A646,[1]Sheet15!B:E,3,0)</f>
        <v>#N/A</v>
      </c>
    </row>
    <row r="647" spans="1:69" ht="22.5" customHeight="1" x14ac:dyDescent="0.25">
      <c r="A647" s="15" t="s">
        <v>1547</v>
      </c>
      <c r="B647" s="15">
        <f>VLOOKUP(A647,'[1]Master clients'!F626:W4173,17,0)</f>
        <v>0</v>
      </c>
      <c r="C647" s="15" t="str">
        <f>VLOOKUP(A647,'[1]Master clients'!F626:P4173,11,0)</f>
        <v>AV</v>
      </c>
      <c r="D647" s="15" t="str">
        <f>VLOOKUP(A647,'[1]Master clients'!F:M,8,0)</f>
        <v>Group (Mills)</v>
      </c>
      <c r="E647" s="16" t="s">
        <v>1548</v>
      </c>
      <c r="F647" s="16" t="s">
        <v>102</v>
      </c>
      <c r="G647" s="17">
        <v>15</v>
      </c>
      <c r="H647" s="17">
        <v>0</v>
      </c>
      <c r="I647" s="18">
        <v>10</v>
      </c>
      <c r="J647" s="18">
        <v>0</v>
      </c>
      <c r="K647" s="17">
        <v>0</v>
      </c>
      <c r="L647" s="17">
        <v>0</v>
      </c>
      <c r="M647" s="17">
        <v>0</v>
      </c>
      <c r="N647" s="17">
        <v>2</v>
      </c>
      <c r="O647" s="19">
        <v>0</v>
      </c>
      <c r="P647" s="19">
        <v>0</v>
      </c>
      <c r="Q647" s="19">
        <v>4</v>
      </c>
      <c r="R647" s="19">
        <v>7</v>
      </c>
      <c r="S647" s="19">
        <v>0</v>
      </c>
      <c r="T647" s="19">
        <v>0</v>
      </c>
      <c r="U647" s="19">
        <v>0</v>
      </c>
      <c r="V647" s="19">
        <v>0</v>
      </c>
      <c r="W647" s="20">
        <v>0</v>
      </c>
      <c r="X647" s="20">
        <v>0</v>
      </c>
      <c r="Y647" s="19">
        <v>0</v>
      </c>
      <c r="Z647" s="19">
        <v>0</v>
      </c>
      <c r="AA647" s="19">
        <v>0</v>
      </c>
      <c r="AB647" s="19">
        <v>0</v>
      </c>
      <c r="AC647" s="19">
        <v>0</v>
      </c>
      <c r="AD647" s="19">
        <v>0</v>
      </c>
      <c r="AE647" s="19">
        <v>0</v>
      </c>
      <c r="AF647" s="19">
        <v>0</v>
      </c>
      <c r="AG647" s="19">
        <v>0</v>
      </c>
      <c r="AH647" s="19">
        <v>0</v>
      </c>
      <c r="AI647" s="20">
        <v>0</v>
      </c>
      <c r="AJ647" s="20">
        <v>0</v>
      </c>
      <c r="AK647" s="19">
        <v>0</v>
      </c>
      <c r="AL647" s="20">
        <v>0</v>
      </c>
      <c r="AM647" s="19">
        <v>0</v>
      </c>
      <c r="AN647" s="19">
        <v>0</v>
      </c>
      <c r="AO647" s="19">
        <v>0</v>
      </c>
      <c r="AP647" s="19">
        <v>0</v>
      </c>
      <c r="AQ647" s="19">
        <v>0</v>
      </c>
      <c r="AR647" s="19">
        <v>0</v>
      </c>
      <c r="AS647" s="19">
        <v>0</v>
      </c>
      <c r="AT647" s="19">
        <v>0</v>
      </c>
      <c r="AU647" s="19">
        <v>0</v>
      </c>
      <c r="AV647" s="19">
        <v>0</v>
      </c>
      <c r="AW647" s="20">
        <v>0</v>
      </c>
      <c r="AX647" s="20">
        <v>0</v>
      </c>
      <c r="AY647" s="20">
        <v>0</v>
      </c>
      <c r="AZ647" s="19">
        <v>0</v>
      </c>
      <c r="BA647" s="19">
        <v>0</v>
      </c>
      <c r="BB647" s="19">
        <v>0</v>
      </c>
      <c r="BC647" s="19">
        <v>0</v>
      </c>
      <c r="BD647" s="19">
        <v>0</v>
      </c>
      <c r="BE647" s="21">
        <v>0</v>
      </c>
      <c r="BF647" s="21">
        <v>0</v>
      </c>
      <c r="BG647" s="19">
        <v>0</v>
      </c>
      <c r="BH647" s="19">
        <v>0</v>
      </c>
      <c r="BI647" s="22">
        <f t="shared" si="184"/>
        <v>7</v>
      </c>
      <c r="BJ647" s="22">
        <f t="shared" si="185"/>
        <v>6</v>
      </c>
      <c r="BK647" s="22">
        <f t="shared" si="186"/>
        <v>23</v>
      </c>
      <c r="BL647" s="22">
        <f t="shared" si="187"/>
        <v>17</v>
      </c>
      <c r="BM647" s="22">
        <f t="shared" si="188"/>
        <v>6</v>
      </c>
      <c r="BN647" s="23">
        <f t="shared" si="183"/>
        <v>0.58823529411764708</v>
      </c>
      <c r="BO647" s="23">
        <f t="shared" si="183"/>
        <v>0</v>
      </c>
      <c r="BP647" s="7">
        <f>VLOOKUP(A647,[1]Sheet15!B:E,4,0)</f>
        <v>5</v>
      </c>
      <c r="BQ647" s="7">
        <f>VLOOKUP(A647,[1]Sheet15!B:E,3,0)</f>
        <v>0</v>
      </c>
    </row>
    <row r="648" spans="1:69" ht="22.5" customHeight="1" x14ac:dyDescent="0.25">
      <c r="A648" s="15" t="s">
        <v>1549</v>
      </c>
      <c r="B648" s="15">
        <f>VLOOKUP(A648,'[1]Master clients'!F627:W4174,17,0)</f>
        <v>0</v>
      </c>
      <c r="C648" s="15" t="str">
        <f>VLOOKUP(A648,'[1]Master clients'!F627:P4174,11,0)</f>
        <v>AV</v>
      </c>
      <c r="D648" s="15" t="str">
        <f>VLOOKUP(A648,'[1]Master clients'!F:M,8,0)</f>
        <v>End User</v>
      </c>
      <c r="E648" s="16" t="s">
        <v>1550</v>
      </c>
      <c r="F648" s="16" t="s">
        <v>102</v>
      </c>
      <c r="G648" s="17">
        <v>0</v>
      </c>
      <c r="H648" s="17">
        <v>0</v>
      </c>
      <c r="I648" s="18">
        <v>1</v>
      </c>
      <c r="J648" s="18">
        <v>0</v>
      </c>
      <c r="K648" s="17">
        <v>0</v>
      </c>
      <c r="L648" s="17">
        <v>0</v>
      </c>
      <c r="M648" s="17">
        <v>0</v>
      </c>
      <c r="N648" s="17">
        <v>0</v>
      </c>
      <c r="O648" s="19">
        <v>0</v>
      </c>
      <c r="P648" s="19">
        <v>0</v>
      </c>
      <c r="Q648" s="19">
        <v>0</v>
      </c>
      <c r="R648" s="19">
        <v>0</v>
      </c>
      <c r="S648" s="19">
        <v>0</v>
      </c>
      <c r="T648" s="19">
        <v>0</v>
      </c>
      <c r="U648" s="19">
        <v>0</v>
      </c>
      <c r="V648" s="19">
        <v>0</v>
      </c>
      <c r="W648" s="20">
        <v>0</v>
      </c>
      <c r="X648" s="20">
        <v>0</v>
      </c>
      <c r="Y648" s="19">
        <v>0</v>
      </c>
      <c r="Z648" s="19">
        <v>0</v>
      </c>
      <c r="AA648" s="19">
        <v>0</v>
      </c>
      <c r="AB648" s="19">
        <v>0</v>
      </c>
      <c r="AC648" s="19">
        <v>0</v>
      </c>
      <c r="AD648" s="19">
        <v>0</v>
      </c>
      <c r="AE648" s="19">
        <v>0</v>
      </c>
      <c r="AF648" s="19">
        <v>0</v>
      </c>
      <c r="AG648" s="19">
        <v>9</v>
      </c>
      <c r="AH648" s="19">
        <v>0</v>
      </c>
      <c r="AI648" s="20">
        <v>0</v>
      </c>
      <c r="AJ648" s="20">
        <v>0</v>
      </c>
      <c r="AK648" s="19">
        <v>0</v>
      </c>
      <c r="AL648" s="20">
        <v>0</v>
      </c>
      <c r="AM648" s="19">
        <v>0</v>
      </c>
      <c r="AN648" s="19">
        <v>0</v>
      </c>
      <c r="AO648" s="19">
        <v>0</v>
      </c>
      <c r="AP648" s="19">
        <v>0</v>
      </c>
      <c r="AQ648" s="19">
        <v>0</v>
      </c>
      <c r="AR648" s="19">
        <v>0</v>
      </c>
      <c r="AS648" s="19">
        <v>0</v>
      </c>
      <c r="AT648" s="19">
        <v>0</v>
      </c>
      <c r="AU648" s="19">
        <v>0</v>
      </c>
      <c r="AV648" s="19">
        <v>0</v>
      </c>
      <c r="AW648" s="20">
        <v>0</v>
      </c>
      <c r="AX648" s="20">
        <v>0</v>
      </c>
      <c r="AY648" s="20">
        <v>0</v>
      </c>
      <c r="AZ648" s="19">
        <v>0</v>
      </c>
      <c r="BA648" s="19">
        <v>0</v>
      </c>
      <c r="BB648" s="19">
        <v>0</v>
      </c>
      <c r="BC648" s="19">
        <v>0</v>
      </c>
      <c r="BD648" s="19">
        <v>0</v>
      </c>
      <c r="BE648" s="21">
        <v>0</v>
      </c>
      <c r="BF648" s="21">
        <v>0</v>
      </c>
      <c r="BG648" s="19">
        <v>0</v>
      </c>
      <c r="BH648" s="19">
        <v>0</v>
      </c>
      <c r="BI648" s="22">
        <f t="shared" si="184"/>
        <v>9</v>
      </c>
      <c r="BJ648" s="22">
        <f t="shared" si="185"/>
        <v>0</v>
      </c>
      <c r="BK648" s="22">
        <f t="shared" si="186"/>
        <v>10</v>
      </c>
      <c r="BL648" s="22">
        <f t="shared" si="187"/>
        <v>10</v>
      </c>
      <c r="BM648" s="22">
        <f t="shared" si="188"/>
        <v>0</v>
      </c>
      <c r="BN648" s="23">
        <f t="shared" si="183"/>
        <v>0.1</v>
      </c>
      <c r="BO648" s="23" t="e">
        <f t="shared" si="183"/>
        <v>#DIV/0!</v>
      </c>
      <c r="BP648" s="7">
        <f>VLOOKUP(A648,[1]Sheet15!B:E,4,0)</f>
        <v>2</v>
      </c>
      <c r="BQ648" s="7">
        <f>VLOOKUP(A648,[1]Sheet15!B:E,3,0)</f>
        <v>0</v>
      </c>
    </row>
    <row r="649" spans="1:69" ht="22.5" customHeight="1" x14ac:dyDescent="0.25">
      <c r="A649" s="15" t="s">
        <v>1551</v>
      </c>
      <c r="B649" s="15">
        <f>VLOOKUP(A649,'[1]Master clients'!F628:W4175,17,0)</f>
        <v>0</v>
      </c>
      <c r="C649" s="15" t="str">
        <f>VLOOKUP(A649,'[1]Master clients'!F628:P4175,11,0)</f>
        <v>AV</v>
      </c>
      <c r="D649" s="15" t="str">
        <f>VLOOKUP(A649,'[1]Master clients'!F:M,8,0)</f>
        <v>End User</v>
      </c>
      <c r="E649" s="16" t="s">
        <v>1552</v>
      </c>
      <c r="F649" s="16" t="s">
        <v>102</v>
      </c>
      <c r="G649" s="17">
        <v>4</v>
      </c>
      <c r="H649" s="17">
        <v>0</v>
      </c>
      <c r="I649" s="17">
        <v>4</v>
      </c>
      <c r="J649" s="18">
        <v>0</v>
      </c>
      <c r="K649" s="17">
        <v>4</v>
      </c>
      <c r="L649" s="17">
        <v>0</v>
      </c>
      <c r="M649" s="17">
        <v>0</v>
      </c>
      <c r="N649" s="17">
        <v>0</v>
      </c>
      <c r="O649" s="19">
        <v>0</v>
      </c>
      <c r="P649" s="19">
        <v>0</v>
      </c>
      <c r="Q649" s="19">
        <v>0</v>
      </c>
      <c r="R649" s="19">
        <v>0</v>
      </c>
      <c r="S649" s="19">
        <v>0</v>
      </c>
      <c r="T649" s="19">
        <v>0</v>
      </c>
      <c r="U649" s="19">
        <v>0</v>
      </c>
      <c r="V649" s="19">
        <v>0</v>
      </c>
      <c r="W649" s="20">
        <v>0</v>
      </c>
      <c r="X649" s="20">
        <v>0</v>
      </c>
      <c r="Y649" s="19">
        <v>0</v>
      </c>
      <c r="Z649" s="19">
        <v>0</v>
      </c>
      <c r="AA649" s="19">
        <v>0</v>
      </c>
      <c r="AB649" s="19">
        <v>0</v>
      </c>
      <c r="AC649" s="19">
        <v>0</v>
      </c>
      <c r="AD649" s="19">
        <v>0</v>
      </c>
      <c r="AE649" s="19">
        <v>0</v>
      </c>
      <c r="AF649" s="19">
        <v>0</v>
      </c>
      <c r="AG649" s="19">
        <v>0</v>
      </c>
      <c r="AH649" s="19">
        <v>0</v>
      </c>
      <c r="AI649" s="20">
        <v>0</v>
      </c>
      <c r="AJ649" s="20">
        <v>0</v>
      </c>
      <c r="AK649" s="19">
        <v>0</v>
      </c>
      <c r="AL649" s="20">
        <v>0</v>
      </c>
      <c r="AM649" s="19">
        <v>0</v>
      </c>
      <c r="AN649" s="19">
        <v>0</v>
      </c>
      <c r="AO649" s="19">
        <v>0</v>
      </c>
      <c r="AP649" s="19">
        <v>0</v>
      </c>
      <c r="AQ649" s="19">
        <v>0</v>
      </c>
      <c r="AR649" s="19">
        <v>0</v>
      </c>
      <c r="AS649" s="19">
        <v>0</v>
      </c>
      <c r="AT649" s="19">
        <v>0</v>
      </c>
      <c r="AU649" s="19">
        <v>0</v>
      </c>
      <c r="AV649" s="19">
        <v>0</v>
      </c>
      <c r="AW649" s="20">
        <v>0</v>
      </c>
      <c r="AX649" s="20">
        <v>0</v>
      </c>
      <c r="AY649" s="20">
        <v>0</v>
      </c>
      <c r="AZ649" s="19">
        <v>0</v>
      </c>
      <c r="BA649" s="19">
        <v>0</v>
      </c>
      <c r="BB649" s="19">
        <v>0</v>
      </c>
      <c r="BC649" s="19">
        <v>0</v>
      </c>
      <c r="BD649" s="19">
        <v>0</v>
      </c>
      <c r="BE649" s="21">
        <v>0</v>
      </c>
      <c r="BF649" s="21">
        <v>0</v>
      </c>
      <c r="BG649" s="19">
        <v>0</v>
      </c>
      <c r="BH649" s="19">
        <v>0</v>
      </c>
      <c r="BI649" s="22">
        <f t="shared" si="184"/>
        <v>4</v>
      </c>
      <c r="BJ649" s="22">
        <f t="shared" si="185"/>
        <v>0</v>
      </c>
      <c r="BK649" s="22">
        <f t="shared" si="186"/>
        <v>8</v>
      </c>
      <c r="BL649" s="22">
        <f t="shared" si="187"/>
        <v>8</v>
      </c>
      <c r="BM649" s="22">
        <f t="shared" si="188"/>
        <v>0</v>
      </c>
      <c r="BN649" s="23">
        <f t="shared" si="183"/>
        <v>0.5</v>
      </c>
      <c r="BO649" s="23" t="e">
        <f t="shared" si="183"/>
        <v>#DIV/0!</v>
      </c>
      <c r="BP649" s="7" t="e">
        <f>VLOOKUP(A649,[1]Sheet15!B:E,4,0)</f>
        <v>#N/A</v>
      </c>
      <c r="BQ649" s="7" t="e">
        <f>VLOOKUP(A649,[1]Sheet15!B:E,3,0)</f>
        <v>#N/A</v>
      </c>
    </row>
    <row r="650" spans="1:69" ht="22.5" customHeight="1" x14ac:dyDescent="0.25">
      <c r="A650" s="15" t="s">
        <v>1553</v>
      </c>
      <c r="B650" s="15">
        <f>VLOOKUP(A650,'[1]Master clients'!F629:W4176,17,0)</f>
        <v>0</v>
      </c>
      <c r="C650" s="15" t="str">
        <f>VLOOKUP(A650,'[1]Master clients'!F629:P4176,11,0)</f>
        <v>AV</v>
      </c>
      <c r="D650" s="15" t="str">
        <f>VLOOKUP(A650,'[1]Master clients'!F:M,8,0)</f>
        <v>End User</v>
      </c>
      <c r="E650" s="16" t="s">
        <v>1552</v>
      </c>
      <c r="F650" s="16" t="s">
        <v>102</v>
      </c>
      <c r="G650" s="17"/>
      <c r="H650" s="17"/>
      <c r="I650" s="18">
        <v>3</v>
      </c>
      <c r="J650" s="18">
        <v>12</v>
      </c>
      <c r="K650" s="17">
        <v>0</v>
      </c>
      <c r="L650" s="17">
        <v>0</v>
      </c>
      <c r="M650" s="17">
        <v>0</v>
      </c>
      <c r="N650" s="17">
        <v>0</v>
      </c>
      <c r="O650" s="17">
        <v>0</v>
      </c>
      <c r="P650" s="17">
        <v>0</v>
      </c>
      <c r="Q650" s="17">
        <v>0</v>
      </c>
      <c r="R650" s="17">
        <v>0</v>
      </c>
      <c r="S650" s="17">
        <v>0</v>
      </c>
      <c r="T650" s="17">
        <v>0</v>
      </c>
      <c r="U650" s="17">
        <v>0</v>
      </c>
      <c r="V650" s="17">
        <v>0</v>
      </c>
      <c r="W650" s="17">
        <v>0</v>
      </c>
      <c r="X650" s="17">
        <v>0</v>
      </c>
      <c r="Y650" s="17">
        <v>0</v>
      </c>
      <c r="Z650" s="17">
        <v>0</v>
      </c>
      <c r="AA650" s="17">
        <v>0</v>
      </c>
      <c r="AB650" s="17">
        <v>0</v>
      </c>
      <c r="AC650" s="17">
        <v>0</v>
      </c>
      <c r="AD650" s="17">
        <v>0</v>
      </c>
      <c r="AE650" s="17">
        <v>0</v>
      </c>
      <c r="AF650" s="17">
        <v>0</v>
      </c>
      <c r="AG650" s="17">
        <v>0</v>
      </c>
      <c r="AH650" s="17">
        <v>0</v>
      </c>
      <c r="AI650" s="17">
        <v>0</v>
      </c>
      <c r="AJ650" s="17">
        <v>0</v>
      </c>
      <c r="AK650" s="17">
        <v>0</v>
      </c>
      <c r="AL650" s="17">
        <v>0</v>
      </c>
      <c r="AM650" s="17">
        <v>0</v>
      </c>
      <c r="AN650" s="17">
        <v>0</v>
      </c>
      <c r="AO650" s="17">
        <v>0</v>
      </c>
      <c r="AP650" s="17">
        <v>0</v>
      </c>
      <c r="AQ650" s="17">
        <v>0</v>
      </c>
      <c r="AR650" s="17">
        <v>0</v>
      </c>
      <c r="AS650" s="17">
        <v>0</v>
      </c>
      <c r="AT650" s="17">
        <v>0</v>
      </c>
      <c r="AU650" s="17">
        <v>0</v>
      </c>
      <c r="AV650" s="17">
        <v>0</v>
      </c>
      <c r="AW650" s="17">
        <v>0</v>
      </c>
      <c r="AX650" s="17">
        <v>0</v>
      </c>
      <c r="AY650" s="17">
        <v>0</v>
      </c>
      <c r="AZ650" s="17">
        <v>0</v>
      </c>
      <c r="BA650" s="17">
        <v>0</v>
      </c>
      <c r="BB650" s="17">
        <v>0</v>
      </c>
      <c r="BC650" s="17">
        <v>0</v>
      </c>
      <c r="BD650" s="17">
        <v>0</v>
      </c>
      <c r="BE650" s="30">
        <v>0</v>
      </c>
      <c r="BF650" s="30">
        <v>0</v>
      </c>
      <c r="BG650" s="17">
        <v>0</v>
      </c>
      <c r="BH650" s="17">
        <v>0</v>
      </c>
      <c r="BI650" s="22">
        <f t="shared" si="184"/>
        <v>0</v>
      </c>
      <c r="BJ650" s="22">
        <f t="shared" si="185"/>
        <v>0</v>
      </c>
      <c r="BK650" s="22">
        <f t="shared" si="186"/>
        <v>15</v>
      </c>
      <c r="BL650" s="22">
        <f t="shared" si="187"/>
        <v>3</v>
      </c>
      <c r="BM650" s="22">
        <f t="shared" si="188"/>
        <v>12</v>
      </c>
      <c r="BN650" s="23">
        <f t="shared" si="183"/>
        <v>1</v>
      </c>
      <c r="BO650" s="23">
        <f t="shared" si="183"/>
        <v>1</v>
      </c>
      <c r="BP650" s="7" t="e">
        <f>VLOOKUP(A650,[1]Sheet15!B:E,4,0)</f>
        <v>#N/A</v>
      </c>
      <c r="BQ650" s="7" t="e">
        <f>VLOOKUP(A650,[1]Sheet15!B:E,3,0)</f>
        <v>#N/A</v>
      </c>
    </row>
    <row r="651" spans="1:69" ht="22.5" customHeight="1" x14ac:dyDescent="0.25">
      <c r="A651" s="15" t="s">
        <v>1554</v>
      </c>
      <c r="B651" s="15" t="e">
        <f>VLOOKUP(A651,'[1]Master clients'!F630:W4177,17,0)</f>
        <v>#N/A</v>
      </c>
      <c r="C651" s="15" t="e">
        <f>VLOOKUP(A651,'[1]Master clients'!F630:P4177,11,0)</f>
        <v>#N/A</v>
      </c>
      <c r="D651" s="15" t="str">
        <f>VLOOKUP(A651,'[1]Master clients'!F:M,8,0)</f>
        <v>End User</v>
      </c>
      <c r="E651" s="16" t="s">
        <v>1555</v>
      </c>
      <c r="F651" s="16" t="s">
        <v>1258</v>
      </c>
      <c r="G651" s="17"/>
      <c r="H651" s="17"/>
      <c r="I651" s="26">
        <v>4</v>
      </c>
      <c r="J651" s="18">
        <v>0</v>
      </c>
      <c r="K651" s="17">
        <v>0</v>
      </c>
      <c r="L651" s="17">
        <v>0</v>
      </c>
      <c r="M651" s="17">
        <v>0</v>
      </c>
      <c r="N651" s="17">
        <v>0</v>
      </c>
      <c r="O651" s="17">
        <v>0</v>
      </c>
      <c r="P651" s="17">
        <v>0</v>
      </c>
      <c r="Q651" s="17">
        <v>0</v>
      </c>
      <c r="R651" s="17">
        <v>0</v>
      </c>
      <c r="S651" s="17">
        <v>0</v>
      </c>
      <c r="T651" s="17">
        <v>0</v>
      </c>
      <c r="U651" s="17">
        <v>0</v>
      </c>
      <c r="V651" s="17">
        <v>0</v>
      </c>
      <c r="W651" s="17">
        <v>0</v>
      </c>
      <c r="X651" s="17">
        <v>0</v>
      </c>
      <c r="Y651" s="17">
        <v>0</v>
      </c>
      <c r="Z651" s="17">
        <v>0</v>
      </c>
      <c r="AA651" s="17">
        <v>0</v>
      </c>
      <c r="AB651" s="17">
        <v>0</v>
      </c>
      <c r="AC651" s="17">
        <v>0</v>
      </c>
      <c r="AD651" s="17">
        <v>0</v>
      </c>
      <c r="AE651" s="17">
        <v>0</v>
      </c>
      <c r="AF651" s="17">
        <v>0</v>
      </c>
      <c r="AG651" s="17">
        <v>0</v>
      </c>
      <c r="AH651" s="17">
        <v>0</v>
      </c>
      <c r="AI651" s="17">
        <v>0</v>
      </c>
      <c r="AJ651" s="17">
        <v>0</v>
      </c>
      <c r="AK651" s="17">
        <v>0</v>
      </c>
      <c r="AL651" s="17">
        <v>0</v>
      </c>
      <c r="AM651" s="17">
        <v>0</v>
      </c>
      <c r="AN651" s="17">
        <v>0</v>
      </c>
      <c r="AO651" s="17">
        <v>0</v>
      </c>
      <c r="AP651" s="17">
        <v>0</v>
      </c>
      <c r="AQ651" s="17">
        <v>0</v>
      </c>
      <c r="AR651" s="17">
        <v>0</v>
      </c>
      <c r="AS651" s="17">
        <v>0</v>
      </c>
      <c r="AT651" s="17">
        <v>0</v>
      </c>
      <c r="AU651" s="17">
        <v>0</v>
      </c>
      <c r="AV651" s="17">
        <v>0</v>
      </c>
      <c r="AW651" s="17">
        <v>0</v>
      </c>
      <c r="AX651" s="17">
        <v>0</v>
      </c>
      <c r="AY651" s="17">
        <v>0</v>
      </c>
      <c r="AZ651" s="17">
        <v>0</v>
      </c>
      <c r="BA651" s="17">
        <v>0</v>
      </c>
      <c r="BB651" s="17">
        <v>0</v>
      </c>
      <c r="BC651" s="17">
        <v>0</v>
      </c>
      <c r="BD651" s="17">
        <v>0</v>
      </c>
      <c r="BE651" s="17">
        <v>0</v>
      </c>
      <c r="BF651" s="17">
        <v>0</v>
      </c>
      <c r="BG651" s="17">
        <v>0</v>
      </c>
      <c r="BH651" s="17">
        <v>0</v>
      </c>
      <c r="BI651" s="22">
        <f t="shared" si="184"/>
        <v>0</v>
      </c>
      <c r="BJ651" s="22">
        <f t="shared" si="185"/>
        <v>0</v>
      </c>
      <c r="BK651" s="22">
        <f t="shared" si="186"/>
        <v>4</v>
      </c>
      <c r="BL651" s="22">
        <f t="shared" si="187"/>
        <v>4</v>
      </c>
      <c r="BM651" s="22">
        <f t="shared" si="188"/>
        <v>0</v>
      </c>
      <c r="BN651" s="23">
        <f t="shared" si="183"/>
        <v>1</v>
      </c>
      <c r="BO651" s="23" t="e">
        <f t="shared" si="183"/>
        <v>#DIV/0!</v>
      </c>
      <c r="BP651" s="7">
        <f>VLOOKUP(A651,[1]Sheet15!B:E,4,0)</f>
        <v>4</v>
      </c>
      <c r="BQ651" s="7">
        <f>VLOOKUP(A651,[1]Sheet15!B:E,3,0)</f>
        <v>0</v>
      </c>
    </row>
    <row r="652" spans="1:69" ht="22.5" customHeight="1" x14ac:dyDescent="0.25">
      <c r="A652" s="15" t="s">
        <v>1556</v>
      </c>
      <c r="B652" s="15" t="e">
        <f>VLOOKUP(A652,'[1]Master clients'!F631:W4178,17,0)</f>
        <v>#N/A</v>
      </c>
      <c r="C652" s="15" t="e">
        <f>VLOOKUP(A652,'[1]Master clients'!F631:P4178,11,0)</f>
        <v>#N/A</v>
      </c>
      <c r="D652" s="15" t="str">
        <f>VLOOKUP(A652,'[1]Master clients'!F:M,8,0)</f>
        <v>End User</v>
      </c>
      <c r="E652" s="24" t="s">
        <v>1557</v>
      </c>
      <c r="F652" s="25" t="s">
        <v>1258</v>
      </c>
      <c r="G652" s="20">
        <v>3</v>
      </c>
      <c r="H652" s="20">
        <v>0</v>
      </c>
      <c r="I652" s="26">
        <v>3</v>
      </c>
      <c r="J652" s="26">
        <v>0</v>
      </c>
      <c r="K652" s="20">
        <v>0</v>
      </c>
      <c r="L652" s="20">
        <v>0</v>
      </c>
      <c r="M652" s="20">
        <v>0</v>
      </c>
      <c r="N652" s="20">
        <v>0</v>
      </c>
      <c r="O652" s="20">
        <v>0</v>
      </c>
      <c r="P652" s="20">
        <v>0</v>
      </c>
      <c r="Q652" s="20">
        <v>0</v>
      </c>
      <c r="R652" s="20">
        <v>0</v>
      </c>
      <c r="S652" s="20">
        <v>0</v>
      </c>
      <c r="T652" s="20">
        <v>0</v>
      </c>
      <c r="U652" s="20">
        <v>0</v>
      </c>
      <c r="V652" s="20">
        <v>0</v>
      </c>
      <c r="W652" s="20">
        <v>0</v>
      </c>
      <c r="X652" s="20">
        <v>0</v>
      </c>
      <c r="Y652" s="20">
        <v>0</v>
      </c>
      <c r="Z652" s="20">
        <v>0</v>
      </c>
      <c r="AA652" s="20">
        <v>0</v>
      </c>
      <c r="AB652" s="20">
        <v>0</v>
      </c>
      <c r="AC652" s="20">
        <v>0</v>
      </c>
      <c r="AD652" s="20">
        <v>0</v>
      </c>
      <c r="AE652" s="20">
        <v>0</v>
      </c>
      <c r="AF652" s="20">
        <v>0</v>
      </c>
      <c r="AG652" s="20">
        <v>0</v>
      </c>
      <c r="AH652" s="20">
        <v>0</v>
      </c>
      <c r="AI652" s="20">
        <v>0</v>
      </c>
      <c r="AJ652" s="20">
        <v>0</v>
      </c>
      <c r="AK652" s="20">
        <v>0</v>
      </c>
      <c r="AL652" s="20">
        <v>0</v>
      </c>
      <c r="AM652" s="20">
        <v>0</v>
      </c>
      <c r="AN652" s="20">
        <v>0</v>
      </c>
      <c r="AO652" s="20">
        <v>8</v>
      </c>
      <c r="AP652" s="20">
        <v>0</v>
      </c>
      <c r="AQ652" s="20">
        <v>0</v>
      </c>
      <c r="AR652" s="20">
        <v>0</v>
      </c>
      <c r="AS652" s="20">
        <v>0</v>
      </c>
      <c r="AT652" s="20">
        <v>0</v>
      </c>
      <c r="AU652" s="19">
        <v>0</v>
      </c>
      <c r="AV652" s="20">
        <v>0</v>
      </c>
      <c r="AW652" s="20">
        <v>0</v>
      </c>
      <c r="AX652" s="20">
        <v>0</v>
      </c>
      <c r="AY652" s="20">
        <v>0</v>
      </c>
      <c r="AZ652" s="20">
        <v>0</v>
      </c>
      <c r="BA652" s="19">
        <v>0</v>
      </c>
      <c r="BB652" s="27">
        <v>0</v>
      </c>
      <c r="BC652" s="19">
        <v>0</v>
      </c>
      <c r="BD652" s="19">
        <v>0</v>
      </c>
      <c r="BE652" s="21">
        <v>0</v>
      </c>
      <c r="BF652" s="21">
        <v>0</v>
      </c>
      <c r="BG652" s="19">
        <v>0</v>
      </c>
      <c r="BH652" s="19">
        <v>0</v>
      </c>
      <c r="BI652" s="22">
        <f t="shared" si="184"/>
        <v>8</v>
      </c>
      <c r="BJ652" s="22">
        <f t="shared" si="185"/>
        <v>0</v>
      </c>
      <c r="BK652" s="28">
        <f t="shared" si="186"/>
        <v>11</v>
      </c>
      <c r="BL652" s="22">
        <f t="shared" si="187"/>
        <v>11</v>
      </c>
      <c r="BM652" s="22">
        <f t="shared" si="188"/>
        <v>0</v>
      </c>
      <c r="BN652" s="23">
        <f t="shared" si="183"/>
        <v>0.27272727272727271</v>
      </c>
      <c r="BO652" s="23" t="e">
        <f t="shared" si="183"/>
        <v>#DIV/0!</v>
      </c>
      <c r="BP652" s="7">
        <f>VLOOKUP(A652,[1]Sheet15!B:E,4,0)</f>
        <v>1</v>
      </c>
      <c r="BQ652" s="7">
        <f>VLOOKUP(A652,[1]Sheet15!B:E,3,0)</f>
        <v>0</v>
      </c>
    </row>
    <row r="653" spans="1:69" ht="22.5" customHeight="1" x14ac:dyDescent="0.25">
      <c r="A653" s="15" t="s">
        <v>1558</v>
      </c>
      <c r="B653" s="15">
        <f>VLOOKUP(A653,'[1]Master clients'!F632:W4179,17,0)</f>
        <v>0</v>
      </c>
      <c r="C653" s="15" t="str">
        <f>VLOOKUP(A653,'[1]Master clients'!F632:P4179,11,0)</f>
        <v>NI</v>
      </c>
      <c r="D653" s="15" t="str">
        <f>VLOOKUP(A653,'[1]Master clients'!F:M,8,0)</f>
        <v>End User</v>
      </c>
      <c r="E653" s="24" t="s">
        <v>1559</v>
      </c>
      <c r="F653" s="25" t="s">
        <v>1560</v>
      </c>
      <c r="G653" s="20">
        <v>1</v>
      </c>
      <c r="H653" s="20">
        <v>0</v>
      </c>
      <c r="I653" s="26">
        <v>1</v>
      </c>
      <c r="J653" s="26">
        <v>0</v>
      </c>
      <c r="K653" s="20">
        <v>0</v>
      </c>
      <c r="L653" s="20">
        <v>0</v>
      </c>
      <c r="M653" s="20">
        <v>0</v>
      </c>
      <c r="N653" s="20">
        <v>0</v>
      </c>
      <c r="O653" s="20">
        <v>0</v>
      </c>
      <c r="P653" s="20">
        <v>0</v>
      </c>
      <c r="Q653" s="20">
        <v>0</v>
      </c>
      <c r="R653" s="20">
        <v>0</v>
      </c>
      <c r="S653" s="20">
        <v>0</v>
      </c>
      <c r="T653" s="20">
        <v>0</v>
      </c>
      <c r="U653" s="20">
        <v>0</v>
      </c>
      <c r="V653" s="20">
        <v>0</v>
      </c>
      <c r="W653" s="20">
        <v>0</v>
      </c>
      <c r="X653" s="20">
        <v>0</v>
      </c>
      <c r="Y653" s="20">
        <v>0</v>
      </c>
      <c r="Z653" s="20">
        <v>0</v>
      </c>
      <c r="AA653" s="20">
        <v>0</v>
      </c>
      <c r="AB653" s="20">
        <v>0</v>
      </c>
      <c r="AC653" s="20">
        <v>0</v>
      </c>
      <c r="AD653" s="20">
        <v>0</v>
      </c>
      <c r="AE653" s="20">
        <v>0</v>
      </c>
      <c r="AF653" s="20">
        <v>0</v>
      </c>
      <c r="AG653" s="20">
        <v>0</v>
      </c>
      <c r="AH653" s="20">
        <v>0</v>
      </c>
      <c r="AI653" s="20">
        <v>0</v>
      </c>
      <c r="AJ653" s="20">
        <v>0</v>
      </c>
      <c r="AK653" s="20">
        <v>0</v>
      </c>
      <c r="AL653" s="20">
        <v>0</v>
      </c>
      <c r="AM653" s="20">
        <v>0</v>
      </c>
      <c r="AN653" s="20">
        <v>0</v>
      </c>
      <c r="AO653" s="20">
        <v>2</v>
      </c>
      <c r="AP653" s="20">
        <v>0</v>
      </c>
      <c r="AQ653" s="20">
        <v>0</v>
      </c>
      <c r="AR653" s="20">
        <v>0</v>
      </c>
      <c r="AS653" s="20">
        <v>0</v>
      </c>
      <c r="AT653" s="20">
        <v>0</v>
      </c>
      <c r="AU653" s="20">
        <v>0</v>
      </c>
      <c r="AV653" s="20">
        <v>0</v>
      </c>
      <c r="AW653" s="20">
        <v>0</v>
      </c>
      <c r="AX653" s="20">
        <v>0</v>
      </c>
      <c r="AY653" s="20">
        <v>0</v>
      </c>
      <c r="AZ653" s="20">
        <v>0</v>
      </c>
      <c r="BA653" s="20">
        <v>0</v>
      </c>
      <c r="BB653" s="27">
        <v>0</v>
      </c>
      <c r="BC653" s="20">
        <v>0</v>
      </c>
      <c r="BD653" s="20">
        <v>0</v>
      </c>
      <c r="BE653" s="21">
        <v>0</v>
      </c>
      <c r="BF653" s="21">
        <v>0</v>
      </c>
      <c r="BG653" s="20">
        <v>0</v>
      </c>
      <c r="BH653" s="20">
        <v>0</v>
      </c>
      <c r="BI653" s="22">
        <f t="shared" si="184"/>
        <v>2</v>
      </c>
      <c r="BJ653" s="22">
        <f t="shared" si="185"/>
        <v>0</v>
      </c>
      <c r="BK653" s="28">
        <f t="shared" si="186"/>
        <v>3</v>
      </c>
      <c r="BL653" s="22">
        <f t="shared" si="187"/>
        <v>3</v>
      </c>
      <c r="BM653" s="22">
        <f t="shared" si="188"/>
        <v>0</v>
      </c>
      <c r="BN653" s="23">
        <f t="shared" si="183"/>
        <v>0.33333333333333331</v>
      </c>
      <c r="BO653" s="23" t="e">
        <f t="shared" si="183"/>
        <v>#DIV/0!</v>
      </c>
      <c r="BP653" s="7">
        <f>VLOOKUP(A653,[1]Sheet15!B:E,4,0)</f>
        <v>2</v>
      </c>
      <c r="BQ653" s="7">
        <f>VLOOKUP(A653,[1]Sheet15!B:E,3,0)</f>
        <v>0</v>
      </c>
    </row>
    <row r="654" spans="1:69" ht="22.5" customHeight="1" x14ac:dyDescent="0.25">
      <c r="A654" s="15" t="s">
        <v>1561</v>
      </c>
      <c r="B654" s="15">
        <f>VLOOKUP(A654,'[1]Master clients'!F633:W4180,17,0)</f>
        <v>0</v>
      </c>
      <c r="C654" s="15" t="str">
        <f>VLOOKUP(A654,'[1]Master clients'!F633:P4180,11,0)</f>
        <v>NI</v>
      </c>
      <c r="D654" s="15" t="str">
        <f>VLOOKUP(A654,'[1]Master clients'!F:M,8,0)</f>
        <v>End User</v>
      </c>
      <c r="E654" s="16" t="s">
        <v>1562</v>
      </c>
      <c r="F654" s="16" t="s">
        <v>1258</v>
      </c>
      <c r="G654" s="17"/>
      <c r="H654" s="17"/>
      <c r="I654" s="26">
        <v>1</v>
      </c>
      <c r="J654" s="31">
        <v>0</v>
      </c>
      <c r="K654" s="17">
        <v>0</v>
      </c>
      <c r="L654" s="17">
        <v>0</v>
      </c>
      <c r="M654" s="17">
        <v>0</v>
      </c>
      <c r="N654" s="17">
        <v>0</v>
      </c>
      <c r="O654" s="17">
        <v>0</v>
      </c>
      <c r="P654" s="17">
        <v>0</v>
      </c>
      <c r="Q654" s="17">
        <v>0</v>
      </c>
      <c r="R654" s="17">
        <v>0</v>
      </c>
      <c r="S654" s="17">
        <v>0</v>
      </c>
      <c r="T654" s="17">
        <v>0</v>
      </c>
      <c r="U654" s="17">
        <v>0</v>
      </c>
      <c r="V654" s="17">
        <v>0</v>
      </c>
      <c r="W654" s="17">
        <v>0</v>
      </c>
      <c r="X654" s="17">
        <v>0</v>
      </c>
      <c r="Y654" s="17">
        <v>0</v>
      </c>
      <c r="Z654" s="17">
        <v>0</v>
      </c>
      <c r="AA654" s="17">
        <v>0</v>
      </c>
      <c r="AB654" s="17">
        <v>0</v>
      </c>
      <c r="AC654" s="17">
        <v>0</v>
      </c>
      <c r="AD654" s="17">
        <v>0</v>
      </c>
      <c r="AE654" s="17">
        <v>0</v>
      </c>
      <c r="AF654" s="17">
        <v>0</v>
      </c>
      <c r="AG654" s="17">
        <v>0</v>
      </c>
      <c r="AH654" s="17">
        <v>0</v>
      </c>
      <c r="AI654" s="17">
        <v>0</v>
      </c>
      <c r="AJ654" s="17">
        <v>0</v>
      </c>
      <c r="AK654" s="17">
        <v>0</v>
      </c>
      <c r="AL654" s="17">
        <v>0</v>
      </c>
      <c r="AM654" s="17">
        <v>0</v>
      </c>
      <c r="AN654" s="17">
        <v>0</v>
      </c>
      <c r="AO654" s="17">
        <v>0</v>
      </c>
      <c r="AP654" s="17">
        <v>0</v>
      </c>
      <c r="AQ654" s="17">
        <v>0</v>
      </c>
      <c r="AR654" s="17">
        <v>0</v>
      </c>
      <c r="AS654" s="17">
        <v>0</v>
      </c>
      <c r="AT654" s="17">
        <v>0</v>
      </c>
      <c r="AU654" s="17">
        <v>0</v>
      </c>
      <c r="AV654" s="17">
        <v>0</v>
      </c>
      <c r="AW654" s="17">
        <v>0</v>
      </c>
      <c r="AX654" s="17">
        <v>0</v>
      </c>
      <c r="AY654" s="17">
        <v>0</v>
      </c>
      <c r="AZ654" s="17">
        <v>0</v>
      </c>
      <c r="BA654" s="17">
        <v>0</v>
      </c>
      <c r="BB654" s="17">
        <v>0</v>
      </c>
      <c r="BC654" s="17">
        <v>0</v>
      </c>
      <c r="BD654" s="17">
        <v>0</v>
      </c>
      <c r="BE654" s="17">
        <v>0</v>
      </c>
      <c r="BF654" s="17">
        <v>0</v>
      </c>
      <c r="BG654" s="17">
        <v>0</v>
      </c>
      <c r="BH654" s="17">
        <v>0</v>
      </c>
      <c r="BI654" s="22">
        <f t="shared" si="184"/>
        <v>0</v>
      </c>
      <c r="BJ654" s="22">
        <f t="shared" si="185"/>
        <v>0</v>
      </c>
      <c r="BK654" s="22">
        <f t="shared" si="186"/>
        <v>1</v>
      </c>
      <c r="BL654" s="22">
        <f t="shared" si="187"/>
        <v>1</v>
      </c>
      <c r="BM654" s="22">
        <f t="shared" si="188"/>
        <v>0</v>
      </c>
      <c r="BN654" s="23">
        <f t="shared" si="183"/>
        <v>1</v>
      </c>
      <c r="BO654" s="23" t="e">
        <f t="shared" si="183"/>
        <v>#DIV/0!</v>
      </c>
      <c r="BP654" s="7">
        <f>VLOOKUP(A654,[1]Sheet15!B:E,4,0)</f>
        <v>1</v>
      </c>
      <c r="BQ654" s="7">
        <f>VLOOKUP(A654,[1]Sheet15!B:E,3,0)</f>
        <v>0</v>
      </c>
    </row>
    <row r="655" spans="1:69" ht="22.5" customHeight="1" x14ac:dyDescent="0.25">
      <c r="A655" s="15" t="s">
        <v>1563</v>
      </c>
      <c r="B655" s="15" t="e">
        <f>VLOOKUP(A655,'[1]Master clients'!F634:W4181,17,0)</f>
        <v>#N/A</v>
      </c>
      <c r="C655" s="15" t="e">
        <f>VLOOKUP(A655,'[1]Master clients'!F634:P4181,11,0)</f>
        <v>#N/A</v>
      </c>
      <c r="D655" s="15" t="str">
        <f>VLOOKUP(A655,'[1]Master clients'!F:M,8,0)</f>
        <v>End User</v>
      </c>
      <c r="E655" s="16" t="s">
        <v>1564</v>
      </c>
      <c r="F655" s="16" t="s">
        <v>1565</v>
      </c>
      <c r="G655" s="17"/>
      <c r="H655" s="17"/>
      <c r="I655" s="26">
        <v>1</v>
      </c>
      <c r="J655" s="18">
        <v>0</v>
      </c>
      <c r="K655" s="17">
        <v>0</v>
      </c>
      <c r="L655" s="17">
        <v>0</v>
      </c>
      <c r="M655" s="17">
        <v>0</v>
      </c>
      <c r="N655" s="17">
        <v>0</v>
      </c>
      <c r="O655" s="17">
        <v>0</v>
      </c>
      <c r="P655" s="17">
        <v>0</v>
      </c>
      <c r="Q655" s="17">
        <v>0</v>
      </c>
      <c r="R655" s="17">
        <v>0</v>
      </c>
      <c r="S655" s="17">
        <v>0</v>
      </c>
      <c r="T655" s="17">
        <v>0</v>
      </c>
      <c r="U655" s="17">
        <v>0</v>
      </c>
      <c r="V655" s="17">
        <v>0</v>
      </c>
      <c r="W655" s="17">
        <v>0</v>
      </c>
      <c r="X655" s="17">
        <v>0</v>
      </c>
      <c r="Y655" s="17">
        <v>0</v>
      </c>
      <c r="Z655" s="17">
        <v>0</v>
      </c>
      <c r="AA655" s="17">
        <v>0</v>
      </c>
      <c r="AB655" s="17">
        <v>0</v>
      </c>
      <c r="AC655" s="17">
        <v>0</v>
      </c>
      <c r="AD655" s="17">
        <v>0</v>
      </c>
      <c r="AE655" s="17">
        <v>0</v>
      </c>
      <c r="AF655" s="17">
        <v>0</v>
      </c>
      <c r="AG655" s="17">
        <v>0</v>
      </c>
      <c r="AH655" s="17">
        <v>0</v>
      </c>
      <c r="AI655" s="17">
        <v>0</v>
      </c>
      <c r="AJ655" s="17">
        <v>0</v>
      </c>
      <c r="AK655" s="17">
        <v>0</v>
      </c>
      <c r="AL655" s="17">
        <v>0</v>
      </c>
      <c r="AM655" s="17">
        <v>0</v>
      </c>
      <c r="AN655" s="17">
        <v>0</v>
      </c>
      <c r="AO655" s="17">
        <v>0</v>
      </c>
      <c r="AP655" s="17">
        <v>0</v>
      </c>
      <c r="AQ655" s="17">
        <v>0</v>
      </c>
      <c r="AR655" s="17">
        <v>0</v>
      </c>
      <c r="AS655" s="17">
        <v>0</v>
      </c>
      <c r="AT655" s="17">
        <v>0</v>
      </c>
      <c r="AU655" s="17">
        <v>0</v>
      </c>
      <c r="AV655" s="17">
        <v>0</v>
      </c>
      <c r="AW655" s="17">
        <v>0</v>
      </c>
      <c r="AX655" s="17">
        <v>0</v>
      </c>
      <c r="AY655" s="17">
        <v>0</v>
      </c>
      <c r="AZ655" s="17">
        <v>0</v>
      </c>
      <c r="BA655" s="17">
        <v>0</v>
      </c>
      <c r="BB655" s="17">
        <v>0</v>
      </c>
      <c r="BC655" s="17">
        <v>0</v>
      </c>
      <c r="BD655" s="17">
        <v>0</v>
      </c>
      <c r="BE655" s="17">
        <v>0</v>
      </c>
      <c r="BF655" s="17">
        <v>0</v>
      </c>
      <c r="BG655" s="17">
        <v>0</v>
      </c>
      <c r="BH655" s="17">
        <v>0</v>
      </c>
      <c r="BI655" s="22">
        <f t="shared" si="184"/>
        <v>0</v>
      </c>
      <c r="BJ655" s="22">
        <f t="shared" si="185"/>
        <v>0</v>
      </c>
      <c r="BK655" s="22">
        <f t="shared" si="186"/>
        <v>1</v>
      </c>
      <c r="BL655" s="22">
        <f t="shared" si="187"/>
        <v>1</v>
      </c>
      <c r="BM655" s="22">
        <f t="shared" si="188"/>
        <v>0</v>
      </c>
      <c r="BN655" s="23">
        <f t="shared" si="183"/>
        <v>1</v>
      </c>
      <c r="BO655" s="23" t="e">
        <f t="shared" si="183"/>
        <v>#DIV/0!</v>
      </c>
      <c r="BP655" s="7">
        <f>VLOOKUP(A655,[1]Sheet15!B:E,4,0)</f>
        <v>1</v>
      </c>
      <c r="BQ655" s="7">
        <f>VLOOKUP(A655,[1]Sheet15!B:E,3,0)</f>
        <v>0</v>
      </c>
    </row>
    <row r="656" spans="1:69" ht="22.5" customHeight="1" x14ac:dyDescent="0.25">
      <c r="A656" s="15" t="s">
        <v>1566</v>
      </c>
      <c r="B656" s="15">
        <f>VLOOKUP(A656,'[1]Master clients'!F635:W4182,17,0)</f>
        <v>0</v>
      </c>
      <c r="C656" s="15">
        <f>VLOOKUP(A656,'[1]Master clients'!F635:P4182,11,0)</f>
        <v>0</v>
      </c>
      <c r="D656" s="15">
        <f>VLOOKUP(A656,'[1]Master clients'!F:M,8,0)</f>
        <v>0</v>
      </c>
      <c r="E656" s="16" t="s">
        <v>1567</v>
      </c>
      <c r="F656" s="16" t="s">
        <v>1568</v>
      </c>
      <c r="G656" s="17"/>
      <c r="H656" s="17"/>
      <c r="I656" s="26">
        <v>126</v>
      </c>
      <c r="J656" s="31">
        <v>0</v>
      </c>
      <c r="K656" s="17">
        <v>0</v>
      </c>
      <c r="L656" s="17">
        <v>0</v>
      </c>
      <c r="M656" s="17">
        <v>0</v>
      </c>
      <c r="N656" s="17">
        <v>0</v>
      </c>
      <c r="O656" s="17">
        <v>0</v>
      </c>
      <c r="P656" s="17">
        <v>0</v>
      </c>
      <c r="Q656" s="17">
        <v>0</v>
      </c>
      <c r="R656" s="17">
        <v>0</v>
      </c>
      <c r="S656" s="17">
        <v>0</v>
      </c>
      <c r="T656" s="17">
        <v>0</v>
      </c>
      <c r="U656" s="17">
        <v>0</v>
      </c>
      <c r="V656" s="17">
        <v>0</v>
      </c>
      <c r="W656" s="17">
        <v>0</v>
      </c>
      <c r="X656" s="17">
        <v>0</v>
      </c>
      <c r="Y656" s="17">
        <v>0</v>
      </c>
      <c r="Z656" s="17">
        <v>0</v>
      </c>
      <c r="AA656" s="17">
        <v>0</v>
      </c>
      <c r="AB656" s="17">
        <v>0</v>
      </c>
      <c r="AC656" s="17">
        <v>0</v>
      </c>
      <c r="AD656" s="17">
        <v>0</v>
      </c>
      <c r="AE656" s="17">
        <v>0</v>
      </c>
      <c r="AF656" s="17">
        <v>0</v>
      </c>
      <c r="AG656" s="17">
        <v>0</v>
      </c>
      <c r="AH656" s="17">
        <v>0</v>
      </c>
      <c r="AI656" s="17">
        <v>0</v>
      </c>
      <c r="AJ656" s="17">
        <v>0</v>
      </c>
      <c r="AK656" s="17">
        <v>0</v>
      </c>
      <c r="AL656" s="17">
        <v>0</v>
      </c>
      <c r="AM656" s="17">
        <v>0</v>
      </c>
      <c r="AN656" s="17">
        <v>0</v>
      </c>
      <c r="AO656" s="17">
        <v>0</v>
      </c>
      <c r="AP656" s="17">
        <v>0</v>
      </c>
      <c r="AQ656" s="17">
        <v>0</v>
      </c>
      <c r="AR656" s="17">
        <v>0</v>
      </c>
      <c r="AS656" s="17">
        <v>0</v>
      </c>
      <c r="AT656" s="17">
        <v>0</v>
      </c>
      <c r="AU656" s="17">
        <v>0</v>
      </c>
      <c r="AV656" s="17">
        <v>0</v>
      </c>
      <c r="AW656" s="17">
        <v>0</v>
      </c>
      <c r="AX656" s="17">
        <v>0</v>
      </c>
      <c r="AY656" s="17">
        <v>0</v>
      </c>
      <c r="AZ656" s="17">
        <v>0</v>
      </c>
      <c r="BA656" s="17">
        <v>0</v>
      </c>
      <c r="BB656" s="17">
        <v>0</v>
      </c>
      <c r="BC656" s="17">
        <v>0</v>
      </c>
      <c r="BD656" s="17">
        <v>0</v>
      </c>
      <c r="BE656" s="17">
        <v>0</v>
      </c>
      <c r="BF656" s="17">
        <v>0</v>
      </c>
      <c r="BG656" s="17">
        <v>0</v>
      </c>
      <c r="BH656" s="17">
        <v>0</v>
      </c>
      <c r="BI656" s="22">
        <f t="shared" si="184"/>
        <v>0</v>
      </c>
      <c r="BJ656" s="22">
        <f t="shared" si="185"/>
        <v>0</v>
      </c>
      <c r="BK656" s="22">
        <f t="shared" si="186"/>
        <v>126</v>
      </c>
      <c r="BL656" s="22">
        <f t="shared" si="187"/>
        <v>126</v>
      </c>
      <c r="BM656" s="22">
        <f t="shared" si="188"/>
        <v>0</v>
      </c>
      <c r="BN656" s="23">
        <f t="shared" ref="BN656:BO671" si="189">I656/BL656</f>
        <v>1</v>
      </c>
      <c r="BO656" s="23" t="e">
        <f t="shared" si="189"/>
        <v>#DIV/0!</v>
      </c>
      <c r="BP656" s="7">
        <f>VLOOKUP(A656,[1]Sheet15!B:E,4,0)</f>
        <v>126</v>
      </c>
      <c r="BQ656" s="7">
        <f>VLOOKUP(A656,[1]Sheet15!B:E,3,0)</f>
        <v>0</v>
      </c>
    </row>
    <row r="657" spans="1:69" ht="22.5" customHeight="1" x14ac:dyDescent="0.25">
      <c r="A657" s="15" t="s">
        <v>1569</v>
      </c>
      <c r="B657" s="15" t="e">
        <f>VLOOKUP(A657,'[1]Master clients'!F636:W4183,17,0)</f>
        <v>#N/A</v>
      </c>
      <c r="C657" s="15" t="e">
        <f>VLOOKUP(A657,'[1]Master clients'!F636:P4183,11,0)</f>
        <v>#N/A</v>
      </c>
      <c r="D657" s="15" t="str">
        <f>VLOOKUP(A657,'[1]Master clients'!F:M,8,0)</f>
        <v>End User</v>
      </c>
      <c r="E657" s="16" t="s">
        <v>1570</v>
      </c>
      <c r="F657" s="16" t="s">
        <v>1571</v>
      </c>
      <c r="G657" s="17"/>
      <c r="H657" s="17"/>
      <c r="I657" s="26">
        <v>1</v>
      </c>
      <c r="J657" s="31">
        <v>0</v>
      </c>
      <c r="K657" s="17">
        <v>0</v>
      </c>
      <c r="L657" s="17">
        <v>0</v>
      </c>
      <c r="M657" s="17">
        <v>0</v>
      </c>
      <c r="N657" s="17">
        <v>0</v>
      </c>
      <c r="O657" s="17">
        <v>0</v>
      </c>
      <c r="P657" s="17">
        <v>0</v>
      </c>
      <c r="Q657" s="17">
        <v>0</v>
      </c>
      <c r="R657" s="17">
        <v>0</v>
      </c>
      <c r="S657" s="17">
        <v>0</v>
      </c>
      <c r="T657" s="17">
        <v>0</v>
      </c>
      <c r="U657" s="17">
        <v>0</v>
      </c>
      <c r="V657" s="17">
        <v>0</v>
      </c>
      <c r="W657" s="17">
        <v>0</v>
      </c>
      <c r="X657" s="17">
        <v>0</v>
      </c>
      <c r="Y657" s="17">
        <v>0</v>
      </c>
      <c r="Z657" s="17">
        <v>0</v>
      </c>
      <c r="AA657" s="17">
        <v>0</v>
      </c>
      <c r="AB657" s="17">
        <v>0</v>
      </c>
      <c r="AC657" s="17">
        <v>0</v>
      </c>
      <c r="AD657" s="17">
        <v>0</v>
      </c>
      <c r="AE657" s="17">
        <v>0</v>
      </c>
      <c r="AF657" s="17">
        <v>0</v>
      </c>
      <c r="AG657" s="17">
        <v>0</v>
      </c>
      <c r="AH657" s="17">
        <v>0</v>
      </c>
      <c r="AI657" s="17">
        <v>0</v>
      </c>
      <c r="AJ657" s="17">
        <v>0</v>
      </c>
      <c r="AK657" s="17">
        <v>0</v>
      </c>
      <c r="AL657" s="17">
        <v>0</v>
      </c>
      <c r="AM657" s="17">
        <v>0</v>
      </c>
      <c r="AN657" s="17">
        <v>0</v>
      </c>
      <c r="AO657" s="17">
        <v>0</v>
      </c>
      <c r="AP657" s="17">
        <v>0</v>
      </c>
      <c r="AQ657" s="17">
        <v>0</v>
      </c>
      <c r="AR657" s="17">
        <v>0</v>
      </c>
      <c r="AS657" s="17">
        <v>0</v>
      </c>
      <c r="AT657" s="17">
        <v>0</v>
      </c>
      <c r="AU657" s="17">
        <v>0</v>
      </c>
      <c r="AV657" s="17">
        <v>0</v>
      </c>
      <c r="AW657" s="17">
        <v>0</v>
      </c>
      <c r="AX657" s="17">
        <v>0</v>
      </c>
      <c r="AY657" s="17">
        <v>0</v>
      </c>
      <c r="AZ657" s="17">
        <v>0</v>
      </c>
      <c r="BA657" s="17">
        <v>0</v>
      </c>
      <c r="BB657" s="17">
        <v>0</v>
      </c>
      <c r="BC657" s="17">
        <v>0</v>
      </c>
      <c r="BD657" s="17">
        <v>0</v>
      </c>
      <c r="BE657" s="17">
        <v>0</v>
      </c>
      <c r="BF657" s="17">
        <v>0</v>
      </c>
      <c r="BG657" s="17">
        <v>0</v>
      </c>
      <c r="BH657" s="17">
        <v>0</v>
      </c>
      <c r="BI657" s="22">
        <f t="shared" si="184"/>
        <v>0</v>
      </c>
      <c r="BJ657" s="22">
        <f t="shared" si="185"/>
        <v>0</v>
      </c>
      <c r="BK657" s="22">
        <f t="shared" si="186"/>
        <v>1</v>
      </c>
      <c r="BL657" s="22">
        <f t="shared" si="187"/>
        <v>1</v>
      </c>
      <c r="BM657" s="22">
        <f t="shared" si="188"/>
        <v>0</v>
      </c>
      <c r="BN657" s="23">
        <f t="shared" si="189"/>
        <v>1</v>
      </c>
      <c r="BO657" s="23" t="e">
        <f t="shared" si="189"/>
        <v>#DIV/0!</v>
      </c>
      <c r="BP657" s="7">
        <f>VLOOKUP(A657,[1]Sheet15!B:E,4,0)</f>
        <v>1</v>
      </c>
      <c r="BQ657" s="7">
        <f>VLOOKUP(A657,[1]Sheet15!B:E,3,0)</f>
        <v>0</v>
      </c>
    </row>
    <row r="658" spans="1:69" ht="22.5" customHeight="1" x14ac:dyDescent="0.25">
      <c r="A658" s="15" t="s">
        <v>1572</v>
      </c>
      <c r="B658" s="15" t="e">
        <f>VLOOKUP(A658,'[1]Master clients'!F637:W4184,17,0)</f>
        <v>#N/A</v>
      </c>
      <c r="C658" s="15" t="e">
        <f>VLOOKUP(A658,'[1]Master clients'!F637:P4184,11,0)</f>
        <v>#N/A</v>
      </c>
      <c r="D658" s="15" t="str">
        <f>VLOOKUP(A658,'[1]Master clients'!F:M,8,0)</f>
        <v>End User</v>
      </c>
      <c r="E658" s="16" t="s">
        <v>1573</v>
      </c>
      <c r="F658" s="16" t="s">
        <v>1571</v>
      </c>
      <c r="G658" s="17"/>
      <c r="H658" s="17"/>
      <c r="I658" s="26">
        <v>4</v>
      </c>
      <c r="J658" s="31">
        <v>0</v>
      </c>
      <c r="K658" s="17">
        <v>0</v>
      </c>
      <c r="L658" s="17">
        <v>0</v>
      </c>
      <c r="M658" s="17">
        <v>0</v>
      </c>
      <c r="N658" s="17">
        <v>0</v>
      </c>
      <c r="O658" s="17">
        <v>0</v>
      </c>
      <c r="P658" s="17">
        <v>0</v>
      </c>
      <c r="Q658" s="17">
        <v>0</v>
      </c>
      <c r="R658" s="17">
        <v>0</v>
      </c>
      <c r="S658" s="17">
        <v>0</v>
      </c>
      <c r="T658" s="17">
        <v>0</v>
      </c>
      <c r="U658" s="17">
        <v>0</v>
      </c>
      <c r="V658" s="17">
        <v>0</v>
      </c>
      <c r="W658" s="17">
        <v>0</v>
      </c>
      <c r="X658" s="17">
        <v>0</v>
      </c>
      <c r="Y658" s="17">
        <v>0</v>
      </c>
      <c r="Z658" s="17">
        <v>0</v>
      </c>
      <c r="AA658" s="17">
        <v>0</v>
      </c>
      <c r="AB658" s="17">
        <v>0</v>
      </c>
      <c r="AC658" s="17">
        <v>0</v>
      </c>
      <c r="AD658" s="17">
        <v>0</v>
      </c>
      <c r="AE658" s="17">
        <v>0</v>
      </c>
      <c r="AF658" s="17">
        <v>0</v>
      </c>
      <c r="AG658" s="17">
        <v>0</v>
      </c>
      <c r="AH658" s="17">
        <v>0</v>
      </c>
      <c r="AI658" s="17">
        <v>0</v>
      </c>
      <c r="AJ658" s="17">
        <v>0</v>
      </c>
      <c r="AK658" s="17">
        <v>0</v>
      </c>
      <c r="AL658" s="17">
        <v>0</v>
      </c>
      <c r="AM658" s="17">
        <v>0</v>
      </c>
      <c r="AN658" s="17">
        <v>0</v>
      </c>
      <c r="AO658" s="17">
        <v>0</v>
      </c>
      <c r="AP658" s="17">
        <v>0</v>
      </c>
      <c r="AQ658" s="17">
        <v>0</v>
      </c>
      <c r="AR658" s="17">
        <v>0</v>
      </c>
      <c r="AS658" s="17">
        <v>0</v>
      </c>
      <c r="AT658" s="17">
        <v>0</v>
      </c>
      <c r="AU658" s="17">
        <v>0</v>
      </c>
      <c r="AV658" s="17">
        <v>0</v>
      </c>
      <c r="AW658" s="17">
        <v>0</v>
      </c>
      <c r="AX658" s="17">
        <v>0</v>
      </c>
      <c r="AY658" s="17">
        <v>0</v>
      </c>
      <c r="AZ658" s="17">
        <v>0</v>
      </c>
      <c r="BA658" s="17">
        <v>0</v>
      </c>
      <c r="BB658" s="17">
        <v>0</v>
      </c>
      <c r="BC658" s="17">
        <v>0</v>
      </c>
      <c r="BD658" s="17">
        <v>0</v>
      </c>
      <c r="BE658" s="17">
        <v>0</v>
      </c>
      <c r="BF658" s="17">
        <v>0</v>
      </c>
      <c r="BG658" s="17">
        <v>0</v>
      </c>
      <c r="BH658" s="17">
        <v>0</v>
      </c>
      <c r="BI658" s="22">
        <f t="shared" si="184"/>
        <v>0</v>
      </c>
      <c r="BJ658" s="22">
        <f t="shared" si="185"/>
        <v>0</v>
      </c>
      <c r="BK658" s="22">
        <f t="shared" si="186"/>
        <v>4</v>
      </c>
      <c r="BL658" s="22">
        <f t="shared" si="187"/>
        <v>4</v>
      </c>
      <c r="BM658" s="22">
        <f t="shared" si="188"/>
        <v>0</v>
      </c>
      <c r="BN658" s="23">
        <f t="shared" si="189"/>
        <v>1</v>
      </c>
      <c r="BO658" s="23" t="e">
        <f t="shared" si="189"/>
        <v>#DIV/0!</v>
      </c>
      <c r="BP658" s="7">
        <f>VLOOKUP(A658,[1]Sheet15!B:E,4,0)</f>
        <v>4</v>
      </c>
      <c r="BQ658" s="7">
        <f>VLOOKUP(A658,[1]Sheet15!B:E,3,0)</f>
        <v>0</v>
      </c>
    </row>
    <row r="659" spans="1:69" ht="22.5" customHeight="1" x14ac:dyDescent="0.25">
      <c r="A659" s="15" t="s">
        <v>1574</v>
      </c>
      <c r="B659" s="15" t="e">
        <f>VLOOKUP(A659,'[1]Master clients'!F638:W4185,17,0)</f>
        <v>#N/A</v>
      </c>
      <c r="C659" s="15" t="e">
        <f>VLOOKUP(A659,'[1]Master clients'!F638:P4185,11,0)</f>
        <v>#N/A</v>
      </c>
      <c r="D659" s="15" t="str">
        <f>VLOOKUP(A659,'[1]Master clients'!F:M,8,0)</f>
        <v>End User</v>
      </c>
      <c r="E659" s="16" t="s">
        <v>1575</v>
      </c>
      <c r="F659" s="16" t="s">
        <v>1571</v>
      </c>
      <c r="G659" s="17"/>
      <c r="H659" s="17"/>
      <c r="I659" s="26">
        <v>1</v>
      </c>
      <c r="J659" s="31">
        <v>0</v>
      </c>
      <c r="K659" s="17">
        <v>0</v>
      </c>
      <c r="L659" s="17">
        <v>0</v>
      </c>
      <c r="M659" s="17">
        <v>0</v>
      </c>
      <c r="N659" s="17">
        <v>0</v>
      </c>
      <c r="O659" s="17">
        <v>0</v>
      </c>
      <c r="P659" s="17">
        <v>0</v>
      </c>
      <c r="Q659" s="17">
        <v>0</v>
      </c>
      <c r="R659" s="17">
        <v>0</v>
      </c>
      <c r="S659" s="17">
        <v>0</v>
      </c>
      <c r="T659" s="17">
        <v>0</v>
      </c>
      <c r="U659" s="17">
        <v>0</v>
      </c>
      <c r="V659" s="17">
        <v>0</v>
      </c>
      <c r="W659" s="17">
        <v>0</v>
      </c>
      <c r="X659" s="17">
        <v>0</v>
      </c>
      <c r="Y659" s="17">
        <v>0</v>
      </c>
      <c r="Z659" s="17">
        <v>0</v>
      </c>
      <c r="AA659" s="17">
        <v>0</v>
      </c>
      <c r="AB659" s="17">
        <v>0</v>
      </c>
      <c r="AC659" s="17">
        <v>0</v>
      </c>
      <c r="AD659" s="17">
        <v>0</v>
      </c>
      <c r="AE659" s="17">
        <v>0</v>
      </c>
      <c r="AF659" s="17">
        <v>0</v>
      </c>
      <c r="AG659" s="17">
        <v>0</v>
      </c>
      <c r="AH659" s="17">
        <v>0</v>
      </c>
      <c r="AI659" s="17">
        <v>0</v>
      </c>
      <c r="AJ659" s="17">
        <v>0</v>
      </c>
      <c r="AK659" s="17">
        <v>0</v>
      </c>
      <c r="AL659" s="17">
        <v>0</v>
      </c>
      <c r="AM659" s="17">
        <v>0</v>
      </c>
      <c r="AN659" s="17">
        <v>0</v>
      </c>
      <c r="AO659" s="17">
        <v>0</v>
      </c>
      <c r="AP659" s="17">
        <v>0</v>
      </c>
      <c r="AQ659" s="17">
        <v>0</v>
      </c>
      <c r="AR659" s="17">
        <v>0</v>
      </c>
      <c r="AS659" s="17">
        <v>0</v>
      </c>
      <c r="AT659" s="17">
        <v>0</v>
      </c>
      <c r="AU659" s="17">
        <v>0</v>
      </c>
      <c r="AV659" s="17">
        <v>0</v>
      </c>
      <c r="AW659" s="17">
        <v>0</v>
      </c>
      <c r="AX659" s="17">
        <v>0</v>
      </c>
      <c r="AY659" s="17">
        <v>0</v>
      </c>
      <c r="AZ659" s="17">
        <v>0</v>
      </c>
      <c r="BA659" s="17">
        <v>0</v>
      </c>
      <c r="BB659" s="17">
        <v>0</v>
      </c>
      <c r="BC659" s="17">
        <v>0</v>
      </c>
      <c r="BD659" s="17">
        <v>0</v>
      </c>
      <c r="BE659" s="17">
        <v>0</v>
      </c>
      <c r="BF659" s="17">
        <v>0</v>
      </c>
      <c r="BG659" s="17">
        <v>0</v>
      </c>
      <c r="BH659" s="17">
        <v>0</v>
      </c>
      <c r="BI659" s="22">
        <f t="shared" si="184"/>
        <v>0</v>
      </c>
      <c r="BJ659" s="22">
        <f t="shared" si="185"/>
        <v>0</v>
      </c>
      <c r="BK659" s="22">
        <f t="shared" si="186"/>
        <v>1</v>
      </c>
      <c r="BL659" s="22">
        <f t="shared" si="187"/>
        <v>1</v>
      </c>
      <c r="BM659" s="22">
        <f t="shared" si="188"/>
        <v>0</v>
      </c>
      <c r="BN659" s="23">
        <f t="shared" si="189"/>
        <v>1</v>
      </c>
      <c r="BO659" s="23" t="e">
        <f t="shared" si="189"/>
        <v>#DIV/0!</v>
      </c>
      <c r="BP659" s="7">
        <f>VLOOKUP(A659,[1]Sheet15!B:E,4,0)</f>
        <v>1</v>
      </c>
      <c r="BQ659" s="7">
        <f>VLOOKUP(A659,[1]Sheet15!B:E,3,0)</f>
        <v>0</v>
      </c>
    </row>
    <row r="660" spans="1:69" ht="22.5" customHeight="1" x14ac:dyDescent="0.25">
      <c r="A660" s="15" t="s">
        <v>1576</v>
      </c>
      <c r="B660" s="15" t="e">
        <f>VLOOKUP(A660,'[1]Master clients'!F639:W4186,17,0)</f>
        <v>#N/A</v>
      </c>
      <c r="C660" s="15" t="e">
        <f>VLOOKUP(A660,'[1]Master clients'!F639:P4186,11,0)</f>
        <v>#N/A</v>
      </c>
      <c r="D660" s="15" t="str">
        <f>VLOOKUP(A660,'[1]Master clients'!F:M,8,0)</f>
        <v>End User</v>
      </c>
      <c r="E660" s="16" t="s">
        <v>1577</v>
      </c>
      <c r="F660" s="16" t="s">
        <v>1571</v>
      </c>
      <c r="G660" s="17"/>
      <c r="H660" s="17"/>
      <c r="I660" s="31">
        <v>0</v>
      </c>
      <c r="J660" s="31">
        <v>0</v>
      </c>
      <c r="K660" s="17">
        <v>0</v>
      </c>
      <c r="L660" s="17">
        <v>0</v>
      </c>
      <c r="M660" s="17">
        <v>0</v>
      </c>
      <c r="N660" s="17">
        <v>0</v>
      </c>
      <c r="O660" s="17">
        <v>0</v>
      </c>
      <c r="P660" s="17">
        <v>0</v>
      </c>
      <c r="Q660" s="17">
        <v>0</v>
      </c>
      <c r="R660" s="17">
        <v>0</v>
      </c>
      <c r="S660" s="17">
        <v>0</v>
      </c>
      <c r="T660" s="17">
        <v>0</v>
      </c>
      <c r="U660" s="17">
        <v>0</v>
      </c>
      <c r="V660" s="17">
        <v>0</v>
      </c>
      <c r="W660" s="17">
        <v>0</v>
      </c>
      <c r="X660" s="17">
        <v>0</v>
      </c>
      <c r="Y660" s="17">
        <v>0</v>
      </c>
      <c r="Z660" s="17">
        <v>0</v>
      </c>
      <c r="AA660" s="17">
        <v>0</v>
      </c>
      <c r="AB660" s="17">
        <v>0</v>
      </c>
      <c r="AC660" s="17">
        <v>0</v>
      </c>
      <c r="AD660" s="17">
        <v>0</v>
      </c>
      <c r="AE660" s="17">
        <v>0</v>
      </c>
      <c r="AF660" s="17">
        <v>0</v>
      </c>
      <c r="AG660" s="17">
        <v>0</v>
      </c>
      <c r="AH660" s="17">
        <v>0</v>
      </c>
      <c r="AI660" s="17">
        <v>0</v>
      </c>
      <c r="AJ660" s="17">
        <v>0</v>
      </c>
      <c r="AK660" s="17">
        <v>0</v>
      </c>
      <c r="AL660" s="17">
        <v>0</v>
      </c>
      <c r="AM660" s="17">
        <v>0</v>
      </c>
      <c r="AN660" s="17">
        <v>0</v>
      </c>
      <c r="AO660" s="17">
        <v>0</v>
      </c>
      <c r="AP660" s="17">
        <v>0</v>
      </c>
      <c r="AQ660" s="17">
        <v>0</v>
      </c>
      <c r="AR660" s="17">
        <v>0</v>
      </c>
      <c r="AS660" s="17">
        <v>0</v>
      </c>
      <c r="AT660" s="17">
        <v>0</v>
      </c>
      <c r="AU660" s="17">
        <v>0</v>
      </c>
      <c r="AV660" s="17">
        <v>0</v>
      </c>
      <c r="AW660" s="17">
        <v>0</v>
      </c>
      <c r="AX660" s="17">
        <v>0</v>
      </c>
      <c r="AY660" s="17">
        <v>0</v>
      </c>
      <c r="AZ660" s="17">
        <v>0</v>
      </c>
      <c r="BA660" s="17">
        <v>0</v>
      </c>
      <c r="BB660" s="17">
        <v>0</v>
      </c>
      <c r="BC660" s="17">
        <v>0</v>
      </c>
      <c r="BD660" s="17">
        <v>0</v>
      </c>
      <c r="BE660" s="17">
        <v>0</v>
      </c>
      <c r="BF660" s="17">
        <v>0</v>
      </c>
      <c r="BG660" s="17">
        <v>0</v>
      </c>
      <c r="BH660" s="17">
        <v>0</v>
      </c>
      <c r="BI660" s="22">
        <f t="shared" si="184"/>
        <v>0</v>
      </c>
      <c r="BJ660" s="22">
        <f t="shared" si="185"/>
        <v>0</v>
      </c>
      <c r="BK660" s="22">
        <f t="shared" si="186"/>
        <v>0</v>
      </c>
      <c r="BL660" s="22">
        <f t="shared" si="187"/>
        <v>0</v>
      </c>
      <c r="BM660" s="22">
        <f t="shared" si="188"/>
        <v>0</v>
      </c>
      <c r="BN660" s="23" t="e">
        <f t="shared" si="189"/>
        <v>#DIV/0!</v>
      </c>
      <c r="BO660" s="23" t="e">
        <f t="shared" si="189"/>
        <v>#DIV/0!</v>
      </c>
      <c r="BP660" s="7" t="e">
        <f>VLOOKUP(A660,[1]Sheet15!B:E,4,0)</f>
        <v>#N/A</v>
      </c>
      <c r="BQ660" s="7" t="e">
        <f>VLOOKUP(A660,[1]Sheet15!B:E,3,0)</f>
        <v>#N/A</v>
      </c>
    </row>
    <row r="661" spans="1:69" ht="22.5" customHeight="1" x14ac:dyDescent="0.25">
      <c r="A661" s="15" t="s">
        <v>1578</v>
      </c>
      <c r="B661" s="15" t="e">
        <f>VLOOKUP(A661,'[1]Master clients'!F640:W4187,17,0)</f>
        <v>#N/A</v>
      </c>
      <c r="C661" s="15" t="e">
        <f>VLOOKUP(A661,'[1]Master clients'!F640:P4187,11,0)</f>
        <v>#N/A</v>
      </c>
      <c r="D661" s="15" t="str">
        <f>VLOOKUP(A661,'[1]Master clients'!F:M,8,0)</f>
        <v>End User</v>
      </c>
      <c r="E661" s="16" t="s">
        <v>1579</v>
      </c>
      <c r="F661" s="16" t="s">
        <v>1571</v>
      </c>
      <c r="G661" s="17"/>
      <c r="H661" s="17"/>
      <c r="I661" s="31">
        <v>0</v>
      </c>
      <c r="J661" s="31">
        <v>0</v>
      </c>
      <c r="K661" s="17">
        <v>0</v>
      </c>
      <c r="L661" s="17">
        <v>0</v>
      </c>
      <c r="M661" s="17">
        <v>0</v>
      </c>
      <c r="N661" s="17">
        <v>0</v>
      </c>
      <c r="O661" s="17">
        <v>0</v>
      </c>
      <c r="P661" s="17">
        <v>0</v>
      </c>
      <c r="Q661" s="17">
        <v>0</v>
      </c>
      <c r="R661" s="17">
        <v>0</v>
      </c>
      <c r="S661" s="17">
        <v>0</v>
      </c>
      <c r="T661" s="17">
        <v>0</v>
      </c>
      <c r="U661" s="17">
        <v>0</v>
      </c>
      <c r="V661" s="17">
        <v>0</v>
      </c>
      <c r="W661" s="17">
        <v>0</v>
      </c>
      <c r="X661" s="17">
        <v>0</v>
      </c>
      <c r="Y661" s="17">
        <v>0</v>
      </c>
      <c r="Z661" s="17">
        <v>0</v>
      </c>
      <c r="AA661" s="17">
        <v>0</v>
      </c>
      <c r="AB661" s="17">
        <v>0</v>
      </c>
      <c r="AC661" s="17">
        <v>0</v>
      </c>
      <c r="AD661" s="17">
        <v>0</v>
      </c>
      <c r="AE661" s="17">
        <v>0</v>
      </c>
      <c r="AF661" s="17">
        <v>0</v>
      </c>
      <c r="AG661" s="17">
        <v>0</v>
      </c>
      <c r="AH661" s="17">
        <v>0</v>
      </c>
      <c r="AI661" s="17">
        <v>0</v>
      </c>
      <c r="AJ661" s="17">
        <v>0</v>
      </c>
      <c r="AK661" s="17">
        <v>0</v>
      </c>
      <c r="AL661" s="17">
        <v>0</v>
      </c>
      <c r="AM661" s="17">
        <v>0</v>
      </c>
      <c r="AN661" s="17">
        <v>0</v>
      </c>
      <c r="AO661" s="17">
        <v>0</v>
      </c>
      <c r="AP661" s="17">
        <v>0</v>
      </c>
      <c r="AQ661" s="17">
        <v>0</v>
      </c>
      <c r="AR661" s="17">
        <v>0</v>
      </c>
      <c r="AS661" s="17">
        <v>0</v>
      </c>
      <c r="AT661" s="17">
        <v>0</v>
      </c>
      <c r="AU661" s="17">
        <v>0</v>
      </c>
      <c r="AV661" s="17">
        <v>0</v>
      </c>
      <c r="AW661" s="17">
        <v>0</v>
      </c>
      <c r="AX661" s="17">
        <v>0</v>
      </c>
      <c r="AY661" s="17">
        <v>0</v>
      </c>
      <c r="AZ661" s="17">
        <v>0</v>
      </c>
      <c r="BA661" s="17">
        <v>0</v>
      </c>
      <c r="BB661" s="17">
        <v>0</v>
      </c>
      <c r="BC661" s="17">
        <v>0</v>
      </c>
      <c r="BD661" s="17">
        <v>0</v>
      </c>
      <c r="BE661" s="17">
        <v>0</v>
      </c>
      <c r="BF661" s="17">
        <v>0</v>
      </c>
      <c r="BG661" s="17">
        <v>0</v>
      </c>
      <c r="BH661" s="17">
        <v>0</v>
      </c>
      <c r="BI661" s="22">
        <f t="shared" si="184"/>
        <v>0</v>
      </c>
      <c r="BJ661" s="22">
        <f t="shared" si="185"/>
        <v>0</v>
      </c>
      <c r="BK661" s="22">
        <f t="shared" si="186"/>
        <v>0</v>
      </c>
      <c r="BL661" s="22">
        <f t="shared" si="187"/>
        <v>0</v>
      </c>
      <c r="BM661" s="22">
        <f t="shared" si="188"/>
        <v>0</v>
      </c>
      <c r="BN661" s="23" t="e">
        <f t="shared" si="189"/>
        <v>#DIV/0!</v>
      </c>
      <c r="BO661" s="23" t="e">
        <f t="shared" si="189"/>
        <v>#DIV/0!</v>
      </c>
      <c r="BP661" s="7" t="e">
        <f>VLOOKUP(A661,[1]Sheet15!B:E,4,0)</f>
        <v>#N/A</v>
      </c>
      <c r="BQ661" s="7" t="e">
        <f>VLOOKUP(A661,[1]Sheet15!B:E,3,0)</f>
        <v>#N/A</v>
      </c>
    </row>
    <row r="662" spans="1:69" ht="22.5" customHeight="1" x14ac:dyDescent="0.25">
      <c r="A662" s="15" t="s">
        <v>1580</v>
      </c>
      <c r="B662" s="15">
        <f>VLOOKUP(A662,'[1]Master clients'!F641:W4188,17,0)</f>
        <v>0</v>
      </c>
      <c r="C662" s="15" t="str">
        <f>VLOOKUP(A662,'[1]Master clients'!F641:P4188,11,0)</f>
        <v>NI</v>
      </c>
      <c r="D662" s="15" t="str">
        <f>VLOOKUP(A662,'[1]Master clients'!F:M,8,0)</f>
        <v>End User</v>
      </c>
      <c r="E662" s="16" t="s">
        <v>1581</v>
      </c>
      <c r="F662" s="16" t="s">
        <v>1571</v>
      </c>
      <c r="G662" s="17"/>
      <c r="H662" s="17"/>
      <c r="I662" s="26">
        <v>1</v>
      </c>
      <c r="J662" s="31">
        <v>0</v>
      </c>
      <c r="K662" s="17">
        <v>0</v>
      </c>
      <c r="L662" s="17">
        <v>0</v>
      </c>
      <c r="M662" s="17">
        <v>0</v>
      </c>
      <c r="N662" s="17">
        <v>0</v>
      </c>
      <c r="O662" s="17">
        <v>0</v>
      </c>
      <c r="P662" s="17">
        <v>0</v>
      </c>
      <c r="Q662" s="17">
        <v>0</v>
      </c>
      <c r="R662" s="17">
        <v>0</v>
      </c>
      <c r="S662" s="17">
        <v>0</v>
      </c>
      <c r="T662" s="17">
        <v>0</v>
      </c>
      <c r="U662" s="17">
        <v>0</v>
      </c>
      <c r="V662" s="17">
        <v>0</v>
      </c>
      <c r="W662" s="17">
        <v>0</v>
      </c>
      <c r="X662" s="17">
        <v>0</v>
      </c>
      <c r="Y662" s="17">
        <v>0</v>
      </c>
      <c r="Z662" s="17">
        <v>0</v>
      </c>
      <c r="AA662" s="17">
        <v>0</v>
      </c>
      <c r="AB662" s="17">
        <v>0</v>
      </c>
      <c r="AC662" s="17">
        <v>0</v>
      </c>
      <c r="AD662" s="17">
        <v>0</v>
      </c>
      <c r="AE662" s="17">
        <v>0</v>
      </c>
      <c r="AF662" s="17">
        <v>0</v>
      </c>
      <c r="AG662" s="17">
        <v>0</v>
      </c>
      <c r="AH662" s="17">
        <v>0</v>
      </c>
      <c r="AI662" s="17">
        <v>0</v>
      </c>
      <c r="AJ662" s="17">
        <v>0</v>
      </c>
      <c r="AK662" s="17">
        <v>0</v>
      </c>
      <c r="AL662" s="17">
        <v>0</v>
      </c>
      <c r="AM662" s="17">
        <v>0</v>
      </c>
      <c r="AN662" s="17">
        <v>0</v>
      </c>
      <c r="AO662" s="17">
        <v>0</v>
      </c>
      <c r="AP662" s="17">
        <v>0</v>
      </c>
      <c r="AQ662" s="17">
        <v>0</v>
      </c>
      <c r="AR662" s="17">
        <v>0</v>
      </c>
      <c r="AS662" s="17">
        <v>0</v>
      </c>
      <c r="AT662" s="17">
        <v>0</v>
      </c>
      <c r="AU662" s="17">
        <v>0</v>
      </c>
      <c r="AV662" s="17">
        <v>0</v>
      </c>
      <c r="AW662" s="17">
        <v>0</v>
      </c>
      <c r="AX662" s="17">
        <v>0</v>
      </c>
      <c r="AY662" s="17">
        <v>0</v>
      </c>
      <c r="AZ662" s="17">
        <v>0</v>
      </c>
      <c r="BA662" s="17">
        <v>0</v>
      </c>
      <c r="BB662" s="17">
        <v>0</v>
      </c>
      <c r="BC662" s="17">
        <v>0</v>
      </c>
      <c r="BD662" s="17">
        <v>0</v>
      </c>
      <c r="BE662" s="17">
        <v>0</v>
      </c>
      <c r="BF662" s="17">
        <v>0</v>
      </c>
      <c r="BG662" s="17">
        <v>0</v>
      </c>
      <c r="BH662" s="17">
        <v>0</v>
      </c>
      <c r="BI662" s="22">
        <f t="shared" si="184"/>
        <v>0</v>
      </c>
      <c r="BJ662" s="22">
        <f t="shared" si="185"/>
        <v>0</v>
      </c>
      <c r="BK662" s="22">
        <f t="shared" si="186"/>
        <v>1</v>
      </c>
      <c r="BL662" s="22">
        <f t="shared" si="187"/>
        <v>1</v>
      </c>
      <c r="BM662" s="22">
        <f t="shared" si="188"/>
        <v>0</v>
      </c>
      <c r="BN662" s="23">
        <f t="shared" si="189"/>
        <v>1</v>
      </c>
      <c r="BO662" s="23" t="e">
        <f t="shared" si="189"/>
        <v>#DIV/0!</v>
      </c>
      <c r="BP662" s="7">
        <f>VLOOKUP(A662,[1]Sheet15!B:E,4,0)</f>
        <v>1</v>
      </c>
      <c r="BQ662" s="7">
        <f>VLOOKUP(A662,[1]Sheet15!B:E,3,0)</f>
        <v>0</v>
      </c>
    </row>
    <row r="663" spans="1:69" ht="22.5" customHeight="1" x14ac:dyDescent="0.25">
      <c r="A663" s="15" t="s">
        <v>1582</v>
      </c>
      <c r="B663" s="15">
        <f>VLOOKUP(A663,'[1]Master clients'!F642:W4189,17,0)</f>
        <v>0</v>
      </c>
      <c r="C663" s="15" t="str">
        <f>VLOOKUP(A663,'[1]Master clients'!F642:P4189,11,0)</f>
        <v>NI</v>
      </c>
      <c r="D663" s="15" t="str">
        <f>VLOOKUP(A663,'[1]Master clients'!F:M,8,0)</f>
        <v>End User</v>
      </c>
      <c r="E663" s="16" t="s">
        <v>1583</v>
      </c>
      <c r="F663" s="16" t="s">
        <v>1571</v>
      </c>
      <c r="G663" s="17"/>
      <c r="H663" s="17"/>
      <c r="I663" s="31">
        <v>0</v>
      </c>
      <c r="J663" s="31">
        <v>0</v>
      </c>
      <c r="K663" s="17">
        <v>0</v>
      </c>
      <c r="L663" s="17">
        <v>0</v>
      </c>
      <c r="M663" s="17">
        <v>0</v>
      </c>
      <c r="N663" s="17">
        <v>0</v>
      </c>
      <c r="O663" s="17">
        <v>0</v>
      </c>
      <c r="P663" s="17">
        <v>0</v>
      </c>
      <c r="Q663" s="17">
        <v>0</v>
      </c>
      <c r="R663" s="17">
        <v>0</v>
      </c>
      <c r="S663" s="17">
        <v>0</v>
      </c>
      <c r="T663" s="17">
        <v>0</v>
      </c>
      <c r="U663" s="17">
        <v>0</v>
      </c>
      <c r="V663" s="17">
        <v>0</v>
      </c>
      <c r="W663" s="17">
        <v>0</v>
      </c>
      <c r="X663" s="17">
        <v>0</v>
      </c>
      <c r="Y663" s="17">
        <v>0</v>
      </c>
      <c r="Z663" s="17">
        <v>0</v>
      </c>
      <c r="AA663" s="17">
        <v>0</v>
      </c>
      <c r="AB663" s="17">
        <v>0</v>
      </c>
      <c r="AC663" s="17">
        <v>0</v>
      </c>
      <c r="AD663" s="17">
        <v>0</v>
      </c>
      <c r="AE663" s="17">
        <v>0</v>
      </c>
      <c r="AF663" s="17">
        <v>0</v>
      </c>
      <c r="AG663" s="17">
        <v>0</v>
      </c>
      <c r="AH663" s="17">
        <v>0</v>
      </c>
      <c r="AI663" s="17">
        <v>0</v>
      </c>
      <c r="AJ663" s="17">
        <v>0</v>
      </c>
      <c r="AK663" s="17">
        <v>0</v>
      </c>
      <c r="AL663" s="17">
        <v>0</v>
      </c>
      <c r="AM663" s="17">
        <v>0</v>
      </c>
      <c r="AN663" s="17">
        <v>0</v>
      </c>
      <c r="AO663" s="17">
        <v>0</v>
      </c>
      <c r="AP663" s="17">
        <v>0</v>
      </c>
      <c r="AQ663" s="17">
        <v>0</v>
      </c>
      <c r="AR663" s="17">
        <v>0</v>
      </c>
      <c r="AS663" s="17">
        <v>0</v>
      </c>
      <c r="AT663" s="17">
        <v>0</v>
      </c>
      <c r="AU663" s="17">
        <v>0</v>
      </c>
      <c r="AV663" s="17">
        <v>0</v>
      </c>
      <c r="AW663" s="17">
        <v>0</v>
      </c>
      <c r="AX663" s="17">
        <v>0</v>
      </c>
      <c r="AY663" s="17">
        <v>0</v>
      </c>
      <c r="AZ663" s="17">
        <v>0</v>
      </c>
      <c r="BA663" s="17">
        <v>0</v>
      </c>
      <c r="BB663" s="17">
        <v>0</v>
      </c>
      <c r="BC663" s="17">
        <v>0</v>
      </c>
      <c r="BD663" s="17">
        <v>0</v>
      </c>
      <c r="BE663" s="17">
        <v>0</v>
      </c>
      <c r="BF663" s="17">
        <v>0</v>
      </c>
      <c r="BG663" s="17">
        <v>0</v>
      </c>
      <c r="BH663" s="17">
        <v>0</v>
      </c>
      <c r="BI663" s="22">
        <f t="shared" si="184"/>
        <v>0</v>
      </c>
      <c r="BJ663" s="22">
        <f t="shared" si="185"/>
        <v>0</v>
      </c>
      <c r="BK663" s="22">
        <f t="shared" si="186"/>
        <v>0</v>
      </c>
      <c r="BL663" s="22">
        <f t="shared" si="187"/>
        <v>0</v>
      </c>
      <c r="BM663" s="22">
        <f t="shared" si="188"/>
        <v>0</v>
      </c>
      <c r="BN663" s="23" t="e">
        <f t="shared" si="189"/>
        <v>#DIV/0!</v>
      </c>
      <c r="BO663" s="23" t="e">
        <f t="shared" si="189"/>
        <v>#DIV/0!</v>
      </c>
      <c r="BP663" s="7" t="e">
        <f>VLOOKUP(A663,[1]Sheet15!B:E,4,0)</f>
        <v>#N/A</v>
      </c>
      <c r="BQ663" s="7" t="e">
        <f>VLOOKUP(A663,[1]Sheet15!B:E,3,0)</f>
        <v>#N/A</v>
      </c>
    </row>
    <row r="664" spans="1:69" ht="22.5" customHeight="1" x14ac:dyDescent="0.25">
      <c r="A664" s="15" t="s">
        <v>1584</v>
      </c>
      <c r="B664" s="15">
        <f>VLOOKUP(A664,'[1]Master clients'!F643:W4190,17,0)</f>
        <v>0</v>
      </c>
      <c r="C664" s="15" t="str">
        <f>VLOOKUP(A664,'[1]Master clients'!F643:P4190,11,0)</f>
        <v>NI</v>
      </c>
      <c r="D664" s="15" t="str">
        <f>VLOOKUP(A664,'[1]Master clients'!F:M,8,0)</f>
        <v>End User</v>
      </c>
      <c r="E664" s="16" t="s">
        <v>1585</v>
      </c>
      <c r="F664" s="16" t="s">
        <v>1571</v>
      </c>
      <c r="G664" s="17"/>
      <c r="H664" s="17"/>
      <c r="I664" s="31">
        <v>0</v>
      </c>
      <c r="J664" s="31">
        <v>0</v>
      </c>
      <c r="K664" s="17">
        <v>0</v>
      </c>
      <c r="L664" s="17">
        <v>0</v>
      </c>
      <c r="M664" s="17">
        <v>0</v>
      </c>
      <c r="N664" s="17">
        <v>0</v>
      </c>
      <c r="O664" s="17">
        <v>0</v>
      </c>
      <c r="P664" s="17">
        <v>0</v>
      </c>
      <c r="Q664" s="17">
        <v>0</v>
      </c>
      <c r="R664" s="17">
        <v>0</v>
      </c>
      <c r="S664" s="17">
        <v>0</v>
      </c>
      <c r="T664" s="17">
        <v>0</v>
      </c>
      <c r="U664" s="17">
        <v>0</v>
      </c>
      <c r="V664" s="17">
        <v>0</v>
      </c>
      <c r="W664" s="17">
        <v>0</v>
      </c>
      <c r="X664" s="17">
        <v>0</v>
      </c>
      <c r="Y664" s="17">
        <v>0</v>
      </c>
      <c r="Z664" s="17">
        <v>0</v>
      </c>
      <c r="AA664" s="17">
        <v>0</v>
      </c>
      <c r="AB664" s="17">
        <v>0</v>
      </c>
      <c r="AC664" s="17">
        <v>0</v>
      </c>
      <c r="AD664" s="17">
        <v>0</v>
      </c>
      <c r="AE664" s="17">
        <v>0</v>
      </c>
      <c r="AF664" s="17">
        <v>0</v>
      </c>
      <c r="AG664" s="17">
        <v>0</v>
      </c>
      <c r="AH664" s="17">
        <v>0</v>
      </c>
      <c r="AI664" s="17">
        <v>0</v>
      </c>
      <c r="AJ664" s="17">
        <v>0</v>
      </c>
      <c r="AK664" s="17">
        <v>0</v>
      </c>
      <c r="AL664" s="17">
        <v>0</v>
      </c>
      <c r="AM664" s="17">
        <v>0</v>
      </c>
      <c r="AN664" s="17">
        <v>0</v>
      </c>
      <c r="AO664" s="17">
        <v>0</v>
      </c>
      <c r="AP664" s="17">
        <v>0</v>
      </c>
      <c r="AQ664" s="17">
        <v>0</v>
      </c>
      <c r="AR664" s="17">
        <v>0</v>
      </c>
      <c r="AS664" s="17">
        <v>0</v>
      </c>
      <c r="AT664" s="17">
        <v>0</v>
      </c>
      <c r="AU664" s="17">
        <v>0</v>
      </c>
      <c r="AV664" s="17">
        <v>0</v>
      </c>
      <c r="AW664" s="17">
        <v>0</v>
      </c>
      <c r="AX664" s="17">
        <v>0</v>
      </c>
      <c r="AY664" s="17">
        <v>0</v>
      </c>
      <c r="AZ664" s="17">
        <v>0</v>
      </c>
      <c r="BA664" s="17">
        <v>0</v>
      </c>
      <c r="BB664" s="17">
        <v>0</v>
      </c>
      <c r="BC664" s="17">
        <v>0</v>
      </c>
      <c r="BD664" s="17">
        <v>0</v>
      </c>
      <c r="BE664" s="17">
        <v>0</v>
      </c>
      <c r="BF664" s="17">
        <v>0</v>
      </c>
      <c r="BG664" s="17">
        <v>0</v>
      </c>
      <c r="BH664" s="17">
        <v>0</v>
      </c>
      <c r="BI664" s="22">
        <f t="shared" si="184"/>
        <v>0</v>
      </c>
      <c r="BJ664" s="22">
        <f t="shared" si="185"/>
        <v>0</v>
      </c>
      <c r="BK664" s="22">
        <f t="shared" si="186"/>
        <v>0</v>
      </c>
      <c r="BL664" s="22">
        <f t="shared" si="187"/>
        <v>0</v>
      </c>
      <c r="BM664" s="22">
        <f t="shared" si="188"/>
        <v>0</v>
      </c>
      <c r="BN664" s="23" t="e">
        <f t="shared" si="189"/>
        <v>#DIV/0!</v>
      </c>
      <c r="BO664" s="23" t="e">
        <f t="shared" si="189"/>
        <v>#DIV/0!</v>
      </c>
      <c r="BP664" s="7" t="e">
        <f>VLOOKUP(A664,[1]Sheet15!B:E,4,0)</f>
        <v>#N/A</v>
      </c>
      <c r="BQ664" s="7" t="e">
        <f>VLOOKUP(A664,[1]Sheet15!B:E,3,0)</f>
        <v>#N/A</v>
      </c>
    </row>
    <row r="665" spans="1:69" ht="22.5" customHeight="1" x14ac:dyDescent="0.25">
      <c r="A665" s="15" t="s">
        <v>1586</v>
      </c>
      <c r="B665" s="15" t="str">
        <f>VLOOKUP(A665,'[1]Master clients'!F644:W4191,17,0)</f>
        <v>Mar</v>
      </c>
      <c r="C665" s="15" t="str">
        <f>VLOOKUP(A665,'[1]Master clients'!F644:P4191,11,0)</f>
        <v>NI</v>
      </c>
      <c r="D665" s="15" t="str">
        <f>VLOOKUP(A665,'[1]Master clients'!F:M,8,0)</f>
        <v>End User</v>
      </c>
      <c r="E665" s="16" t="s">
        <v>1587</v>
      </c>
      <c r="F665" s="16" t="s">
        <v>1571</v>
      </c>
      <c r="G665" s="17"/>
      <c r="H665" s="17"/>
      <c r="I665" s="31">
        <v>7</v>
      </c>
      <c r="J665" s="31">
        <v>0</v>
      </c>
      <c r="K665" s="17">
        <v>13</v>
      </c>
      <c r="L665" s="17">
        <v>0</v>
      </c>
      <c r="M665" s="17">
        <v>0</v>
      </c>
      <c r="N665" s="17">
        <v>12</v>
      </c>
      <c r="O665" s="17">
        <v>0</v>
      </c>
      <c r="P665" s="17">
        <v>0</v>
      </c>
      <c r="Q665" s="17">
        <v>0</v>
      </c>
      <c r="R665" s="17">
        <v>0</v>
      </c>
      <c r="S665" s="17">
        <v>0</v>
      </c>
      <c r="T665" s="17">
        <v>0</v>
      </c>
      <c r="U665" s="17">
        <v>0</v>
      </c>
      <c r="V665" s="17">
        <v>0</v>
      </c>
      <c r="W665" s="17">
        <v>0</v>
      </c>
      <c r="X665" s="17">
        <v>0</v>
      </c>
      <c r="Y665" s="17">
        <v>0</v>
      </c>
      <c r="Z665" s="17">
        <v>0</v>
      </c>
      <c r="AA665" s="17">
        <v>0</v>
      </c>
      <c r="AB665" s="17">
        <v>0</v>
      </c>
      <c r="AC665" s="17">
        <v>0</v>
      </c>
      <c r="AD665" s="17">
        <v>0</v>
      </c>
      <c r="AE665" s="17">
        <v>0</v>
      </c>
      <c r="AF665" s="17">
        <v>0</v>
      </c>
      <c r="AG665" s="17">
        <v>0</v>
      </c>
      <c r="AH665" s="17">
        <v>0</v>
      </c>
      <c r="AI665" s="17">
        <v>0</v>
      </c>
      <c r="AJ665" s="17">
        <v>0</v>
      </c>
      <c r="AK665" s="17">
        <v>0</v>
      </c>
      <c r="AL665" s="17">
        <v>0</v>
      </c>
      <c r="AM665" s="17">
        <v>0</v>
      </c>
      <c r="AN665" s="17">
        <v>0</v>
      </c>
      <c r="AO665" s="17">
        <v>0</v>
      </c>
      <c r="AP665" s="17">
        <v>0</v>
      </c>
      <c r="AQ665" s="17">
        <v>0</v>
      </c>
      <c r="AR665" s="17">
        <v>0</v>
      </c>
      <c r="AS665" s="17">
        <v>0</v>
      </c>
      <c r="AT665" s="17">
        <v>0</v>
      </c>
      <c r="AU665" s="17">
        <v>0</v>
      </c>
      <c r="AV665" s="17">
        <v>0</v>
      </c>
      <c r="AW665" s="17">
        <v>0</v>
      </c>
      <c r="AX665" s="17">
        <v>0</v>
      </c>
      <c r="AY665" s="17">
        <v>0</v>
      </c>
      <c r="AZ665" s="17">
        <v>0</v>
      </c>
      <c r="BA665" s="17">
        <v>0</v>
      </c>
      <c r="BB665" s="17">
        <v>0</v>
      </c>
      <c r="BC665" s="17">
        <v>0</v>
      </c>
      <c r="BD665" s="17">
        <v>0</v>
      </c>
      <c r="BE665" s="17">
        <v>0</v>
      </c>
      <c r="BF665" s="17">
        <v>0</v>
      </c>
      <c r="BG665" s="17">
        <v>0</v>
      </c>
      <c r="BH665" s="17">
        <v>0</v>
      </c>
      <c r="BI665" s="22">
        <f t="shared" si="184"/>
        <v>13</v>
      </c>
      <c r="BJ665" s="22">
        <f t="shared" si="185"/>
        <v>12</v>
      </c>
      <c r="BK665" s="22">
        <f t="shared" si="186"/>
        <v>32</v>
      </c>
      <c r="BL665" s="22">
        <f t="shared" si="187"/>
        <v>20</v>
      </c>
      <c r="BM665" s="22">
        <f t="shared" si="188"/>
        <v>12</v>
      </c>
      <c r="BN665" s="23">
        <f t="shared" si="189"/>
        <v>0.35</v>
      </c>
      <c r="BO665" s="23">
        <f t="shared" si="189"/>
        <v>0</v>
      </c>
      <c r="BP665" s="7">
        <f>VLOOKUP(A665,[1]Sheet15!B:E,4,0)</f>
        <v>15</v>
      </c>
      <c r="BQ665" s="7">
        <f>VLOOKUP(A665,[1]Sheet15!B:E,3,0)</f>
        <v>0</v>
      </c>
    </row>
    <row r="666" spans="1:69" ht="22.5" customHeight="1" x14ac:dyDescent="0.25">
      <c r="A666" s="15" t="s">
        <v>1588</v>
      </c>
      <c r="B666" s="15" t="e">
        <f>VLOOKUP(A666,'[1]Master clients'!F645:W4192,17,0)</f>
        <v>#N/A</v>
      </c>
      <c r="C666" s="15" t="e">
        <f>VLOOKUP(A666,'[1]Master clients'!F645:P4192,11,0)</f>
        <v>#N/A</v>
      </c>
      <c r="D666" s="15" t="str">
        <f>VLOOKUP(A666,'[1]Master clients'!F:M,8,0)</f>
        <v>End User</v>
      </c>
      <c r="E666" s="16" t="s">
        <v>1589</v>
      </c>
      <c r="F666" s="16" t="s">
        <v>92</v>
      </c>
      <c r="G666" s="17">
        <v>21</v>
      </c>
      <c r="H666" s="17">
        <v>9</v>
      </c>
      <c r="I666" s="18">
        <v>21</v>
      </c>
      <c r="J666" s="18">
        <v>9</v>
      </c>
      <c r="K666" s="17">
        <v>0</v>
      </c>
      <c r="L666" s="17">
        <v>0</v>
      </c>
      <c r="M666" s="17">
        <v>0</v>
      </c>
      <c r="N666" s="17">
        <v>0</v>
      </c>
      <c r="O666" s="19">
        <v>0</v>
      </c>
      <c r="P666" s="19">
        <v>0</v>
      </c>
      <c r="Q666" s="19">
        <v>0</v>
      </c>
      <c r="R666" s="19">
        <v>0</v>
      </c>
      <c r="S666" s="19">
        <v>0</v>
      </c>
      <c r="T666" s="19">
        <v>3</v>
      </c>
      <c r="U666" s="19">
        <v>0</v>
      </c>
      <c r="V666" s="19">
        <v>0</v>
      </c>
      <c r="W666" s="20">
        <v>0</v>
      </c>
      <c r="X666" s="20">
        <v>0</v>
      </c>
      <c r="Y666" s="19">
        <v>0</v>
      </c>
      <c r="Z666" s="19">
        <v>0</v>
      </c>
      <c r="AA666" s="19">
        <v>0</v>
      </c>
      <c r="AB666" s="19">
        <v>0</v>
      </c>
      <c r="AC666" s="19">
        <v>0</v>
      </c>
      <c r="AD666" s="19">
        <v>0</v>
      </c>
      <c r="AE666" s="19">
        <v>0</v>
      </c>
      <c r="AF666" s="19">
        <v>0</v>
      </c>
      <c r="AG666" s="19">
        <v>0</v>
      </c>
      <c r="AH666" s="19">
        <v>0</v>
      </c>
      <c r="AI666" s="20">
        <v>0</v>
      </c>
      <c r="AJ666" s="20">
        <v>0</v>
      </c>
      <c r="AK666" s="19">
        <v>0</v>
      </c>
      <c r="AL666" s="20">
        <v>0</v>
      </c>
      <c r="AM666" s="19">
        <v>0</v>
      </c>
      <c r="AN666" s="19">
        <v>0</v>
      </c>
      <c r="AO666" s="19">
        <v>0</v>
      </c>
      <c r="AP666" s="19">
        <v>0</v>
      </c>
      <c r="AQ666" s="19">
        <v>0</v>
      </c>
      <c r="AR666" s="19">
        <v>0</v>
      </c>
      <c r="AS666" s="19">
        <v>0</v>
      </c>
      <c r="AT666" s="19">
        <v>0</v>
      </c>
      <c r="AU666" s="19">
        <v>0</v>
      </c>
      <c r="AV666" s="19">
        <v>0</v>
      </c>
      <c r="AW666" s="20">
        <v>0</v>
      </c>
      <c r="AX666" s="20">
        <v>0</v>
      </c>
      <c r="AY666" s="20">
        <v>0</v>
      </c>
      <c r="AZ666" s="19">
        <v>0</v>
      </c>
      <c r="BA666" s="19">
        <v>0</v>
      </c>
      <c r="BB666" s="19">
        <v>0</v>
      </c>
      <c r="BC666" s="19">
        <v>0</v>
      </c>
      <c r="BD666" s="19">
        <v>0</v>
      </c>
      <c r="BE666" s="21">
        <v>0</v>
      </c>
      <c r="BF666" s="21">
        <v>0</v>
      </c>
      <c r="BG666" s="19">
        <v>0</v>
      </c>
      <c r="BH666" s="19">
        <v>0</v>
      </c>
      <c r="BI666" s="22">
        <f t="shared" si="184"/>
        <v>3</v>
      </c>
      <c r="BJ666" s="22">
        <f t="shared" si="185"/>
        <v>0</v>
      </c>
      <c r="BK666" s="22">
        <f t="shared" si="186"/>
        <v>33</v>
      </c>
      <c r="BL666" s="22">
        <f t="shared" si="187"/>
        <v>24</v>
      </c>
      <c r="BM666" s="22">
        <f t="shared" si="188"/>
        <v>9</v>
      </c>
      <c r="BN666" s="23">
        <f t="shared" si="189"/>
        <v>0.875</v>
      </c>
      <c r="BO666" s="23">
        <f t="shared" si="189"/>
        <v>1</v>
      </c>
      <c r="BP666" s="7">
        <f>VLOOKUP(A666,[1]Sheet15!B:E,4,0)</f>
        <v>9</v>
      </c>
      <c r="BQ666" s="7">
        <f>VLOOKUP(A666,[1]Sheet15!B:E,3,0)</f>
        <v>0</v>
      </c>
    </row>
    <row r="667" spans="1:69" ht="22.5" customHeight="1" x14ac:dyDescent="0.25">
      <c r="A667" s="15" t="s">
        <v>1590</v>
      </c>
      <c r="B667" s="15">
        <f>VLOOKUP(A667,'[1]Master clients'!F646:W4193,17,0)</f>
        <v>0</v>
      </c>
      <c r="C667" s="15" t="str">
        <f>VLOOKUP(A667,'[1]Master clients'!F646:P4193,11,0)</f>
        <v>AV</v>
      </c>
      <c r="D667" s="15" t="str">
        <f>VLOOKUP(A667,'[1]Master clients'!F:M,8,0)</f>
        <v>End User</v>
      </c>
      <c r="E667" s="16" t="s">
        <v>1591</v>
      </c>
      <c r="F667" s="16" t="s">
        <v>92</v>
      </c>
      <c r="G667" s="17">
        <v>16</v>
      </c>
      <c r="H667" s="17">
        <v>9</v>
      </c>
      <c r="I667" s="18">
        <v>16</v>
      </c>
      <c r="J667" s="18">
        <v>4</v>
      </c>
      <c r="K667" s="17">
        <v>0</v>
      </c>
      <c r="L667" s="17">
        <v>0</v>
      </c>
      <c r="M667" s="17">
        <v>0</v>
      </c>
      <c r="N667" s="17">
        <v>0</v>
      </c>
      <c r="O667" s="19">
        <v>0</v>
      </c>
      <c r="P667" s="19">
        <v>0</v>
      </c>
      <c r="Q667" s="19">
        <v>7</v>
      </c>
      <c r="R667" s="19">
        <v>0</v>
      </c>
      <c r="S667" s="19">
        <v>0</v>
      </c>
      <c r="T667" s="19">
        <v>0</v>
      </c>
      <c r="U667" s="19">
        <v>0</v>
      </c>
      <c r="V667" s="19">
        <v>0</v>
      </c>
      <c r="W667" s="20">
        <v>0</v>
      </c>
      <c r="X667" s="20">
        <v>0</v>
      </c>
      <c r="Y667" s="19">
        <v>0</v>
      </c>
      <c r="Z667" s="19">
        <v>0</v>
      </c>
      <c r="AA667" s="19">
        <v>0</v>
      </c>
      <c r="AB667" s="19">
        <v>0</v>
      </c>
      <c r="AC667" s="19">
        <v>0</v>
      </c>
      <c r="AD667" s="19">
        <v>0</v>
      </c>
      <c r="AE667" s="19">
        <v>0</v>
      </c>
      <c r="AF667" s="19">
        <v>0</v>
      </c>
      <c r="AG667" s="19">
        <v>0</v>
      </c>
      <c r="AH667" s="19">
        <v>0</v>
      </c>
      <c r="AI667" s="20">
        <v>0</v>
      </c>
      <c r="AJ667" s="20">
        <v>0</v>
      </c>
      <c r="AK667" s="19">
        <v>0</v>
      </c>
      <c r="AL667" s="20">
        <v>0</v>
      </c>
      <c r="AM667" s="19">
        <v>0</v>
      </c>
      <c r="AN667" s="19">
        <v>0</v>
      </c>
      <c r="AO667" s="19">
        <v>0</v>
      </c>
      <c r="AP667" s="19">
        <v>0</v>
      </c>
      <c r="AQ667" s="19">
        <v>0</v>
      </c>
      <c r="AR667" s="19">
        <v>0</v>
      </c>
      <c r="AS667" s="19">
        <v>17</v>
      </c>
      <c r="AT667" s="19">
        <v>0</v>
      </c>
      <c r="AU667" s="19">
        <v>0</v>
      </c>
      <c r="AV667" s="19">
        <v>0</v>
      </c>
      <c r="AW667" s="20">
        <v>0</v>
      </c>
      <c r="AX667" s="20">
        <v>0</v>
      </c>
      <c r="AY667" s="20">
        <v>0</v>
      </c>
      <c r="AZ667" s="19">
        <v>0</v>
      </c>
      <c r="BA667" s="19">
        <v>0</v>
      </c>
      <c r="BB667" s="19">
        <v>0</v>
      </c>
      <c r="BC667" s="19">
        <v>0</v>
      </c>
      <c r="BD667" s="19">
        <v>0</v>
      </c>
      <c r="BE667" s="21">
        <v>0</v>
      </c>
      <c r="BF667" s="21">
        <v>0</v>
      </c>
      <c r="BG667" s="19">
        <v>0</v>
      </c>
      <c r="BH667" s="19">
        <v>0</v>
      </c>
      <c r="BI667" s="22">
        <f t="shared" si="184"/>
        <v>17</v>
      </c>
      <c r="BJ667" s="22">
        <f t="shared" si="185"/>
        <v>7</v>
      </c>
      <c r="BK667" s="22">
        <f t="shared" si="186"/>
        <v>44</v>
      </c>
      <c r="BL667" s="22">
        <f t="shared" si="187"/>
        <v>33</v>
      </c>
      <c r="BM667" s="22">
        <f t="shared" si="188"/>
        <v>11</v>
      </c>
      <c r="BN667" s="23">
        <f t="shared" si="189"/>
        <v>0.48484848484848486</v>
      </c>
      <c r="BO667" s="23">
        <f t="shared" si="189"/>
        <v>0.36363636363636365</v>
      </c>
      <c r="BP667" s="7">
        <f>VLOOKUP(A667,[1]Sheet15!B:E,4,0)</f>
        <v>8</v>
      </c>
      <c r="BQ667" s="7">
        <f>VLOOKUP(A667,[1]Sheet15!B:E,3,0)</f>
        <v>0</v>
      </c>
    </row>
    <row r="668" spans="1:69" ht="22.5" customHeight="1" x14ac:dyDescent="0.25">
      <c r="A668" s="15" t="s">
        <v>1592</v>
      </c>
      <c r="B668" s="15" t="e">
        <f>VLOOKUP(A668,'[1]Master clients'!F647:W4194,17,0)</f>
        <v>#N/A</v>
      </c>
      <c r="C668" s="15" t="e">
        <f>VLOOKUP(A668,'[1]Master clients'!F647:P4194,11,0)</f>
        <v>#N/A</v>
      </c>
      <c r="D668" s="15" t="str">
        <f>VLOOKUP(A668,'[1]Master clients'!F:M,8,0)</f>
        <v>End User</v>
      </c>
      <c r="E668" s="16" t="s">
        <v>1593</v>
      </c>
      <c r="F668" s="16" t="s">
        <v>92</v>
      </c>
      <c r="G668" s="17"/>
      <c r="H668" s="17"/>
      <c r="I668" s="26">
        <v>2</v>
      </c>
      <c r="J668" s="31">
        <v>0</v>
      </c>
      <c r="K668" s="17">
        <v>0</v>
      </c>
      <c r="L668" s="17">
        <v>0</v>
      </c>
      <c r="M668" s="17">
        <v>0</v>
      </c>
      <c r="N668" s="17">
        <v>0</v>
      </c>
      <c r="O668" s="17">
        <v>0</v>
      </c>
      <c r="P668" s="17">
        <v>0</v>
      </c>
      <c r="Q668" s="17">
        <v>0</v>
      </c>
      <c r="R668" s="17">
        <v>0</v>
      </c>
      <c r="S668" s="17">
        <v>0</v>
      </c>
      <c r="T668" s="17">
        <v>0</v>
      </c>
      <c r="U668" s="17">
        <v>0</v>
      </c>
      <c r="V668" s="17">
        <v>0</v>
      </c>
      <c r="W668" s="17">
        <v>0</v>
      </c>
      <c r="X668" s="17">
        <v>0</v>
      </c>
      <c r="Y668" s="17">
        <v>0</v>
      </c>
      <c r="Z668" s="17">
        <v>0</v>
      </c>
      <c r="AA668" s="17">
        <v>0</v>
      </c>
      <c r="AB668" s="17">
        <v>0</v>
      </c>
      <c r="AC668" s="17">
        <v>0</v>
      </c>
      <c r="AD668" s="17">
        <v>0</v>
      </c>
      <c r="AE668" s="17">
        <v>0</v>
      </c>
      <c r="AF668" s="17">
        <v>0</v>
      </c>
      <c r="AG668" s="17">
        <v>0</v>
      </c>
      <c r="AH668" s="17">
        <v>0</v>
      </c>
      <c r="AI668" s="17">
        <v>0</v>
      </c>
      <c r="AJ668" s="17">
        <v>0</v>
      </c>
      <c r="AK668" s="17">
        <v>0</v>
      </c>
      <c r="AL668" s="17">
        <v>0</v>
      </c>
      <c r="AM668" s="17">
        <v>0</v>
      </c>
      <c r="AN668" s="17">
        <v>0</v>
      </c>
      <c r="AO668" s="17">
        <v>0</v>
      </c>
      <c r="AP668" s="17">
        <v>0</v>
      </c>
      <c r="AQ668" s="17">
        <v>0</v>
      </c>
      <c r="AR668" s="17">
        <v>0</v>
      </c>
      <c r="AS668" s="17">
        <v>0</v>
      </c>
      <c r="AT668" s="17">
        <v>0</v>
      </c>
      <c r="AU668" s="17">
        <v>0</v>
      </c>
      <c r="AV668" s="17">
        <v>0</v>
      </c>
      <c r="AW668" s="17">
        <v>0</v>
      </c>
      <c r="AX668" s="17">
        <v>0</v>
      </c>
      <c r="AY668" s="17">
        <v>0</v>
      </c>
      <c r="AZ668" s="17">
        <v>0</v>
      </c>
      <c r="BA668" s="17">
        <v>0</v>
      </c>
      <c r="BB668" s="17">
        <v>0</v>
      </c>
      <c r="BC668" s="17">
        <v>0</v>
      </c>
      <c r="BD668" s="17">
        <v>0</v>
      </c>
      <c r="BE668" s="17">
        <v>0</v>
      </c>
      <c r="BF668" s="17">
        <v>0</v>
      </c>
      <c r="BG668" s="17">
        <v>0</v>
      </c>
      <c r="BH668" s="17">
        <v>0</v>
      </c>
      <c r="BI668" s="22">
        <f>SUM(M668+N668+P668+R668+T668+W668+Z668+AC668+AE668+AL668+AO668+AP668+AS668+AW668+AX668+BC668+BE668+BG668)</f>
        <v>0</v>
      </c>
      <c r="BJ668" s="22">
        <f>SUM(H668:BG668)</f>
        <v>2</v>
      </c>
      <c r="BK668" s="22">
        <f>SUM(H668+J668+K668+L668+O668+Q668+S668+U668+V668+X668+Y668+AA668+AB668+AD668+AF668+AG668+AH668+AI668+AJ668+AK668+AM668+AN668+AQ668+AR668+AT668+AU668+AV668+AY668+AZ668+BA668+BB668+BF668+BD668)</f>
        <v>0</v>
      </c>
      <c r="BL668" s="22">
        <f t="shared" ref="BL668:BM675" si="190">SUM(I668+M668+N668+P668+R668+T668+W668+Z668+AC668+AE668+AL668+AO668+AP668+AS668+AW668+AX668+BC668+BG668)</f>
        <v>2</v>
      </c>
      <c r="BM668" s="22">
        <f t="shared" si="190"/>
        <v>0</v>
      </c>
      <c r="BN668" s="23">
        <f t="shared" si="189"/>
        <v>1</v>
      </c>
      <c r="BO668" s="23" t="e">
        <f t="shared" si="189"/>
        <v>#DIV/0!</v>
      </c>
      <c r="BP668" s="7">
        <f>VLOOKUP(A668,[1]Sheet15!B:E,4,0)</f>
        <v>2</v>
      </c>
      <c r="BQ668" s="7">
        <f>VLOOKUP(A668,[1]Sheet15!B:E,3,0)</f>
        <v>0</v>
      </c>
    </row>
    <row r="669" spans="1:69" ht="22.5" customHeight="1" x14ac:dyDescent="0.25">
      <c r="A669" s="15" t="s">
        <v>1594</v>
      </c>
      <c r="B669" s="15">
        <f>VLOOKUP(A669,'[1]Master clients'!F648:W4195,17,0)</f>
        <v>0</v>
      </c>
      <c r="C669" s="15" t="str">
        <f>VLOOKUP(A669,'[1]Master clients'!F648:P4195,11,0)</f>
        <v>NI</v>
      </c>
      <c r="D669" s="15" t="str">
        <f>VLOOKUP(A669,'[1]Master clients'!F:M,8,0)</f>
        <v>Group (Mills)</v>
      </c>
      <c r="E669" s="16" t="s">
        <v>1595</v>
      </c>
      <c r="F669" s="16" t="s">
        <v>92</v>
      </c>
      <c r="G669" s="17"/>
      <c r="H669" s="17"/>
      <c r="I669" s="18">
        <v>9</v>
      </c>
      <c r="J669" s="18">
        <v>0</v>
      </c>
      <c r="K669" s="17">
        <v>0</v>
      </c>
      <c r="L669" s="17">
        <v>0</v>
      </c>
      <c r="M669" s="17">
        <v>0</v>
      </c>
      <c r="N669" s="17">
        <v>0</v>
      </c>
      <c r="O669" s="17">
        <v>0</v>
      </c>
      <c r="P669" s="17">
        <v>2</v>
      </c>
      <c r="Q669" s="17">
        <v>9</v>
      </c>
      <c r="R669" s="17">
        <v>0</v>
      </c>
      <c r="S669" s="17">
        <v>0</v>
      </c>
      <c r="T669" s="17">
        <v>0</v>
      </c>
      <c r="U669" s="17">
        <v>0</v>
      </c>
      <c r="V669" s="17">
        <v>0</v>
      </c>
      <c r="W669" s="17">
        <v>0</v>
      </c>
      <c r="X669" s="17">
        <v>0</v>
      </c>
      <c r="Y669" s="17">
        <v>0</v>
      </c>
      <c r="Z669" s="17">
        <v>0</v>
      </c>
      <c r="AA669" s="17">
        <v>0</v>
      </c>
      <c r="AB669" s="17">
        <v>0</v>
      </c>
      <c r="AC669" s="17">
        <v>0</v>
      </c>
      <c r="AD669" s="17">
        <v>0</v>
      </c>
      <c r="AE669" s="17">
        <v>0</v>
      </c>
      <c r="AF669" s="17">
        <v>0</v>
      </c>
      <c r="AG669" s="17">
        <v>0</v>
      </c>
      <c r="AH669" s="17">
        <v>0</v>
      </c>
      <c r="AI669" s="17">
        <v>0</v>
      </c>
      <c r="AJ669" s="17">
        <v>0</v>
      </c>
      <c r="AK669" s="17">
        <v>0</v>
      </c>
      <c r="AL669" s="17">
        <v>0</v>
      </c>
      <c r="AM669" s="17">
        <v>0</v>
      </c>
      <c r="AN669" s="17">
        <v>0</v>
      </c>
      <c r="AO669" s="17">
        <v>0</v>
      </c>
      <c r="AP669" s="17">
        <v>0</v>
      </c>
      <c r="AQ669" s="17">
        <v>0</v>
      </c>
      <c r="AR669" s="17">
        <v>0</v>
      </c>
      <c r="AS669" s="17">
        <v>0</v>
      </c>
      <c r="AT669" s="17">
        <v>0</v>
      </c>
      <c r="AU669" s="17">
        <v>0</v>
      </c>
      <c r="AV669" s="17">
        <v>0</v>
      </c>
      <c r="AW669" s="17">
        <v>0</v>
      </c>
      <c r="AX669" s="17">
        <v>0</v>
      </c>
      <c r="AY669" s="17">
        <v>0</v>
      </c>
      <c r="AZ669" s="17">
        <v>0</v>
      </c>
      <c r="BA669" s="17">
        <v>0</v>
      </c>
      <c r="BB669" s="17">
        <v>0</v>
      </c>
      <c r="BC669" s="17">
        <v>0</v>
      </c>
      <c r="BD669" s="17">
        <v>0</v>
      </c>
      <c r="BE669" s="17">
        <v>0</v>
      </c>
      <c r="BF669" s="17">
        <v>0</v>
      </c>
      <c r="BG669" s="17">
        <v>0</v>
      </c>
      <c r="BH669" s="17">
        <v>0</v>
      </c>
      <c r="BI669" s="22">
        <f t="shared" ref="BI669:BI675" si="191">SUM(K669+L669+M669+P669+R669+T669+V669+W669+Y669+Z669+AB669+AC669+AE669+AG669+AH669+AI669+AJ669+AK669+AL669+AN669+AO669+AR669+AS669+AU669+AV669+AW669+AZ669+BA669+BB669+BC669+BE669+BG669)</f>
        <v>2</v>
      </c>
      <c r="BJ669" s="22">
        <f t="shared" ref="BJ669:BJ675" si="192">SUM(N669+O669+Q669+S669+U669+X669+AA669+AD669+AF669+AM669+AP669+AQ669+AT669+AX669+AY669+BD669+BF669+BH669)</f>
        <v>9</v>
      </c>
      <c r="BK669" s="22">
        <f t="shared" ref="BK669:BK675" si="193">SUM(I669:BH669)</f>
        <v>20</v>
      </c>
      <c r="BL669" s="22">
        <f t="shared" ref="BL669:BL675" si="194">SUM(I669+K669+L669+M669+P669+R669+T669+V669+W669+Y669+Z669+AB669+AC669+AE669+AG669+AH669+AI669+AJ669+AK669+AL669+AN669+AO669+AR669+AS669+AU669+AV669+AW669+AZ669+BA669+BB669+BC669+BG669+BE669)</f>
        <v>11</v>
      </c>
      <c r="BM669" s="22">
        <f t="shared" si="190"/>
        <v>9</v>
      </c>
      <c r="BN669" s="23">
        <f t="shared" si="189"/>
        <v>0.81818181818181823</v>
      </c>
      <c r="BO669" s="23">
        <f t="shared" si="189"/>
        <v>0</v>
      </c>
      <c r="BP669" s="7">
        <f>VLOOKUP(A669,[1]Sheet15!B:E,4,0)</f>
        <v>5</v>
      </c>
      <c r="BQ669" s="7">
        <f>VLOOKUP(A669,[1]Sheet15!B:E,3,0)</f>
        <v>0</v>
      </c>
    </row>
    <row r="670" spans="1:69" ht="22.5" customHeight="1" x14ac:dyDescent="0.25">
      <c r="A670" s="15" t="s">
        <v>1596</v>
      </c>
      <c r="B670" s="15" t="str">
        <f>VLOOKUP(A670,'[1]Master clients'!F649:W4196,17,0)</f>
        <v>Apr</v>
      </c>
      <c r="C670" s="15" t="str">
        <f>VLOOKUP(A670,'[1]Master clients'!F649:P4196,11,0)</f>
        <v>AV</v>
      </c>
      <c r="D670" s="15" t="str">
        <f>VLOOKUP(A670,'[1]Master clients'!F:M,8,0)</f>
        <v>Group (Mills)</v>
      </c>
      <c r="E670" s="16" t="s">
        <v>1597</v>
      </c>
      <c r="F670" s="16" t="s">
        <v>92</v>
      </c>
      <c r="G670" s="17">
        <v>10</v>
      </c>
      <c r="H670" s="17">
        <v>0</v>
      </c>
      <c r="I670" s="18">
        <v>10</v>
      </c>
      <c r="J670" s="18">
        <v>0</v>
      </c>
      <c r="K670" s="17">
        <v>0</v>
      </c>
      <c r="L670" s="17">
        <v>0</v>
      </c>
      <c r="M670" s="17">
        <v>3</v>
      </c>
      <c r="N670" s="17">
        <v>0</v>
      </c>
      <c r="O670" s="19">
        <v>0</v>
      </c>
      <c r="P670" s="19">
        <v>1</v>
      </c>
      <c r="Q670" s="19">
        <v>0</v>
      </c>
      <c r="R670" s="19">
        <v>0</v>
      </c>
      <c r="S670" s="19">
        <v>0</v>
      </c>
      <c r="T670" s="19">
        <v>5</v>
      </c>
      <c r="U670" s="19">
        <v>0</v>
      </c>
      <c r="V670" s="19">
        <v>0</v>
      </c>
      <c r="W670" s="20">
        <v>0</v>
      </c>
      <c r="X670" s="20">
        <v>0</v>
      </c>
      <c r="Y670" s="19">
        <v>0</v>
      </c>
      <c r="Z670" s="19">
        <v>0</v>
      </c>
      <c r="AA670" s="19">
        <v>0</v>
      </c>
      <c r="AB670" s="19">
        <v>0</v>
      </c>
      <c r="AC670" s="19">
        <v>0</v>
      </c>
      <c r="AD670" s="19">
        <v>0</v>
      </c>
      <c r="AE670" s="19">
        <v>1</v>
      </c>
      <c r="AF670" s="19">
        <v>0</v>
      </c>
      <c r="AG670" s="19">
        <v>0</v>
      </c>
      <c r="AH670" s="19">
        <v>0</v>
      </c>
      <c r="AI670" s="20">
        <v>0</v>
      </c>
      <c r="AJ670" s="20">
        <v>0</v>
      </c>
      <c r="AK670" s="19">
        <v>4</v>
      </c>
      <c r="AL670" s="20">
        <v>0</v>
      </c>
      <c r="AM670" s="19">
        <v>0</v>
      </c>
      <c r="AN670" s="19">
        <v>0</v>
      </c>
      <c r="AO670" s="19">
        <v>0</v>
      </c>
      <c r="AP670" s="19">
        <v>0</v>
      </c>
      <c r="AQ670" s="19">
        <v>0</v>
      </c>
      <c r="AR670" s="19">
        <v>0</v>
      </c>
      <c r="AS670" s="19">
        <v>0</v>
      </c>
      <c r="AT670" s="19">
        <v>0</v>
      </c>
      <c r="AU670" s="19">
        <v>0</v>
      </c>
      <c r="AV670" s="19">
        <v>0</v>
      </c>
      <c r="AW670" s="20">
        <v>0</v>
      </c>
      <c r="AX670" s="20">
        <v>0</v>
      </c>
      <c r="AY670" s="20">
        <v>0</v>
      </c>
      <c r="AZ670" s="19">
        <v>0</v>
      </c>
      <c r="BA670" s="19">
        <v>0</v>
      </c>
      <c r="BB670" s="19">
        <v>0</v>
      </c>
      <c r="BC670" s="19">
        <v>0</v>
      </c>
      <c r="BD670" s="19">
        <v>0</v>
      </c>
      <c r="BE670" s="21">
        <v>0</v>
      </c>
      <c r="BF670" s="21">
        <v>0</v>
      </c>
      <c r="BG670" s="19">
        <v>0</v>
      </c>
      <c r="BH670" s="19">
        <v>0</v>
      </c>
      <c r="BI670" s="22">
        <f t="shared" si="191"/>
        <v>14</v>
      </c>
      <c r="BJ670" s="22">
        <f t="shared" si="192"/>
        <v>0</v>
      </c>
      <c r="BK670" s="22">
        <f t="shared" si="193"/>
        <v>24</v>
      </c>
      <c r="BL670" s="22">
        <f t="shared" si="194"/>
        <v>24</v>
      </c>
      <c r="BM670" s="22">
        <f t="shared" si="190"/>
        <v>0</v>
      </c>
      <c r="BN670" s="23">
        <f t="shared" si="189"/>
        <v>0.41666666666666669</v>
      </c>
      <c r="BO670" s="23" t="e">
        <f t="shared" si="189"/>
        <v>#DIV/0!</v>
      </c>
      <c r="BP670" s="7">
        <f>VLOOKUP(A670,[1]Sheet15!B:E,4,0)</f>
        <v>6</v>
      </c>
      <c r="BQ670" s="7">
        <f>VLOOKUP(A670,[1]Sheet15!B:E,3,0)</f>
        <v>0</v>
      </c>
    </row>
    <row r="671" spans="1:69" ht="22.5" customHeight="1" x14ac:dyDescent="0.25">
      <c r="A671" s="15" t="s">
        <v>1598</v>
      </c>
      <c r="B671" s="15" t="str">
        <f>VLOOKUP(A671,'[1]Master clients'!F650:W4197,17,0)</f>
        <v>Apr</v>
      </c>
      <c r="C671" s="15" t="str">
        <f>VLOOKUP(A671,'[1]Master clients'!F650:P4197,11,0)</f>
        <v>AV</v>
      </c>
      <c r="D671" s="15" t="str">
        <f>VLOOKUP(A671,'[1]Master clients'!F:M,8,0)</f>
        <v>Group (Mills)</v>
      </c>
      <c r="E671" s="16" t="s">
        <v>1599</v>
      </c>
      <c r="F671" s="16" t="s">
        <v>92</v>
      </c>
      <c r="G671" s="17">
        <v>0</v>
      </c>
      <c r="H671" s="17">
        <v>0</v>
      </c>
      <c r="I671" s="18">
        <v>24</v>
      </c>
      <c r="J671" s="18">
        <v>2</v>
      </c>
      <c r="K671" s="17">
        <v>0</v>
      </c>
      <c r="L671" s="17">
        <v>0</v>
      </c>
      <c r="M671" s="17">
        <v>0</v>
      </c>
      <c r="N671" s="17">
        <v>0</v>
      </c>
      <c r="O671" s="19">
        <v>0</v>
      </c>
      <c r="P671" s="19">
        <v>0</v>
      </c>
      <c r="Q671" s="19">
        <v>8</v>
      </c>
      <c r="R671" s="19">
        <v>0</v>
      </c>
      <c r="S671" s="19">
        <v>0</v>
      </c>
      <c r="T671" s="19">
        <v>0</v>
      </c>
      <c r="U671" s="19">
        <v>0</v>
      </c>
      <c r="V671" s="19">
        <v>0</v>
      </c>
      <c r="W671" s="20">
        <v>0</v>
      </c>
      <c r="X671" s="20">
        <v>0</v>
      </c>
      <c r="Y671" s="19">
        <v>0</v>
      </c>
      <c r="Z671" s="19">
        <v>0</v>
      </c>
      <c r="AA671" s="19">
        <v>0</v>
      </c>
      <c r="AB671" s="19">
        <v>0</v>
      </c>
      <c r="AC671" s="19">
        <v>0</v>
      </c>
      <c r="AD671" s="19">
        <v>0</v>
      </c>
      <c r="AE671" s="19">
        <v>0</v>
      </c>
      <c r="AF671" s="19">
        <v>0</v>
      </c>
      <c r="AG671" s="19">
        <v>0</v>
      </c>
      <c r="AH671" s="19">
        <v>0</v>
      </c>
      <c r="AI671" s="20">
        <v>0</v>
      </c>
      <c r="AJ671" s="20">
        <v>0</v>
      </c>
      <c r="AK671" s="19">
        <v>0</v>
      </c>
      <c r="AL671" s="20">
        <v>0</v>
      </c>
      <c r="AM671" s="19">
        <v>0</v>
      </c>
      <c r="AN671" s="19">
        <v>0</v>
      </c>
      <c r="AO671" s="19">
        <v>0</v>
      </c>
      <c r="AP671" s="19">
        <v>0</v>
      </c>
      <c r="AQ671" s="19">
        <v>0</v>
      </c>
      <c r="AR671" s="19">
        <v>0</v>
      </c>
      <c r="AS671" s="19">
        <v>0</v>
      </c>
      <c r="AT671" s="19">
        <v>0</v>
      </c>
      <c r="AU671" s="19">
        <v>0</v>
      </c>
      <c r="AV671" s="19">
        <v>0</v>
      </c>
      <c r="AW671" s="20">
        <v>0</v>
      </c>
      <c r="AX671" s="20">
        <v>0</v>
      </c>
      <c r="AY671" s="20">
        <v>0</v>
      </c>
      <c r="AZ671" s="19">
        <v>0</v>
      </c>
      <c r="BA671" s="19">
        <v>0</v>
      </c>
      <c r="BB671" s="19">
        <v>0</v>
      </c>
      <c r="BC671" s="19">
        <v>0</v>
      </c>
      <c r="BD671" s="19">
        <v>0</v>
      </c>
      <c r="BE671" s="21">
        <v>0</v>
      </c>
      <c r="BF671" s="21">
        <v>0</v>
      </c>
      <c r="BG671" s="19">
        <v>0</v>
      </c>
      <c r="BH671" s="19">
        <v>0</v>
      </c>
      <c r="BI671" s="22">
        <f t="shared" si="191"/>
        <v>0</v>
      </c>
      <c r="BJ671" s="22">
        <f t="shared" si="192"/>
        <v>8</v>
      </c>
      <c r="BK671" s="22">
        <f t="shared" si="193"/>
        <v>34</v>
      </c>
      <c r="BL671" s="22">
        <f t="shared" si="194"/>
        <v>24</v>
      </c>
      <c r="BM671" s="22">
        <f t="shared" si="190"/>
        <v>10</v>
      </c>
      <c r="BN671" s="23">
        <f t="shared" si="189"/>
        <v>1</v>
      </c>
      <c r="BO671" s="23">
        <f t="shared" si="189"/>
        <v>0.2</v>
      </c>
      <c r="BP671" s="7">
        <f>VLOOKUP(A671,[1]Sheet15!B:E,4,0)</f>
        <v>5</v>
      </c>
      <c r="BQ671" s="7">
        <f>VLOOKUP(A671,[1]Sheet15!B:E,3,0)</f>
        <v>0</v>
      </c>
    </row>
    <row r="672" spans="1:69" ht="22.5" customHeight="1" x14ac:dyDescent="0.25">
      <c r="A672" s="15" t="s">
        <v>1600</v>
      </c>
      <c r="B672" s="15" t="str">
        <f>VLOOKUP(A672,'[1]Master clients'!F651:W4198,17,0)</f>
        <v>Apr</v>
      </c>
      <c r="C672" s="15" t="str">
        <f>VLOOKUP(A672,'[1]Master clients'!F651:P4198,11,0)</f>
        <v>AV</v>
      </c>
      <c r="D672" s="15" t="str">
        <f>VLOOKUP(A672,'[1]Master clients'!F:M,8,0)</f>
        <v>End User</v>
      </c>
      <c r="E672" s="24" t="s">
        <v>1601</v>
      </c>
      <c r="F672" s="25" t="s">
        <v>92</v>
      </c>
      <c r="G672" s="20">
        <v>9</v>
      </c>
      <c r="H672" s="20"/>
      <c r="I672" s="26">
        <v>5</v>
      </c>
      <c r="J672" s="26">
        <v>0</v>
      </c>
      <c r="K672" s="20">
        <v>4</v>
      </c>
      <c r="L672" s="20">
        <v>0</v>
      </c>
      <c r="M672" s="20">
        <v>0</v>
      </c>
      <c r="N672" s="20">
        <v>0</v>
      </c>
      <c r="O672" s="20">
        <v>0</v>
      </c>
      <c r="P672" s="20">
        <v>0</v>
      </c>
      <c r="Q672" s="20">
        <v>0</v>
      </c>
      <c r="R672" s="20">
        <v>0</v>
      </c>
      <c r="S672" s="20">
        <v>0</v>
      </c>
      <c r="T672" s="20">
        <v>0</v>
      </c>
      <c r="U672" s="20">
        <v>0</v>
      </c>
      <c r="V672" s="20">
        <v>6</v>
      </c>
      <c r="W672" s="20">
        <v>0</v>
      </c>
      <c r="X672" s="20">
        <v>0</v>
      </c>
      <c r="Y672" s="20">
        <v>0</v>
      </c>
      <c r="Z672" s="20">
        <v>0</v>
      </c>
      <c r="AA672" s="20">
        <v>0</v>
      </c>
      <c r="AB672" s="20">
        <v>0</v>
      </c>
      <c r="AC672" s="20">
        <v>0</v>
      </c>
      <c r="AD672" s="20">
        <v>0</v>
      </c>
      <c r="AE672" s="20">
        <v>0</v>
      </c>
      <c r="AF672" s="20">
        <v>0</v>
      </c>
      <c r="AG672" s="20">
        <v>2</v>
      </c>
      <c r="AH672" s="20">
        <v>0</v>
      </c>
      <c r="AI672" s="20">
        <v>0</v>
      </c>
      <c r="AJ672" s="20">
        <v>0</v>
      </c>
      <c r="AK672" s="20">
        <v>0</v>
      </c>
      <c r="AL672" s="20">
        <v>0</v>
      </c>
      <c r="AM672" s="20">
        <v>0</v>
      </c>
      <c r="AN672" s="20">
        <v>0</v>
      </c>
      <c r="AO672" s="20">
        <v>0</v>
      </c>
      <c r="AP672" s="20">
        <v>0</v>
      </c>
      <c r="AQ672" s="20">
        <v>0</v>
      </c>
      <c r="AR672" s="20">
        <v>0</v>
      </c>
      <c r="AS672" s="20">
        <v>0</v>
      </c>
      <c r="AT672" s="20">
        <v>0</v>
      </c>
      <c r="AU672" s="20">
        <v>0</v>
      </c>
      <c r="AV672" s="20">
        <v>0</v>
      </c>
      <c r="AW672" s="20">
        <v>0</v>
      </c>
      <c r="AX672" s="20">
        <v>0</v>
      </c>
      <c r="AY672" s="20">
        <v>0</v>
      </c>
      <c r="AZ672" s="20">
        <v>0</v>
      </c>
      <c r="BA672" s="20">
        <v>0</v>
      </c>
      <c r="BB672" s="27">
        <v>0</v>
      </c>
      <c r="BC672" s="20">
        <v>0</v>
      </c>
      <c r="BD672" s="20">
        <v>0</v>
      </c>
      <c r="BE672" s="21">
        <v>0</v>
      </c>
      <c r="BF672" s="21">
        <v>0</v>
      </c>
      <c r="BG672" s="20">
        <v>0</v>
      </c>
      <c r="BH672" s="20">
        <v>0</v>
      </c>
      <c r="BI672" s="22">
        <f t="shared" si="191"/>
        <v>12</v>
      </c>
      <c r="BJ672" s="22">
        <f t="shared" si="192"/>
        <v>0</v>
      </c>
      <c r="BK672" s="28">
        <f t="shared" si="193"/>
        <v>17</v>
      </c>
      <c r="BL672" s="22">
        <f t="shared" si="194"/>
        <v>17</v>
      </c>
      <c r="BM672" s="22">
        <f t="shared" si="190"/>
        <v>0</v>
      </c>
      <c r="BN672" s="23">
        <f t="shared" ref="BN672:BO687" si="195">I672/BL672</f>
        <v>0.29411764705882354</v>
      </c>
      <c r="BO672" s="23" t="e">
        <f t="shared" si="195"/>
        <v>#DIV/0!</v>
      </c>
      <c r="BP672" s="7" t="e">
        <f>VLOOKUP(A672,[1]Sheet15!B:E,4,0)</f>
        <v>#N/A</v>
      </c>
      <c r="BQ672" s="7" t="e">
        <f>VLOOKUP(A672,[1]Sheet15!B:E,3,0)</f>
        <v>#N/A</v>
      </c>
    </row>
    <row r="673" spans="1:69" ht="22.5" customHeight="1" x14ac:dyDescent="0.25">
      <c r="A673" s="15" t="s">
        <v>1602</v>
      </c>
      <c r="B673" s="15">
        <f>VLOOKUP(A673,'[1]Master clients'!F652:W4199,17,0)</f>
        <v>0</v>
      </c>
      <c r="C673" s="15" t="str">
        <f>VLOOKUP(A673,'[1]Master clients'!F652:P4199,11,0)</f>
        <v>NI</v>
      </c>
      <c r="D673" s="15" t="str">
        <f>VLOOKUP(A673,'[1]Master clients'!F:M,8,0)</f>
        <v>End User</v>
      </c>
      <c r="E673" s="24" t="s">
        <v>1603</v>
      </c>
      <c r="F673" s="25" t="s">
        <v>1604</v>
      </c>
      <c r="G673" s="20"/>
      <c r="H673" s="20"/>
      <c r="I673" s="26">
        <v>15</v>
      </c>
      <c r="J673" s="26">
        <v>0</v>
      </c>
      <c r="K673" s="20">
        <v>0</v>
      </c>
      <c r="L673" s="20">
        <v>0</v>
      </c>
      <c r="M673" s="20">
        <v>0</v>
      </c>
      <c r="N673" s="20">
        <v>0</v>
      </c>
      <c r="O673" s="20">
        <v>0</v>
      </c>
      <c r="P673" s="20">
        <v>0</v>
      </c>
      <c r="Q673" s="20">
        <v>0</v>
      </c>
      <c r="R673" s="20">
        <v>0</v>
      </c>
      <c r="S673" s="20">
        <v>0</v>
      </c>
      <c r="T673" s="20">
        <v>0</v>
      </c>
      <c r="U673" s="20">
        <v>0</v>
      </c>
      <c r="V673" s="20">
        <v>0</v>
      </c>
      <c r="W673" s="20">
        <v>0</v>
      </c>
      <c r="X673" s="20">
        <v>0</v>
      </c>
      <c r="Y673" s="20">
        <v>0</v>
      </c>
      <c r="Z673" s="20">
        <v>0</v>
      </c>
      <c r="AA673" s="20">
        <v>0</v>
      </c>
      <c r="AB673" s="20">
        <v>0</v>
      </c>
      <c r="AC673" s="20">
        <v>0</v>
      </c>
      <c r="AD673" s="20">
        <v>0</v>
      </c>
      <c r="AE673" s="20">
        <v>0</v>
      </c>
      <c r="AF673" s="20">
        <v>0</v>
      </c>
      <c r="AG673" s="20">
        <v>0</v>
      </c>
      <c r="AH673" s="20">
        <v>0</v>
      </c>
      <c r="AI673" s="20">
        <v>0</v>
      </c>
      <c r="AJ673" s="20">
        <v>0</v>
      </c>
      <c r="AK673" s="20">
        <v>0</v>
      </c>
      <c r="AL673" s="20">
        <v>0</v>
      </c>
      <c r="AM673" s="20">
        <v>0</v>
      </c>
      <c r="AN673" s="20">
        <v>0</v>
      </c>
      <c r="AO673" s="20">
        <v>0</v>
      </c>
      <c r="AP673" s="20">
        <v>0</v>
      </c>
      <c r="AQ673" s="20">
        <v>0</v>
      </c>
      <c r="AR673" s="20">
        <v>0</v>
      </c>
      <c r="AS673" s="20">
        <v>0</v>
      </c>
      <c r="AT673" s="20">
        <v>0</v>
      </c>
      <c r="AU673" s="20">
        <v>0</v>
      </c>
      <c r="AV673" s="20">
        <v>0</v>
      </c>
      <c r="AW673" s="20">
        <v>0</v>
      </c>
      <c r="AX673" s="20">
        <v>0</v>
      </c>
      <c r="AY673" s="20">
        <v>0</v>
      </c>
      <c r="AZ673" s="20">
        <v>0</v>
      </c>
      <c r="BA673" s="20">
        <v>0</v>
      </c>
      <c r="BB673" s="27">
        <v>0</v>
      </c>
      <c r="BC673" s="20">
        <v>0</v>
      </c>
      <c r="BD673" s="20">
        <v>0</v>
      </c>
      <c r="BE673" s="21">
        <v>0</v>
      </c>
      <c r="BF673" s="21">
        <v>0</v>
      </c>
      <c r="BG673" s="20">
        <v>0</v>
      </c>
      <c r="BH673" s="20">
        <v>0</v>
      </c>
      <c r="BI673" s="22">
        <f t="shared" si="191"/>
        <v>0</v>
      </c>
      <c r="BJ673" s="22">
        <f t="shared" si="192"/>
        <v>0</v>
      </c>
      <c r="BK673" s="28">
        <f t="shared" si="193"/>
        <v>15</v>
      </c>
      <c r="BL673" s="22">
        <f t="shared" si="194"/>
        <v>15</v>
      </c>
      <c r="BM673" s="22">
        <f t="shared" si="190"/>
        <v>0</v>
      </c>
      <c r="BN673" s="23">
        <f t="shared" si="195"/>
        <v>1</v>
      </c>
      <c r="BO673" s="23" t="e">
        <f t="shared" si="195"/>
        <v>#DIV/0!</v>
      </c>
      <c r="BP673" s="7">
        <f>VLOOKUP(A673,[1]Sheet15!B:E,4,0)</f>
        <v>30</v>
      </c>
      <c r="BQ673" s="7">
        <f>VLOOKUP(A673,[1]Sheet15!B:E,3,0)</f>
        <v>0</v>
      </c>
    </row>
    <row r="674" spans="1:69" ht="22.5" customHeight="1" x14ac:dyDescent="0.25">
      <c r="A674" s="15" t="s">
        <v>1605</v>
      </c>
      <c r="B674" s="15" t="e">
        <f>VLOOKUP(A674,'[1]Master clients'!F653:W4200,17,0)</f>
        <v>#N/A</v>
      </c>
      <c r="C674" s="15" t="e">
        <f>VLOOKUP(A674,'[1]Master clients'!F653:P4200,11,0)</f>
        <v>#N/A</v>
      </c>
      <c r="D674" s="15" t="str">
        <f>VLOOKUP(A674,'[1]Master clients'!F:M,8,0)</f>
        <v>End User</v>
      </c>
      <c r="E674" s="16" t="s">
        <v>1606</v>
      </c>
      <c r="F674" s="16" t="s">
        <v>1607</v>
      </c>
      <c r="G674" s="17"/>
      <c r="H674" s="17"/>
      <c r="I674" s="26">
        <v>6</v>
      </c>
      <c r="J674" s="31">
        <v>0</v>
      </c>
      <c r="K674" s="17">
        <v>0</v>
      </c>
      <c r="L674" s="17">
        <v>0</v>
      </c>
      <c r="M674" s="17">
        <v>0</v>
      </c>
      <c r="N674" s="17">
        <v>0</v>
      </c>
      <c r="O674" s="17">
        <v>0</v>
      </c>
      <c r="P674" s="17">
        <v>0</v>
      </c>
      <c r="Q674" s="17">
        <v>0</v>
      </c>
      <c r="R674" s="17">
        <v>0</v>
      </c>
      <c r="S674" s="17">
        <v>0</v>
      </c>
      <c r="T674" s="17">
        <v>0</v>
      </c>
      <c r="U674" s="17">
        <v>0</v>
      </c>
      <c r="V674" s="17">
        <v>0</v>
      </c>
      <c r="W674" s="17">
        <v>0</v>
      </c>
      <c r="X674" s="17">
        <v>0</v>
      </c>
      <c r="Y674" s="17">
        <v>0</v>
      </c>
      <c r="Z674" s="17">
        <v>0</v>
      </c>
      <c r="AA674" s="17">
        <v>0</v>
      </c>
      <c r="AB674" s="17">
        <v>0</v>
      </c>
      <c r="AC674" s="17">
        <v>0</v>
      </c>
      <c r="AD674" s="17">
        <v>0</v>
      </c>
      <c r="AE674" s="17">
        <v>0</v>
      </c>
      <c r="AF674" s="17">
        <v>0</v>
      </c>
      <c r="AG674" s="17">
        <v>0</v>
      </c>
      <c r="AH674" s="17">
        <v>0</v>
      </c>
      <c r="AI674" s="17">
        <v>0</v>
      </c>
      <c r="AJ674" s="17">
        <v>0</v>
      </c>
      <c r="AK674" s="17">
        <v>0</v>
      </c>
      <c r="AL674" s="17">
        <v>0</v>
      </c>
      <c r="AM674" s="17">
        <v>0</v>
      </c>
      <c r="AN674" s="17">
        <v>0</v>
      </c>
      <c r="AO674" s="17">
        <v>0</v>
      </c>
      <c r="AP674" s="17">
        <v>0</v>
      </c>
      <c r="AQ674" s="17">
        <v>0</v>
      </c>
      <c r="AR674" s="17">
        <v>0</v>
      </c>
      <c r="AS674" s="17">
        <v>0</v>
      </c>
      <c r="AT674" s="17">
        <v>0</v>
      </c>
      <c r="AU674" s="17">
        <v>0</v>
      </c>
      <c r="AV674" s="17">
        <v>0</v>
      </c>
      <c r="AW674" s="17">
        <v>0</v>
      </c>
      <c r="AX674" s="17">
        <v>0</v>
      </c>
      <c r="AY674" s="17">
        <v>0</v>
      </c>
      <c r="AZ674" s="17">
        <v>0</v>
      </c>
      <c r="BA674" s="17">
        <v>0</v>
      </c>
      <c r="BB674" s="17">
        <v>0</v>
      </c>
      <c r="BC674" s="17">
        <v>0</v>
      </c>
      <c r="BD674" s="17">
        <v>0</v>
      </c>
      <c r="BE674" s="17">
        <v>0</v>
      </c>
      <c r="BF674" s="17">
        <v>0</v>
      </c>
      <c r="BG674" s="17">
        <v>0</v>
      </c>
      <c r="BH674" s="17">
        <v>0</v>
      </c>
      <c r="BI674" s="22">
        <f t="shared" si="191"/>
        <v>0</v>
      </c>
      <c r="BJ674" s="22">
        <f t="shared" si="192"/>
        <v>0</v>
      </c>
      <c r="BK674" s="22">
        <f t="shared" si="193"/>
        <v>6</v>
      </c>
      <c r="BL674" s="22">
        <f t="shared" si="194"/>
        <v>6</v>
      </c>
      <c r="BM674" s="22">
        <f t="shared" si="190"/>
        <v>0</v>
      </c>
      <c r="BN674" s="23">
        <f t="shared" si="195"/>
        <v>1</v>
      </c>
      <c r="BO674" s="23" t="e">
        <f t="shared" si="195"/>
        <v>#DIV/0!</v>
      </c>
      <c r="BP674" s="7">
        <f>VLOOKUP(A674,[1]Sheet15!B:E,4,0)</f>
        <v>6</v>
      </c>
      <c r="BQ674" s="7">
        <f>VLOOKUP(A674,[1]Sheet15!B:E,3,0)</f>
        <v>0</v>
      </c>
    </row>
    <row r="675" spans="1:69" ht="22.5" customHeight="1" x14ac:dyDescent="0.25">
      <c r="A675" s="15" t="s">
        <v>1608</v>
      </c>
      <c r="B675" s="15">
        <f>VLOOKUP(A675,'[1]Master clients'!F654:W4201,17,0)</f>
        <v>0</v>
      </c>
      <c r="C675" s="15" t="str">
        <f>VLOOKUP(A675,'[1]Master clients'!F654:P4201,11,0)</f>
        <v>NI</v>
      </c>
      <c r="D675" s="15" t="str">
        <f>VLOOKUP(A675,'[1]Master clients'!F:M,8,0)</f>
        <v>End User</v>
      </c>
      <c r="E675" s="16" t="s">
        <v>1609</v>
      </c>
      <c r="F675" s="16" t="s">
        <v>1607</v>
      </c>
      <c r="G675" s="17"/>
      <c r="H675" s="17"/>
      <c r="I675" s="26">
        <v>1</v>
      </c>
      <c r="J675" s="31">
        <v>0</v>
      </c>
      <c r="K675" s="17">
        <v>0</v>
      </c>
      <c r="L675" s="17">
        <v>0</v>
      </c>
      <c r="M675" s="17">
        <v>0</v>
      </c>
      <c r="N675" s="17">
        <v>0</v>
      </c>
      <c r="O675" s="17">
        <v>0</v>
      </c>
      <c r="P675" s="17">
        <v>0</v>
      </c>
      <c r="Q675" s="17">
        <v>0</v>
      </c>
      <c r="R675" s="17">
        <v>0</v>
      </c>
      <c r="S675" s="17">
        <v>0</v>
      </c>
      <c r="T675" s="17">
        <v>0</v>
      </c>
      <c r="U675" s="17">
        <v>0</v>
      </c>
      <c r="V675" s="17">
        <v>0</v>
      </c>
      <c r="W675" s="17">
        <v>0</v>
      </c>
      <c r="X675" s="17">
        <v>0</v>
      </c>
      <c r="Y675" s="17">
        <v>0</v>
      </c>
      <c r="Z675" s="17">
        <v>0</v>
      </c>
      <c r="AA675" s="17">
        <v>0</v>
      </c>
      <c r="AB675" s="17">
        <v>0</v>
      </c>
      <c r="AC675" s="17">
        <v>0</v>
      </c>
      <c r="AD675" s="17">
        <v>0</v>
      </c>
      <c r="AE675" s="17">
        <v>0</v>
      </c>
      <c r="AF675" s="17">
        <v>0</v>
      </c>
      <c r="AG675" s="17">
        <v>0</v>
      </c>
      <c r="AH675" s="17">
        <v>0</v>
      </c>
      <c r="AI675" s="17">
        <v>0</v>
      </c>
      <c r="AJ675" s="17">
        <v>0</v>
      </c>
      <c r="AK675" s="17">
        <v>0</v>
      </c>
      <c r="AL675" s="17">
        <v>0</v>
      </c>
      <c r="AM675" s="17">
        <v>0</v>
      </c>
      <c r="AN675" s="17">
        <v>0</v>
      </c>
      <c r="AO675" s="17">
        <v>0</v>
      </c>
      <c r="AP675" s="17">
        <v>0</v>
      </c>
      <c r="AQ675" s="17">
        <v>0</v>
      </c>
      <c r="AR675" s="17">
        <v>0</v>
      </c>
      <c r="AS675" s="17">
        <v>0</v>
      </c>
      <c r="AT675" s="17">
        <v>0</v>
      </c>
      <c r="AU675" s="17">
        <v>0</v>
      </c>
      <c r="AV675" s="17">
        <v>0</v>
      </c>
      <c r="AW675" s="17">
        <v>0</v>
      </c>
      <c r="AX675" s="17">
        <v>0</v>
      </c>
      <c r="AY675" s="17">
        <v>0</v>
      </c>
      <c r="AZ675" s="17">
        <v>0</v>
      </c>
      <c r="BA675" s="17">
        <v>0</v>
      </c>
      <c r="BB675" s="17">
        <v>0</v>
      </c>
      <c r="BC675" s="17">
        <v>0</v>
      </c>
      <c r="BD675" s="17">
        <v>0</v>
      </c>
      <c r="BE675" s="17">
        <v>0</v>
      </c>
      <c r="BF675" s="17">
        <v>0</v>
      </c>
      <c r="BG675" s="17">
        <v>0</v>
      </c>
      <c r="BH675" s="17">
        <v>0</v>
      </c>
      <c r="BI675" s="22">
        <f t="shared" si="191"/>
        <v>0</v>
      </c>
      <c r="BJ675" s="22">
        <f t="shared" si="192"/>
        <v>0</v>
      </c>
      <c r="BK675" s="28">
        <f t="shared" si="193"/>
        <v>1</v>
      </c>
      <c r="BL675" s="22">
        <f t="shared" si="194"/>
        <v>1</v>
      </c>
      <c r="BM675" s="22">
        <f t="shared" si="190"/>
        <v>0</v>
      </c>
      <c r="BN675" s="23">
        <f t="shared" si="195"/>
        <v>1</v>
      </c>
      <c r="BO675" s="23" t="e">
        <f t="shared" si="195"/>
        <v>#DIV/0!</v>
      </c>
      <c r="BP675" s="7">
        <f>VLOOKUP(A675,[1]Sheet15!B:E,4,0)</f>
        <v>1</v>
      </c>
      <c r="BQ675" s="7">
        <f>VLOOKUP(A675,[1]Sheet15!B:E,3,0)</f>
        <v>0</v>
      </c>
    </row>
    <row r="676" spans="1:69" ht="22.5" customHeight="1" x14ac:dyDescent="0.25">
      <c r="A676" s="15" t="s">
        <v>1610</v>
      </c>
      <c r="B676" s="15" t="e">
        <f>VLOOKUP(A676,'[1]Master clients'!F655:W4202,17,0)</f>
        <v>#N/A</v>
      </c>
      <c r="C676" s="15" t="e">
        <f>VLOOKUP(A676,'[1]Master clients'!F655:P4202,11,0)</f>
        <v>#N/A</v>
      </c>
      <c r="D676" s="15" t="str">
        <f>VLOOKUP(A676,'[1]Master clients'!F:M,8,0)</f>
        <v>End User</v>
      </c>
      <c r="E676" s="16" t="s">
        <v>1611</v>
      </c>
      <c r="F676" s="16" t="s">
        <v>1612</v>
      </c>
      <c r="G676" s="17"/>
      <c r="H676" s="17"/>
      <c r="I676" s="26">
        <v>14</v>
      </c>
      <c r="J676" s="31">
        <v>0</v>
      </c>
      <c r="K676" s="17">
        <v>0</v>
      </c>
      <c r="L676" s="17">
        <v>0</v>
      </c>
      <c r="M676" s="17">
        <v>0</v>
      </c>
      <c r="N676" s="17">
        <v>0</v>
      </c>
      <c r="O676" s="17">
        <v>0</v>
      </c>
      <c r="P676" s="17">
        <v>0</v>
      </c>
      <c r="Q676" s="17">
        <v>0</v>
      </c>
      <c r="R676" s="17">
        <v>0</v>
      </c>
      <c r="S676" s="17">
        <v>0</v>
      </c>
      <c r="T676" s="17">
        <v>0</v>
      </c>
      <c r="U676" s="17">
        <v>0</v>
      </c>
      <c r="V676" s="17">
        <v>0</v>
      </c>
      <c r="W676" s="17">
        <v>0</v>
      </c>
      <c r="X676" s="17">
        <v>0</v>
      </c>
      <c r="Y676" s="17">
        <v>0</v>
      </c>
      <c r="Z676" s="17">
        <v>0</v>
      </c>
      <c r="AA676" s="17">
        <v>0</v>
      </c>
      <c r="AB676" s="17">
        <v>0</v>
      </c>
      <c r="AC676" s="17">
        <v>0</v>
      </c>
      <c r="AD676" s="17">
        <v>0</v>
      </c>
      <c r="AE676" s="17">
        <v>0</v>
      </c>
      <c r="AF676" s="17">
        <v>0</v>
      </c>
      <c r="AG676" s="17">
        <v>0</v>
      </c>
      <c r="AH676" s="17">
        <v>0</v>
      </c>
      <c r="AI676" s="17">
        <v>0</v>
      </c>
      <c r="AJ676" s="17">
        <v>0</v>
      </c>
      <c r="AK676" s="17">
        <v>0</v>
      </c>
      <c r="AL676" s="17">
        <v>0</v>
      </c>
      <c r="AM676" s="17">
        <v>0</v>
      </c>
      <c r="AN676" s="17">
        <v>0</v>
      </c>
      <c r="AO676" s="17">
        <v>0</v>
      </c>
      <c r="AP676" s="17">
        <v>0</v>
      </c>
      <c r="AQ676" s="17">
        <v>0</v>
      </c>
      <c r="AR676" s="17">
        <v>0</v>
      </c>
      <c r="AS676" s="17">
        <v>0</v>
      </c>
      <c r="AT676" s="17">
        <v>0</v>
      </c>
      <c r="AU676" s="17">
        <v>0</v>
      </c>
      <c r="AV676" s="17">
        <v>0</v>
      </c>
      <c r="AW676" s="17">
        <v>0</v>
      </c>
      <c r="AX676" s="17">
        <v>0</v>
      </c>
      <c r="AY676" s="17">
        <v>0</v>
      </c>
      <c r="AZ676" s="17">
        <v>0</v>
      </c>
      <c r="BA676" s="17">
        <v>0</v>
      </c>
      <c r="BB676" s="17">
        <v>0</v>
      </c>
      <c r="BC676" s="17">
        <v>0</v>
      </c>
      <c r="BD676" s="17">
        <v>0</v>
      </c>
      <c r="BE676" s="17">
        <v>0</v>
      </c>
      <c r="BF676" s="17">
        <v>0</v>
      </c>
      <c r="BG676" s="17">
        <v>0</v>
      </c>
      <c r="BH676" s="17">
        <v>0</v>
      </c>
      <c r="BI676" s="22">
        <f>SUM(M676+N676+P676+R676+T676+W676+Z676+AC676+AE676+AL676+AO676+AP676+AS676+AW676+AX676+BC676+BE676+BG676)</f>
        <v>0</v>
      </c>
      <c r="BJ676" s="22">
        <f>SUM(H676:BG676)</f>
        <v>14</v>
      </c>
      <c r="BK676" s="22">
        <f>SUM(H676+J676+K676+L676+O676+Q676+S676+U676+V676+X676+Y676+AA676+AB676+AD676+AF676+AG676+AH676+AI676+AJ676+AK676+AM676+AN676+AQ676+AR676+AT676+AU676+AV676+AY676+AZ676+BA676+BB676+BF676+BD676)</f>
        <v>0</v>
      </c>
      <c r="BL676" s="22">
        <f t="shared" ref="BL676:BM685" si="196">SUM(I676+M676+N676+P676+R676+T676+W676+Z676+AC676+AE676+AL676+AO676+AP676+AS676+AW676+AX676+BC676+BG676)</f>
        <v>14</v>
      </c>
      <c r="BM676" s="22">
        <f t="shared" si="196"/>
        <v>0</v>
      </c>
      <c r="BN676" s="23">
        <f t="shared" si="195"/>
        <v>1</v>
      </c>
      <c r="BO676" s="23" t="e">
        <f t="shared" si="195"/>
        <v>#DIV/0!</v>
      </c>
      <c r="BP676" s="7">
        <f>VLOOKUP(A676,[1]Sheet15!B:E,4,0)</f>
        <v>14</v>
      </c>
      <c r="BQ676" s="7">
        <f>VLOOKUP(A676,[1]Sheet15!B:E,3,0)</f>
        <v>0</v>
      </c>
    </row>
    <row r="677" spans="1:69" ht="22.5" customHeight="1" x14ac:dyDescent="0.25">
      <c r="A677" s="15" t="s">
        <v>1613</v>
      </c>
      <c r="B677" s="15" t="e">
        <f>VLOOKUP(A677,'[1]Master clients'!F656:W4203,17,0)</f>
        <v>#N/A</v>
      </c>
      <c r="C677" s="15" t="e">
        <f>VLOOKUP(A677,'[1]Master clients'!F656:P4203,11,0)</f>
        <v>#N/A</v>
      </c>
      <c r="D677" s="15" t="str">
        <f>VLOOKUP(A677,'[1]Master clients'!F:M,8,0)</f>
        <v>End User</v>
      </c>
      <c r="E677" s="16" t="s">
        <v>1614</v>
      </c>
      <c r="F677" s="16" t="s">
        <v>1612</v>
      </c>
      <c r="G677" s="17"/>
      <c r="H677" s="17"/>
      <c r="I677" s="26">
        <v>14</v>
      </c>
      <c r="J677" s="31">
        <v>0</v>
      </c>
      <c r="K677" s="17">
        <v>0</v>
      </c>
      <c r="L677" s="17">
        <v>0</v>
      </c>
      <c r="M677" s="17">
        <v>0</v>
      </c>
      <c r="N677" s="17">
        <v>0</v>
      </c>
      <c r="O677" s="17">
        <v>0</v>
      </c>
      <c r="P677" s="17">
        <v>0</v>
      </c>
      <c r="Q677" s="17">
        <v>0</v>
      </c>
      <c r="R677" s="17">
        <v>0</v>
      </c>
      <c r="S677" s="17">
        <v>0</v>
      </c>
      <c r="T677" s="17">
        <v>0</v>
      </c>
      <c r="U677" s="17">
        <v>0</v>
      </c>
      <c r="V677" s="17">
        <v>0</v>
      </c>
      <c r="W677" s="17">
        <v>0</v>
      </c>
      <c r="X677" s="17">
        <v>0</v>
      </c>
      <c r="Y677" s="17">
        <v>0</v>
      </c>
      <c r="Z677" s="17">
        <v>0</v>
      </c>
      <c r="AA677" s="17">
        <v>0</v>
      </c>
      <c r="AB677" s="17">
        <v>0</v>
      </c>
      <c r="AC677" s="17">
        <v>0</v>
      </c>
      <c r="AD677" s="17">
        <v>0</v>
      </c>
      <c r="AE677" s="17">
        <v>0</v>
      </c>
      <c r="AF677" s="17">
        <v>0</v>
      </c>
      <c r="AG677" s="17">
        <v>0</v>
      </c>
      <c r="AH677" s="17">
        <v>0</v>
      </c>
      <c r="AI677" s="17">
        <v>0</v>
      </c>
      <c r="AJ677" s="17">
        <v>0</v>
      </c>
      <c r="AK677" s="17">
        <v>0</v>
      </c>
      <c r="AL677" s="17">
        <v>0</v>
      </c>
      <c r="AM677" s="17">
        <v>0</v>
      </c>
      <c r="AN677" s="17">
        <v>0</v>
      </c>
      <c r="AO677" s="17">
        <v>0</v>
      </c>
      <c r="AP677" s="17">
        <v>0</v>
      </c>
      <c r="AQ677" s="17">
        <v>0</v>
      </c>
      <c r="AR677" s="17">
        <v>0</v>
      </c>
      <c r="AS677" s="17">
        <v>0</v>
      </c>
      <c r="AT677" s="17">
        <v>0</v>
      </c>
      <c r="AU677" s="17">
        <v>0</v>
      </c>
      <c r="AV677" s="17">
        <v>0</v>
      </c>
      <c r="AW677" s="17">
        <v>0</v>
      </c>
      <c r="AX677" s="17">
        <v>0</v>
      </c>
      <c r="AY677" s="17">
        <v>0</v>
      </c>
      <c r="AZ677" s="17">
        <v>0</v>
      </c>
      <c r="BA677" s="17">
        <v>0</v>
      </c>
      <c r="BB677" s="17">
        <v>0</v>
      </c>
      <c r="BC677" s="17">
        <v>0</v>
      </c>
      <c r="BD677" s="17">
        <v>0</v>
      </c>
      <c r="BE677" s="17">
        <v>0</v>
      </c>
      <c r="BF677" s="17">
        <v>0</v>
      </c>
      <c r="BG677" s="17">
        <v>0</v>
      </c>
      <c r="BH677" s="17">
        <v>0</v>
      </c>
      <c r="BI677" s="22">
        <f t="shared" ref="BI677:BI685" si="197">SUM(K677+L677+M677+P677+R677+T677+V677+W677+Y677+Z677+AB677+AC677+AE677+AG677+AH677+AI677+AJ677+AK677+AL677+AN677+AO677+AR677+AS677+AU677+AV677+AW677+AZ677+BA677+BB677+BC677+BE677+BG677)</f>
        <v>0</v>
      </c>
      <c r="BJ677" s="22">
        <f t="shared" ref="BJ677:BJ685" si="198">SUM(N677+O677+Q677+S677+U677+X677+AA677+AD677+AF677+AM677+AP677+AQ677+AT677+AX677+AY677+BD677+BF677+BH677)</f>
        <v>0</v>
      </c>
      <c r="BK677" s="28">
        <f t="shared" ref="BK677:BK685" si="199">SUM(I677:BH677)</f>
        <v>14</v>
      </c>
      <c r="BL677" s="22">
        <f t="shared" ref="BL677:BL685" si="200">SUM(I677+K677+L677+M677+P677+R677+T677+V677+W677+Y677+Z677+AB677+AC677+AE677+AG677+AH677+AI677+AJ677+AK677+AL677+AN677+AO677+AR677+AS677+AU677+AV677+AW677+AZ677+BA677+BB677+BC677+BG677+BE677)</f>
        <v>14</v>
      </c>
      <c r="BM677" s="22">
        <f t="shared" si="196"/>
        <v>0</v>
      </c>
      <c r="BN677" s="23">
        <f t="shared" si="195"/>
        <v>1</v>
      </c>
      <c r="BO677" s="23" t="e">
        <f t="shared" si="195"/>
        <v>#DIV/0!</v>
      </c>
      <c r="BP677" s="7">
        <f>VLOOKUP(A677,[1]Sheet15!B:E,4,0)</f>
        <v>14</v>
      </c>
      <c r="BQ677" s="7">
        <f>VLOOKUP(A677,[1]Sheet15!B:E,3,0)</f>
        <v>0</v>
      </c>
    </row>
    <row r="678" spans="1:69" ht="22.5" customHeight="1" x14ac:dyDescent="0.25">
      <c r="A678" s="15" t="s">
        <v>1615</v>
      </c>
      <c r="B678" s="15" t="e">
        <f>VLOOKUP(A678,'[1]Master clients'!F657:W4204,17,0)</f>
        <v>#N/A</v>
      </c>
      <c r="C678" s="15" t="e">
        <f>VLOOKUP(A678,'[1]Master clients'!F657:P4204,11,0)</f>
        <v>#N/A</v>
      </c>
      <c r="D678" s="15" t="str">
        <f>VLOOKUP(A678,'[1]Master clients'!F:M,8,0)</f>
        <v>End User</v>
      </c>
      <c r="E678" s="16" t="s">
        <v>1616</v>
      </c>
      <c r="F678" s="16" t="s">
        <v>1617</v>
      </c>
      <c r="G678" s="17"/>
      <c r="H678" s="17"/>
      <c r="I678" s="18">
        <v>6</v>
      </c>
      <c r="J678" s="18">
        <v>0</v>
      </c>
      <c r="K678" s="17">
        <v>0</v>
      </c>
      <c r="L678" s="17">
        <v>12</v>
      </c>
      <c r="M678" s="17">
        <v>0</v>
      </c>
      <c r="N678" s="17">
        <v>0</v>
      </c>
      <c r="O678" s="19">
        <v>2</v>
      </c>
      <c r="P678" s="19">
        <v>0</v>
      </c>
      <c r="Q678" s="19">
        <v>0</v>
      </c>
      <c r="R678" s="19">
        <v>0</v>
      </c>
      <c r="S678" s="19">
        <v>0</v>
      </c>
      <c r="T678" s="19">
        <v>0</v>
      </c>
      <c r="U678" s="19">
        <v>0</v>
      </c>
      <c r="V678" s="19">
        <v>0</v>
      </c>
      <c r="W678" s="20">
        <v>0</v>
      </c>
      <c r="X678" s="20">
        <v>0</v>
      </c>
      <c r="Y678" s="19">
        <v>0</v>
      </c>
      <c r="Z678" s="19">
        <v>0</v>
      </c>
      <c r="AA678" s="19">
        <v>0</v>
      </c>
      <c r="AB678" s="19">
        <v>0</v>
      </c>
      <c r="AC678" s="19">
        <v>0</v>
      </c>
      <c r="AD678" s="19">
        <v>0</v>
      </c>
      <c r="AE678" s="19">
        <v>0</v>
      </c>
      <c r="AF678" s="19">
        <v>0</v>
      </c>
      <c r="AG678" s="19">
        <v>0</v>
      </c>
      <c r="AH678" s="19">
        <v>0</v>
      </c>
      <c r="AI678" s="20">
        <v>0</v>
      </c>
      <c r="AJ678" s="20">
        <v>0</v>
      </c>
      <c r="AK678" s="19">
        <v>0</v>
      </c>
      <c r="AL678" s="20">
        <v>0</v>
      </c>
      <c r="AM678" s="19">
        <v>0</v>
      </c>
      <c r="AN678" s="19">
        <v>0</v>
      </c>
      <c r="AO678" s="19">
        <v>0</v>
      </c>
      <c r="AP678" s="19">
        <v>0</v>
      </c>
      <c r="AQ678" s="19">
        <v>0</v>
      </c>
      <c r="AR678" s="19">
        <v>0</v>
      </c>
      <c r="AS678" s="19">
        <v>0</v>
      </c>
      <c r="AT678" s="19">
        <v>0</v>
      </c>
      <c r="AU678" s="19">
        <v>0</v>
      </c>
      <c r="AV678" s="19">
        <v>0</v>
      </c>
      <c r="AW678" s="20">
        <v>0</v>
      </c>
      <c r="AX678" s="20">
        <v>0</v>
      </c>
      <c r="AY678" s="20">
        <v>0</v>
      </c>
      <c r="AZ678" s="19">
        <v>0</v>
      </c>
      <c r="BA678" s="19">
        <v>0</v>
      </c>
      <c r="BB678" s="19">
        <v>0</v>
      </c>
      <c r="BC678" s="19">
        <v>0</v>
      </c>
      <c r="BD678" s="19">
        <v>0</v>
      </c>
      <c r="BE678" s="21">
        <v>0</v>
      </c>
      <c r="BF678" s="21">
        <v>0</v>
      </c>
      <c r="BG678" s="19">
        <v>0</v>
      </c>
      <c r="BH678" s="19">
        <v>0</v>
      </c>
      <c r="BI678" s="22">
        <f t="shared" si="197"/>
        <v>12</v>
      </c>
      <c r="BJ678" s="22">
        <f t="shared" si="198"/>
        <v>2</v>
      </c>
      <c r="BK678" s="22">
        <f t="shared" si="199"/>
        <v>20</v>
      </c>
      <c r="BL678" s="22">
        <f t="shared" si="200"/>
        <v>18</v>
      </c>
      <c r="BM678" s="22">
        <f t="shared" si="196"/>
        <v>2</v>
      </c>
      <c r="BN678" s="23">
        <f t="shared" si="195"/>
        <v>0.33333333333333331</v>
      </c>
      <c r="BO678" s="23">
        <f t="shared" si="195"/>
        <v>0</v>
      </c>
      <c r="BP678" s="7">
        <f>VLOOKUP(A678,[1]Sheet15!B:E,4,0)</f>
        <v>4</v>
      </c>
      <c r="BQ678" s="7">
        <f>VLOOKUP(A678,[1]Sheet15!B:E,3,0)</f>
        <v>0</v>
      </c>
    </row>
    <row r="679" spans="1:69" ht="22.5" customHeight="1" x14ac:dyDescent="0.25">
      <c r="A679" s="15" t="s">
        <v>1618</v>
      </c>
      <c r="B679" s="15" t="e">
        <f>VLOOKUP(A679,'[1]Master clients'!F658:W4205,17,0)</f>
        <v>#N/A</v>
      </c>
      <c r="C679" s="15" t="e">
        <f>VLOOKUP(A679,'[1]Master clients'!F658:P4205,11,0)</f>
        <v>#N/A</v>
      </c>
      <c r="D679" s="15" t="str">
        <f>VLOOKUP(A679,'[1]Master clients'!F:M,8,0)</f>
        <v>Group (Mills)</v>
      </c>
      <c r="E679" s="24" t="s">
        <v>1619</v>
      </c>
      <c r="F679" s="25" t="s">
        <v>1620</v>
      </c>
      <c r="G679" s="20">
        <v>33</v>
      </c>
      <c r="H679" s="20">
        <v>0</v>
      </c>
      <c r="I679" s="26">
        <v>28</v>
      </c>
      <c r="J679" s="26">
        <v>0</v>
      </c>
      <c r="K679" s="20">
        <v>0</v>
      </c>
      <c r="L679" s="20">
        <v>0</v>
      </c>
      <c r="M679" s="20">
        <v>0</v>
      </c>
      <c r="N679" s="20">
        <v>12</v>
      </c>
      <c r="O679" s="20">
        <v>0</v>
      </c>
      <c r="P679" s="20">
        <v>0</v>
      </c>
      <c r="Q679" s="20">
        <v>0</v>
      </c>
      <c r="R679" s="20">
        <v>0</v>
      </c>
      <c r="S679" s="20">
        <v>0</v>
      </c>
      <c r="T679" s="20">
        <v>0</v>
      </c>
      <c r="U679" s="20">
        <v>0</v>
      </c>
      <c r="V679" s="20">
        <v>0</v>
      </c>
      <c r="W679" s="20">
        <v>0</v>
      </c>
      <c r="X679" s="20">
        <v>0</v>
      </c>
      <c r="Y679" s="20">
        <v>0</v>
      </c>
      <c r="Z679" s="20">
        <v>0</v>
      </c>
      <c r="AA679" s="20">
        <v>0</v>
      </c>
      <c r="AB679" s="20">
        <v>0</v>
      </c>
      <c r="AC679" s="20">
        <v>0</v>
      </c>
      <c r="AD679" s="20">
        <v>0</v>
      </c>
      <c r="AE679" s="20">
        <v>0</v>
      </c>
      <c r="AF679" s="20">
        <v>0</v>
      </c>
      <c r="AG679" s="20">
        <v>0</v>
      </c>
      <c r="AH679" s="20">
        <v>0</v>
      </c>
      <c r="AI679" s="20">
        <v>0</v>
      </c>
      <c r="AJ679" s="20">
        <v>0</v>
      </c>
      <c r="AK679" s="20">
        <v>0</v>
      </c>
      <c r="AL679" s="20">
        <v>0</v>
      </c>
      <c r="AM679" s="20">
        <v>0</v>
      </c>
      <c r="AN679" s="20">
        <v>0</v>
      </c>
      <c r="AO679" s="20">
        <v>0</v>
      </c>
      <c r="AP679" s="20">
        <v>0</v>
      </c>
      <c r="AQ679" s="20">
        <v>0</v>
      </c>
      <c r="AR679" s="20">
        <v>0</v>
      </c>
      <c r="AS679" s="20">
        <v>0</v>
      </c>
      <c r="AT679" s="20">
        <v>0</v>
      </c>
      <c r="AU679" s="19">
        <v>0</v>
      </c>
      <c r="AV679" s="20">
        <v>0</v>
      </c>
      <c r="AW679" s="20">
        <v>0</v>
      </c>
      <c r="AX679" s="20">
        <v>0</v>
      </c>
      <c r="AY679" s="20">
        <v>0</v>
      </c>
      <c r="AZ679" s="20">
        <v>0</v>
      </c>
      <c r="BA679" s="19">
        <v>0</v>
      </c>
      <c r="BB679" s="27">
        <v>0</v>
      </c>
      <c r="BC679" s="19">
        <v>0</v>
      </c>
      <c r="BD679" s="19">
        <v>0</v>
      </c>
      <c r="BE679" s="21">
        <v>0</v>
      </c>
      <c r="BF679" s="21">
        <v>0</v>
      </c>
      <c r="BG679" s="19">
        <v>0</v>
      </c>
      <c r="BH679" s="19">
        <v>0</v>
      </c>
      <c r="BI679" s="22">
        <f t="shared" si="197"/>
        <v>0</v>
      </c>
      <c r="BJ679" s="22">
        <f t="shared" si="198"/>
        <v>12</v>
      </c>
      <c r="BK679" s="28">
        <f t="shared" si="199"/>
        <v>40</v>
      </c>
      <c r="BL679" s="22">
        <f t="shared" si="200"/>
        <v>28</v>
      </c>
      <c r="BM679" s="22">
        <f t="shared" si="196"/>
        <v>12</v>
      </c>
      <c r="BN679" s="23">
        <f t="shared" si="195"/>
        <v>1</v>
      </c>
      <c r="BO679" s="23">
        <f t="shared" si="195"/>
        <v>0</v>
      </c>
      <c r="BP679" s="7">
        <f>VLOOKUP(A679,[1]Sheet15!B:E,4,0)</f>
        <v>21</v>
      </c>
      <c r="BQ679" s="7">
        <f>VLOOKUP(A679,[1]Sheet15!B:E,3,0)</f>
        <v>0</v>
      </c>
    </row>
    <row r="680" spans="1:69" ht="22.5" customHeight="1" x14ac:dyDescent="0.25">
      <c r="A680" s="15" t="s">
        <v>1621</v>
      </c>
      <c r="B680" s="15" t="e">
        <f>VLOOKUP(A680,'[1]Master clients'!F659:W4206,17,0)</f>
        <v>#N/A</v>
      </c>
      <c r="C680" s="15" t="e">
        <f>VLOOKUP(A680,'[1]Master clients'!F659:P4206,11,0)</f>
        <v>#N/A</v>
      </c>
      <c r="D680" s="15" t="str">
        <f>VLOOKUP(A680,'[1]Master clients'!F:M,8,0)</f>
        <v>Group (Mills)</v>
      </c>
      <c r="E680" s="24" t="s">
        <v>1622</v>
      </c>
      <c r="F680" s="25" t="s">
        <v>1620</v>
      </c>
      <c r="G680" s="20">
        <v>0</v>
      </c>
      <c r="H680" s="20">
        <v>1</v>
      </c>
      <c r="I680" s="26">
        <v>1</v>
      </c>
      <c r="J680" s="26">
        <v>1</v>
      </c>
      <c r="K680" s="20">
        <v>0</v>
      </c>
      <c r="L680" s="20">
        <v>0</v>
      </c>
      <c r="M680" s="20">
        <v>0</v>
      </c>
      <c r="N680" s="20">
        <v>12</v>
      </c>
      <c r="O680" s="20">
        <v>0</v>
      </c>
      <c r="P680" s="20">
        <v>0</v>
      </c>
      <c r="Q680" s="20">
        <v>0</v>
      </c>
      <c r="R680" s="20">
        <v>0</v>
      </c>
      <c r="S680" s="20">
        <v>0</v>
      </c>
      <c r="T680" s="20">
        <v>0</v>
      </c>
      <c r="U680" s="20">
        <v>9</v>
      </c>
      <c r="V680" s="20">
        <v>0</v>
      </c>
      <c r="W680" s="20">
        <v>0</v>
      </c>
      <c r="X680" s="20">
        <v>0</v>
      </c>
      <c r="Y680" s="20">
        <v>0</v>
      </c>
      <c r="Z680" s="20">
        <v>0</v>
      </c>
      <c r="AA680" s="20">
        <v>0</v>
      </c>
      <c r="AB680" s="20">
        <v>0</v>
      </c>
      <c r="AC680" s="20">
        <v>0</v>
      </c>
      <c r="AD680" s="20">
        <v>0</v>
      </c>
      <c r="AE680" s="20">
        <v>0</v>
      </c>
      <c r="AF680" s="20">
        <v>0</v>
      </c>
      <c r="AG680" s="20">
        <v>0</v>
      </c>
      <c r="AH680" s="20">
        <v>0</v>
      </c>
      <c r="AI680" s="20">
        <v>0</v>
      </c>
      <c r="AJ680" s="20">
        <v>0</v>
      </c>
      <c r="AK680" s="20">
        <v>0</v>
      </c>
      <c r="AL680" s="20">
        <v>0</v>
      </c>
      <c r="AM680" s="20">
        <v>0</v>
      </c>
      <c r="AN680" s="20">
        <v>0</v>
      </c>
      <c r="AO680" s="20">
        <v>0</v>
      </c>
      <c r="AP680" s="20">
        <v>0</v>
      </c>
      <c r="AQ680" s="20">
        <v>0</v>
      </c>
      <c r="AR680" s="20">
        <v>0</v>
      </c>
      <c r="AS680" s="20">
        <v>0</v>
      </c>
      <c r="AT680" s="20">
        <v>0</v>
      </c>
      <c r="AU680" s="20">
        <v>0</v>
      </c>
      <c r="AV680" s="20">
        <v>0</v>
      </c>
      <c r="AW680" s="20">
        <v>0</v>
      </c>
      <c r="AX680" s="20">
        <v>0</v>
      </c>
      <c r="AY680" s="20">
        <v>0</v>
      </c>
      <c r="AZ680" s="20">
        <v>0</v>
      </c>
      <c r="BA680" s="20">
        <v>0</v>
      </c>
      <c r="BB680" s="27">
        <v>0</v>
      </c>
      <c r="BC680" s="20">
        <v>0</v>
      </c>
      <c r="BD680" s="20">
        <v>0</v>
      </c>
      <c r="BE680" s="21">
        <v>0</v>
      </c>
      <c r="BF680" s="21">
        <v>0</v>
      </c>
      <c r="BG680" s="20">
        <v>0</v>
      </c>
      <c r="BH680" s="20">
        <v>0</v>
      </c>
      <c r="BI680" s="22">
        <f t="shared" si="197"/>
        <v>0</v>
      </c>
      <c r="BJ680" s="22">
        <f t="shared" si="198"/>
        <v>21</v>
      </c>
      <c r="BK680" s="28">
        <f t="shared" si="199"/>
        <v>23</v>
      </c>
      <c r="BL680" s="22">
        <f t="shared" si="200"/>
        <v>1</v>
      </c>
      <c r="BM680" s="22">
        <f t="shared" si="196"/>
        <v>22</v>
      </c>
      <c r="BN680" s="23">
        <f t="shared" si="195"/>
        <v>1</v>
      </c>
      <c r="BO680" s="23">
        <f t="shared" si="195"/>
        <v>4.5454545454545456E-2</v>
      </c>
      <c r="BP680" s="7">
        <f>VLOOKUP(A680,[1]Sheet15!B:E,4,0)</f>
        <v>3</v>
      </c>
      <c r="BQ680" s="7">
        <f>VLOOKUP(A680,[1]Sheet15!B:E,3,0)</f>
        <v>1</v>
      </c>
    </row>
    <row r="681" spans="1:69" ht="22.5" customHeight="1" x14ac:dyDescent="0.25">
      <c r="A681" s="15" t="s">
        <v>1623</v>
      </c>
      <c r="B681" s="15" t="e">
        <f>VLOOKUP(A681,'[1]Master clients'!F660:W4207,17,0)</f>
        <v>#N/A</v>
      </c>
      <c r="C681" s="15" t="e">
        <f>VLOOKUP(A681,'[1]Master clients'!F660:P4207,11,0)</f>
        <v>#N/A</v>
      </c>
      <c r="D681" s="15" t="str">
        <f>VLOOKUP(A681,'[1]Master clients'!F:M,8,0)</f>
        <v>End User</v>
      </c>
      <c r="E681" s="24" t="s">
        <v>1624</v>
      </c>
      <c r="F681" s="25" t="s">
        <v>1620</v>
      </c>
      <c r="G681" s="20">
        <v>0</v>
      </c>
      <c r="H681" s="20">
        <v>0</v>
      </c>
      <c r="I681" s="26">
        <v>17</v>
      </c>
      <c r="J681" s="26">
        <v>0</v>
      </c>
      <c r="K681" s="20">
        <v>17</v>
      </c>
      <c r="L681" s="20">
        <v>0</v>
      </c>
      <c r="M681" s="20">
        <v>5</v>
      </c>
      <c r="N681" s="20">
        <v>0</v>
      </c>
      <c r="O681" s="20">
        <v>0</v>
      </c>
      <c r="P681" s="20">
        <v>0</v>
      </c>
      <c r="Q681" s="20">
        <v>14</v>
      </c>
      <c r="R681" s="20">
        <v>0</v>
      </c>
      <c r="S681" s="20">
        <v>0</v>
      </c>
      <c r="T681" s="20">
        <v>0</v>
      </c>
      <c r="U681" s="20">
        <v>0</v>
      </c>
      <c r="V681" s="20">
        <v>0</v>
      </c>
      <c r="W681" s="20">
        <v>0</v>
      </c>
      <c r="X681" s="20">
        <v>0</v>
      </c>
      <c r="Y681" s="20">
        <v>0</v>
      </c>
      <c r="Z681" s="20">
        <v>0</v>
      </c>
      <c r="AA681" s="20">
        <v>0</v>
      </c>
      <c r="AB681" s="20">
        <v>0</v>
      </c>
      <c r="AC681" s="20">
        <v>0</v>
      </c>
      <c r="AD681" s="20">
        <v>0</v>
      </c>
      <c r="AE681" s="20">
        <v>0</v>
      </c>
      <c r="AF681" s="20">
        <v>0</v>
      </c>
      <c r="AG681" s="20">
        <v>0</v>
      </c>
      <c r="AH681" s="20">
        <v>0</v>
      </c>
      <c r="AI681" s="20">
        <v>0</v>
      </c>
      <c r="AJ681" s="20">
        <v>0</v>
      </c>
      <c r="AK681" s="20">
        <v>0</v>
      </c>
      <c r="AL681" s="20">
        <v>0</v>
      </c>
      <c r="AM681" s="20">
        <v>0</v>
      </c>
      <c r="AN681" s="20">
        <v>0</v>
      </c>
      <c r="AO681" s="20">
        <v>0</v>
      </c>
      <c r="AP681" s="20">
        <v>0</v>
      </c>
      <c r="AQ681" s="20">
        <v>0</v>
      </c>
      <c r="AR681" s="20">
        <v>0</v>
      </c>
      <c r="AS681" s="20">
        <v>0</v>
      </c>
      <c r="AT681" s="20">
        <v>0</v>
      </c>
      <c r="AU681" s="20">
        <v>0</v>
      </c>
      <c r="AV681" s="20">
        <v>0</v>
      </c>
      <c r="AW681" s="20">
        <v>0</v>
      </c>
      <c r="AX681" s="20">
        <v>0</v>
      </c>
      <c r="AY681" s="20">
        <v>0</v>
      </c>
      <c r="AZ681" s="20">
        <v>0</v>
      </c>
      <c r="BA681" s="20">
        <v>0</v>
      </c>
      <c r="BB681" s="27">
        <v>0</v>
      </c>
      <c r="BC681" s="20">
        <v>0</v>
      </c>
      <c r="BD681" s="20">
        <v>0</v>
      </c>
      <c r="BE681" s="21">
        <v>0</v>
      </c>
      <c r="BF681" s="21">
        <v>0</v>
      </c>
      <c r="BG681" s="20">
        <v>0</v>
      </c>
      <c r="BH681" s="20">
        <v>0</v>
      </c>
      <c r="BI681" s="22">
        <f t="shared" si="197"/>
        <v>22</v>
      </c>
      <c r="BJ681" s="22">
        <f t="shared" si="198"/>
        <v>14</v>
      </c>
      <c r="BK681" s="28">
        <f t="shared" si="199"/>
        <v>53</v>
      </c>
      <c r="BL681" s="22">
        <f t="shared" si="200"/>
        <v>39</v>
      </c>
      <c r="BM681" s="22">
        <f t="shared" si="196"/>
        <v>14</v>
      </c>
      <c r="BN681" s="23">
        <f t="shared" si="195"/>
        <v>0.4358974358974359</v>
      </c>
      <c r="BO681" s="23">
        <f t="shared" si="195"/>
        <v>0</v>
      </c>
      <c r="BP681" s="7" t="e">
        <f>VLOOKUP(A681,[1]Sheet15!B:E,4,0)</f>
        <v>#N/A</v>
      </c>
      <c r="BQ681" s="7" t="e">
        <f>VLOOKUP(A681,[1]Sheet15!B:E,3,0)</f>
        <v>#N/A</v>
      </c>
    </row>
    <row r="682" spans="1:69" ht="22.5" customHeight="1" x14ac:dyDescent="0.25">
      <c r="A682" s="15" t="s">
        <v>1625</v>
      </c>
      <c r="B682" s="15" t="e">
        <f>VLOOKUP(A682,'[1]Master clients'!F661:W4208,17,0)</f>
        <v>#N/A</v>
      </c>
      <c r="C682" s="15" t="e">
        <f>VLOOKUP(A682,'[1]Master clients'!F661:P4208,11,0)</f>
        <v>#N/A</v>
      </c>
      <c r="D682" s="15" t="str">
        <f>VLOOKUP(A682,'[1]Master clients'!F:M,8,0)</f>
        <v>End User</v>
      </c>
      <c r="E682" s="24" t="s">
        <v>1626</v>
      </c>
      <c r="F682" s="25" t="s">
        <v>1620</v>
      </c>
      <c r="G682" s="20">
        <v>8</v>
      </c>
      <c r="H682" s="20">
        <v>0</v>
      </c>
      <c r="I682" s="26">
        <v>4</v>
      </c>
      <c r="J682" s="26">
        <v>0</v>
      </c>
      <c r="K682" s="20">
        <v>6</v>
      </c>
      <c r="L682" s="20">
        <v>0</v>
      </c>
      <c r="M682" s="20">
        <v>2</v>
      </c>
      <c r="N682" s="20">
        <v>0</v>
      </c>
      <c r="O682" s="20">
        <v>0</v>
      </c>
      <c r="P682" s="20">
        <v>0</v>
      </c>
      <c r="Q682" s="20">
        <v>0</v>
      </c>
      <c r="R682" s="20">
        <v>0</v>
      </c>
      <c r="S682" s="20">
        <v>0</v>
      </c>
      <c r="T682" s="20">
        <v>0</v>
      </c>
      <c r="U682" s="20">
        <v>0</v>
      </c>
      <c r="V682" s="20">
        <v>0</v>
      </c>
      <c r="W682" s="20">
        <v>0</v>
      </c>
      <c r="X682" s="20">
        <v>0</v>
      </c>
      <c r="Y682" s="20">
        <v>0</v>
      </c>
      <c r="Z682" s="20">
        <v>0</v>
      </c>
      <c r="AA682" s="20">
        <v>0</v>
      </c>
      <c r="AB682" s="20">
        <v>0</v>
      </c>
      <c r="AC682" s="20">
        <v>0</v>
      </c>
      <c r="AD682" s="20">
        <v>0</v>
      </c>
      <c r="AE682" s="20">
        <v>0</v>
      </c>
      <c r="AF682" s="20">
        <v>0</v>
      </c>
      <c r="AG682" s="20">
        <v>0</v>
      </c>
      <c r="AH682" s="20">
        <v>0</v>
      </c>
      <c r="AI682" s="20">
        <v>0</v>
      </c>
      <c r="AJ682" s="20">
        <v>0</v>
      </c>
      <c r="AK682" s="20">
        <v>0</v>
      </c>
      <c r="AL682" s="20">
        <v>0</v>
      </c>
      <c r="AM682" s="20">
        <v>0</v>
      </c>
      <c r="AN682" s="20">
        <v>0</v>
      </c>
      <c r="AO682" s="20">
        <v>0</v>
      </c>
      <c r="AP682" s="20">
        <v>0</v>
      </c>
      <c r="AQ682" s="20">
        <v>0</v>
      </c>
      <c r="AR682" s="20">
        <v>0</v>
      </c>
      <c r="AS682" s="20">
        <v>0</v>
      </c>
      <c r="AT682" s="20">
        <v>0</v>
      </c>
      <c r="AU682" s="20">
        <v>0</v>
      </c>
      <c r="AV682" s="20">
        <v>0</v>
      </c>
      <c r="AW682" s="20">
        <v>0</v>
      </c>
      <c r="AX682" s="20">
        <v>0</v>
      </c>
      <c r="AY682" s="20">
        <v>0</v>
      </c>
      <c r="AZ682" s="20">
        <v>0</v>
      </c>
      <c r="BA682" s="20">
        <v>0</v>
      </c>
      <c r="BB682" s="27">
        <v>0</v>
      </c>
      <c r="BC682" s="20">
        <v>0</v>
      </c>
      <c r="BD682" s="20">
        <v>0</v>
      </c>
      <c r="BE682" s="21">
        <v>0</v>
      </c>
      <c r="BF682" s="21">
        <v>0</v>
      </c>
      <c r="BG682" s="20">
        <v>0</v>
      </c>
      <c r="BH682" s="20">
        <v>0</v>
      </c>
      <c r="BI682" s="22">
        <f t="shared" si="197"/>
        <v>8</v>
      </c>
      <c r="BJ682" s="22">
        <f t="shared" si="198"/>
        <v>0</v>
      </c>
      <c r="BK682" s="28">
        <f t="shared" si="199"/>
        <v>12</v>
      </c>
      <c r="BL682" s="22">
        <f t="shared" si="200"/>
        <v>12</v>
      </c>
      <c r="BM682" s="22">
        <f t="shared" si="196"/>
        <v>0</v>
      </c>
      <c r="BN682" s="23">
        <f t="shared" si="195"/>
        <v>0.33333333333333331</v>
      </c>
      <c r="BO682" s="23" t="e">
        <f t="shared" si="195"/>
        <v>#DIV/0!</v>
      </c>
      <c r="BP682" s="7">
        <f>VLOOKUP(A682,[1]Sheet15!B:E,4,0)</f>
        <v>1</v>
      </c>
      <c r="BQ682" s="7">
        <f>VLOOKUP(A682,[1]Sheet15!B:E,3,0)</f>
        <v>0</v>
      </c>
    </row>
    <row r="683" spans="1:69" ht="22.5" customHeight="1" x14ac:dyDescent="0.25">
      <c r="A683" s="15" t="s">
        <v>1627</v>
      </c>
      <c r="B683" s="15" t="e">
        <f>VLOOKUP(A683,'[1]Master clients'!F662:W4209,17,0)</f>
        <v>#N/A</v>
      </c>
      <c r="C683" s="15" t="e">
        <f>VLOOKUP(A683,'[1]Master clients'!F662:P4209,11,0)</f>
        <v>#N/A</v>
      </c>
      <c r="D683" s="15" t="str">
        <f>VLOOKUP(A683,'[1]Master clients'!F:M,8,0)</f>
        <v>End User</v>
      </c>
      <c r="E683" s="24" t="s">
        <v>1628</v>
      </c>
      <c r="F683" s="25" t="s">
        <v>1620</v>
      </c>
      <c r="G683" s="20">
        <v>19</v>
      </c>
      <c r="H683" s="20">
        <v>0</v>
      </c>
      <c r="I683" s="26">
        <v>17</v>
      </c>
      <c r="J683" s="26">
        <v>0</v>
      </c>
      <c r="K683" s="20">
        <v>0</v>
      </c>
      <c r="L683" s="20">
        <v>0</v>
      </c>
      <c r="M683" s="20">
        <v>0</v>
      </c>
      <c r="N683" s="20">
        <v>5</v>
      </c>
      <c r="O683" s="20">
        <v>4</v>
      </c>
      <c r="P683" s="20">
        <v>0</v>
      </c>
      <c r="Q683" s="20">
        <v>0</v>
      </c>
      <c r="R683" s="20">
        <v>0</v>
      </c>
      <c r="S683" s="20">
        <v>0</v>
      </c>
      <c r="T683" s="20">
        <v>0</v>
      </c>
      <c r="U683" s="20">
        <v>0</v>
      </c>
      <c r="V683" s="20">
        <v>0</v>
      </c>
      <c r="W683" s="20">
        <v>0</v>
      </c>
      <c r="X683" s="20">
        <v>0</v>
      </c>
      <c r="Y683" s="20">
        <v>0</v>
      </c>
      <c r="Z683" s="20">
        <v>0</v>
      </c>
      <c r="AA683" s="20">
        <v>0</v>
      </c>
      <c r="AB683" s="20">
        <v>0</v>
      </c>
      <c r="AC683" s="20">
        <v>0</v>
      </c>
      <c r="AD683" s="20">
        <v>0</v>
      </c>
      <c r="AE683" s="20">
        <v>0</v>
      </c>
      <c r="AF683" s="20">
        <v>0</v>
      </c>
      <c r="AG683" s="20">
        <v>0</v>
      </c>
      <c r="AH683" s="20">
        <v>0</v>
      </c>
      <c r="AI683" s="20">
        <v>0</v>
      </c>
      <c r="AJ683" s="20">
        <v>0</v>
      </c>
      <c r="AK683" s="20">
        <v>0</v>
      </c>
      <c r="AL683" s="20">
        <v>0</v>
      </c>
      <c r="AM683" s="20">
        <v>0</v>
      </c>
      <c r="AN683" s="20">
        <v>0</v>
      </c>
      <c r="AO683" s="20">
        <v>0</v>
      </c>
      <c r="AP683" s="20">
        <v>0</v>
      </c>
      <c r="AQ683" s="20">
        <v>0</v>
      </c>
      <c r="AR683" s="20">
        <v>0</v>
      </c>
      <c r="AS683" s="20">
        <v>0</v>
      </c>
      <c r="AT683" s="20">
        <v>0</v>
      </c>
      <c r="AU683" s="20">
        <v>0</v>
      </c>
      <c r="AV683" s="20">
        <v>0</v>
      </c>
      <c r="AW683" s="20">
        <v>0</v>
      </c>
      <c r="AX683" s="20">
        <v>0</v>
      </c>
      <c r="AY683" s="20">
        <v>0</v>
      </c>
      <c r="AZ683" s="20">
        <v>0</v>
      </c>
      <c r="BA683" s="20">
        <v>0</v>
      </c>
      <c r="BB683" s="27">
        <v>0</v>
      </c>
      <c r="BC683" s="20">
        <v>0</v>
      </c>
      <c r="BD683" s="20">
        <v>0</v>
      </c>
      <c r="BE683" s="21">
        <v>0</v>
      </c>
      <c r="BF683" s="21">
        <v>0</v>
      </c>
      <c r="BG683" s="20">
        <v>0</v>
      </c>
      <c r="BH683" s="20">
        <v>0</v>
      </c>
      <c r="BI683" s="22">
        <f t="shared" si="197"/>
        <v>0</v>
      </c>
      <c r="BJ683" s="22">
        <f t="shared" si="198"/>
        <v>9</v>
      </c>
      <c r="BK683" s="28">
        <f t="shared" si="199"/>
        <v>26</v>
      </c>
      <c r="BL683" s="22">
        <f t="shared" si="200"/>
        <v>17</v>
      </c>
      <c r="BM683" s="22">
        <f t="shared" si="196"/>
        <v>9</v>
      </c>
      <c r="BN683" s="23">
        <f t="shared" si="195"/>
        <v>1</v>
      </c>
      <c r="BO683" s="23">
        <f t="shared" si="195"/>
        <v>0</v>
      </c>
      <c r="BP683" s="7">
        <f>VLOOKUP(A683,[1]Sheet15!B:E,4,0)</f>
        <v>9</v>
      </c>
      <c r="BQ683" s="7">
        <f>VLOOKUP(A683,[1]Sheet15!B:E,3,0)</f>
        <v>0</v>
      </c>
    </row>
    <row r="684" spans="1:69" ht="22.5" customHeight="1" x14ac:dyDescent="0.25">
      <c r="A684" s="15" t="s">
        <v>1629</v>
      </c>
      <c r="B684" s="15">
        <f>VLOOKUP(A684,'[1]Master clients'!F663:W4210,17,0)</f>
        <v>0</v>
      </c>
      <c r="C684" s="15" t="str">
        <f>VLOOKUP(A684,'[1]Master clients'!F663:P4210,11,0)</f>
        <v>AV</v>
      </c>
      <c r="D684" s="15" t="str">
        <f>VLOOKUP(A684,'[1]Master clients'!F:M,8,0)</f>
        <v>End User</v>
      </c>
      <c r="E684" s="16" t="s">
        <v>1630</v>
      </c>
      <c r="F684" s="16" t="s">
        <v>1631</v>
      </c>
      <c r="G684" s="17">
        <v>18</v>
      </c>
      <c r="H684" s="17">
        <v>8</v>
      </c>
      <c r="I684" s="18">
        <v>17</v>
      </c>
      <c r="J684" s="18">
        <v>8</v>
      </c>
      <c r="K684" s="17">
        <v>0</v>
      </c>
      <c r="L684" s="17">
        <v>0</v>
      </c>
      <c r="M684" s="17">
        <v>0</v>
      </c>
      <c r="N684" s="17">
        <v>0</v>
      </c>
      <c r="O684" s="19">
        <v>0</v>
      </c>
      <c r="P684" s="19">
        <v>3</v>
      </c>
      <c r="Q684" s="19">
        <v>0</v>
      </c>
      <c r="R684" s="19">
        <v>0</v>
      </c>
      <c r="S684" s="19">
        <v>0</v>
      </c>
      <c r="T684" s="19">
        <v>0</v>
      </c>
      <c r="U684" s="19">
        <v>0</v>
      </c>
      <c r="V684" s="19">
        <v>0</v>
      </c>
      <c r="W684" s="20">
        <v>0</v>
      </c>
      <c r="X684" s="20">
        <v>0</v>
      </c>
      <c r="Y684" s="19">
        <v>0</v>
      </c>
      <c r="Z684" s="19">
        <v>0</v>
      </c>
      <c r="AA684" s="19">
        <v>0</v>
      </c>
      <c r="AB684" s="19">
        <v>0</v>
      </c>
      <c r="AC684" s="19">
        <v>0</v>
      </c>
      <c r="AD684" s="19">
        <v>0</v>
      </c>
      <c r="AE684" s="19">
        <v>0</v>
      </c>
      <c r="AF684" s="19">
        <v>0</v>
      </c>
      <c r="AG684" s="19">
        <v>0</v>
      </c>
      <c r="AH684" s="19">
        <v>0</v>
      </c>
      <c r="AI684" s="20">
        <v>0</v>
      </c>
      <c r="AJ684" s="20">
        <v>0</v>
      </c>
      <c r="AK684" s="19">
        <v>0</v>
      </c>
      <c r="AL684" s="20">
        <v>0</v>
      </c>
      <c r="AM684" s="19">
        <v>0</v>
      </c>
      <c r="AN684" s="19">
        <v>0</v>
      </c>
      <c r="AO684" s="19">
        <v>0</v>
      </c>
      <c r="AP684" s="19">
        <v>0</v>
      </c>
      <c r="AQ684" s="19">
        <v>0</v>
      </c>
      <c r="AR684" s="19">
        <v>0</v>
      </c>
      <c r="AS684" s="19">
        <v>0</v>
      </c>
      <c r="AT684" s="19">
        <v>0</v>
      </c>
      <c r="AU684" s="19">
        <v>0</v>
      </c>
      <c r="AV684" s="19">
        <v>0</v>
      </c>
      <c r="AW684" s="20">
        <v>0</v>
      </c>
      <c r="AX684" s="20">
        <v>0</v>
      </c>
      <c r="AY684" s="20">
        <v>0</v>
      </c>
      <c r="AZ684" s="19">
        <v>0</v>
      </c>
      <c r="BA684" s="19">
        <v>0</v>
      </c>
      <c r="BB684" s="19">
        <v>0</v>
      </c>
      <c r="BC684" s="19">
        <v>0</v>
      </c>
      <c r="BD684" s="19">
        <v>0</v>
      </c>
      <c r="BE684" s="21">
        <v>0</v>
      </c>
      <c r="BF684" s="21">
        <v>0</v>
      </c>
      <c r="BG684" s="19">
        <v>0</v>
      </c>
      <c r="BH684" s="19">
        <v>0</v>
      </c>
      <c r="BI684" s="22">
        <f t="shared" si="197"/>
        <v>3</v>
      </c>
      <c r="BJ684" s="22">
        <f t="shared" si="198"/>
        <v>0</v>
      </c>
      <c r="BK684" s="22">
        <f t="shared" si="199"/>
        <v>28</v>
      </c>
      <c r="BL684" s="22">
        <f t="shared" si="200"/>
        <v>20</v>
      </c>
      <c r="BM684" s="22">
        <f t="shared" si="196"/>
        <v>8</v>
      </c>
      <c r="BN684" s="23">
        <f t="shared" si="195"/>
        <v>0.85</v>
      </c>
      <c r="BO684" s="23">
        <f t="shared" si="195"/>
        <v>1</v>
      </c>
      <c r="BP684" s="7" t="e">
        <f>VLOOKUP(A684,[1]Sheet15!B:E,4,0)</f>
        <v>#N/A</v>
      </c>
      <c r="BQ684" s="7" t="e">
        <f>VLOOKUP(A684,[1]Sheet15!B:E,3,0)</f>
        <v>#N/A</v>
      </c>
    </row>
    <row r="685" spans="1:69" ht="22.5" customHeight="1" x14ac:dyDescent="0.25">
      <c r="A685" s="15" t="s">
        <v>1632</v>
      </c>
      <c r="B685" s="15" t="e">
        <f>VLOOKUP(A685,'[1]Master clients'!F664:W4211,17,0)</f>
        <v>#N/A</v>
      </c>
      <c r="C685" s="15" t="e">
        <f>VLOOKUP(A685,'[1]Master clients'!F664:P4211,11,0)</f>
        <v>#N/A</v>
      </c>
      <c r="D685" s="15" t="str">
        <f>VLOOKUP(A685,'[1]Master clients'!F:M,8,0)</f>
        <v>Group (Mills)</v>
      </c>
      <c r="E685" s="16" t="s">
        <v>1633</v>
      </c>
      <c r="F685" s="16" t="s">
        <v>83</v>
      </c>
      <c r="G685" s="17">
        <v>12</v>
      </c>
      <c r="H685" s="17">
        <v>0</v>
      </c>
      <c r="I685" s="18">
        <v>8</v>
      </c>
      <c r="J685" s="18">
        <v>0</v>
      </c>
      <c r="K685" s="17">
        <v>0</v>
      </c>
      <c r="L685" s="17">
        <v>0</v>
      </c>
      <c r="M685" s="17">
        <v>0</v>
      </c>
      <c r="N685" s="17">
        <v>0</v>
      </c>
      <c r="O685" s="19">
        <v>0</v>
      </c>
      <c r="P685" s="19">
        <v>0</v>
      </c>
      <c r="Q685" s="19">
        <v>7</v>
      </c>
      <c r="R685" s="19">
        <v>0</v>
      </c>
      <c r="S685" s="19">
        <v>0</v>
      </c>
      <c r="T685" s="19">
        <v>0</v>
      </c>
      <c r="U685" s="19">
        <v>0</v>
      </c>
      <c r="V685" s="19">
        <v>0</v>
      </c>
      <c r="W685" s="20">
        <v>0</v>
      </c>
      <c r="X685" s="20">
        <v>0</v>
      </c>
      <c r="Y685" s="19">
        <v>0</v>
      </c>
      <c r="Z685" s="19">
        <v>0</v>
      </c>
      <c r="AA685" s="19">
        <v>0</v>
      </c>
      <c r="AB685" s="19">
        <v>0</v>
      </c>
      <c r="AC685" s="19">
        <v>0</v>
      </c>
      <c r="AD685" s="19">
        <v>0</v>
      </c>
      <c r="AE685" s="19">
        <v>0</v>
      </c>
      <c r="AF685" s="19">
        <v>0</v>
      </c>
      <c r="AG685" s="19">
        <v>0</v>
      </c>
      <c r="AH685" s="19">
        <v>0</v>
      </c>
      <c r="AI685" s="20">
        <v>0</v>
      </c>
      <c r="AJ685" s="20">
        <v>0</v>
      </c>
      <c r="AK685" s="19">
        <v>0</v>
      </c>
      <c r="AL685" s="20">
        <v>0</v>
      </c>
      <c r="AM685" s="19">
        <v>0</v>
      </c>
      <c r="AN685" s="19">
        <v>0</v>
      </c>
      <c r="AO685" s="19">
        <v>0</v>
      </c>
      <c r="AP685" s="19">
        <v>0</v>
      </c>
      <c r="AQ685" s="19">
        <v>0</v>
      </c>
      <c r="AR685" s="19">
        <v>0</v>
      </c>
      <c r="AS685" s="19">
        <v>0</v>
      </c>
      <c r="AT685" s="19">
        <v>0</v>
      </c>
      <c r="AU685" s="19">
        <v>0</v>
      </c>
      <c r="AV685" s="19">
        <v>0</v>
      </c>
      <c r="AW685" s="20">
        <v>0</v>
      </c>
      <c r="AX685" s="20">
        <v>0</v>
      </c>
      <c r="AY685" s="20">
        <v>0</v>
      </c>
      <c r="AZ685" s="19">
        <v>0</v>
      </c>
      <c r="BA685" s="19">
        <v>0</v>
      </c>
      <c r="BB685" s="19">
        <v>0</v>
      </c>
      <c r="BC685" s="19">
        <v>0</v>
      </c>
      <c r="BD685" s="19">
        <v>0</v>
      </c>
      <c r="BE685" s="21">
        <v>0</v>
      </c>
      <c r="BF685" s="21">
        <v>0</v>
      </c>
      <c r="BG685" s="19">
        <v>0</v>
      </c>
      <c r="BH685" s="19">
        <v>0</v>
      </c>
      <c r="BI685" s="22">
        <f t="shared" si="197"/>
        <v>0</v>
      </c>
      <c r="BJ685" s="22">
        <f t="shared" si="198"/>
        <v>7</v>
      </c>
      <c r="BK685" s="22">
        <f t="shared" si="199"/>
        <v>15</v>
      </c>
      <c r="BL685" s="22">
        <f t="shared" si="200"/>
        <v>8</v>
      </c>
      <c r="BM685" s="22">
        <f t="shared" si="196"/>
        <v>7</v>
      </c>
      <c r="BN685" s="23">
        <f t="shared" si="195"/>
        <v>1</v>
      </c>
      <c r="BO685" s="23">
        <f t="shared" si="195"/>
        <v>0</v>
      </c>
      <c r="BP685" s="7" t="e">
        <f>VLOOKUP(A685,[1]Sheet15!B:E,4,0)</f>
        <v>#N/A</v>
      </c>
      <c r="BQ685" s="7" t="e">
        <f>VLOOKUP(A685,[1]Sheet15!B:E,3,0)</f>
        <v>#N/A</v>
      </c>
    </row>
    <row r="686" spans="1:69" ht="22.5" customHeight="1" x14ac:dyDescent="0.25">
      <c r="A686" s="15" t="s">
        <v>1634</v>
      </c>
      <c r="B686" s="15" t="e">
        <f>VLOOKUP(A686,'[1]Master clients'!F665:W4212,17,0)</f>
        <v>#N/A</v>
      </c>
      <c r="C686" s="15" t="e">
        <f>VLOOKUP(A686,'[1]Master clients'!F665:P4212,11,0)</f>
        <v>#N/A</v>
      </c>
      <c r="D686" s="15" t="str">
        <f>VLOOKUP(A686,'[1]Master clients'!F:M,8,0)</f>
        <v>End User</v>
      </c>
      <c r="E686" s="16" t="s">
        <v>1635</v>
      </c>
      <c r="F686" s="16" t="s">
        <v>83</v>
      </c>
      <c r="G686" s="17"/>
      <c r="H686" s="17"/>
      <c r="I686" s="26">
        <v>1</v>
      </c>
      <c r="J686" s="18">
        <v>0</v>
      </c>
      <c r="K686" s="17">
        <v>0</v>
      </c>
      <c r="L686" s="17">
        <v>0</v>
      </c>
      <c r="M686" s="17">
        <v>0</v>
      </c>
      <c r="N686" s="17">
        <v>0</v>
      </c>
      <c r="O686" s="17">
        <v>0</v>
      </c>
      <c r="P686" s="17">
        <v>0</v>
      </c>
      <c r="Q686" s="17">
        <v>0</v>
      </c>
      <c r="R686" s="17">
        <v>0</v>
      </c>
      <c r="S686" s="17">
        <v>0</v>
      </c>
      <c r="T686" s="17">
        <v>0</v>
      </c>
      <c r="U686" s="17">
        <v>0</v>
      </c>
      <c r="V686" s="17">
        <v>0</v>
      </c>
      <c r="W686" s="17">
        <v>0</v>
      </c>
      <c r="X686" s="17">
        <v>0</v>
      </c>
      <c r="Y686" s="17">
        <v>0</v>
      </c>
      <c r="Z686" s="17">
        <v>0</v>
      </c>
      <c r="AA686" s="17">
        <v>0</v>
      </c>
      <c r="AB686" s="17">
        <v>0</v>
      </c>
      <c r="AC686" s="17">
        <v>0</v>
      </c>
      <c r="AD686" s="17">
        <v>0</v>
      </c>
      <c r="AE686" s="17">
        <v>0</v>
      </c>
      <c r="AF686" s="17">
        <v>0</v>
      </c>
      <c r="AG686" s="17">
        <v>0</v>
      </c>
      <c r="AH686" s="17">
        <v>0</v>
      </c>
      <c r="AI686" s="17">
        <v>0</v>
      </c>
      <c r="AJ686" s="17">
        <v>0</v>
      </c>
      <c r="AK686" s="17">
        <v>0</v>
      </c>
      <c r="AL686" s="17">
        <v>0</v>
      </c>
      <c r="AM686" s="17">
        <v>0</v>
      </c>
      <c r="AN686" s="17">
        <v>0</v>
      </c>
      <c r="AO686" s="17">
        <v>0</v>
      </c>
      <c r="AP686" s="17">
        <v>0</v>
      </c>
      <c r="AQ686" s="17">
        <v>0</v>
      </c>
      <c r="AR686" s="17">
        <v>0</v>
      </c>
      <c r="AS686" s="17">
        <v>0</v>
      </c>
      <c r="AT686" s="17">
        <v>0</v>
      </c>
      <c r="AU686" s="17">
        <v>0</v>
      </c>
      <c r="AV686" s="17">
        <v>0</v>
      </c>
      <c r="AW686" s="17">
        <v>0</v>
      </c>
      <c r="AX686" s="17">
        <v>0</v>
      </c>
      <c r="AY686" s="17">
        <v>0</v>
      </c>
      <c r="AZ686" s="17">
        <v>0</v>
      </c>
      <c r="BA686" s="17">
        <v>0</v>
      </c>
      <c r="BB686" s="17">
        <v>0</v>
      </c>
      <c r="BC686" s="17">
        <v>0</v>
      </c>
      <c r="BD686" s="17">
        <v>0</v>
      </c>
      <c r="BE686" s="17">
        <v>0</v>
      </c>
      <c r="BF686" s="17">
        <v>0</v>
      </c>
      <c r="BG686" s="17">
        <v>0</v>
      </c>
      <c r="BH686" s="17">
        <v>0</v>
      </c>
      <c r="BI686" s="22">
        <f t="shared" ref="BI686:BI688" si="201">SUM(M686+N686+P686+R686+T686+W686+Z686+AC686+AE686+AL686+AO686+AP686+AS686+AW686+AX686+BC686+BE686+BG686)</f>
        <v>0</v>
      </c>
      <c r="BJ686" s="22">
        <f t="shared" ref="BJ686:BJ688" si="202">SUM(H686:BG686)</f>
        <v>1</v>
      </c>
      <c r="BK686" s="22">
        <f t="shared" ref="BK686:BK688" si="203">SUM(H686+J686+K686+L686+O686+Q686+S686+U686+V686+X686+Y686+AA686+AB686+AD686+AF686+AG686+AH686+AI686+AJ686+AK686+AM686+AN686+AQ686+AR686+AT686+AU686+AV686+AY686+AZ686+BA686+BB686+BF686+BD686)</f>
        <v>0</v>
      </c>
      <c r="BL686" s="22">
        <f t="shared" ref="BL686:BM690" si="204">SUM(I686+M686+N686+P686+R686+T686+W686+Z686+AC686+AE686+AL686+AO686+AP686+AS686+AW686+AX686+BC686+BG686)</f>
        <v>1</v>
      </c>
      <c r="BM686" s="22">
        <f t="shared" si="204"/>
        <v>0</v>
      </c>
      <c r="BN686" s="23">
        <f t="shared" si="195"/>
        <v>1</v>
      </c>
      <c r="BO686" s="23" t="e">
        <f t="shared" si="195"/>
        <v>#DIV/0!</v>
      </c>
      <c r="BP686" s="7">
        <f>VLOOKUP(A686,[1]Sheet15!B:E,4,0)</f>
        <v>1</v>
      </c>
      <c r="BQ686" s="7">
        <f>VLOOKUP(A686,[1]Sheet15!B:E,3,0)</f>
        <v>0</v>
      </c>
    </row>
    <row r="687" spans="1:69" ht="22.5" customHeight="1" x14ac:dyDescent="0.25">
      <c r="A687" s="15" t="s">
        <v>1636</v>
      </c>
      <c r="B687" s="15" t="e">
        <f>VLOOKUP(A687,'[1]Master clients'!F666:W4213,17,0)</f>
        <v>#N/A</v>
      </c>
      <c r="C687" s="15" t="e">
        <f>VLOOKUP(A687,'[1]Master clients'!F666:P4213,11,0)</f>
        <v>#N/A</v>
      </c>
      <c r="D687" s="15" t="str">
        <f>VLOOKUP(A687,'[1]Master clients'!F:M,8,0)</f>
        <v>Group (Mills)</v>
      </c>
      <c r="E687" s="16" t="s">
        <v>1637</v>
      </c>
      <c r="F687" s="16" t="s">
        <v>265</v>
      </c>
      <c r="G687" s="17"/>
      <c r="H687" s="17"/>
      <c r="I687" s="26">
        <v>1</v>
      </c>
      <c r="J687" s="18">
        <v>0</v>
      </c>
      <c r="K687" s="17">
        <v>0</v>
      </c>
      <c r="L687" s="17">
        <v>0</v>
      </c>
      <c r="M687" s="17">
        <v>0</v>
      </c>
      <c r="N687" s="17">
        <v>0</v>
      </c>
      <c r="O687" s="17">
        <v>0</v>
      </c>
      <c r="P687" s="17">
        <v>0</v>
      </c>
      <c r="Q687" s="17">
        <v>0</v>
      </c>
      <c r="R687" s="17">
        <v>0</v>
      </c>
      <c r="S687" s="17">
        <v>0</v>
      </c>
      <c r="T687" s="17">
        <v>0</v>
      </c>
      <c r="U687" s="17">
        <v>0</v>
      </c>
      <c r="V687" s="17">
        <v>0</v>
      </c>
      <c r="W687" s="17">
        <v>0</v>
      </c>
      <c r="X687" s="17">
        <v>0</v>
      </c>
      <c r="Y687" s="17">
        <v>0</v>
      </c>
      <c r="Z687" s="17">
        <v>0</v>
      </c>
      <c r="AA687" s="17">
        <v>0</v>
      </c>
      <c r="AB687" s="17">
        <v>0</v>
      </c>
      <c r="AC687" s="17">
        <v>0</v>
      </c>
      <c r="AD687" s="17">
        <v>0</v>
      </c>
      <c r="AE687" s="17">
        <v>0</v>
      </c>
      <c r="AF687" s="17">
        <v>0</v>
      </c>
      <c r="AG687" s="17">
        <v>0</v>
      </c>
      <c r="AH687" s="17">
        <v>0</v>
      </c>
      <c r="AI687" s="17">
        <v>0</v>
      </c>
      <c r="AJ687" s="17">
        <v>0</v>
      </c>
      <c r="AK687" s="17">
        <v>0</v>
      </c>
      <c r="AL687" s="17">
        <v>0</v>
      </c>
      <c r="AM687" s="17">
        <v>0</v>
      </c>
      <c r="AN687" s="17">
        <v>0</v>
      </c>
      <c r="AO687" s="17">
        <v>0</v>
      </c>
      <c r="AP687" s="17">
        <v>0</v>
      </c>
      <c r="AQ687" s="17">
        <v>0</v>
      </c>
      <c r="AR687" s="17">
        <v>0</v>
      </c>
      <c r="AS687" s="17">
        <v>0</v>
      </c>
      <c r="AT687" s="17">
        <v>0</v>
      </c>
      <c r="AU687" s="17">
        <v>0</v>
      </c>
      <c r="AV687" s="17">
        <v>0</v>
      </c>
      <c r="AW687" s="17">
        <v>0</v>
      </c>
      <c r="AX687" s="17">
        <v>0</v>
      </c>
      <c r="AY687" s="17">
        <v>0</v>
      </c>
      <c r="AZ687" s="17">
        <v>0</v>
      </c>
      <c r="BA687" s="17">
        <v>0</v>
      </c>
      <c r="BB687" s="17">
        <v>0</v>
      </c>
      <c r="BC687" s="17">
        <v>0</v>
      </c>
      <c r="BD687" s="17">
        <v>0</v>
      </c>
      <c r="BE687" s="17">
        <v>0</v>
      </c>
      <c r="BF687" s="17">
        <v>0</v>
      </c>
      <c r="BG687" s="17">
        <v>0</v>
      </c>
      <c r="BH687" s="17">
        <v>0</v>
      </c>
      <c r="BI687" s="22">
        <f t="shared" si="201"/>
        <v>0</v>
      </c>
      <c r="BJ687" s="22">
        <f t="shared" si="202"/>
        <v>1</v>
      </c>
      <c r="BK687" s="22">
        <f t="shared" si="203"/>
        <v>0</v>
      </c>
      <c r="BL687" s="22">
        <f t="shared" si="204"/>
        <v>1</v>
      </c>
      <c r="BM687" s="22">
        <f t="shared" si="204"/>
        <v>0</v>
      </c>
      <c r="BN687" s="23">
        <f t="shared" si="195"/>
        <v>1</v>
      </c>
      <c r="BO687" s="23" t="e">
        <f t="shared" si="195"/>
        <v>#DIV/0!</v>
      </c>
      <c r="BP687" s="7">
        <f>VLOOKUP(A687,[1]Sheet15!B:E,4,0)</f>
        <v>1</v>
      </c>
      <c r="BQ687" s="7">
        <f>VLOOKUP(A687,[1]Sheet15!B:E,3,0)</f>
        <v>0</v>
      </c>
    </row>
    <row r="688" spans="1:69" ht="22.5" customHeight="1" x14ac:dyDescent="0.25">
      <c r="A688" s="15" t="s">
        <v>1638</v>
      </c>
      <c r="B688" s="15" t="e">
        <f>VLOOKUP(A688,'[1]Master clients'!F667:W4214,17,0)</f>
        <v>#N/A</v>
      </c>
      <c r="C688" s="15" t="e">
        <f>VLOOKUP(A688,'[1]Master clients'!F667:P4214,11,0)</f>
        <v>#N/A</v>
      </c>
      <c r="D688" s="15" t="str">
        <f>VLOOKUP(A688,'[1]Master clients'!F:M,8,0)</f>
        <v>End User</v>
      </c>
      <c r="E688" s="16" t="s">
        <v>1639</v>
      </c>
      <c r="F688" s="16" t="s">
        <v>83</v>
      </c>
      <c r="G688" s="17"/>
      <c r="H688" s="17"/>
      <c r="I688" s="26">
        <v>22</v>
      </c>
      <c r="J688" s="18">
        <v>0</v>
      </c>
      <c r="K688" s="17">
        <v>0</v>
      </c>
      <c r="L688" s="17">
        <v>0</v>
      </c>
      <c r="M688" s="17">
        <v>0</v>
      </c>
      <c r="N688" s="17">
        <v>0</v>
      </c>
      <c r="O688" s="17">
        <v>0</v>
      </c>
      <c r="P688" s="17">
        <v>0</v>
      </c>
      <c r="Q688" s="17">
        <v>0</v>
      </c>
      <c r="R688" s="17">
        <v>0</v>
      </c>
      <c r="S688" s="17">
        <v>0</v>
      </c>
      <c r="T688" s="17">
        <v>0</v>
      </c>
      <c r="U688" s="17">
        <v>0</v>
      </c>
      <c r="V688" s="17">
        <v>0</v>
      </c>
      <c r="W688" s="17">
        <v>0</v>
      </c>
      <c r="X688" s="17">
        <v>0</v>
      </c>
      <c r="Y688" s="17">
        <v>0</v>
      </c>
      <c r="Z688" s="17">
        <v>0</v>
      </c>
      <c r="AA688" s="17">
        <v>0</v>
      </c>
      <c r="AB688" s="17">
        <v>0</v>
      </c>
      <c r="AC688" s="17">
        <v>0</v>
      </c>
      <c r="AD688" s="17">
        <v>0</v>
      </c>
      <c r="AE688" s="17">
        <v>0</v>
      </c>
      <c r="AF688" s="17">
        <v>0</v>
      </c>
      <c r="AG688" s="17">
        <v>0</v>
      </c>
      <c r="AH688" s="17">
        <v>0</v>
      </c>
      <c r="AI688" s="17">
        <v>0</v>
      </c>
      <c r="AJ688" s="17">
        <v>0</v>
      </c>
      <c r="AK688" s="17">
        <v>0</v>
      </c>
      <c r="AL688" s="17">
        <v>0</v>
      </c>
      <c r="AM688" s="17">
        <v>0</v>
      </c>
      <c r="AN688" s="17">
        <v>0</v>
      </c>
      <c r="AO688" s="17">
        <v>0</v>
      </c>
      <c r="AP688" s="17">
        <v>0</v>
      </c>
      <c r="AQ688" s="17">
        <v>0</v>
      </c>
      <c r="AR688" s="17">
        <v>0</v>
      </c>
      <c r="AS688" s="17">
        <v>0</v>
      </c>
      <c r="AT688" s="17">
        <v>0</v>
      </c>
      <c r="AU688" s="17">
        <v>0</v>
      </c>
      <c r="AV688" s="17">
        <v>0</v>
      </c>
      <c r="AW688" s="17">
        <v>0</v>
      </c>
      <c r="AX688" s="17">
        <v>0</v>
      </c>
      <c r="AY688" s="17">
        <v>0</v>
      </c>
      <c r="AZ688" s="17">
        <v>0</v>
      </c>
      <c r="BA688" s="17">
        <v>0</v>
      </c>
      <c r="BB688" s="17">
        <v>0</v>
      </c>
      <c r="BC688" s="17">
        <v>0</v>
      </c>
      <c r="BD688" s="17">
        <v>0</v>
      </c>
      <c r="BE688" s="17">
        <v>0</v>
      </c>
      <c r="BF688" s="17">
        <v>0</v>
      </c>
      <c r="BG688" s="17">
        <v>0</v>
      </c>
      <c r="BH688" s="17">
        <v>0</v>
      </c>
      <c r="BI688" s="22">
        <f t="shared" si="201"/>
        <v>0</v>
      </c>
      <c r="BJ688" s="22">
        <f t="shared" si="202"/>
        <v>22</v>
      </c>
      <c r="BK688" s="22">
        <f t="shared" si="203"/>
        <v>0</v>
      </c>
      <c r="BL688" s="22">
        <f t="shared" si="204"/>
        <v>22</v>
      </c>
      <c r="BM688" s="22">
        <f t="shared" si="204"/>
        <v>0</v>
      </c>
      <c r="BN688" s="23">
        <f t="shared" ref="BN688:BO703" si="205">I688/BL688</f>
        <v>1</v>
      </c>
      <c r="BO688" s="23" t="e">
        <f t="shared" si="205"/>
        <v>#DIV/0!</v>
      </c>
      <c r="BP688" s="7">
        <f>VLOOKUP(A688,[1]Sheet15!B:E,4,0)</f>
        <v>22</v>
      </c>
      <c r="BQ688" s="7">
        <f>VLOOKUP(A688,[1]Sheet15!B:E,3,0)</f>
        <v>0</v>
      </c>
    </row>
    <row r="689" spans="1:69" ht="22.5" customHeight="1" x14ac:dyDescent="0.25">
      <c r="A689" s="15" t="s">
        <v>1640</v>
      </c>
      <c r="B689" s="15">
        <f>VLOOKUP(A689,'[1]Master clients'!F668:W4215,17,0)</f>
        <v>0</v>
      </c>
      <c r="C689" s="15" t="str">
        <f>VLOOKUP(A689,'[1]Master clients'!F668:P4215,11,0)</f>
        <v>-</v>
      </c>
      <c r="D689" s="15" t="str">
        <f>VLOOKUP(A689,'[1]Master clients'!F:M,8,0)</f>
        <v>End User</v>
      </c>
      <c r="E689" s="16" t="s">
        <v>1641</v>
      </c>
      <c r="F689" s="16" t="s">
        <v>1642</v>
      </c>
      <c r="G689" s="17">
        <v>0</v>
      </c>
      <c r="H689" s="17">
        <v>0</v>
      </c>
      <c r="I689" s="18">
        <v>0</v>
      </c>
      <c r="J689" s="18">
        <v>0</v>
      </c>
      <c r="K689" s="17">
        <v>0</v>
      </c>
      <c r="L689" s="17">
        <v>0</v>
      </c>
      <c r="M689" s="17">
        <v>0</v>
      </c>
      <c r="N689" s="17">
        <v>0</v>
      </c>
      <c r="O689" s="19">
        <v>0</v>
      </c>
      <c r="P689" s="19">
        <v>5</v>
      </c>
      <c r="Q689" s="19">
        <v>14</v>
      </c>
      <c r="R689" s="19">
        <v>0</v>
      </c>
      <c r="S689" s="19">
        <v>0</v>
      </c>
      <c r="T689" s="19">
        <v>0</v>
      </c>
      <c r="U689" s="19">
        <v>0</v>
      </c>
      <c r="V689" s="19">
        <v>0</v>
      </c>
      <c r="W689" s="20">
        <v>0</v>
      </c>
      <c r="X689" s="20">
        <v>0</v>
      </c>
      <c r="Y689" s="19">
        <v>0</v>
      </c>
      <c r="Z689" s="19">
        <v>0</v>
      </c>
      <c r="AA689" s="19">
        <v>0</v>
      </c>
      <c r="AB689" s="19">
        <v>0</v>
      </c>
      <c r="AC689" s="19">
        <v>0</v>
      </c>
      <c r="AD689" s="19">
        <v>0</v>
      </c>
      <c r="AE689" s="19">
        <v>0</v>
      </c>
      <c r="AF689" s="19">
        <v>0</v>
      </c>
      <c r="AG689" s="19">
        <v>0</v>
      </c>
      <c r="AH689" s="19">
        <v>0</v>
      </c>
      <c r="AI689" s="20">
        <v>0</v>
      </c>
      <c r="AJ689" s="20">
        <v>0</v>
      </c>
      <c r="AK689" s="19">
        <v>0</v>
      </c>
      <c r="AL689" s="20">
        <v>0</v>
      </c>
      <c r="AM689" s="19">
        <v>0</v>
      </c>
      <c r="AN689" s="19">
        <v>0</v>
      </c>
      <c r="AO689" s="19">
        <v>0</v>
      </c>
      <c r="AP689" s="19">
        <v>0</v>
      </c>
      <c r="AQ689" s="19">
        <v>0</v>
      </c>
      <c r="AR689" s="19">
        <v>0</v>
      </c>
      <c r="AS689" s="19">
        <v>7</v>
      </c>
      <c r="AT689" s="19">
        <v>0</v>
      </c>
      <c r="AU689" s="19">
        <v>0</v>
      </c>
      <c r="AV689" s="19">
        <v>0</v>
      </c>
      <c r="AW689" s="20">
        <v>0</v>
      </c>
      <c r="AX689" s="20">
        <v>0</v>
      </c>
      <c r="AY689" s="20">
        <v>0</v>
      </c>
      <c r="AZ689" s="19">
        <v>0</v>
      </c>
      <c r="BA689" s="19">
        <v>0</v>
      </c>
      <c r="BB689" s="19">
        <v>0</v>
      </c>
      <c r="BC689" s="19">
        <v>0</v>
      </c>
      <c r="BD689" s="19">
        <v>0</v>
      </c>
      <c r="BE689" s="21">
        <v>0</v>
      </c>
      <c r="BF689" s="21">
        <v>0</v>
      </c>
      <c r="BG689" s="19">
        <v>0</v>
      </c>
      <c r="BH689" s="19">
        <v>0</v>
      </c>
      <c r="BI689" s="22">
        <f t="shared" ref="BI689:BI690" si="206">SUM(K689+L689+M689+P689+R689+T689+V689+W689+Y689+Z689+AB689+AC689+AE689+AG689+AH689+AI689+AJ689+AK689+AL689+AN689+AO689+AR689+AS689+AU689+AV689+AW689+AZ689+BA689+BB689+BC689+BE689+BG689)</f>
        <v>12</v>
      </c>
      <c r="BJ689" s="22">
        <f t="shared" ref="BJ689:BJ690" si="207">SUM(N689+O689+Q689+S689+U689+X689+AA689+AD689+AF689+AM689+AP689+AQ689+AT689+AX689+AY689+BD689+BF689+BH689)</f>
        <v>14</v>
      </c>
      <c r="BK689" s="22">
        <f t="shared" ref="BK689:BK690" si="208">SUM(I689:BH689)</f>
        <v>26</v>
      </c>
      <c r="BL689" s="22">
        <f t="shared" ref="BL689:BL690" si="209">SUM(I689+K689+L689+M689+P689+R689+T689+V689+W689+Y689+Z689+AB689+AC689+AE689+AG689+AH689+AI689+AJ689+AK689+AL689+AN689+AO689+AR689+AS689+AU689+AV689+AW689+AZ689+BA689+BB689+BC689+BG689+BE689)</f>
        <v>12</v>
      </c>
      <c r="BM689" s="22">
        <f t="shared" si="204"/>
        <v>14</v>
      </c>
      <c r="BN689" s="23">
        <f t="shared" si="205"/>
        <v>0</v>
      </c>
      <c r="BO689" s="23">
        <f t="shared" si="205"/>
        <v>0</v>
      </c>
      <c r="BP689" s="7" t="e">
        <f>VLOOKUP(A689,[1]Sheet15!B:E,4,0)</f>
        <v>#N/A</v>
      </c>
      <c r="BQ689" s="7" t="e">
        <f>VLOOKUP(A689,[1]Sheet15!B:E,3,0)</f>
        <v>#N/A</v>
      </c>
    </row>
    <row r="690" spans="1:69" ht="22.5" customHeight="1" x14ac:dyDescent="0.25">
      <c r="A690" s="15" t="s">
        <v>1643</v>
      </c>
      <c r="B690" s="15" t="e">
        <f>VLOOKUP(A690,'[1]Master clients'!F669:W4216,17,0)</f>
        <v>#N/A</v>
      </c>
      <c r="C690" s="15" t="e">
        <f>VLOOKUP(A690,'[1]Master clients'!F669:P4216,11,0)</f>
        <v>#N/A</v>
      </c>
      <c r="D690" s="15" t="str">
        <f>VLOOKUP(A690,'[1]Master clients'!F:M,8,0)</f>
        <v>End User</v>
      </c>
      <c r="E690" s="16" t="s">
        <v>1644</v>
      </c>
      <c r="F690" s="16" t="s">
        <v>83</v>
      </c>
      <c r="G690" s="17">
        <v>21</v>
      </c>
      <c r="H690" s="17">
        <v>9</v>
      </c>
      <c r="I690" s="18">
        <v>9</v>
      </c>
      <c r="J690" s="17">
        <v>9</v>
      </c>
      <c r="K690" s="17">
        <v>0</v>
      </c>
      <c r="L690" s="17">
        <v>0</v>
      </c>
      <c r="M690" s="17">
        <v>1</v>
      </c>
      <c r="N690" s="17">
        <v>0</v>
      </c>
      <c r="O690" s="19">
        <v>0</v>
      </c>
      <c r="P690" s="19">
        <v>0</v>
      </c>
      <c r="Q690" s="19">
        <v>2</v>
      </c>
      <c r="R690" s="19">
        <v>0</v>
      </c>
      <c r="S690" s="19">
        <v>0</v>
      </c>
      <c r="T690" s="19">
        <v>0</v>
      </c>
      <c r="U690" s="19">
        <v>0</v>
      </c>
      <c r="V690" s="19">
        <v>0</v>
      </c>
      <c r="W690" s="20">
        <v>0</v>
      </c>
      <c r="X690" s="20">
        <v>0</v>
      </c>
      <c r="Y690" s="19">
        <v>0</v>
      </c>
      <c r="Z690" s="19">
        <v>0</v>
      </c>
      <c r="AA690" s="19">
        <v>0</v>
      </c>
      <c r="AB690" s="19">
        <v>0</v>
      </c>
      <c r="AC690" s="19">
        <v>0</v>
      </c>
      <c r="AD690" s="19">
        <v>0</v>
      </c>
      <c r="AE690" s="19">
        <v>0</v>
      </c>
      <c r="AF690" s="19">
        <v>0</v>
      </c>
      <c r="AG690" s="19">
        <v>0</v>
      </c>
      <c r="AH690" s="19">
        <v>0</v>
      </c>
      <c r="AI690" s="20">
        <v>0</v>
      </c>
      <c r="AJ690" s="20">
        <v>0</v>
      </c>
      <c r="AK690" s="19">
        <v>0</v>
      </c>
      <c r="AL690" s="20">
        <v>0</v>
      </c>
      <c r="AM690" s="19">
        <v>0</v>
      </c>
      <c r="AN690" s="19">
        <v>0</v>
      </c>
      <c r="AO690" s="19">
        <v>0</v>
      </c>
      <c r="AP690" s="19">
        <v>0</v>
      </c>
      <c r="AQ690" s="19">
        <v>0</v>
      </c>
      <c r="AR690" s="19">
        <v>0</v>
      </c>
      <c r="AS690" s="19">
        <v>0</v>
      </c>
      <c r="AT690" s="19">
        <v>0</v>
      </c>
      <c r="AU690" s="19">
        <v>0</v>
      </c>
      <c r="AV690" s="19">
        <v>0</v>
      </c>
      <c r="AW690" s="20">
        <v>0</v>
      </c>
      <c r="AX690" s="20">
        <v>0</v>
      </c>
      <c r="AY690" s="20">
        <v>0</v>
      </c>
      <c r="AZ690" s="19">
        <v>0</v>
      </c>
      <c r="BA690" s="19">
        <v>0</v>
      </c>
      <c r="BB690" s="19">
        <v>0</v>
      </c>
      <c r="BC690" s="19">
        <v>0</v>
      </c>
      <c r="BD690" s="19">
        <v>0</v>
      </c>
      <c r="BE690" s="21">
        <v>0</v>
      </c>
      <c r="BF690" s="21">
        <v>0</v>
      </c>
      <c r="BG690" s="19">
        <v>0</v>
      </c>
      <c r="BH690" s="19">
        <v>0</v>
      </c>
      <c r="BI690" s="22">
        <f t="shared" si="206"/>
        <v>1</v>
      </c>
      <c r="BJ690" s="22">
        <f t="shared" si="207"/>
        <v>2</v>
      </c>
      <c r="BK690" s="22">
        <f t="shared" si="208"/>
        <v>21</v>
      </c>
      <c r="BL690" s="22">
        <f t="shared" si="209"/>
        <v>10</v>
      </c>
      <c r="BM690" s="22">
        <f t="shared" si="204"/>
        <v>11</v>
      </c>
      <c r="BN690" s="23">
        <f t="shared" si="205"/>
        <v>0.9</v>
      </c>
      <c r="BO690" s="23">
        <f t="shared" si="205"/>
        <v>0.81818181818181823</v>
      </c>
      <c r="BP690" s="7" t="e">
        <f>VLOOKUP(A690,[1]Sheet15!B:E,4,0)</f>
        <v>#N/A</v>
      </c>
      <c r="BQ690" s="7" t="e">
        <f>VLOOKUP(A690,[1]Sheet15!B:E,3,0)</f>
        <v>#N/A</v>
      </c>
    </row>
    <row r="691" spans="1:69" ht="22.5" customHeight="1" x14ac:dyDescent="0.25">
      <c r="A691" s="15" t="s">
        <v>1645</v>
      </c>
      <c r="B691" s="15" t="e">
        <f>VLOOKUP(A691,'[1]Master clients'!F670:W4217,17,0)</f>
        <v>#N/A</v>
      </c>
      <c r="C691" s="15" t="e">
        <f>VLOOKUP(A691,'[1]Master clients'!F670:P4217,11,0)</f>
        <v>#N/A</v>
      </c>
      <c r="D691" s="15" t="str">
        <f>VLOOKUP(A691,'[1]Master clients'!F:M,8,0)</f>
        <v>End User</v>
      </c>
      <c r="E691" s="16" t="s">
        <v>1646</v>
      </c>
      <c r="F691" s="16" t="s">
        <v>83</v>
      </c>
      <c r="G691" s="17"/>
      <c r="H691" s="17"/>
      <c r="I691" s="26">
        <v>3</v>
      </c>
      <c r="J691" s="18">
        <v>0</v>
      </c>
      <c r="K691" s="17">
        <v>0</v>
      </c>
      <c r="L691" s="17">
        <v>0</v>
      </c>
      <c r="M691" s="17">
        <v>0</v>
      </c>
      <c r="N691" s="17">
        <v>0</v>
      </c>
      <c r="O691" s="17">
        <v>0</v>
      </c>
      <c r="P691" s="17">
        <v>0</v>
      </c>
      <c r="Q691" s="17">
        <v>0</v>
      </c>
      <c r="R691" s="17">
        <v>0</v>
      </c>
      <c r="S691" s="17">
        <v>0</v>
      </c>
      <c r="T691" s="17">
        <v>0</v>
      </c>
      <c r="U691" s="17">
        <v>0</v>
      </c>
      <c r="V691" s="17">
        <v>0</v>
      </c>
      <c r="W691" s="17">
        <v>0</v>
      </c>
      <c r="X691" s="17">
        <v>0</v>
      </c>
      <c r="Y691" s="17">
        <v>0</v>
      </c>
      <c r="Z691" s="17">
        <v>0</v>
      </c>
      <c r="AA691" s="17">
        <v>0</v>
      </c>
      <c r="AB691" s="17">
        <v>0</v>
      </c>
      <c r="AC691" s="17">
        <v>0</v>
      </c>
      <c r="AD691" s="17">
        <v>0</v>
      </c>
      <c r="AE691" s="17">
        <v>0</v>
      </c>
      <c r="AF691" s="17">
        <v>0</v>
      </c>
      <c r="AG691" s="17">
        <v>0</v>
      </c>
      <c r="AH691" s="17">
        <v>0</v>
      </c>
      <c r="AI691" s="17">
        <v>0</v>
      </c>
      <c r="AJ691" s="17">
        <v>0</v>
      </c>
      <c r="AK691" s="17">
        <v>0</v>
      </c>
      <c r="AL691" s="17">
        <v>0</v>
      </c>
      <c r="AM691" s="17">
        <v>0</v>
      </c>
      <c r="AN691" s="17">
        <v>0</v>
      </c>
      <c r="AO691" s="17">
        <v>0</v>
      </c>
      <c r="AP691" s="17">
        <v>0</v>
      </c>
      <c r="AQ691" s="17">
        <v>0</v>
      </c>
      <c r="AR691" s="17">
        <v>0</v>
      </c>
      <c r="AS691" s="17">
        <v>0</v>
      </c>
      <c r="AT691" s="17">
        <v>0</v>
      </c>
      <c r="AU691" s="17">
        <v>0</v>
      </c>
      <c r="AV691" s="17">
        <v>0</v>
      </c>
      <c r="AW691" s="17">
        <v>0</v>
      </c>
      <c r="AX691" s="17">
        <v>0</v>
      </c>
      <c r="AY691" s="17">
        <v>0</v>
      </c>
      <c r="AZ691" s="17">
        <v>0</v>
      </c>
      <c r="BA691" s="17">
        <v>0</v>
      </c>
      <c r="BB691" s="17">
        <v>0</v>
      </c>
      <c r="BC691" s="17">
        <v>0</v>
      </c>
      <c r="BD691" s="17">
        <v>0</v>
      </c>
      <c r="BE691" s="17">
        <v>0</v>
      </c>
      <c r="BF691" s="17">
        <v>0</v>
      </c>
      <c r="BG691" s="17">
        <v>0</v>
      </c>
      <c r="BH691" s="17">
        <v>0</v>
      </c>
      <c r="BI691" s="22">
        <f t="shared" ref="BI691:BI693" si="210">SUM(M691+N691+P691+R691+T691+W691+Z691+AC691+AE691+AL691+AO691+AP691+AS691+AW691+AX691+BC691+BE691+BG691)</f>
        <v>0</v>
      </c>
      <c r="BJ691" s="22">
        <f t="shared" ref="BJ691:BJ693" si="211">SUM(H691:BG691)</f>
        <v>3</v>
      </c>
      <c r="BK691" s="22">
        <f t="shared" ref="BK691:BK693" si="212">SUM(H691+J691+K691+L691+O691+Q691+S691+U691+V691+X691+Y691+AA691+AB691+AD691+AF691+AG691+AH691+AI691+AJ691+AK691+AM691+AN691+AQ691+AR691+AT691+AU691+AV691+AY691+AZ691+BA691+BB691+BF691+BD691)</f>
        <v>0</v>
      </c>
      <c r="BL691" s="22">
        <f t="shared" ref="BL691:BM693" si="213">SUM(I691+M691+N691+P691+R691+T691+W691+Z691+AC691+AE691+AL691+AO691+AP691+AS691+AW691+AX691+BC691+BG691)</f>
        <v>3</v>
      </c>
      <c r="BM691" s="22">
        <f t="shared" si="213"/>
        <v>0</v>
      </c>
      <c r="BN691" s="23">
        <f t="shared" si="205"/>
        <v>1</v>
      </c>
      <c r="BO691" s="23" t="e">
        <f t="shared" si="205"/>
        <v>#DIV/0!</v>
      </c>
      <c r="BP691" s="7">
        <f>VLOOKUP(A691,[1]Sheet15!B:E,4,0)</f>
        <v>3</v>
      </c>
      <c r="BQ691" s="7">
        <f>VLOOKUP(A691,[1]Sheet15!B:E,3,0)</f>
        <v>0</v>
      </c>
    </row>
    <row r="692" spans="1:69" ht="22.5" customHeight="1" x14ac:dyDescent="0.25">
      <c r="A692" s="15" t="s">
        <v>1647</v>
      </c>
      <c r="B692" s="15" t="e">
        <f>VLOOKUP(A692,'[1]Master clients'!F671:W4218,17,0)</f>
        <v>#N/A</v>
      </c>
      <c r="C692" s="15" t="e">
        <f>VLOOKUP(A692,'[1]Master clients'!F671:P4218,11,0)</f>
        <v>#N/A</v>
      </c>
      <c r="D692" s="15" t="str">
        <f>VLOOKUP(A692,'[1]Master clients'!F:M,8,0)</f>
        <v>End User</v>
      </c>
      <c r="E692" s="16" t="s">
        <v>1648</v>
      </c>
      <c r="F692" s="16" t="s">
        <v>83</v>
      </c>
      <c r="G692" s="17"/>
      <c r="H692" s="17"/>
      <c r="I692" s="26">
        <v>7</v>
      </c>
      <c r="J692" s="18">
        <v>0</v>
      </c>
      <c r="K692" s="17">
        <v>0</v>
      </c>
      <c r="L692" s="17">
        <v>0</v>
      </c>
      <c r="M692" s="17">
        <v>0</v>
      </c>
      <c r="N692" s="17">
        <v>0</v>
      </c>
      <c r="O692" s="17">
        <v>0</v>
      </c>
      <c r="P692" s="17">
        <v>0</v>
      </c>
      <c r="Q692" s="17">
        <v>0</v>
      </c>
      <c r="R692" s="17">
        <v>0</v>
      </c>
      <c r="S692" s="17">
        <v>0</v>
      </c>
      <c r="T692" s="17">
        <v>0</v>
      </c>
      <c r="U692" s="17">
        <v>0</v>
      </c>
      <c r="V692" s="17">
        <v>0</v>
      </c>
      <c r="W692" s="17">
        <v>0</v>
      </c>
      <c r="X692" s="17">
        <v>0</v>
      </c>
      <c r="Y692" s="17">
        <v>0</v>
      </c>
      <c r="Z692" s="17">
        <v>0</v>
      </c>
      <c r="AA692" s="17">
        <v>0</v>
      </c>
      <c r="AB692" s="17">
        <v>0</v>
      </c>
      <c r="AC692" s="17">
        <v>0</v>
      </c>
      <c r="AD692" s="17">
        <v>0</v>
      </c>
      <c r="AE692" s="17">
        <v>0</v>
      </c>
      <c r="AF692" s="17">
        <v>0</v>
      </c>
      <c r="AG692" s="17">
        <v>0</v>
      </c>
      <c r="AH692" s="17">
        <v>0</v>
      </c>
      <c r="AI692" s="17">
        <v>0</v>
      </c>
      <c r="AJ692" s="17">
        <v>0</v>
      </c>
      <c r="AK692" s="17">
        <v>0</v>
      </c>
      <c r="AL692" s="17">
        <v>0</v>
      </c>
      <c r="AM692" s="17">
        <v>0</v>
      </c>
      <c r="AN692" s="17">
        <v>0</v>
      </c>
      <c r="AO692" s="17">
        <v>0</v>
      </c>
      <c r="AP692" s="17">
        <v>0</v>
      </c>
      <c r="AQ692" s="17">
        <v>0</v>
      </c>
      <c r="AR692" s="17">
        <v>0</v>
      </c>
      <c r="AS692" s="17">
        <v>0</v>
      </c>
      <c r="AT692" s="17">
        <v>0</v>
      </c>
      <c r="AU692" s="17">
        <v>0</v>
      </c>
      <c r="AV692" s="17">
        <v>0</v>
      </c>
      <c r="AW692" s="17">
        <v>0</v>
      </c>
      <c r="AX692" s="17">
        <v>0</v>
      </c>
      <c r="AY692" s="17">
        <v>0</v>
      </c>
      <c r="AZ692" s="17">
        <v>0</v>
      </c>
      <c r="BA692" s="17">
        <v>0</v>
      </c>
      <c r="BB692" s="17">
        <v>0</v>
      </c>
      <c r="BC692" s="17">
        <v>0</v>
      </c>
      <c r="BD692" s="17">
        <v>0</v>
      </c>
      <c r="BE692" s="17">
        <v>0</v>
      </c>
      <c r="BF692" s="17">
        <v>0</v>
      </c>
      <c r="BG692" s="17">
        <v>0</v>
      </c>
      <c r="BH692" s="17">
        <v>0</v>
      </c>
      <c r="BI692" s="22">
        <f t="shared" si="210"/>
        <v>0</v>
      </c>
      <c r="BJ692" s="22">
        <f t="shared" si="211"/>
        <v>7</v>
      </c>
      <c r="BK692" s="22">
        <f t="shared" si="212"/>
        <v>0</v>
      </c>
      <c r="BL692" s="22">
        <f t="shared" si="213"/>
        <v>7</v>
      </c>
      <c r="BM692" s="22">
        <f t="shared" si="213"/>
        <v>0</v>
      </c>
      <c r="BN692" s="23">
        <f t="shared" si="205"/>
        <v>1</v>
      </c>
      <c r="BO692" s="23" t="e">
        <f t="shared" si="205"/>
        <v>#DIV/0!</v>
      </c>
      <c r="BP692" s="7">
        <f>VLOOKUP(A692,[1]Sheet15!B:E,4,0)</f>
        <v>7</v>
      </c>
      <c r="BQ692" s="7">
        <f>VLOOKUP(A692,[1]Sheet15!B:E,3,0)</f>
        <v>0</v>
      </c>
    </row>
    <row r="693" spans="1:69" ht="22.5" customHeight="1" x14ac:dyDescent="0.25">
      <c r="A693" s="15" t="s">
        <v>1649</v>
      </c>
      <c r="B693" s="15" t="e">
        <f>VLOOKUP(A693,'[1]Master clients'!F672:W4219,17,0)</f>
        <v>#N/A</v>
      </c>
      <c r="C693" s="15" t="e">
        <f>VLOOKUP(A693,'[1]Master clients'!F672:P4219,11,0)</f>
        <v>#N/A</v>
      </c>
      <c r="D693" s="15" t="str">
        <f>VLOOKUP(A693,'[1]Master clients'!F:M,8,0)</f>
        <v>Group (Mills)</v>
      </c>
      <c r="E693" s="16" t="s">
        <v>1650</v>
      </c>
      <c r="F693" s="16" t="s">
        <v>83</v>
      </c>
      <c r="G693" s="17"/>
      <c r="H693" s="17"/>
      <c r="I693" s="26">
        <v>5</v>
      </c>
      <c r="J693" s="31">
        <v>0</v>
      </c>
      <c r="K693" s="17">
        <v>0</v>
      </c>
      <c r="L693" s="17">
        <v>0</v>
      </c>
      <c r="M693" s="17">
        <v>0</v>
      </c>
      <c r="N693" s="17">
        <v>0</v>
      </c>
      <c r="O693" s="17">
        <v>0</v>
      </c>
      <c r="P693" s="17">
        <v>0</v>
      </c>
      <c r="Q693" s="17">
        <v>0</v>
      </c>
      <c r="R693" s="17">
        <v>0</v>
      </c>
      <c r="S693" s="17">
        <v>0</v>
      </c>
      <c r="T693" s="17">
        <v>0</v>
      </c>
      <c r="U693" s="17">
        <v>0</v>
      </c>
      <c r="V693" s="17">
        <v>0</v>
      </c>
      <c r="W693" s="17">
        <v>0</v>
      </c>
      <c r="X693" s="17">
        <v>0</v>
      </c>
      <c r="Y693" s="17">
        <v>0</v>
      </c>
      <c r="Z693" s="17">
        <v>0</v>
      </c>
      <c r="AA693" s="17">
        <v>0</v>
      </c>
      <c r="AB693" s="17">
        <v>0</v>
      </c>
      <c r="AC693" s="17">
        <v>0</v>
      </c>
      <c r="AD693" s="17">
        <v>0</v>
      </c>
      <c r="AE693" s="17">
        <v>0</v>
      </c>
      <c r="AF693" s="17">
        <v>0</v>
      </c>
      <c r="AG693" s="17">
        <v>0</v>
      </c>
      <c r="AH693" s="17">
        <v>0</v>
      </c>
      <c r="AI693" s="17">
        <v>0</v>
      </c>
      <c r="AJ693" s="17">
        <v>0</v>
      </c>
      <c r="AK693" s="17">
        <v>0</v>
      </c>
      <c r="AL693" s="17">
        <v>0</v>
      </c>
      <c r="AM693" s="17">
        <v>0</v>
      </c>
      <c r="AN693" s="17">
        <v>0</v>
      </c>
      <c r="AO693" s="17">
        <v>0</v>
      </c>
      <c r="AP693" s="17">
        <v>0</v>
      </c>
      <c r="AQ693" s="17">
        <v>0</v>
      </c>
      <c r="AR693" s="17">
        <v>0</v>
      </c>
      <c r="AS693" s="17">
        <v>0</v>
      </c>
      <c r="AT693" s="17">
        <v>0</v>
      </c>
      <c r="AU693" s="17">
        <v>0</v>
      </c>
      <c r="AV693" s="17">
        <v>0</v>
      </c>
      <c r="AW693" s="17">
        <v>0</v>
      </c>
      <c r="AX693" s="17">
        <v>0</v>
      </c>
      <c r="AY693" s="17">
        <v>0</v>
      </c>
      <c r="AZ693" s="17">
        <v>0</v>
      </c>
      <c r="BA693" s="17">
        <v>0</v>
      </c>
      <c r="BB693" s="17">
        <v>0</v>
      </c>
      <c r="BC693" s="17">
        <v>0</v>
      </c>
      <c r="BD693" s="17">
        <v>0</v>
      </c>
      <c r="BE693" s="17">
        <v>0</v>
      </c>
      <c r="BF693" s="17">
        <v>0</v>
      </c>
      <c r="BG693" s="17">
        <v>0</v>
      </c>
      <c r="BH693" s="17">
        <v>0</v>
      </c>
      <c r="BI693" s="22">
        <f t="shared" si="210"/>
        <v>0</v>
      </c>
      <c r="BJ693" s="22">
        <f t="shared" si="211"/>
        <v>5</v>
      </c>
      <c r="BK693" s="22">
        <f t="shared" si="212"/>
        <v>0</v>
      </c>
      <c r="BL693" s="22">
        <f t="shared" si="213"/>
        <v>5</v>
      </c>
      <c r="BM693" s="22">
        <f t="shared" si="213"/>
        <v>0</v>
      </c>
      <c r="BN693" s="23">
        <f t="shared" si="205"/>
        <v>1</v>
      </c>
      <c r="BO693" s="23" t="e">
        <f t="shared" si="205"/>
        <v>#DIV/0!</v>
      </c>
      <c r="BP693" s="7">
        <f>VLOOKUP(A693,[1]Sheet15!B:E,4,0)</f>
        <v>5</v>
      </c>
      <c r="BQ693" s="7">
        <f>VLOOKUP(A693,[1]Sheet15!B:E,3,0)</f>
        <v>0</v>
      </c>
    </row>
    <row r="694" spans="1:69" ht="22.5" customHeight="1" x14ac:dyDescent="0.25">
      <c r="A694" s="15" t="s">
        <v>1651</v>
      </c>
      <c r="B694" s="15" t="e">
        <f>VLOOKUP(A694,'[1]Master clients'!F673:W4220,17,0)</f>
        <v>#N/A</v>
      </c>
      <c r="C694" s="15" t="e">
        <f>VLOOKUP(A694,'[1]Master clients'!F673:P4220,11,0)</f>
        <v>#N/A</v>
      </c>
      <c r="D694" s="15" t="str">
        <f>VLOOKUP(A694,'[1]Master clients'!F:M,8,0)</f>
        <v>End User</v>
      </c>
      <c r="E694" s="16" t="s">
        <v>1652</v>
      </c>
      <c r="F694" s="16" t="s">
        <v>1653</v>
      </c>
      <c r="G694" s="17">
        <v>0</v>
      </c>
      <c r="H694" s="17">
        <v>0</v>
      </c>
      <c r="I694" s="18">
        <v>0</v>
      </c>
      <c r="J694" s="18">
        <v>0</v>
      </c>
      <c r="K694" s="17">
        <v>0</v>
      </c>
      <c r="L694" s="17">
        <v>0</v>
      </c>
      <c r="M694" s="17">
        <v>0</v>
      </c>
      <c r="N694" s="17">
        <v>0</v>
      </c>
      <c r="O694" s="17">
        <v>0</v>
      </c>
      <c r="P694" s="19">
        <v>0</v>
      </c>
      <c r="Q694" s="19">
        <v>5</v>
      </c>
      <c r="R694" s="17">
        <v>10</v>
      </c>
      <c r="S694" s="17">
        <v>0</v>
      </c>
      <c r="T694" s="17">
        <v>0</v>
      </c>
      <c r="U694" s="17">
        <v>0</v>
      </c>
      <c r="V694" s="17">
        <v>0</v>
      </c>
      <c r="W694" s="20">
        <v>0</v>
      </c>
      <c r="X694" s="20">
        <v>0</v>
      </c>
      <c r="Y694" s="17">
        <v>0</v>
      </c>
      <c r="Z694" s="17">
        <v>0</v>
      </c>
      <c r="AA694" s="17">
        <v>0</v>
      </c>
      <c r="AB694" s="17">
        <v>0</v>
      </c>
      <c r="AC694" s="17">
        <v>0</v>
      </c>
      <c r="AD694" s="17">
        <v>0</v>
      </c>
      <c r="AE694" s="17">
        <v>0</v>
      </c>
      <c r="AF694" s="17">
        <v>0</v>
      </c>
      <c r="AG694" s="17">
        <v>0</v>
      </c>
      <c r="AH694" s="17">
        <v>0</v>
      </c>
      <c r="AI694" s="20">
        <v>0</v>
      </c>
      <c r="AJ694" s="20">
        <v>0</v>
      </c>
      <c r="AK694" s="17">
        <v>0</v>
      </c>
      <c r="AL694" s="20">
        <v>0</v>
      </c>
      <c r="AM694" s="17">
        <v>0</v>
      </c>
      <c r="AN694" s="17">
        <v>0</v>
      </c>
      <c r="AO694" s="17">
        <v>0</v>
      </c>
      <c r="AP694" s="17">
        <v>0</v>
      </c>
      <c r="AQ694" s="17">
        <v>0</v>
      </c>
      <c r="AR694" s="17">
        <v>0</v>
      </c>
      <c r="AS694" s="17">
        <v>0</v>
      </c>
      <c r="AT694" s="17">
        <v>0</v>
      </c>
      <c r="AU694" s="17">
        <v>0</v>
      </c>
      <c r="AV694" s="17">
        <v>0</v>
      </c>
      <c r="AW694" s="20">
        <v>0</v>
      </c>
      <c r="AX694" s="20">
        <v>0</v>
      </c>
      <c r="AY694" s="20">
        <v>0</v>
      </c>
      <c r="AZ694" s="17">
        <v>0</v>
      </c>
      <c r="BA694" s="17">
        <v>0</v>
      </c>
      <c r="BB694" s="17">
        <v>0</v>
      </c>
      <c r="BC694" s="17">
        <v>0</v>
      </c>
      <c r="BD694" s="17">
        <v>0</v>
      </c>
      <c r="BE694" s="21">
        <v>0</v>
      </c>
      <c r="BF694" s="21">
        <v>0</v>
      </c>
      <c r="BG694" s="17">
        <v>0</v>
      </c>
      <c r="BH694" s="17">
        <v>0</v>
      </c>
      <c r="BI694" s="22">
        <f>SUM(K694+L694+M694+P694+R694+T694+V694+W694+Y694+Z694+AB694+AC694+AE694+AG694+AH694+AI694+AJ694+AK694+AL694+AN694+AO694+AR694+AS694+AU694+AV694+AW694+AZ694+BA694+BB694+BC694+BE694+BG694)</f>
        <v>10</v>
      </c>
      <c r="BJ694" s="22">
        <f>SUM(N694+O694+Q694+S694+U694+X694+AA694+AD694+AF694+AM694+AP694+AQ694+AT694+AX694+AY694+BD694+BF694+BH694)</f>
        <v>5</v>
      </c>
      <c r="BK694" s="22">
        <f>SUM(I694:BH694)</f>
        <v>15</v>
      </c>
      <c r="BL694" s="22">
        <f>SUM(I694+K694+L694+M694+P694+R694+T694+V694+W694+Y694+Z694+AB694+AC694+AE694+AG694+AH694+AI694+AJ694+AK694+AL694+AN694+AO694+AR694+AS694+AU694+AV694+AW694+AZ694+BA694+BB694+BC694+BG694+BE694)</f>
        <v>10</v>
      </c>
      <c r="BM694" s="22">
        <f>SUM(J694+N694+O694+Q694+S694+U694+X694+AA694+AD694+AF694+AM694+AP694+AQ694+AT694+AX694+AY694+BD694+BH694)</f>
        <v>5</v>
      </c>
      <c r="BN694" s="23">
        <f t="shared" si="205"/>
        <v>0</v>
      </c>
      <c r="BO694" s="23">
        <f t="shared" si="205"/>
        <v>0</v>
      </c>
      <c r="BP694" s="7" t="e">
        <f>VLOOKUP(A694,[1]Sheet15!B:E,4,0)</f>
        <v>#N/A</v>
      </c>
      <c r="BQ694" s="7" t="e">
        <f>VLOOKUP(A694,[1]Sheet15!B:E,3,0)</f>
        <v>#N/A</v>
      </c>
    </row>
    <row r="695" spans="1:69" ht="22.5" customHeight="1" x14ac:dyDescent="0.25">
      <c r="A695" s="15" t="s">
        <v>1654</v>
      </c>
      <c r="B695" s="15" t="e">
        <f>VLOOKUP(A695,'[1]Master clients'!F674:W4221,17,0)</f>
        <v>#N/A</v>
      </c>
      <c r="C695" s="15" t="e">
        <f>VLOOKUP(A695,'[1]Master clients'!F674:P4221,11,0)</f>
        <v>#N/A</v>
      </c>
      <c r="D695" s="15" t="str">
        <f>VLOOKUP(A695,'[1]Master clients'!F:M,8,0)</f>
        <v>End User</v>
      </c>
      <c r="E695" s="16" t="s">
        <v>1655</v>
      </c>
      <c r="F695" s="16" t="s">
        <v>83</v>
      </c>
      <c r="G695" s="17"/>
      <c r="H695" s="17"/>
      <c r="I695" s="26">
        <v>2</v>
      </c>
      <c r="J695" s="31">
        <v>0</v>
      </c>
      <c r="K695" s="17">
        <v>0</v>
      </c>
      <c r="L695" s="17">
        <v>0</v>
      </c>
      <c r="M695" s="17">
        <v>0</v>
      </c>
      <c r="N695" s="17">
        <v>0</v>
      </c>
      <c r="O695" s="17">
        <v>0</v>
      </c>
      <c r="P695" s="17">
        <v>0</v>
      </c>
      <c r="Q695" s="17">
        <v>0</v>
      </c>
      <c r="R695" s="17">
        <v>0</v>
      </c>
      <c r="S695" s="17">
        <v>0</v>
      </c>
      <c r="T695" s="17">
        <v>0</v>
      </c>
      <c r="U695" s="17">
        <v>0</v>
      </c>
      <c r="V695" s="17">
        <v>0</v>
      </c>
      <c r="W695" s="17">
        <v>0</v>
      </c>
      <c r="X695" s="17">
        <v>0</v>
      </c>
      <c r="Y695" s="17">
        <v>0</v>
      </c>
      <c r="Z695" s="17">
        <v>0</v>
      </c>
      <c r="AA695" s="17">
        <v>0</v>
      </c>
      <c r="AB695" s="17">
        <v>0</v>
      </c>
      <c r="AC695" s="17">
        <v>0</v>
      </c>
      <c r="AD695" s="17">
        <v>0</v>
      </c>
      <c r="AE695" s="17">
        <v>0</v>
      </c>
      <c r="AF695" s="17">
        <v>0</v>
      </c>
      <c r="AG695" s="17">
        <v>0</v>
      </c>
      <c r="AH695" s="17">
        <v>0</v>
      </c>
      <c r="AI695" s="17">
        <v>0</v>
      </c>
      <c r="AJ695" s="17">
        <v>0</v>
      </c>
      <c r="AK695" s="17">
        <v>0</v>
      </c>
      <c r="AL695" s="17">
        <v>0</v>
      </c>
      <c r="AM695" s="17">
        <v>0</v>
      </c>
      <c r="AN695" s="17">
        <v>0</v>
      </c>
      <c r="AO695" s="17">
        <v>0</v>
      </c>
      <c r="AP695" s="17">
        <v>0</v>
      </c>
      <c r="AQ695" s="17">
        <v>0</v>
      </c>
      <c r="AR695" s="17">
        <v>0</v>
      </c>
      <c r="AS695" s="17">
        <v>0</v>
      </c>
      <c r="AT695" s="17">
        <v>0</v>
      </c>
      <c r="AU695" s="17">
        <v>0</v>
      </c>
      <c r="AV695" s="17">
        <v>0</v>
      </c>
      <c r="AW695" s="17">
        <v>0</v>
      </c>
      <c r="AX695" s="17">
        <v>0</v>
      </c>
      <c r="AY695" s="17">
        <v>0</v>
      </c>
      <c r="AZ695" s="17">
        <v>0</v>
      </c>
      <c r="BA695" s="17">
        <v>0</v>
      </c>
      <c r="BB695" s="17">
        <v>0</v>
      </c>
      <c r="BC695" s="17">
        <v>0</v>
      </c>
      <c r="BD695" s="17">
        <v>0</v>
      </c>
      <c r="BE695" s="17">
        <v>0</v>
      </c>
      <c r="BF695" s="17">
        <v>0</v>
      </c>
      <c r="BG695" s="17">
        <v>0</v>
      </c>
      <c r="BH695" s="17">
        <v>0</v>
      </c>
      <c r="BI695" s="22">
        <f>SUM(M695+N695+P695+R695+T695+W695+Z695+AC695+AE695+AL695+AO695+AP695+AS695+AW695+AX695+BC695+BE695+BG695)</f>
        <v>0</v>
      </c>
      <c r="BJ695" s="22">
        <f>SUM(H695:BG695)</f>
        <v>2</v>
      </c>
      <c r="BK695" s="22">
        <f>SUM(H695+J695+K695+L695+O695+Q695+S695+U695+V695+X695+Y695+AA695+AB695+AD695+AF695+AG695+AH695+AI695+AJ695+AK695+AM695+AN695+AQ695+AR695+AT695+AU695+AV695+AY695+AZ695+BA695+BB695+BF695+BD695)</f>
        <v>0</v>
      </c>
      <c r="BL695" s="22">
        <f t="shared" ref="BL695:BM710" si="214">SUM(I695+M695+N695+P695+R695+T695+W695+Z695+AC695+AE695+AL695+AO695+AP695+AS695+AW695+AX695+BC695+BG695)</f>
        <v>2</v>
      </c>
      <c r="BM695" s="22">
        <f t="shared" si="214"/>
        <v>0</v>
      </c>
      <c r="BN695" s="23">
        <f t="shared" si="205"/>
        <v>1</v>
      </c>
      <c r="BO695" s="23" t="e">
        <f t="shared" si="205"/>
        <v>#DIV/0!</v>
      </c>
      <c r="BP695" s="7">
        <f>VLOOKUP(A695,[1]Sheet15!B:E,4,0)</f>
        <v>2</v>
      </c>
      <c r="BQ695" s="7">
        <f>VLOOKUP(A695,[1]Sheet15!B:E,3,0)</f>
        <v>0</v>
      </c>
    </row>
    <row r="696" spans="1:69" ht="22.5" customHeight="1" x14ac:dyDescent="0.25">
      <c r="A696" s="15" t="s">
        <v>1656</v>
      </c>
      <c r="B696" s="15" t="e">
        <f>VLOOKUP(A696,'[1]Master clients'!F675:W4222,17,0)</f>
        <v>#N/A</v>
      </c>
      <c r="C696" s="15" t="e">
        <f>VLOOKUP(A696,'[1]Master clients'!F675:P4222,11,0)</f>
        <v>#N/A</v>
      </c>
      <c r="D696" s="15" t="str">
        <f>VLOOKUP(A696,'[1]Master clients'!F:M,8,0)</f>
        <v>Group (Mills)</v>
      </c>
      <c r="E696" s="16" t="s">
        <v>1657</v>
      </c>
      <c r="F696" s="16" t="s">
        <v>96</v>
      </c>
      <c r="G696" s="17">
        <v>86</v>
      </c>
      <c r="H696" s="17">
        <v>2</v>
      </c>
      <c r="I696" s="18">
        <v>72</v>
      </c>
      <c r="J696" s="17">
        <v>2</v>
      </c>
      <c r="K696" s="17">
        <v>0</v>
      </c>
      <c r="L696" s="17">
        <v>0</v>
      </c>
      <c r="M696" s="17">
        <v>0</v>
      </c>
      <c r="N696" s="17">
        <v>1</v>
      </c>
      <c r="O696" s="19">
        <v>0</v>
      </c>
      <c r="P696" s="19">
        <v>1</v>
      </c>
      <c r="Q696" s="19">
        <v>0</v>
      </c>
      <c r="R696" s="19">
        <v>0</v>
      </c>
      <c r="S696" s="19">
        <v>0</v>
      </c>
      <c r="T696" s="19">
        <v>0</v>
      </c>
      <c r="U696" s="19">
        <v>0</v>
      </c>
      <c r="V696" s="19">
        <v>0</v>
      </c>
      <c r="W696" s="20">
        <v>0</v>
      </c>
      <c r="X696" s="20">
        <v>0</v>
      </c>
      <c r="Y696" s="19">
        <v>0</v>
      </c>
      <c r="Z696" s="19">
        <v>0</v>
      </c>
      <c r="AA696" s="19">
        <v>0</v>
      </c>
      <c r="AB696" s="19">
        <v>0</v>
      </c>
      <c r="AC696" s="19">
        <v>0</v>
      </c>
      <c r="AD696" s="19">
        <v>0</v>
      </c>
      <c r="AE696" s="19">
        <v>0</v>
      </c>
      <c r="AF696" s="19">
        <v>0</v>
      </c>
      <c r="AG696" s="19">
        <v>0</v>
      </c>
      <c r="AH696" s="19">
        <v>0</v>
      </c>
      <c r="AI696" s="20">
        <v>0</v>
      </c>
      <c r="AJ696" s="20">
        <v>0</v>
      </c>
      <c r="AK696" s="19">
        <v>0</v>
      </c>
      <c r="AL696" s="20">
        <v>0</v>
      </c>
      <c r="AM696" s="19">
        <v>0</v>
      </c>
      <c r="AN696" s="19">
        <v>0</v>
      </c>
      <c r="AO696" s="19">
        <v>0</v>
      </c>
      <c r="AP696" s="19">
        <v>0</v>
      </c>
      <c r="AQ696" s="19">
        <v>0</v>
      </c>
      <c r="AR696" s="19">
        <v>0</v>
      </c>
      <c r="AS696" s="19">
        <v>0</v>
      </c>
      <c r="AT696" s="19">
        <v>0</v>
      </c>
      <c r="AU696" s="19">
        <v>0</v>
      </c>
      <c r="AV696" s="19">
        <v>0</v>
      </c>
      <c r="AW696" s="20">
        <v>0</v>
      </c>
      <c r="AX696" s="20">
        <v>0</v>
      </c>
      <c r="AY696" s="20">
        <v>0</v>
      </c>
      <c r="AZ696" s="19">
        <v>0</v>
      </c>
      <c r="BA696" s="19">
        <v>0</v>
      </c>
      <c r="BB696" s="19">
        <v>0</v>
      </c>
      <c r="BC696" s="19">
        <v>0</v>
      </c>
      <c r="BD696" s="19">
        <v>0</v>
      </c>
      <c r="BE696" s="21">
        <v>0</v>
      </c>
      <c r="BF696" s="21">
        <v>0</v>
      </c>
      <c r="BG696" s="19">
        <v>0</v>
      </c>
      <c r="BH696" s="19">
        <v>0</v>
      </c>
      <c r="BI696" s="22">
        <f t="shared" ref="BI696:BI726" si="215">SUM(K696+L696+M696+P696+R696+T696+V696+W696+Y696+Z696+AB696+AC696+AE696+AG696+AH696+AI696+AJ696+AK696+AL696+AN696+AO696+AR696+AS696+AU696+AV696+AW696+AZ696+BA696+BB696+BC696+BE696+BG696)</f>
        <v>1</v>
      </c>
      <c r="BJ696" s="22">
        <f t="shared" ref="BJ696:BJ726" si="216">SUM(N696+O696+Q696+S696+U696+X696+AA696+AD696+AF696+AM696+AP696+AQ696+AT696+AX696+AY696+BD696+BF696+BH696)</f>
        <v>1</v>
      </c>
      <c r="BK696" s="22">
        <f t="shared" ref="BK696:BK726" si="217">SUM(I696:BH696)</f>
        <v>76</v>
      </c>
      <c r="BL696" s="22">
        <f t="shared" ref="BL696:BL726" si="218">SUM(I696+K696+L696+M696+P696+R696+T696+V696+W696+Y696+Z696+AB696+AC696+AE696+AG696+AH696+AI696+AJ696+AK696+AL696+AN696+AO696+AR696+AS696+AU696+AV696+AW696+AZ696+BA696+BB696+BC696+BG696+BE696)</f>
        <v>73</v>
      </c>
      <c r="BM696" s="22">
        <f t="shared" si="214"/>
        <v>3</v>
      </c>
      <c r="BN696" s="23">
        <f t="shared" si="205"/>
        <v>0.98630136986301364</v>
      </c>
      <c r="BO696" s="23">
        <f t="shared" si="205"/>
        <v>0.66666666666666663</v>
      </c>
      <c r="BP696" s="7" t="e">
        <f>VLOOKUP(A696,[1]Sheet15!B:E,4,0)</f>
        <v>#N/A</v>
      </c>
      <c r="BQ696" s="7" t="e">
        <f>VLOOKUP(A696,[1]Sheet15!B:E,3,0)</f>
        <v>#N/A</v>
      </c>
    </row>
    <row r="697" spans="1:69" ht="22.5" customHeight="1" x14ac:dyDescent="0.25">
      <c r="A697" s="15" t="s">
        <v>1658</v>
      </c>
      <c r="B697" s="15" t="e">
        <f>VLOOKUP(A697,'[1]Master clients'!F676:W4223,17,0)</f>
        <v>#N/A</v>
      </c>
      <c r="C697" s="15" t="e">
        <f>VLOOKUP(A697,'[1]Master clients'!F676:P4223,11,0)</f>
        <v>#N/A</v>
      </c>
      <c r="D697" s="15" t="str">
        <f>VLOOKUP(A697,'[1]Master clients'!F:M,8,0)</f>
        <v>End User</v>
      </c>
      <c r="E697" s="16" t="s">
        <v>1659</v>
      </c>
      <c r="F697" s="16" t="s">
        <v>1660</v>
      </c>
      <c r="G697" s="17">
        <v>1</v>
      </c>
      <c r="H697" s="17">
        <v>1</v>
      </c>
      <c r="I697" s="18">
        <v>16</v>
      </c>
      <c r="J697" s="18">
        <v>1</v>
      </c>
      <c r="K697" s="17">
        <v>0</v>
      </c>
      <c r="L697" s="17">
        <v>0</v>
      </c>
      <c r="M697" s="17">
        <v>0</v>
      </c>
      <c r="N697" s="17">
        <v>0</v>
      </c>
      <c r="O697" s="19">
        <v>0</v>
      </c>
      <c r="P697" s="19">
        <v>0</v>
      </c>
      <c r="Q697" s="19">
        <v>3</v>
      </c>
      <c r="R697" s="19">
        <v>0</v>
      </c>
      <c r="S697" s="19">
        <v>0</v>
      </c>
      <c r="T697" s="19">
        <v>0</v>
      </c>
      <c r="U697" s="19">
        <v>0</v>
      </c>
      <c r="V697" s="19">
        <v>0</v>
      </c>
      <c r="W697" s="20">
        <v>0</v>
      </c>
      <c r="X697" s="20">
        <v>0</v>
      </c>
      <c r="Y697" s="19">
        <v>0</v>
      </c>
      <c r="Z697" s="19">
        <v>0</v>
      </c>
      <c r="AA697" s="19">
        <v>0</v>
      </c>
      <c r="AB697" s="19">
        <v>0</v>
      </c>
      <c r="AC697" s="19">
        <v>0</v>
      </c>
      <c r="AD697" s="19">
        <v>0</v>
      </c>
      <c r="AE697" s="19">
        <v>0</v>
      </c>
      <c r="AF697" s="19">
        <v>0</v>
      </c>
      <c r="AG697" s="19">
        <v>0</v>
      </c>
      <c r="AH697" s="19">
        <v>0</v>
      </c>
      <c r="AI697" s="20">
        <v>0</v>
      </c>
      <c r="AJ697" s="20">
        <v>0</v>
      </c>
      <c r="AK697" s="19">
        <v>0</v>
      </c>
      <c r="AL697" s="20">
        <v>0</v>
      </c>
      <c r="AM697" s="19">
        <v>0</v>
      </c>
      <c r="AN697" s="19">
        <v>0</v>
      </c>
      <c r="AO697" s="19">
        <v>0</v>
      </c>
      <c r="AP697" s="19">
        <v>0</v>
      </c>
      <c r="AQ697" s="19">
        <v>0</v>
      </c>
      <c r="AR697" s="19">
        <v>0</v>
      </c>
      <c r="AS697" s="19">
        <v>0</v>
      </c>
      <c r="AT697" s="19">
        <v>0</v>
      </c>
      <c r="AU697" s="19">
        <v>0</v>
      </c>
      <c r="AV697" s="19">
        <v>0</v>
      </c>
      <c r="AW697" s="20">
        <v>0</v>
      </c>
      <c r="AX697" s="20">
        <v>0</v>
      </c>
      <c r="AY697" s="20">
        <v>0</v>
      </c>
      <c r="AZ697" s="19">
        <v>0</v>
      </c>
      <c r="BA697" s="19">
        <v>0</v>
      </c>
      <c r="BB697" s="19">
        <v>0</v>
      </c>
      <c r="BC697" s="19">
        <v>0</v>
      </c>
      <c r="BD697" s="19">
        <v>0</v>
      </c>
      <c r="BE697" s="21">
        <v>0</v>
      </c>
      <c r="BF697" s="21">
        <v>0</v>
      </c>
      <c r="BG697" s="19">
        <v>0</v>
      </c>
      <c r="BH697" s="19">
        <v>0</v>
      </c>
      <c r="BI697" s="22">
        <f t="shared" si="215"/>
        <v>0</v>
      </c>
      <c r="BJ697" s="22">
        <f t="shared" si="216"/>
        <v>3</v>
      </c>
      <c r="BK697" s="22">
        <f t="shared" si="217"/>
        <v>20</v>
      </c>
      <c r="BL697" s="22">
        <f t="shared" si="218"/>
        <v>16</v>
      </c>
      <c r="BM697" s="22">
        <f t="shared" si="214"/>
        <v>4</v>
      </c>
      <c r="BN697" s="23">
        <f t="shared" si="205"/>
        <v>1</v>
      </c>
      <c r="BO697" s="23">
        <f t="shared" si="205"/>
        <v>0.25</v>
      </c>
      <c r="BP697" s="7">
        <f>VLOOKUP(A697,[1]Sheet15!B:E,4,0)</f>
        <v>12</v>
      </c>
      <c r="BQ697" s="7">
        <f>VLOOKUP(A697,[1]Sheet15!B:E,3,0)</f>
        <v>1</v>
      </c>
    </row>
    <row r="698" spans="1:69" ht="22.5" customHeight="1" x14ac:dyDescent="0.25">
      <c r="A698" s="15" t="s">
        <v>1661</v>
      </c>
      <c r="B698" s="15" t="e">
        <f>VLOOKUP(A698,'[1]Master clients'!F677:W4224,17,0)</f>
        <v>#N/A</v>
      </c>
      <c r="C698" s="15" t="e">
        <f>VLOOKUP(A698,'[1]Master clients'!F677:P4224,11,0)</f>
        <v>#N/A</v>
      </c>
      <c r="D698" s="15" t="str">
        <f>VLOOKUP(A698,'[1]Master clients'!F:M,8,0)</f>
        <v>End User</v>
      </c>
      <c r="E698" s="16" t="s">
        <v>1662</v>
      </c>
      <c r="F698" s="16" t="s">
        <v>96</v>
      </c>
      <c r="G698" s="17"/>
      <c r="H698" s="17"/>
      <c r="I698" s="31">
        <v>5</v>
      </c>
      <c r="J698" s="31">
        <v>0</v>
      </c>
      <c r="K698" s="17">
        <v>0</v>
      </c>
      <c r="L698" s="17">
        <v>0</v>
      </c>
      <c r="M698" s="17">
        <v>0</v>
      </c>
      <c r="N698" s="17">
        <v>0</v>
      </c>
      <c r="O698" s="17">
        <v>0</v>
      </c>
      <c r="P698" s="17">
        <v>0</v>
      </c>
      <c r="Q698" s="17">
        <v>0</v>
      </c>
      <c r="R698" s="17">
        <v>0</v>
      </c>
      <c r="S698" s="17">
        <v>0</v>
      </c>
      <c r="T698" s="17">
        <v>0</v>
      </c>
      <c r="U698" s="17">
        <v>0</v>
      </c>
      <c r="V698" s="17">
        <v>0</v>
      </c>
      <c r="W698" s="17">
        <v>0</v>
      </c>
      <c r="X698" s="17">
        <v>0</v>
      </c>
      <c r="Y698" s="17">
        <v>0</v>
      </c>
      <c r="Z698" s="17">
        <v>0</v>
      </c>
      <c r="AA698" s="17">
        <v>0</v>
      </c>
      <c r="AB698" s="17">
        <v>0</v>
      </c>
      <c r="AC698" s="17">
        <v>0</v>
      </c>
      <c r="AD698" s="17">
        <v>0</v>
      </c>
      <c r="AE698" s="17">
        <v>0</v>
      </c>
      <c r="AF698" s="17">
        <v>0</v>
      </c>
      <c r="AG698" s="17">
        <v>0</v>
      </c>
      <c r="AH698" s="17">
        <v>0</v>
      </c>
      <c r="AI698" s="17">
        <v>0</v>
      </c>
      <c r="AJ698" s="17">
        <v>0</v>
      </c>
      <c r="AK698" s="17">
        <v>0</v>
      </c>
      <c r="AL698" s="17">
        <v>0</v>
      </c>
      <c r="AM698" s="17">
        <v>0</v>
      </c>
      <c r="AN698" s="17">
        <v>0</v>
      </c>
      <c r="AO698" s="17">
        <v>0</v>
      </c>
      <c r="AP698" s="17">
        <v>0</v>
      </c>
      <c r="AQ698" s="17">
        <v>0</v>
      </c>
      <c r="AR698" s="17">
        <v>0</v>
      </c>
      <c r="AS698" s="17">
        <v>0</v>
      </c>
      <c r="AT698" s="17">
        <v>0</v>
      </c>
      <c r="AU698" s="17">
        <v>0</v>
      </c>
      <c r="AV698" s="17">
        <v>0</v>
      </c>
      <c r="AW698" s="17">
        <v>0</v>
      </c>
      <c r="AX698" s="17">
        <v>0</v>
      </c>
      <c r="AY698" s="17">
        <v>0</v>
      </c>
      <c r="AZ698" s="17">
        <v>0</v>
      </c>
      <c r="BA698" s="17">
        <v>0</v>
      </c>
      <c r="BB698" s="17">
        <v>0</v>
      </c>
      <c r="BC698" s="17">
        <v>0</v>
      </c>
      <c r="BD698" s="17">
        <v>0</v>
      </c>
      <c r="BE698" s="17">
        <v>0</v>
      </c>
      <c r="BF698" s="17">
        <v>0</v>
      </c>
      <c r="BG698" s="17">
        <v>0</v>
      </c>
      <c r="BH698" s="17">
        <v>0</v>
      </c>
      <c r="BI698" s="22">
        <f t="shared" si="215"/>
        <v>0</v>
      </c>
      <c r="BJ698" s="22">
        <f t="shared" si="216"/>
        <v>0</v>
      </c>
      <c r="BK698" s="22">
        <f t="shared" si="217"/>
        <v>5</v>
      </c>
      <c r="BL698" s="22">
        <f t="shared" si="218"/>
        <v>5</v>
      </c>
      <c r="BM698" s="22">
        <f t="shared" si="214"/>
        <v>0</v>
      </c>
      <c r="BN698" s="23">
        <f t="shared" si="205"/>
        <v>1</v>
      </c>
      <c r="BO698" s="23" t="e">
        <f t="shared" si="205"/>
        <v>#DIV/0!</v>
      </c>
      <c r="BP698" s="7">
        <f>VLOOKUP(A698,[1]Sheet15!B:E,4,0)</f>
        <v>5</v>
      </c>
      <c r="BQ698" s="7">
        <f>VLOOKUP(A698,[1]Sheet15!B:E,3,0)</f>
        <v>0</v>
      </c>
    </row>
    <row r="699" spans="1:69" ht="22.5" customHeight="1" x14ac:dyDescent="0.25">
      <c r="A699" s="15" t="s">
        <v>1663</v>
      </c>
      <c r="B699" s="15" t="e">
        <f>VLOOKUP(A699,'[1]Master clients'!F678:W4225,17,0)</f>
        <v>#N/A</v>
      </c>
      <c r="C699" s="15" t="e">
        <f>VLOOKUP(A699,'[1]Master clients'!F678:P4225,11,0)</f>
        <v>#N/A</v>
      </c>
      <c r="D699" s="15" t="str">
        <f>VLOOKUP(A699,'[1]Master clients'!F:M,8,0)</f>
        <v>End User</v>
      </c>
      <c r="E699" s="16" t="s">
        <v>1664</v>
      </c>
      <c r="F699" s="16" t="s">
        <v>83</v>
      </c>
      <c r="G699" s="17">
        <v>0</v>
      </c>
      <c r="H699" s="17">
        <v>0</v>
      </c>
      <c r="I699" s="26">
        <v>2</v>
      </c>
      <c r="J699" s="18">
        <v>0</v>
      </c>
      <c r="K699" s="17">
        <v>0</v>
      </c>
      <c r="L699" s="17">
        <v>0</v>
      </c>
      <c r="M699" s="17">
        <v>0</v>
      </c>
      <c r="N699" s="17">
        <v>0</v>
      </c>
      <c r="O699" s="19">
        <v>0</v>
      </c>
      <c r="P699" s="19">
        <v>0</v>
      </c>
      <c r="Q699" s="19">
        <v>0</v>
      </c>
      <c r="R699" s="19">
        <v>0</v>
      </c>
      <c r="S699" s="19">
        <v>0</v>
      </c>
      <c r="T699" s="19">
        <v>0</v>
      </c>
      <c r="U699" s="19">
        <v>0</v>
      </c>
      <c r="V699" s="19">
        <v>0</v>
      </c>
      <c r="W699" s="20">
        <v>0</v>
      </c>
      <c r="X699" s="20">
        <v>0</v>
      </c>
      <c r="Y699" s="19">
        <v>0</v>
      </c>
      <c r="Z699" s="19">
        <v>0</v>
      </c>
      <c r="AA699" s="19">
        <v>0</v>
      </c>
      <c r="AB699" s="19">
        <v>0</v>
      </c>
      <c r="AC699" s="19">
        <v>0</v>
      </c>
      <c r="AD699" s="19">
        <v>0</v>
      </c>
      <c r="AE699" s="19">
        <v>0</v>
      </c>
      <c r="AF699" s="19">
        <v>0</v>
      </c>
      <c r="AG699" s="19">
        <v>0</v>
      </c>
      <c r="AH699" s="19">
        <v>0</v>
      </c>
      <c r="AI699" s="20">
        <v>0</v>
      </c>
      <c r="AJ699" s="20">
        <v>0</v>
      </c>
      <c r="AK699" s="19">
        <v>10</v>
      </c>
      <c r="AL699" s="20">
        <v>0</v>
      </c>
      <c r="AM699" s="19">
        <v>0</v>
      </c>
      <c r="AN699" s="19">
        <v>0</v>
      </c>
      <c r="AO699" s="19">
        <v>0</v>
      </c>
      <c r="AP699" s="19">
        <v>0</v>
      </c>
      <c r="AQ699" s="19">
        <v>0</v>
      </c>
      <c r="AR699" s="19">
        <v>0</v>
      </c>
      <c r="AS699" s="19">
        <v>0</v>
      </c>
      <c r="AT699" s="19">
        <v>0</v>
      </c>
      <c r="AU699" s="19">
        <v>0</v>
      </c>
      <c r="AV699" s="19">
        <v>0</v>
      </c>
      <c r="AW699" s="20">
        <v>0</v>
      </c>
      <c r="AX699" s="20">
        <v>0</v>
      </c>
      <c r="AY699" s="20">
        <v>0</v>
      </c>
      <c r="AZ699" s="19">
        <v>0</v>
      </c>
      <c r="BA699" s="19">
        <v>0</v>
      </c>
      <c r="BB699" s="19">
        <v>0</v>
      </c>
      <c r="BC699" s="19">
        <v>0</v>
      </c>
      <c r="BD699" s="19">
        <v>0</v>
      </c>
      <c r="BE699" s="21">
        <v>0</v>
      </c>
      <c r="BF699" s="21">
        <v>0</v>
      </c>
      <c r="BG699" s="19">
        <v>0</v>
      </c>
      <c r="BH699" s="19">
        <v>0</v>
      </c>
      <c r="BI699" s="22">
        <f t="shared" si="215"/>
        <v>10</v>
      </c>
      <c r="BJ699" s="22">
        <f t="shared" si="216"/>
        <v>0</v>
      </c>
      <c r="BK699" s="28">
        <f t="shared" si="217"/>
        <v>12</v>
      </c>
      <c r="BL699" s="22">
        <f t="shared" si="218"/>
        <v>12</v>
      </c>
      <c r="BM699" s="22">
        <f t="shared" si="214"/>
        <v>0</v>
      </c>
      <c r="BN699" s="23">
        <f t="shared" si="205"/>
        <v>0.16666666666666666</v>
      </c>
      <c r="BO699" s="23" t="e">
        <f t="shared" si="205"/>
        <v>#DIV/0!</v>
      </c>
      <c r="BP699" s="7">
        <f>VLOOKUP(A699,[1]Sheet15!B:E,4,0)</f>
        <v>2</v>
      </c>
      <c r="BQ699" s="7">
        <f>VLOOKUP(A699,[1]Sheet15!B:E,3,0)</f>
        <v>0</v>
      </c>
    </row>
    <row r="700" spans="1:69" ht="22.5" customHeight="1" x14ac:dyDescent="0.25">
      <c r="A700" s="15" t="s">
        <v>1665</v>
      </c>
      <c r="B700" s="15" t="e">
        <f>VLOOKUP(A700,'[1]Master clients'!F679:W4226,17,0)</f>
        <v>#N/A</v>
      </c>
      <c r="C700" s="15" t="e">
        <f>VLOOKUP(A700,'[1]Master clients'!F679:P4226,11,0)</f>
        <v>#N/A</v>
      </c>
      <c r="D700" s="15" t="str">
        <f>VLOOKUP(A700,'[1]Master clients'!F:M,8,0)</f>
        <v>End User</v>
      </c>
      <c r="E700" s="16" t="s">
        <v>1666</v>
      </c>
      <c r="F700" s="16" t="s">
        <v>83</v>
      </c>
      <c r="G700" s="17"/>
      <c r="H700" s="17"/>
      <c r="I700" s="31">
        <v>0</v>
      </c>
      <c r="J700" s="31">
        <v>0</v>
      </c>
      <c r="K700" s="17">
        <v>0</v>
      </c>
      <c r="L700" s="17">
        <v>0</v>
      </c>
      <c r="M700" s="17">
        <v>0</v>
      </c>
      <c r="N700" s="17">
        <v>0</v>
      </c>
      <c r="O700" s="17">
        <v>0</v>
      </c>
      <c r="P700" s="17">
        <v>0</v>
      </c>
      <c r="Q700" s="17">
        <v>0</v>
      </c>
      <c r="R700" s="17">
        <v>0</v>
      </c>
      <c r="S700" s="17">
        <v>0</v>
      </c>
      <c r="T700" s="17">
        <v>0</v>
      </c>
      <c r="U700" s="17">
        <v>0</v>
      </c>
      <c r="V700" s="17">
        <v>0</v>
      </c>
      <c r="W700" s="17">
        <v>0</v>
      </c>
      <c r="X700" s="17">
        <v>0</v>
      </c>
      <c r="Y700" s="17">
        <v>0</v>
      </c>
      <c r="Z700" s="17">
        <v>0</v>
      </c>
      <c r="AA700" s="17">
        <v>0</v>
      </c>
      <c r="AB700" s="17">
        <v>0</v>
      </c>
      <c r="AC700" s="17">
        <v>0</v>
      </c>
      <c r="AD700" s="17">
        <v>0</v>
      </c>
      <c r="AE700" s="17">
        <v>0</v>
      </c>
      <c r="AF700" s="17">
        <v>0</v>
      </c>
      <c r="AG700" s="17">
        <v>0</v>
      </c>
      <c r="AH700" s="17">
        <v>0</v>
      </c>
      <c r="AI700" s="17">
        <v>0</v>
      </c>
      <c r="AJ700" s="17">
        <v>0</v>
      </c>
      <c r="AK700" s="17">
        <v>0</v>
      </c>
      <c r="AL700" s="17">
        <v>0</v>
      </c>
      <c r="AM700" s="17">
        <v>0</v>
      </c>
      <c r="AN700" s="17">
        <v>0</v>
      </c>
      <c r="AO700" s="17">
        <v>0</v>
      </c>
      <c r="AP700" s="17">
        <v>0</v>
      </c>
      <c r="AQ700" s="17">
        <v>0</v>
      </c>
      <c r="AR700" s="17">
        <v>0</v>
      </c>
      <c r="AS700" s="17">
        <v>0</v>
      </c>
      <c r="AT700" s="17">
        <v>0</v>
      </c>
      <c r="AU700" s="17">
        <v>0</v>
      </c>
      <c r="AV700" s="17">
        <v>0</v>
      </c>
      <c r="AW700" s="17">
        <v>0</v>
      </c>
      <c r="AX700" s="17">
        <v>0</v>
      </c>
      <c r="AY700" s="17">
        <v>0</v>
      </c>
      <c r="AZ700" s="17">
        <v>0</v>
      </c>
      <c r="BA700" s="17">
        <v>0</v>
      </c>
      <c r="BB700" s="17">
        <v>0</v>
      </c>
      <c r="BC700" s="17">
        <v>0</v>
      </c>
      <c r="BD700" s="17">
        <v>0</v>
      </c>
      <c r="BE700" s="17">
        <v>0</v>
      </c>
      <c r="BF700" s="17">
        <v>0</v>
      </c>
      <c r="BG700" s="17">
        <v>0</v>
      </c>
      <c r="BH700" s="17">
        <v>0</v>
      </c>
      <c r="BI700" s="22">
        <f t="shared" si="215"/>
        <v>0</v>
      </c>
      <c r="BJ700" s="22">
        <f t="shared" si="216"/>
        <v>0</v>
      </c>
      <c r="BK700" s="22">
        <f t="shared" si="217"/>
        <v>0</v>
      </c>
      <c r="BL700" s="22">
        <f t="shared" si="218"/>
        <v>0</v>
      </c>
      <c r="BM700" s="22">
        <f t="shared" si="214"/>
        <v>0</v>
      </c>
      <c r="BN700" s="23" t="e">
        <f t="shared" si="205"/>
        <v>#DIV/0!</v>
      </c>
      <c r="BO700" s="23" t="e">
        <f t="shared" si="205"/>
        <v>#DIV/0!</v>
      </c>
      <c r="BP700" s="7" t="e">
        <f>VLOOKUP(A700,[1]Sheet15!B:E,4,0)</f>
        <v>#N/A</v>
      </c>
      <c r="BQ700" s="7" t="e">
        <f>VLOOKUP(A700,[1]Sheet15!B:E,3,0)</f>
        <v>#N/A</v>
      </c>
    </row>
    <row r="701" spans="1:69" ht="22.5" customHeight="1" x14ac:dyDescent="0.25">
      <c r="A701" s="15" t="s">
        <v>1667</v>
      </c>
      <c r="B701" s="15" t="e">
        <f>VLOOKUP(A701,'[1]Master clients'!F680:W4227,17,0)</f>
        <v>#N/A</v>
      </c>
      <c r="C701" s="15" t="e">
        <f>VLOOKUP(A701,'[1]Master clients'!F680:P4227,11,0)</f>
        <v>#N/A</v>
      </c>
      <c r="D701" s="15" t="str">
        <f>VLOOKUP(A701,'[1]Master clients'!F:M,8,0)</f>
        <v>Group (Mills)</v>
      </c>
      <c r="E701" s="16" t="s">
        <v>1668</v>
      </c>
      <c r="F701" s="16" t="s">
        <v>83</v>
      </c>
      <c r="G701" s="17">
        <v>2</v>
      </c>
      <c r="H701" s="17">
        <v>0</v>
      </c>
      <c r="I701" s="18">
        <v>1</v>
      </c>
      <c r="J701" s="18">
        <v>0</v>
      </c>
      <c r="K701" s="17">
        <v>0</v>
      </c>
      <c r="L701" s="17">
        <v>0</v>
      </c>
      <c r="M701" s="17">
        <v>0</v>
      </c>
      <c r="N701" s="17">
        <v>0</v>
      </c>
      <c r="O701" s="19">
        <v>0</v>
      </c>
      <c r="P701" s="19">
        <v>0</v>
      </c>
      <c r="Q701" s="19">
        <v>1</v>
      </c>
      <c r="R701" s="19">
        <v>0</v>
      </c>
      <c r="S701" s="19">
        <v>0</v>
      </c>
      <c r="T701" s="19">
        <v>0</v>
      </c>
      <c r="U701" s="19">
        <v>0</v>
      </c>
      <c r="V701" s="19">
        <v>0</v>
      </c>
      <c r="W701" s="20">
        <v>0</v>
      </c>
      <c r="X701" s="20">
        <v>0</v>
      </c>
      <c r="Y701" s="19">
        <v>0</v>
      </c>
      <c r="Z701" s="19">
        <v>7</v>
      </c>
      <c r="AA701" s="19">
        <v>1</v>
      </c>
      <c r="AB701" s="19">
        <v>0</v>
      </c>
      <c r="AC701" s="19">
        <v>0</v>
      </c>
      <c r="AD701" s="19">
        <v>5</v>
      </c>
      <c r="AE701" s="19">
        <v>0</v>
      </c>
      <c r="AF701" s="19">
        <v>0</v>
      </c>
      <c r="AG701" s="19">
        <v>0</v>
      </c>
      <c r="AH701" s="19">
        <v>0</v>
      </c>
      <c r="AI701" s="20">
        <v>0</v>
      </c>
      <c r="AJ701" s="20">
        <v>0</v>
      </c>
      <c r="AK701" s="19">
        <v>0</v>
      </c>
      <c r="AL701" s="20">
        <v>0</v>
      </c>
      <c r="AM701" s="19">
        <v>0</v>
      </c>
      <c r="AN701" s="19">
        <v>0</v>
      </c>
      <c r="AO701" s="19">
        <v>0</v>
      </c>
      <c r="AP701" s="19">
        <v>0</v>
      </c>
      <c r="AQ701" s="19">
        <v>6</v>
      </c>
      <c r="AR701" s="19">
        <v>0</v>
      </c>
      <c r="AS701" s="19">
        <v>9</v>
      </c>
      <c r="AT701" s="19">
        <v>0</v>
      </c>
      <c r="AU701" s="19">
        <v>0</v>
      </c>
      <c r="AV701" s="19">
        <v>0</v>
      </c>
      <c r="AW701" s="20">
        <v>0</v>
      </c>
      <c r="AX701" s="20">
        <v>0</v>
      </c>
      <c r="AY701" s="20">
        <v>0</v>
      </c>
      <c r="AZ701" s="19">
        <v>0</v>
      </c>
      <c r="BA701" s="19">
        <v>0</v>
      </c>
      <c r="BB701" s="19">
        <v>0</v>
      </c>
      <c r="BC701" s="19">
        <v>0</v>
      </c>
      <c r="BD701" s="19">
        <v>0</v>
      </c>
      <c r="BE701" s="21">
        <v>0</v>
      </c>
      <c r="BF701" s="21">
        <v>0</v>
      </c>
      <c r="BG701" s="19">
        <v>0</v>
      </c>
      <c r="BH701" s="19">
        <v>0</v>
      </c>
      <c r="BI701" s="22">
        <f t="shared" si="215"/>
        <v>16</v>
      </c>
      <c r="BJ701" s="22">
        <f t="shared" si="216"/>
        <v>13</v>
      </c>
      <c r="BK701" s="22">
        <f t="shared" si="217"/>
        <v>30</v>
      </c>
      <c r="BL701" s="22">
        <f t="shared" si="218"/>
        <v>17</v>
      </c>
      <c r="BM701" s="22">
        <f t="shared" si="214"/>
        <v>13</v>
      </c>
      <c r="BN701" s="23">
        <f t="shared" si="205"/>
        <v>5.8823529411764705E-2</v>
      </c>
      <c r="BO701" s="23">
        <f t="shared" si="205"/>
        <v>0</v>
      </c>
      <c r="BP701" s="7">
        <f>VLOOKUP(A701,[1]Sheet15!B:E,4,0)</f>
        <v>6</v>
      </c>
      <c r="BQ701" s="7">
        <f>VLOOKUP(A701,[1]Sheet15!B:E,3,0)</f>
        <v>0</v>
      </c>
    </row>
    <row r="702" spans="1:69" ht="22.5" customHeight="1" x14ac:dyDescent="0.25">
      <c r="A702" s="15" t="s">
        <v>1669</v>
      </c>
      <c r="B702" s="15" t="e">
        <f>VLOOKUP(A702,'[1]Master clients'!F681:W4228,17,0)</f>
        <v>#N/A</v>
      </c>
      <c r="C702" s="15" t="e">
        <f>VLOOKUP(A702,'[1]Master clients'!F681:P4228,11,0)</f>
        <v>#N/A</v>
      </c>
      <c r="D702" s="15" t="str">
        <f>VLOOKUP(A702,'[1]Master clients'!F:M,8,0)</f>
        <v>End User</v>
      </c>
      <c r="E702" s="16" t="s">
        <v>1670</v>
      </c>
      <c r="F702" s="16" t="s">
        <v>83</v>
      </c>
      <c r="G702" s="17"/>
      <c r="H702" s="17"/>
      <c r="I702" s="26">
        <v>3</v>
      </c>
      <c r="J702" s="31">
        <v>0</v>
      </c>
      <c r="K702" s="17">
        <v>0</v>
      </c>
      <c r="L702" s="17">
        <v>0</v>
      </c>
      <c r="M702" s="17">
        <v>0</v>
      </c>
      <c r="N702" s="17">
        <v>0</v>
      </c>
      <c r="O702" s="17">
        <v>0</v>
      </c>
      <c r="P702" s="17">
        <v>0</v>
      </c>
      <c r="Q702" s="17">
        <v>0</v>
      </c>
      <c r="R702" s="17">
        <v>0</v>
      </c>
      <c r="S702" s="17">
        <v>0</v>
      </c>
      <c r="T702" s="17">
        <v>0</v>
      </c>
      <c r="U702" s="17">
        <v>0</v>
      </c>
      <c r="V702" s="17">
        <v>0</v>
      </c>
      <c r="W702" s="17">
        <v>0</v>
      </c>
      <c r="X702" s="17">
        <v>0</v>
      </c>
      <c r="Y702" s="17">
        <v>0</v>
      </c>
      <c r="Z702" s="17">
        <v>0</v>
      </c>
      <c r="AA702" s="17">
        <v>0</v>
      </c>
      <c r="AB702" s="17">
        <v>0</v>
      </c>
      <c r="AC702" s="17">
        <v>0</v>
      </c>
      <c r="AD702" s="17">
        <v>0</v>
      </c>
      <c r="AE702" s="17">
        <v>0</v>
      </c>
      <c r="AF702" s="17">
        <v>0</v>
      </c>
      <c r="AG702" s="17">
        <v>0</v>
      </c>
      <c r="AH702" s="17">
        <v>0</v>
      </c>
      <c r="AI702" s="17">
        <v>0</v>
      </c>
      <c r="AJ702" s="17">
        <v>0</v>
      </c>
      <c r="AK702" s="17">
        <v>0</v>
      </c>
      <c r="AL702" s="17">
        <v>0</v>
      </c>
      <c r="AM702" s="17">
        <v>0</v>
      </c>
      <c r="AN702" s="17">
        <v>0</v>
      </c>
      <c r="AO702" s="17">
        <v>0</v>
      </c>
      <c r="AP702" s="17">
        <v>0</v>
      </c>
      <c r="AQ702" s="17">
        <v>0</v>
      </c>
      <c r="AR702" s="17">
        <v>0</v>
      </c>
      <c r="AS702" s="17">
        <v>0</v>
      </c>
      <c r="AT702" s="17">
        <v>0</v>
      </c>
      <c r="AU702" s="17">
        <v>0</v>
      </c>
      <c r="AV702" s="17">
        <v>0</v>
      </c>
      <c r="AW702" s="17">
        <v>0</v>
      </c>
      <c r="AX702" s="17">
        <v>0</v>
      </c>
      <c r="AY702" s="17">
        <v>0</v>
      </c>
      <c r="AZ702" s="17">
        <v>0</v>
      </c>
      <c r="BA702" s="17">
        <v>0</v>
      </c>
      <c r="BB702" s="17">
        <v>0</v>
      </c>
      <c r="BC702" s="17">
        <v>0</v>
      </c>
      <c r="BD702" s="17">
        <v>0</v>
      </c>
      <c r="BE702" s="17">
        <v>0</v>
      </c>
      <c r="BF702" s="17">
        <v>0</v>
      </c>
      <c r="BG702" s="17">
        <v>0</v>
      </c>
      <c r="BH702" s="17">
        <v>0</v>
      </c>
      <c r="BI702" s="22">
        <f t="shared" si="215"/>
        <v>0</v>
      </c>
      <c r="BJ702" s="22">
        <f t="shared" si="216"/>
        <v>0</v>
      </c>
      <c r="BK702" s="22">
        <f t="shared" si="217"/>
        <v>3</v>
      </c>
      <c r="BL702" s="22">
        <f t="shared" si="218"/>
        <v>3</v>
      </c>
      <c r="BM702" s="22">
        <f t="shared" si="214"/>
        <v>0</v>
      </c>
      <c r="BN702" s="23">
        <f t="shared" si="205"/>
        <v>1</v>
      </c>
      <c r="BO702" s="23" t="e">
        <f t="shared" si="205"/>
        <v>#DIV/0!</v>
      </c>
      <c r="BP702" s="7">
        <f>VLOOKUP(A702,[1]Sheet15!B:E,4,0)</f>
        <v>3</v>
      </c>
      <c r="BQ702" s="7">
        <f>VLOOKUP(A702,[1]Sheet15!B:E,3,0)</f>
        <v>0</v>
      </c>
    </row>
    <row r="703" spans="1:69" ht="22.5" customHeight="1" x14ac:dyDescent="0.25">
      <c r="A703" s="15" t="s">
        <v>1671</v>
      </c>
      <c r="B703" s="15" t="e">
        <f>VLOOKUP(A703,'[1]Master clients'!F682:W4229,17,0)</f>
        <v>#N/A</v>
      </c>
      <c r="C703" s="15" t="e">
        <f>VLOOKUP(A703,'[1]Master clients'!F682:P4229,11,0)</f>
        <v>#N/A</v>
      </c>
      <c r="D703" s="15" t="str">
        <f>VLOOKUP(A703,'[1]Master clients'!F:M,8,0)</f>
        <v>End User</v>
      </c>
      <c r="E703" s="16" t="s">
        <v>1672</v>
      </c>
      <c r="F703" s="16" t="s">
        <v>83</v>
      </c>
      <c r="G703" s="17"/>
      <c r="H703" s="17"/>
      <c r="I703" s="31">
        <v>0</v>
      </c>
      <c r="J703" s="31">
        <v>0</v>
      </c>
      <c r="K703" s="17">
        <v>0</v>
      </c>
      <c r="L703" s="17">
        <v>0</v>
      </c>
      <c r="M703" s="17">
        <v>0</v>
      </c>
      <c r="N703" s="17">
        <v>0</v>
      </c>
      <c r="O703" s="17">
        <v>0</v>
      </c>
      <c r="P703" s="17">
        <v>0</v>
      </c>
      <c r="Q703" s="17">
        <v>0</v>
      </c>
      <c r="R703" s="17">
        <v>0</v>
      </c>
      <c r="S703" s="17">
        <v>0</v>
      </c>
      <c r="T703" s="17">
        <v>0</v>
      </c>
      <c r="U703" s="17">
        <v>0</v>
      </c>
      <c r="V703" s="17">
        <v>0</v>
      </c>
      <c r="W703" s="17">
        <v>0</v>
      </c>
      <c r="X703" s="17">
        <v>0</v>
      </c>
      <c r="Y703" s="17">
        <v>0</v>
      </c>
      <c r="Z703" s="17">
        <v>0</v>
      </c>
      <c r="AA703" s="17">
        <v>0</v>
      </c>
      <c r="AB703" s="17">
        <v>0</v>
      </c>
      <c r="AC703" s="17">
        <v>0</v>
      </c>
      <c r="AD703" s="17">
        <v>0</v>
      </c>
      <c r="AE703" s="17">
        <v>0</v>
      </c>
      <c r="AF703" s="17">
        <v>0</v>
      </c>
      <c r="AG703" s="17">
        <v>0</v>
      </c>
      <c r="AH703" s="17">
        <v>0</v>
      </c>
      <c r="AI703" s="17">
        <v>0</v>
      </c>
      <c r="AJ703" s="17">
        <v>0</v>
      </c>
      <c r="AK703" s="17">
        <v>0</v>
      </c>
      <c r="AL703" s="17">
        <v>0</v>
      </c>
      <c r="AM703" s="17">
        <v>0</v>
      </c>
      <c r="AN703" s="17">
        <v>0</v>
      </c>
      <c r="AO703" s="17">
        <v>0</v>
      </c>
      <c r="AP703" s="17">
        <v>0</v>
      </c>
      <c r="AQ703" s="17">
        <v>0</v>
      </c>
      <c r="AR703" s="17">
        <v>0</v>
      </c>
      <c r="AS703" s="17">
        <v>0</v>
      </c>
      <c r="AT703" s="17">
        <v>0</v>
      </c>
      <c r="AU703" s="17">
        <v>0</v>
      </c>
      <c r="AV703" s="17">
        <v>0</v>
      </c>
      <c r="AW703" s="17">
        <v>0</v>
      </c>
      <c r="AX703" s="17">
        <v>0</v>
      </c>
      <c r="AY703" s="17">
        <v>0</v>
      </c>
      <c r="AZ703" s="17">
        <v>0</v>
      </c>
      <c r="BA703" s="17">
        <v>0</v>
      </c>
      <c r="BB703" s="17">
        <v>0</v>
      </c>
      <c r="BC703" s="17">
        <v>0</v>
      </c>
      <c r="BD703" s="17">
        <v>0</v>
      </c>
      <c r="BE703" s="17">
        <v>0</v>
      </c>
      <c r="BF703" s="17">
        <v>0</v>
      </c>
      <c r="BG703" s="17">
        <v>0</v>
      </c>
      <c r="BH703" s="17">
        <v>0</v>
      </c>
      <c r="BI703" s="22">
        <f t="shared" si="215"/>
        <v>0</v>
      </c>
      <c r="BJ703" s="22">
        <f t="shared" si="216"/>
        <v>0</v>
      </c>
      <c r="BK703" s="22">
        <f t="shared" si="217"/>
        <v>0</v>
      </c>
      <c r="BL703" s="22">
        <f t="shared" si="218"/>
        <v>0</v>
      </c>
      <c r="BM703" s="22">
        <f t="shared" si="214"/>
        <v>0</v>
      </c>
      <c r="BN703" s="23" t="e">
        <f t="shared" si="205"/>
        <v>#DIV/0!</v>
      </c>
      <c r="BO703" s="23" t="e">
        <f t="shared" si="205"/>
        <v>#DIV/0!</v>
      </c>
      <c r="BP703" s="7" t="e">
        <f>VLOOKUP(A703,[1]Sheet15!B:E,4,0)</f>
        <v>#N/A</v>
      </c>
      <c r="BQ703" s="7" t="e">
        <f>VLOOKUP(A703,[1]Sheet15!B:E,3,0)</f>
        <v>#N/A</v>
      </c>
    </row>
    <row r="704" spans="1:69" ht="22.5" customHeight="1" x14ac:dyDescent="0.25">
      <c r="A704" s="15" t="s">
        <v>1673</v>
      </c>
      <c r="B704" s="15" t="e">
        <f>VLOOKUP(A704,'[1]Master clients'!F683:W4230,17,0)</f>
        <v>#N/A</v>
      </c>
      <c r="C704" s="15" t="e">
        <f>VLOOKUP(A704,'[1]Master clients'!F683:P4230,11,0)</f>
        <v>#N/A</v>
      </c>
      <c r="D704" s="15" t="str">
        <f>VLOOKUP(A704,'[1]Master clients'!F:M,8,0)</f>
        <v>Group (Mills)</v>
      </c>
      <c r="E704" s="16" t="s">
        <v>1674</v>
      </c>
      <c r="F704" s="16" t="s">
        <v>83</v>
      </c>
      <c r="G704" s="17"/>
      <c r="H704" s="17"/>
      <c r="I704" s="31">
        <v>0</v>
      </c>
      <c r="J704" s="31">
        <v>0</v>
      </c>
      <c r="K704" s="17">
        <v>0</v>
      </c>
      <c r="L704" s="17">
        <v>0</v>
      </c>
      <c r="M704" s="17">
        <v>0</v>
      </c>
      <c r="N704" s="17">
        <v>0</v>
      </c>
      <c r="O704" s="17">
        <v>0</v>
      </c>
      <c r="P704" s="17">
        <v>0</v>
      </c>
      <c r="Q704" s="17">
        <v>0</v>
      </c>
      <c r="R704" s="17">
        <v>0</v>
      </c>
      <c r="S704" s="17">
        <v>0</v>
      </c>
      <c r="T704" s="17">
        <v>0</v>
      </c>
      <c r="U704" s="17">
        <v>0</v>
      </c>
      <c r="V704" s="17">
        <v>0</v>
      </c>
      <c r="W704" s="17">
        <v>0</v>
      </c>
      <c r="X704" s="17">
        <v>0</v>
      </c>
      <c r="Y704" s="17">
        <v>0</v>
      </c>
      <c r="Z704" s="17">
        <v>0</v>
      </c>
      <c r="AA704" s="17">
        <v>0</v>
      </c>
      <c r="AB704" s="17">
        <v>0</v>
      </c>
      <c r="AC704" s="17">
        <v>0</v>
      </c>
      <c r="AD704" s="17">
        <v>0</v>
      </c>
      <c r="AE704" s="17">
        <v>0</v>
      </c>
      <c r="AF704" s="17">
        <v>0</v>
      </c>
      <c r="AG704" s="17">
        <v>0</v>
      </c>
      <c r="AH704" s="17">
        <v>0</v>
      </c>
      <c r="AI704" s="17">
        <v>0</v>
      </c>
      <c r="AJ704" s="17">
        <v>0</v>
      </c>
      <c r="AK704" s="17">
        <v>0</v>
      </c>
      <c r="AL704" s="17">
        <v>0</v>
      </c>
      <c r="AM704" s="17">
        <v>0</v>
      </c>
      <c r="AN704" s="17">
        <v>0</v>
      </c>
      <c r="AO704" s="17">
        <v>0</v>
      </c>
      <c r="AP704" s="17">
        <v>0</v>
      </c>
      <c r="AQ704" s="17">
        <v>0</v>
      </c>
      <c r="AR704" s="17">
        <v>0</v>
      </c>
      <c r="AS704" s="17">
        <v>0</v>
      </c>
      <c r="AT704" s="17">
        <v>0</v>
      </c>
      <c r="AU704" s="17">
        <v>0</v>
      </c>
      <c r="AV704" s="17">
        <v>0</v>
      </c>
      <c r="AW704" s="17">
        <v>0</v>
      </c>
      <c r="AX704" s="17">
        <v>0</v>
      </c>
      <c r="AY704" s="17">
        <v>0</v>
      </c>
      <c r="AZ704" s="17">
        <v>0</v>
      </c>
      <c r="BA704" s="17">
        <v>0</v>
      </c>
      <c r="BB704" s="17">
        <v>0</v>
      </c>
      <c r="BC704" s="17">
        <v>0</v>
      </c>
      <c r="BD704" s="17">
        <v>0</v>
      </c>
      <c r="BE704" s="17">
        <v>0</v>
      </c>
      <c r="BF704" s="17">
        <v>0</v>
      </c>
      <c r="BG704" s="17">
        <v>0</v>
      </c>
      <c r="BH704" s="17">
        <v>0</v>
      </c>
      <c r="BI704" s="22">
        <f t="shared" si="215"/>
        <v>0</v>
      </c>
      <c r="BJ704" s="22">
        <f t="shared" si="216"/>
        <v>0</v>
      </c>
      <c r="BK704" s="22">
        <f t="shared" si="217"/>
        <v>0</v>
      </c>
      <c r="BL704" s="22">
        <f t="shared" si="218"/>
        <v>0</v>
      </c>
      <c r="BM704" s="22">
        <f t="shared" si="214"/>
        <v>0</v>
      </c>
      <c r="BN704" s="23" t="e">
        <f t="shared" ref="BN704:BO719" si="219">I704/BL704</f>
        <v>#DIV/0!</v>
      </c>
      <c r="BO704" s="23" t="e">
        <f t="shared" si="219"/>
        <v>#DIV/0!</v>
      </c>
      <c r="BP704" s="7" t="e">
        <f>VLOOKUP(A704,[1]Sheet15!B:E,4,0)</f>
        <v>#N/A</v>
      </c>
      <c r="BQ704" s="7" t="e">
        <f>VLOOKUP(A704,[1]Sheet15!B:E,3,0)</f>
        <v>#N/A</v>
      </c>
    </row>
    <row r="705" spans="1:69" ht="22.5" customHeight="1" x14ac:dyDescent="0.25">
      <c r="A705" s="15" t="s">
        <v>1675</v>
      </c>
      <c r="B705" s="15" t="str">
        <f>VLOOKUP(A705,'[1]Master clients'!F684:W4231,17,0)</f>
        <v>Apr</v>
      </c>
      <c r="C705" s="15" t="str">
        <f>VLOOKUP(A705,'[1]Master clients'!F684:P4231,11,0)</f>
        <v>AV</v>
      </c>
      <c r="D705" s="15" t="str">
        <f>VLOOKUP(A705,'[1]Master clients'!F:M,8,0)</f>
        <v>Group (Mills)</v>
      </c>
      <c r="E705" s="16" t="s">
        <v>1676</v>
      </c>
      <c r="F705" s="16" t="s">
        <v>1677</v>
      </c>
      <c r="G705" s="17">
        <v>12</v>
      </c>
      <c r="H705" s="17">
        <v>0</v>
      </c>
      <c r="I705" s="18">
        <v>15</v>
      </c>
      <c r="J705" s="18">
        <v>3</v>
      </c>
      <c r="K705" s="17">
        <v>0</v>
      </c>
      <c r="L705" s="17">
        <v>0</v>
      </c>
      <c r="M705" s="17">
        <v>0</v>
      </c>
      <c r="N705" s="17">
        <v>0</v>
      </c>
      <c r="O705" s="19">
        <v>0</v>
      </c>
      <c r="P705" s="19">
        <v>0</v>
      </c>
      <c r="Q705" s="19">
        <v>8</v>
      </c>
      <c r="R705" s="19">
        <v>0</v>
      </c>
      <c r="S705" s="19">
        <v>0</v>
      </c>
      <c r="T705" s="19">
        <v>0</v>
      </c>
      <c r="U705" s="19">
        <v>0</v>
      </c>
      <c r="V705" s="19">
        <v>0</v>
      </c>
      <c r="W705" s="20">
        <v>0</v>
      </c>
      <c r="X705" s="20">
        <v>0</v>
      </c>
      <c r="Y705" s="19">
        <v>0</v>
      </c>
      <c r="Z705" s="19">
        <v>0</v>
      </c>
      <c r="AA705" s="19">
        <v>0</v>
      </c>
      <c r="AB705" s="19">
        <v>0</v>
      </c>
      <c r="AC705" s="19">
        <v>0</v>
      </c>
      <c r="AD705" s="19">
        <v>0</v>
      </c>
      <c r="AE705" s="19">
        <v>0</v>
      </c>
      <c r="AF705" s="19">
        <v>0</v>
      </c>
      <c r="AG705" s="19">
        <v>0</v>
      </c>
      <c r="AH705" s="19">
        <v>0</v>
      </c>
      <c r="AI705" s="20">
        <v>0</v>
      </c>
      <c r="AJ705" s="20">
        <v>0</v>
      </c>
      <c r="AK705" s="19">
        <v>0</v>
      </c>
      <c r="AL705" s="20">
        <v>0</v>
      </c>
      <c r="AM705" s="19">
        <v>0</v>
      </c>
      <c r="AN705" s="19">
        <v>0</v>
      </c>
      <c r="AO705" s="19">
        <v>0</v>
      </c>
      <c r="AP705" s="19">
        <v>0</v>
      </c>
      <c r="AQ705" s="19">
        <v>0</v>
      </c>
      <c r="AR705" s="19">
        <v>0</v>
      </c>
      <c r="AS705" s="19">
        <v>7</v>
      </c>
      <c r="AT705" s="19">
        <v>0</v>
      </c>
      <c r="AU705" s="19">
        <v>0</v>
      </c>
      <c r="AV705" s="19">
        <v>0</v>
      </c>
      <c r="AW705" s="20">
        <v>0</v>
      </c>
      <c r="AX705" s="20">
        <v>0</v>
      </c>
      <c r="AY705" s="20">
        <v>0</v>
      </c>
      <c r="AZ705" s="19">
        <v>0</v>
      </c>
      <c r="BA705" s="19">
        <v>0</v>
      </c>
      <c r="BB705" s="19">
        <v>0</v>
      </c>
      <c r="BC705" s="19">
        <v>0</v>
      </c>
      <c r="BD705" s="19">
        <v>0</v>
      </c>
      <c r="BE705" s="21">
        <v>0</v>
      </c>
      <c r="BF705" s="21">
        <v>0</v>
      </c>
      <c r="BG705" s="19">
        <v>0</v>
      </c>
      <c r="BH705" s="19">
        <v>0</v>
      </c>
      <c r="BI705" s="22">
        <f t="shared" si="215"/>
        <v>7</v>
      </c>
      <c r="BJ705" s="22">
        <f t="shared" si="216"/>
        <v>8</v>
      </c>
      <c r="BK705" s="22">
        <f t="shared" si="217"/>
        <v>33</v>
      </c>
      <c r="BL705" s="22">
        <f t="shared" si="218"/>
        <v>22</v>
      </c>
      <c r="BM705" s="22">
        <f t="shared" si="214"/>
        <v>11</v>
      </c>
      <c r="BN705" s="23">
        <f t="shared" si="219"/>
        <v>0.68181818181818177</v>
      </c>
      <c r="BO705" s="23">
        <f t="shared" si="219"/>
        <v>0.27272727272727271</v>
      </c>
      <c r="BP705" s="7" t="e">
        <f>VLOOKUP(A705,[1]Sheet15!B:E,4,0)</f>
        <v>#N/A</v>
      </c>
      <c r="BQ705" s="7" t="e">
        <f>VLOOKUP(A705,[1]Sheet15!B:E,3,0)</f>
        <v>#N/A</v>
      </c>
    </row>
    <row r="706" spans="1:69" ht="22.5" customHeight="1" x14ac:dyDescent="0.25">
      <c r="A706" s="15" t="s">
        <v>1678</v>
      </c>
      <c r="B706" s="15" t="e">
        <f>VLOOKUP(A706,'[1]Master clients'!F685:W4232,17,0)</f>
        <v>#N/A</v>
      </c>
      <c r="C706" s="15" t="e">
        <f>VLOOKUP(A706,'[1]Master clients'!F685:P4232,11,0)</f>
        <v>#N/A</v>
      </c>
      <c r="D706" s="15" t="str">
        <f>VLOOKUP(A706,'[1]Master clients'!F:M,8,0)</f>
        <v>End User</v>
      </c>
      <c r="E706" s="16" t="s">
        <v>1679</v>
      </c>
      <c r="F706" s="16" t="s">
        <v>83</v>
      </c>
      <c r="G706" s="17"/>
      <c r="H706" s="17"/>
      <c r="I706" s="26">
        <v>1</v>
      </c>
      <c r="J706" s="31">
        <v>0</v>
      </c>
      <c r="K706" s="17">
        <v>0</v>
      </c>
      <c r="L706" s="17">
        <v>0</v>
      </c>
      <c r="M706" s="17">
        <v>0</v>
      </c>
      <c r="N706" s="17">
        <v>0</v>
      </c>
      <c r="O706" s="17">
        <v>0</v>
      </c>
      <c r="P706" s="17">
        <v>0</v>
      </c>
      <c r="Q706" s="17">
        <v>0</v>
      </c>
      <c r="R706" s="17">
        <v>0</v>
      </c>
      <c r="S706" s="17">
        <v>0</v>
      </c>
      <c r="T706" s="17">
        <v>0</v>
      </c>
      <c r="U706" s="17">
        <v>0</v>
      </c>
      <c r="V706" s="17">
        <v>0</v>
      </c>
      <c r="W706" s="17">
        <v>0</v>
      </c>
      <c r="X706" s="17">
        <v>0</v>
      </c>
      <c r="Y706" s="17">
        <v>0</v>
      </c>
      <c r="Z706" s="17">
        <v>0</v>
      </c>
      <c r="AA706" s="17">
        <v>0</v>
      </c>
      <c r="AB706" s="17">
        <v>0</v>
      </c>
      <c r="AC706" s="17">
        <v>0</v>
      </c>
      <c r="AD706" s="17">
        <v>0</v>
      </c>
      <c r="AE706" s="17">
        <v>0</v>
      </c>
      <c r="AF706" s="17">
        <v>0</v>
      </c>
      <c r="AG706" s="17">
        <v>0</v>
      </c>
      <c r="AH706" s="17">
        <v>0</v>
      </c>
      <c r="AI706" s="17">
        <v>0</v>
      </c>
      <c r="AJ706" s="17">
        <v>0</v>
      </c>
      <c r="AK706" s="17">
        <v>0</v>
      </c>
      <c r="AL706" s="17">
        <v>0</v>
      </c>
      <c r="AM706" s="17">
        <v>0</v>
      </c>
      <c r="AN706" s="17">
        <v>0</v>
      </c>
      <c r="AO706" s="17">
        <v>0</v>
      </c>
      <c r="AP706" s="17">
        <v>0</v>
      </c>
      <c r="AQ706" s="17">
        <v>0</v>
      </c>
      <c r="AR706" s="17">
        <v>0</v>
      </c>
      <c r="AS706" s="17">
        <v>0</v>
      </c>
      <c r="AT706" s="17">
        <v>0</v>
      </c>
      <c r="AU706" s="17">
        <v>0</v>
      </c>
      <c r="AV706" s="17">
        <v>0</v>
      </c>
      <c r="AW706" s="17">
        <v>0</v>
      </c>
      <c r="AX706" s="17">
        <v>0</v>
      </c>
      <c r="AY706" s="17">
        <v>0</v>
      </c>
      <c r="AZ706" s="17">
        <v>0</v>
      </c>
      <c r="BA706" s="17">
        <v>0</v>
      </c>
      <c r="BB706" s="17">
        <v>0</v>
      </c>
      <c r="BC706" s="17">
        <v>0</v>
      </c>
      <c r="BD706" s="17">
        <v>0</v>
      </c>
      <c r="BE706" s="17">
        <v>0</v>
      </c>
      <c r="BF706" s="17">
        <v>0</v>
      </c>
      <c r="BG706" s="17">
        <v>0</v>
      </c>
      <c r="BH706" s="17">
        <v>0</v>
      </c>
      <c r="BI706" s="22">
        <f t="shared" si="215"/>
        <v>0</v>
      </c>
      <c r="BJ706" s="22">
        <f t="shared" si="216"/>
        <v>0</v>
      </c>
      <c r="BK706" s="22">
        <f t="shared" si="217"/>
        <v>1</v>
      </c>
      <c r="BL706" s="22">
        <f t="shared" si="218"/>
        <v>1</v>
      </c>
      <c r="BM706" s="22">
        <f t="shared" si="214"/>
        <v>0</v>
      </c>
      <c r="BN706" s="23">
        <f t="shared" si="219"/>
        <v>1</v>
      </c>
      <c r="BO706" s="23" t="e">
        <f t="shared" si="219"/>
        <v>#DIV/0!</v>
      </c>
      <c r="BP706" s="7">
        <f>VLOOKUP(A706,[1]Sheet15!B:E,4,0)</f>
        <v>1</v>
      </c>
      <c r="BQ706" s="7">
        <f>VLOOKUP(A706,[1]Sheet15!B:E,3,0)</f>
        <v>0</v>
      </c>
    </row>
    <row r="707" spans="1:69" ht="22.5" customHeight="1" x14ac:dyDescent="0.25">
      <c r="A707" s="15" t="s">
        <v>1680</v>
      </c>
      <c r="B707" s="15" t="e">
        <f>VLOOKUP(A707,'[1]Master clients'!F686:W4233,17,0)</f>
        <v>#N/A</v>
      </c>
      <c r="C707" s="15" t="e">
        <f>VLOOKUP(A707,'[1]Master clients'!F686:P4233,11,0)</f>
        <v>#N/A</v>
      </c>
      <c r="D707" s="15" t="str">
        <f>VLOOKUP(A707,'[1]Master clients'!F:M,8,0)</f>
        <v>End User</v>
      </c>
      <c r="E707" s="16" t="s">
        <v>1681</v>
      </c>
      <c r="F707" s="16" t="s">
        <v>1682</v>
      </c>
      <c r="G707" s="17">
        <v>16</v>
      </c>
      <c r="H707" s="17">
        <v>10</v>
      </c>
      <c r="I707" s="18">
        <v>9</v>
      </c>
      <c r="J707" s="18">
        <v>10</v>
      </c>
      <c r="K707" s="17">
        <v>4</v>
      </c>
      <c r="L707" s="17">
        <v>0</v>
      </c>
      <c r="M707" s="17">
        <v>0</v>
      </c>
      <c r="N707" s="17">
        <v>0</v>
      </c>
      <c r="O707" s="19">
        <v>0</v>
      </c>
      <c r="P707" s="19">
        <v>0</v>
      </c>
      <c r="Q707" s="19">
        <v>4</v>
      </c>
      <c r="R707" s="19">
        <v>0</v>
      </c>
      <c r="S707" s="19">
        <v>0</v>
      </c>
      <c r="T707" s="19">
        <v>0</v>
      </c>
      <c r="U707" s="19">
        <v>0</v>
      </c>
      <c r="V707" s="19">
        <v>0</v>
      </c>
      <c r="W707" s="20">
        <v>0</v>
      </c>
      <c r="X707" s="20">
        <v>0</v>
      </c>
      <c r="Y707" s="19">
        <v>0</v>
      </c>
      <c r="Z707" s="19">
        <v>0</v>
      </c>
      <c r="AA707" s="19">
        <v>0</v>
      </c>
      <c r="AB707" s="19">
        <v>0</v>
      </c>
      <c r="AC707" s="19">
        <v>0</v>
      </c>
      <c r="AD707" s="19">
        <v>0</v>
      </c>
      <c r="AE707" s="19">
        <v>0</v>
      </c>
      <c r="AF707" s="19">
        <v>0</v>
      </c>
      <c r="AG707" s="19">
        <v>0</v>
      </c>
      <c r="AH707" s="19">
        <v>0</v>
      </c>
      <c r="AI707" s="20">
        <v>0</v>
      </c>
      <c r="AJ707" s="20">
        <v>0</v>
      </c>
      <c r="AK707" s="19">
        <v>0</v>
      </c>
      <c r="AL707" s="20">
        <v>0</v>
      </c>
      <c r="AM707" s="19">
        <v>0</v>
      </c>
      <c r="AN707" s="19">
        <v>0</v>
      </c>
      <c r="AO707" s="19">
        <v>0</v>
      </c>
      <c r="AP707" s="19">
        <v>0</v>
      </c>
      <c r="AQ707" s="19">
        <v>0</v>
      </c>
      <c r="AR707" s="19">
        <v>0</v>
      </c>
      <c r="AS707" s="19">
        <v>0</v>
      </c>
      <c r="AT707" s="19">
        <v>0</v>
      </c>
      <c r="AU707" s="19">
        <v>0</v>
      </c>
      <c r="AV707" s="19">
        <v>0</v>
      </c>
      <c r="AW707" s="20">
        <v>0</v>
      </c>
      <c r="AX707" s="20">
        <v>0</v>
      </c>
      <c r="AY707" s="20">
        <v>0</v>
      </c>
      <c r="AZ707" s="19">
        <v>0</v>
      </c>
      <c r="BA707" s="19">
        <v>0</v>
      </c>
      <c r="BB707" s="19">
        <v>0</v>
      </c>
      <c r="BC707" s="19">
        <v>0</v>
      </c>
      <c r="BD707" s="19">
        <v>0</v>
      </c>
      <c r="BE707" s="21">
        <v>0</v>
      </c>
      <c r="BF707" s="21">
        <v>0</v>
      </c>
      <c r="BG707" s="19">
        <v>0</v>
      </c>
      <c r="BH707" s="19">
        <v>0</v>
      </c>
      <c r="BI707" s="22">
        <f t="shared" si="215"/>
        <v>4</v>
      </c>
      <c r="BJ707" s="22">
        <f t="shared" si="216"/>
        <v>4</v>
      </c>
      <c r="BK707" s="22">
        <f t="shared" si="217"/>
        <v>27</v>
      </c>
      <c r="BL707" s="22">
        <f t="shared" si="218"/>
        <v>13</v>
      </c>
      <c r="BM707" s="22">
        <f t="shared" si="214"/>
        <v>14</v>
      </c>
      <c r="BN707" s="23">
        <f t="shared" si="219"/>
        <v>0.69230769230769229</v>
      </c>
      <c r="BO707" s="23">
        <f t="shared" si="219"/>
        <v>0.7142857142857143</v>
      </c>
      <c r="BP707" s="7">
        <f>VLOOKUP(A707,[1]Sheet15!B:E,4,0)</f>
        <v>1</v>
      </c>
      <c r="BQ707" s="7">
        <f>VLOOKUP(A707,[1]Sheet15!B:E,3,0)</f>
        <v>1</v>
      </c>
    </row>
    <row r="708" spans="1:69" ht="22.5" customHeight="1" x14ac:dyDescent="0.25">
      <c r="A708" s="15" t="s">
        <v>1683</v>
      </c>
      <c r="B708" s="15" t="e">
        <f>VLOOKUP(A708,'[1]Master clients'!F687:W4234,17,0)</f>
        <v>#N/A</v>
      </c>
      <c r="C708" s="15" t="e">
        <f>VLOOKUP(A708,'[1]Master clients'!F687:P4234,11,0)</f>
        <v>#N/A</v>
      </c>
      <c r="D708" s="15" t="str">
        <f>VLOOKUP(A708,'[1]Master clients'!F:M,8,0)</f>
        <v>End User</v>
      </c>
      <c r="E708" s="16" t="s">
        <v>1684</v>
      </c>
      <c r="F708" s="16" t="s">
        <v>83</v>
      </c>
      <c r="G708" s="17"/>
      <c r="H708" s="17"/>
      <c r="I708" s="31">
        <v>0</v>
      </c>
      <c r="J708" s="31">
        <v>0</v>
      </c>
      <c r="K708" s="17">
        <v>0</v>
      </c>
      <c r="L708" s="17">
        <v>0</v>
      </c>
      <c r="M708" s="17">
        <v>0</v>
      </c>
      <c r="N708" s="17">
        <v>0</v>
      </c>
      <c r="O708" s="17">
        <v>0</v>
      </c>
      <c r="P708" s="17">
        <v>0</v>
      </c>
      <c r="Q708" s="17">
        <v>0</v>
      </c>
      <c r="R708" s="17">
        <v>0</v>
      </c>
      <c r="S708" s="17">
        <v>0</v>
      </c>
      <c r="T708" s="17">
        <v>0</v>
      </c>
      <c r="U708" s="17">
        <v>0</v>
      </c>
      <c r="V708" s="17">
        <v>0</v>
      </c>
      <c r="W708" s="17">
        <v>0</v>
      </c>
      <c r="X708" s="17">
        <v>0</v>
      </c>
      <c r="Y708" s="17">
        <v>0</v>
      </c>
      <c r="Z708" s="17">
        <v>0</v>
      </c>
      <c r="AA708" s="17">
        <v>0</v>
      </c>
      <c r="AB708" s="17">
        <v>0</v>
      </c>
      <c r="AC708" s="17">
        <v>0</v>
      </c>
      <c r="AD708" s="17">
        <v>0</v>
      </c>
      <c r="AE708" s="17">
        <v>0</v>
      </c>
      <c r="AF708" s="17">
        <v>0</v>
      </c>
      <c r="AG708" s="17">
        <v>0</v>
      </c>
      <c r="AH708" s="17">
        <v>0</v>
      </c>
      <c r="AI708" s="17">
        <v>0</v>
      </c>
      <c r="AJ708" s="17">
        <v>0</v>
      </c>
      <c r="AK708" s="17">
        <v>0</v>
      </c>
      <c r="AL708" s="17">
        <v>0</v>
      </c>
      <c r="AM708" s="17">
        <v>0</v>
      </c>
      <c r="AN708" s="17">
        <v>0</v>
      </c>
      <c r="AO708" s="17">
        <v>0</v>
      </c>
      <c r="AP708" s="17">
        <v>0</v>
      </c>
      <c r="AQ708" s="17">
        <v>0</v>
      </c>
      <c r="AR708" s="17">
        <v>0</v>
      </c>
      <c r="AS708" s="17">
        <v>0</v>
      </c>
      <c r="AT708" s="17">
        <v>0</v>
      </c>
      <c r="AU708" s="17">
        <v>0</v>
      </c>
      <c r="AV708" s="17">
        <v>0</v>
      </c>
      <c r="AW708" s="17">
        <v>0</v>
      </c>
      <c r="AX708" s="17">
        <v>0</v>
      </c>
      <c r="AY708" s="17">
        <v>0</v>
      </c>
      <c r="AZ708" s="17">
        <v>0</v>
      </c>
      <c r="BA708" s="17">
        <v>0</v>
      </c>
      <c r="BB708" s="17">
        <v>0</v>
      </c>
      <c r="BC708" s="17">
        <v>0</v>
      </c>
      <c r="BD708" s="17">
        <v>0</v>
      </c>
      <c r="BE708" s="17">
        <v>0</v>
      </c>
      <c r="BF708" s="17">
        <v>0</v>
      </c>
      <c r="BG708" s="17">
        <v>0</v>
      </c>
      <c r="BH708" s="17">
        <v>0</v>
      </c>
      <c r="BI708" s="22">
        <f t="shared" si="215"/>
        <v>0</v>
      </c>
      <c r="BJ708" s="22">
        <f t="shared" si="216"/>
        <v>0</v>
      </c>
      <c r="BK708" s="22">
        <f t="shared" si="217"/>
        <v>0</v>
      </c>
      <c r="BL708" s="22">
        <f t="shared" si="218"/>
        <v>0</v>
      </c>
      <c r="BM708" s="22">
        <f t="shared" si="214"/>
        <v>0</v>
      </c>
      <c r="BN708" s="23" t="e">
        <f t="shared" si="219"/>
        <v>#DIV/0!</v>
      </c>
      <c r="BO708" s="23" t="e">
        <f t="shared" si="219"/>
        <v>#DIV/0!</v>
      </c>
      <c r="BP708" s="7" t="e">
        <f>VLOOKUP(A708,[1]Sheet15!B:E,4,0)</f>
        <v>#N/A</v>
      </c>
      <c r="BQ708" s="7" t="e">
        <f>VLOOKUP(A708,[1]Sheet15!B:E,3,0)</f>
        <v>#N/A</v>
      </c>
    </row>
    <row r="709" spans="1:69" ht="22.5" customHeight="1" x14ac:dyDescent="0.25">
      <c r="A709" s="15" t="s">
        <v>1685</v>
      </c>
      <c r="B709" s="15">
        <f>VLOOKUP(A709,'[1]Master clients'!F688:W4235,17,0)</f>
        <v>0</v>
      </c>
      <c r="C709" s="15" t="str">
        <f>VLOOKUP(A709,'[1]Master clients'!F688:P4235,11,0)</f>
        <v>AV</v>
      </c>
      <c r="D709" s="15" t="str">
        <f>VLOOKUP(A709,'[1]Master clients'!F:M,8,0)</f>
        <v>Group (Mills)</v>
      </c>
      <c r="E709" s="16" t="s">
        <v>1686</v>
      </c>
      <c r="F709" s="16" t="s">
        <v>1687</v>
      </c>
      <c r="G709" s="17">
        <v>31</v>
      </c>
      <c r="H709" s="17">
        <v>8</v>
      </c>
      <c r="I709" s="18">
        <v>23</v>
      </c>
      <c r="J709" s="18">
        <v>6</v>
      </c>
      <c r="K709" s="17">
        <v>0</v>
      </c>
      <c r="L709" s="17">
        <v>0</v>
      </c>
      <c r="M709" s="17">
        <v>0</v>
      </c>
      <c r="N709" s="17">
        <v>0</v>
      </c>
      <c r="O709" s="19">
        <v>0</v>
      </c>
      <c r="P709" s="19">
        <v>0</v>
      </c>
      <c r="Q709" s="19">
        <v>16</v>
      </c>
      <c r="R709" s="19">
        <v>0</v>
      </c>
      <c r="S709" s="19">
        <v>0</v>
      </c>
      <c r="T709" s="19">
        <v>0</v>
      </c>
      <c r="U709" s="19">
        <v>0</v>
      </c>
      <c r="V709" s="19">
        <v>0</v>
      </c>
      <c r="W709" s="20">
        <v>0</v>
      </c>
      <c r="X709" s="20">
        <v>0</v>
      </c>
      <c r="Y709" s="19">
        <v>0</v>
      </c>
      <c r="Z709" s="19">
        <v>0</v>
      </c>
      <c r="AA709" s="19">
        <v>0</v>
      </c>
      <c r="AB709" s="19">
        <v>0</v>
      </c>
      <c r="AC709" s="19">
        <v>0</v>
      </c>
      <c r="AD709" s="19">
        <v>0</v>
      </c>
      <c r="AE709" s="19">
        <v>0</v>
      </c>
      <c r="AF709" s="19">
        <v>0</v>
      </c>
      <c r="AG709" s="19">
        <v>0</v>
      </c>
      <c r="AH709" s="19">
        <v>0</v>
      </c>
      <c r="AI709" s="20">
        <v>0</v>
      </c>
      <c r="AJ709" s="20">
        <v>0</v>
      </c>
      <c r="AK709" s="19">
        <v>0</v>
      </c>
      <c r="AL709" s="20">
        <v>0</v>
      </c>
      <c r="AM709" s="19">
        <v>0</v>
      </c>
      <c r="AN709" s="19">
        <v>0</v>
      </c>
      <c r="AO709" s="19">
        <v>0</v>
      </c>
      <c r="AP709" s="19">
        <v>0</v>
      </c>
      <c r="AQ709" s="19">
        <v>0</v>
      </c>
      <c r="AR709" s="19">
        <v>0</v>
      </c>
      <c r="AS709" s="19">
        <v>0</v>
      </c>
      <c r="AT709" s="19">
        <v>0</v>
      </c>
      <c r="AU709" s="19">
        <v>0</v>
      </c>
      <c r="AV709" s="19">
        <v>0</v>
      </c>
      <c r="AW709" s="20">
        <v>0</v>
      </c>
      <c r="AX709" s="20">
        <v>0</v>
      </c>
      <c r="AY709" s="20">
        <v>0</v>
      </c>
      <c r="AZ709" s="19">
        <v>0</v>
      </c>
      <c r="BA709" s="19">
        <v>0</v>
      </c>
      <c r="BB709" s="19">
        <v>0</v>
      </c>
      <c r="BC709" s="19">
        <v>0</v>
      </c>
      <c r="BD709" s="19">
        <v>0</v>
      </c>
      <c r="BE709" s="21">
        <v>0</v>
      </c>
      <c r="BF709" s="21">
        <v>0</v>
      </c>
      <c r="BG709" s="19">
        <v>0</v>
      </c>
      <c r="BH709" s="19">
        <v>0</v>
      </c>
      <c r="BI709" s="22">
        <f t="shared" si="215"/>
        <v>0</v>
      </c>
      <c r="BJ709" s="22">
        <f t="shared" si="216"/>
        <v>16</v>
      </c>
      <c r="BK709" s="22">
        <f t="shared" si="217"/>
        <v>45</v>
      </c>
      <c r="BL709" s="22">
        <f t="shared" si="218"/>
        <v>23</v>
      </c>
      <c r="BM709" s="22">
        <f t="shared" si="214"/>
        <v>22</v>
      </c>
      <c r="BN709" s="23">
        <f t="shared" si="219"/>
        <v>1</v>
      </c>
      <c r="BO709" s="23">
        <f t="shared" si="219"/>
        <v>0.27272727272727271</v>
      </c>
      <c r="BP709" s="7">
        <f>VLOOKUP(A709,[1]Sheet15!B:E,4,0)</f>
        <v>15</v>
      </c>
      <c r="BQ709" s="7">
        <f>VLOOKUP(A709,[1]Sheet15!B:E,3,0)</f>
        <v>1</v>
      </c>
    </row>
    <row r="710" spans="1:69" ht="22.5" customHeight="1" x14ac:dyDescent="0.25">
      <c r="A710" s="15" t="s">
        <v>1688</v>
      </c>
      <c r="B710" s="15">
        <f>VLOOKUP(A710,'[1]Master clients'!F689:W4236,17,0)</f>
        <v>0</v>
      </c>
      <c r="C710" s="15" t="str">
        <f>VLOOKUP(A710,'[1]Master clients'!F689:P4236,11,0)</f>
        <v>AV</v>
      </c>
      <c r="D710" s="15" t="str">
        <f>VLOOKUP(A710,'[1]Master clients'!F:M,8,0)</f>
        <v>End User</v>
      </c>
      <c r="E710" s="16" t="s">
        <v>1689</v>
      </c>
      <c r="F710" s="16" t="s">
        <v>1690</v>
      </c>
      <c r="G710" s="17">
        <v>11</v>
      </c>
      <c r="H710" s="17">
        <v>0</v>
      </c>
      <c r="I710" s="17">
        <v>11</v>
      </c>
      <c r="J710" s="31">
        <v>0</v>
      </c>
      <c r="K710" s="17">
        <v>0</v>
      </c>
      <c r="L710" s="17">
        <v>0</v>
      </c>
      <c r="M710" s="17">
        <v>0</v>
      </c>
      <c r="N710" s="17">
        <v>0</v>
      </c>
      <c r="O710" s="17">
        <v>0</v>
      </c>
      <c r="P710" s="17">
        <v>0</v>
      </c>
      <c r="Q710" s="17">
        <v>0</v>
      </c>
      <c r="R710" s="17">
        <v>0</v>
      </c>
      <c r="S710" s="17">
        <v>0</v>
      </c>
      <c r="T710" s="17">
        <v>0</v>
      </c>
      <c r="U710" s="17">
        <v>0</v>
      </c>
      <c r="V710" s="17">
        <v>0</v>
      </c>
      <c r="W710" s="17">
        <v>0</v>
      </c>
      <c r="X710" s="17">
        <v>0</v>
      </c>
      <c r="Y710" s="17">
        <v>0</v>
      </c>
      <c r="Z710" s="17">
        <v>0</v>
      </c>
      <c r="AA710" s="17">
        <v>0</v>
      </c>
      <c r="AB710" s="17">
        <v>0</v>
      </c>
      <c r="AC710" s="17">
        <v>0</v>
      </c>
      <c r="AD710" s="17">
        <v>0</v>
      </c>
      <c r="AE710" s="17">
        <v>0</v>
      </c>
      <c r="AF710" s="17">
        <v>0</v>
      </c>
      <c r="AG710" s="17">
        <v>0</v>
      </c>
      <c r="AH710" s="17">
        <v>0</v>
      </c>
      <c r="AI710" s="17">
        <v>0</v>
      </c>
      <c r="AJ710" s="17">
        <v>0</v>
      </c>
      <c r="AK710" s="17">
        <v>0</v>
      </c>
      <c r="AL710" s="17">
        <v>0</v>
      </c>
      <c r="AM710" s="17">
        <v>0</v>
      </c>
      <c r="AN710" s="17">
        <v>0</v>
      </c>
      <c r="AO710" s="17">
        <v>0</v>
      </c>
      <c r="AP710" s="17">
        <v>0</v>
      </c>
      <c r="AQ710" s="17">
        <v>0</v>
      </c>
      <c r="AR710" s="17">
        <v>0</v>
      </c>
      <c r="AS710" s="17">
        <v>0</v>
      </c>
      <c r="AT710" s="17">
        <v>0</v>
      </c>
      <c r="AU710" s="17">
        <v>0</v>
      </c>
      <c r="AV710" s="17">
        <v>0</v>
      </c>
      <c r="AW710" s="17">
        <v>0</v>
      </c>
      <c r="AX710" s="17">
        <v>0</v>
      </c>
      <c r="AY710" s="17">
        <v>0</v>
      </c>
      <c r="AZ710" s="17">
        <v>0</v>
      </c>
      <c r="BA710" s="17">
        <v>0</v>
      </c>
      <c r="BB710" s="17">
        <v>0</v>
      </c>
      <c r="BC710" s="17">
        <v>0</v>
      </c>
      <c r="BD710" s="17">
        <v>0</v>
      </c>
      <c r="BE710" s="17">
        <v>0</v>
      </c>
      <c r="BF710" s="17">
        <v>0</v>
      </c>
      <c r="BG710" s="17">
        <v>0</v>
      </c>
      <c r="BH710" s="17">
        <v>0</v>
      </c>
      <c r="BI710" s="22">
        <f t="shared" si="215"/>
        <v>0</v>
      </c>
      <c r="BJ710" s="22">
        <f t="shared" si="216"/>
        <v>0</v>
      </c>
      <c r="BK710" s="22">
        <f t="shared" si="217"/>
        <v>11</v>
      </c>
      <c r="BL710" s="22">
        <f t="shared" si="218"/>
        <v>11</v>
      </c>
      <c r="BM710" s="22">
        <f t="shared" si="214"/>
        <v>0</v>
      </c>
      <c r="BN710" s="23">
        <f t="shared" si="219"/>
        <v>1</v>
      </c>
      <c r="BO710" s="23" t="e">
        <f t="shared" si="219"/>
        <v>#DIV/0!</v>
      </c>
      <c r="BP710" s="7">
        <f>VLOOKUP(A710,[1]Sheet15!B:E,4,0)</f>
        <v>4</v>
      </c>
      <c r="BQ710" s="7">
        <f>VLOOKUP(A710,[1]Sheet15!B:E,3,0)</f>
        <v>0</v>
      </c>
    </row>
    <row r="711" spans="1:69" ht="22.5" customHeight="1" x14ac:dyDescent="0.25">
      <c r="A711" s="15" t="s">
        <v>1691</v>
      </c>
      <c r="B711" s="15">
        <f>VLOOKUP(A711,'[1]Master clients'!F690:W4237,17,0)</f>
        <v>0</v>
      </c>
      <c r="C711" s="15" t="str">
        <f>VLOOKUP(A711,'[1]Master clients'!F690:P4237,11,0)</f>
        <v>AV</v>
      </c>
      <c r="D711" s="15" t="str">
        <f>VLOOKUP(A711,'[1]Master clients'!F:M,8,0)</f>
        <v>End User</v>
      </c>
      <c r="E711" s="16" t="s">
        <v>1692</v>
      </c>
      <c r="F711" s="16" t="s">
        <v>83</v>
      </c>
      <c r="G711" s="17">
        <f>10+11</f>
        <v>21</v>
      </c>
      <c r="H711" s="17">
        <v>0</v>
      </c>
      <c r="I711" s="18">
        <v>24</v>
      </c>
      <c r="J711" s="18">
        <v>0</v>
      </c>
      <c r="K711" s="17">
        <v>0</v>
      </c>
      <c r="L711" s="17">
        <v>0</v>
      </c>
      <c r="M711" s="17">
        <v>0</v>
      </c>
      <c r="N711" s="17">
        <v>0</v>
      </c>
      <c r="O711" s="19">
        <v>0</v>
      </c>
      <c r="P711" s="19">
        <v>0</v>
      </c>
      <c r="Q711" s="19">
        <v>16</v>
      </c>
      <c r="R711" s="19">
        <v>0</v>
      </c>
      <c r="S711" s="19">
        <v>0</v>
      </c>
      <c r="T711" s="19">
        <v>0</v>
      </c>
      <c r="U711" s="19">
        <v>0</v>
      </c>
      <c r="V711" s="19">
        <v>0</v>
      </c>
      <c r="W711" s="20">
        <v>0</v>
      </c>
      <c r="X711" s="20">
        <v>0</v>
      </c>
      <c r="Y711" s="19">
        <v>0</v>
      </c>
      <c r="Z711" s="19">
        <v>2</v>
      </c>
      <c r="AA711" s="19">
        <v>0</v>
      </c>
      <c r="AB711" s="19">
        <v>0</v>
      </c>
      <c r="AC711" s="19">
        <v>0</v>
      </c>
      <c r="AD711" s="19">
        <v>0</v>
      </c>
      <c r="AE711" s="19">
        <v>0</v>
      </c>
      <c r="AF711" s="19">
        <v>0</v>
      </c>
      <c r="AG711" s="19">
        <v>0</v>
      </c>
      <c r="AH711" s="19">
        <v>0</v>
      </c>
      <c r="AI711" s="20">
        <v>0</v>
      </c>
      <c r="AJ711" s="20">
        <v>0</v>
      </c>
      <c r="AK711" s="19">
        <v>0</v>
      </c>
      <c r="AL711" s="20">
        <v>0</v>
      </c>
      <c r="AM711" s="19">
        <v>0</v>
      </c>
      <c r="AN711" s="19">
        <v>0</v>
      </c>
      <c r="AO711" s="19">
        <v>0</v>
      </c>
      <c r="AP711" s="19">
        <v>0</v>
      </c>
      <c r="AQ711" s="19">
        <v>0</v>
      </c>
      <c r="AR711" s="19">
        <v>0</v>
      </c>
      <c r="AS711" s="19">
        <v>0</v>
      </c>
      <c r="AT711" s="19">
        <v>0</v>
      </c>
      <c r="AU711" s="19">
        <v>0</v>
      </c>
      <c r="AV711" s="19">
        <v>0</v>
      </c>
      <c r="AW711" s="20">
        <v>0</v>
      </c>
      <c r="AX711" s="20">
        <v>0</v>
      </c>
      <c r="AY711" s="20">
        <v>0</v>
      </c>
      <c r="AZ711" s="19">
        <v>0</v>
      </c>
      <c r="BA711" s="19">
        <v>0</v>
      </c>
      <c r="BB711" s="19">
        <v>0</v>
      </c>
      <c r="BC711" s="19">
        <v>0</v>
      </c>
      <c r="BD711" s="19">
        <v>0</v>
      </c>
      <c r="BE711" s="21">
        <v>0</v>
      </c>
      <c r="BF711" s="21">
        <v>0</v>
      </c>
      <c r="BG711" s="19">
        <v>0</v>
      </c>
      <c r="BH711" s="19">
        <v>0</v>
      </c>
      <c r="BI711" s="22">
        <f t="shared" si="215"/>
        <v>2</v>
      </c>
      <c r="BJ711" s="22">
        <f t="shared" si="216"/>
        <v>16</v>
      </c>
      <c r="BK711" s="22">
        <f t="shared" si="217"/>
        <v>42</v>
      </c>
      <c r="BL711" s="22">
        <f t="shared" si="218"/>
        <v>26</v>
      </c>
      <c r="BM711" s="22">
        <f t="shared" ref="BM711:BM741" si="220">SUM(J711+N711+O711+Q711+S711+U711+X711+AA711+AD711+AF711+AM711+AP711+AQ711+AT711+AX711+AY711+BD711+BH711)</f>
        <v>16</v>
      </c>
      <c r="BN711" s="23">
        <f t="shared" si="219"/>
        <v>0.92307692307692313</v>
      </c>
      <c r="BO711" s="23">
        <f t="shared" si="219"/>
        <v>0</v>
      </c>
      <c r="BP711" s="7">
        <f>VLOOKUP(A711,[1]Sheet15!B:E,4,0)</f>
        <v>11</v>
      </c>
      <c r="BQ711" s="7">
        <f>VLOOKUP(A711,[1]Sheet15!B:E,3,0)</f>
        <v>0</v>
      </c>
    </row>
    <row r="712" spans="1:69" ht="22.5" customHeight="1" x14ac:dyDescent="0.25">
      <c r="A712" s="15" t="s">
        <v>1693</v>
      </c>
      <c r="B712" s="15">
        <f>VLOOKUP(A712,'[1]Master clients'!F691:W4238,17,0)</f>
        <v>0</v>
      </c>
      <c r="C712" s="15" t="str">
        <f>VLOOKUP(A712,'[1]Master clients'!F691:P4238,11,0)</f>
        <v>AV</v>
      </c>
      <c r="D712" s="15" t="str">
        <f>VLOOKUP(A712,'[1]Master clients'!F:M,8,0)</f>
        <v>End User</v>
      </c>
      <c r="E712" s="16" t="s">
        <v>1694</v>
      </c>
      <c r="F712" s="16" t="s">
        <v>83</v>
      </c>
      <c r="G712" s="17">
        <v>24</v>
      </c>
      <c r="H712" s="17">
        <v>2</v>
      </c>
      <c r="I712" s="17">
        <v>24</v>
      </c>
      <c r="J712" s="17">
        <v>2</v>
      </c>
      <c r="K712" s="17">
        <v>0</v>
      </c>
      <c r="L712" s="17">
        <v>0</v>
      </c>
      <c r="M712" s="17">
        <v>0</v>
      </c>
      <c r="N712" s="17">
        <v>0</v>
      </c>
      <c r="O712" s="17">
        <v>0</v>
      </c>
      <c r="P712" s="17">
        <v>0</v>
      </c>
      <c r="Q712" s="17">
        <v>0</v>
      </c>
      <c r="R712" s="17">
        <v>0</v>
      </c>
      <c r="S712" s="17">
        <v>0</v>
      </c>
      <c r="T712" s="17">
        <v>0</v>
      </c>
      <c r="U712" s="17">
        <v>0</v>
      </c>
      <c r="V712" s="17">
        <v>0</v>
      </c>
      <c r="W712" s="17">
        <v>0</v>
      </c>
      <c r="X712" s="17">
        <v>0</v>
      </c>
      <c r="Y712" s="17">
        <v>0</v>
      </c>
      <c r="Z712" s="17">
        <v>0</v>
      </c>
      <c r="AA712" s="17">
        <v>0</v>
      </c>
      <c r="AB712" s="17">
        <v>0</v>
      </c>
      <c r="AC712" s="17">
        <v>0</v>
      </c>
      <c r="AD712" s="17">
        <v>0</v>
      </c>
      <c r="AE712" s="17">
        <v>0</v>
      </c>
      <c r="AF712" s="17">
        <v>0</v>
      </c>
      <c r="AG712" s="17">
        <v>0</v>
      </c>
      <c r="AH712" s="17">
        <v>0</v>
      </c>
      <c r="AI712" s="17">
        <v>0</v>
      </c>
      <c r="AJ712" s="17">
        <v>0</v>
      </c>
      <c r="AK712" s="17">
        <v>0</v>
      </c>
      <c r="AL712" s="17">
        <v>0</v>
      </c>
      <c r="AM712" s="17">
        <v>0</v>
      </c>
      <c r="AN712" s="17">
        <v>0</v>
      </c>
      <c r="AO712" s="17">
        <v>0</v>
      </c>
      <c r="AP712" s="17">
        <v>0</v>
      </c>
      <c r="AQ712" s="17">
        <v>0</v>
      </c>
      <c r="AR712" s="17">
        <v>0</v>
      </c>
      <c r="AS712" s="17">
        <v>0</v>
      </c>
      <c r="AT712" s="17">
        <v>0</v>
      </c>
      <c r="AU712" s="17">
        <v>0</v>
      </c>
      <c r="AV712" s="17">
        <v>0</v>
      </c>
      <c r="AW712" s="17">
        <v>0</v>
      </c>
      <c r="AX712" s="17">
        <v>0</v>
      </c>
      <c r="AY712" s="17">
        <v>0</v>
      </c>
      <c r="AZ712" s="17">
        <v>0</v>
      </c>
      <c r="BA712" s="17">
        <v>0</v>
      </c>
      <c r="BB712" s="17">
        <v>0</v>
      </c>
      <c r="BC712" s="17">
        <v>0</v>
      </c>
      <c r="BD712" s="17">
        <v>0</v>
      </c>
      <c r="BE712" s="17">
        <v>0</v>
      </c>
      <c r="BF712" s="17">
        <v>0</v>
      </c>
      <c r="BG712" s="17">
        <v>0</v>
      </c>
      <c r="BH712" s="17">
        <v>0</v>
      </c>
      <c r="BI712" s="22">
        <f t="shared" si="215"/>
        <v>0</v>
      </c>
      <c r="BJ712" s="22">
        <f t="shared" si="216"/>
        <v>0</v>
      </c>
      <c r="BK712" s="22">
        <f t="shared" si="217"/>
        <v>26</v>
      </c>
      <c r="BL712" s="22">
        <f t="shared" si="218"/>
        <v>24</v>
      </c>
      <c r="BM712" s="22">
        <f t="shared" si="220"/>
        <v>2</v>
      </c>
      <c r="BN712" s="23">
        <f t="shared" si="219"/>
        <v>1</v>
      </c>
      <c r="BO712" s="23">
        <f t="shared" si="219"/>
        <v>1</v>
      </c>
      <c r="BP712" s="7">
        <f>VLOOKUP(A712,[1]Sheet15!B:E,4,0)</f>
        <v>2</v>
      </c>
      <c r="BQ712" s="7">
        <f>VLOOKUP(A712,[1]Sheet15!B:E,3,0)</f>
        <v>0</v>
      </c>
    </row>
    <row r="713" spans="1:69" ht="22.5" customHeight="1" x14ac:dyDescent="0.25">
      <c r="A713" s="15" t="s">
        <v>1695</v>
      </c>
      <c r="B713" s="15">
        <f>VLOOKUP(A713,'[1]Master clients'!F692:W4239,17,0)</f>
        <v>0</v>
      </c>
      <c r="C713" s="15" t="str">
        <f>VLOOKUP(A713,'[1]Master clients'!F692:P4239,11,0)</f>
        <v>AV</v>
      </c>
      <c r="D713" s="15" t="str">
        <f>VLOOKUP(A713,'[1]Master clients'!F:M,8,0)</f>
        <v>End User</v>
      </c>
      <c r="E713" s="16" t="s">
        <v>1696</v>
      </c>
      <c r="F713" s="16" t="s">
        <v>905</v>
      </c>
      <c r="G713" s="17">
        <v>21</v>
      </c>
      <c r="H713" s="17">
        <v>9</v>
      </c>
      <c r="I713" s="18">
        <v>17</v>
      </c>
      <c r="J713" s="18">
        <v>4</v>
      </c>
      <c r="K713" s="17">
        <v>0</v>
      </c>
      <c r="L713" s="17">
        <v>0</v>
      </c>
      <c r="M713" s="17">
        <v>0</v>
      </c>
      <c r="N713" s="17">
        <v>0</v>
      </c>
      <c r="O713" s="19">
        <v>0</v>
      </c>
      <c r="P713" s="19">
        <v>0</v>
      </c>
      <c r="Q713" s="19">
        <v>0</v>
      </c>
      <c r="R713" s="19">
        <v>0</v>
      </c>
      <c r="S713" s="19">
        <v>0</v>
      </c>
      <c r="T713" s="19">
        <v>5</v>
      </c>
      <c r="U713" s="19">
        <v>0</v>
      </c>
      <c r="V713" s="19">
        <v>0</v>
      </c>
      <c r="W713" s="20">
        <v>0</v>
      </c>
      <c r="X713" s="20">
        <v>0</v>
      </c>
      <c r="Y713" s="19">
        <v>0</v>
      </c>
      <c r="Z713" s="19">
        <v>0</v>
      </c>
      <c r="AA713" s="19">
        <v>0</v>
      </c>
      <c r="AB713" s="19">
        <v>0</v>
      </c>
      <c r="AC713" s="19">
        <v>0</v>
      </c>
      <c r="AD713" s="19">
        <v>0</v>
      </c>
      <c r="AE713" s="19">
        <v>0</v>
      </c>
      <c r="AF713" s="19">
        <v>0</v>
      </c>
      <c r="AG713" s="19">
        <v>0</v>
      </c>
      <c r="AH713" s="19">
        <v>0</v>
      </c>
      <c r="AI713" s="20">
        <v>0</v>
      </c>
      <c r="AJ713" s="20">
        <v>0</v>
      </c>
      <c r="AK713" s="19">
        <v>0</v>
      </c>
      <c r="AL713" s="20">
        <v>0</v>
      </c>
      <c r="AM713" s="19">
        <v>0</v>
      </c>
      <c r="AN713" s="19">
        <v>0</v>
      </c>
      <c r="AO713" s="19">
        <v>0</v>
      </c>
      <c r="AP713" s="19">
        <v>0</v>
      </c>
      <c r="AQ713" s="19">
        <v>0</v>
      </c>
      <c r="AR713" s="19">
        <v>0</v>
      </c>
      <c r="AS713" s="19">
        <v>0</v>
      </c>
      <c r="AT713" s="19">
        <v>0</v>
      </c>
      <c r="AU713" s="19">
        <v>0</v>
      </c>
      <c r="AV713" s="19">
        <v>0</v>
      </c>
      <c r="AW713" s="20">
        <v>0</v>
      </c>
      <c r="AX713" s="20">
        <v>0</v>
      </c>
      <c r="AY713" s="20">
        <v>0</v>
      </c>
      <c r="AZ713" s="19">
        <v>0</v>
      </c>
      <c r="BA713" s="19">
        <v>0</v>
      </c>
      <c r="BB713" s="19">
        <v>0</v>
      </c>
      <c r="BC713" s="19">
        <v>0</v>
      </c>
      <c r="BD713" s="19">
        <v>0</v>
      </c>
      <c r="BE713" s="21">
        <v>0</v>
      </c>
      <c r="BF713" s="21">
        <v>0</v>
      </c>
      <c r="BG713" s="19">
        <v>0</v>
      </c>
      <c r="BH713" s="19">
        <v>0</v>
      </c>
      <c r="BI713" s="22">
        <f t="shared" si="215"/>
        <v>5</v>
      </c>
      <c r="BJ713" s="22">
        <f t="shared" si="216"/>
        <v>0</v>
      </c>
      <c r="BK713" s="22">
        <f t="shared" si="217"/>
        <v>26</v>
      </c>
      <c r="BL713" s="22">
        <f t="shared" si="218"/>
        <v>22</v>
      </c>
      <c r="BM713" s="22">
        <f t="shared" si="220"/>
        <v>4</v>
      </c>
      <c r="BN713" s="23">
        <f t="shared" si="219"/>
        <v>0.77272727272727271</v>
      </c>
      <c r="BO713" s="23">
        <f t="shared" si="219"/>
        <v>1</v>
      </c>
      <c r="BP713" s="7">
        <f>VLOOKUP(A713,[1]Sheet15!B:E,4,0)</f>
        <v>7</v>
      </c>
      <c r="BQ713" s="7">
        <f>VLOOKUP(A713,[1]Sheet15!B:E,3,0)</f>
        <v>0</v>
      </c>
    </row>
    <row r="714" spans="1:69" ht="22.5" customHeight="1" x14ac:dyDescent="0.25">
      <c r="A714" s="15" t="s">
        <v>1697</v>
      </c>
      <c r="B714" s="15">
        <f>VLOOKUP(A714,'[1]Master clients'!F693:W4240,17,0)</f>
        <v>0</v>
      </c>
      <c r="C714" s="15" t="str">
        <f>VLOOKUP(A714,'[1]Master clients'!F693:P4240,11,0)</f>
        <v>AV</v>
      </c>
      <c r="D714" s="15" t="str">
        <f>VLOOKUP(A714,'[1]Master clients'!F:M,8,0)</f>
        <v>End User</v>
      </c>
      <c r="E714" s="16" t="s">
        <v>1698</v>
      </c>
      <c r="F714" s="16" t="s">
        <v>83</v>
      </c>
      <c r="G714" s="17"/>
      <c r="H714" s="17"/>
      <c r="I714" s="26">
        <v>4</v>
      </c>
      <c r="J714" s="31">
        <v>0</v>
      </c>
      <c r="K714" s="17">
        <v>0</v>
      </c>
      <c r="L714" s="17">
        <v>0</v>
      </c>
      <c r="M714" s="17">
        <v>0</v>
      </c>
      <c r="N714" s="17">
        <v>0</v>
      </c>
      <c r="O714" s="17">
        <v>0</v>
      </c>
      <c r="P714" s="17">
        <v>0</v>
      </c>
      <c r="Q714" s="17">
        <v>0</v>
      </c>
      <c r="R714" s="17">
        <v>0</v>
      </c>
      <c r="S714" s="17">
        <v>0</v>
      </c>
      <c r="T714" s="17">
        <v>0</v>
      </c>
      <c r="U714" s="17">
        <v>0</v>
      </c>
      <c r="V714" s="17">
        <v>0</v>
      </c>
      <c r="W714" s="17">
        <v>0</v>
      </c>
      <c r="X714" s="17">
        <v>0</v>
      </c>
      <c r="Y714" s="17">
        <v>0</v>
      </c>
      <c r="Z714" s="17">
        <v>0</v>
      </c>
      <c r="AA714" s="17">
        <v>0</v>
      </c>
      <c r="AB714" s="17">
        <v>0</v>
      </c>
      <c r="AC714" s="17">
        <v>0</v>
      </c>
      <c r="AD714" s="17">
        <v>0</v>
      </c>
      <c r="AE714" s="17">
        <v>0</v>
      </c>
      <c r="AF714" s="17">
        <v>0</v>
      </c>
      <c r="AG714" s="17">
        <v>0</v>
      </c>
      <c r="AH714" s="17">
        <v>0</v>
      </c>
      <c r="AI714" s="17">
        <v>0</v>
      </c>
      <c r="AJ714" s="17">
        <v>0</v>
      </c>
      <c r="AK714" s="17">
        <v>0</v>
      </c>
      <c r="AL714" s="17">
        <v>0</v>
      </c>
      <c r="AM714" s="17">
        <v>0</v>
      </c>
      <c r="AN714" s="17">
        <v>0</v>
      </c>
      <c r="AO714" s="17">
        <v>0</v>
      </c>
      <c r="AP714" s="17">
        <v>0</v>
      </c>
      <c r="AQ714" s="17">
        <v>0</v>
      </c>
      <c r="AR714" s="17">
        <v>0</v>
      </c>
      <c r="AS714" s="17">
        <v>0</v>
      </c>
      <c r="AT714" s="17">
        <v>0</v>
      </c>
      <c r="AU714" s="17">
        <v>0</v>
      </c>
      <c r="AV714" s="17">
        <v>0</v>
      </c>
      <c r="AW714" s="17">
        <v>0</v>
      </c>
      <c r="AX714" s="17">
        <v>0</v>
      </c>
      <c r="AY714" s="17">
        <v>0</v>
      </c>
      <c r="AZ714" s="17">
        <v>0</v>
      </c>
      <c r="BA714" s="17">
        <v>0</v>
      </c>
      <c r="BB714" s="17">
        <v>0</v>
      </c>
      <c r="BC714" s="17">
        <v>0</v>
      </c>
      <c r="BD714" s="17">
        <v>0</v>
      </c>
      <c r="BE714" s="17">
        <v>0</v>
      </c>
      <c r="BF714" s="17">
        <v>0</v>
      </c>
      <c r="BG714" s="17">
        <v>0</v>
      </c>
      <c r="BH714" s="17">
        <v>0</v>
      </c>
      <c r="BI714" s="22">
        <f t="shared" si="215"/>
        <v>0</v>
      </c>
      <c r="BJ714" s="22">
        <f t="shared" si="216"/>
        <v>0</v>
      </c>
      <c r="BK714" s="28">
        <f t="shared" si="217"/>
        <v>4</v>
      </c>
      <c r="BL714" s="22">
        <f t="shared" si="218"/>
        <v>4</v>
      </c>
      <c r="BM714" s="22">
        <f t="shared" si="220"/>
        <v>0</v>
      </c>
      <c r="BN714" s="23">
        <f t="shared" si="219"/>
        <v>1</v>
      </c>
      <c r="BO714" s="23" t="e">
        <f t="shared" si="219"/>
        <v>#DIV/0!</v>
      </c>
      <c r="BP714" s="7">
        <f>VLOOKUP(A714,[1]Sheet15!B:E,4,0)</f>
        <v>4</v>
      </c>
      <c r="BQ714" s="7">
        <f>VLOOKUP(A714,[1]Sheet15!B:E,3,0)</f>
        <v>0</v>
      </c>
    </row>
    <row r="715" spans="1:69" ht="22.5" customHeight="1" x14ac:dyDescent="0.25">
      <c r="A715" s="15" t="s">
        <v>1699</v>
      </c>
      <c r="B715" s="15" t="str">
        <f>VLOOKUP(A715,'[1]Master clients'!F694:W4241,17,0)</f>
        <v>Apr</v>
      </c>
      <c r="C715" s="15" t="str">
        <f>VLOOKUP(A715,'[1]Master clients'!F694:P4241,11,0)</f>
        <v>AV</v>
      </c>
      <c r="D715" s="15" t="str">
        <f>VLOOKUP(A715,'[1]Master clients'!F:M,8,0)</f>
        <v>End User</v>
      </c>
      <c r="E715" s="16" t="s">
        <v>1700</v>
      </c>
      <c r="F715" s="16" t="s">
        <v>87</v>
      </c>
      <c r="G715" s="17">
        <v>3</v>
      </c>
      <c r="H715" s="17">
        <v>0</v>
      </c>
      <c r="I715" s="18">
        <v>3</v>
      </c>
      <c r="J715" s="18">
        <v>0</v>
      </c>
      <c r="K715" s="17">
        <v>0</v>
      </c>
      <c r="L715" s="17">
        <v>0</v>
      </c>
      <c r="M715" s="17">
        <v>0</v>
      </c>
      <c r="N715" s="17">
        <v>4</v>
      </c>
      <c r="O715" s="19">
        <v>0</v>
      </c>
      <c r="P715" s="19">
        <v>4</v>
      </c>
      <c r="Q715" s="19">
        <v>0</v>
      </c>
      <c r="R715" s="19">
        <v>8</v>
      </c>
      <c r="S715" s="19">
        <v>0</v>
      </c>
      <c r="T715" s="19">
        <v>0</v>
      </c>
      <c r="U715" s="19">
        <v>0</v>
      </c>
      <c r="V715" s="19">
        <v>0</v>
      </c>
      <c r="W715" s="20">
        <v>0</v>
      </c>
      <c r="X715" s="20">
        <v>0</v>
      </c>
      <c r="Y715" s="19">
        <v>0</v>
      </c>
      <c r="Z715" s="19">
        <v>0</v>
      </c>
      <c r="AA715" s="19">
        <v>0</v>
      </c>
      <c r="AB715" s="19">
        <v>0</v>
      </c>
      <c r="AC715" s="19">
        <v>0</v>
      </c>
      <c r="AD715" s="19">
        <v>0</v>
      </c>
      <c r="AE715" s="19">
        <v>0</v>
      </c>
      <c r="AF715" s="19">
        <v>0</v>
      </c>
      <c r="AG715" s="19">
        <v>0</v>
      </c>
      <c r="AH715" s="19">
        <v>0</v>
      </c>
      <c r="AI715" s="20">
        <v>0</v>
      </c>
      <c r="AJ715" s="20">
        <v>0</v>
      </c>
      <c r="AK715" s="19">
        <v>0</v>
      </c>
      <c r="AL715" s="20">
        <v>0</v>
      </c>
      <c r="AM715" s="19">
        <v>0</v>
      </c>
      <c r="AN715" s="19">
        <v>0</v>
      </c>
      <c r="AO715" s="19">
        <v>0</v>
      </c>
      <c r="AP715" s="19">
        <v>0</v>
      </c>
      <c r="AQ715" s="19">
        <v>0</v>
      </c>
      <c r="AR715" s="19">
        <v>0</v>
      </c>
      <c r="AS715" s="19">
        <v>0</v>
      </c>
      <c r="AT715" s="19">
        <v>0</v>
      </c>
      <c r="AU715" s="19">
        <v>0</v>
      </c>
      <c r="AV715" s="19">
        <v>0</v>
      </c>
      <c r="AW715" s="20">
        <v>0</v>
      </c>
      <c r="AX715" s="20">
        <v>0</v>
      </c>
      <c r="AY715" s="20">
        <v>0</v>
      </c>
      <c r="AZ715" s="19">
        <v>0</v>
      </c>
      <c r="BA715" s="19">
        <v>0</v>
      </c>
      <c r="BB715" s="19">
        <v>0</v>
      </c>
      <c r="BC715" s="19">
        <v>0</v>
      </c>
      <c r="BD715" s="19">
        <v>0</v>
      </c>
      <c r="BE715" s="21">
        <v>0</v>
      </c>
      <c r="BF715" s="21">
        <v>0</v>
      </c>
      <c r="BG715" s="19">
        <v>0</v>
      </c>
      <c r="BH715" s="19">
        <v>0</v>
      </c>
      <c r="BI715" s="22">
        <f t="shared" si="215"/>
        <v>12</v>
      </c>
      <c r="BJ715" s="22">
        <f t="shared" si="216"/>
        <v>4</v>
      </c>
      <c r="BK715" s="22">
        <f t="shared" si="217"/>
        <v>19</v>
      </c>
      <c r="BL715" s="22">
        <f t="shared" si="218"/>
        <v>15</v>
      </c>
      <c r="BM715" s="22">
        <f t="shared" si="220"/>
        <v>4</v>
      </c>
      <c r="BN715" s="23">
        <f t="shared" si="219"/>
        <v>0.2</v>
      </c>
      <c r="BO715" s="23">
        <f t="shared" si="219"/>
        <v>0</v>
      </c>
      <c r="BP715" s="7">
        <f>VLOOKUP(A715,[1]Sheet15!B:E,4,0)</f>
        <v>3</v>
      </c>
      <c r="BQ715" s="7">
        <f>VLOOKUP(A715,[1]Sheet15!B:E,3,0)</f>
        <v>0</v>
      </c>
    </row>
    <row r="716" spans="1:69" ht="22.5" customHeight="1" x14ac:dyDescent="0.25">
      <c r="A716" s="15" t="s">
        <v>1701</v>
      </c>
      <c r="B716" s="15">
        <f>VLOOKUP(A716,'[1]Master clients'!F695:W4242,17,0)</f>
        <v>0</v>
      </c>
      <c r="C716" s="15" t="str">
        <f>VLOOKUP(A716,'[1]Master clients'!F695:P4242,11,0)</f>
        <v>AV</v>
      </c>
      <c r="D716" s="15" t="str">
        <f>VLOOKUP(A716,'[1]Master clients'!F:M,8,0)</f>
        <v>End User</v>
      </c>
      <c r="E716" s="16" t="s">
        <v>1702</v>
      </c>
      <c r="F716" s="16" t="s">
        <v>83</v>
      </c>
      <c r="G716" s="17"/>
      <c r="H716" s="17"/>
      <c r="I716" s="26">
        <v>1</v>
      </c>
      <c r="J716" s="31">
        <v>0</v>
      </c>
      <c r="K716" s="17">
        <v>0</v>
      </c>
      <c r="L716" s="17">
        <v>0</v>
      </c>
      <c r="M716" s="17">
        <v>0</v>
      </c>
      <c r="N716" s="17">
        <v>0</v>
      </c>
      <c r="O716" s="17">
        <v>0</v>
      </c>
      <c r="P716" s="17">
        <v>0</v>
      </c>
      <c r="Q716" s="17">
        <v>0</v>
      </c>
      <c r="R716" s="17">
        <v>0</v>
      </c>
      <c r="S716" s="17">
        <v>0</v>
      </c>
      <c r="T716" s="17">
        <v>0</v>
      </c>
      <c r="U716" s="17">
        <v>0</v>
      </c>
      <c r="V716" s="17">
        <v>0</v>
      </c>
      <c r="W716" s="17">
        <v>0</v>
      </c>
      <c r="X716" s="17">
        <v>0</v>
      </c>
      <c r="Y716" s="17">
        <v>0</v>
      </c>
      <c r="Z716" s="17">
        <v>0</v>
      </c>
      <c r="AA716" s="17">
        <v>0</v>
      </c>
      <c r="AB716" s="17">
        <v>0</v>
      </c>
      <c r="AC716" s="17">
        <v>0</v>
      </c>
      <c r="AD716" s="17">
        <v>0</v>
      </c>
      <c r="AE716" s="17">
        <v>0</v>
      </c>
      <c r="AF716" s="17">
        <v>0</v>
      </c>
      <c r="AG716" s="17">
        <v>0</v>
      </c>
      <c r="AH716" s="17">
        <v>0</v>
      </c>
      <c r="AI716" s="17">
        <v>0</v>
      </c>
      <c r="AJ716" s="17">
        <v>0</v>
      </c>
      <c r="AK716" s="17">
        <v>0</v>
      </c>
      <c r="AL716" s="17">
        <v>0</v>
      </c>
      <c r="AM716" s="17">
        <v>0</v>
      </c>
      <c r="AN716" s="17">
        <v>0</v>
      </c>
      <c r="AO716" s="17">
        <v>0</v>
      </c>
      <c r="AP716" s="17">
        <v>0</v>
      </c>
      <c r="AQ716" s="17">
        <v>0</v>
      </c>
      <c r="AR716" s="17">
        <v>0</v>
      </c>
      <c r="AS716" s="17">
        <v>0</v>
      </c>
      <c r="AT716" s="17">
        <v>0</v>
      </c>
      <c r="AU716" s="17">
        <v>0</v>
      </c>
      <c r="AV716" s="17">
        <v>0</v>
      </c>
      <c r="AW716" s="17">
        <v>0</v>
      </c>
      <c r="AX716" s="17">
        <v>0</v>
      </c>
      <c r="AY716" s="17">
        <v>0</v>
      </c>
      <c r="AZ716" s="17">
        <v>0</v>
      </c>
      <c r="BA716" s="17">
        <v>0</v>
      </c>
      <c r="BB716" s="17">
        <v>0</v>
      </c>
      <c r="BC716" s="17">
        <v>0</v>
      </c>
      <c r="BD716" s="17">
        <v>0</v>
      </c>
      <c r="BE716" s="17">
        <v>0</v>
      </c>
      <c r="BF716" s="17">
        <v>0</v>
      </c>
      <c r="BG716" s="17">
        <v>0</v>
      </c>
      <c r="BH716" s="17">
        <v>0</v>
      </c>
      <c r="BI716" s="22">
        <f t="shared" si="215"/>
        <v>0</v>
      </c>
      <c r="BJ716" s="22">
        <f t="shared" si="216"/>
        <v>0</v>
      </c>
      <c r="BK716" s="28">
        <f t="shared" si="217"/>
        <v>1</v>
      </c>
      <c r="BL716" s="22">
        <f t="shared" si="218"/>
        <v>1</v>
      </c>
      <c r="BM716" s="22">
        <f t="shared" si="220"/>
        <v>0</v>
      </c>
      <c r="BN716" s="23">
        <f t="shared" si="219"/>
        <v>1</v>
      </c>
      <c r="BO716" s="23" t="e">
        <f t="shared" si="219"/>
        <v>#DIV/0!</v>
      </c>
      <c r="BP716" s="7">
        <f>VLOOKUP(A716,[1]Sheet15!B:E,4,0)</f>
        <v>1</v>
      </c>
      <c r="BQ716" s="7">
        <f>VLOOKUP(A716,[1]Sheet15!B:E,3,0)</f>
        <v>0</v>
      </c>
    </row>
    <row r="717" spans="1:69" ht="22.5" customHeight="1" x14ac:dyDescent="0.25">
      <c r="A717" s="15" t="s">
        <v>1703</v>
      </c>
      <c r="B717" s="15">
        <f>VLOOKUP(A717,'[1]Master clients'!F696:W4243,17,0)</f>
        <v>0</v>
      </c>
      <c r="C717" s="15" t="str">
        <f>VLOOKUP(A717,'[1]Master clients'!F696:P4243,11,0)</f>
        <v>AV</v>
      </c>
      <c r="D717" s="15" t="str">
        <f>VLOOKUP(A717,'[1]Master clients'!F:M,8,0)</f>
        <v>Group (Mills)</v>
      </c>
      <c r="E717" s="16" t="s">
        <v>1704</v>
      </c>
      <c r="F717" s="16" t="s">
        <v>83</v>
      </c>
      <c r="G717" s="17">
        <v>8</v>
      </c>
      <c r="H717" s="17">
        <v>0</v>
      </c>
      <c r="I717" s="18">
        <v>2</v>
      </c>
      <c r="J717" s="18">
        <v>0</v>
      </c>
      <c r="K717" s="17">
        <v>0</v>
      </c>
      <c r="L717" s="17">
        <v>0</v>
      </c>
      <c r="M717" s="17">
        <v>0</v>
      </c>
      <c r="N717" s="17">
        <v>0</v>
      </c>
      <c r="O717" s="19">
        <v>0</v>
      </c>
      <c r="P717" s="19">
        <v>0</v>
      </c>
      <c r="Q717" s="19">
        <v>8</v>
      </c>
      <c r="R717" s="19">
        <v>0</v>
      </c>
      <c r="S717" s="19">
        <v>0</v>
      </c>
      <c r="T717" s="19">
        <v>0</v>
      </c>
      <c r="U717" s="19">
        <v>0</v>
      </c>
      <c r="V717" s="19">
        <v>0</v>
      </c>
      <c r="W717" s="20">
        <v>0</v>
      </c>
      <c r="X717" s="20">
        <v>0</v>
      </c>
      <c r="Y717" s="19">
        <v>0</v>
      </c>
      <c r="Z717" s="19">
        <v>5</v>
      </c>
      <c r="AA717" s="19">
        <v>0</v>
      </c>
      <c r="AB717" s="19">
        <v>0</v>
      </c>
      <c r="AC717" s="19">
        <v>0</v>
      </c>
      <c r="AD717" s="19">
        <v>0</v>
      </c>
      <c r="AE717" s="19">
        <v>0</v>
      </c>
      <c r="AF717" s="19">
        <v>0</v>
      </c>
      <c r="AG717" s="19">
        <v>0</v>
      </c>
      <c r="AH717" s="19">
        <v>0</v>
      </c>
      <c r="AI717" s="20">
        <v>0</v>
      </c>
      <c r="AJ717" s="20">
        <v>0</v>
      </c>
      <c r="AK717" s="19">
        <v>5</v>
      </c>
      <c r="AL717" s="20">
        <v>0</v>
      </c>
      <c r="AM717" s="19">
        <v>0</v>
      </c>
      <c r="AN717" s="19">
        <v>0</v>
      </c>
      <c r="AO717" s="19">
        <v>0</v>
      </c>
      <c r="AP717" s="19">
        <v>0</v>
      </c>
      <c r="AQ717" s="19">
        <v>0</v>
      </c>
      <c r="AR717" s="19">
        <v>0</v>
      </c>
      <c r="AS717" s="19">
        <v>0</v>
      </c>
      <c r="AT717" s="19">
        <v>0</v>
      </c>
      <c r="AU717" s="19">
        <v>0</v>
      </c>
      <c r="AV717" s="19">
        <v>0</v>
      </c>
      <c r="AW717" s="20">
        <v>0</v>
      </c>
      <c r="AX717" s="20">
        <v>0</v>
      </c>
      <c r="AY717" s="20">
        <v>0</v>
      </c>
      <c r="AZ717" s="19">
        <v>0</v>
      </c>
      <c r="BA717" s="19">
        <v>0</v>
      </c>
      <c r="BB717" s="19">
        <v>0</v>
      </c>
      <c r="BC717" s="19">
        <v>0</v>
      </c>
      <c r="BD717" s="19">
        <v>0</v>
      </c>
      <c r="BE717" s="21">
        <v>0</v>
      </c>
      <c r="BF717" s="21">
        <v>0</v>
      </c>
      <c r="BG717" s="19">
        <v>0</v>
      </c>
      <c r="BH717" s="19">
        <v>0</v>
      </c>
      <c r="BI717" s="22">
        <f t="shared" si="215"/>
        <v>10</v>
      </c>
      <c r="BJ717" s="22">
        <f t="shared" si="216"/>
        <v>8</v>
      </c>
      <c r="BK717" s="22">
        <f t="shared" si="217"/>
        <v>20</v>
      </c>
      <c r="BL717" s="22">
        <f t="shared" si="218"/>
        <v>12</v>
      </c>
      <c r="BM717" s="22">
        <f t="shared" si="220"/>
        <v>8</v>
      </c>
      <c r="BN717" s="23">
        <f t="shared" si="219"/>
        <v>0.16666666666666666</v>
      </c>
      <c r="BO717" s="23">
        <f t="shared" si="219"/>
        <v>0</v>
      </c>
      <c r="BP717" s="7">
        <f>VLOOKUP(A717,[1]Sheet15!B:E,4,0)</f>
        <v>4</v>
      </c>
      <c r="BQ717" s="7">
        <f>VLOOKUP(A717,[1]Sheet15!B:E,3,0)</f>
        <v>0</v>
      </c>
    </row>
    <row r="718" spans="1:69" ht="22.5" customHeight="1" x14ac:dyDescent="0.25">
      <c r="A718" s="15" t="s">
        <v>1705</v>
      </c>
      <c r="B718" s="15">
        <f>VLOOKUP(A718,'[1]Master clients'!F697:W4244,17,0)</f>
        <v>0</v>
      </c>
      <c r="C718" s="15" t="str">
        <f>VLOOKUP(A718,'[1]Master clients'!F697:P4244,11,0)</f>
        <v>-</v>
      </c>
      <c r="D718" s="15" t="str">
        <f>VLOOKUP(A718,'[1]Master clients'!F:M,8,0)</f>
        <v>End User</v>
      </c>
      <c r="E718" s="16" t="s">
        <v>652</v>
      </c>
      <c r="F718" s="29" t="s">
        <v>653</v>
      </c>
      <c r="G718" s="17">
        <v>0</v>
      </c>
      <c r="H718" s="17">
        <v>0</v>
      </c>
      <c r="I718" s="18">
        <v>2</v>
      </c>
      <c r="J718" s="18">
        <v>0</v>
      </c>
      <c r="K718" s="17">
        <v>0</v>
      </c>
      <c r="L718" s="17">
        <v>4</v>
      </c>
      <c r="M718" s="17">
        <v>0</v>
      </c>
      <c r="N718" s="17">
        <v>0</v>
      </c>
      <c r="O718" s="19">
        <v>0</v>
      </c>
      <c r="P718" s="19">
        <v>6</v>
      </c>
      <c r="Q718" s="19">
        <v>6</v>
      </c>
      <c r="R718" s="19">
        <v>0</v>
      </c>
      <c r="S718" s="19">
        <v>0</v>
      </c>
      <c r="T718" s="19">
        <v>0</v>
      </c>
      <c r="U718" s="19">
        <v>0</v>
      </c>
      <c r="V718" s="19">
        <v>0</v>
      </c>
      <c r="W718" s="20">
        <v>0</v>
      </c>
      <c r="X718" s="20">
        <v>0</v>
      </c>
      <c r="Y718" s="19">
        <v>0</v>
      </c>
      <c r="Z718" s="19">
        <v>0</v>
      </c>
      <c r="AA718" s="19">
        <v>0</v>
      </c>
      <c r="AB718" s="19">
        <v>0</v>
      </c>
      <c r="AC718" s="19">
        <v>0</v>
      </c>
      <c r="AD718" s="19">
        <v>0</v>
      </c>
      <c r="AE718" s="19">
        <v>0</v>
      </c>
      <c r="AF718" s="19">
        <v>0</v>
      </c>
      <c r="AG718" s="19">
        <v>0</v>
      </c>
      <c r="AH718" s="19">
        <v>0</v>
      </c>
      <c r="AI718" s="20">
        <v>0</v>
      </c>
      <c r="AJ718" s="20">
        <v>0</v>
      </c>
      <c r="AK718" s="19">
        <v>0</v>
      </c>
      <c r="AL718" s="20">
        <v>0</v>
      </c>
      <c r="AM718" s="19">
        <v>0</v>
      </c>
      <c r="AN718" s="19">
        <v>0</v>
      </c>
      <c r="AO718" s="19">
        <v>0</v>
      </c>
      <c r="AP718" s="19">
        <v>0</v>
      </c>
      <c r="AQ718" s="19">
        <v>0</v>
      </c>
      <c r="AR718" s="19">
        <v>0</v>
      </c>
      <c r="AS718" s="19">
        <v>0</v>
      </c>
      <c r="AT718" s="19">
        <v>0</v>
      </c>
      <c r="AU718" s="19">
        <v>0</v>
      </c>
      <c r="AV718" s="19">
        <v>0</v>
      </c>
      <c r="AW718" s="20">
        <v>0</v>
      </c>
      <c r="AX718" s="20">
        <v>0</v>
      </c>
      <c r="AY718" s="20">
        <v>0</v>
      </c>
      <c r="AZ718" s="19">
        <v>0</v>
      </c>
      <c r="BA718" s="19">
        <v>0</v>
      </c>
      <c r="BB718" s="19">
        <v>0</v>
      </c>
      <c r="BC718" s="19">
        <v>0</v>
      </c>
      <c r="BD718" s="19">
        <v>0</v>
      </c>
      <c r="BE718" s="21">
        <v>0</v>
      </c>
      <c r="BF718" s="21">
        <v>0</v>
      </c>
      <c r="BG718" s="19">
        <v>0</v>
      </c>
      <c r="BH718" s="19">
        <v>0</v>
      </c>
      <c r="BI718" s="22">
        <f t="shared" si="215"/>
        <v>10</v>
      </c>
      <c r="BJ718" s="22">
        <f t="shared" si="216"/>
        <v>6</v>
      </c>
      <c r="BK718" s="22">
        <f t="shared" si="217"/>
        <v>18</v>
      </c>
      <c r="BL718" s="22">
        <f t="shared" si="218"/>
        <v>12</v>
      </c>
      <c r="BM718" s="22">
        <f t="shared" si="220"/>
        <v>6</v>
      </c>
      <c r="BN718" s="23">
        <f t="shared" si="219"/>
        <v>0.16666666666666666</v>
      </c>
      <c r="BO718" s="23">
        <f t="shared" si="219"/>
        <v>0</v>
      </c>
      <c r="BP718" s="7" t="e">
        <f>VLOOKUP(A718,[1]Sheet15!B:E,4,0)</f>
        <v>#N/A</v>
      </c>
      <c r="BQ718" s="7" t="e">
        <f>VLOOKUP(A718,[1]Sheet15!B:E,3,0)</f>
        <v>#N/A</v>
      </c>
    </row>
    <row r="719" spans="1:69" ht="22.5" customHeight="1" x14ac:dyDescent="0.25">
      <c r="A719" s="15" t="s">
        <v>1706</v>
      </c>
      <c r="B719" s="15">
        <f>VLOOKUP(A719,'[1]Master clients'!F698:W4245,17,0)</f>
        <v>0</v>
      </c>
      <c r="C719" s="15" t="str">
        <f>VLOOKUP(A719,'[1]Master clients'!F698:P4245,11,0)</f>
        <v>AV</v>
      </c>
      <c r="D719" s="15" t="str">
        <f>VLOOKUP(A719,'[1]Master clients'!F:M,8,0)</f>
        <v>End User</v>
      </c>
      <c r="E719" s="24" t="s">
        <v>1707</v>
      </c>
      <c r="F719" s="25" t="s">
        <v>1708</v>
      </c>
      <c r="G719" s="20">
        <v>19</v>
      </c>
      <c r="H719" s="20">
        <v>0</v>
      </c>
      <c r="I719" s="26">
        <v>21</v>
      </c>
      <c r="J719" s="26">
        <v>0</v>
      </c>
      <c r="K719" s="20">
        <v>1</v>
      </c>
      <c r="L719" s="20">
        <v>0</v>
      </c>
      <c r="M719" s="20">
        <v>0</v>
      </c>
      <c r="N719" s="20">
        <v>0</v>
      </c>
      <c r="O719" s="20">
        <v>0</v>
      </c>
      <c r="P719" s="20">
        <v>0</v>
      </c>
      <c r="Q719" s="20">
        <v>9</v>
      </c>
      <c r="R719" s="20">
        <v>0</v>
      </c>
      <c r="S719" s="20">
        <v>0</v>
      </c>
      <c r="T719" s="20">
        <v>0</v>
      </c>
      <c r="U719" s="20">
        <v>0</v>
      </c>
      <c r="V719" s="20">
        <v>0</v>
      </c>
      <c r="W719" s="20">
        <v>0</v>
      </c>
      <c r="X719" s="20">
        <v>0</v>
      </c>
      <c r="Y719" s="20">
        <v>0</v>
      </c>
      <c r="Z719" s="20">
        <v>0</v>
      </c>
      <c r="AA719" s="20">
        <v>0</v>
      </c>
      <c r="AB719" s="20">
        <v>0</v>
      </c>
      <c r="AC719" s="20">
        <v>0</v>
      </c>
      <c r="AD719" s="20">
        <v>0</v>
      </c>
      <c r="AE719" s="20">
        <v>1</v>
      </c>
      <c r="AF719" s="20">
        <v>0</v>
      </c>
      <c r="AG719" s="20">
        <v>0</v>
      </c>
      <c r="AH719" s="20">
        <v>0</v>
      </c>
      <c r="AI719" s="20">
        <v>0</v>
      </c>
      <c r="AJ719" s="20">
        <v>0</v>
      </c>
      <c r="AK719" s="20">
        <v>0</v>
      </c>
      <c r="AL719" s="20">
        <v>0</v>
      </c>
      <c r="AM719" s="20">
        <v>0</v>
      </c>
      <c r="AN719" s="20">
        <v>0</v>
      </c>
      <c r="AO719" s="20">
        <v>0</v>
      </c>
      <c r="AP719" s="20">
        <v>0</v>
      </c>
      <c r="AQ719" s="20">
        <v>0</v>
      </c>
      <c r="AR719" s="20">
        <v>0</v>
      </c>
      <c r="AS719" s="20">
        <v>0</v>
      </c>
      <c r="AT719" s="20">
        <v>0</v>
      </c>
      <c r="AU719" s="20">
        <v>0</v>
      </c>
      <c r="AV719" s="20">
        <v>0</v>
      </c>
      <c r="AW719" s="20">
        <v>0</v>
      </c>
      <c r="AX719" s="20">
        <v>0</v>
      </c>
      <c r="AY719" s="20">
        <v>0</v>
      </c>
      <c r="AZ719" s="20">
        <v>0</v>
      </c>
      <c r="BA719" s="20">
        <v>0</v>
      </c>
      <c r="BB719" s="27">
        <v>0</v>
      </c>
      <c r="BC719" s="20">
        <v>0</v>
      </c>
      <c r="BD719" s="20">
        <v>0</v>
      </c>
      <c r="BE719" s="21">
        <v>0</v>
      </c>
      <c r="BF719" s="21">
        <v>0</v>
      </c>
      <c r="BG719" s="20">
        <v>0</v>
      </c>
      <c r="BH719" s="20">
        <v>0</v>
      </c>
      <c r="BI719" s="22">
        <f t="shared" si="215"/>
        <v>2</v>
      </c>
      <c r="BJ719" s="22">
        <f t="shared" si="216"/>
        <v>9</v>
      </c>
      <c r="BK719" s="28">
        <f t="shared" si="217"/>
        <v>32</v>
      </c>
      <c r="BL719" s="22">
        <f t="shared" si="218"/>
        <v>23</v>
      </c>
      <c r="BM719" s="22">
        <f t="shared" si="220"/>
        <v>9</v>
      </c>
      <c r="BN719" s="23">
        <f t="shared" si="219"/>
        <v>0.91304347826086951</v>
      </c>
      <c r="BO719" s="23">
        <f t="shared" si="219"/>
        <v>0</v>
      </c>
      <c r="BP719" s="7">
        <f>VLOOKUP(A719,[1]Sheet15!B:E,4,0)</f>
        <v>10</v>
      </c>
      <c r="BQ719" s="7">
        <f>VLOOKUP(A719,[1]Sheet15!B:E,3,0)</f>
        <v>0</v>
      </c>
    </row>
    <row r="720" spans="1:69" ht="22.5" customHeight="1" x14ac:dyDescent="0.25">
      <c r="A720" s="15" t="s">
        <v>1709</v>
      </c>
      <c r="B720" s="15">
        <f>VLOOKUP(A720,'[1]Master clients'!F699:W4246,17,0)</f>
        <v>0</v>
      </c>
      <c r="C720" s="15" t="str">
        <f>VLOOKUP(A720,'[1]Master clients'!F699:P4246,11,0)</f>
        <v>AV</v>
      </c>
      <c r="D720" s="15" t="str">
        <f>VLOOKUP(A720,'[1]Master clients'!F:M,8,0)</f>
        <v>End User</v>
      </c>
      <c r="E720" s="24" t="s">
        <v>1710</v>
      </c>
      <c r="F720" s="25" t="s">
        <v>85</v>
      </c>
      <c r="G720" s="20">
        <v>4</v>
      </c>
      <c r="H720" s="20">
        <v>3</v>
      </c>
      <c r="I720" s="26">
        <v>14</v>
      </c>
      <c r="J720" s="26">
        <v>2</v>
      </c>
      <c r="K720" s="20">
        <v>0</v>
      </c>
      <c r="L720" s="20">
        <v>0</v>
      </c>
      <c r="M720" s="20">
        <v>0</v>
      </c>
      <c r="N720" s="20">
        <v>0</v>
      </c>
      <c r="O720" s="20">
        <v>0</v>
      </c>
      <c r="P720" s="20">
        <v>4</v>
      </c>
      <c r="Q720" s="20">
        <v>7</v>
      </c>
      <c r="R720" s="20">
        <v>0</v>
      </c>
      <c r="S720" s="20">
        <v>0</v>
      </c>
      <c r="T720" s="20">
        <v>0</v>
      </c>
      <c r="U720" s="20">
        <v>0</v>
      </c>
      <c r="V720" s="20">
        <v>0</v>
      </c>
      <c r="W720" s="20">
        <v>0</v>
      </c>
      <c r="X720" s="20">
        <v>0</v>
      </c>
      <c r="Y720" s="20">
        <v>0</v>
      </c>
      <c r="Z720" s="20">
        <v>0</v>
      </c>
      <c r="AA720" s="20">
        <v>0</v>
      </c>
      <c r="AB720" s="20">
        <v>0</v>
      </c>
      <c r="AC720" s="20">
        <v>0</v>
      </c>
      <c r="AD720" s="20">
        <v>0</v>
      </c>
      <c r="AE720" s="20">
        <v>0</v>
      </c>
      <c r="AF720" s="20">
        <v>0</v>
      </c>
      <c r="AG720" s="20">
        <v>0</v>
      </c>
      <c r="AH720" s="20">
        <v>0</v>
      </c>
      <c r="AI720" s="20">
        <v>0</v>
      </c>
      <c r="AJ720" s="20">
        <v>0</v>
      </c>
      <c r="AK720" s="20">
        <v>0</v>
      </c>
      <c r="AL720" s="20">
        <v>0</v>
      </c>
      <c r="AM720" s="20">
        <v>0</v>
      </c>
      <c r="AN720" s="20">
        <v>0</v>
      </c>
      <c r="AO720" s="20">
        <v>0</v>
      </c>
      <c r="AP720" s="20">
        <v>0</v>
      </c>
      <c r="AQ720" s="20">
        <v>0</v>
      </c>
      <c r="AR720" s="20">
        <v>0</v>
      </c>
      <c r="AS720" s="20">
        <v>0</v>
      </c>
      <c r="AT720" s="20">
        <v>0</v>
      </c>
      <c r="AU720" s="20">
        <v>0</v>
      </c>
      <c r="AV720" s="20">
        <v>0</v>
      </c>
      <c r="AW720" s="20">
        <v>0</v>
      </c>
      <c r="AX720" s="20">
        <v>0</v>
      </c>
      <c r="AY720" s="20">
        <v>0</v>
      </c>
      <c r="AZ720" s="20">
        <v>0</v>
      </c>
      <c r="BA720" s="20">
        <v>4</v>
      </c>
      <c r="BB720" s="27">
        <v>0</v>
      </c>
      <c r="BC720" s="20">
        <v>0</v>
      </c>
      <c r="BD720" s="20">
        <v>0</v>
      </c>
      <c r="BE720" s="21">
        <v>0</v>
      </c>
      <c r="BF720" s="21">
        <v>0</v>
      </c>
      <c r="BG720" s="20">
        <v>0</v>
      </c>
      <c r="BH720" s="20">
        <v>0</v>
      </c>
      <c r="BI720" s="22">
        <f t="shared" si="215"/>
        <v>8</v>
      </c>
      <c r="BJ720" s="22">
        <f t="shared" si="216"/>
        <v>7</v>
      </c>
      <c r="BK720" s="28">
        <f t="shared" si="217"/>
        <v>31</v>
      </c>
      <c r="BL720" s="22">
        <f t="shared" si="218"/>
        <v>22</v>
      </c>
      <c r="BM720" s="22">
        <f t="shared" si="220"/>
        <v>9</v>
      </c>
      <c r="BN720" s="23">
        <f t="shared" ref="BN720:BO735" si="221">I720/BL720</f>
        <v>0.63636363636363635</v>
      </c>
      <c r="BO720" s="23">
        <f t="shared" si="221"/>
        <v>0.22222222222222221</v>
      </c>
      <c r="BP720" s="7">
        <f>VLOOKUP(A720,[1]Sheet15!B:E,4,0)</f>
        <v>4</v>
      </c>
      <c r="BQ720" s="7">
        <f>VLOOKUP(A720,[1]Sheet15!B:E,3,0)</f>
        <v>2</v>
      </c>
    </row>
    <row r="721" spans="1:69" ht="22.5" customHeight="1" x14ac:dyDescent="0.25">
      <c r="A721" s="15" t="s">
        <v>1711</v>
      </c>
      <c r="B721" s="15" t="e">
        <f>VLOOKUP(A721,'[1]Master clients'!F700:W4247,17,0)</f>
        <v>#N/A</v>
      </c>
      <c r="C721" s="15" t="e">
        <f>VLOOKUP(A721,'[1]Master clients'!F700:P4247,11,0)</f>
        <v>#N/A</v>
      </c>
      <c r="D721" s="15" t="str">
        <f>VLOOKUP(A721,'[1]Master clients'!F:M,8,0)</f>
        <v>End User</v>
      </c>
      <c r="E721" s="16" t="s">
        <v>1712</v>
      </c>
      <c r="F721" s="16" t="s">
        <v>1713</v>
      </c>
      <c r="G721" s="17"/>
      <c r="H721" s="17"/>
      <c r="I721" s="31">
        <v>0</v>
      </c>
      <c r="J721" s="31">
        <v>0</v>
      </c>
      <c r="K721" s="17">
        <v>0</v>
      </c>
      <c r="L721" s="17">
        <v>0</v>
      </c>
      <c r="M721" s="17">
        <v>0</v>
      </c>
      <c r="N721" s="17">
        <v>0</v>
      </c>
      <c r="O721" s="17">
        <v>0</v>
      </c>
      <c r="P721" s="17">
        <v>0</v>
      </c>
      <c r="Q721" s="17">
        <v>0</v>
      </c>
      <c r="R721" s="17">
        <v>0</v>
      </c>
      <c r="S721" s="17">
        <v>0</v>
      </c>
      <c r="T721" s="17">
        <v>0</v>
      </c>
      <c r="U721" s="17">
        <v>0</v>
      </c>
      <c r="V721" s="17">
        <v>0</v>
      </c>
      <c r="W721" s="17">
        <v>0</v>
      </c>
      <c r="X721" s="17">
        <v>0</v>
      </c>
      <c r="Y721" s="17">
        <v>0</v>
      </c>
      <c r="Z721" s="17">
        <v>0</v>
      </c>
      <c r="AA721" s="17">
        <v>0</v>
      </c>
      <c r="AB721" s="17">
        <v>0</v>
      </c>
      <c r="AC721" s="17">
        <v>0</v>
      </c>
      <c r="AD721" s="17">
        <v>0</v>
      </c>
      <c r="AE721" s="17">
        <v>0</v>
      </c>
      <c r="AF721" s="17">
        <v>0</v>
      </c>
      <c r="AG721" s="17">
        <v>0</v>
      </c>
      <c r="AH721" s="17">
        <v>0</v>
      </c>
      <c r="AI721" s="17">
        <v>0</v>
      </c>
      <c r="AJ721" s="17">
        <v>0</v>
      </c>
      <c r="AK721" s="17">
        <v>0</v>
      </c>
      <c r="AL721" s="17">
        <v>0</v>
      </c>
      <c r="AM721" s="17">
        <v>0</v>
      </c>
      <c r="AN721" s="17">
        <v>0</v>
      </c>
      <c r="AO721" s="17">
        <v>0</v>
      </c>
      <c r="AP721" s="17">
        <v>0</v>
      </c>
      <c r="AQ721" s="17">
        <v>0</v>
      </c>
      <c r="AR721" s="17">
        <v>0</v>
      </c>
      <c r="AS721" s="17">
        <v>0</v>
      </c>
      <c r="AT721" s="17">
        <v>0</v>
      </c>
      <c r="AU721" s="17">
        <v>0</v>
      </c>
      <c r="AV721" s="17">
        <v>0</v>
      </c>
      <c r="AW721" s="17">
        <v>0</v>
      </c>
      <c r="AX721" s="17">
        <v>0</v>
      </c>
      <c r="AY721" s="17">
        <v>0</v>
      </c>
      <c r="AZ721" s="17">
        <v>0</v>
      </c>
      <c r="BA721" s="17">
        <v>0</v>
      </c>
      <c r="BB721" s="17">
        <v>0</v>
      </c>
      <c r="BC721" s="17">
        <v>0</v>
      </c>
      <c r="BD721" s="17">
        <v>0</v>
      </c>
      <c r="BE721" s="17">
        <v>0</v>
      </c>
      <c r="BF721" s="17">
        <v>0</v>
      </c>
      <c r="BG721" s="17">
        <v>0</v>
      </c>
      <c r="BH721" s="17">
        <v>0</v>
      </c>
      <c r="BI721" s="22">
        <f t="shared" si="215"/>
        <v>0</v>
      </c>
      <c r="BJ721" s="22">
        <f t="shared" si="216"/>
        <v>0</v>
      </c>
      <c r="BK721" s="22">
        <f t="shared" si="217"/>
        <v>0</v>
      </c>
      <c r="BL721" s="22">
        <f t="shared" si="218"/>
        <v>0</v>
      </c>
      <c r="BM721" s="22">
        <f t="shared" si="220"/>
        <v>0</v>
      </c>
      <c r="BN721" s="23" t="e">
        <f t="shared" si="221"/>
        <v>#DIV/0!</v>
      </c>
      <c r="BO721" s="23" t="e">
        <f t="shared" si="221"/>
        <v>#DIV/0!</v>
      </c>
      <c r="BP721" s="7" t="e">
        <f>VLOOKUP(A721,[1]Sheet15!B:E,4,0)</f>
        <v>#N/A</v>
      </c>
      <c r="BQ721" s="7" t="e">
        <f>VLOOKUP(A721,[1]Sheet15!B:E,3,0)</f>
        <v>#N/A</v>
      </c>
    </row>
    <row r="722" spans="1:69" ht="22.5" customHeight="1" x14ac:dyDescent="0.25">
      <c r="A722" s="15" t="s">
        <v>1714</v>
      </c>
      <c r="B722" s="15" t="e">
        <f>VLOOKUP(A722,'[1]Master clients'!F701:W4248,17,0)</f>
        <v>#N/A</v>
      </c>
      <c r="C722" s="15" t="e">
        <f>VLOOKUP(A722,'[1]Master clients'!F701:P4248,11,0)</f>
        <v>#N/A</v>
      </c>
      <c r="D722" s="15" t="str">
        <f>VLOOKUP(A722,'[1]Master clients'!F:M,8,0)</f>
        <v>End User</v>
      </c>
      <c r="E722" s="16" t="s">
        <v>1715</v>
      </c>
      <c r="F722" s="16" t="s">
        <v>1716</v>
      </c>
      <c r="G722" s="17"/>
      <c r="H722" s="17"/>
      <c r="I722" s="26">
        <v>2</v>
      </c>
      <c r="J722" s="31">
        <v>0</v>
      </c>
      <c r="K722" s="17">
        <v>0</v>
      </c>
      <c r="L722" s="17">
        <v>0</v>
      </c>
      <c r="M722" s="17">
        <v>0</v>
      </c>
      <c r="N722" s="17">
        <v>0</v>
      </c>
      <c r="O722" s="17">
        <v>0</v>
      </c>
      <c r="P722" s="17">
        <v>0</v>
      </c>
      <c r="Q722" s="17">
        <v>0</v>
      </c>
      <c r="R722" s="17">
        <v>0</v>
      </c>
      <c r="S722" s="17">
        <v>0</v>
      </c>
      <c r="T722" s="17">
        <v>0</v>
      </c>
      <c r="U722" s="17">
        <v>0</v>
      </c>
      <c r="V722" s="17">
        <v>0</v>
      </c>
      <c r="W722" s="17">
        <v>0</v>
      </c>
      <c r="X722" s="17">
        <v>0</v>
      </c>
      <c r="Y722" s="17">
        <v>0</v>
      </c>
      <c r="Z722" s="17">
        <v>0</v>
      </c>
      <c r="AA722" s="17">
        <v>0</v>
      </c>
      <c r="AB722" s="17">
        <v>0</v>
      </c>
      <c r="AC722" s="17">
        <v>0</v>
      </c>
      <c r="AD722" s="17">
        <v>0</v>
      </c>
      <c r="AE722" s="17">
        <v>0</v>
      </c>
      <c r="AF722" s="17">
        <v>0</v>
      </c>
      <c r="AG722" s="17">
        <v>0</v>
      </c>
      <c r="AH722" s="17">
        <v>0</v>
      </c>
      <c r="AI722" s="17">
        <v>0</v>
      </c>
      <c r="AJ722" s="17">
        <v>0</v>
      </c>
      <c r="AK722" s="17">
        <v>0</v>
      </c>
      <c r="AL722" s="17">
        <v>0</v>
      </c>
      <c r="AM722" s="17">
        <v>0</v>
      </c>
      <c r="AN722" s="17">
        <v>0</v>
      </c>
      <c r="AO722" s="17">
        <v>0</v>
      </c>
      <c r="AP722" s="17">
        <v>0</v>
      </c>
      <c r="AQ722" s="17">
        <v>0</v>
      </c>
      <c r="AR722" s="17">
        <v>0</v>
      </c>
      <c r="AS722" s="17">
        <v>0</v>
      </c>
      <c r="AT722" s="17">
        <v>0</v>
      </c>
      <c r="AU722" s="17">
        <v>0</v>
      </c>
      <c r="AV722" s="17">
        <v>0</v>
      </c>
      <c r="AW722" s="17">
        <v>0</v>
      </c>
      <c r="AX722" s="17">
        <v>0</v>
      </c>
      <c r="AY722" s="17">
        <v>0</v>
      </c>
      <c r="AZ722" s="17">
        <v>0</v>
      </c>
      <c r="BA722" s="17">
        <v>0</v>
      </c>
      <c r="BB722" s="17">
        <v>0</v>
      </c>
      <c r="BC722" s="17">
        <v>0</v>
      </c>
      <c r="BD722" s="17">
        <v>0</v>
      </c>
      <c r="BE722" s="17">
        <v>0</v>
      </c>
      <c r="BF722" s="17">
        <v>0</v>
      </c>
      <c r="BG722" s="17">
        <v>0</v>
      </c>
      <c r="BH722" s="17">
        <v>0</v>
      </c>
      <c r="BI722" s="22">
        <f t="shared" si="215"/>
        <v>0</v>
      </c>
      <c r="BJ722" s="22">
        <f t="shared" si="216"/>
        <v>0</v>
      </c>
      <c r="BK722" s="22">
        <f t="shared" si="217"/>
        <v>2</v>
      </c>
      <c r="BL722" s="22">
        <f t="shared" si="218"/>
        <v>2</v>
      </c>
      <c r="BM722" s="22">
        <f t="shared" si="220"/>
        <v>0</v>
      </c>
      <c r="BN722" s="23">
        <f t="shared" si="221"/>
        <v>1</v>
      </c>
      <c r="BO722" s="23" t="e">
        <f t="shared" si="221"/>
        <v>#DIV/0!</v>
      </c>
      <c r="BP722" s="7">
        <f>VLOOKUP(A722,[1]Sheet15!B:E,4,0)</f>
        <v>2</v>
      </c>
      <c r="BQ722" s="7">
        <f>VLOOKUP(A722,[1]Sheet15!B:E,3,0)</f>
        <v>0</v>
      </c>
    </row>
    <row r="723" spans="1:69" ht="22.5" customHeight="1" x14ac:dyDescent="0.25">
      <c r="A723" s="15" t="s">
        <v>1717</v>
      </c>
      <c r="B723" s="15" t="e">
        <f>VLOOKUP(A723,'[1]Master clients'!F702:W4249,17,0)</f>
        <v>#N/A</v>
      </c>
      <c r="C723" s="15" t="e">
        <f>VLOOKUP(A723,'[1]Master clients'!F702:P4249,11,0)</f>
        <v>#N/A</v>
      </c>
      <c r="D723" s="15" t="str">
        <f>VLOOKUP(A723,'[1]Master clients'!F:M,8,0)</f>
        <v>End User</v>
      </c>
      <c r="E723" s="24" t="s">
        <v>1718</v>
      </c>
      <c r="F723" s="25" t="s">
        <v>1719</v>
      </c>
      <c r="G723" s="20">
        <v>8</v>
      </c>
      <c r="H723" s="20">
        <v>0</v>
      </c>
      <c r="I723" s="26">
        <v>9</v>
      </c>
      <c r="J723" s="26">
        <v>0</v>
      </c>
      <c r="K723" s="20">
        <v>10</v>
      </c>
      <c r="L723" s="20">
        <v>0</v>
      </c>
      <c r="M723" s="20">
        <v>0</v>
      </c>
      <c r="N723" s="20">
        <v>0</v>
      </c>
      <c r="O723" s="20">
        <v>0</v>
      </c>
      <c r="P723" s="20">
        <v>0</v>
      </c>
      <c r="Q723" s="20">
        <v>0</v>
      </c>
      <c r="R723" s="20">
        <v>0</v>
      </c>
      <c r="S723" s="20">
        <v>0</v>
      </c>
      <c r="T723" s="20">
        <v>0</v>
      </c>
      <c r="U723" s="20">
        <v>0</v>
      </c>
      <c r="V723" s="20">
        <v>0</v>
      </c>
      <c r="W723" s="20">
        <v>0</v>
      </c>
      <c r="X723" s="20">
        <v>0</v>
      </c>
      <c r="Y723" s="20">
        <v>0</v>
      </c>
      <c r="Z723" s="20">
        <v>0</v>
      </c>
      <c r="AA723" s="20">
        <v>0</v>
      </c>
      <c r="AB723" s="20">
        <v>0</v>
      </c>
      <c r="AC723" s="20">
        <v>0</v>
      </c>
      <c r="AD723" s="20">
        <v>0</v>
      </c>
      <c r="AE723" s="20">
        <v>0</v>
      </c>
      <c r="AF723" s="20">
        <v>0</v>
      </c>
      <c r="AG723" s="20">
        <v>0</v>
      </c>
      <c r="AH723" s="20">
        <v>0</v>
      </c>
      <c r="AI723" s="20">
        <v>0</v>
      </c>
      <c r="AJ723" s="20">
        <v>0</v>
      </c>
      <c r="AK723" s="20">
        <v>0</v>
      </c>
      <c r="AL723" s="20">
        <v>0</v>
      </c>
      <c r="AM723" s="20">
        <v>0</v>
      </c>
      <c r="AN723" s="20">
        <v>0</v>
      </c>
      <c r="AO723" s="20">
        <v>0</v>
      </c>
      <c r="AP723" s="20">
        <v>0</v>
      </c>
      <c r="AQ723" s="20">
        <v>0</v>
      </c>
      <c r="AR723" s="20">
        <v>0</v>
      </c>
      <c r="AS723" s="20">
        <v>0</v>
      </c>
      <c r="AT723" s="20">
        <v>0</v>
      </c>
      <c r="AU723" s="19">
        <v>0</v>
      </c>
      <c r="AV723" s="20">
        <v>0</v>
      </c>
      <c r="AW723" s="20">
        <v>0</v>
      </c>
      <c r="AX723" s="20">
        <v>0</v>
      </c>
      <c r="AY723" s="20">
        <v>0</v>
      </c>
      <c r="AZ723" s="20">
        <v>0</v>
      </c>
      <c r="BA723" s="19">
        <v>0</v>
      </c>
      <c r="BB723" s="27">
        <v>0</v>
      </c>
      <c r="BC723" s="19">
        <v>0</v>
      </c>
      <c r="BD723" s="19">
        <v>0</v>
      </c>
      <c r="BE723" s="21">
        <v>0</v>
      </c>
      <c r="BF723" s="21">
        <v>0</v>
      </c>
      <c r="BG723" s="19">
        <v>0</v>
      </c>
      <c r="BH723" s="19">
        <v>0</v>
      </c>
      <c r="BI723" s="22">
        <f t="shared" si="215"/>
        <v>10</v>
      </c>
      <c r="BJ723" s="22">
        <f t="shared" si="216"/>
        <v>0</v>
      </c>
      <c r="BK723" s="28">
        <f t="shared" si="217"/>
        <v>19</v>
      </c>
      <c r="BL723" s="22">
        <f t="shared" si="218"/>
        <v>19</v>
      </c>
      <c r="BM723" s="22">
        <f t="shared" si="220"/>
        <v>0</v>
      </c>
      <c r="BN723" s="23">
        <f t="shared" si="221"/>
        <v>0.47368421052631576</v>
      </c>
      <c r="BO723" s="23" t="e">
        <f t="shared" si="221"/>
        <v>#DIV/0!</v>
      </c>
      <c r="BP723" s="7">
        <f>VLOOKUP(A723,[1]Sheet15!B:E,4,0)</f>
        <v>9</v>
      </c>
      <c r="BQ723" s="7">
        <f>VLOOKUP(A723,[1]Sheet15!B:E,3,0)</f>
        <v>0</v>
      </c>
    </row>
    <row r="724" spans="1:69" ht="22.5" customHeight="1" x14ac:dyDescent="0.25">
      <c r="A724" s="15" t="s">
        <v>1720</v>
      </c>
      <c r="B724" s="15">
        <f>VLOOKUP(A724,'[1]Master clients'!F703:W4250,17,0)</f>
        <v>0</v>
      </c>
      <c r="C724" s="15" t="str">
        <f>VLOOKUP(A724,'[1]Master clients'!F703:P4250,11,0)</f>
        <v>NI</v>
      </c>
      <c r="D724" s="15" t="str">
        <f>VLOOKUP(A724,'[1]Master clients'!F:M,8,0)</f>
        <v>Group (Mills)</v>
      </c>
      <c r="E724" s="24" t="s">
        <v>1721</v>
      </c>
      <c r="F724" s="25" t="s">
        <v>1719</v>
      </c>
      <c r="G724" s="20">
        <v>9</v>
      </c>
      <c r="H724" s="20">
        <v>0</v>
      </c>
      <c r="I724" s="26">
        <v>9</v>
      </c>
      <c r="J724" s="26">
        <v>0</v>
      </c>
      <c r="K724" s="20">
        <v>0</v>
      </c>
      <c r="L724" s="20">
        <v>10</v>
      </c>
      <c r="M724" s="20">
        <v>0</v>
      </c>
      <c r="N724" s="20">
        <v>14</v>
      </c>
      <c r="O724" s="20">
        <v>0</v>
      </c>
      <c r="P724" s="20">
        <v>0</v>
      </c>
      <c r="Q724" s="20">
        <v>0</v>
      </c>
      <c r="R724" s="20">
        <v>0</v>
      </c>
      <c r="S724" s="20">
        <v>0</v>
      </c>
      <c r="T724" s="20">
        <v>0</v>
      </c>
      <c r="U724" s="20">
        <v>0</v>
      </c>
      <c r="V724" s="20">
        <v>0</v>
      </c>
      <c r="W724" s="20">
        <v>0</v>
      </c>
      <c r="X724" s="20">
        <v>0</v>
      </c>
      <c r="Y724" s="20">
        <v>0</v>
      </c>
      <c r="Z724" s="20">
        <v>0</v>
      </c>
      <c r="AA724" s="20">
        <v>0</v>
      </c>
      <c r="AB724" s="20">
        <v>0</v>
      </c>
      <c r="AC724" s="20">
        <v>0</v>
      </c>
      <c r="AD724" s="20">
        <v>0</v>
      </c>
      <c r="AE724" s="20">
        <v>0</v>
      </c>
      <c r="AF724" s="20">
        <v>0</v>
      </c>
      <c r="AG724" s="20">
        <v>0</v>
      </c>
      <c r="AH724" s="20">
        <v>0</v>
      </c>
      <c r="AI724" s="20">
        <v>0</v>
      </c>
      <c r="AJ724" s="20">
        <v>0</v>
      </c>
      <c r="AK724" s="20">
        <v>0</v>
      </c>
      <c r="AL724" s="20">
        <v>0</v>
      </c>
      <c r="AM724" s="20">
        <v>0</v>
      </c>
      <c r="AN724" s="20">
        <v>0</v>
      </c>
      <c r="AO724" s="20">
        <v>0</v>
      </c>
      <c r="AP724" s="20">
        <v>0</v>
      </c>
      <c r="AQ724" s="20">
        <v>0</v>
      </c>
      <c r="AR724" s="20">
        <v>0</v>
      </c>
      <c r="AS724" s="20">
        <v>0</v>
      </c>
      <c r="AT724" s="20">
        <v>0</v>
      </c>
      <c r="AU724" s="20">
        <v>0</v>
      </c>
      <c r="AV724" s="20">
        <v>0</v>
      </c>
      <c r="AW724" s="20">
        <v>0</v>
      </c>
      <c r="AX724" s="20">
        <v>0</v>
      </c>
      <c r="AY724" s="20">
        <v>0</v>
      </c>
      <c r="AZ724" s="20">
        <v>0</v>
      </c>
      <c r="BA724" s="20">
        <v>0</v>
      </c>
      <c r="BB724" s="27">
        <v>0</v>
      </c>
      <c r="BC724" s="20">
        <v>0</v>
      </c>
      <c r="BD724" s="20">
        <v>0</v>
      </c>
      <c r="BE724" s="21">
        <v>0</v>
      </c>
      <c r="BF724" s="21">
        <v>0</v>
      </c>
      <c r="BG724" s="20">
        <v>0</v>
      </c>
      <c r="BH724" s="20">
        <v>0</v>
      </c>
      <c r="BI724" s="22">
        <f t="shared" si="215"/>
        <v>10</v>
      </c>
      <c r="BJ724" s="22">
        <f t="shared" si="216"/>
        <v>14</v>
      </c>
      <c r="BK724" s="28">
        <f t="shared" si="217"/>
        <v>33</v>
      </c>
      <c r="BL724" s="22">
        <f t="shared" si="218"/>
        <v>19</v>
      </c>
      <c r="BM724" s="22">
        <f t="shared" si="220"/>
        <v>14</v>
      </c>
      <c r="BN724" s="23">
        <f t="shared" si="221"/>
        <v>0.47368421052631576</v>
      </c>
      <c r="BO724" s="23">
        <f t="shared" si="221"/>
        <v>0</v>
      </c>
      <c r="BP724" s="7">
        <f>VLOOKUP(A724,[1]Sheet15!B:E,4,0)</f>
        <v>7</v>
      </c>
      <c r="BQ724" s="7">
        <f>VLOOKUP(A724,[1]Sheet15!B:E,3,0)</f>
        <v>0</v>
      </c>
    </row>
    <row r="725" spans="1:69" ht="22.5" customHeight="1" x14ac:dyDescent="0.25">
      <c r="A725" s="15" t="s">
        <v>1722</v>
      </c>
      <c r="B725" s="15">
        <f>VLOOKUP(A725,'[1]Master clients'!F704:W4251,17,0)</f>
        <v>0</v>
      </c>
      <c r="C725" s="15" t="str">
        <f>VLOOKUP(A725,'[1]Master clients'!F704:P4251,11,0)</f>
        <v>NI</v>
      </c>
      <c r="D725" s="15" t="str">
        <f>VLOOKUP(A725,'[1]Master clients'!F:M,8,0)</f>
        <v>Group (Mills)</v>
      </c>
      <c r="E725" s="16" t="s">
        <v>1723</v>
      </c>
      <c r="F725" s="16" t="s">
        <v>1719</v>
      </c>
      <c r="G725" s="17"/>
      <c r="H725" s="17">
        <v>5</v>
      </c>
      <c r="I725" s="26">
        <v>8</v>
      </c>
      <c r="J725" s="31">
        <v>5</v>
      </c>
      <c r="K725" s="17">
        <v>0</v>
      </c>
      <c r="L725" s="17">
        <v>0</v>
      </c>
      <c r="M725" s="17">
        <v>0</v>
      </c>
      <c r="N725" s="17">
        <v>0</v>
      </c>
      <c r="O725" s="17">
        <v>0</v>
      </c>
      <c r="P725" s="17">
        <v>0</v>
      </c>
      <c r="Q725" s="17">
        <v>0</v>
      </c>
      <c r="R725" s="17">
        <v>0</v>
      </c>
      <c r="S725" s="17">
        <v>0</v>
      </c>
      <c r="T725" s="17">
        <v>0</v>
      </c>
      <c r="U725" s="17">
        <v>0</v>
      </c>
      <c r="V725" s="17">
        <v>0</v>
      </c>
      <c r="W725" s="17">
        <v>0</v>
      </c>
      <c r="X725" s="17">
        <v>0</v>
      </c>
      <c r="Y725" s="17">
        <v>0</v>
      </c>
      <c r="Z725" s="17">
        <v>0</v>
      </c>
      <c r="AA725" s="17">
        <v>0</v>
      </c>
      <c r="AB725" s="17">
        <v>0</v>
      </c>
      <c r="AC725" s="17">
        <v>0</v>
      </c>
      <c r="AD725" s="17">
        <v>0</v>
      </c>
      <c r="AE725" s="17">
        <v>0</v>
      </c>
      <c r="AF725" s="17">
        <v>0</v>
      </c>
      <c r="AG725" s="17">
        <v>0</v>
      </c>
      <c r="AH725" s="17">
        <v>0</v>
      </c>
      <c r="AI725" s="17">
        <v>0</v>
      </c>
      <c r="AJ725" s="17">
        <v>0</v>
      </c>
      <c r="AK725" s="17">
        <v>0</v>
      </c>
      <c r="AL725" s="17">
        <v>0</v>
      </c>
      <c r="AM725" s="17">
        <v>0</v>
      </c>
      <c r="AN725" s="17">
        <v>0</v>
      </c>
      <c r="AO725" s="17">
        <v>0</v>
      </c>
      <c r="AP725" s="17">
        <v>0</v>
      </c>
      <c r="AQ725" s="17">
        <v>0</v>
      </c>
      <c r="AR725" s="17">
        <v>0</v>
      </c>
      <c r="AS725" s="17">
        <v>0</v>
      </c>
      <c r="AT725" s="17">
        <v>0</v>
      </c>
      <c r="AU725" s="17">
        <v>0</v>
      </c>
      <c r="AV725" s="17">
        <v>0</v>
      </c>
      <c r="AW725" s="17">
        <v>0</v>
      </c>
      <c r="AX725" s="17">
        <v>0</v>
      </c>
      <c r="AY725" s="17">
        <v>0</v>
      </c>
      <c r="AZ725" s="17">
        <v>0</v>
      </c>
      <c r="BA725" s="17">
        <v>0</v>
      </c>
      <c r="BB725" s="17">
        <v>0</v>
      </c>
      <c r="BC725" s="17">
        <v>0</v>
      </c>
      <c r="BD725" s="17">
        <v>0</v>
      </c>
      <c r="BE725" s="17">
        <v>0</v>
      </c>
      <c r="BF725" s="17">
        <v>0</v>
      </c>
      <c r="BG725" s="17">
        <v>0</v>
      </c>
      <c r="BH725" s="17">
        <v>0</v>
      </c>
      <c r="BI725" s="22">
        <f t="shared" si="215"/>
        <v>0</v>
      </c>
      <c r="BJ725" s="22">
        <f t="shared" si="216"/>
        <v>0</v>
      </c>
      <c r="BK725" s="22">
        <f t="shared" si="217"/>
        <v>13</v>
      </c>
      <c r="BL725" s="22">
        <f t="shared" si="218"/>
        <v>8</v>
      </c>
      <c r="BM725" s="22">
        <f t="shared" si="220"/>
        <v>5</v>
      </c>
      <c r="BN725" s="23">
        <f t="shared" si="221"/>
        <v>1</v>
      </c>
      <c r="BO725" s="23">
        <f t="shared" si="221"/>
        <v>1</v>
      </c>
      <c r="BP725" s="7">
        <f>VLOOKUP(A725,[1]Sheet15!B:E,4,0)</f>
        <v>8</v>
      </c>
      <c r="BQ725" s="7">
        <f>VLOOKUP(A725,[1]Sheet15!B:E,3,0)</f>
        <v>5</v>
      </c>
    </row>
    <row r="726" spans="1:69" ht="22.5" customHeight="1" x14ac:dyDescent="0.25">
      <c r="A726" s="15" t="s">
        <v>1724</v>
      </c>
      <c r="B726" s="15">
        <f>VLOOKUP(A726,'[1]Master clients'!F705:W4252,17,0)</f>
        <v>0</v>
      </c>
      <c r="C726" s="15" t="str">
        <f>VLOOKUP(A726,'[1]Master clients'!F705:P4252,11,0)</f>
        <v>NI</v>
      </c>
      <c r="D726" s="15" t="str">
        <f>VLOOKUP(A726,'[1]Master clients'!F:M,8,0)</f>
        <v>Group (Mills)</v>
      </c>
      <c r="E726" s="24" t="s">
        <v>1725</v>
      </c>
      <c r="F726" s="25" t="s">
        <v>1719</v>
      </c>
      <c r="G726" s="20">
        <v>0</v>
      </c>
      <c r="H726" s="20">
        <v>0</v>
      </c>
      <c r="I726" s="26">
        <v>7</v>
      </c>
      <c r="J726" s="26">
        <v>2</v>
      </c>
      <c r="K726" s="20">
        <v>14</v>
      </c>
      <c r="L726" s="20">
        <v>0</v>
      </c>
      <c r="M726" s="20">
        <v>0</v>
      </c>
      <c r="N726" s="20">
        <v>0</v>
      </c>
      <c r="O726" s="20">
        <v>7</v>
      </c>
      <c r="P726" s="20">
        <v>0</v>
      </c>
      <c r="Q726" s="20">
        <v>6</v>
      </c>
      <c r="R726" s="20">
        <v>0</v>
      </c>
      <c r="S726" s="20">
        <v>0</v>
      </c>
      <c r="T726" s="20">
        <v>4</v>
      </c>
      <c r="U726" s="20">
        <v>0</v>
      </c>
      <c r="V726" s="20">
        <v>0</v>
      </c>
      <c r="W726" s="20">
        <v>0</v>
      </c>
      <c r="X726" s="20">
        <v>0</v>
      </c>
      <c r="Y726" s="20">
        <v>0</v>
      </c>
      <c r="Z726" s="20">
        <v>0</v>
      </c>
      <c r="AA726" s="20">
        <v>0</v>
      </c>
      <c r="AB726" s="20">
        <v>0</v>
      </c>
      <c r="AC726" s="20">
        <v>0</v>
      </c>
      <c r="AD726" s="20">
        <v>0</v>
      </c>
      <c r="AE726" s="20">
        <v>0</v>
      </c>
      <c r="AF726" s="20">
        <v>0</v>
      </c>
      <c r="AG726" s="20">
        <v>0</v>
      </c>
      <c r="AH726" s="20">
        <v>0</v>
      </c>
      <c r="AI726" s="20">
        <v>0</v>
      </c>
      <c r="AJ726" s="20">
        <v>0</v>
      </c>
      <c r="AK726" s="20">
        <v>0</v>
      </c>
      <c r="AL726" s="20">
        <v>0</v>
      </c>
      <c r="AM726" s="20">
        <v>0</v>
      </c>
      <c r="AN726" s="20">
        <v>0</v>
      </c>
      <c r="AO726" s="20">
        <v>0</v>
      </c>
      <c r="AP726" s="20">
        <v>0</v>
      </c>
      <c r="AQ726" s="20">
        <v>0</v>
      </c>
      <c r="AR726" s="20">
        <v>0</v>
      </c>
      <c r="AS726" s="20">
        <v>0</v>
      </c>
      <c r="AT726" s="20">
        <v>0</v>
      </c>
      <c r="AU726" s="20">
        <v>0</v>
      </c>
      <c r="AV726" s="20">
        <v>0</v>
      </c>
      <c r="AW726" s="20">
        <v>0</v>
      </c>
      <c r="AX726" s="20">
        <v>0</v>
      </c>
      <c r="AY726" s="20">
        <v>0</v>
      </c>
      <c r="AZ726" s="20">
        <v>0</v>
      </c>
      <c r="BA726" s="20">
        <v>0</v>
      </c>
      <c r="BB726" s="27">
        <v>0</v>
      </c>
      <c r="BC726" s="20">
        <v>0</v>
      </c>
      <c r="BD726" s="20">
        <v>0</v>
      </c>
      <c r="BE726" s="21">
        <v>0</v>
      </c>
      <c r="BF726" s="21">
        <v>0</v>
      </c>
      <c r="BG726" s="20">
        <v>0</v>
      </c>
      <c r="BH726" s="20">
        <v>0</v>
      </c>
      <c r="BI726" s="22">
        <f t="shared" si="215"/>
        <v>18</v>
      </c>
      <c r="BJ726" s="22">
        <f t="shared" si="216"/>
        <v>13</v>
      </c>
      <c r="BK726" s="28">
        <f t="shared" si="217"/>
        <v>40</v>
      </c>
      <c r="BL726" s="22">
        <f t="shared" si="218"/>
        <v>25</v>
      </c>
      <c r="BM726" s="22">
        <f t="shared" si="220"/>
        <v>15</v>
      </c>
      <c r="BN726" s="23">
        <f t="shared" si="221"/>
        <v>0.28000000000000003</v>
      </c>
      <c r="BO726" s="23">
        <f t="shared" si="221"/>
        <v>0.13333333333333333</v>
      </c>
      <c r="BP726" s="7">
        <f>VLOOKUP(A726,[1]Sheet15!B:E,4,0)</f>
        <v>4</v>
      </c>
      <c r="BQ726" s="7">
        <f>VLOOKUP(A726,[1]Sheet15!B:E,3,0)</f>
        <v>2</v>
      </c>
    </row>
    <row r="727" spans="1:69" ht="22.5" customHeight="1" x14ac:dyDescent="0.25">
      <c r="A727" s="15" t="s">
        <v>1726</v>
      </c>
      <c r="B727" s="15" t="e">
        <f>VLOOKUP(A727,'[1]Master clients'!F706:W4253,17,0)</f>
        <v>#N/A</v>
      </c>
      <c r="C727" s="15" t="e">
        <f>VLOOKUP(A727,'[1]Master clients'!F706:P4253,11,0)</f>
        <v>#N/A</v>
      </c>
      <c r="D727" s="15" t="str">
        <f>VLOOKUP(A727,'[1]Master clients'!F:M,8,0)</f>
        <v>End User</v>
      </c>
      <c r="E727" s="16" t="s">
        <v>1727</v>
      </c>
      <c r="F727" s="16" t="s">
        <v>587</v>
      </c>
      <c r="G727" s="17"/>
      <c r="H727" s="17"/>
      <c r="I727" s="26">
        <v>4</v>
      </c>
      <c r="J727" s="18">
        <v>0</v>
      </c>
      <c r="K727" s="17">
        <v>0</v>
      </c>
      <c r="L727" s="17">
        <v>0</v>
      </c>
      <c r="M727" s="17">
        <v>0</v>
      </c>
      <c r="N727" s="17">
        <v>0</v>
      </c>
      <c r="O727" s="17">
        <v>0</v>
      </c>
      <c r="P727" s="17">
        <v>0</v>
      </c>
      <c r="Q727" s="17">
        <v>0</v>
      </c>
      <c r="R727" s="17">
        <v>0</v>
      </c>
      <c r="S727" s="17">
        <v>0</v>
      </c>
      <c r="T727" s="17">
        <v>0</v>
      </c>
      <c r="U727" s="17">
        <v>0</v>
      </c>
      <c r="V727" s="17">
        <v>0</v>
      </c>
      <c r="W727" s="17">
        <v>0</v>
      </c>
      <c r="X727" s="17">
        <v>0</v>
      </c>
      <c r="Y727" s="17">
        <v>0</v>
      </c>
      <c r="Z727" s="17">
        <v>0</v>
      </c>
      <c r="AA727" s="17">
        <v>0</v>
      </c>
      <c r="AB727" s="17">
        <v>0</v>
      </c>
      <c r="AC727" s="17">
        <v>0</v>
      </c>
      <c r="AD727" s="17">
        <v>0</v>
      </c>
      <c r="AE727" s="17">
        <v>0</v>
      </c>
      <c r="AF727" s="17">
        <v>0</v>
      </c>
      <c r="AG727" s="17">
        <v>0</v>
      </c>
      <c r="AH727" s="17">
        <v>0</v>
      </c>
      <c r="AI727" s="17">
        <v>0</v>
      </c>
      <c r="AJ727" s="17">
        <v>0</v>
      </c>
      <c r="AK727" s="17">
        <v>0</v>
      </c>
      <c r="AL727" s="17">
        <v>0</v>
      </c>
      <c r="AM727" s="17">
        <v>0</v>
      </c>
      <c r="AN727" s="17">
        <v>0</v>
      </c>
      <c r="AO727" s="17">
        <v>0</v>
      </c>
      <c r="AP727" s="17">
        <v>0</v>
      </c>
      <c r="AQ727" s="17">
        <v>0</v>
      </c>
      <c r="AR727" s="17">
        <v>0</v>
      </c>
      <c r="AS727" s="17">
        <v>0</v>
      </c>
      <c r="AT727" s="17">
        <v>0</v>
      </c>
      <c r="AU727" s="17">
        <v>0</v>
      </c>
      <c r="AV727" s="17">
        <v>0</v>
      </c>
      <c r="AW727" s="17">
        <v>0</v>
      </c>
      <c r="AX727" s="17">
        <v>0</v>
      </c>
      <c r="AY727" s="17">
        <v>0</v>
      </c>
      <c r="AZ727" s="17">
        <v>0</v>
      </c>
      <c r="BA727" s="17">
        <v>0</v>
      </c>
      <c r="BB727" s="17">
        <v>0</v>
      </c>
      <c r="BC727" s="17">
        <v>0</v>
      </c>
      <c r="BD727" s="17">
        <v>0</v>
      </c>
      <c r="BE727" s="17">
        <v>0</v>
      </c>
      <c r="BF727" s="17">
        <v>0</v>
      </c>
      <c r="BG727" s="17">
        <v>0</v>
      </c>
      <c r="BH727" s="17">
        <v>0</v>
      </c>
      <c r="BI727" s="22">
        <f>SUM(M727+N727+P727+R727+T727+W727+Z727+AC727+AE727+AL727+AO727+AP727+AS727+AW727+AX727+BC727+BE727+BG727)</f>
        <v>0</v>
      </c>
      <c r="BJ727" s="22">
        <f>SUM(H727:BG727)</f>
        <v>4</v>
      </c>
      <c r="BK727" s="22">
        <f>SUM(H727+J727+K727+L727+O727+Q727+S727+U727+V727+X727+Y727+AA727+AB727+AD727+AF727+AG727+AH727+AI727+AJ727+AK727+AM727+AN727+AQ727+AR727+AT727+AU727+AV727+AY727+AZ727+BA727+BB727+BF727+BD727)</f>
        <v>0</v>
      </c>
      <c r="BL727" s="22">
        <f t="shared" ref="BL727:BM742" si="222">SUM(I727+M727+N727+P727+R727+T727+W727+Z727+AC727+AE727+AL727+AO727+AP727+AS727+AW727+AX727+BC727+BG727)</f>
        <v>4</v>
      </c>
      <c r="BM727" s="22">
        <f t="shared" si="222"/>
        <v>0</v>
      </c>
      <c r="BN727" s="23">
        <f t="shared" si="221"/>
        <v>1</v>
      </c>
      <c r="BO727" s="23" t="e">
        <f t="shared" si="221"/>
        <v>#DIV/0!</v>
      </c>
      <c r="BP727" s="7">
        <f>VLOOKUP(A727,[1]Sheet15!B:E,4,0)</f>
        <v>4</v>
      </c>
      <c r="BQ727" s="7">
        <f>VLOOKUP(A727,[1]Sheet15!B:E,3,0)</f>
        <v>0</v>
      </c>
    </row>
    <row r="728" spans="1:69" ht="22.5" customHeight="1" x14ac:dyDescent="0.25">
      <c r="A728" s="15" t="s">
        <v>1728</v>
      </c>
      <c r="B728" s="15">
        <f>VLOOKUP(A728,'[1]Master clients'!F707:W4254,17,0)</f>
        <v>0</v>
      </c>
      <c r="C728" s="15" t="str">
        <f>VLOOKUP(A728,'[1]Master clients'!F707:P4254,11,0)</f>
        <v>VA</v>
      </c>
      <c r="D728" s="15" t="str">
        <f>VLOOKUP(A728,'[1]Master clients'!F:M,8,0)</f>
        <v>End User</v>
      </c>
      <c r="E728" s="16" t="s">
        <v>1729</v>
      </c>
      <c r="F728" s="16" t="s">
        <v>1730</v>
      </c>
      <c r="G728" s="17"/>
      <c r="H728" s="17"/>
      <c r="I728" s="26">
        <v>12</v>
      </c>
      <c r="J728" s="31">
        <v>0</v>
      </c>
      <c r="K728" s="17">
        <v>0</v>
      </c>
      <c r="L728" s="17">
        <v>0</v>
      </c>
      <c r="M728" s="17">
        <v>0</v>
      </c>
      <c r="N728" s="17">
        <v>0</v>
      </c>
      <c r="O728" s="17">
        <v>0</v>
      </c>
      <c r="P728" s="17">
        <v>0</v>
      </c>
      <c r="Q728" s="17">
        <v>0</v>
      </c>
      <c r="R728" s="17">
        <v>0</v>
      </c>
      <c r="S728" s="17">
        <v>0</v>
      </c>
      <c r="T728" s="17">
        <v>0</v>
      </c>
      <c r="U728" s="17">
        <v>0</v>
      </c>
      <c r="V728" s="17">
        <v>0</v>
      </c>
      <c r="W728" s="17">
        <v>0</v>
      </c>
      <c r="X728" s="17">
        <v>0</v>
      </c>
      <c r="Y728" s="17">
        <v>0</v>
      </c>
      <c r="Z728" s="17">
        <v>0</v>
      </c>
      <c r="AA728" s="17">
        <v>0</v>
      </c>
      <c r="AB728" s="17">
        <v>0</v>
      </c>
      <c r="AC728" s="17">
        <v>0</v>
      </c>
      <c r="AD728" s="17">
        <v>0</v>
      </c>
      <c r="AE728" s="17">
        <v>0</v>
      </c>
      <c r="AF728" s="17">
        <v>0</v>
      </c>
      <c r="AG728" s="17">
        <v>0</v>
      </c>
      <c r="AH728" s="17">
        <v>0</v>
      </c>
      <c r="AI728" s="17">
        <v>0</v>
      </c>
      <c r="AJ728" s="17">
        <v>0</v>
      </c>
      <c r="AK728" s="17">
        <v>0</v>
      </c>
      <c r="AL728" s="17">
        <v>0</v>
      </c>
      <c r="AM728" s="17">
        <v>0</v>
      </c>
      <c r="AN728" s="17">
        <v>0</v>
      </c>
      <c r="AO728" s="17">
        <v>0</v>
      </c>
      <c r="AP728" s="17">
        <v>0</v>
      </c>
      <c r="AQ728" s="17">
        <v>0</v>
      </c>
      <c r="AR728" s="17">
        <v>0</v>
      </c>
      <c r="AS728" s="17">
        <v>0</v>
      </c>
      <c r="AT728" s="17">
        <v>0</v>
      </c>
      <c r="AU728" s="17">
        <v>0</v>
      </c>
      <c r="AV728" s="17">
        <v>0</v>
      </c>
      <c r="AW728" s="17">
        <v>0</v>
      </c>
      <c r="AX728" s="17">
        <v>0</v>
      </c>
      <c r="AY728" s="17">
        <v>0</v>
      </c>
      <c r="AZ728" s="17">
        <v>0</v>
      </c>
      <c r="BA728" s="17">
        <v>0</v>
      </c>
      <c r="BB728" s="17">
        <v>0</v>
      </c>
      <c r="BC728" s="17">
        <v>0</v>
      </c>
      <c r="BD728" s="17">
        <v>0</v>
      </c>
      <c r="BE728" s="17">
        <v>0</v>
      </c>
      <c r="BF728" s="17">
        <v>0</v>
      </c>
      <c r="BG728" s="17">
        <v>0</v>
      </c>
      <c r="BH728" s="17">
        <v>0</v>
      </c>
      <c r="BI728" s="22">
        <f t="shared" ref="BI728:BI797" si="223">SUM(K728+L728+M728+P728+R728+T728+V728+W728+Y728+Z728+AB728+AC728+AE728+AG728+AH728+AI728+AJ728+AK728+AL728+AN728+AO728+AR728+AS728+AU728+AV728+AW728+AZ728+BA728+BB728+BC728+BE728+BG728)</f>
        <v>0</v>
      </c>
      <c r="BJ728" s="22">
        <f t="shared" ref="BJ728:BJ797" si="224">SUM(N728+O728+Q728+S728+U728+X728+AA728+AD728+AF728+AM728+AP728+AQ728+AT728+AX728+AY728+BD728+BF728+BH728)</f>
        <v>0</v>
      </c>
      <c r="BK728" s="28">
        <f t="shared" ref="BK728:BK797" si="225">SUM(I728:BH728)</f>
        <v>12</v>
      </c>
      <c r="BL728" s="22">
        <f t="shared" ref="BL728:BL797" si="226">SUM(I728+K728+L728+M728+P728+R728+T728+V728+W728+Y728+Z728+AB728+AC728+AE728+AG728+AH728+AI728+AJ728+AK728+AL728+AN728+AO728+AR728+AS728+AU728+AV728+AW728+AZ728+BA728+BB728+BC728+BG728+BE728)</f>
        <v>12</v>
      </c>
      <c r="BM728" s="22">
        <f t="shared" si="222"/>
        <v>0</v>
      </c>
      <c r="BN728" s="23">
        <f t="shared" si="221"/>
        <v>1</v>
      </c>
      <c r="BO728" s="23" t="e">
        <f t="shared" si="221"/>
        <v>#DIV/0!</v>
      </c>
      <c r="BP728" s="7">
        <f>VLOOKUP(A728,[1]Sheet15!B:E,4,0)</f>
        <v>12</v>
      </c>
      <c r="BQ728" s="7">
        <f>VLOOKUP(A728,[1]Sheet15!B:E,3,0)</f>
        <v>0</v>
      </c>
    </row>
    <row r="729" spans="1:69" ht="22.5" customHeight="1" x14ac:dyDescent="0.25">
      <c r="A729" s="15" t="s">
        <v>1731</v>
      </c>
      <c r="B729" s="15">
        <f>VLOOKUP(A729,'[1]Master clients'!F708:W4255,17,0)</f>
        <v>0</v>
      </c>
      <c r="C729" s="15" t="str">
        <f>VLOOKUP(A729,'[1]Master clients'!F708:P4255,11,0)</f>
        <v>NI</v>
      </c>
      <c r="D729" s="15" t="str">
        <f>VLOOKUP(A729,'[1]Master clients'!F:M,8,0)</f>
        <v>End User</v>
      </c>
      <c r="E729" s="16" t="s">
        <v>1732</v>
      </c>
      <c r="F729" s="16" t="s">
        <v>1733</v>
      </c>
      <c r="G729" s="17"/>
      <c r="H729" s="17">
        <v>2</v>
      </c>
      <c r="I729" s="26">
        <v>13</v>
      </c>
      <c r="J729" s="31">
        <v>2</v>
      </c>
      <c r="K729" s="17">
        <v>0</v>
      </c>
      <c r="L729" s="17">
        <v>0</v>
      </c>
      <c r="M729" s="17">
        <v>0</v>
      </c>
      <c r="N729" s="17">
        <v>0</v>
      </c>
      <c r="O729" s="17">
        <v>0</v>
      </c>
      <c r="P729" s="17">
        <v>0</v>
      </c>
      <c r="Q729" s="17">
        <v>0</v>
      </c>
      <c r="R729" s="17">
        <v>0</v>
      </c>
      <c r="S729" s="17">
        <v>0</v>
      </c>
      <c r="T729" s="17">
        <v>0</v>
      </c>
      <c r="U729" s="17">
        <v>0</v>
      </c>
      <c r="V729" s="17">
        <v>0</v>
      </c>
      <c r="W729" s="17">
        <v>0</v>
      </c>
      <c r="X729" s="17">
        <v>0</v>
      </c>
      <c r="Y729" s="17">
        <v>0</v>
      </c>
      <c r="Z729" s="17">
        <v>0</v>
      </c>
      <c r="AA729" s="17">
        <v>0</v>
      </c>
      <c r="AB729" s="17">
        <v>0</v>
      </c>
      <c r="AC729" s="17">
        <v>0</v>
      </c>
      <c r="AD729" s="17">
        <v>0</v>
      </c>
      <c r="AE729" s="17">
        <v>0</v>
      </c>
      <c r="AF729" s="17">
        <v>0</v>
      </c>
      <c r="AG729" s="17">
        <v>0</v>
      </c>
      <c r="AH729" s="17">
        <v>0</v>
      </c>
      <c r="AI729" s="17">
        <v>0</v>
      </c>
      <c r="AJ729" s="17">
        <v>0</v>
      </c>
      <c r="AK729" s="17">
        <v>0</v>
      </c>
      <c r="AL729" s="17">
        <v>0</v>
      </c>
      <c r="AM729" s="17">
        <v>0</v>
      </c>
      <c r="AN729" s="17">
        <v>0</v>
      </c>
      <c r="AO729" s="17">
        <v>0</v>
      </c>
      <c r="AP729" s="17">
        <v>0</v>
      </c>
      <c r="AQ729" s="17">
        <v>0</v>
      </c>
      <c r="AR729" s="17">
        <v>0</v>
      </c>
      <c r="AS729" s="17">
        <v>0</v>
      </c>
      <c r="AT729" s="17">
        <v>0</v>
      </c>
      <c r="AU729" s="17">
        <v>0</v>
      </c>
      <c r="AV729" s="17">
        <v>0</v>
      </c>
      <c r="AW729" s="17">
        <v>0</v>
      </c>
      <c r="AX729" s="17">
        <v>0</v>
      </c>
      <c r="AY729" s="17">
        <v>0</v>
      </c>
      <c r="AZ729" s="17">
        <v>0</v>
      </c>
      <c r="BA729" s="17">
        <v>0</v>
      </c>
      <c r="BB729" s="17">
        <v>0</v>
      </c>
      <c r="BC729" s="17">
        <v>0</v>
      </c>
      <c r="BD729" s="17">
        <v>0</v>
      </c>
      <c r="BE729" s="17">
        <v>0</v>
      </c>
      <c r="BF729" s="17">
        <v>0</v>
      </c>
      <c r="BG729" s="17">
        <v>0</v>
      </c>
      <c r="BH729" s="17">
        <v>0</v>
      </c>
      <c r="BI729" s="22">
        <f t="shared" si="223"/>
        <v>0</v>
      </c>
      <c r="BJ729" s="22">
        <f t="shared" si="224"/>
        <v>0</v>
      </c>
      <c r="BK729" s="28">
        <f t="shared" si="225"/>
        <v>15</v>
      </c>
      <c r="BL729" s="22">
        <f t="shared" si="226"/>
        <v>13</v>
      </c>
      <c r="BM729" s="22">
        <f t="shared" si="222"/>
        <v>2</v>
      </c>
      <c r="BN729" s="23">
        <f t="shared" si="221"/>
        <v>1</v>
      </c>
      <c r="BO729" s="23">
        <f t="shared" si="221"/>
        <v>1</v>
      </c>
      <c r="BP729" s="7">
        <f>VLOOKUP(A729,[1]Sheet15!B:E,4,0)</f>
        <v>13</v>
      </c>
      <c r="BQ729" s="7">
        <f>VLOOKUP(A729,[1]Sheet15!B:E,3,0)</f>
        <v>2</v>
      </c>
    </row>
    <row r="730" spans="1:69" ht="22.5" customHeight="1" x14ac:dyDescent="0.25">
      <c r="A730" s="15" t="s">
        <v>1734</v>
      </c>
      <c r="B730" s="15">
        <f>VLOOKUP(A730,'[1]Master clients'!F709:W4256,17,0)</f>
        <v>0</v>
      </c>
      <c r="C730" s="15" t="str">
        <f>VLOOKUP(A730,'[1]Master clients'!F709:P4256,11,0)</f>
        <v>NI</v>
      </c>
      <c r="D730" s="15" t="str">
        <f>VLOOKUP(A730,'[1]Master clients'!F:M,8,0)</f>
        <v>End User</v>
      </c>
      <c r="E730" s="24" t="s">
        <v>1735</v>
      </c>
      <c r="F730" s="25" t="s">
        <v>1736</v>
      </c>
      <c r="G730" s="20">
        <v>0</v>
      </c>
      <c r="H730" s="20">
        <v>0</v>
      </c>
      <c r="I730" s="26">
        <v>14</v>
      </c>
      <c r="J730" s="26">
        <v>1</v>
      </c>
      <c r="K730" s="20">
        <v>0</v>
      </c>
      <c r="L730" s="20">
        <v>0</v>
      </c>
      <c r="M730" s="20">
        <v>0</v>
      </c>
      <c r="N730" s="20">
        <v>8</v>
      </c>
      <c r="O730" s="20">
        <v>0</v>
      </c>
      <c r="P730" s="20">
        <v>0</v>
      </c>
      <c r="Q730" s="20">
        <v>0</v>
      </c>
      <c r="R730" s="20">
        <v>0</v>
      </c>
      <c r="S730" s="20">
        <v>0</v>
      </c>
      <c r="T730" s="20">
        <v>1</v>
      </c>
      <c r="U730" s="20">
        <v>0</v>
      </c>
      <c r="V730" s="20">
        <v>0</v>
      </c>
      <c r="W730" s="20">
        <v>0</v>
      </c>
      <c r="X730" s="20">
        <v>0</v>
      </c>
      <c r="Y730" s="20">
        <v>0</v>
      </c>
      <c r="Z730" s="20">
        <v>0</v>
      </c>
      <c r="AA730" s="20">
        <v>0</v>
      </c>
      <c r="AB730" s="20">
        <v>0</v>
      </c>
      <c r="AC730" s="20">
        <v>0</v>
      </c>
      <c r="AD730" s="20">
        <v>0</v>
      </c>
      <c r="AE730" s="20">
        <v>0</v>
      </c>
      <c r="AF730" s="20">
        <v>0</v>
      </c>
      <c r="AG730" s="20">
        <v>0</v>
      </c>
      <c r="AH730" s="20">
        <v>0</v>
      </c>
      <c r="AI730" s="20">
        <v>0</v>
      </c>
      <c r="AJ730" s="20">
        <v>0</v>
      </c>
      <c r="AK730" s="20">
        <v>0</v>
      </c>
      <c r="AL730" s="20">
        <v>0</v>
      </c>
      <c r="AM730" s="20">
        <v>0</v>
      </c>
      <c r="AN730" s="20">
        <v>0</v>
      </c>
      <c r="AO730" s="20">
        <v>0</v>
      </c>
      <c r="AP730" s="20">
        <v>0</v>
      </c>
      <c r="AQ730" s="20">
        <v>0</v>
      </c>
      <c r="AR730" s="20">
        <v>0</v>
      </c>
      <c r="AS730" s="20">
        <v>0</v>
      </c>
      <c r="AT730" s="20">
        <v>0</v>
      </c>
      <c r="AU730" s="20">
        <v>0</v>
      </c>
      <c r="AV730" s="20">
        <v>0</v>
      </c>
      <c r="AW730" s="20">
        <v>0</v>
      </c>
      <c r="AX730" s="20">
        <v>0</v>
      </c>
      <c r="AY730" s="20">
        <v>0</v>
      </c>
      <c r="AZ730" s="20">
        <v>0</v>
      </c>
      <c r="BA730" s="20">
        <v>0</v>
      </c>
      <c r="BB730" s="27">
        <v>0</v>
      </c>
      <c r="BC730" s="20">
        <v>0</v>
      </c>
      <c r="BD730" s="20">
        <v>0</v>
      </c>
      <c r="BE730" s="21">
        <v>0</v>
      </c>
      <c r="BF730" s="21">
        <v>0</v>
      </c>
      <c r="BG730" s="20">
        <v>0</v>
      </c>
      <c r="BH730" s="20">
        <v>0</v>
      </c>
      <c r="BI730" s="22">
        <f t="shared" si="223"/>
        <v>1</v>
      </c>
      <c r="BJ730" s="22">
        <f t="shared" si="224"/>
        <v>8</v>
      </c>
      <c r="BK730" s="28">
        <f t="shared" si="225"/>
        <v>24</v>
      </c>
      <c r="BL730" s="22">
        <f t="shared" si="226"/>
        <v>15</v>
      </c>
      <c r="BM730" s="22">
        <f t="shared" si="222"/>
        <v>9</v>
      </c>
      <c r="BN730" s="23">
        <f t="shared" si="221"/>
        <v>0.93333333333333335</v>
      </c>
      <c r="BO730" s="23">
        <f t="shared" si="221"/>
        <v>0.1111111111111111</v>
      </c>
      <c r="BP730" s="7">
        <f>VLOOKUP(A730,[1]Sheet15!B:E,4,0)</f>
        <v>8</v>
      </c>
      <c r="BQ730" s="7">
        <f>VLOOKUP(A730,[1]Sheet15!B:E,3,0)</f>
        <v>1</v>
      </c>
    </row>
    <row r="731" spans="1:69" ht="22.5" customHeight="1" x14ac:dyDescent="0.25">
      <c r="A731" s="15" t="s">
        <v>1737</v>
      </c>
      <c r="B731" s="15">
        <f>VLOOKUP(A731,'[1]Master clients'!F710:W4257,17,0)</f>
        <v>0</v>
      </c>
      <c r="C731" s="15" t="str">
        <f>VLOOKUP(A731,'[1]Master clients'!F710:P4257,11,0)</f>
        <v>NI</v>
      </c>
      <c r="D731" s="15" t="str">
        <f>VLOOKUP(A731,'[1]Master clients'!F:M,8,0)</f>
        <v>End User</v>
      </c>
      <c r="E731" s="24" t="s">
        <v>1738</v>
      </c>
      <c r="F731" s="25" t="s">
        <v>1739</v>
      </c>
      <c r="G731" s="20">
        <v>0</v>
      </c>
      <c r="H731" s="20">
        <v>0</v>
      </c>
      <c r="I731" s="26">
        <v>7</v>
      </c>
      <c r="J731" s="26">
        <v>3</v>
      </c>
      <c r="K731" s="20">
        <v>0</v>
      </c>
      <c r="L731" s="20">
        <v>0</v>
      </c>
      <c r="M731" s="20">
        <v>0</v>
      </c>
      <c r="N731" s="20">
        <v>5</v>
      </c>
      <c r="O731" s="20">
        <v>0</v>
      </c>
      <c r="P731" s="20">
        <v>0</v>
      </c>
      <c r="Q731" s="20">
        <v>0</v>
      </c>
      <c r="R731" s="20">
        <v>0</v>
      </c>
      <c r="S731" s="20">
        <v>0</v>
      </c>
      <c r="T731" s="20">
        <v>0</v>
      </c>
      <c r="U731" s="20">
        <v>0</v>
      </c>
      <c r="V731" s="20">
        <v>0</v>
      </c>
      <c r="W731" s="20">
        <v>0</v>
      </c>
      <c r="X731" s="20">
        <v>0</v>
      </c>
      <c r="Y731" s="20">
        <v>0</v>
      </c>
      <c r="Z731" s="20">
        <v>0</v>
      </c>
      <c r="AA731" s="20">
        <v>0</v>
      </c>
      <c r="AB731" s="20">
        <v>0</v>
      </c>
      <c r="AC731" s="20">
        <v>0</v>
      </c>
      <c r="AD731" s="20">
        <v>0</v>
      </c>
      <c r="AE731" s="20">
        <v>0</v>
      </c>
      <c r="AF731" s="20">
        <v>0</v>
      </c>
      <c r="AG731" s="20">
        <v>0</v>
      </c>
      <c r="AH731" s="20">
        <v>0</v>
      </c>
      <c r="AI731" s="20">
        <v>0</v>
      </c>
      <c r="AJ731" s="20">
        <v>0</v>
      </c>
      <c r="AK731" s="20">
        <v>0</v>
      </c>
      <c r="AL731" s="20">
        <v>0</v>
      </c>
      <c r="AM731" s="20">
        <v>0</v>
      </c>
      <c r="AN731" s="20">
        <v>0</v>
      </c>
      <c r="AO731" s="20">
        <v>0</v>
      </c>
      <c r="AP731" s="20">
        <v>0</v>
      </c>
      <c r="AQ731" s="20">
        <v>0</v>
      </c>
      <c r="AR731" s="20">
        <v>0</v>
      </c>
      <c r="AS731" s="20">
        <v>0</v>
      </c>
      <c r="AT731" s="20">
        <v>0</v>
      </c>
      <c r="AU731" s="20">
        <v>0</v>
      </c>
      <c r="AV731" s="20">
        <v>0</v>
      </c>
      <c r="AW731" s="20">
        <v>0</v>
      </c>
      <c r="AX731" s="20">
        <v>0</v>
      </c>
      <c r="AY731" s="20">
        <v>0</v>
      </c>
      <c r="AZ731" s="20">
        <v>0</v>
      </c>
      <c r="BA731" s="20">
        <v>0</v>
      </c>
      <c r="BB731" s="27">
        <v>0</v>
      </c>
      <c r="BC731" s="20">
        <v>0</v>
      </c>
      <c r="BD731" s="20">
        <v>0</v>
      </c>
      <c r="BE731" s="21">
        <v>0</v>
      </c>
      <c r="BF731" s="21">
        <v>0</v>
      </c>
      <c r="BG731" s="20">
        <v>0</v>
      </c>
      <c r="BH731" s="20">
        <v>0</v>
      </c>
      <c r="BI731" s="22">
        <f t="shared" si="223"/>
        <v>0</v>
      </c>
      <c r="BJ731" s="22">
        <f t="shared" si="224"/>
        <v>5</v>
      </c>
      <c r="BK731" s="28">
        <f t="shared" si="225"/>
        <v>15</v>
      </c>
      <c r="BL731" s="22">
        <f t="shared" si="226"/>
        <v>7</v>
      </c>
      <c r="BM731" s="22">
        <f t="shared" si="222"/>
        <v>8</v>
      </c>
      <c r="BN731" s="23">
        <f t="shared" si="221"/>
        <v>1</v>
      </c>
      <c r="BO731" s="23">
        <f t="shared" si="221"/>
        <v>0.375</v>
      </c>
      <c r="BP731" s="7">
        <f>VLOOKUP(A731,[1]Sheet15!B:E,4,0)</f>
        <v>10</v>
      </c>
      <c r="BQ731" s="7">
        <f>VLOOKUP(A731,[1]Sheet15!B:E,3,0)</f>
        <v>5</v>
      </c>
    </row>
    <row r="732" spans="1:69" ht="22.5" customHeight="1" x14ac:dyDescent="0.25">
      <c r="A732" s="15" t="s">
        <v>1740</v>
      </c>
      <c r="B732" s="15" t="e">
        <f>VLOOKUP(A732,'[1]Master clients'!F711:W4258,17,0)</f>
        <v>#N/A</v>
      </c>
      <c r="C732" s="15" t="e">
        <f>VLOOKUP(A732,'[1]Master clients'!F711:P4258,11,0)</f>
        <v>#N/A</v>
      </c>
      <c r="D732" s="15" t="str">
        <f>VLOOKUP(A732,'[1]Master clients'!F:M,8,0)</f>
        <v>Group (Mills)</v>
      </c>
      <c r="E732" s="24" t="s">
        <v>1741</v>
      </c>
      <c r="F732" s="25" t="s">
        <v>1742</v>
      </c>
      <c r="G732" s="20">
        <v>0</v>
      </c>
      <c r="H732" s="20">
        <v>0</v>
      </c>
      <c r="I732" s="26">
        <v>29</v>
      </c>
      <c r="J732" s="26">
        <v>0</v>
      </c>
      <c r="K732" s="20">
        <v>0</v>
      </c>
      <c r="L732" s="20">
        <v>0</v>
      </c>
      <c r="M732" s="20">
        <v>0</v>
      </c>
      <c r="N732" s="20">
        <v>7</v>
      </c>
      <c r="O732" s="20">
        <v>6</v>
      </c>
      <c r="P732" s="20">
        <v>0</v>
      </c>
      <c r="Q732" s="20">
        <v>0</v>
      </c>
      <c r="R732" s="20">
        <v>0</v>
      </c>
      <c r="S732" s="20">
        <v>0</v>
      </c>
      <c r="T732" s="20">
        <v>0</v>
      </c>
      <c r="U732" s="20">
        <v>0</v>
      </c>
      <c r="V732" s="20">
        <v>0</v>
      </c>
      <c r="W732" s="20">
        <v>0</v>
      </c>
      <c r="X732" s="20">
        <v>0</v>
      </c>
      <c r="Y732" s="20">
        <v>0</v>
      </c>
      <c r="Z732" s="20">
        <v>0</v>
      </c>
      <c r="AA732" s="20">
        <v>0</v>
      </c>
      <c r="AB732" s="20">
        <v>0</v>
      </c>
      <c r="AC732" s="20">
        <v>0</v>
      </c>
      <c r="AD732" s="20">
        <v>0</v>
      </c>
      <c r="AE732" s="20">
        <v>0</v>
      </c>
      <c r="AF732" s="20">
        <v>0</v>
      </c>
      <c r="AG732" s="20">
        <v>0</v>
      </c>
      <c r="AH732" s="20">
        <v>0</v>
      </c>
      <c r="AI732" s="20">
        <v>0</v>
      </c>
      <c r="AJ732" s="20">
        <v>0</v>
      </c>
      <c r="AK732" s="20">
        <v>0</v>
      </c>
      <c r="AL732" s="20">
        <v>0</v>
      </c>
      <c r="AM732" s="20">
        <v>0</v>
      </c>
      <c r="AN732" s="20">
        <v>0</v>
      </c>
      <c r="AO732" s="20">
        <v>0</v>
      </c>
      <c r="AP732" s="20">
        <v>0</v>
      </c>
      <c r="AQ732" s="20">
        <v>0</v>
      </c>
      <c r="AR732" s="20">
        <v>0</v>
      </c>
      <c r="AS732" s="20">
        <v>0</v>
      </c>
      <c r="AT732" s="20">
        <v>0</v>
      </c>
      <c r="AU732" s="19">
        <v>0</v>
      </c>
      <c r="AV732" s="20">
        <v>0</v>
      </c>
      <c r="AW732" s="20">
        <v>0</v>
      </c>
      <c r="AX732" s="20">
        <v>0</v>
      </c>
      <c r="AY732" s="20">
        <v>0</v>
      </c>
      <c r="AZ732" s="20">
        <v>0</v>
      </c>
      <c r="BA732" s="19">
        <v>0</v>
      </c>
      <c r="BB732" s="27">
        <v>0</v>
      </c>
      <c r="BC732" s="19">
        <v>0</v>
      </c>
      <c r="BD732" s="19">
        <v>0</v>
      </c>
      <c r="BE732" s="21">
        <v>0</v>
      </c>
      <c r="BF732" s="21">
        <v>0</v>
      </c>
      <c r="BG732" s="19">
        <v>0</v>
      </c>
      <c r="BH732" s="19">
        <v>0</v>
      </c>
      <c r="BI732" s="22">
        <f t="shared" si="223"/>
        <v>0</v>
      </c>
      <c r="BJ732" s="22">
        <f t="shared" si="224"/>
        <v>13</v>
      </c>
      <c r="BK732" s="28">
        <f t="shared" si="225"/>
        <v>42</v>
      </c>
      <c r="BL732" s="22">
        <f t="shared" si="226"/>
        <v>29</v>
      </c>
      <c r="BM732" s="22">
        <f t="shared" si="222"/>
        <v>13</v>
      </c>
      <c r="BN732" s="23">
        <f t="shared" si="221"/>
        <v>1</v>
      </c>
      <c r="BO732" s="23">
        <f t="shared" si="221"/>
        <v>0</v>
      </c>
      <c r="BP732" s="7">
        <f>VLOOKUP(A732,[1]Sheet15!B:E,4,0)</f>
        <v>20</v>
      </c>
      <c r="BQ732" s="7">
        <f>VLOOKUP(A732,[1]Sheet15!B:E,3,0)</f>
        <v>0</v>
      </c>
    </row>
    <row r="733" spans="1:69" ht="22.5" customHeight="1" x14ac:dyDescent="0.25">
      <c r="A733" s="15" t="s">
        <v>1743</v>
      </c>
      <c r="B733" s="15" t="e">
        <f>VLOOKUP(A733,'[1]Master clients'!F712:W4259,17,0)</f>
        <v>#N/A</v>
      </c>
      <c r="C733" s="15" t="e">
        <f>VLOOKUP(A733,'[1]Master clients'!F712:P4259,11,0)</f>
        <v>#N/A</v>
      </c>
      <c r="D733" s="15" t="str">
        <f>VLOOKUP(A733,'[1]Master clients'!F:M,8,0)</f>
        <v>End User</v>
      </c>
      <c r="E733" s="24" t="s">
        <v>1744</v>
      </c>
      <c r="F733" s="25" t="s">
        <v>1742</v>
      </c>
      <c r="G733" s="20">
        <v>0</v>
      </c>
      <c r="H733" s="20">
        <v>0</v>
      </c>
      <c r="I733" s="26">
        <v>1</v>
      </c>
      <c r="J733" s="26">
        <v>0</v>
      </c>
      <c r="K733" s="20">
        <v>0</v>
      </c>
      <c r="L733" s="20">
        <v>0</v>
      </c>
      <c r="M733" s="20">
        <v>0</v>
      </c>
      <c r="N733" s="20">
        <v>5</v>
      </c>
      <c r="O733" s="20">
        <v>0</v>
      </c>
      <c r="P733" s="20">
        <v>0</v>
      </c>
      <c r="Q733" s="20">
        <v>0</v>
      </c>
      <c r="R733" s="20">
        <v>0</v>
      </c>
      <c r="S733" s="20">
        <v>0</v>
      </c>
      <c r="T733" s="20">
        <v>7</v>
      </c>
      <c r="U733" s="20">
        <v>0</v>
      </c>
      <c r="V733" s="20">
        <v>0</v>
      </c>
      <c r="W733" s="20">
        <v>0</v>
      </c>
      <c r="X733" s="20">
        <v>0</v>
      </c>
      <c r="Y733" s="20">
        <v>0</v>
      </c>
      <c r="Z733" s="20">
        <v>0</v>
      </c>
      <c r="AA733" s="20">
        <v>0</v>
      </c>
      <c r="AB733" s="20">
        <v>0</v>
      </c>
      <c r="AC733" s="20">
        <v>0</v>
      </c>
      <c r="AD733" s="20">
        <v>0</v>
      </c>
      <c r="AE733" s="20">
        <v>0</v>
      </c>
      <c r="AF733" s="20">
        <v>0</v>
      </c>
      <c r="AG733" s="20">
        <v>0</v>
      </c>
      <c r="AH733" s="20">
        <v>0</v>
      </c>
      <c r="AI733" s="20">
        <v>0</v>
      </c>
      <c r="AJ733" s="20">
        <v>0</v>
      </c>
      <c r="AK733" s="20">
        <v>0</v>
      </c>
      <c r="AL733" s="20">
        <v>0</v>
      </c>
      <c r="AM733" s="20">
        <v>0</v>
      </c>
      <c r="AN733" s="20">
        <v>0</v>
      </c>
      <c r="AO733" s="20">
        <v>0</v>
      </c>
      <c r="AP733" s="20">
        <v>0</v>
      </c>
      <c r="AQ733" s="20">
        <v>0</v>
      </c>
      <c r="AR733" s="20">
        <v>0</v>
      </c>
      <c r="AS733" s="20">
        <v>0</v>
      </c>
      <c r="AT733" s="20">
        <v>0</v>
      </c>
      <c r="AU733" s="20">
        <v>0</v>
      </c>
      <c r="AV733" s="20">
        <v>0</v>
      </c>
      <c r="AW733" s="20">
        <v>0</v>
      </c>
      <c r="AX733" s="20">
        <v>0</v>
      </c>
      <c r="AY733" s="20">
        <v>0</v>
      </c>
      <c r="AZ733" s="20">
        <v>0</v>
      </c>
      <c r="BA733" s="20">
        <v>0</v>
      </c>
      <c r="BB733" s="27">
        <v>0</v>
      </c>
      <c r="BC733" s="20">
        <v>0</v>
      </c>
      <c r="BD733" s="20">
        <v>0</v>
      </c>
      <c r="BE733" s="21">
        <v>0</v>
      </c>
      <c r="BF733" s="21">
        <v>0</v>
      </c>
      <c r="BG733" s="20">
        <v>0</v>
      </c>
      <c r="BH733" s="20">
        <v>0</v>
      </c>
      <c r="BI733" s="22">
        <f t="shared" si="223"/>
        <v>7</v>
      </c>
      <c r="BJ733" s="22">
        <f t="shared" si="224"/>
        <v>5</v>
      </c>
      <c r="BK733" s="28">
        <f t="shared" si="225"/>
        <v>13</v>
      </c>
      <c r="BL733" s="22">
        <f t="shared" si="226"/>
        <v>8</v>
      </c>
      <c r="BM733" s="22">
        <f t="shared" si="222"/>
        <v>5</v>
      </c>
      <c r="BN733" s="23">
        <f t="shared" si="221"/>
        <v>0.125</v>
      </c>
      <c r="BO733" s="23">
        <f t="shared" si="221"/>
        <v>0</v>
      </c>
      <c r="BP733" s="7" t="e">
        <f>VLOOKUP(A733,[1]Sheet15!B:E,4,0)</f>
        <v>#N/A</v>
      </c>
      <c r="BQ733" s="7" t="e">
        <f>VLOOKUP(A733,[1]Sheet15!B:E,3,0)</f>
        <v>#N/A</v>
      </c>
    </row>
    <row r="734" spans="1:69" ht="22.5" customHeight="1" x14ac:dyDescent="0.25">
      <c r="A734" s="15" t="s">
        <v>1745</v>
      </c>
      <c r="B734" s="15" t="e">
        <f>VLOOKUP(A734,'[1]Master clients'!F713:W4260,17,0)</f>
        <v>#N/A</v>
      </c>
      <c r="C734" s="15" t="e">
        <f>VLOOKUP(A734,'[1]Master clients'!F713:P4260,11,0)</f>
        <v>#N/A</v>
      </c>
      <c r="D734" s="15" t="str">
        <f>VLOOKUP(A734,'[1]Master clients'!F:M,8,0)</f>
        <v>End User</v>
      </c>
      <c r="E734" s="16" t="s">
        <v>1746</v>
      </c>
      <c r="F734" s="16" t="s">
        <v>1742</v>
      </c>
      <c r="G734" s="17"/>
      <c r="H734" s="17"/>
      <c r="I734" s="26">
        <v>1</v>
      </c>
      <c r="J734" s="31">
        <v>0</v>
      </c>
      <c r="K734" s="17">
        <v>0</v>
      </c>
      <c r="L734" s="17">
        <v>0</v>
      </c>
      <c r="M734" s="17">
        <v>0</v>
      </c>
      <c r="N734" s="17">
        <v>0</v>
      </c>
      <c r="O734" s="17">
        <v>0</v>
      </c>
      <c r="P734" s="17">
        <v>0</v>
      </c>
      <c r="Q734" s="17">
        <v>0</v>
      </c>
      <c r="R734" s="17">
        <v>0</v>
      </c>
      <c r="S734" s="17">
        <v>0</v>
      </c>
      <c r="T734" s="17">
        <v>0</v>
      </c>
      <c r="U734" s="17">
        <v>0</v>
      </c>
      <c r="V734" s="17">
        <v>0</v>
      </c>
      <c r="W734" s="17">
        <v>0</v>
      </c>
      <c r="X734" s="17">
        <v>0</v>
      </c>
      <c r="Y734" s="17">
        <v>0</v>
      </c>
      <c r="Z734" s="17">
        <v>0</v>
      </c>
      <c r="AA734" s="17">
        <v>0</v>
      </c>
      <c r="AB734" s="17">
        <v>0</v>
      </c>
      <c r="AC734" s="17">
        <v>0</v>
      </c>
      <c r="AD734" s="17">
        <v>0</v>
      </c>
      <c r="AE734" s="17">
        <v>0</v>
      </c>
      <c r="AF734" s="17">
        <v>0</v>
      </c>
      <c r="AG734" s="17">
        <v>0</v>
      </c>
      <c r="AH734" s="17">
        <v>0</v>
      </c>
      <c r="AI734" s="17">
        <v>0</v>
      </c>
      <c r="AJ734" s="17">
        <v>0</v>
      </c>
      <c r="AK734" s="17">
        <v>0</v>
      </c>
      <c r="AL734" s="17">
        <v>0</v>
      </c>
      <c r="AM734" s="17">
        <v>0</v>
      </c>
      <c r="AN734" s="17">
        <v>0</v>
      </c>
      <c r="AO734" s="17">
        <v>0</v>
      </c>
      <c r="AP734" s="17">
        <v>0</v>
      </c>
      <c r="AQ734" s="17">
        <v>0</v>
      </c>
      <c r="AR734" s="17">
        <v>0</v>
      </c>
      <c r="AS734" s="17">
        <v>0</v>
      </c>
      <c r="AT734" s="17">
        <v>0</v>
      </c>
      <c r="AU734" s="17">
        <v>0</v>
      </c>
      <c r="AV734" s="17">
        <v>0</v>
      </c>
      <c r="AW734" s="17">
        <v>0</v>
      </c>
      <c r="AX734" s="17">
        <v>0</v>
      </c>
      <c r="AY734" s="17">
        <v>0</v>
      </c>
      <c r="AZ734" s="17">
        <v>0</v>
      </c>
      <c r="BA734" s="17">
        <v>0</v>
      </c>
      <c r="BB734" s="17">
        <v>0</v>
      </c>
      <c r="BC734" s="17">
        <v>0</v>
      </c>
      <c r="BD734" s="17">
        <v>0</v>
      </c>
      <c r="BE734" s="17">
        <v>0</v>
      </c>
      <c r="BF734" s="17">
        <v>0</v>
      </c>
      <c r="BG734" s="17">
        <v>0</v>
      </c>
      <c r="BH734" s="17">
        <v>0</v>
      </c>
      <c r="BI734" s="22">
        <f t="shared" si="223"/>
        <v>0</v>
      </c>
      <c r="BJ734" s="22">
        <f t="shared" si="224"/>
        <v>0</v>
      </c>
      <c r="BK734" s="22">
        <f t="shared" si="225"/>
        <v>1</v>
      </c>
      <c r="BL734" s="22">
        <f t="shared" si="226"/>
        <v>1</v>
      </c>
      <c r="BM734" s="22">
        <f t="shared" si="222"/>
        <v>0</v>
      </c>
      <c r="BN734" s="23">
        <f t="shared" si="221"/>
        <v>1</v>
      </c>
      <c r="BO734" s="23" t="e">
        <f t="shared" si="221"/>
        <v>#DIV/0!</v>
      </c>
      <c r="BP734" s="7">
        <f>VLOOKUP(A734,[1]Sheet15!B:E,4,0)</f>
        <v>1</v>
      </c>
      <c r="BQ734" s="7">
        <f>VLOOKUP(A734,[1]Sheet15!B:E,3,0)</f>
        <v>0</v>
      </c>
    </row>
    <row r="735" spans="1:69" ht="22.5" customHeight="1" x14ac:dyDescent="0.25">
      <c r="A735" s="15" t="s">
        <v>1747</v>
      </c>
      <c r="B735" s="15" t="e">
        <f>VLOOKUP(A735,'[1]Master clients'!F714:W4261,17,0)</f>
        <v>#N/A</v>
      </c>
      <c r="C735" s="15" t="e">
        <f>VLOOKUP(A735,'[1]Master clients'!F714:P4261,11,0)</f>
        <v>#N/A</v>
      </c>
      <c r="D735" s="15" t="str">
        <f>VLOOKUP(A735,'[1]Master clients'!F:M,8,0)</f>
        <v>End User</v>
      </c>
      <c r="E735" s="16" t="s">
        <v>1748</v>
      </c>
      <c r="F735" s="16" t="s">
        <v>1742</v>
      </c>
      <c r="G735" s="17"/>
      <c r="H735" s="17">
        <v>2</v>
      </c>
      <c r="I735" s="31">
        <v>0</v>
      </c>
      <c r="J735" s="31">
        <v>2</v>
      </c>
      <c r="K735" s="17">
        <v>0</v>
      </c>
      <c r="L735" s="17">
        <v>0</v>
      </c>
      <c r="M735" s="17">
        <v>0</v>
      </c>
      <c r="N735" s="17">
        <v>0</v>
      </c>
      <c r="O735" s="17">
        <v>0</v>
      </c>
      <c r="P735" s="17">
        <v>0</v>
      </c>
      <c r="Q735" s="17">
        <v>0</v>
      </c>
      <c r="R735" s="17">
        <v>0</v>
      </c>
      <c r="S735" s="17">
        <v>0</v>
      </c>
      <c r="T735" s="17">
        <v>0</v>
      </c>
      <c r="U735" s="17">
        <v>0</v>
      </c>
      <c r="V735" s="17">
        <v>0</v>
      </c>
      <c r="W735" s="17">
        <v>0</v>
      </c>
      <c r="X735" s="17">
        <v>0</v>
      </c>
      <c r="Y735" s="17">
        <v>0</v>
      </c>
      <c r="Z735" s="17">
        <v>0</v>
      </c>
      <c r="AA735" s="17">
        <v>0</v>
      </c>
      <c r="AB735" s="17">
        <v>0</v>
      </c>
      <c r="AC735" s="17">
        <v>0</v>
      </c>
      <c r="AD735" s="17">
        <v>0</v>
      </c>
      <c r="AE735" s="17">
        <v>0</v>
      </c>
      <c r="AF735" s="17">
        <v>0</v>
      </c>
      <c r="AG735" s="17">
        <v>0</v>
      </c>
      <c r="AH735" s="17">
        <v>0</v>
      </c>
      <c r="AI735" s="17">
        <v>0</v>
      </c>
      <c r="AJ735" s="17">
        <v>0</v>
      </c>
      <c r="AK735" s="17">
        <v>0</v>
      </c>
      <c r="AL735" s="17">
        <v>0</v>
      </c>
      <c r="AM735" s="17">
        <v>0</v>
      </c>
      <c r="AN735" s="17">
        <v>0</v>
      </c>
      <c r="AO735" s="17">
        <v>0</v>
      </c>
      <c r="AP735" s="17">
        <v>0</v>
      </c>
      <c r="AQ735" s="17">
        <v>0</v>
      </c>
      <c r="AR735" s="17">
        <v>0</v>
      </c>
      <c r="AS735" s="17">
        <v>0</v>
      </c>
      <c r="AT735" s="17">
        <v>0</v>
      </c>
      <c r="AU735" s="17">
        <v>0</v>
      </c>
      <c r="AV735" s="17">
        <v>0</v>
      </c>
      <c r="AW735" s="17">
        <v>0</v>
      </c>
      <c r="AX735" s="17">
        <v>0</v>
      </c>
      <c r="AY735" s="17">
        <v>0</v>
      </c>
      <c r="AZ735" s="17">
        <v>0</v>
      </c>
      <c r="BA735" s="17">
        <v>0</v>
      </c>
      <c r="BB735" s="17">
        <v>0</v>
      </c>
      <c r="BC735" s="17">
        <v>0</v>
      </c>
      <c r="BD735" s="17">
        <v>0</v>
      </c>
      <c r="BE735" s="17">
        <v>0</v>
      </c>
      <c r="BF735" s="17">
        <v>0</v>
      </c>
      <c r="BG735" s="17">
        <v>0</v>
      </c>
      <c r="BH735" s="17">
        <v>0</v>
      </c>
      <c r="BI735" s="22">
        <f t="shared" si="223"/>
        <v>0</v>
      </c>
      <c r="BJ735" s="22">
        <f t="shared" si="224"/>
        <v>0</v>
      </c>
      <c r="BK735" s="22">
        <f t="shared" si="225"/>
        <v>2</v>
      </c>
      <c r="BL735" s="22">
        <f t="shared" si="226"/>
        <v>0</v>
      </c>
      <c r="BM735" s="22">
        <f t="shared" si="222"/>
        <v>2</v>
      </c>
      <c r="BN735" s="23" t="e">
        <f t="shared" si="221"/>
        <v>#DIV/0!</v>
      </c>
      <c r="BO735" s="23">
        <f t="shared" si="221"/>
        <v>1</v>
      </c>
      <c r="BP735" s="7">
        <f>VLOOKUP(A735,[1]Sheet15!B:E,4,0)</f>
        <v>0</v>
      </c>
      <c r="BQ735" s="7">
        <f>VLOOKUP(A735,[1]Sheet15!B:E,3,0)</f>
        <v>2</v>
      </c>
    </row>
    <row r="736" spans="1:69" ht="22.5" customHeight="1" x14ac:dyDescent="0.25">
      <c r="A736" s="15" t="s">
        <v>1749</v>
      </c>
      <c r="B736" s="15" t="e">
        <f>VLOOKUP(A736,'[1]Master clients'!F715:W4262,17,0)</f>
        <v>#N/A</v>
      </c>
      <c r="C736" s="15" t="e">
        <f>VLOOKUP(A736,'[1]Master clients'!F715:P4262,11,0)</f>
        <v>#N/A</v>
      </c>
      <c r="D736" s="15" t="str">
        <f>VLOOKUP(A736,'[1]Master clients'!F:M,8,0)</f>
        <v>End User</v>
      </c>
      <c r="E736" s="16" t="s">
        <v>1750</v>
      </c>
      <c r="F736" s="16" t="s">
        <v>1742</v>
      </c>
      <c r="G736" s="17"/>
      <c r="H736" s="17"/>
      <c r="I736" s="26">
        <v>2</v>
      </c>
      <c r="J736" s="31">
        <v>0</v>
      </c>
      <c r="K736" s="17">
        <v>0</v>
      </c>
      <c r="L736" s="17">
        <v>0</v>
      </c>
      <c r="M736" s="17">
        <v>0</v>
      </c>
      <c r="N736" s="17">
        <v>0</v>
      </c>
      <c r="O736" s="17">
        <v>0</v>
      </c>
      <c r="P736" s="17">
        <v>0</v>
      </c>
      <c r="Q736" s="17">
        <v>0</v>
      </c>
      <c r="R736" s="17">
        <v>0</v>
      </c>
      <c r="S736" s="17">
        <v>0</v>
      </c>
      <c r="T736" s="17">
        <v>0</v>
      </c>
      <c r="U736" s="17">
        <v>0</v>
      </c>
      <c r="V736" s="17">
        <v>0</v>
      </c>
      <c r="W736" s="17">
        <v>0</v>
      </c>
      <c r="X736" s="17">
        <v>0</v>
      </c>
      <c r="Y736" s="17">
        <v>0</v>
      </c>
      <c r="Z736" s="17">
        <v>0</v>
      </c>
      <c r="AA736" s="17">
        <v>0</v>
      </c>
      <c r="AB736" s="17">
        <v>0</v>
      </c>
      <c r="AC736" s="17">
        <v>0</v>
      </c>
      <c r="AD736" s="17">
        <v>0</v>
      </c>
      <c r="AE736" s="17">
        <v>0</v>
      </c>
      <c r="AF736" s="17">
        <v>0</v>
      </c>
      <c r="AG736" s="17">
        <v>0</v>
      </c>
      <c r="AH736" s="17">
        <v>0</v>
      </c>
      <c r="AI736" s="17">
        <v>0</v>
      </c>
      <c r="AJ736" s="17">
        <v>0</v>
      </c>
      <c r="AK736" s="17">
        <v>0</v>
      </c>
      <c r="AL736" s="17">
        <v>0</v>
      </c>
      <c r="AM736" s="17">
        <v>0</v>
      </c>
      <c r="AN736" s="17">
        <v>0</v>
      </c>
      <c r="AO736" s="17">
        <v>0</v>
      </c>
      <c r="AP736" s="17">
        <v>0</v>
      </c>
      <c r="AQ736" s="17">
        <v>0</v>
      </c>
      <c r="AR736" s="17">
        <v>0</v>
      </c>
      <c r="AS736" s="17">
        <v>0</v>
      </c>
      <c r="AT736" s="17">
        <v>0</v>
      </c>
      <c r="AU736" s="17">
        <v>0</v>
      </c>
      <c r="AV736" s="17">
        <v>0</v>
      </c>
      <c r="AW736" s="17">
        <v>0</v>
      </c>
      <c r="AX736" s="17">
        <v>0</v>
      </c>
      <c r="AY736" s="17">
        <v>0</v>
      </c>
      <c r="AZ736" s="17">
        <v>0</v>
      </c>
      <c r="BA736" s="17">
        <v>0</v>
      </c>
      <c r="BB736" s="17">
        <v>0</v>
      </c>
      <c r="BC736" s="17">
        <v>0</v>
      </c>
      <c r="BD736" s="17">
        <v>0</v>
      </c>
      <c r="BE736" s="17">
        <v>0</v>
      </c>
      <c r="BF736" s="17">
        <v>0</v>
      </c>
      <c r="BG736" s="17">
        <v>0</v>
      </c>
      <c r="BH736" s="17">
        <v>0</v>
      </c>
      <c r="BI736" s="22">
        <f t="shared" si="223"/>
        <v>0</v>
      </c>
      <c r="BJ736" s="22">
        <f t="shared" si="224"/>
        <v>0</v>
      </c>
      <c r="BK736" s="22">
        <f t="shared" si="225"/>
        <v>2</v>
      </c>
      <c r="BL736" s="22">
        <f t="shared" si="226"/>
        <v>2</v>
      </c>
      <c r="BM736" s="22">
        <f t="shared" si="222"/>
        <v>0</v>
      </c>
      <c r="BN736" s="23">
        <f t="shared" ref="BN736:BO751" si="227">I736/BL736</f>
        <v>1</v>
      </c>
      <c r="BO736" s="23" t="e">
        <f t="shared" si="227"/>
        <v>#DIV/0!</v>
      </c>
      <c r="BP736" s="7">
        <f>VLOOKUP(A736,[1]Sheet15!B:E,4,0)</f>
        <v>2</v>
      </c>
      <c r="BQ736" s="7">
        <f>VLOOKUP(A736,[1]Sheet15!B:E,3,0)</f>
        <v>0</v>
      </c>
    </row>
    <row r="737" spans="1:69" ht="22.5" customHeight="1" x14ac:dyDescent="0.25">
      <c r="A737" s="15" t="s">
        <v>1751</v>
      </c>
      <c r="B737" s="15">
        <f>VLOOKUP(A737,'[1]Master clients'!F716:W4263,17,0)</f>
        <v>0</v>
      </c>
      <c r="C737" s="15" t="str">
        <f>VLOOKUP(A737,'[1]Master clients'!F716:P4263,11,0)</f>
        <v>HO</v>
      </c>
      <c r="D737" s="15" t="str">
        <f>VLOOKUP(A737,'[1]Master clients'!F:M,8,0)</f>
        <v>End User</v>
      </c>
      <c r="E737" s="16" t="s">
        <v>1752</v>
      </c>
      <c r="F737" s="16" t="s">
        <v>1742</v>
      </c>
      <c r="G737" s="17"/>
      <c r="H737" s="17"/>
      <c r="I737" s="31">
        <v>0</v>
      </c>
      <c r="J737" s="31">
        <v>0</v>
      </c>
      <c r="K737" s="17">
        <v>0</v>
      </c>
      <c r="L737" s="17">
        <v>0</v>
      </c>
      <c r="M737" s="17">
        <v>0</v>
      </c>
      <c r="N737" s="17">
        <v>0</v>
      </c>
      <c r="O737" s="17">
        <v>0</v>
      </c>
      <c r="P737" s="17">
        <v>0</v>
      </c>
      <c r="Q737" s="17">
        <v>0</v>
      </c>
      <c r="R737" s="17">
        <v>0</v>
      </c>
      <c r="S737" s="17">
        <v>0</v>
      </c>
      <c r="T737" s="17">
        <v>0</v>
      </c>
      <c r="U737" s="17">
        <v>0</v>
      </c>
      <c r="V737" s="17">
        <v>0</v>
      </c>
      <c r="W737" s="17">
        <v>0</v>
      </c>
      <c r="X737" s="17">
        <v>0</v>
      </c>
      <c r="Y737" s="17">
        <v>0</v>
      </c>
      <c r="Z737" s="17">
        <v>0</v>
      </c>
      <c r="AA737" s="17">
        <v>0</v>
      </c>
      <c r="AB737" s="17">
        <v>0</v>
      </c>
      <c r="AC737" s="17">
        <v>0</v>
      </c>
      <c r="AD737" s="17">
        <v>0</v>
      </c>
      <c r="AE737" s="17">
        <v>0</v>
      </c>
      <c r="AF737" s="17">
        <v>0</v>
      </c>
      <c r="AG737" s="17">
        <v>0</v>
      </c>
      <c r="AH737" s="17">
        <v>0</v>
      </c>
      <c r="AI737" s="17">
        <v>0</v>
      </c>
      <c r="AJ737" s="17">
        <v>0</v>
      </c>
      <c r="AK737" s="17">
        <v>0</v>
      </c>
      <c r="AL737" s="17">
        <v>0</v>
      </c>
      <c r="AM737" s="17">
        <v>0</v>
      </c>
      <c r="AN737" s="17">
        <v>0</v>
      </c>
      <c r="AO737" s="17">
        <v>0</v>
      </c>
      <c r="AP737" s="17">
        <v>0</v>
      </c>
      <c r="AQ737" s="17">
        <v>0</v>
      </c>
      <c r="AR737" s="17">
        <v>0</v>
      </c>
      <c r="AS737" s="17">
        <v>0</v>
      </c>
      <c r="AT737" s="17">
        <v>0</v>
      </c>
      <c r="AU737" s="17">
        <v>0</v>
      </c>
      <c r="AV737" s="17">
        <v>0</v>
      </c>
      <c r="AW737" s="17">
        <v>0</v>
      </c>
      <c r="AX737" s="17">
        <v>0</v>
      </c>
      <c r="AY737" s="17">
        <v>0</v>
      </c>
      <c r="AZ737" s="17">
        <v>0</v>
      </c>
      <c r="BA737" s="17">
        <v>0</v>
      </c>
      <c r="BB737" s="17">
        <v>0</v>
      </c>
      <c r="BC737" s="17">
        <v>0</v>
      </c>
      <c r="BD737" s="17">
        <v>0</v>
      </c>
      <c r="BE737" s="17">
        <v>0</v>
      </c>
      <c r="BF737" s="17">
        <v>0</v>
      </c>
      <c r="BG737" s="17">
        <v>0</v>
      </c>
      <c r="BH737" s="17">
        <v>0</v>
      </c>
      <c r="BI737" s="22">
        <f t="shared" si="223"/>
        <v>0</v>
      </c>
      <c r="BJ737" s="22">
        <f t="shared" si="224"/>
        <v>0</v>
      </c>
      <c r="BK737" s="22">
        <f t="shared" si="225"/>
        <v>0</v>
      </c>
      <c r="BL737" s="22">
        <f t="shared" si="226"/>
        <v>0</v>
      </c>
      <c r="BM737" s="22">
        <f t="shared" si="222"/>
        <v>0</v>
      </c>
      <c r="BN737" s="23" t="e">
        <f t="shared" si="227"/>
        <v>#DIV/0!</v>
      </c>
      <c r="BO737" s="23" t="e">
        <f t="shared" si="227"/>
        <v>#DIV/0!</v>
      </c>
      <c r="BP737" s="7" t="e">
        <f>VLOOKUP(A737,[1]Sheet15!B:E,4,0)</f>
        <v>#N/A</v>
      </c>
      <c r="BQ737" s="7" t="e">
        <f>VLOOKUP(A737,[1]Sheet15!B:E,3,0)</f>
        <v>#N/A</v>
      </c>
    </row>
    <row r="738" spans="1:69" ht="22.5" customHeight="1" x14ac:dyDescent="0.25">
      <c r="A738" s="15" t="s">
        <v>1753</v>
      </c>
      <c r="B738" s="15">
        <f>VLOOKUP(A738,'[1]Master clients'!F717:W4264,17,0)</f>
        <v>0</v>
      </c>
      <c r="C738" s="15" t="str">
        <f>VLOOKUP(A738,'[1]Master clients'!F717:P4264,11,0)</f>
        <v>NI</v>
      </c>
      <c r="D738" s="15" t="str">
        <f>VLOOKUP(A738,'[1]Master clients'!F:M,8,0)</f>
        <v>Group (Mills)</v>
      </c>
      <c r="E738" s="24" t="s">
        <v>1754</v>
      </c>
      <c r="F738" s="25" t="s">
        <v>1742</v>
      </c>
      <c r="G738" s="20">
        <v>0</v>
      </c>
      <c r="H738" s="20">
        <v>2</v>
      </c>
      <c r="I738" s="26">
        <v>19</v>
      </c>
      <c r="J738" s="26">
        <v>2</v>
      </c>
      <c r="K738" s="20">
        <v>19</v>
      </c>
      <c r="L738" s="20">
        <v>0</v>
      </c>
      <c r="M738" s="20">
        <v>0</v>
      </c>
      <c r="N738" s="20">
        <v>14</v>
      </c>
      <c r="O738" s="20">
        <v>0</v>
      </c>
      <c r="P738" s="20">
        <v>0</v>
      </c>
      <c r="Q738" s="20">
        <v>4</v>
      </c>
      <c r="R738" s="20">
        <v>0</v>
      </c>
      <c r="S738" s="20">
        <v>0</v>
      </c>
      <c r="T738" s="20">
        <v>0</v>
      </c>
      <c r="U738" s="20">
        <v>0</v>
      </c>
      <c r="V738" s="20">
        <v>0</v>
      </c>
      <c r="W738" s="20">
        <v>0</v>
      </c>
      <c r="X738" s="20">
        <v>0</v>
      </c>
      <c r="Y738" s="20">
        <v>0</v>
      </c>
      <c r="Z738" s="20">
        <v>0</v>
      </c>
      <c r="AA738" s="20">
        <v>0</v>
      </c>
      <c r="AB738" s="20">
        <v>0</v>
      </c>
      <c r="AC738" s="20">
        <v>0</v>
      </c>
      <c r="AD738" s="20">
        <v>0</v>
      </c>
      <c r="AE738" s="20">
        <v>0</v>
      </c>
      <c r="AF738" s="20">
        <v>0</v>
      </c>
      <c r="AG738" s="20">
        <v>0</v>
      </c>
      <c r="AH738" s="20">
        <v>0</v>
      </c>
      <c r="AI738" s="20">
        <v>0</v>
      </c>
      <c r="AJ738" s="20">
        <v>0</v>
      </c>
      <c r="AK738" s="20">
        <v>0</v>
      </c>
      <c r="AL738" s="20">
        <v>0</v>
      </c>
      <c r="AM738" s="20">
        <v>0</v>
      </c>
      <c r="AN738" s="20">
        <v>0</v>
      </c>
      <c r="AO738" s="20">
        <v>0</v>
      </c>
      <c r="AP738" s="20">
        <v>0</v>
      </c>
      <c r="AQ738" s="20">
        <v>0</v>
      </c>
      <c r="AR738" s="20">
        <v>0</v>
      </c>
      <c r="AS738" s="20">
        <v>0</v>
      </c>
      <c r="AT738" s="20">
        <v>0</v>
      </c>
      <c r="AU738" s="20">
        <v>0</v>
      </c>
      <c r="AV738" s="20">
        <v>0</v>
      </c>
      <c r="AW738" s="20">
        <v>0</v>
      </c>
      <c r="AX738" s="20">
        <v>0</v>
      </c>
      <c r="AY738" s="20">
        <v>0</v>
      </c>
      <c r="AZ738" s="20">
        <v>0</v>
      </c>
      <c r="BA738" s="20">
        <v>0</v>
      </c>
      <c r="BB738" s="27">
        <v>0</v>
      </c>
      <c r="BC738" s="20">
        <v>0</v>
      </c>
      <c r="BD738" s="20">
        <v>0</v>
      </c>
      <c r="BE738" s="21">
        <v>0</v>
      </c>
      <c r="BF738" s="21">
        <v>0</v>
      </c>
      <c r="BG738" s="20">
        <v>0</v>
      </c>
      <c r="BH738" s="20">
        <v>0</v>
      </c>
      <c r="BI738" s="22">
        <f t="shared" si="223"/>
        <v>19</v>
      </c>
      <c r="BJ738" s="22">
        <f t="shared" si="224"/>
        <v>18</v>
      </c>
      <c r="BK738" s="28">
        <f t="shared" si="225"/>
        <v>58</v>
      </c>
      <c r="BL738" s="22">
        <f t="shared" si="226"/>
        <v>38</v>
      </c>
      <c r="BM738" s="22">
        <f t="shared" si="222"/>
        <v>20</v>
      </c>
      <c r="BN738" s="23">
        <f t="shared" si="227"/>
        <v>0.5</v>
      </c>
      <c r="BO738" s="23">
        <f t="shared" si="227"/>
        <v>0.1</v>
      </c>
      <c r="BP738" s="7">
        <f>VLOOKUP(A738,[1]Sheet15!B:E,4,0)</f>
        <v>9</v>
      </c>
      <c r="BQ738" s="7">
        <f>VLOOKUP(A738,[1]Sheet15!B:E,3,0)</f>
        <v>2</v>
      </c>
    </row>
    <row r="739" spans="1:69" ht="22.5" customHeight="1" x14ac:dyDescent="0.25">
      <c r="A739" s="15" t="s">
        <v>1755</v>
      </c>
      <c r="B739" s="15">
        <f>VLOOKUP(A739,'[1]Master clients'!F718:W4265,17,0)</f>
        <v>0</v>
      </c>
      <c r="C739" s="15" t="str">
        <f>VLOOKUP(A739,'[1]Master clients'!F718:P4265,11,0)</f>
        <v>NI</v>
      </c>
      <c r="D739" s="15" t="str">
        <f>VLOOKUP(A739,'[1]Master clients'!F:M,8,0)</f>
        <v>Group (Mills)</v>
      </c>
      <c r="E739" s="16" t="s">
        <v>1756</v>
      </c>
      <c r="F739" s="16" t="s">
        <v>1742</v>
      </c>
      <c r="G739" s="17"/>
      <c r="H739" s="17">
        <v>1</v>
      </c>
      <c r="I739" s="26">
        <v>11</v>
      </c>
      <c r="J739" s="31">
        <v>1</v>
      </c>
      <c r="K739" s="17">
        <v>0</v>
      </c>
      <c r="L739" s="17">
        <v>0</v>
      </c>
      <c r="M739" s="17">
        <v>0</v>
      </c>
      <c r="N739" s="17">
        <v>0</v>
      </c>
      <c r="O739" s="17">
        <v>0</v>
      </c>
      <c r="P739" s="17">
        <v>0</v>
      </c>
      <c r="Q739" s="17">
        <v>0</v>
      </c>
      <c r="R739" s="17">
        <v>0</v>
      </c>
      <c r="S739" s="17">
        <v>0</v>
      </c>
      <c r="T739" s="17">
        <v>0</v>
      </c>
      <c r="U739" s="17">
        <v>0</v>
      </c>
      <c r="V739" s="17">
        <v>0</v>
      </c>
      <c r="W739" s="17">
        <v>0</v>
      </c>
      <c r="X739" s="17">
        <v>0</v>
      </c>
      <c r="Y739" s="17">
        <v>0</v>
      </c>
      <c r="Z739" s="17">
        <v>0</v>
      </c>
      <c r="AA739" s="17">
        <v>0</v>
      </c>
      <c r="AB739" s="17">
        <v>0</v>
      </c>
      <c r="AC739" s="17">
        <v>0</v>
      </c>
      <c r="AD739" s="17">
        <v>0</v>
      </c>
      <c r="AE739" s="17">
        <v>0</v>
      </c>
      <c r="AF739" s="17">
        <v>0</v>
      </c>
      <c r="AG739" s="17">
        <v>0</v>
      </c>
      <c r="AH739" s="17">
        <v>0</v>
      </c>
      <c r="AI739" s="17">
        <v>0</v>
      </c>
      <c r="AJ739" s="17">
        <v>0</v>
      </c>
      <c r="AK739" s="17">
        <v>0</v>
      </c>
      <c r="AL739" s="17">
        <v>0</v>
      </c>
      <c r="AM739" s="17">
        <v>0</v>
      </c>
      <c r="AN739" s="17">
        <v>0</v>
      </c>
      <c r="AO739" s="17">
        <v>0</v>
      </c>
      <c r="AP739" s="17">
        <v>0</v>
      </c>
      <c r="AQ739" s="17">
        <v>0</v>
      </c>
      <c r="AR739" s="17">
        <v>0</v>
      </c>
      <c r="AS739" s="17">
        <v>0</v>
      </c>
      <c r="AT739" s="17">
        <v>0</v>
      </c>
      <c r="AU739" s="17">
        <v>0</v>
      </c>
      <c r="AV739" s="17">
        <v>0</v>
      </c>
      <c r="AW739" s="17">
        <v>0</v>
      </c>
      <c r="AX739" s="17">
        <v>0</v>
      </c>
      <c r="AY739" s="17">
        <v>0</v>
      </c>
      <c r="AZ739" s="17">
        <v>0</v>
      </c>
      <c r="BA739" s="17">
        <v>0</v>
      </c>
      <c r="BB739" s="17">
        <v>0</v>
      </c>
      <c r="BC739" s="17">
        <v>0</v>
      </c>
      <c r="BD739" s="17">
        <v>0</v>
      </c>
      <c r="BE739" s="17">
        <v>0</v>
      </c>
      <c r="BF739" s="17">
        <v>0</v>
      </c>
      <c r="BG739" s="17">
        <v>0</v>
      </c>
      <c r="BH739" s="17">
        <v>0</v>
      </c>
      <c r="BI739" s="22">
        <f t="shared" si="223"/>
        <v>0</v>
      </c>
      <c r="BJ739" s="22">
        <f t="shared" si="224"/>
        <v>0</v>
      </c>
      <c r="BK739" s="28">
        <f t="shared" si="225"/>
        <v>12</v>
      </c>
      <c r="BL739" s="22">
        <f t="shared" si="226"/>
        <v>11</v>
      </c>
      <c r="BM739" s="22">
        <f t="shared" si="222"/>
        <v>1</v>
      </c>
      <c r="BN739" s="23">
        <f t="shared" si="227"/>
        <v>1</v>
      </c>
      <c r="BO739" s="23">
        <f t="shared" si="227"/>
        <v>1</v>
      </c>
      <c r="BP739" s="7">
        <f>VLOOKUP(A739,[1]Sheet15!B:E,4,0)</f>
        <v>11</v>
      </c>
      <c r="BQ739" s="7">
        <f>VLOOKUP(A739,[1]Sheet15!B:E,3,0)</f>
        <v>1</v>
      </c>
    </row>
    <row r="740" spans="1:69" ht="22.5" customHeight="1" x14ac:dyDescent="0.25">
      <c r="A740" s="15" t="s">
        <v>1757</v>
      </c>
      <c r="B740" s="15">
        <f>VLOOKUP(A740,'[1]Master clients'!F719:W4266,17,0)</f>
        <v>0</v>
      </c>
      <c r="C740" s="15" t="str">
        <f>VLOOKUP(A740,'[1]Master clients'!F719:P4266,11,0)</f>
        <v>NI</v>
      </c>
      <c r="D740" s="15" t="str">
        <f>VLOOKUP(A740,'[1]Master clients'!F:M,8,0)</f>
        <v>Group (Mills)</v>
      </c>
      <c r="E740" s="24" t="s">
        <v>1758</v>
      </c>
      <c r="F740" s="25" t="s">
        <v>1742</v>
      </c>
      <c r="G740" s="20">
        <v>2</v>
      </c>
      <c r="H740" s="20">
        <v>0</v>
      </c>
      <c r="I740" s="26">
        <v>7</v>
      </c>
      <c r="J740" s="26">
        <v>0</v>
      </c>
      <c r="K740" s="20">
        <v>0</v>
      </c>
      <c r="L740" s="20">
        <v>0</v>
      </c>
      <c r="M740" s="20">
        <v>0</v>
      </c>
      <c r="N740" s="20">
        <v>5</v>
      </c>
      <c r="O740" s="20">
        <v>0</v>
      </c>
      <c r="P740" s="20">
        <v>0</v>
      </c>
      <c r="Q740" s="20">
        <v>0</v>
      </c>
      <c r="R740" s="20">
        <v>0</v>
      </c>
      <c r="S740" s="20">
        <v>0</v>
      </c>
      <c r="T740" s="20">
        <v>5</v>
      </c>
      <c r="U740" s="20">
        <v>0</v>
      </c>
      <c r="V740" s="20">
        <v>0</v>
      </c>
      <c r="W740" s="20">
        <v>0</v>
      </c>
      <c r="X740" s="20">
        <v>0</v>
      </c>
      <c r="Y740" s="20">
        <v>0</v>
      </c>
      <c r="Z740" s="20">
        <v>0</v>
      </c>
      <c r="AA740" s="20">
        <v>0</v>
      </c>
      <c r="AB740" s="20">
        <v>0</v>
      </c>
      <c r="AC740" s="20">
        <v>0</v>
      </c>
      <c r="AD740" s="20">
        <v>0</v>
      </c>
      <c r="AE740" s="20">
        <v>0</v>
      </c>
      <c r="AF740" s="20">
        <v>0</v>
      </c>
      <c r="AG740" s="20">
        <v>5</v>
      </c>
      <c r="AH740" s="20">
        <v>0</v>
      </c>
      <c r="AI740" s="20">
        <v>0</v>
      </c>
      <c r="AJ740" s="20">
        <v>0</v>
      </c>
      <c r="AK740" s="20">
        <v>0</v>
      </c>
      <c r="AL740" s="20">
        <v>0</v>
      </c>
      <c r="AM740" s="20">
        <v>0</v>
      </c>
      <c r="AN740" s="20">
        <v>0</v>
      </c>
      <c r="AO740" s="20">
        <v>0</v>
      </c>
      <c r="AP740" s="20">
        <v>0</v>
      </c>
      <c r="AQ740" s="20">
        <v>0</v>
      </c>
      <c r="AR740" s="20">
        <v>0</v>
      </c>
      <c r="AS740" s="20">
        <v>0</v>
      </c>
      <c r="AT740" s="20">
        <v>0</v>
      </c>
      <c r="AU740" s="20">
        <v>0</v>
      </c>
      <c r="AV740" s="20">
        <v>0</v>
      </c>
      <c r="AW740" s="20">
        <v>0</v>
      </c>
      <c r="AX740" s="20">
        <v>0</v>
      </c>
      <c r="AY740" s="20">
        <v>0</v>
      </c>
      <c r="AZ740" s="20">
        <v>0</v>
      </c>
      <c r="BA740" s="20">
        <v>0</v>
      </c>
      <c r="BB740" s="27">
        <v>0</v>
      </c>
      <c r="BC740" s="20">
        <v>0</v>
      </c>
      <c r="BD740" s="20">
        <v>0</v>
      </c>
      <c r="BE740" s="21">
        <v>0</v>
      </c>
      <c r="BF740" s="21">
        <v>0</v>
      </c>
      <c r="BG740" s="20">
        <v>0</v>
      </c>
      <c r="BH740" s="20">
        <v>0</v>
      </c>
      <c r="BI740" s="22">
        <f t="shared" si="223"/>
        <v>10</v>
      </c>
      <c r="BJ740" s="22">
        <f t="shared" si="224"/>
        <v>5</v>
      </c>
      <c r="BK740" s="28">
        <f t="shared" si="225"/>
        <v>22</v>
      </c>
      <c r="BL740" s="22">
        <f t="shared" si="226"/>
        <v>17</v>
      </c>
      <c r="BM740" s="22">
        <f t="shared" si="222"/>
        <v>5</v>
      </c>
      <c r="BN740" s="23">
        <f t="shared" si="227"/>
        <v>0.41176470588235292</v>
      </c>
      <c r="BO740" s="23">
        <f t="shared" si="227"/>
        <v>0</v>
      </c>
      <c r="BP740" s="7" t="e">
        <f>VLOOKUP(A740,[1]Sheet15!B:E,4,0)</f>
        <v>#N/A</v>
      </c>
      <c r="BQ740" s="7" t="e">
        <f>VLOOKUP(A740,[1]Sheet15!B:E,3,0)</f>
        <v>#N/A</v>
      </c>
    </row>
    <row r="741" spans="1:69" ht="22.5" customHeight="1" x14ac:dyDescent="0.25">
      <c r="A741" s="15" t="s">
        <v>1759</v>
      </c>
      <c r="B741" s="15" t="e">
        <f>VLOOKUP(A741,'[1]Master clients'!F720:W4267,17,0)</f>
        <v>#N/A</v>
      </c>
      <c r="C741" s="15" t="e">
        <f>VLOOKUP(A741,'[1]Master clients'!F720:P4267,11,0)</f>
        <v>#N/A</v>
      </c>
      <c r="D741" s="15" t="str">
        <f>VLOOKUP(A741,'[1]Master clients'!F:M,8,0)</f>
        <v>Group (Mills)</v>
      </c>
      <c r="E741" s="24" t="s">
        <v>1760</v>
      </c>
      <c r="F741" s="25" t="s">
        <v>1761</v>
      </c>
      <c r="G741" s="20">
        <v>0</v>
      </c>
      <c r="H741" s="20">
        <v>0</v>
      </c>
      <c r="I741" s="26">
        <v>15</v>
      </c>
      <c r="J741" s="26">
        <v>0</v>
      </c>
      <c r="K741" s="20">
        <v>12</v>
      </c>
      <c r="L741" s="20">
        <v>0</v>
      </c>
      <c r="M741" s="20">
        <v>0</v>
      </c>
      <c r="N741" s="20">
        <v>0</v>
      </c>
      <c r="O741" s="20">
        <v>14</v>
      </c>
      <c r="P741" s="20">
        <v>0</v>
      </c>
      <c r="Q741" s="20">
        <v>0</v>
      </c>
      <c r="R741" s="20">
        <v>0</v>
      </c>
      <c r="S741" s="20">
        <v>0</v>
      </c>
      <c r="T741" s="20">
        <v>0</v>
      </c>
      <c r="U741" s="20">
        <v>0</v>
      </c>
      <c r="V741" s="20">
        <v>0</v>
      </c>
      <c r="W741" s="20">
        <v>0</v>
      </c>
      <c r="X741" s="20">
        <v>0</v>
      </c>
      <c r="Y741" s="20">
        <v>0</v>
      </c>
      <c r="Z741" s="20">
        <v>0</v>
      </c>
      <c r="AA741" s="20">
        <v>0</v>
      </c>
      <c r="AB741" s="20">
        <v>0</v>
      </c>
      <c r="AC741" s="20">
        <v>0</v>
      </c>
      <c r="AD741" s="20">
        <v>0</v>
      </c>
      <c r="AE741" s="20">
        <v>0</v>
      </c>
      <c r="AF741" s="20">
        <v>0</v>
      </c>
      <c r="AG741" s="20">
        <v>0</v>
      </c>
      <c r="AH741" s="20">
        <v>0</v>
      </c>
      <c r="AI741" s="20">
        <v>0</v>
      </c>
      <c r="AJ741" s="20">
        <v>0</v>
      </c>
      <c r="AK741" s="20">
        <v>0</v>
      </c>
      <c r="AL741" s="20">
        <v>0</v>
      </c>
      <c r="AM741" s="20">
        <v>0</v>
      </c>
      <c r="AN741" s="20">
        <v>0</v>
      </c>
      <c r="AO741" s="20">
        <v>0</v>
      </c>
      <c r="AP741" s="20">
        <v>0</v>
      </c>
      <c r="AQ741" s="20">
        <v>0</v>
      </c>
      <c r="AR741" s="20">
        <v>0</v>
      </c>
      <c r="AS741" s="20">
        <v>0</v>
      </c>
      <c r="AT741" s="20">
        <v>0</v>
      </c>
      <c r="AU741" s="19">
        <v>0</v>
      </c>
      <c r="AV741" s="20">
        <v>0</v>
      </c>
      <c r="AW741" s="20">
        <v>0</v>
      </c>
      <c r="AX741" s="20">
        <v>0</v>
      </c>
      <c r="AY741" s="20">
        <v>0</v>
      </c>
      <c r="AZ741" s="20">
        <v>0</v>
      </c>
      <c r="BA741" s="19">
        <v>0</v>
      </c>
      <c r="BB741" s="27">
        <v>0</v>
      </c>
      <c r="BC741" s="19">
        <v>0</v>
      </c>
      <c r="BD741" s="19">
        <v>0</v>
      </c>
      <c r="BE741" s="21">
        <v>0</v>
      </c>
      <c r="BF741" s="21">
        <v>0</v>
      </c>
      <c r="BG741" s="19">
        <v>0</v>
      </c>
      <c r="BH741" s="19">
        <v>0</v>
      </c>
      <c r="BI741" s="22">
        <f t="shared" si="223"/>
        <v>12</v>
      </c>
      <c r="BJ741" s="22">
        <f t="shared" si="224"/>
        <v>14</v>
      </c>
      <c r="BK741" s="28">
        <f t="shared" si="225"/>
        <v>41</v>
      </c>
      <c r="BL741" s="22">
        <f t="shared" si="226"/>
        <v>27</v>
      </c>
      <c r="BM741" s="22">
        <f t="shared" si="222"/>
        <v>14</v>
      </c>
      <c r="BN741" s="23">
        <f t="shared" si="227"/>
        <v>0.55555555555555558</v>
      </c>
      <c r="BO741" s="23">
        <f t="shared" si="227"/>
        <v>0</v>
      </c>
      <c r="BP741" s="7">
        <f>VLOOKUP(A741,[1]Sheet15!B:E,4,0)</f>
        <v>15</v>
      </c>
      <c r="BQ741" s="7">
        <f>VLOOKUP(A741,[1]Sheet15!B:E,3,0)</f>
        <v>0</v>
      </c>
    </row>
    <row r="742" spans="1:69" ht="22.5" customHeight="1" x14ac:dyDescent="0.25">
      <c r="A742" s="15" t="s">
        <v>1762</v>
      </c>
      <c r="B742" s="15" t="e">
        <f>VLOOKUP(A742,'[1]Master clients'!F721:W4268,17,0)</f>
        <v>#N/A</v>
      </c>
      <c r="C742" s="15" t="e">
        <f>VLOOKUP(A742,'[1]Master clients'!F721:P4268,11,0)</f>
        <v>#N/A</v>
      </c>
      <c r="D742" s="15" t="str">
        <f>VLOOKUP(A742,'[1]Master clients'!F:M,8,0)</f>
        <v>Group (Mills)</v>
      </c>
      <c r="E742" s="24" t="s">
        <v>1763</v>
      </c>
      <c r="F742" s="25" t="s">
        <v>1761</v>
      </c>
      <c r="G742" s="20">
        <v>0</v>
      </c>
      <c r="H742" s="20">
        <v>27</v>
      </c>
      <c r="I742" s="26">
        <v>26</v>
      </c>
      <c r="J742" s="20">
        <v>27</v>
      </c>
      <c r="K742" s="20">
        <v>15</v>
      </c>
      <c r="L742" s="20">
        <v>0</v>
      </c>
      <c r="M742" s="20">
        <v>0</v>
      </c>
      <c r="N742" s="20">
        <v>0</v>
      </c>
      <c r="O742" s="20">
        <v>8</v>
      </c>
      <c r="P742" s="20">
        <v>0</v>
      </c>
      <c r="Q742" s="20">
        <v>12</v>
      </c>
      <c r="R742" s="20">
        <v>0</v>
      </c>
      <c r="S742" s="20">
        <v>0</v>
      </c>
      <c r="T742" s="20">
        <v>0</v>
      </c>
      <c r="U742" s="20">
        <v>0</v>
      </c>
      <c r="V742" s="20">
        <v>0</v>
      </c>
      <c r="W742" s="20">
        <v>0</v>
      </c>
      <c r="X742" s="20">
        <v>0</v>
      </c>
      <c r="Y742" s="20">
        <v>0</v>
      </c>
      <c r="Z742" s="20">
        <v>0</v>
      </c>
      <c r="AA742" s="20">
        <v>0</v>
      </c>
      <c r="AB742" s="20">
        <v>0</v>
      </c>
      <c r="AC742" s="20">
        <v>0</v>
      </c>
      <c r="AD742" s="20">
        <v>0</v>
      </c>
      <c r="AE742" s="20">
        <v>0</v>
      </c>
      <c r="AF742" s="20">
        <v>0</v>
      </c>
      <c r="AG742" s="20">
        <v>0</v>
      </c>
      <c r="AH742" s="20">
        <v>0</v>
      </c>
      <c r="AI742" s="20">
        <v>0</v>
      </c>
      <c r="AJ742" s="20">
        <v>0</v>
      </c>
      <c r="AK742" s="20">
        <v>0</v>
      </c>
      <c r="AL742" s="20">
        <v>0</v>
      </c>
      <c r="AM742" s="20">
        <v>0</v>
      </c>
      <c r="AN742" s="20">
        <v>0</v>
      </c>
      <c r="AO742" s="20">
        <v>0</v>
      </c>
      <c r="AP742" s="20">
        <v>0</v>
      </c>
      <c r="AQ742" s="20">
        <v>0</v>
      </c>
      <c r="AR742" s="20">
        <v>0</v>
      </c>
      <c r="AS742" s="20">
        <v>0</v>
      </c>
      <c r="AT742" s="20">
        <v>0</v>
      </c>
      <c r="AU742" s="19">
        <v>0</v>
      </c>
      <c r="AV742" s="20">
        <v>0</v>
      </c>
      <c r="AW742" s="20">
        <v>0</v>
      </c>
      <c r="AX742" s="20">
        <v>0</v>
      </c>
      <c r="AY742" s="20">
        <v>0</v>
      </c>
      <c r="AZ742" s="20">
        <v>0</v>
      </c>
      <c r="BA742" s="19">
        <v>0</v>
      </c>
      <c r="BB742" s="27">
        <v>0</v>
      </c>
      <c r="BC742" s="19">
        <v>0</v>
      </c>
      <c r="BD742" s="19">
        <v>0</v>
      </c>
      <c r="BE742" s="21">
        <v>0</v>
      </c>
      <c r="BF742" s="21">
        <v>0</v>
      </c>
      <c r="BG742" s="19">
        <v>0</v>
      </c>
      <c r="BH742" s="19">
        <v>0</v>
      </c>
      <c r="BI742" s="22">
        <f t="shared" si="223"/>
        <v>15</v>
      </c>
      <c r="BJ742" s="22">
        <f t="shared" si="224"/>
        <v>20</v>
      </c>
      <c r="BK742" s="28">
        <f t="shared" si="225"/>
        <v>88</v>
      </c>
      <c r="BL742" s="22">
        <f t="shared" si="226"/>
        <v>41</v>
      </c>
      <c r="BM742" s="22">
        <f t="shared" si="222"/>
        <v>47</v>
      </c>
      <c r="BN742" s="23">
        <f t="shared" si="227"/>
        <v>0.63414634146341464</v>
      </c>
      <c r="BO742" s="23">
        <f t="shared" si="227"/>
        <v>0.57446808510638303</v>
      </c>
      <c r="BP742" s="7">
        <f>VLOOKUP(A742,[1]Sheet15!B:E,4,0)</f>
        <v>20</v>
      </c>
      <c r="BQ742" s="7">
        <f>VLOOKUP(A742,[1]Sheet15!B:E,3,0)</f>
        <v>0</v>
      </c>
    </row>
    <row r="743" spans="1:69" ht="22.5" customHeight="1" x14ac:dyDescent="0.25">
      <c r="A743" s="15" t="s">
        <v>1764</v>
      </c>
      <c r="B743" s="15" t="e">
        <f>VLOOKUP(A743,'[1]Master clients'!F722:W4269,17,0)</f>
        <v>#N/A</v>
      </c>
      <c r="C743" s="15" t="e">
        <f>VLOOKUP(A743,'[1]Master clients'!F722:P4269,11,0)</f>
        <v>#N/A</v>
      </c>
      <c r="D743" s="15" t="str">
        <f>VLOOKUP(A743,'[1]Master clients'!F:M,8,0)</f>
        <v>Group (Mills)</v>
      </c>
      <c r="E743" s="24" t="s">
        <v>1765</v>
      </c>
      <c r="F743" s="25" t="s">
        <v>1761</v>
      </c>
      <c r="G743" s="20">
        <v>17</v>
      </c>
      <c r="H743" s="20">
        <v>13</v>
      </c>
      <c r="I743" s="26">
        <v>13</v>
      </c>
      <c r="J743" s="26">
        <v>4</v>
      </c>
      <c r="K743" s="20">
        <v>0</v>
      </c>
      <c r="L743" s="20">
        <v>0</v>
      </c>
      <c r="M743" s="20">
        <v>0</v>
      </c>
      <c r="N743" s="20">
        <v>4</v>
      </c>
      <c r="O743" s="20">
        <v>5</v>
      </c>
      <c r="P743" s="20">
        <v>0</v>
      </c>
      <c r="Q743" s="20">
        <v>0</v>
      </c>
      <c r="R743" s="20">
        <v>0</v>
      </c>
      <c r="S743" s="20">
        <v>0</v>
      </c>
      <c r="T743" s="20">
        <v>0</v>
      </c>
      <c r="U743" s="20">
        <v>0</v>
      </c>
      <c r="V743" s="20">
        <v>0</v>
      </c>
      <c r="W743" s="20">
        <v>0</v>
      </c>
      <c r="X743" s="20">
        <v>0</v>
      </c>
      <c r="Y743" s="20">
        <v>0</v>
      </c>
      <c r="Z743" s="20">
        <v>0</v>
      </c>
      <c r="AA743" s="20">
        <v>0</v>
      </c>
      <c r="AB743" s="20">
        <v>0</v>
      </c>
      <c r="AC743" s="20">
        <v>0</v>
      </c>
      <c r="AD743" s="20">
        <v>0</v>
      </c>
      <c r="AE743" s="20">
        <v>0</v>
      </c>
      <c r="AF743" s="20">
        <v>0</v>
      </c>
      <c r="AG743" s="20">
        <v>0</v>
      </c>
      <c r="AH743" s="20">
        <v>0</v>
      </c>
      <c r="AI743" s="20">
        <v>0</v>
      </c>
      <c r="AJ743" s="20">
        <v>5</v>
      </c>
      <c r="AK743" s="20">
        <v>0</v>
      </c>
      <c r="AL743" s="20">
        <v>0</v>
      </c>
      <c r="AM743" s="20">
        <v>0</v>
      </c>
      <c r="AN743" s="20">
        <v>0</v>
      </c>
      <c r="AO743" s="20">
        <v>0</v>
      </c>
      <c r="AP743" s="20">
        <v>0</v>
      </c>
      <c r="AQ743" s="20">
        <v>0</v>
      </c>
      <c r="AR743" s="20">
        <v>0</v>
      </c>
      <c r="AS743" s="20">
        <v>0</v>
      </c>
      <c r="AT743" s="20">
        <v>0</v>
      </c>
      <c r="AU743" s="19">
        <v>0</v>
      </c>
      <c r="AV743" s="20">
        <v>0</v>
      </c>
      <c r="AW743" s="20">
        <v>0</v>
      </c>
      <c r="AX743" s="20">
        <v>0</v>
      </c>
      <c r="AY743" s="20">
        <v>0</v>
      </c>
      <c r="AZ743" s="20">
        <v>0</v>
      </c>
      <c r="BA743" s="19">
        <v>0</v>
      </c>
      <c r="BB743" s="27">
        <v>0</v>
      </c>
      <c r="BC743" s="19">
        <v>0</v>
      </c>
      <c r="BD743" s="19">
        <v>0</v>
      </c>
      <c r="BE743" s="21">
        <v>0</v>
      </c>
      <c r="BF743" s="21">
        <v>0</v>
      </c>
      <c r="BG743" s="19">
        <v>0</v>
      </c>
      <c r="BH743" s="19">
        <v>0</v>
      </c>
      <c r="BI743" s="22">
        <f t="shared" si="223"/>
        <v>5</v>
      </c>
      <c r="BJ743" s="22">
        <f t="shared" si="224"/>
        <v>9</v>
      </c>
      <c r="BK743" s="28">
        <f t="shared" si="225"/>
        <v>31</v>
      </c>
      <c r="BL743" s="22">
        <f t="shared" si="226"/>
        <v>18</v>
      </c>
      <c r="BM743" s="22">
        <f t="shared" ref="BM743:BM812" si="228">SUM(J743+N743+O743+Q743+S743+U743+X743+AA743+AD743+AF743+AM743+AP743+AQ743+AT743+AX743+AY743+BD743+BH743)</f>
        <v>13</v>
      </c>
      <c r="BN743" s="23">
        <f t="shared" si="227"/>
        <v>0.72222222222222221</v>
      </c>
      <c r="BO743" s="23">
        <f t="shared" si="227"/>
        <v>0.30769230769230771</v>
      </c>
      <c r="BP743" s="7">
        <f>VLOOKUP(A743,[1]Sheet15!B:E,4,0)</f>
        <v>13</v>
      </c>
      <c r="BQ743" s="7">
        <f>VLOOKUP(A743,[1]Sheet15!B:E,3,0)</f>
        <v>4</v>
      </c>
    </row>
    <row r="744" spans="1:69" ht="22.5" customHeight="1" x14ac:dyDescent="0.25">
      <c r="A744" s="15" t="s">
        <v>1766</v>
      </c>
      <c r="B744" s="15" t="e">
        <f>VLOOKUP(A744,'[1]Master clients'!F723:W4270,17,0)</f>
        <v>#N/A</v>
      </c>
      <c r="C744" s="15" t="e">
        <f>VLOOKUP(A744,'[1]Master clients'!F723:P4270,11,0)</f>
        <v>#N/A</v>
      </c>
      <c r="D744" s="15" t="str">
        <f>VLOOKUP(A744,'[1]Master clients'!F:M,8,0)</f>
        <v>End User</v>
      </c>
      <c r="E744" s="24" t="s">
        <v>1767</v>
      </c>
      <c r="F744" s="25" t="s">
        <v>1761</v>
      </c>
      <c r="G744" s="20">
        <v>0</v>
      </c>
      <c r="H744" s="20">
        <v>0</v>
      </c>
      <c r="I744" s="26">
        <v>8</v>
      </c>
      <c r="J744" s="26">
        <v>0</v>
      </c>
      <c r="K744" s="20">
        <v>0</v>
      </c>
      <c r="L744" s="20">
        <v>0</v>
      </c>
      <c r="M744" s="20">
        <v>0</v>
      </c>
      <c r="N744" s="20">
        <v>0</v>
      </c>
      <c r="O744" s="20">
        <v>0</v>
      </c>
      <c r="P744" s="20">
        <v>0</v>
      </c>
      <c r="Q744" s="20">
        <v>0</v>
      </c>
      <c r="R744" s="20">
        <v>0</v>
      </c>
      <c r="S744" s="20">
        <v>0</v>
      </c>
      <c r="T744" s="20">
        <v>0</v>
      </c>
      <c r="U744" s="20">
        <v>0</v>
      </c>
      <c r="V744" s="20">
        <v>0</v>
      </c>
      <c r="W744" s="20">
        <v>0</v>
      </c>
      <c r="X744" s="20">
        <v>0</v>
      </c>
      <c r="Y744" s="20">
        <v>0</v>
      </c>
      <c r="Z744" s="20">
        <v>0</v>
      </c>
      <c r="AA744" s="20">
        <v>0</v>
      </c>
      <c r="AB744" s="20">
        <v>0</v>
      </c>
      <c r="AC744" s="20">
        <v>0</v>
      </c>
      <c r="AD744" s="20">
        <v>0</v>
      </c>
      <c r="AE744" s="20">
        <v>0</v>
      </c>
      <c r="AF744" s="20">
        <v>0</v>
      </c>
      <c r="AG744" s="20">
        <v>0</v>
      </c>
      <c r="AH744" s="20">
        <v>0</v>
      </c>
      <c r="AI744" s="20">
        <v>0</v>
      </c>
      <c r="AJ744" s="20">
        <v>0</v>
      </c>
      <c r="AK744" s="20">
        <v>0</v>
      </c>
      <c r="AL744" s="20">
        <v>0</v>
      </c>
      <c r="AM744" s="20">
        <v>0</v>
      </c>
      <c r="AN744" s="20">
        <v>0</v>
      </c>
      <c r="AO744" s="20">
        <v>0</v>
      </c>
      <c r="AP744" s="20">
        <v>0</v>
      </c>
      <c r="AQ744" s="20">
        <v>0</v>
      </c>
      <c r="AR744" s="20">
        <v>0</v>
      </c>
      <c r="AS744" s="20">
        <v>0</v>
      </c>
      <c r="AT744" s="20">
        <v>0</v>
      </c>
      <c r="AU744" s="20">
        <v>0</v>
      </c>
      <c r="AV744" s="20">
        <v>0</v>
      </c>
      <c r="AW744" s="20">
        <v>0</v>
      </c>
      <c r="AX744" s="20">
        <v>0</v>
      </c>
      <c r="AY744" s="20">
        <v>0</v>
      </c>
      <c r="AZ744" s="20">
        <v>0</v>
      </c>
      <c r="BA744" s="20">
        <v>0</v>
      </c>
      <c r="BB744" s="27">
        <v>0</v>
      </c>
      <c r="BC744" s="20">
        <v>0</v>
      </c>
      <c r="BD744" s="20">
        <v>0</v>
      </c>
      <c r="BE744" s="21">
        <v>0</v>
      </c>
      <c r="BF744" s="21">
        <v>0</v>
      </c>
      <c r="BG744" s="20">
        <v>0</v>
      </c>
      <c r="BH744" s="20">
        <v>0</v>
      </c>
      <c r="BI744" s="22">
        <f t="shared" si="223"/>
        <v>0</v>
      </c>
      <c r="BJ744" s="22">
        <f t="shared" si="224"/>
        <v>0</v>
      </c>
      <c r="BK744" s="28">
        <f t="shared" si="225"/>
        <v>8</v>
      </c>
      <c r="BL744" s="22">
        <f t="shared" si="226"/>
        <v>8</v>
      </c>
      <c r="BM744" s="22">
        <f t="shared" si="228"/>
        <v>0</v>
      </c>
      <c r="BN744" s="23">
        <f t="shared" si="227"/>
        <v>1</v>
      </c>
      <c r="BO744" s="23" t="e">
        <f t="shared" si="227"/>
        <v>#DIV/0!</v>
      </c>
      <c r="BP744" s="7" t="e">
        <f>VLOOKUP(A744,[1]Sheet15!B:E,4,0)</f>
        <v>#N/A</v>
      </c>
      <c r="BQ744" s="7" t="e">
        <f>VLOOKUP(A744,[1]Sheet15!B:E,3,0)</f>
        <v>#N/A</v>
      </c>
    </row>
    <row r="745" spans="1:69" ht="22.5" customHeight="1" x14ac:dyDescent="0.25">
      <c r="A745" s="15" t="s">
        <v>1768</v>
      </c>
      <c r="B745" s="15">
        <f>VLOOKUP(A745,'[1]Master clients'!F724:W4271,17,0)</f>
        <v>0</v>
      </c>
      <c r="C745" s="15" t="str">
        <f>VLOOKUP(A745,'[1]Master clients'!F724:P4271,11,0)</f>
        <v>NI</v>
      </c>
      <c r="D745" s="15" t="str">
        <f>VLOOKUP(A745,'[1]Master clients'!F:M,8,0)</f>
        <v>End User</v>
      </c>
      <c r="E745" s="16" t="s">
        <v>1769</v>
      </c>
      <c r="F745" s="16" t="s">
        <v>1761</v>
      </c>
      <c r="G745" s="17"/>
      <c r="H745" s="17"/>
      <c r="I745" s="31">
        <v>0</v>
      </c>
      <c r="J745" s="31">
        <v>0</v>
      </c>
      <c r="K745" s="17">
        <v>0</v>
      </c>
      <c r="L745" s="17">
        <v>0</v>
      </c>
      <c r="M745" s="17">
        <v>0</v>
      </c>
      <c r="N745" s="17">
        <v>0</v>
      </c>
      <c r="O745" s="17">
        <v>0</v>
      </c>
      <c r="P745" s="17">
        <v>0</v>
      </c>
      <c r="Q745" s="17">
        <v>0</v>
      </c>
      <c r="R745" s="17">
        <v>0</v>
      </c>
      <c r="S745" s="17">
        <v>0</v>
      </c>
      <c r="T745" s="17">
        <v>0</v>
      </c>
      <c r="U745" s="17">
        <v>0</v>
      </c>
      <c r="V745" s="17">
        <v>0</v>
      </c>
      <c r="W745" s="17">
        <v>0</v>
      </c>
      <c r="X745" s="17">
        <v>0</v>
      </c>
      <c r="Y745" s="17">
        <v>0</v>
      </c>
      <c r="Z745" s="17">
        <v>0</v>
      </c>
      <c r="AA745" s="17">
        <v>0</v>
      </c>
      <c r="AB745" s="17">
        <v>0</v>
      </c>
      <c r="AC745" s="17">
        <v>0</v>
      </c>
      <c r="AD745" s="17">
        <v>0</v>
      </c>
      <c r="AE745" s="17">
        <v>0</v>
      </c>
      <c r="AF745" s="17">
        <v>0</v>
      </c>
      <c r="AG745" s="17">
        <v>0</v>
      </c>
      <c r="AH745" s="17">
        <v>0</v>
      </c>
      <c r="AI745" s="17">
        <v>0</v>
      </c>
      <c r="AJ745" s="17">
        <v>0</v>
      </c>
      <c r="AK745" s="17">
        <v>0</v>
      </c>
      <c r="AL745" s="17">
        <v>0</v>
      </c>
      <c r="AM745" s="17">
        <v>0</v>
      </c>
      <c r="AN745" s="17">
        <v>0</v>
      </c>
      <c r="AO745" s="17">
        <v>0</v>
      </c>
      <c r="AP745" s="17">
        <v>0</v>
      </c>
      <c r="AQ745" s="17">
        <v>0</v>
      </c>
      <c r="AR745" s="17">
        <v>0</v>
      </c>
      <c r="AS745" s="17">
        <v>0</v>
      </c>
      <c r="AT745" s="17">
        <v>0</v>
      </c>
      <c r="AU745" s="17">
        <v>0</v>
      </c>
      <c r="AV745" s="17">
        <v>0</v>
      </c>
      <c r="AW745" s="17">
        <v>0</v>
      </c>
      <c r="AX745" s="17">
        <v>0</v>
      </c>
      <c r="AY745" s="17">
        <v>0</v>
      </c>
      <c r="AZ745" s="17">
        <v>0</v>
      </c>
      <c r="BA745" s="17">
        <v>0</v>
      </c>
      <c r="BB745" s="17">
        <v>0</v>
      </c>
      <c r="BC745" s="17">
        <v>0</v>
      </c>
      <c r="BD745" s="17">
        <v>0</v>
      </c>
      <c r="BE745" s="17">
        <v>0</v>
      </c>
      <c r="BF745" s="17">
        <v>0</v>
      </c>
      <c r="BG745" s="17">
        <v>0</v>
      </c>
      <c r="BH745" s="17">
        <v>0</v>
      </c>
      <c r="BI745" s="22">
        <f t="shared" si="223"/>
        <v>0</v>
      </c>
      <c r="BJ745" s="22">
        <f t="shared" si="224"/>
        <v>0</v>
      </c>
      <c r="BK745" s="22">
        <f t="shared" si="225"/>
        <v>0</v>
      </c>
      <c r="BL745" s="22">
        <f t="shared" si="226"/>
        <v>0</v>
      </c>
      <c r="BM745" s="22">
        <f t="shared" si="228"/>
        <v>0</v>
      </c>
      <c r="BN745" s="23" t="e">
        <f t="shared" si="227"/>
        <v>#DIV/0!</v>
      </c>
      <c r="BO745" s="23" t="e">
        <f t="shared" si="227"/>
        <v>#DIV/0!</v>
      </c>
      <c r="BP745" s="7" t="e">
        <f>VLOOKUP(A745,[1]Sheet15!B:E,4,0)</f>
        <v>#N/A</v>
      </c>
      <c r="BQ745" s="7" t="e">
        <f>VLOOKUP(A745,[1]Sheet15!B:E,3,0)</f>
        <v>#N/A</v>
      </c>
    </row>
    <row r="746" spans="1:69" ht="22.5" customHeight="1" x14ac:dyDescent="0.25">
      <c r="A746" s="15" t="s">
        <v>1770</v>
      </c>
      <c r="B746" s="15">
        <f>VLOOKUP(A746,'[1]Master clients'!F725:W4272,17,0)</f>
        <v>0</v>
      </c>
      <c r="C746" s="15" t="str">
        <f>VLOOKUP(A746,'[1]Master clients'!F725:P4272,11,0)</f>
        <v>NI</v>
      </c>
      <c r="D746" s="15" t="str">
        <f>VLOOKUP(A746,'[1]Master clients'!F:M,8,0)</f>
        <v>Group (Mills)</v>
      </c>
      <c r="E746" s="24" t="s">
        <v>1771</v>
      </c>
      <c r="F746" s="25" t="s">
        <v>1761</v>
      </c>
      <c r="G746" s="20">
        <v>0</v>
      </c>
      <c r="H746" s="20">
        <v>0</v>
      </c>
      <c r="I746" s="26">
        <v>11</v>
      </c>
      <c r="J746" s="26">
        <v>2</v>
      </c>
      <c r="K746" s="20">
        <v>0</v>
      </c>
      <c r="L746" s="20">
        <v>0</v>
      </c>
      <c r="M746" s="20">
        <v>0</v>
      </c>
      <c r="N746" s="20">
        <v>8</v>
      </c>
      <c r="O746" s="20">
        <v>0</v>
      </c>
      <c r="P746" s="20">
        <v>0</v>
      </c>
      <c r="Q746" s="20">
        <v>0</v>
      </c>
      <c r="R746" s="20">
        <v>0</v>
      </c>
      <c r="S746" s="20">
        <v>0</v>
      </c>
      <c r="T746" s="20">
        <v>3</v>
      </c>
      <c r="U746" s="20">
        <v>0</v>
      </c>
      <c r="V746" s="20">
        <v>0</v>
      </c>
      <c r="W746" s="20">
        <v>0</v>
      </c>
      <c r="X746" s="20">
        <v>0</v>
      </c>
      <c r="Y746" s="20">
        <v>0</v>
      </c>
      <c r="Z746" s="20">
        <v>0</v>
      </c>
      <c r="AA746" s="20">
        <v>0</v>
      </c>
      <c r="AB746" s="20">
        <v>0</v>
      </c>
      <c r="AC746" s="20">
        <v>0</v>
      </c>
      <c r="AD746" s="20">
        <v>0</v>
      </c>
      <c r="AE746" s="20">
        <v>0</v>
      </c>
      <c r="AF746" s="20">
        <v>0</v>
      </c>
      <c r="AG746" s="20">
        <v>0</v>
      </c>
      <c r="AH746" s="20">
        <v>0</v>
      </c>
      <c r="AI746" s="20">
        <v>0</v>
      </c>
      <c r="AJ746" s="20">
        <v>0</v>
      </c>
      <c r="AK746" s="20">
        <v>0</v>
      </c>
      <c r="AL746" s="20">
        <v>0</v>
      </c>
      <c r="AM746" s="20">
        <v>0</v>
      </c>
      <c r="AN746" s="20">
        <v>0</v>
      </c>
      <c r="AO746" s="20">
        <v>0</v>
      </c>
      <c r="AP746" s="20">
        <v>0</v>
      </c>
      <c r="AQ746" s="20">
        <v>0</v>
      </c>
      <c r="AR746" s="20">
        <v>0</v>
      </c>
      <c r="AS746" s="20">
        <v>0</v>
      </c>
      <c r="AT746" s="20">
        <v>0</v>
      </c>
      <c r="AU746" s="20">
        <v>0</v>
      </c>
      <c r="AV746" s="20">
        <v>0</v>
      </c>
      <c r="AW746" s="20">
        <v>0</v>
      </c>
      <c r="AX746" s="20">
        <v>0</v>
      </c>
      <c r="AY746" s="20">
        <v>0</v>
      </c>
      <c r="AZ746" s="20">
        <v>0</v>
      </c>
      <c r="BA746" s="20">
        <v>0</v>
      </c>
      <c r="BB746" s="27">
        <v>0</v>
      </c>
      <c r="BC746" s="20">
        <v>0</v>
      </c>
      <c r="BD746" s="20">
        <v>0</v>
      </c>
      <c r="BE746" s="21">
        <v>0</v>
      </c>
      <c r="BF746" s="21">
        <v>0</v>
      </c>
      <c r="BG746" s="20">
        <v>0</v>
      </c>
      <c r="BH746" s="20">
        <v>0</v>
      </c>
      <c r="BI746" s="22">
        <f t="shared" si="223"/>
        <v>3</v>
      </c>
      <c r="BJ746" s="22">
        <f t="shared" si="224"/>
        <v>8</v>
      </c>
      <c r="BK746" s="28">
        <f t="shared" si="225"/>
        <v>24</v>
      </c>
      <c r="BL746" s="22">
        <f t="shared" si="226"/>
        <v>14</v>
      </c>
      <c r="BM746" s="22">
        <f t="shared" si="228"/>
        <v>10</v>
      </c>
      <c r="BN746" s="23">
        <f t="shared" si="227"/>
        <v>0.7857142857142857</v>
      </c>
      <c r="BO746" s="23">
        <f t="shared" si="227"/>
        <v>0.2</v>
      </c>
      <c r="BP746" s="7">
        <f>VLOOKUP(A746,[1]Sheet15!B:E,4,0)</f>
        <v>4</v>
      </c>
      <c r="BQ746" s="7">
        <f>VLOOKUP(A746,[1]Sheet15!B:E,3,0)</f>
        <v>1</v>
      </c>
    </row>
    <row r="747" spans="1:69" ht="22.5" customHeight="1" x14ac:dyDescent="0.25">
      <c r="A747" s="15" t="s">
        <v>1772</v>
      </c>
      <c r="B747" s="15">
        <f>VLOOKUP(A747,'[1]Master clients'!F726:W4273,17,0)</f>
        <v>0</v>
      </c>
      <c r="C747" s="15" t="str">
        <f>VLOOKUP(A747,'[1]Master clients'!F726:P4273,11,0)</f>
        <v>NI</v>
      </c>
      <c r="D747" s="15" t="str">
        <f>VLOOKUP(A747,'[1]Master clients'!F:M,8,0)</f>
        <v>Group (Mills)</v>
      </c>
      <c r="E747" s="16" t="s">
        <v>1773</v>
      </c>
      <c r="F747" s="16" t="s">
        <v>1761</v>
      </c>
      <c r="G747" s="17"/>
      <c r="H747" s="17">
        <v>2</v>
      </c>
      <c r="I747" s="26">
        <v>5</v>
      </c>
      <c r="J747" s="31">
        <v>2</v>
      </c>
      <c r="K747" s="17">
        <v>0</v>
      </c>
      <c r="L747" s="17">
        <v>0</v>
      </c>
      <c r="M747" s="17">
        <v>0</v>
      </c>
      <c r="N747" s="17">
        <v>0</v>
      </c>
      <c r="O747" s="17">
        <v>0</v>
      </c>
      <c r="P747" s="17">
        <v>0</v>
      </c>
      <c r="Q747" s="17">
        <v>0</v>
      </c>
      <c r="R747" s="17">
        <v>0</v>
      </c>
      <c r="S747" s="17">
        <v>0</v>
      </c>
      <c r="T747" s="17">
        <v>0</v>
      </c>
      <c r="U747" s="17">
        <v>0</v>
      </c>
      <c r="V747" s="17">
        <v>0</v>
      </c>
      <c r="W747" s="17">
        <v>0</v>
      </c>
      <c r="X747" s="17">
        <v>0</v>
      </c>
      <c r="Y747" s="17">
        <v>0</v>
      </c>
      <c r="Z747" s="17">
        <v>0</v>
      </c>
      <c r="AA747" s="17">
        <v>0</v>
      </c>
      <c r="AB747" s="17">
        <v>0</v>
      </c>
      <c r="AC747" s="17">
        <v>0</v>
      </c>
      <c r="AD747" s="17">
        <v>0</v>
      </c>
      <c r="AE747" s="17">
        <v>0</v>
      </c>
      <c r="AF747" s="17">
        <v>0</v>
      </c>
      <c r="AG747" s="17">
        <v>0</v>
      </c>
      <c r="AH747" s="17">
        <v>0</v>
      </c>
      <c r="AI747" s="17">
        <v>0</v>
      </c>
      <c r="AJ747" s="17">
        <v>0</v>
      </c>
      <c r="AK747" s="17">
        <v>0</v>
      </c>
      <c r="AL747" s="17">
        <v>0</v>
      </c>
      <c r="AM747" s="17">
        <v>0</v>
      </c>
      <c r="AN747" s="17">
        <v>0</v>
      </c>
      <c r="AO747" s="17">
        <v>0</v>
      </c>
      <c r="AP747" s="17">
        <v>0</v>
      </c>
      <c r="AQ747" s="17">
        <v>0</v>
      </c>
      <c r="AR747" s="17">
        <v>0</v>
      </c>
      <c r="AS747" s="17">
        <v>0</v>
      </c>
      <c r="AT747" s="17">
        <v>0</v>
      </c>
      <c r="AU747" s="17">
        <v>0</v>
      </c>
      <c r="AV747" s="17">
        <v>0</v>
      </c>
      <c r="AW747" s="17">
        <v>0</v>
      </c>
      <c r="AX747" s="17">
        <v>0</v>
      </c>
      <c r="AY747" s="17">
        <v>0</v>
      </c>
      <c r="AZ747" s="17">
        <v>0</v>
      </c>
      <c r="BA747" s="17">
        <v>0</v>
      </c>
      <c r="BB747" s="17">
        <v>0</v>
      </c>
      <c r="BC747" s="17">
        <v>0</v>
      </c>
      <c r="BD747" s="17">
        <v>0</v>
      </c>
      <c r="BE747" s="17">
        <v>0</v>
      </c>
      <c r="BF747" s="17">
        <v>0</v>
      </c>
      <c r="BG747" s="17">
        <v>0</v>
      </c>
      <c r="BH747" s="17">
        <v>0</v>
      </c>
      <c r="BI747" s="22">
        <f t="shared" si="223"/>
        <v>0</v>
      </c>
      <c r="BJ747" s="22">
        <f t="shared" si="224"/>
        <v>0</v>
      </c>
      <c r="BK747" s="28">
        <f t="shared" si="225"/>
        <v>7</v>
      </c>
      <c r="BL747" s="22">
        <f t="shared" si="226"/>
        <v>5</v>
      </c>
      <c r="BM747" s="22">
        <f t="shared" si="228"/>
        <v>2</v>
      </c>
      <c r="BN747" s="23">
        <f t="shared" si="227"/>
        <v>1</v>
      </c>
      <c r="BO747" s="23">
        <f t="shared" si="227"/>
        <v>1</v>
      </c>
      <c r="BP747" s="7">
        <f>VLOOKUP(A747,[1]Sheet15!B:E,4,0)</f>
        <v>5</v>
      </c>
      <c r="BQ747" s="7">
        <f>VLOOKUP(A747,[1]Sheet15!B:E,3,0)</f>
        <v>2</v>
      </c>
    </row>
    <row r="748" spans="1:69" ht="22.5" customHeight="1" x14ac:dyDescent="0.25">
      <c r="A748" s="15" t="s">
        <v>1774</v>
      </c>
      <c r="B748" s="15" t="e">
        <f>VLOOKUP(A748,'[1]Master clients'!F727:W4274,17,0)</f>
        <v>#N/A</v>
      </c>
      <c r="C748" s="15" t="e">
        <f>VLOOKUP(A748,'[1]Master clients'!F727:P4274,11,0)</f>
        <v>#N/A</v>
      </c>
      <c r="D748" s="15" t="str">
        <f>VLOOKUP(A748,'[1]Master clients'!F:M,8,0)</f>
        <v>End User</v>
      </c>
      <c r="E748" s="16" t="s">
        <v>1775</v>
      </c>
      <c r="F748" s="16" t="s">
        <v>79</v>
      </c>
      <c r="G748" s="17">
        <v>0</v>
      </c>
      <c r="H748" s="17">
        <v>0</v>
      </c>
      <c r="I748" s="26">
        <v>1</v>
      </c>
      <c r="J748" s="18">
        <v>0</v>
      </c>
      <c r="K748" s="17">
        <v>4</v>
      </c>
      <c r="L748" s="17">
        <v>0</v>
      </c>
      <c r="M748" s="17">
        <v>0</v>
      </c>
      <c r="N748" s="17">
        <v>0</v>
      </c>
      <c r="O748" s="19">
        <v>0</v>
      </c>
      <c r="P748" s="19">
        <v>0</v>
      </c>
      <c r="Q748" s="19">
        <v>0</v>
      </c>
      <c r="R748" s="19">
        <v>0</v>
      </c>
      <c r="S748" s="19">
        <v>0</v>
      </c>
      <c r="T748" s="19">
        <v>0</v>
      </c>
      <c r="U748" s="19">
        <v>0</v>
      </c>
      <c r="V748" s="19">
        <v>0</v>
      </c>
      <c r="W748" s="20">
        <v>0</v>
      </c>
      <c r="X748" s="20">
        <v>0</v>
      </c>
      <c r="Y748" s="19">
        <v>0</v>
      </c>
      <c r="Z748" s="19">
        <v>0</v>
      </c>
      <c r="AA748" s="19">
        <v>0</v>
      </c>
      <c r="AB748" s="19">
        <v>0</v>
      </c>
      <c r="AC748" s="19">
        <v>0</v>
      </c>
      <c r="AD748" s="19">
        <v>0</v>
      </c>
      <c r="AE748" s="19">
        <v>0</v>
      </c>
      <c r="AF748" s="19">
        <v>0</v>
      </c>
      <c r="AG748" s="19">
        <v>0</v>
      </c>
      <c r="AH748" s="19">
        <v>0</v>
      </c>
      <c r="AI748" s="20">
        <v>0</v>
      </c>
      <c r="AJ748" s="20">
        <v>0</v>
      </c>
      <c r="AK748" s="19">
        <v>0</v>
      </c>
      <c r="AL748" s="20">
        <v>0</v>
      </c>
      <c r="AM748" s="19">
        <v>0</v>
      </c>
      <c r="AN748" s="19">
        <v>0</v>
      </c>
      <c r="AO748" s="19">
        <v>0</v>
      </c>
      <c r="AP748" s="19">
        <v>0</v>
      </c>
      <c r="AQ748" s="19">
        <v>0</v>
      </c>
      <c r="AR748" s="19">
        <v>0</v>
      </c>
      <c r="AS748" s="19">
        <v>0</v>
      </c>
      <c r="AT748" s="19">
        <v>0</v>
      </c>
      <c r="AU748" s="19">
        <v>0</v>
      </c>
      <c r="AV748" s="19">
        <v>0</v>
      </c>
      <c r="AW748" s="20">
        <v>0</v>
      </c>
      <c r="AX748" s="20">
        <v>0</v>
      </c>
      <c r="AY748" s="20">
        <v>0</v>
      </c>
      <c r="AZ748" s="19">
        <v>0</v>
      </c>
      <c r="BA748" s="19">
        <v>0</v>
      </c>
      <c r="BB748" s="19">
        <v>0</v>
      </c>
      <c r="BC748" s="19">
        <v>0</v>
      </c>
      <c r="BD748" s="19">
        <v>0</v>
      </c>
      <c r="BE748" s="21">
        <v>0</v>
      </c>
      <c r="BF748" s="21">
        <v>0</v>
      </c>
      <c r="BG748" s="19">
        <v>0</v>
      </c>
      <c r="BH748" s="19">
        <v>0</v>
      </c>
      <c r="BI748" s="22">
        <f t="shared" si="223"/>
        <v>4</v>
      </c>
      <c r="BJ748" s="22">
        <f t="shared" si="224"/>
        <v>0</v>
      </c>
      <c r="BK748" s="28">
        <f t="shared" si="225"/>
        <v>5</v>
      </c>
      <c r="BL748" s="22">
        <f t="shared" si="226"/>
        <v>5</v>
      </c>
      <c r="BM748" s="22">
        <f t="shared" si="228"/>
        <v>0</v>
      </c>
      <c r="BN748" s="23">
        <f t="shared" si="227"/>
        <v>0.2</v>
      </c>
      <c r="BO748" s="23" t="e">
        <f t="shared" si="227"/>
        <v>#DIV/0!</v>
      </c>
      <c r="BP748" s="7">
        <f>VLOOKUP(A748,[1]Sheet15!B:E,4,0)</f>
        <v>1</v>
      </c>
      <c r="BQ748" s="7">
        <f>VLOOKUP(A748,[1]Sheet15!B:E,3,0)</f>
        <v>0</v>
      </c>
    </row>
    <row r="749" spans="1:69" ht="22.5" customHeight="1" x14ac:dyDescent="0.25">
      <c r="A749" s="15" t="s">
        <v>1776</v>
      </c>
      <c r="B749" s="15" t="e">
        <f>VLOOKUP(A749,'[1]Master clients'!F728:W4275,17,0)</f>
        <v>#N/A</v>
      </c>
      <c r="C749" s="15" t="e">
        <f>VLOOKUP(A749,'[1]Master clients'!F728:P4275,11,0)</f>
        <v>#N/A</v>
      </c>
      <c r="D749" s="15" t="str">
        <f>VLOOKUP(A749,'[1]Master clients'!F:M,8,0)</f>
        <v>Group (Mills)</v>
      </c>
      <c r="E749" s="24" t="s">
        <v>1777</v>
      </c>
      <c r="F749" s="25" t="s">
        <v>1778</v>
      </c>
      <c r="G749" s="20">
        <v>0</v>
      </c>
      <c r="H749" s="20">
        <v>0</v>
      </c>
      <c r="I749" s="26">
        <v>12</v>
      </c>
      <c r="J749" s="26">
        <v>3</v>
      </c>
      <c r="K749" s="20">
        <v>0</v>
      </c>
      <c r="L749" s="20">
        <v>0</v>
      </c>
      <c r="M749" s="20">
        <v>0</v>
      </c>
      <c r="N749" s="20">
        <v>6</v>
      </c>
      <c r="O749" s="20">
        <v>0</v>
      </c>
      <c r="P749" s="20">
        <v>0</v>
      </c>
      <c r="Q749" s="20">
        <v>0</v>
      </c>
      <c r="R749" s="20">
        <v>0</v>
      </c>
      <c r="S749" s="20">
        <v>0</v>
      </c>
      <c r="T749" s="20">
        <v>0</v>
      </c>
      <c r="U749" s="20">
        <v>0</v>
      </c>
      <c r="V749" s="20">
        <v>0</v>
      </c>
      <c r="W749" s="20">
        <v>0</v>
      </c>
      <c r="X749" s="20">
        <v>0</v>
      </c>
      <c r="Y749" s="20">
        <v>0</v>
      </c>
      <c r="Z749" s="20">
        <v>0</v>
      </c>
      <c r="AA749" s="20">
        <v>0</v>
      </c>
      <c r="AB749" s="20">
        <v>0</v>
      </c>
      <c r="AC749" s="20">
        <v>0</v>
      </c>
      <c r="AD749" s="20">
        <v>0</v>
      </c>
      <c r="AE749" s="20">
        <v>0</v>
      </c>
      <c r="AF749" s="20">
        <v>0</v>
      </c>
      <c r="AG749" s="20">
        <v>0</v>
      </c>
      <c r="AH749" s="20">
        <v>0</v>
      </c>
      <c r="AI749" s="20">
        <v>0</v>
      </c>
      <c r="AJ749" s="20">
        <v>0</v>
      </c>
      <c r="AK749" s="20">
        <v>0</v>
      </c>
      <c r="AL749" s="20">
        <v>0</v>
      </c>
      <c r="AM749" s="20">
        <v>0</v>
      </c>
      <c r="AN749" s="20">
        <v>0</v>
      </c>
      <c r="AO749" s="20">
        <v>0</v>
      </c>
      <c r="AP749" s="20">
        <v>0</v>
      </c>
      <c r="AQ749" s="20">
        <v>0</v>
      </c>
      <c r="AR749" s="20">
        <v>0</v>
      </c>
      <c r="AS749" s="20">
        <v>0</v>
      </c>
      <c r="AT749" s="20">
        <v>0</v>
      </c>
      <c r="AU749" s="20">
        <v>0</v>
      </c>
      <c r="AV749" s="20">
        <v>0</v>
      </c>
      <c r="AW749" s="20">
        <v>0</v>
      </c>
      <c r="AX749" s="20">
        <v>0</v>
      </c>
      <c r="AY749" s="20">
        <v>0</v>
      </c>
      <c r="AZ749" s="20">
        <v>0</v>
      </c>
      <c r="BA749" s="20">
        <v>0</v>
      </c>
      <c r="BB749" s="27">
        <v>0</v>
      </c>
      <c r="BC749" s="20">
        <v>0</v>
      </c>
      <c r="BD749" s="20">
        <v>0</v>
      </c>
      <c r="BE749" s="21">
        <v>0</v>
      </c>
      <c r="BF749" s="21">
        <v>0</v>
      </c>
      <c r="BG749" s="20">
        <v>0</v>
      </c>
      <c r="BH749" s="20">
        <v>0</v>
      </c>
      <c r="BI749" s="22">
        <f t="shared" si="223"/>
        <v>0</v>
      </c>
      <c r="BJ749" s="22">
        <f t="shared" si="224"/>
        <v>6</v>
      </c>
      <c r="BK749" s="28">
        <f t="shared" si="225"/>
        <v>21</v>
      </c>
      <c r="BL749" s="22">
        <f t="shared" si="226"/>
        <v>12</v>
      </c>
      <c r="BM749" s="22">
        <f t="shared" si="228"/>
        <v>9</v>
      </c>
      <c r="BN749" s="23">
        <f t="shared" si="227"/>
        <v>1</v>
      </c>
      <c r="BO749" s="23">
        <f t="shared" si="227"/>
        <v>0.33333333333333331</v>
      </c>
      <c r="BP749" s="7">
        <f>VLOOKUP(A749,[1]Sheet15!B:E,4,0)</f>
        <v>11</v>
      </c>
      <c r="BQ749" s="7">
        <f>VLOOKUP(A749,[1]Sheet15!B:E,3,0)</f>
        <v>3</v>
      </c>
    </row>
    <row r="750" spans="1:69" ht="22.5" customHeight="1" x14ac:dyDescent="0.25">
      <c r="A750" s="15" t="s">
        <v>1779</v>
      </c>
      <c r="B750" s="15" t="e">
        <f>VLOOKUP(A750,'[1]Master clients'!F729:W4276,17,0)</f>
        <v>#N/A</v>
      </c>
      <c r="C750" s="15" t="e">
        <f>VLOOKUP(A750,'[1]Master clients'!F729:P4276,11,0)</f>
        <v>#N/A</v>
      </c>
      <c r="D750" s="15" t="str">
        <f>VLOOKUP(A750,'[1]Master clients'!F:M,8,0)</f>
        <v>Group (Mills)</v>
      </c>
      <c r="E750" s="16" t="s">
        <v>1780</v>
      </c>
      <c r="F750" s="16" t="s">
        <v>1145</v>
      </c>
      <c r="G750" s="17">
        <v>9</v>
      </c>
      <c r="H750" s="17">
        <v>0</v>
      </c>
      <c r="I750" s="18">
        <v>31</v>
      </c>
      <c r="J750" s="18">
        <v>0</v>
      </c>
      <c r="K750" s="17">
        <v>0</v>
      </c>
      <c r="L750" s="17">
        <v>0</v>
      </c>
      <c r="M750" s="17">
        <v>0</v>
      </c>
      <c r="N750" s="17">
        <v>0</v>
      </c>
      <c r="O750" s="19">
        <v>0</v>
      </c>
      <c r="P750" s="19">
        <v>0</v>
      </c>
      <c r="Q750" s="19">
        <v>0</v>
      </c>
      <c r="R750" s="19">
        <v>1</v>
      </c>
      <c r="S750" s="19">
        <v>0</v>
      </c>
      <c r="T750" s="19">
        <v>0</v>
      </c>
      <c r="U750" s="19">
        <v>0</v>
      </c>
      <c r="V750" s="19">
        <v>0</v>
      </c>
      <c r="W750" s="20">
        <v>0</v>
      </c>
      <c r="X750" s="20">
        <v>0</v>
      </c>
      <c r="Y750" s="19">
        <v>0</v>
      </c>
      <c r="Z750" s="19">
        <v>0</v>
      </c>
      <c r="AA750" s="19">
        <v>4</v>
      </c>
      <c r="AB750" s="19">
        <v>0</v>
      </c>
      <c r="AC750" s="19">
        <v>0</v>
      </c>
      <c r="AD750" s="19">
        <v>0</v>
      </c>
      <c r="AE750" s="19">
        <v>0</v>
      </c>
      <c r="AF750" s="19">
        <v>0</v>
      </c>
      <c r="AG750" s="19">
        <v>0</v>
      </c>
      <c r="AH750" s="19">
        <v>0</v>
      </c>
      <c r="AI750" s="20">
        <v>0</v>
      </c>
      <c r="AJ750" s="20">
        <v>0</v>
      </c>
      <c r="AK750" s="19">
        <v>0</v>
      </c>
      <c r="AL750" s="20">
        <v>0</v>
      </c>
      <c r="AM750" s="19">
        <v>0</v>
      </c>
      <c r="AN750" s="19">
        <v>0</v>
      </c>
      <c r="AO750" s="19">
        <v>2</v>
      </c>
      <c r="AP750" s="19">
        <v>0</v>
      </c>
      <c r="AQ750" s="19">
        <v>0</v>
      </c>
      <c r="AR750" s="19">
        <v>0</v>
      </c>
      <c r="AS750" s="19">
        <v>0</v>
      </c>
      <c r="AT750" s="19">
        <v>0</v>
      </c>
      <c r="AU750" s="19">
        <v>0</v>
      </c>
      <c r="AV750" s="19">
        <v>0</v>
      </c>
      <c r="AW750" s="20">
        <v>0</v>
      </c>
      <c r="AX750" s="20">
        <v>0</v>
      </c>
      <c r="AY750" s="20">
        <v>0</v>
      </c>
      <c r="AZ750" s="19">
        <v>0</v>
      </c>
      <c r="BA750" s="19">
        <v>0</v>
      </c>
      <c r="BB750" s="19">
        <v>0</v>
      </c>
      <c r="BC750" s="19">
        <v>0</v>
      </c>
      <c r="BD750" s="19">
        <v>0</v>
      </c>
      <c r="BE750" s="21">
        <v>0</v>
      </c>
      <c r="BF750" s="21">
        <v>0</v>
      </c>
      <c r="BG750" s="19">
        <v>0</v>
      </c>
      <c r="BH750" s="19">
        <v>0</v>
      </c>
      <c r="BI750" s="22">
        <f t="shared" si="223"/>
        <v>3</v>
      </c>
      <c r="BJ750" s="22">
        <f t="shared" si="224"/>
        <v>4</v>
      </c>
      <c r="BK750" s="22">
        <f t="shared" si="225"/>
        <v>38</v>
      </c>
      <c r="BL750" s="22">
        <f t="shared" si="226"/>
        <v>34</v>
      </c>
      <c r="BM750" s="22">
        <f t="shared" si="228"/>
        <v>4</v>
      </c>
      <c r="BN750" s="23">
        <f t="shared" si="227"/>
        <v>0.91176470588235292</v>
      </c>
      <c r="BO750" s="23">
        <f t="shared" si="227"/>
        <v>0</v>
      </c>
      <c r="BP750" s="7">
        <f>VLOOKUP(A750,[1]Sheet15!B:E,4,0)</f>
        <v>9</v>
      </c>
      <c r="BQ750" s="7">
        <f>VLOOKUP(A750,[1]Sheet15!B:E,3,0)</f>
        <v>0</v>
      </c>
    </row>
    <row r="751" spans="1:69" ht="22.5" customHeight="1" x14ac:dyDescent="0.25">
      <c r="A751" s="15" t="s">
        <v>1781</v>
      </c>
      <c r="B751" s="15" t="e">
        <f>VLOOKUP(A751,'[1]Master clients'!F730:W4277,17,0)</f>
        <v>#N/A</v>
      </c>
      <c r="C751" s="15" t="e">
        <f>VLOOKUP(A751,'[1]Master clients'!F730:P4277,11,0)</f>
        <v>#N/A</v>
      </c>
      <c r="D751" s="15" t="str">
        <f>VLOOKUP(A751,'[1]Master clients'!F:M,8,0)</f>
        <v>End User</v>
      </c>
      <c r="E751" s="16" t="s">
        <v>1782</v>
      </c>
      <c r="F751" s="16" t="s">
        <v>1783</v>
      </c>
      <c r="G751" s="17">
        <v>5</v>
      </c>
      <c r="H751" s="17">
        <v>0</v>
      </c>
      <c r="I751" s="18">
        <v>4</v>
      </c>
      <c r="J751" s="18">
        <v>0</v>
      </c>
      <c r="K751" s="17">
        <v>0</v>
      </c>
      <c r="L751" s="17">
        <v>0</v>
      </c>
      <c r="M751" s="17">
        <v>0</v>
      </c>
      <c r="N751" s="17">
        <v>0</v>
      </c>
      <c r="O751" s="19">
        <v>0</v>
      </c>
      <c r="P751" s="19">
        <v>0</v>
      </c>
      <c r="Q751" s="19">
        <v>5</v>
      </c>
      <c r="R751" s="19">
        <v>12</v>
      </c>
      <c r="S751" s="19">
        <v>0</v>
      </c>
      <c r="T751" s="19">
        <v>0</v>
      </c>
      <c r="U751" s="19">
        <v>0</v>
      </c>
      <c r="V751" s="19">
        <v>0</v>
      </c>
      <c r="W751" s="20">
        <v>0</v>
      </c>
      <c r="X751" s="20">
        <v>0</v>
      </c>
      <c r="Y751" s="19">
        <v>0</v>
      </c>
      <c r="Z751" s="19">
        <v>0</v>
      </c>
      <c r="AA751" s="19">
        <v>0</v>
      </c>
      <c r="AB751" s="19">
        <v>0</v>
      </c>
      <c r="AC751" s="19">
        <v>0</v>
      </c>
      <c r="AD751" s="19">
        <v>0</v>
      </c>
      <c r="AE751" s="19">
        <v>0</v>
      </c>
      <c r="AF751" s="19">
        <v>0</v>
      </c>
      <c r="AG751" s="19">
        <v>0</v>
      </c>
      <c r="AH751" s="19">
        <v>0</v>
      </c>
      <c r="AI751" s="20">
        <v>0</v>
      </c>
      <c r="AJ751" s="20">
        <v>0</v>
      </c>
      <c r="AK751" s="19">
        <v>0</v>
      </c>
      <c r="AL751" s="20">
        <v>0</v>
      </c>
      <c r="AM751" s="19">
        <v>0</v>
      </c>
      <c r="AN751" s="19">
        <v>0</v>
      </c>
      <c r="AO751" s="19">
        <v>0</v>
      </c>
      <c r="AP751" s="19">
        <v>0</v>
      </c>
      <c r="AQ751" s="19">
        <v>0</v>
      </c>
      <c r="AR751" s="19">
        <v>0</v>
      </c>
      <c r="AS751" s="19">
        <v>0</v>
      </c>
      <c r="AT751" s="19">
        <v>0</v>
      </c>
      <c r="AU751" s="19">
        <v>0</v>
      </c>
      <c r="AV751" s="19">
        <v>0</v>
      </c>
      <c r="AW751" s="20">
        <v>0</v>
      </c>
      <c r="AX751" s="20">
        <v>0</v>
      </c>
      <c r="AY751" s="20">
        <v>0</v>
      </c>
      <c r="AZ751" s="19">
        <v>0</v>
      </c>
      <c r="BA751" s="19">
        <v>0</v>
      </c>
      <c r="BB751" s="19">
        <v>0</v>
      </c>
      <c r="BC751" s="19">
        <v>0</v>
      </c>
      <c r="BD751" s="19">
        <v>0</v>
      </c>
      <c r="BE751" s="21">
        <v>0</v>
      </c>
      <c r="BF751" s="21">
        <v>0</v>
      </c>
      <c r="BG751" s="19">
        <v>0</v>
      </c>
      <c r="BH751" s="19">
        <v>0</v>
      </c>
      <c r="BI751" s="22">
        <f t="shared" si="223"/>
        <v>12</v>
      </c>
      <c r="BJ751" s="22">
        <f t="shared" si="224"/>
        <v>5</v>
      </c>
      <c r="BK751" s="22">
        <f t="shared" si="225"/>
        <v>21</v>
      </c>
      <c r="BL751" s="22">
        <f t="shared" si="226"/>
        <v>16</v>
      </c>
      <c r="BM751" s="22">
        <f t="shared" si="228"/>
        <v>5</v>
      </c>
      <c r="BN751" s="23">
        <f t="shared" si="227"/>
        <v>0.25</v>
      </c>
      <c r="BO751" s="23">
        <f t="shared" si="227"/>
        <v>0</v>
      </c>
      <c r="BP751" s="7">
        <f>VLOOKUP(A751,[1]Sheet15!B:E,4,0)</f>
        <v>8</v>
      </c>
      <c r="BQ751" s="7">
        <f>VLOOKUP(A751,[1]Sheet15!B:E,3,0)</f>
        <v>0</v>
      </c>
    </row>
    <row r="752" spans="1:69" ht="22.5" customHeight="1" x14ac:dyDescent="0.25">
      <c r="A752" s="15" t="s">
        <v>1784</v>
      </c>
      <c r="B752" s="15" t="e">
        <f>VLOOKUP(A752,'[1]Master clients'!F731:W4278,17,0)</f>
        <v>#N/A</v>
      </c>
      <c r="C752" s="15" t="e">
        <f>VLOOKUP(A752,'[1]Master clients'!F731:P4278,11,0)</f>
        <v>#N/A</v>
      </c>
      <c r="D752" s="15" t="str">
        <f>VLOOKUP(A752,'[1]Master clients'!F:M,8,0)</f>
        <v>End User</v>
      </c>
      <c r="E752" s="16" t="s">
        <v>1785</v>
      </c>
      <c r="F752" s="16" t="s">
        <v>1786</v>
      </c>
      <c r="G752" s="17">
        <v>11</v>
      </c>
      <c r="H752" s="17">
        <v>0</v>
      </c>
      <c r="I752" s="18">
        <v>5</v>
      </c>
      <c r="J752" s="18">
        <v>0</v>
      </c>
      <c r="K752" s="17">
        <v>0</v>
      </c>
      <c r="L752" s="17">
        <v>0</v>
      </c>
      <c r="M752" s="17">
        <v>0</v>
      </c>
      <c r="N752" s="17">
        <v>0</v>
      </c>
      <c r="O752" s="19">
        <v>0</v>
      </c>
      <c r="P752" s="19">
        <v>0</v>
      </c>
      <c r="Q752" s="19">
        <v>4</v>
      </c>
      <c r="R752" s="19">
        <v>0</v>
      </c>
      <c r="S752" s="19">
        <v>0</v>
      </c>
      <c r="T752" s="19">
        <v>0</v>
      </c>
      <c r="U752" s="19">
        <v>0</v>
      </c>
      <c r="V752" s="19">
        <v>0</v>
      </c>
      <c r="W752" s="20">
        <v>0</v>
      </c>
      <c r="X752" s="20">
        <v>0</v>
      </c>
      <c r="Y752" s="19">
        <v>0</v>
      </c>
      <c r="Z752" s="19">
        <v>0</v>
      </c>
      <c r="AA752" s="19">
        <v>0</v>
      </c>
      <c r="AB752" s="19">
        <v>0</v>
      </c>
      <c r="AC752" s="19">
        <v>0</v>
      </c>
      <c r="AD752" s="19">
        <v>0</v>
      </c>
      <c r="AE752" s="19">
        <v>0</v>
      </c>
      <c r="AF752" s="19">
        <v>0</v>
      </c>
      <c r="AG752" s="19">
        <v>0</v>
      </c>
      <c r="AH752" s="19">
        <v>0</v>
      </c>
      <c r="AI752" s="20">
        <v>0</v>
      </c>
      <c r="AJ752" s="20">
        <v>0</v>
      </c>
      <c r="AK752" s="19">
        <v>0</v>
      </c>
      <c r="AL752" s="20">
        <v>0</v>
      </c>
      <c r="AM752" s="19">
        <v>0</v>
      </c>
      <c r="AN752" s="19">
        <v>0</v>
      </c>
      <c r="AO752" s="19">
        <v>0</v>
      </c>
      <c r="AP752" s="19">
        <v>0</v>
      </c>
      <c r="AQ752" s="19">
        <v>0</v>
      </c>
      <c r="AR752" s="19">
        <v>0</v>
      </c>
      <c r="AS752" s="19">
        <v>0</v>
      </c>
      <c r="AT752" s="19">
        <v>0</v>
      </c>
      <c r="AU752" s="19">
        <v>0</v>
      </c>
      <c r="AV752" s="19">
        <v>0</v>
      </c>
      <c r="AW752" s="20">
        <v>0</v>
      </c>
      <c r="AX752" s="20">
        <v>0</v>
      </c>
      <c r="AY752" s="20">
        <v>0</v>
      </c>
      <c r="AZ752" s="19">
        <v>0</v>
      </c>
      <c r="BA752" s="19">
        <v>0</v>
      </c>
      <c r="BB752" s="19">
        <v>0</v>
      </c>
      <c r="BC752" s="19">
        <v>0</v>
      </c>
      <c r="BD752" s="19">
        <v>0</v>
      </c>
      <c r="BE752" s="21">
        <v>0</v>
      </c>
      <c r="BF752" s="21">
        <v>0</v>
      </c>
      <c r="BG752" s="19">
        <v>0</v>
      </c>
      <c r="BH752" s="19">
        <v>0</v>
      </c>
      <c r="BI752" s="22">
        <f t="shared" si="223"/>
        <v>0</v>
      </c>
      <c r="BJ752" s="22">
        <f t="shared" si="224"/>
        <v>4</v>
      </c>
      <c r="BK752" s="22">
        <f t="shared" si="225"/>
        <v>9</v>
      </c>
      <c r="BL752" s="22">
        <f t="shared" si="226"/>
        <v>5</v>
      </c>
      <c r="BM752" s="22">
        <f t="shared" si="228"/>
        <v>4</v>
      </c>
      <c r="BN752" s="23">
        <f t="shared" ref="BN752:BO767" si="229">I752/BL752</f>
        <v>1</v>
      </c>
      <c r="BO752" s="23">
        <f t="shared" si="229"/>
        <v>0</v>
      </c>
      <c r="BP752" s="7">
        <f>VLOOKUP(A752,[1]Sheet15!B:E,4,0)</f>
        <v>16</v>
      </c>
      <c r="BQ752" s="7">
        <f>VLOOKUP(A752,[1]Sheet15!B:E,3,0)</f>
        <v>0</v>
      </c>
    </row>
    <row r="753" spans="1:69" ht="22.5" customHeight="1" x14ac:dyDescent="0.25">
      <c r="A753" s="15" t="s">
        <v>1787</v>
      </c>
      <c r="B753" s="15">
        <f>VLOOKUP(A753,'[1]Master clients'!F732:W4279,17,0)</f>
        <v>0</v>
      </c>
      <c r="C753" s="15" t="str">
        <f>VLOOKUP(A753,'[1]Master clients'!F732:P4279,11,0)</f>
        <v>-</v>
      </c>
      <c r="D753" s="15" t="str">
        <f>VLOOKUP(A753,'[1]Master clients'!F:M,8,0)</f>
        <v>End User</v>
      </c>
      <c r="E753" s="16" t="s">
        <v>1788</v>
      </c>
      <c r="F753" s="16" t="s">
        <v>1145</v>
      </c>
      <c r="G753" s="17">
        <v>8</v>
      </c>
      <c r="H753" s="17">
        <v>0</v>
      </c>
      <c r="I753" s="18">
        <v>7</v>
      </c>
      <c r="J753" s="18">
        <v>0</v>
      </c>
      <c r="K753" s="17">
        <v>0</v>
      </c>
      <c r="L753" s="17">
        <v>0</v>
      </c>
      <c r="M753" s="17">
        <v>0</v>
      </c>
      <c r="N753" s="17">
        <v>0</v>
      </c>
      <c r="O753" s="19">
        <v>0</v>
      </c>
      <c r="P753" s="19">
        <v>0</v>
      </c>
      <c r="Q753" s="19">
        <v>0</v>
      </c>
      <c r="R753" s="19">
        <v>0</v>
      </c>
      <c r="S753" s="19">
        <v>0</v>
      </c>
      <c r="T753" s="19">
        <v>0</v>
      </c>
      <c r="U753" s="19">
        <v>0</v>
      </c>
      <c r="V753" s="19">
        <v>0</v>
      </c>
      <c r="W753" s="20">
        <v>0</v>
      </c>
      <c r="X753" s="20">
        <v>0</v>
      </c>
      <c r="Y753" s="19">
        <v>0</v>
      </c>
      <c r="Z753" s="19">
        <v>0</v>
      </c>
      <c r="AA753" s="19">
        <v>0</v>
      </c>
      <c r="AB753" s="19">
        <v>0</v>
      </c>
      <c r="AC753" s="19">
        <v>0</v>
      </c>
      <c r="AD753" s="19">
        <v>6</v>
      </c>
      <c r="AE753" s="19">
        <v>0</v>
      </c>
      <c r="AF753" s="19">
        <v>0</v>
      </c>
      <c r="AG753" s="19">
        <v>0</v>
      </c>
      <c r="AH753" s="19">
        <v>0</v>
      </c>
      <c r="AI753" s="20">
        <v>0</v>
      </c>
      <c r="AJ753" s="20">
        <v>0</v>
      </c>
      <c r="AK753" s="19">
        <v>0</v>
      </c>
      <c r="AL753" s="20">
        <v>0</v>
      </c>
      <c r="AM753" s="19">
        <v>0</v>
      </c>
      <c r="AN753" s="19">
        <v>0</v>
      </c>
      <c r="AO753" s="19">
        <v>0</v>
      </c>
      <c r="AP753" s="19">
        <v>0</v>
      </c>
      <c r="AQ753" s="19">
        <v>0</v>
      </c>
      <c r="AR753" s="19">
        <v>0</v>
      </c>
      <c r="AS753" s="19">
        <v>0</v>
      </c>
      <c r="AT753" s="19">
        <v>0</v>
      </c>
      <c r="AU753" s="19">
        <v>0</v>
      </c>
      <c r="AV753" s="19">
        <v>0</v>
      </c>
      <c r="AW753" s="20">
        <v>0</v>
      </c>
      <c r="AX753" s="20">
        <v>0</v>
      </c>
      <c r="AY753" s="20">
        <v>0</v>
      </c>
      <c r="AZ753" s="19">
        <v>0</v>
      </c>
      <c r="BA753" s="19">
        <v>0</v>
      </c>
      <c r="BB753" s="19">
        <v>0</v>
      </c>
      <c r="BC753" s="19">
        <v>0</v>
      </c>
      <c r="BD753" s="19">
        <v>0</v>
      </c>
      <c r="BE753" s="21">
        <v>0</v>
      </c>
      <c r="BF753" s="21">
        <v>0</v>
      </c>
      <c r="BG753" s="19">
        <v>0</v>
      </c>
      <c r="BH753" s="19">
        <v>0</v>
      </c>
      <c r="BI753" s="22">
        <f t="shared" si="223"/>
        <v>0</v>
      </c>
      <c r="BJ753" s="22">
        <f t="shared" si="224"/>
        <v>6</v>
      </c>
      <c r="BK753" s="22">
        <f t="shared" si="225"/>
        <v>13</v>
      </c>
      <c r="BL753" s="22">
        <f t="shared" si="226"/>
        <v>7</v>
      </c>
      <c r="BM753" s="22">
        <f t="shared" si="228"/>
        <v>6</v>
      </c>
      <c r="BN753" s="23">
        <f t="shared" si="229"/>
        <v>1</v>
      </c>
      <c r="BO753" s="23">
        <f t="shared" si="229"/>
        <v>0</v>
      </c>
      <c r="BP753" s="7" t="e">
        <f>VLOOKUP(A753,[1]Sheet15!B:E,4,0)</f>
        <v>#N/A</v>
      </c>
      <c r="BQ753" s="7" t="e">
        <f>VLOOKUP(A753,[1]Sheet15!B:E,3,0)</f>
        <v>#N/A</v>
      </c>
    </row>
    <row r="754" spans="1:69" ht="22.5" customHeight="1" x14ac:dyDescent="0.25">
      <c r="A754" s="15" t="s">
        <v>1789</v>
      </c>
      <c r="B754" s="15" t="e">
        <f>VLOOKUP(A754,'[1]Master clients'!F733:W4280,17,0)</f>
        <v>#N/A</v>
      </c>
      <c r="C754" s="15" t="e">
        <f>VLOOKUP(A754,'[1]Master clients'!F733:P4280,11,0)</f>
        <v>#N/A</v>
      </c>
      <c r="D754" s="15" t="str">
        <f>VLOOKUP(A754,'[1]Master clients'!F:M,8,0)</f>
        <v>Group (Mills)</v>
      </c>
      <c r="E754" s="24" t="s">
        <v>1790</v>
      </c>
      <c r="F754" s="25" t="s">
        <v>1791</v>
      </c>
      <c r="G754" s="20">
        <v>0</v>
      </c>
      <c r="H754" s="20">
        <v>2</v>
      </c>
      <c r="I754" s="26">
        <v>17</v>
      </c>
      <c r="J754" s="26">
        <v>2</v>
      </c>
      <c r="K754" s="20">
        <v>8</v>
      </c>
      <c r="L754" s="20">
        <v>0</v>
      </c>
      <c r="M754" s="20">
        <v>0</v>
      </c>
      <c r="N754" s="20">
        <v>3</v>
      </c>
      <c r="O754" s="20">
        <v>0</v>
      </c>
      <c r="P754" s="20">
        <v>0</v>
      </c>
      <c r="Q754" s="20">
        <v>9</v>
      </c>
      <c r="R754" s="20">
        <v>0</v>
      </c>
      <c r="S754" s="20">
        <v>0</v>
      </c>
      <c r="T754" s="20">
        <v>0</v>
      </c>
      <c r="U754" s="20">
        <v>0</v>
      </c>
      <c r="V754" s="20">
        <v>0</v>
      </c>
      <c r="W754" s="20">
        <v>0</v>
      </c>
      <c r="X754" s="20">
        <v>0</v>
      </c>
      <c r="Y754" s="20">
        <v>0</v>
      </c>
      <c r="Z754" s="20">
        <v>0</v>
      </c>
      <c r="AA754" s="20">
        <v>0</v>
      </c>
      <c r="AB754" s="20">
        <v>0</v>
      </c>
      <c r="AC754" s="20">
        <v>0</v>
      </c>
      <c r="AD754" s="20">
        <v>0</v>
      </c>
      <c r="AE754" s="20">
        <v>0</v>
      </c>
      <c r="AF754" s="20">
        <v>0</v>
      </c>
      <c r="AG754" s="20">
        <v>0</v>
      </c>
      <c r="AH754" s="20">
        <v>0</v>
      </c>
      <c r="AI754" s="20">
        <v>0</v>
      </c>
      <c r="AJ754" s="20">
        <v>0</v>
      </c>
      <c r="AK754" s="20">
        <v>0</v>
      </c>
      <c r="AL754" s="20">
        <v>0</v>
      </c>
      <c r="AM754" s="20">
        <v>0</v>
      </c>
      <c r="AN754" s="20">
        <v>0</v>
      </c>
      <c r="AO754" s="20">
        <v>0</v>
      </c>
      <c r="AP754" s="20">
        <v>0</v>
      </c>
      <c r="AQ754" s="20">
        <v>0</v>
      </c>
      <c r="AR754" s="20">
        <v>0</v>
      </c>
      <c r="AS754" s="20">
        <v>0</v>
      </c>
      <c r="AT754" s="20">
        <v>0</v>
      </c>
      <c r="AU754" s="19">
        <v>0</v>
      </c>
      <c r="AV754" s="20">
        <v>0</v>
      </c>
      <c r="AW754" s="20">
        <v>0</v>
      </c>
      <c r="AX754" s="20">
        <v>0</v>
      </c>
      <c r="AY754" s="20">
        <v>0</v>
      </c>
      <c r="AZ754" s="20">
        <v>0</v>
      </c>
      <c r="BA754" s="19">
        <v>0</v>
      </c>
      <c r="BB754" s="27">
        <v>0</v>
      </c>
      <c r="BC754" s="19">
        <v>0</v>
      </c>
      <c r="BD754" s="19">
        <v>0</v>
      </c>
      <c r="BE754" s="21">
        <v>0</v>
      </c>
      <c r="BF754" s="21">
        <v>0</v>
      </c>
      <c r="BG754" s="19">
        <v>0</v>
      </c>
      <c r="BH754" s="19">
        <v>0</v>
      </c>
      <c r="BI754" s="22">
        <f t="shared" si="223"/>
        <v>8</v>
      </c>
      <c r="BJ754" s="22">
        <f t="shared" si="224"/>
        <v>12</v>
      </c>
      <c r="BK754" s="28">
        <f t="shared" si="225"/>
        <v>39</v>
      </c>
      <c r="BL754" s="22">
        <f t="shared" si="226"/>
        <v>25</v>
      </c>
      <c r="BM754" s="22">
        <f t="shared" si="228"/>
        <v>14</v>
      </c>
      <c r="BN754" s="23">
        <f t="shared" si="229"/>
        <v>0.68</v>
      </c>
      <c r="BO754" s="23">
        <f t="shared" si="229"/>
        <v>0.14285714285714285</v>
      </c>
      <c r="BP754" s="7">
        <f>VLOOKUP(A754,[1]Sheet15!B:E,4,0)</f>
        <v>24</v>
      </c>
      <c r="BQ754" s="7">
        <f>VLOOKUP(A754,[1]Sheet15!B:E,3,0)</f>
        <v>2</v>
      </c>
    </row>
    <row r="755" spans="1:69" ht="22.5" customHeight="1" x14ac:dyDescent="0.25">
      <c r="A755" s="15" t="s">
        <v>1792</v>
      </c>
      <c r="B755" s="15" t="e">
        <f>VLOOKUP(A755,'[1]Master clients'!F734:W4281,17,0)</f>
        <v>#N/A</v>
      </c>
      <c r="C755" s="15" t="e">
        <f>VLOOKUP(A755,'[1]Master clients'!F734:P4281,11,0)</f>
        <v>#N/A</v>
      </c>
      <c r="D755" s="15" t="str">
        <f>VLOOKUP(A755,'[1]Master clients'!F:M,8,0)</f>
        <v>End User</v>
      </c>
      <c r="E755" s="16" t="s">
        <v>1793</v>
      </c>
      <c r="F755" s="16" t="s">
        <v>1794</v>
      </c>
      <c r="G755" s="17"/>
      <c r="H755" s="17"/>
      <c r="I755" s="26">
        <v>1</v>
      </c>
      <c r="J755" s="31">
        <v>0</v>
      </c>
      <c r="K755" s="17">
        <v>0</v>
      </c>
      <c r="L755" s="17">
        <v>0</v>
      </c>
      <c r="M755" s="17">
        <v>0</v>
      </c>
      <c r="N755" s="17">
        <v>0</v>
      </c>
      <c r="O755" s="17">
        <v>0</v>
      </c>
      <c r="P755" s="17">
        <v>0</v>
      </c>
      <c r="Q755" s="17">
        <v>0</v>
      </c>
      <c r="R755" s="17">
        <v>0</v>
      </c>
      <c r="S755" s="17">
        <v>0</v>
      </c>
      <c r="T755" s="17">
        <v>0</v>
      </c>
      <c r="U755" s="17">
        <v>0</v>
      </c>
      <c r="V755" s="17">
        <v>0</v>
      </c>
      <c r="W755" s="17">
        <v>0</v>
      </c>
      <c r="X755" s="17">
        <v>0</v>
      </c>
      <c r="Y755" s="17">
        <v>0</v>
      </c>
      <c r="Z755" s="17">
        <v>0</v>
      </c>
      <c r="AA755" s="17">
        <v>0</v>
      </c>
      <c r="AB755" s="17">
        <v>0</v>
      </c>
      <c r="AC755" s="17">
        <v>0</v>
      </c>
      <c r="AD755" s="17">
        <v>0</v>
      </c>
      <c r="AE755" s="17">
        <v>0</v>
      </c>
      <c r="AF755" s="17">
        <v>0</v>
      </c>
      <c r="AG755" s="17">
        <v>0</v>
      </c>
      <c r="AH755" s="17">
        <v>0</v>
      </c>
      <c r="AI755" s="17">
        <v>0</v>
      </c>
      <c r="AJ755" s="17">
        <v>0</v>
      </c>
      <c r="AK755" s="17">
        <v>0</v>
      </c>
      <c r="AL755" s="17">
        <v>0</v>
      </c>
      <c r="AM755" s="17">
        <v>0</v>
      </c>
      <c r="AN755" s="17">
        <v>0</v>
      </c>
      <c r="AO755" s="17">
        <v>0</v>
      </c>
      <c r="AP755" s="17">
        <v>0</v>
      </c>
      <c r="AQ755" s="17">
        <v>0</v>
      </c>
      <c r="AR755" s="17">
        <v>0</v>
      </c>
      <c r="AS755" s="17">
        <v>0</v>
      </c>
      <c r="AT755" s="17">
        <v>0</v>
      </c>
      <c r="AU755" s="17">
        <v>0</v>
      </c>
      <c r="AV755" s="17">
        <v>0</v>
      </c>
      <c r="AW755" s="17">
        <v>0</v>
      </c>
      <c r="AX755" s="17">
        <v>0</v>
      </c>
      <c r="AY755" s="17">
        <v>0</v>
      </c>
      <c r="AZ755" s="17">
        <v>0</v>
      </c>
      <c r="BA755" s="17">
        <v>0</v>
      </c>
      <c r="BB755" s="17">
        <v>0</v>
      </c>
      <c r="BC755" s="17">
        <v>0</v>
      </c>
      <c r="BD755" s="17">
        <v>0</v>
      </c>
      <c r="BE755" s="17">
        <v>0</v>
      </c>
      <c r="BF755" s="17">
        <v>0</v>
      </c>
      <c r="BG755" s="17">
        <v>0</v>
      </c>
      <c r="BH755" s="17">
        <v>0</v>
      </c>
      <c r="BI755" s="22">
        <f t="shared" si="223"/>
        <v>0</v>
      </c>
      <c r="BJ755" s="22">
        <f t="shared" si="224"/>
        <v>0</v>
      </c>
      <c r="BK755" s="22">
        <f t="shared" si="225"/>
        <v>1</v>
      </c>
      <c r="BL755" s="22">
        <f t="shared" si="226"/>
        <v>1</v>
      </c>
      <c r="BM755" s="22">
        <f t="shared" si="228"/>
        <v>0</v>
      </c>
      <c r="BN755" s="23">
        <f t="shared" si="229"/>
        <v>1</v>
      </c>
      <c r="BO755" s="23" t="e">
        <f t="shared" si="229"/>
        <v>#DIV/0!</v>
      </c>
      <c r="BP755" s="7">
        <f>VLOOKUP(A755,[1]Sheet15!B:E,4,0)</f>
        <v>1</v>
      </c>
      <c r="BQ755" s="7">
        <f>VLOOKUP(A755,[1]Sheet15!B:E,3,0)</f>
        <v>0</v>
      </c>
    </row>
    <row r="756" spans="1:69" ht="22.5" customHeight="1" x14ac:dyDescent="0.25">
      <c r="A756" s="15" t="s">
        <v>1792</v>
      </c>
      <c r="B756" s="15" t="e">
        <f>VLOOKUP(A756,'[1]Master clients'!F735:W4282,17,0)</f>
        <v>#N/A</v>
      </c>
      <c r="C756" s="15" t="e">
        <f>VLOOKUP(A756,'[1]Master clients'!F735:P4282,11,0)</f>
        <v>#N/A</v>
      </c>
      <c r="D756" s="15" t="str">
        <f>VLOOKUP(A756,'[1]Master clients'!F:M,8,0)</f>
        <v>End User</v>
      </c>
      <c r="E756" s="16" t="s">
        <v>1793</v>
      </c>
      <c r="F756" s="29" t="s">
        <v>1145</v>
      </c>
      <c r="G756" s="20"/>
      <c r="H756" s="20"/>
      <c r="I756" s="26">
        <v>2</v>
      </c>
      <c r="J756" s="26">
        <v>0</v>
      </c>
      <c r="K756" s="20">
        <v>0</v>
      </c>
      <c r="L756" s="20">
        <v>0</v>
      </c>
      <c r="M756" s="20">
        <v>0</v>
      </c>
      <c r="N756" s="20">
        <v>0</v>
      </c>
      <c r="O756" s="20">
        <v>0</v>
      </c>
      <c r="P756" s="20">
        <v>0</v>
      </c>
      <c r="Q756" s="20">
        <v>0</v>
      </c>
      <c r="R756" s="20">
        <v>0</v>
      </c>
      <c r="S756" s="20">
        <v>0</v>
      </c>
      <c r="T756" s="20">
        <v>0</v>
      </c>
      <c r="U756" s="20">
        <v>0</v>
      </c>
      <c r="V756" s="20">
        <v>0</v>
      </c>
      <c r="W756" s="20">
        <v>0</v>
      </c>
      <c r="X756" s="20">
        <v>0</v>
      </c>
      <c r="Y756" s="20">
        <v>0</v>
      </c>
      <c r="Z756" s="20">
        <v>0</v>
      </c>
      <c r="AA756" s="20">
        <v>0</v>
      </c>
      <c r="AB756" s="20">
        <v>0</v>
      </c>
      <c r="AC756" s="20">
        <v>0</v>
      </c>
      <c r="AD756" s="20">
        <v>0</v>
      </c>
      <c r="AE756" s="20">
        <v>0</v>
      </c>
      <c r="AF756" s="20">
        <v>0</v>
      </c>
      <c r="AG756" s="20">
        <v>0</v>
      </c>
      <c r="AH756" s="20">
        <v>0</v>
      </c>
      <c r="AI756" s="20">
        <v>0</v>
      </c>
      <c r="AJ756" s="20">
        <v>0</v>
      </c>
      <c r="AK756" s="20">
        <v>0</v>
      </c>
      <c r="AL756" s="20">
        <v>0</v>
      </c>
      <c r="AM756" s="20">
        <v>0</v>
      </c>
      <c r="AN756" s="20">
        <v>0</v>
      </c>
      <c r="AO756" s="20">
        <v>0</v>
      </c>
      <c r="AP756" s="20">
        <v>0</v>
      </c>
      <c r="AQ756" s="20">
        <v>0</v>
      </c>
      <c r="AR756" s="20">
        <v>0</v>
      </c>
      <c r="AS756" s="20">
        <v>0</v>
      </c>
      <c r="AT756" s="20">
        <v>0</v>
      </c>
      <c r="AU756" s="20">
        <v>0</v>
      </c>
      <c r="AV756" s="20">
        <v>0</v>
      </c>
      <c r="AW756" s="20">
        <v>0</v>
      </c>
      <c r="AX756" s="20">
        <v>0</v>
      </c>
      <c r="AY756" s="20">
        <v>0</v>
      </c>
      <c r="AZ756" s="20">
        <v>0</v>
      </c>
      <c r="BA756" s="20">
        <v>0</v>
      </c>
      <c r="BB756" s="20">
        <v>0</v>
      </c>
      <c r="BC756" s="20">
        <v>0</v>
      </c>
      <c r="BD756" s="20">
        <v>0</v>
      </c>
      <c r="BE756" s="20">
        <v>0</v>
      </c>
      <c r="BF756" s="20">
        <v>0</v>
      </c>
      <c r="BG756" s="20">
        <v>0</v>
      </c>
      <c r="BH756" s="20">
        <v>0</v>
      </c>
      <c r="BI756" s="22">
        <f t="shared" si="223"/>
        <v>0</v>
      </c>
      <c r="BJ756" s="22">
        <f t="shared" si="224"/>
        <v>0</v>
      </c>
      <c r="BK756" s="28">
        <f t="shared" si="225"/>
        <v>2</v>
      </c>
      <c r="BL756" s="22">
        <f t="shared" si="226"/>
        <v>2</v>
      </c>
      <c r="BM756" s="22">
        <f t="shared" si="228"/>
        <v>0</v>
      </c>
      <c r="BN756" s="23">
        <f t="shared" si="229"/>
        <v>1</v>
      </c>
      <c r="BO756" s="23" t="e">
        <f t="shared" si="229"/>
        <v>#DIV/0!</v>
      </c>
      <c r="BP756" s="7">
        <f>VLOOKUP(A756,[1]Sheet15!B:E,4,0)</f>
        <v>1</v>
      </c>
      <c r="BQ756" s="7">
        <f>VLOOKUP(A756,[1]Sheet15!B:E,3,0)</f>
        <v>0</v>
      </c>
    </row>
    <row r="757" spans="1:69" ht="22.5" customHeight="1" x14ac:dyDescent="0.25">
      <c r="A757" s="15" t="s">
        <v>1795</v>
      </c>
      <c r="B757" s="15">
        <f>VLOOKUP(A757,'[1]Master clients'!F736:W4283,17,0)</f>
        <v>0</v>
      </c>
      <c r="C757" s="15" t="str">
        <f>VLOOKUP(A757,'[1]Master clients'!F736:P4283,11,0)</f>
        <v>AV</v>
      </c>
      <c r="D757" s="15" t="str">
        <f>VLOOKUP(A757,'[1]Master clients'!F:M,8,0)</f>
        <v>Group (Mills)</v>
      </c>
      <c r="E757" s="16" t="s">
        <v>1796</v>
      </c>
      <c r="F757" s="16" t="s">
        <v>1145</v>
      </c>
      <c r="G757" s="17"/>
      <c r="H757" s="17"/>
      <c r="I757" s="26">
        <v>3</v>
      </c>
      <c r="J757" s="31">
        <v>0</v>
      </c>
      <c r="K757" s="17">
        <v>0</v>
      </c>
      <c r="L757" s="17">
        <v>0</v>
      </c>
      <c r="M757" s="17">
        <v>0</v>
      </c>
      <c r="N757" s="17">
        <v>0</v>
      </c>
      <c r="O757" s="17">
        <v>0</v>
      </c>
      <c r="P757" s="17">
        <v>0</v>
      </c>
      <c r="Q757" s="17">
        <v>0</v>
      </c>
      <c r="R757" s="17">
        <v>0</v>
      </c>
      <c r="S757" s="17">
        <v>0</v>
      </c>
      <c r="T757" s="17">
        <v>0</v>
      </c>
      <c r="U757" s="17">
        <v>0</v>
      </c>
      <c r="V757" s="17">
        <v>0</v>
      </c>
      <c r="W757" s="17">
        <v>0</v>
      </c>
      <c r="X757" s="17">
        <v>0</v>
      </c>
      <c r="Y757" s="17">
        <v>0</v>
      </c>
      <c r="Z757" s="17">
        <v>0</v>
      </c>
      <c r="AA757" s="17">
        <v>0</v>
      </c>
      <c r="AB757" s="17">
        <v>0</v>
      </c>
      <c r="AC757" s="17">
        <v>0</v>
      </c>
      <c r="AD757" s="17">
        <v>0</v>
      </c>
      <c r="AE757" s="17">
        <v>0</v>
      </c>
      <c r="AF757" s="17">
        <v>0</v>
      </c>
      <c r="AG757" s="17">
        <v>0</v>
      </c>
      <c r="AH757" s="17">
        <v>0</v>
      </c>
      <c r="AI757" s="17">
        <v>0</v>
      </c>
      <c r="AJ757" s="17">
        <v>0</v>
      </c>
      <c r="AK757" s="17">
        <v>0</v>
      </c>
      <c r="AL757" s="17">
        <v>0</v>
      </c>
      <c r="AM757" s="17">
        <v>0</v>
      </c>
      <c r="AN757" s="17">
        <v>0</v>
      </c>
      <c r="AO757" s="17">
        <v>0</v>
      </c>
      <c r="AP757" s="17">
        <v>0</v>
      </c>
      <c r="AQ757" s="17">
        <v>0</v>
      </c>
      <c r="AR757" s="17">
        <v>0</v>
      </c>
      <c r="AS757" s="17">
        <v>0</v>
      </c>
      <c r="AT757" s="17">
        <v>0</v>
      </c>
      <c r="AU757" s="17">
        <v>0</v>
      </c>
      <c r="AV757" s="17">
        <v>0</v>
      </c>
      <c r="AW757" s="17">
        <v>0</v>
      </c>
      <c r="AX757" s="17">
        <v>0</v>
      </c>
      <c r="AY757" s="17">
        <v>0</v>
      </c>
      <c r="AZ757" s="17">
        <v>0</v>
      </c>
      <c r="BA757" s="17">
        <v>0</v>
      </c>
      <c r="BB757" s="17">
        <v>0</v>
      </c>
      <c r="BC757" s="17">
        <v>0</v>
      </c>
      <c r="BD757" s="17">
        <v>0</v>
      </c>
      <c r="BE757" s="17">
        <v>0</v>
      </c>
      <c r="BF757" s="17">
        <v>0</v>
      </c>
      <c r="BG757" s="17">
        <v>0</v>
      </c>
      <c r="BH757" s="17">
        <v>0</v>
      </c>
      <c r="BI757" s="22">
        <f t="shared" si="223"/>
        <v>0</v>
      </c>
      <c r="BJ757" s="22">
        <f t="shared" si="224"/>
        <v>0</v>
      </c>
      <c r="BK757" s="28">
        <f t="shared" si="225"/>
        <v>3</v>
      </c>
      <c r="BL757" s="22">
        <f t="shared" si="226"/>
        <v>3</v>
      </c>
      <c r="BM757" s="22">
        <f t="shared" si="228"/>
        <v>0</v>
      </c>
      <c r="BN757" s="23">
        <f t="shared" si="229"/>
        <v>1</v>
      </c>
      <c r="BO757" s="23" t="e">
        <f t="shared" si="229"/>
        <v>#DIV/0!</v>
      </c>
      <c r="BP757" s="7">
        <f>VLOOKUP(A757,[1]Sheet15!B:E,4,0)</f>
        <v>3</v>
      </c>
      <c r="BQ757" s="7">
        <f>VLOOKUP(A757,[1]Sheet15!B:E,3,0)</f>
        <v>0</v>
      </c>
    </row>
    <row r="758" spans="1:69" ht="22.5" customHeight="1" x14ac:dyDescent="0.25">
      <c r="A758" s="15" t="s">
        <v>1797</v>
      </c>
      <c r="B758" s="15" t="e">
        <f>VLOOKUP(A758,'[1]Master clients'!F737:W4284,17,0)</f>
        <v>#N/A</v>
      </c>
      <c r="C758" s="15" t="e">
        <f>VLOOKUP(A758,'[1]Master clients'!F737:P4284,11,0)</f>
        <v>#N/A</v>
      </c>
      <c r="D758" s="15" t="str">
        <f>VLOOKUP(A758,'[1]Master clients'!F:M,8,0)</f>
        <v>Group (Mills)</v>
      </c>
      <c r="E758" s="16" t="s">
        <v>1798</v>
      </c>
      <c r="F758" s="16" t="s">
        <v>1799</v>
      </c>
      <c r="G758" s="17">
        <v>0</v>
      </c>
      <c r="H758" s="17">
        <v>0</v>
      </c>
      <c r="I758" s="18">
        <v>6</v>
      </c>
      <c r="J758" s="18">
        <v>0</v>
      </c>
      <c r="K758" s="17">
        <v>0</v>
      </c>
      <c r="L758" s="17">
        <v>0</v>
      </c>
      <c r="M758" s="17">
        <v>0</v>
      </c>
      <c r="N758" s="17">
        <v>0</v>
      </c>
      <c r="O758" s="19">
        <v>0</v>
      </c>
      <c r="P758" s="19">
        <v>0</v>
      </c>
      <c r="Q758" s="19">
        <v>0</v>
      </c>
      <c r="R758" s="19">
        <v>0</v>
      </c>
      <c r="S758" s="19">
        <v>0</v>
      </c>
      <c r="T758" s="19">
        <v>0</v>
      </c>
      <c r="U758" s="19">
        <v>0</v>
      </c>
      <c r="V758" s="19">
        <v>0</v>
      </c>
      <c r="W758" s="20">
        <v>0</v>
      </c>
      <c r="X758" s="20">
        <v>0</v>
      </c>
      <c r="Y758" s="19">
        <v>0</v>
      </c>
      <c r="Z758" s="19">
        <v>0</v>
      </c>
      <c r="AA758" s="19">
        <v>0</v>
      </c>
      <c r="AB758" s="19">
        <v>0</v>
      </c>
      <c r="AC758" s="19">
        <v>0</v>
      </c>
      <c r="AD758" s="19">
        <v>0</v>
      </c>
      <c r="AE758" s="19">
        <v>0</v>
      </c>
      <c r="AF758" s="19">
        <v>0</v>
      </c>
      <c r="AG758" s="19">
        <v>0</v>
      </c>
      <c r="AH758" s="19">
        <v>0</v>
      </c>
      <c r="AI758" s="20">
        <v>0</v>
      </c>
      <c r="AJ758" s="20">
        <v>0</v>
      </c>
      <c r="AK758" s="19">
        <v>0</v>
      </c>
      <c r="AL758" s="20">
        <v>0</v>
      </c>
      <c r="AM758" s="19">
        <v>0</v>
      </c>
      <c r="AN758" s="19">
        <v>0</v>
      </c>
      <c r="AO758" s="19">
        <v>0</v>
      </c>
      <c r="AP758" s="19">
        <v>0</v>
      </c>
      <c r="AQ758" s="19">
        <v>0</v>
      </c>
      <c r="AR758" s="19">
        <v>0</v>
      </c>
      <c r="AS758" s="19">
        <v>0</v>
      </c>
      <c r="AT758" s="19">
        <v>0</v>
      </c>
      <c r="AU758" s="19">
        <v>0</v>
      </c>
      <c r="AV758" s="19">
        <v>0</v>
      </c>
      <c r="AW758" s="20">
        <v>0</v>
      </c>
      <c r="AX758" s="20">
        <v>0</v>
      </c>
      <c r="AY758" s="20">
        <v>0</v>
      </c>
      <c r="AZ758" s="19">
        <v>0</v>
      </c>
      <c r="BA758" s="19">
        <v>0</v>
      </c>
      <c r="BB758" s="19">
        <v>0</v>
      </c>
      <c r="BC758" s="19">
        <v>0</v>
      </c>
      <c r="BD758" s="19">
        <v>0</v>
      </c>
      <c r="BE758" s="21">
        <v>0</v>
      </c>
      <c r="BF758" s="21">
        <v>0</v>
      </c>
      <c r="BG758" s="19">
        <v>0</v>
      </c>
      <c r="BH758" s="19">
        <v>0</v>
      </c>
      <c r="BI758" s="22">
        <f t="shared" si="223"/>
        <v>0</v>
      </c>
      <c r="BJ758" s="22">
        <f t="shared" si="224"/>
        <v>0</v>
      </c>
      <c r="BK758" s="22">
        <f t="shared" si="225"/>
        <v>6</v>
      </c>
      <c r="BL758" s="22">
        <f t="shared" si="226"/>
        <v>6</v>
      </c>
      <c r="BM758" s="22">
        <f t="shared" si="228"/>
        <v>0</v>
      </c>
      <c r="BN758" s="23">
        <f t="shared" si="229"/>
        <v>1</v>
      </c>
      <c r="BO758" s="23" t="e">
        <f t="shared" si="229"/>
        <v>#DIV/0!</v>
      </c>
      <c r="BP758" s="7">
        <f>VLOOKUP(A758,[1]Sheet15!B:E,4,0)</f>
        <v>3</v>
      </c>
      <c r="BQ758" s="7">
        <f>VLOOKUP(A758,[1]Sheet15!B:E,3,0)</f>
        <v>0</v>
      </c>
    </row>
    <row r="759" spans="1:69" ht="22.5" customHeight="1" x14ac:dyDescent="0.25">
      <c r="A759" s="15" t="s">
        <v>1800</v>
      </c>
      <c r="B759" s="15" t="e">
        <f>VLOOKUP(A759,'[1]Master clients'!F738:W4285,17,0)</f>
        <v>#N/A</v>
      </c>
      <c r="C759" s="15" t="e">
        <f>VLOOKUP(A759,'[1]Master clients'!F738:P4285,11,0)</f>
        <v>#N/A</v>
      </c>
      <c r="D759" s="15" t="str">
        <f>VLOOKUP(A759,'[1]Master clients'!F:M,8,0)</f>
        <v>Group (Mills)</v>
      </c>
      <c r="E759" s="16" t="s">
        <v>1801</v>
      </c>
      <c r="F759" s="16" t="s">
        <v>1799</v>
      </c>
      <c r="G759" s="17">
        <v>7</v>
      </c>
      <c r="H759" s="17">
        <v>0</v>
      </c>
      <c r="I759" s="18">
        <v>5</v>
      </c>
      <c r="J759" s="18">
        <v>0</v>
      </c>
      <c r="K759" s="17">
        <v>0</v>
      </c>
      <c r="L759" s="17">
        <v>0</v>
      </c>
      <c r="M759" s="17">
        <v>0</v>
      </c>
      <c r="N759" s="17">
        <v>0</v>
      </c>
      <c r="O759" s="19">
        <v>0</v>
      </c>
      <c r="P759" s="19">
        <v>0</v>
      </c>
      <c r="Q759" s="19">
        <v>5</v>
      </c>
      <c r="R759" s="19">
        <v>0</v>
      </c>
      <c r="S759" s="19">
        <v>0</v>
      </c>
      <c r="T759" s="19">
        <v>0</v>
      </c>
      <c r="U759" s="19">
        <v>0</v>
      </c>
      <c r="V759" s="19">
        <v>0</v>
      </c>
      <c r="W759" s="20">
        <v>0</v>
      </c>
      <c r="X759" s="20">
        <v>0</v>
      </c>
      <c r="Y759" s="19">
        <v>0</v>
      </c>
      <c r="Z759" s="19">
        <v>10</v>
      </c>
      <c r="AA759" s="19">
        <v>3</v>
      </c>
      <c r="AB759" s="19">
        <v>0</v>
      </c>
      <c r="AC759" s="19">
        <v>0</v>
      </c>
      <c r="AD759" s="19">
        <v>0</v>
      </c>
      <c r="AE759" s="19">
        <v>0</v>
      </c>
      <c r="AF759" s="19">
        <v>0</v>
      </c>
      <c r="AG759" s="19">
        <v>0</v>
      </c>
      <c r="AH759" s="19">
        <v>0</v>
      </c>
      <c r="AI759" s="20">
        <v>0</v>
      </c>
      <c r="AJ759" s="20">
        <v>0</v>
      </c>
      <c r="AK759" s="19">
        <v>1</v>
      </c>
      <c r="AL759" s="20">
        <v>0</v>
      </c>
      <c r="AM759" s="19">
        <v>0</v>
      </c>
      <c r="AN759" s="19">
        <v>0</v>
      </c>
      <c r="AO759" s="19">
        <v>0</v>
      </c>
      <c r="AP759" s="19">
        <v>0</v>
      </c>
      <c r="AQ759" s="19">
        <v>2</v>
      </c>
      <c r="AR759" s="19">
        <v>0</v>
      </c>
      <c r="AS759" s="19">
        <v>0</v>
      </c>
      <c r="AT759" s="19">
        <v>0</v>
      </c>
      <c r="AU759" s="19">
        <v>0</v>
      </c>
      <c r="AV759" s="19">
        <v>0</v>
      </c>
      <c r="AW759" s="20">
        <v>0</v>
      </c>
      <c r="AX759" s="20">
        <v>0</v>
      </c>
      <c r="AY759" s="20">
        <v>0</v>
      </c>
      <c r="AZ759" s="19">
        <v>0</v>
      </c>
      <c r="BA759" s="19">
        <v>0</v>
      </c>
      <c r="BB759" s="19">
        <v>0</v>
      </c>
      <c r="BC759" s="19">
        <v>0</v>
      </c>
      <c r="BD759" s="19">
        <v>0</v>
      </c>
      <c r="BE759" s="21">
        <v>0</v>
      </c>
      <c r="BF759" s="21">
        <v>0</v>
      </c>
      <c r="BG759" s="19">
        <v>0</v>
      </c>
      <c r="BH759" s="19">
        <v>0</v>
      </c>
      <c r="BI759" s="22">
        <f t="shared" si="223"/>
        <v>11</v>
      </c>
      <c r="BJ759" s="22">
        <f t="shared" si="224"/>
        <v>10</v>
      </c>
      <c r="BK759" s="22">
        <f t="shared" si="225"/>
        <v>26</v>
      </c>
      <c r="BL759" s="22">
        <f t="shared" si="226"/>
        <v>16</v>
      </c>
      <c r="BM759" s="22">
        <f t="shared" si="228"/>
        <v>10</v>
      </c>
      <c r="BN759" s="23">
        <f t="shared" si="229"/>
        <v>0.3125</v>
      </c>
      <c r="BO759" s="23">
        <f t="shared" si="229"/>
        <v>0</v>
      </c>
      <c r="BP759" s="7">
        <f>VLOOKUP(A759,[1]Sheet15!B:E,4,0)</f>
        <v>1</v>
      </c>
      <c r="BQ759" s="7">
        <f>VLOOKUP(A759,[1]Sheet15!B:E,3,0)</f>
        <v>0</v>
      </c>
    </row>
    <row r="760" spans="1:69" ht="22.5" customHeight="1" x14ac:dyDescent="0.25">
      <c r="A760" s="15" t="s">
        <v>1802</v>
      </c>
      <c r="B760" s="15" t="e">
        <f>VLOOKUP(A760,'[1]Master clients'!F739:W4286,17,0)</f>
        <v>#N/A</v>
      </c>
      <c r="C760" s="15" t="e">
        <f>VLOOKUP(A760,'[1]Master clients'!F739:P4286,11,0)</f>
        <v>#N/A</v>
      </c>
      <c r="D760" s="15" t="str">
        <f>VLOOKUP(A760,'[1]Master clients'!F:M,8,0)</f>
        <v>Group (Mills)</v>
      </c>
      <c r="E760" s="16" t="s">
        <v>1803</v>
      </c>
      <c r="F760" s="16" t="s">
        <v>1804</v>
      </c>
      <c r="G760" s="17">
        <v>6</v>
      </c>
      <c r="H760" s="17">
        <v>0</v>
      </c>
      <c r="I760" s="18">
        <v>5</v>
      </c>
      <c r="J760" s="18">
        <v>0</v>
      </c>
      <c r="K760" s="17">
        <v>0</v>
      </c>
      <c r="L760" s="17">
        <v>0</v>
      </c>
      <c r="M760" s="17">
        <v>0</v>
      </c>
      <c r="N760" s="17">
        <v>0</v>
      </c>
      <c r="O760" s="19">
        <v>0</v>
      </c>
      <c r="P760" s="19">
        <v>1</v>
      </c>
      <c r="Q760" s="19">
        <v>5</v>
      </c>
      <c r="R760" s="19">
        <v>0</v>
      </c>
      <c r="S760" s="19">
        <v>0</v>
      </c>
      <c r="T760" s="19">
        <v>0</v>
      </c>
      <c r="U760" s="19">
        <v>0</v>
      </c>
      <c r="V760" s="19">
        <v>0</v>
      </c>
      <c r="W760" s="20">
        <v>0</v>
      </c>
      <c r="X760" s="20">
        <v>0</v>
      </c>
      <c r="Y760" s="19">
        <v>0</v>
      </c>
      <c r="Z760" s="19">
        <v>1</v>
      </c>
      <c r="AA760" s="19">
        <v>0</v>
      </c>
      <c r="AB760" s="19">
        <v>0</v>
      </c>
      <c r="AC760" s="19">
        <v>0</v>
      </c>
      <c r="AD760" s="19">
        <v>0</v>
      </c>
      <c r="AE760" s="19">
        <v>0</v>
      </c>
      <c r="AF760" s="19">
        <v>0</v>
      </c>
      <c r="AG760" s="19">
        <v>0</v>
      </c>
      <c r="AH760" s="19">
        <v>0</v>
      </c>
      <c r="AI760" s="20">
        <v>0</v>
      </c>
      <c r="AJ760" s="20">
        <v>0</v>
      </c>
      <c r="AK760" s="19">
        <v>0</v>
      </c>
      <c r="AL760" s="20">
        <v>0</v>
      </c>
      <c r="AM760" s="19">
        <v>0</v>
      </c>
      <c r="AN760" s="19">
        <v>0</v>
      </c>
      <c r="AO760" s="19">
        <v>0</v>
      </c>
      <c r="AP760" s="19">
        <v>0</v>
      </c>
      <c r="AQ760" s="19">
        <v>4</v>
      </c>
      <c r="AR760" s="19">
        <v>0</v>
      </c>
      <c r="AS760" s="19">
        <v>0</v>
      </c>
      <c r="AT760" s="19">
        <v>0</v>
      </c>
      <c r="AU760" s="19">
        <v>0</v>
      </c>
      <c r="AV760" s="19">
        <v>0</v>
      </c>
      <c r="AW760" s="20">
        <v>0</v>
      </c>
      <c r="AX760" s="20">
        <v>0</v>
      </c>
      <c r="AY760" s="20">
        <v>0</v>
      </c>
      <c r="AZ760" s="19">
        <v>0</v>
      </c>
      <c r="BA760" s="19">
        <v>0</v>
      </c>
      <c r="BB760" s="19">
        <v>0</v>
      </c>
      <c r="BC760" s="19">
        <v>0</v>
      </c>
      <c r="BD760" s="19">
        <v>0</v>
      </c>
      <c r="BE760" s="21">
        <v>0</v>
      </c>
      <c r="BF760" s="21">
        <v>0</v>
      </c>
      <c r="BG760" s="19">
        <v>0</v>
      </c>
      <c r="BH760" s="19">
        <v>0</v>
      </c>
      <c r="BI760" s="22">
        <f t="shared" si="223"/>
        <v>2</v>
      </c>
      <c r="BJ760" s="22">
        <f t="shared" si="224"/>
        <v>9</v>
      </c>
      <c r="BK760" s="22">
        <f t="shared" si="225"/>
        <v>16</v>
      </c>
      <c r="BL760" s="22">
        <f t="shared" si="226"/>
        <v>7</v>
      </c>
      <c r="BM760" s="22">
        <f t="shared" si="228"/>
        <v>9</v>
      </c>
      <c r="BN760" s="23">
        <f t="shared" si="229"/>
        <v>0.7142857142857143</v>
      </c>
      <c r="BO760" s="23">
        <f t="shared" si="229"/>
        <v>0</v>
      </c>
      <c r="BP760" s="7" t="e">
        <f>VLOOKUP(A760,[1]Sheet15!B:E,4,0)</f>
        <v>#N/A</v>
      </c>
      <c r="BQ760" s="7" t="e">
        <f>VLOOKUP(A760,[1]Sheet15!B:E,3,0)</f>
        <v>#N/A</v>
      </c>
    </row>
    <row r="761" spans="1:69" ht="22.5" customHeight="1" x14ac:dyDescent="0.25">
      <c r="A761" s="15" t="s">
        <v>1805</v>
      </c>
      <c r="B761" s="15" t="e">
        <f>VLOOKUP(A761,'[1]Master clients'!F740:W4287,17,0)</f>
        <v>#N/A</v>
      </c>
      <c r="C761" s="15" t="e">
        <f>VLOOKUP(A761,'[1]Master clients'!F740:P4287,11,0)</f>
        <v>#N/A</v>
      </c>
      <c r="D761" s="15" t="str">
        <f>VLOOKUP(A761,'[1]Master clients'!F:M,8,0)</f>
        <v>Group (Mills)</v>
      </c>
      <c r="E761" s="16" t="s">
        <v>1806</v>
      </c>
      <c r="F761" s="16" t="s">
        <v>1145</v>
      </c>
      <c r="G761" s="17"/>
      <c r="H761" s="17"/>
      <c r="I761" s="31">
        <v>0</v>
      </c>
      <c r="J761" s="31">
        <v>0</v>
      </c>
      <c r="K761" s="17">
        <v>0</v>
      </c>
      <c r="L761" s="17">
        <v>0</v>
      </c>
      <c r="M761" s="17">
        <v>0</v>
      </c>
      <c r="N761" s="17">
        <v>0</v>
      </c>
      <c r="O761" s="17">
        <v>0</v>
      </c>
      <c r="P761" s="17">
        <v>0</v>
      </c>
      <c r="Q761" s="17">
        <v>0</v>
      </c>
      <c r="R761" s="17">
        <v>0</v>
      </c>
      <c r="S761" s="17">
        <v>0</v>
      </c>
      <c r="T761" s="17">
        <v>0</v>
      </c>
      <c r="U761" s="17">
        <v>0</v>
      </c>
      <c r="V761" s="17">
        <v>0</v>
      </c>
      <c r="W761" s="17">
        <v>0</v>
      </c>
      <c r="X761" s="17">
        <v>0</v>
      </c>
      <c r="Y761" s="17">
        <v>0</v>
      </c>
      <c r="Z761" s="17">
        <v>0</v>
      </c>
      <c r="AA761" s="17">
        <v>0</v>
      </c>
      <c r="AB761" s="17">
        <v>0</v>
      </c>
      <c r="AC761" s="17">
        <v>0</v>
      </c>
      <c r="AD761" s="17">
        <v>0</v>
      </c>
      <c r="AE761" s="17">
        <v>0</v>
      </c>
      <c r="AF761" s="17">
        <v>0</v>
      </c>
      <c r="AG761" s="17">
        <v>0</v>
      </c>
      <c r="AH761" s="17">
        <v>0</v>
      </c>
      <c r="AI761" s="17">
        <v>0</v>
      </c>
      <c r="AJ761" s="17">
        <v>0</v>
      </c>
      <c r="AK761" s="17">
        <v>0</v>
      </c>
      <c r="AL761" s="17">
        <v>0</v>
      </c>
      <c r="AM761" s="17">
        <v>0</v>
      </c>
      <c r="AN761" s="17">
        <v>0</v>
      </c>
      <c r="AO761" s="17">
        <v>0</v>
      </c>
      <c r="AP761" s="17">
        <v>0</v>
      </c>
      <c r="AQ761" s="17">
        <v>0</v>
      </c>
      <c r="AR761" s="17">
        <v>0</v>
      </c>
      <c r="AS761" s="17">
        <v>0</v>
      </c>
      <c r="AT761" s="17">
        <v>0</v>
      </c>
      <c r="AU761" s="17">
        <v>0</v>
      </c>
      <c r="AV761" s="17">
        <v>0</v>
      </c>
      <c r="AW761" s="17">
        <v>0</v>
      </c>
      <c r="AX761" s="17">
        <v>0</v>
      </c>
      <c r="AY761" s="17">
        <v>0</v>
      </c>
      <c r="AZ761" s="17">
        <v>0</v>
      </c>
      <c r="BA761" s="17">
        <v>0</v>
      </c>
      <c r="BB761" s="17">
        <v>0</v>
      </c>
      <c r="BC761" s="17">
        <v>0</v>
      </c>
      <c r="BD761" s="17">
        <v>0</v>
      </c>
      <c r="BE761" s="17">
        <v>0</v>
      </c>
      <c r="BF761" s="17">
        <v>0</v>
      </c>
      <c r="BG761" s="17">
        <v>0</v>
      </c>
      <c r="BH761" s="17">
        <v>0</v>
      </c>
      <c r="BI761" s="22">
        <f t="shared" si="223"/>
        <v>0</v>
      </c>
      <c r="BJ761" s="22">
        <f t="shared" si="224"/>
        <v>0</v>
      </c>
      <c r="BK761" s="22">
        <f t="shared" si="225"/>
        <v>0</v>
      </c>
      <c r="BL761" s="22">
        <f t="shared" si="226"/>
        <v>0</v>
      </c>
      <c r="BM761" s="22">
        <f t="shared" si="228"/>
        <v>0</v>
      </c>
      <c r="BN761" s="23" t="e">
        <f t="shared" si="229"/>
        <v>#DIV/0!</v>
      </c>
      <c r="BO761" s="23" t="e">
        <f t="shared" si="229"/>
        <v>#DIV/0!</v>
      </c>
      <c r="BP761" s="7" t="e">
        <f>VLOOKUP(A761,[1]Sheet15!B:E,4,0)</f>
        <v>#N/A</v>
      </c>
      <c r="BQ761" s="7" t="e">
        <f>VLOOKUP(A761,[1]Sheet15!B:E,3,0)</f>
        <v>#N/A</v>
      </c>
    </row>
    <row r="762" spans="1:69" ht="22.5" customHeight="1" x14ac:dyDescent="0.25">
      <c r="A762" s="15" t="s">
        <v>1807</v>
      </c>
      <c r="B762" s="15" t="e">
        <f>VLOOKUP(A762,'[1]Master clients'!F741:W4288,17,0)</f>
        <v>#N/A</v>
      </c>
      <c r="C762" s="15" t="e">
        <f>VLOOKUP(A762,'[1]Master clients'!F741:P4288,11,0)</f>
        <v>#N/A</v>
      </c>
      <c r="D762" s="15" t="str">
        <f>VLOOKUP(A762,'[1]Master clients'!F:M,8,0)</f>
        <v>Group (Mills)</v>
      </c>
      <c r="E762" s="16" t="s">
        <v>1808</v>
      </c>
      <c r="F762" s="16" t="s">
        <v>1809</v>
      </c>
      <c r="G762" s="17">
        <v>14</v>
      </c>
      <c r="H762" s="17">
        <v>0</v>
      </c>
      <c r="I762" s="18">
        <v>13</v>
      </c>
      <c r="J762" s="18">
        <v>0</v>
      </c>
      <c r="K762" s="17">
        <v>0</v>
      </c>
      <c r="L762" s="17">
        <v>0</v>
      </c>
      <c r="M762" s="17">
        <v>0</v>
      </c>
      <c r="N762" s="17">
        <v>0</v>
      </c>
      <c r="O762" s="19">
        <v>0</v>
      </c>
      <c r="P762" s="19">
        <v>0</v>
      </c>
      <c r="Q762" s="19">
        <v>5</v>
      </c>
      <c r="R762" s="19">
        <v>0</v>
      </c>
      <c r="S762" s="19">
        <v>0</v>
      </c>
      <c r="T762" s="19">
        <v>0</v>
      </c>
      <c r="U762" s="19">
        <v>0</v>
      </c>
      <c r="V762" s="19">
        <v>0</v>
      </c>
      <c r="W762" s="20">
        <v>0</v>
      </c>
      <c r="X762" s="20">
        <v>0</v>
      </c>
      <c r="Y762" s="19">
        <v>0</v>
      </c>
      <c r="Z762" s="19">
        <v>0</v>
      </c>
      <c r="AA762" s="19">
        <v>0</v>
      </c>
      <c r="AB762" s="19">
        <v>0</v>
      </c>
      <c r="AC762" s="19">
        <v>0</v>
      </c>
      <c r="AD762" s="19">
        <v>0</v>
      </c>
      <c r="AE762" s="19">
        <v>0</v>
      </c>
      <c r="AF762" s="19">
        <v>0</v>
      </c>
      <c r="AG762" s="19">
        <v>0</v>
      </c>
      <c r="AH762" s="19">
        <v>0</v>
      </c>
      <c r="AI762" s="20">
        <v>0</v>
      </c>
      <c r="AJ762" s="20">
        <v>0</v>
      </c>
      <c r="AK762" s="19">
        <v>0</v>
      </c>
      <c r="AL762" s="20">
        <v>0</v>
      </c>
      <c r="AM762" s="19">
        <v>0</v>
      </c>
      <c r="AN762" s="19">
        <v>0</v>
      </c>
      <c r="AO762" s="19">
        <v>0</v>
      </c>
      <c r="AP762" s="19">
        <v>0</v>
      </c>
      <c r="AQ762" s="19">
        <v>0</v>
      </c>
      <c r="AR762" s="19">
        <v>0</v>
      </c>
      <c r="AS762" s="19">
        <v>0</v>
      </c>
      <c r="AT762" s="19">
        <v>0</v>
      </c>
      <c r="AU762" s="19">
        <v>0</v>
      </c>
      <c r="AV762" s="19">
        <v>0</v>
      </c>
      <c r="AW762" s="20">
        <v>0</v>
      </c>
      <c r="AX762" s="20">
        <v>0</v>
      </c>
      <c r="AY762" s="20">
        <v>0</v>
      </c>
      <c r="AZ762" s="19">
        <v>0</v>
      </c>
      <c r="BA762" s="19">
        <v>0</v>
      </c>
      <c r="BB762" s="19">
        <v>0</v>
      </c>
      <c r="BC762" s="19">
        <v>0</v>
      </c>
      <c r="BD762" s="19">
        <v>0</v>
      </c>
      <c r="BE762" s="21">
        <v>0</v>
      </c>
      <c r="BF762" s="21">
        <v>0</v>
      </c>
      <c r="BG762" s="19">
        <v>0</v>
      </c>
      <c r="BH762" s="19">
        <v>0</v>
      </c>
      <c r="BI762" s="22">
        <f t="shared" si="223"/>
        <v>0</v>
      </c>
      <c r="BJ762" s="22">
        <f t="shared" si="224"/>
        <v>5</v>
      </c>
      <c r="BK762" s="22">
        <f t="shared" si="225"/>
        <v>18</v>
      </c>
      <c r="BL762" s="22">
        <f t="shared" si="226"/>
        <v>13</v>
      </c>
      <c r="BM762" s="22">
        <f t="shared" si="228"/>
        <v>5</v>
      </c>
      <c r="BN762" s="23">
        <f t="shared" si="229"/>
        <v>1</v>
      </c>
      <c r="BO762" s="23">
        <f t="shared" si="229"/>
        <v>0</v>
      </c>
      <c r="BP762" s="7">
        <f>VLOOKUP(A762,[1]Sheet15!B:E,4,0)</f>
        <v>13</v>
      </c>
      <c r="BQ762" s="7">
        <f>VLOOKUP(A762,[1]Sheet15!B:E,3,0)</f>
        <v>0</v>
      </c>
    </row>
    <row r="763" spans="1:69" ht="22.5" customHeight="1" x14ac:dyDescent="0.25">
      <c r="A763" s="15" t="s">
        <v>1810</v>
      </c>
      <c r="B763" s="15">
        <f>VLOOKUP(A763,'[1]Master clients'!F742:W4289,17,0)</f>
        <v>0</v>
      </c>
      <c r="C763" s="15" t="str">
        <f>VLOOKUP(A763,'[1]Master clients'!F742:P4289,11,0)</f>
        <v>AV</v>
      </c>
      <c r="D763" s="15" t="str">
        <f>VLOOKUP(A763,'[1]Master clients'!F:M,8,0)</f>
        <v>End User</v>
      </c>
      <c r="E763" s="16" t="s">
        <v>1811</v>
      </c>
      <c r="F763" s="16" t="s">
        <v>1145</v>
      </c>
      <c r="G763" s="17"/>
      <c r="H763" s="17"/>
      <c r="I763" s="26">
        <v>12</v>
      </c>
      <c r="J763" s="31">
        <v>0</v>
      </c>
      <c r="K763" s="17">
        <v>0</v>
      </c>
      <c r="L763" s="17">
        <v>0</v>
      </c>
      <c r="M763" s="17">
        <v>0</v>
      </c>
      <c r="N763" s="17">
        <v>0</v>
      </c>
      <c r="O763" s="17">
        <v>0</v>
      </c>
      <c r="P763" s="17">
        <v>0</v>
      </c>
      <c r="Q763" s="17">
        <v>0</v>
      </c>
      <c r="R763" s="17">
        <v>0</v>
      </c>
      <c r="S763" s="17">
        <v>0</v>
      </c>
      <c r="T763" s="17">
        <v>0</v>
      </c>
      <c r="U763" s="17">
        <v>0</v>
      </c>
      <c r="V763" s="17">
        <v>0</v>
      </c>
      <c r="W763" s="17">
        <v>0</v>
      </c>
      <c r="X763" s="17">
        <v>0</v>
      </c>
      <c r="Y763" s="17">
        <v>0</v>
      </c>
      <c r="Z763" s="17">
        <v>0</v>
      </c>
      <c r="AA763" s="17">
        <v>0</v>
      </c>
      <c r="AB763" s="17">
        <v>0</v>
      </c>
      <c r="AC763" s="17">
        <v>0</v>
      </c>
      <c r="AD763" s="17">
        <v>0</v>
      </c>
      <c r="AE763" s="17">
        <v>0</v>
      </c>
      <c r="AF763" s="17">
        <v>0</v>
      </c>
      <c r="AG763" s="17">
        <v>0</v>
      </c>
      <c r="AH763" s="17">
        <v>0</v>
      </c>
      <c r="AI763" s="17">
        <v>0</v>
      </c>
      <c r="AJ763" s="17">
        <v>0</v>
      </c>
      <c r="AK763" s="17">
        <v>0</v>
      </c>
      <c r="AL763" s="17">
        <v>0</v>
      </c>
      <c r="AM763" s="17">
        <v>0</v>
      </c>
      <c r="AN763" s="17">
        <v>0</v>
      </c>
      <c r="AO763" s="17">
        <v>0</v>
      </c>
      <c r="AP763" s="17">
        <v>0</v>
      </c>
      <c r="AQ763" s="17">
        <v>0</v>
      </c>
      <c r="AR763" s="17">
        <v>0</v>
      </c>
      <c r="AS763" s="17">
        <v>0</v>
      </c>
      <c r="AT763" s="17">
        <v>0</v>
      </c>
      <c r="AU763" s="17">
        <v>0</v>
      </c>
      <c r="AV763" s="17">
        <v>0</v>
      </c>
      <c r="AW763" s="17">
        <v>0</v>
      </c>
      <c r="AX763" s="17">
        <v>0</v>
      </c>
      <c r="AY763" s="17">
        <v>0</v>
      </c>
      <c r="AZ763" s="17">
        <v>0</v>
      </c>
      <c r="BA763" s="17">
        <v>0</v>
      </c>
      <c r="BB763" s="17">
        <v>0</v>
      </c>
      <c r="BC763" s="17">
        <v>0</v>
      </c>
      <c r="BD763" s="17">
        <v>0</v>
      </c>
      <c r="BE763" s="17">
        <v>0</v>
      </c>
      <c r="BF763" s="17">
        <v>0</v>
      </c>
      <c r="BG763" s="17">
        <v>0</v>
      </c>
      <c r="BH763" s="17">
        <v>0</v>
      </c>
      <c r="BI763" s="22">
        <f t="shared" si="223"/>
        <v>0</v>
      </c>
      <c r="BJ763" s="22">
        <f t="shared" si="224"/>
        <v>0</v>
      </c>
      <c r="BK763" s="28">
        <f t="shared" si="225"/>
        <v>12</v>
      </c>
      <c r="BL763" s="22">
        <f t="shared" si="226"/>
        <v>12</v>
      </c>
      <c r="BM763" s="22">
        <f t="shared" si="228"/>
        <v>0</v>
      </c>
      <c r="BN763" s="23">
        <f t="shared" si="229"/>
        <v>1</v>
      </c>
      <c r="BO763" s="23" t="e">
        <f t="shared" si="229"/>
        <v>#DIV/0!</v>
      </c>
      <c r="BP763" s="7">
        <f>VLOOKUP(A763,[1]Sheet15!B:E,4,0)</f>
        <v>12</v>
      </c>
      <c r="BQ763" s="7">
        <f>VLOOKUP(A763,[1]Sheet15!B:E,3,0)</f>
        <v>0</v>
      </c>
    </row>
    <row r="764" spans="1:69" ht="22.5" customHeight="1" x14ac:dyDescent="0.25">
      <c r="A764" s="15" t="s">
        <v>1812</v>
      </c>
      <c r="B764" s="15" t="str">
        <f>VLOOKUP(A764,'[1]Master clients'!F743:W4290,17,0)</f>
        <v>Apr</v>
      </c>
      <c r="C764" s="15" t="str">
        <f>VLOOKUP(A764,'[1]Master clients'!F743:P4290,11,0)</f>
        <v>AV</v>
      </c>
      <c r="D764" s="15" t="str">
        <f>VLOOKUP(A764,'[1]Master clients'!F:M,8,0)</f>
        <v>Group (Mills)</v>
      </c>
      <c r="E764" s="16" t="s">
        <v>1813</v>
      </c>
      <c r="F764" s="16" t="s">
        <v>1145</v>
      </c>
      <c r="G764" s="17">
        <v>26</v>
      </c>
      <c r="H764" s="17">
        <v>0</v>
      </c>
      <c r="I764" s="18">
        <v>22</v>
      </c>
      <c r="J764" s="18">
        <v>0</v>
      </c>
      <c r="K764" s="17">
        <v>1</v>
      </c>
      <c r="L764" s="17">
        <v>0</v>
      </c>
      <c r="M764" s="17">
        <v>0</v>
      </c>
      <c r="N764" s="17">
        <v>0</v>
      </c>
      <c r="O764" s="19">
        <v>0</v>
      </c>
      <c r="P764" s="19">
        <v>0</v>
      </c>
      <c r="Q764" s="19">
        <v>10</v>
      </c>
      <c r="R764" s="19">
        <v>0</v>
      </c>
      <c r="S764" s="19">
        <v>0</v>
      </c>
      <c r="T764" s="19">
        <v>0</v>
      </c>
      <c r="U764" s="19">
        <v>0</v>
      </c>
      <c r="V764" s="19">
        <v>0</v>
      </c>
      <c r="W764" s="20">
        <v>0</v>
      </c>
      <c r="X764" s="20">
        <v>0</v>
      </c>
      <c r="Y764" s="19">
        <v>0</v>
      </c>
      <c r="Z764" s="19">
        <v>0</v>
      </c>
      <c r="AA764" s="19">
        <v>0</v>
      </c>
      <c r="AB764" s="19">
        <v>0</v>
      </c>
      <c r="AC764" s="19">
        <v>0</v>
      </c>
      <c r="AD764" s="19">
        <v>0</v>
      </c>
      <c r="AE764" s="19">
        <v>0</v>
      </c>
      <c r="AF764" s="19">
        <v>0</v>
      </c>
      <c r="AG764" s="19">
        <v>0</v>
      </c>
      <c r="AH764" s="19">
        <v>0</v>
      </c>
      <c r="AI764" s="20">
        <v>0</v>
      </c>
      <c r="AJ764" s="20">
        <v>0</v>
      </c>
      <c r="AK764" s="19">
        <v>0</v>
      </c>
      <c r="AL764" s="20">
        <v>0</v>
      </c>
      <c r="AM764" s="19">
        <v>0</v>
      </c>
      <c r="AN764" s="19">
        <v>0</v>
      </c>
      <c r="AO764" s="19">
        <v>0</v>
      </c>
      <c r="AP764" s="19">
        <v>0</v>
      </c>
      <c r="AQ764" s="19">
        <v>0</v>
      </c>
      <c r="AR764" s="19">
        <v>0</v>
      </c>
      <c r="AS764" s="19">
        <v>0</v>
      </c>
      <c r="AT764" s="19">
        <v>0</v>
      </c>
      <c r="AU764" s="19">
        <v>0</v>
      </c>
      <c r="AV764" s="19">
        <v>0</v>
      </c>
      <c r="AW764" s="20">
        <v>0</v>
      </c>
      <c r="AX764" s="20">
        <v>0</v>
      </c>
      <c r="AY764" s="20">
        <v>0</v>
      </c>
      <c r="AZ764" s="19">
        <v>0</v>
      </c>
      <c r="BA764" s="19">
        <v>0</v>
      </c>
      <c r="BB764" s="19">
        <v>0</v>
      </c>
      <c r="BC764" s="19">
        <v>1</v>
      </c>
      <c r="BD764" s="19">
        <v>0</v>
      </c>
      <c r="BE764" s="21">
        <v>0</v>
      </c>
      <c r="BF764" s="21">
        <v>0</v>
      </c>
      <c r="BG764" s="19">
        <v>0</v>
      </c>
      <c r="BH764" s="19">
        <v>0</v>
      </c>
      <c r="BI764" s="22">
        <f t="shared" si="223"/>
        <v>2</v>
      </c>
      <c r="BJ764" s="22">
        <f t="shared" si="224"/>
        <v>10</v>
      </c>
      <c r="BK764" s="22">
        <f t="shared" si="225"/>
        <v>34</v>
      </c>
      <c r="BL764" s="22">
        <f t="shared" si="226"/>
        <v>24</v>
      </c>
      <c r="BM764" s="22">
        <f t="shared" si="228"/>
        <v>10</v>
      </c>
      <c r="BN764" s="23">
        <f t="shared" si="229"/>
        <v>0.91666666666666663</v>
      </c>
      <c r="BO764" s="23">
        <f t="shared" si="229"/>
        <v>0</v>
      </c>
      <c r="BP764" s="7">
        <f>VLOOKUP(A764,[1]Sheet15!B:E,4,0)</f>
        <v>12</v>
      </c>
      <c r="BQ764" s="7">
        <f>VLOOKUP(A764,[1]Sheet15!B:E,3,0)</f>
        <v>0</v>
      </c>
    </row>
    <row r="765" spans="1:69" ht="22.5" customHeight="1" x14ac:dyDescent="0.25">
      <c r="A765" s="15" t="s">
        <v>1814</v>
      </c>
      <c r="B765" s="15" t="str">
        <f>VLOOKUP(A765,'[1]Master clients'!F744:W4291,17,0)</f>
        <v>Apr</v>
      </c>
      <c r="C765" s="15" t="str">
        <f>VLOOKUP(A765,'[1]Master clients'!F744:P4291,11,0)</f>
        <v>MRK</v>
      </c>
      <c r="D765" s="15" t="str">
        <f>VLOOKUP(A765,'[1]Master clients'!F:M,8,0)</f>
        <v>Group (Mills)</v>
      </c>
      <c r="E765" s="16" t="s">
        <v>1815</v>
      </c>
      <c r="F765" s="16" t="s">
        <v>1145</v>
      </c>
      <c r="G765" s="17">
        <v>13</v>
      </c>
      <c r="H765" s="17"/>
      <c r="I765" s="26">
        <v>13</v>
      </c>
      <c r="J765" s="31">
        <v>0</v>
      </c>
      <c r="K765" s="17">
        <v>0</v>
      </c>
      <c r="L765" s="17">
        <v>0</v>
      </c>
      <c r="M765" s="17">
        <v>0</v>
      </c>
      <c r="N765" s="17">
        <v>0</v>
      </c>
      <c r="O765" s="17">
        <v>0</v>
      </c>
      <c r="P765" s="17">
        <v>8</v>
      </c>
      <c r="Q765" s="17">
        <v>0</v>
      </c>
      <c r="R765" s="17">
        <v>0</v>
      </c>
      <c r="S765" s="17">
        <v>0</v>
      </c>
      <c r="T765" s="17">
        <v>0</v>
      </c>
      <c r="U765" s="17">
        <v>0</v>
      </c>
      <c r="V765" s="17">
        <v>0</v>
      </c>
      <c r="W765" s="17">
        <v>0</v>
      </c>
      <c r="X765" s="17">
        <v>0</v>
      </c>
      <c r="Y765" s="17">
        <v>0</v>
      </c>
      <c r="Z765" s="17">
        <v>0</v>
      </c>
      <c r="AA765" s="17">
        <v>0</v>
      </c>
      <c r="AB765" s="17">
        <v>0</v>
      </c>
      <c r="AC765" s="17">
        <v>0</v>
      </c>
      <c r="AD765" s="17">
        <v>0</v>
      </c>
      <c r="AE765" s="17">
        <v>0</v>
      </c>
      <c r="AF765" s="17">
        <v>0</v>
      </c>
      <c r="AG765" s="17">
        <v>0</v>
      </c>
      <c r="AH765" s="17">
        <v>0</v>
      </c>
      <c r="AI765" s="17">
        <v>0</v>
      </c>
      <c r="AJ765" s="17">
        <v>0</v>
      </c>
      <c r="AK765" s="17">
        <v>0</v>
      </c>
      <c r="AL765" s="17">
        <v>0</v>
      </c>
      <c r="AM765" s="17">
        <v>0</v>
      </c>
      <c r="AN765" s="17">
        <v>0</v>
      </c>
      <c r="AO765" s="17">
        <v>0</v>
      </c>
      <c r="AP765" s="17">
        <v>0</v>
      </c>
      <c r="AQ765" s="17">
        <v>0</v>
      </c>
      <c r="AR765" s="17">
        <v>0</v>
      </c>
      <c r="AS765" s="17">
        <v>0</v>
      </c>
      <c r="AT765" s="17">
        <v>0</v>
      </c>
      <c r="AU765" s="17">
        <v>0</v>
      </c>
      <c r="AV765" s="17">
        <v>0</v>
      </c>
      <c r="AW765" s="17">
        <v>0</v>
      </c>
      <c r="AX765" s="17">
        <v>0</v>
      </c>
      <c r="AY765" s="17">
        <v>0</v>
      </c>
      <c r="AZ765" s="17">
        <v>0</v>
      </c>
      <c r="BA765" s="17">
        <v>0</v>
      </c>
      <c r="BB765" s="17">
        <v>0</v>
      </c>
      <c r="BC765" s="17">
        <v>0</v>
      </c>
      <c r="BD765" s="17">
        <v>0</v>
      </c>
      <c r="BE765" s="17">
        <v>0</v>
      </c>
      <c r="BF765" s="17">
        <v>0</v>
      </c>
      <c r="BG765" s="17">
        <v>0</v>
      </c>
      <c r="BH765" s="17">
        <v>0</v>
      </c>
      <c r="BI765" s="22">
        <f t="shared" si="223"/>
        <v>8</v>
      </c>
      <c r="BJ765" s="22">
        <f t="shared" si="224"/>
        <v>0</v>
      </c>
      <c r="BK765" s="28">
        <f t="shared" si="225"/>
        <v>21</v>
      </c>
      <c r="BL765" s="22">
        <f t="shared" si="226"/>
        <v>21</v>
      </c>
      <c r="BM765" s="22">
        <f t="shared" si="228"/>
        <v>0</v>
      </c>
      <c r="BN765" s="23">
        <f t="shared" si="229"/>
        <v>0.61904761904761907</v>
      </c>
      <c r="BO765" s="23" t="e">
        <f t="shared" si="229"/>
        <v>#DIV/0!</v>
      </c>
      <c r="BP765" s="7">
        <f>VLOOKUP(A765,[1]Sheet15!B:E,4,0)</f>
        <v>1</v>
      </c>
      <c r="BQ765" s="7">
        <f>VLOOKUP(A765,[1]Sheet15!B:E,3,0)</f>
        <v>0</v>
      </c>
    </row>
    <row r="766" spans="1:69" ht="22.5" customHeight="1" x14ac:dyDescent="0.25">
      <c r="A766" s="15" t="s">
        <v>1816</v>
      </c>
      <c r="B766" s="15" t="e">
        <f>VLOOKUP(A766,'[1]Master clients'!F745:W4292,17,0)</f>
        <v>#N/A</v>
      </c>
      <c r="C766" s="15" t="e">
        <f>VLOOKUP(A766,'[1]Master clients'!F745:P4292,11,0)</f>
        <v>#N/A</v>
      </c>
      <c r="D766" s="15" t="str">
        <f>VLOOKUP(A766,'[1]Master clients'!F:M,8,0)</f>
        <v>End User</v>
      </c>
      <c r="E766" s="16" t="s">
        <v>1817</v>
      </c>
      <c r="F766" s="16" t="s">
        <v>1145</v>
      </c>
      <c r="G766" s="17"/>
      <c r="H766" s="17"/>
      <c r="I766" s="26">
        <v>1</v>
      </c>
      <c r="J766" s="31">
        <v>0</v>
      </c>
      <c r="K766" s="17">
        <v>0</v>
      </c>
      <c r="L766" s="17">
        <v>0</v>
      </c>
      <c r="M766" s="17">
        <v>0</v>
      </c>
      <c r="N766" s="17">
        <v>0</v>
      </c>
      <c r="O766" s="17">
        <v>0</v>
      </c>
      <c r="P766" s="17">
        <v>0</v>
      </c>
      <c r="Q766" s="17">
        <v>0</v>
      </c>
      <c r="R766" s="17">
        <v>0</v>
      </c>
      <c r="S766" s="17">
        <v>0</v>
      </c>
      <c r="T766" s="17">
        <v>0</v>
      </c>
      <c r="U766" s="17">
        <v>0</v>
      </c>
      <c r="V766" s="17">
        <v>0</v>
      </c>
      <c r="W766" s="17">
        <v>0</v>
      </c>
      <c r="X766" s="17">
        <v>0</v>
      </c>
      <c r="Y766" s="17">
        <v>0</v>
      </c>
      <c r="Z766" s="17">
        <v>0</v>
      </c>
      <c r="AA766" s="17">
        <v>0</v>
      </c>
      <c r="AB766" s="17">
        <v>0</v>
      </c>
      <c r="AC766" s="17">
        <v>0</v>
      </c>
      <c r="AD766" s="17">
        <v>0</v>
      </c>
      <c r="AE766" s="17">
        <v>0</v>
      </c>
      <c r="AF766" s="17">
        <v>0</v>
      </c>
      <c r="AG766" s="17">
        <v>0</v>
      </c>
      <c r="AH766" s="17">
        <v>0</v>
      </c>
      <c r="AI766" s="17">
        <v>0</v>
      </c>
      <c r="AJ766" s="17">
        <v>0</v>
      </c>
      <c r="AK766" s="17">
        <v>0</v>
      </c>
      <c r="AL766" s="17">
        <v>0</v>
      </c>
      <c r="AM766" s="17">
        <v>0</v>
      </c>
      <c r="AN766" s="17">
        <v>0</v>
      </c>
      <c r="AO766" s="17">
        <v>0</v>
      </c>
      <c r="AP766" s="17">
        <v>0</v>
      </c>
      <c r="AQ766" s="17">
        <v>0</v>
      </c>
      <c r="AR766" s="17">
        <v>0</v>
      </c>
      <c r="AS766" s="17">
        <v>0</v>
      </c>
      <c r="AT766" s="17">
        <v>0</v>
      </c>
      <c r="AU766" s="17">
        <v>0</v>
      </c>
      <c r="AV766" s="17">
        <v>0</v>
      </c>
      <c r="AW766" s="17">
        <v>0</v>
      </c>
      <c r="AX766" s="17">
        <v>0</v>
      </c>
      <c r="AY766" s="17">
        <v>0</v>
      </c>
      <c r="AZ766" s="17">
        <v>0</v>
      </c>
      <c r="BA766" s="17">
        <v>0</v>
      </c>
      <c r="BB766" s="17">
        <v>0</v>
      </c>
      <c r="BC766" s="17">
        <v>0</v>
      </c>
      <c r="BD766" s="17">
        <v>0</v>
      </c>
      <c r="BE766" s="17">
        <v>0</v>
      </c>
      <c r="BF766" s="17">
        <v>0</v>
      </c>
      <c r="BG766" s="17">
        <v>0</v>
      </c>
      <c r="BH766" s="17">
        <v>0</v>
      </c>
      <c r="BI766" s="22">
        <f t="shared" si="223"/>
        <v>0</v>
      </c>
      <c r="BJ766" s="22">
        <f t="shared" si="224"/>
        <v>0</v>
      </c>
      <c r="BK766" s="28">
        <f t="shared" si="225"/>
        <v>1</v>
      </c>
      <c r="BL766" s="22">
        <f t="shared" si="226"/>
        <v>1</v>
      </c>
      <c r="BM766" s="22">
        <f t="shared" si="228"/>
        <v>0</v>
      </c>
      <c r="BN766" s="23">
        <f t="shared" si="229"/>
        <v>1</v>
      </c>
      <c r="BO766" s="23" t="e">
        <f t="shared" si="229"/>
        <v>#DIV/0!</v>
      </c>
      <c r="BP766" s="7">
        <f>VLOOKUP(A766,[1]Sheet15!B:E,4,0)</f>
        <v>1</v>
      </c>
      <c r="BQ766" s="7">
        <f>VLOOKUP(A766,[1]Sheet15!B:E,3,0)</f>
        <v>0</v>
      </c>
    </row>
    <row r="767" spans="1:69" ht="22.5" customHeight="1" x14ac:dyDescent="0.25">
      <c r="A767" s="15" t="s">
        <v>1818</v>
      </c>
      <c r="B767" s="15" t="str">
        <f>VLOOKUP(A767,'[1]Master clients'!F746:W4293,17,0)</f>
        <v>May</v>
      </c>
      <c r="C767" s="15" t="str">
        <f>VLOOKUP(A767,'[1]Master clients'!F746:P4293,11,0)</f>
        <v>MRK</v>
      </c>
      <c r="D767" s="15" t="str">
        <f>VLOOKUP(A767,'[1]Master clients'!F:M,8,0)</f>
        <v>End User</v>
      </c>
      <c r="E767" s="16" t="s">
        <v>1819</v>
      </c>
      <c r="F767" s="16" t="s">
        <v>1145</v>
      </c>
      <c r="G767" s="17"/>
      <c r="H767" s="17">
        <v>1</v>
      </c>
      <c r="I767" s="26">
        <v>3</v>
      </c>
      <c r="J767" s="31">
        <v>1</v>
      </c>
      <c r="K767" s="17">
        <v>0</v>
      </c>
      <c r="L767" s="17">
        <v>0</v>
      </c>
      <c r="M767" s="17">
        <v>0</v>
      </c>
      <c r="N767" s="17">
        <v>0</v>
      </c>
      <c r="O767" s="17">
        <v>0</v>
      </c>
      <c r="P767" s="17">
        <v>0</v>
      </c>
      <c r="Q767" s="17">
        <v>0</v>
      </c>
      <c r="R767" s="17">
        <v>0</v>
      </c>
      <c r="S767" s="17">
        <v>0</v>
      </c>
      <c r="T767" s="17">
        <v>0</v>
      </c>
      <c r="U767" s="17">
        <v>0</v>
      </c>
      <c r="V767" s="17">
        <v>0</v>
      </c>
      <c r="W767" s="17">
        <v>0</v>
      </c>
      <c r="X767" s="17">
        <v>0</v>
      </c>
      <c r="Y767" s="17">
        <v>0</v>
      </c>
      <c r="Z767" s="17">
        <v>0</v>
      </c>
      <c r="AA767" s="17">
        <v>0</v>
      </c>
      <c r="AB767" s="17">
        <v>0</v>
      </c>
      <c r="AC767" s="17">
        <v>0</v>
      </c>
      <c r="AD767" s="17">
        <v>0</v>
      </c>
      <c r="AE767" s="17">
        <v>0</v>
      </c>
      <c r="AF767" s="17">
        <v>0</v>
      </c>
      <c r="AG767" s="17">
        <v>0</v>
      </c>
      <c r="AH767" s="17">
        <v>0</v>
      </c>
      <c r="AI767" s="17">
        <v>0</v>
      </c>
      <c r="AJ767" s="17">
        <v>0</v>
      </c>
      <c r="AK767" s="17">
        <v>0</v>
      </c>
      <c r="AL767" s="17">
        <v>0</v>
      </c>
      <c r="AM767" s="17">
        <v>0</v>
      </c>
      <c r="AN767" s="17">
        <v>0</v>
      </c>
      <c r="AO767" s="17">
        <v>0</v>
      </c>
      <c r="AP767" s="17">
        <v>0</v>
      </c>
      <c r="AQ767" s="17">
        <v>0</v>
      </c>
      <c r="AR767" s="17">
        <v>0</v>
      </c>
      <c r="AS767" s="17">
        <v>0</v>
      </c>
      <c r="AT767" s="17">
        <v>0</v>
      </c>
      <c r="AU767" s="17">
        <v>0</v>
      </c>
      <c r="AV767" s="17">
        <v>0</v>
      </c>
      <c r="AW767" s="17">
        <v>0</v>
      </c>
      <c r="AX767" s="17">
        <v>0</v>
      </c>
      <c r="AY767" s="17">
        <v>0</v>
      </c>
      <c r="AZ767" s="17">
        <v>0</v>
      </c>
      <c r="BA767" s="17">
        <v>0</v>
      </c>
      <c r="BB767" s="17">
        <v>0</v>
      </c>
      <c r="BC767" s="17">
        <v>0</v>
      </c>
      <c r="BD767" s="17">
        <v>0</v>
      </c>
      <c r="BE767" s="17">
        <v>0</v>
      </c>
      <c r="BF767" s="17">
        <v>0</v>
      </c>
      <c r="BG767" s="17">
        <v>0</v>
      </c>
      <c r="BH767" s="17">
        <v>0</v>
      </c>
      <c r="BI767" s="22">
        <f t="shared" si="223"/>
        <v>0</v>
      </c>
      <c r="BJ767" s="22">
        <f t="shared" si="224"/>
        <v>0</v>
      </c>
      <c r="BK767" s="28">
        <f t="shared" si="225"/>
        <v>4</v>
      </c>
      <c r="BL767" s="22">
        <f t="shared" si="226"/>
        <v>3</v>
      </c>
      <c r="BM767" s="22">
        <f t="shared" si="228"/>
        <v>1</v>
      </c>
      <c r="BN767" s="23">
        <f t="shared" si="229"/>
        <v>1</v>
      </c>
      <c r="BO767" s="23">
        <f t="shared" si="229"/>
        <v>1</v>
      </c>
      <c r="BP767" s="7">
        <f>VLOOKUP(A767,[1]Sheet15!B:E,4,0)</f>
        <v>3</v>
      </c>
      <c r="BQ767" s="7">
        <f>VLOOKUP(A767,[1]Sheet15!B:E,3,0)</f>
        <v>1</v>
      </c>
    </row>
    <row r="768" spans="1:69" ht="22.5" customHeight="1" x14ac:dyDescent="0.25">
      <c r="A768" s="15" t="s">
        <v>1820</v>
      </c>
      <c r="B768" s="15" t="e">
        <f>VLOOKUP(A768,'[1]Master clients'!F747:W4294,17,0)</f>
        <v>#N/A</v>
      </c>
      <c r="C768" s="15" t="e">
        <f>VLOOKUP(A768,'[1]Master clients'!F747:P4294,11,0)</f>
        <v>#N/A</v>
      </c>
      <c r="D768" s="15" t="str">
        <f>VLOOKUP(A768,'[1]Master clients'!F:M,8,0)</f>
        <v>End User</v>
      </c>
      <c r="E768" s="24" t="s">
        <v>1821</v>
      </c>
      <c r="F768" s="25" t="s">
        <v>1822</v>
      </c>
      <c r="G768" s="20">
        <v>0</v>
      </c>
      <c r="H768" s="20">
        <v>0</v>
      </c>
      <c r="I768" s="26">
        <v>15</v>
      </c>
      <c r="J768" s="26">
        <v>0</v>
      </c>
      <c r="K768" s="20">
        <v>0</v>
      </c>
      <c r="L768" s="20">
        <v>0</v>
      </c>
      <c r="M768" s="20">
        <v>0</v>
      </c>
      <c r="N768" s="20">
        <v>0</v>
      </c>
      <c r="O768" s="20">
        <v>0</v>
      </c>
      <c r="P768" s="20">
        <v>0</v>
      </c>
      <c r="Q768" s="20">
        <v>0</v>
      </c>
      <c r="R768" s="20">
        <v>0</v>
      </c>
      <c r="S768" s="20">
        <v>0</v>
      </c>
      <c r="T768" s="20">
        <v>0</v>
      </c>
      <c r="U768" s="20">
        <v>0</v>
      </c>
      <c r="V768" s="20">
        <v>0</v>
      </c>
      <c r="W768" s="20">
        <v>0</v>
      </c>
      <c r="X768" s="20">
        <v>0</v>
      </c>
      <c r="Y768" s="20">
        <v>0</v>
      </c>
      <c r="Z768" s="20">
        <v>0</v>
      </c>
      <c r="AA768" s="20">
        <v>0</v>
      </c>
      <c r="AB768" s="20">
        <v>0</v>
      </c>
      <c r="AC768" s="20">
        <v>0</v>
      </c>
      <c r="AD768" s="20">
        <v>0</v>
      </c>
      <c r="AE768" s="20">
        <v>0</v>
      </c>
      <c r="AF768" s="20">
        <v>0</v>
      </c>
      <c r="AG768" s="20">
        <v>0</v>
      </c>
      <c r="AH768" s="20">
        <v>0</v>
      </c>
      <c r="AI768" s="20">
        <v>0</v>
      </c>
      <c r="AJ768" s="20">
        <v>0</v>
      </c>
      <c r="AK768" s="20">
        <v>0</v>
      </c>
      <c r="AL768" s="20">
        <v>0</v>
      </c>
      <c r="AM768" s="20">
        <v>0</v>
      </c>
      <c r="AN768" s="20">
        <v>0</v>
      </c>
      <c r="AO768" s="20">
        <v>0</v>
      </c>
      <c r="AP768" s="20">
        <v>0</v>
      </c>
      <c r="AQ768" s="20">
        <v>0</v>
      </c>
      <c r="AR768" s="20">
        <v>0</v>
      </c>
      <c r="AS768" s="20">
        <v>0</v>
      </c>
      <c r="AT768" s="20">
        <v>0</v>
      </c>
      <c r="AU768" s="20">
        <v>0</v>
      </c>
      <c r="AV768" s="20">
        <v>0</v>
      </c>
      <c r="AW768" s="20">
        <v>0</v>
      </c>
      <c r="AX768" s="20">
        <v>0</v>
      </c>
      <c r="AY768" s="20">
        <v>0</v>
      </c>
      <c r="AZ768" s="20">
        <v>0</v>
      </c>
      <c r="BA768" s="20">
        <v>0</v>
      </c>
      <c r="BB768" s="27">
        <v>0</v>
      </c>
      <c r="BC768" s="20">
        <v>0</v>
      </c>
      <c r="BD768" s="20">
        <v>0</v>
      </c>
      <c r="BE768" s="21">
        <v>0</v>
      </c>
      <c r="BF768" s="21">
        <v>0</v>
      </c>
      <c r="BG768" s="20">
        <v>0</v>
      </c>
      <c r="BH768" s="20">
        <v>0</v>
      </c>
      <c r="BI768" s="22">
        <f t="shared" si="223"/>
        <v>0</v>
      </c>
      <c r="BJ768" s="22">
        <f t="shared" si="224"/>
        <v>0</v>
      </c>
      <c r="BK768" s="28">
        <f t="shared" si="225"/>
        <v>15</v>
      </c>
      <c r="BL768" s="22">
        <f t="shared" si="226"/>
        <v>15</v>
      </c>
      <c r="BM768" s="22">
        <f t="shared" si="228"/>
        <v>0</v>
      </c>
      <c r="BN768" s="23">
        <f t="shared" ref="BN768:BO783" si="230">I768/BL768</f>
        <v>1</v>
      </c>
      <c r="BO768" s="23" t="e">
        <f t="shared" si="230"/>
        <v>#DIV/0!</v>
      </c>
      <c r="BP768" s="7">
        <f>VLOOKUP(A768,[1]Sheet15!B:E,4,0)</f>
        <v>21</v>
      </c>
      <c r="BQ768" s="7">
        <f>VLOOKUP(A768,[1]Sheet15!B:E,3,0)</f>
        <v>0</v>
      </c>
    </row>
    <row r="769" spans="1:69" ht="22.5" customHeight="1" x14ac:dyDescent="0.25">
      <c r="A769" s="15" t="s">
        <v>1823</v>
      </c>
      <c r="B769" s="15" t="e">
        <f>VLOOKUP(A769,'[1]Master clients'!F748:W4295,17,0)</f>
        <v>#N/A</v>
      </c>
      <c r="C769" s="15" t="e">
        <f>VLOOKUP(A769,'[1]Master clients'!F748:P4295,11,0)</f>
        <v>#N/A</v>
      </c>
      <c r="D769" s="15" t="str">
        <f>VLOOKUP(A769,'[1]Master clients'!F:M,8,0)</f>
        <v>End User</v>
      </c>
      <c r="E769" s="16" t="s">
        <v>1824</v>
      </c>
      <c r="F769" s="16" t="s">
        <v>1825</v>
      </c>
      <c r="G769" s="17">
        <v>21</v>
      </c>
      <c r="H769" s="17">
        <v>0</v>
      </c>
      <c r="I769" s="18">
        <v>13</v>
      </c>
      <c r="J769" s="18">
        <v>1</v>
      </c>
      <c r="K769" s="17">
        <v>0</v>
      </c>
      <c r="L769" s="17">
        <v>0</v>
      </c>
      <c r="M769" s="17">
        <v>0</v>
      </c>
      <c r="N769" s="17">
        <v>0</v>
      </c>
      <c r="O769" s="19">
        <v>0</v>
      </c>
      <c r="P769" s="19">
        <v>0</v>
      </c>
      <c r="Q769" s="19">
        <v>3</v>
      </c>
      <c r="R769" s="19">
        <v>0</v>
      </c>
      <c r="S769" s="19">
        <v>0</v>
      </c>
      <c r="T769" s="19">
        <v>0</v>
      </c>
      <c r="U769" s="19">
        <v>0</v>
      </c>
      <c r="V769" s="19">
        <v>0</v>
      </c>
      <c r="W769" s="20">
        <v>0</v>
      </c>
      <c r="X769" s="20">
        <v>0</v>
      </c>
      <c r="Y769" s="19">
        <v>0</v>
      </c>
      <c r="Z769" s="19">
        <v>0</v>
      </c>
      <c r="AA769" s="19">
        <v>2</v>
      </c>
      <c r="AB769" s="19">
        <v>0</v>
      </c>
      <c r="AC769" s="19">
        <v>0</v>
      </c>
      <c r="AD769" s="19">
        <v>0</v>
      </c>
      <c r="AE769" s="19">
        <v>0</v>
      </c>
      <c r="AF769" s="19">
        <v>0</v>
      </c>
      <c r="AG769" s="19">
        <v>0</v>
      </c>
      <c r="AH769" s="19">
        <v>0</v>
      </c>
      <c r="AI769" s="20">
        <v>0</v>
      </c>
      <c r="AJ769" s="20">
        <v>0</v>
      </c>
      <c r="AK769" s="19">
        <v>0</v>
      </c>
      <c r="AL769" s="20">
        <v>0</v>
      </c>
      <c r="AM769" s="19">
        <v>0</v>
      </c>
      <c r="AN769" s="19">
        <v>0</v>
      </c>
      <c r="AO769" s="19">
        <v>0</v>
      </c>
      <c r="AP769" s="19">
        <v>0</v>
      </c>
      <c r="AQ769" s="19">
        <v>3</v>
      </c>
      <c r="AR769" s="19">
        <v>0</v>
      </c>
      <c r="AS769" s="19">
        <v>0</v>
      </c>
      <c r="AT769" s="19">
        <v>0</v>
      </c>
      <c r="AU769" s="19">
        <v>0</v>
      </c>
      <c r="AV769" s="19">
        <v>0</v>
      </c>
      <c r="AW769" s="20">
        <v>0</v>
      </c>
      <c r="AX769" s="20">
        <v>0</v>
      </c>
      <c r="AY769" s="20">
        <v>0</v>
      </c>
      <c r="AZ769" s="19">
        <v>0</v>
      </c>
      <c r="BA769" s="19">
        <v>0</v>
      </c>
      <c r="BB769" s="19">
        <v>0</v>
      </c>
      <c r="BC769" s="19">
        <v>0</v>
      </c>
      <c r="BD769" s="19">
        <v>0</v>
      </c>
      <c r="BE769" s="21">
        <v>0</v>
      </c>
      <c r="BF769" s="21">
        <v>0</v>
      </c>
      <c r="BG769" s="19">
        <v>0</v>
      </c>
      <c r="BH769" s="19">
        <v>0</v>
      </c>
      <c r="BI769" s="22">
        <f t="shared" si="223"/>
        <v>0</v>
      </c>
      <c r="BJ769" s="22">
        <f t="shared" si="224"/>
        <v>8</v>
      </c>
      <c r="BK769" s="22">
        <f t="shared" si="225"/>
        <v>22</v>
      </c>
      <c r="BL769" s="22">
        <f t="shared" si="226"/>
        <v>13</v>
      </c>
      <c r="BM769" s="22">
        <f t="shared" si="228"/>
        <v>9</v>
      </c>
      <c r="BN769" s="23">
        <f t="shared" si="230"/>
        <v>1</v>
      </c>
      <c r="BO769" s="23">
        <f t="shared" si="230"/>
        <v>0.1111111111111111</v>
      </c>
      <c r="BP769" s="7">
        <f>VLOOKUP(A769,[1]Sheet15!B:E,4,0)</f>
        <v>5</v>
      </c>
      <c r="BQ769" s="7">
        <f>VLOOKUP(A769,[1]Sheet15!B:E,3,0)</f>
        <v>0</v>
      </c>
    </row>
    <row r="770" spans="1:69" ht="22.5" customHeight="1" x14ac:dyDescent="0.25">
      <c r="A770" s="15" t="s">
        <v>1826</v>
      </c>
      <c r="B770" s="15" t="e">
        <f>VLOOKUP(A770,'[1]Master clients'!F749:W4296,17,0)</f>
        <v>#N/A</v>
      </c>
      <c r="C770" s="15" t="e">
        <f>VLOOKUP(A770,'[1]Master clients'!F749:P4296,11,0)</f>
        <v>#N/A</v>
      </c>
      <c r="D770" s="15" t="str">
        <f>VLOOKUP(A770,'[1]Master clients'!F:M,8,0)</f>
        <v>Group (Mills)</v>
      </c>
      <c r="E770" s="16" t="s">
        <v>1827</v>
      </c>
      <c r="F770" s="16" t="s">
        <v>1828</v>
      </c>
      <c r="G770" s="17">
        <v>7</v>
      </c>
      <c r="H770" s="17">
        <v>0</v>
      </c>
      <c r="I770" s="18">
        <v>7</v>
      </c>
      <c r="J770" s="18">
        <v>0</v>
      </c>
      <c r="K770" s="17">
        <v>0</v>
      </c>
      <c r="L770" s="17">
        <v>0</v>
      </c>
      <c r="M770" s="17">
        <v>3</v>
      </c>
      <c r="N770" s="17">
        <v>3</v>
      </c>
      <c r="O770" s="19">
        <v>0</v>
      </c>
      <c r="P770" s="19">
        <v>0</v>
      </c>
      <c r="Q770" s="19">
        <v>6</v>
      </c>
      <c r="R770" s="19">
        <v>0</v>
      </c>
      <c r="S770" s="19">
        <v>0</v>
      </c>
      <c r="T770" s="19">
        <v>0</v>
      </c>
      <c r="U770" s="19">
        <v>0</v>
      </c>
      <c r="V770" s="19">
        <v>0</v>
      </c>
      <c r="W770" s="20">
        <v>0</v>
      </c>
      <c r="X770" s="20">
        <v>0</v>
      </c>
      <c r="Y770" s="19">
        <v>5</v>
      </c>
      <c r="Z770" s="19">
        <v>0</v>
      </c>
      <c r="AA770" s="19">
        <v>0</v>
      </c>
      <c r="AB770" s="19">
        <v>0</v>
      </c>
      <c r="AC770" s="19">
        <v>0</v>
      </c>
      <c r="AD770" s="19">
        <v>0</v>
      </c>
      <c r="AE770" s="19">
        <v>0</v>
      </c>
      <c r="AF770" s="19">
        <v>0</v>
      </c>
      <c r="AG770" s="19">
        <v>0</v>
      </c>
      <c r="AH770" s="19">
        <v>0</v>
      </c>
      <c r="AI770" s="20">
        <v>0</v>
      </c>
      <c r="AJ770" s="20">
        <v>0</v>
      </c>
      <c r="AK770" s="19">
        <v>1</v>
      </c>
      <c r="AL770" s="20">
        <v>0</v>
      </c>
      <c r="AM770" s="19">
        <v>0</v>
      </c>
      <c r="AN770" s="19">
        <v>0</v>
      </c>
      <c r="AO770" s="19">
        <v>0</v>
      </c>
      <c r="AP770" s="19">
        <v>0</v>
      </c>
      <c r="AQ770" s="19">
        <v>0</v>
      </c>
      <c r="AR770" s="19">
        <v>0</v>
      </c>
      <c r="AS770" s="19">
        <v>0</v>
      </c>
      <c r="AT770" s="19">
        <v>0</v>
      </c>
      <c r="AU770" s="19">
        <v>0</v>
      </c>
      <c r="AV770" s="19">
        <v>0</v>
      </c>
      <c r="AW770" s="20">
        <v>0</v>
      </c>
      <c r="AX770" s="20">
        <v>0</v>
      </c>
      <c r="AY770" s="20">
        <v>0</v>
      </c>
      <c r="AZ770" s="19">
        <v>0</v>
      </c>
      <c r="BA770" s="19">
        <v>0</v>
      </c>
      <c r="BB770" s="19">
        <v>0</v>
      </c>
      <c r="BC770" s="19">
        <v>0</v>
      </c>
      <c r="BD770" s="19">
        <v>0</v>
      </c>
      <c r="BE770" s="21">
        <v>0</v>
      </c>
      <c r="BF770" s="21">
        <v>0</v>
      </c>
      <c r="BG770" s="19">
        <v>0</v>
      </c>
      <c r="BH770" s="19">
        <v>0</v>
      </c>
      <c r="BI770" s="22">
        <f t="shared" si="223"/>
        <v>9</v>
      </c>
      <c r="BJ770" s="22">
        <f t="shared" si="224"/>
        <v>9</v>
      </c>
      <c r="BK770" s="22">
        <f t="shared" si="225"/>
        <v>25</v>
      </c>
      <c r="BL770" s="22">
        <f t="shared" si="226"/>
        <v>16</v>
      </c>
      <c r="BM770" s="22">
        <f t="shared" si="228"/>
        <v>9</v>
      </c>
      <c r="BN770" s="23">
        <f t="shared" si="230"/>
        <v>0.4375</v>
      </c>
      <c r="BO770" s="23">
        <f t="shared" si="230"/>
        <v>0</v>
      </c>
      <c r="BP770" s="7" t="e">
        <f>VLOOKUP(A770,[1]Sheet15!B:E,4,0)</f>
        <v>#N/A</v>
      </c>
      <c r="BQ770" s="7" t="e">
        <f>VLOOKUP(A770,[1]Sheet15!B:E,3,0)</f>
        <v>#N/A</v>
      </c>
    </row>
    <row r="771" spans="1:69" ht="22.5" customHeight="1" x14ac:dyDescent="0.25">
      <c r="A771" s="15" t="s">
        <v>1829</v>
      </c>
      <c r="B771" s="15">
        <f>VLOOKUP(A771,'[1]Master clients'!F750:W4297,17,0)</f>
        <v>0</v>
      </c>
      <c r="C771" s="15" t="str">
        <f>VLOOKUP(A771,'[1]Master clients'!F750:P4297,11,0)</f>
        <v>MRK</v>
      </c>
      <c r="D771" s="15" t="str">
        <f>VLOOKUP(A771,'[1]Master clients'!F:M,8,0)</f>
        <v>End User</v>
      </c>
      <c r="E771" s="16" t="s">
        <v>1830</v>
      </c>
      <c r="F771" s="16" t="s">
        <v>1831</v>
      </c>
      <c r="G771" s="17">
        <v>0</v>
      </c>
      <c r="H771" s="17">
        <v>0</v>
      </c>
      <c r="I771" s="18">
        <v>0</v>
      </c>
      <c r="J771" s="18">
        <v>0</v>
      </c>
      <c r="K771" s="17">
        <v>0</v>
      </c>
      <c r="L771" s="17">
        <v>0</v>
      </c>
      <c r="M771" s="17">
        <v>0</v>
      </c>
      <c r="N771" s="17">
        <v>0</v>
      </c>
      <c r="O771" s="19">
        <v>0</v>
      </c>
      <c r="P771" s="19">
        <v>0</v>
      </c>
      <c r="Q771" s="19">
        <v>2</v>
      </c>
      <c r="R771" s="19">
        <v>0</v>
      </c>
      <c r="S771" s="19">
        <v>0</v>
      </c>
      <c r="T771" s="19">
        <v>0</v>
      </c>
      <c r="U771" s="19">
        <v>0</v>
      </c>
      <c r="V771" s="19">
        <v>0</v>
      </c>
      <c r="W771" s="20">
        <v>0</v>
      </c>
      <c r="X771" s="20">
        <v>0</v>
      </c>
      <c r="Y771" s="19">
        <v>7</v>
      </c>
      <c r="Z771" s="19">
        <v>0</v>
      </c>
      <c r="AA771" s="19">
        <v>10</v>
      </c>
      <c r="AB771" s="19">
        <v>0</v>
      </c>
      <c r="AC771" s="19">
        <v>0</v>
      </c>
      <c r="AD771" s="19">
        <v>0</v>
      </c>
      <c r="AE771" s="19">
        <v>0</v>
      </c>
      <c r="AF771" s="19">
        <v>0</v>
      </c>
      <c r="AG771" s="19">
        <v>0</v>
      </c>
      <c r="AH771" s="19">
        <v>0</v>
      </c>
      <c r="AI771" s="20">
        <v>0</v>
      </c>
      <c r="AJ771" s="20">
        <v>0</v>
      </c>
      <c r="AK771" s="19">
        <v>0</v>
      </c>
      <c r="AL771" s="20">
        <v>0</v>
      </c>
      <c r="AM771" s="19">
        <v>0</v>
      </c>
      <c r="AN771" s="19">
        <v>0</v>
      </c>
      <c r="AO771" s="19">
        <v>0</v>
      </c>
      <c r="AP771" s="19">
        <v>0</v>
      </c>
      <c r="AQ771" s="19">
        <v>0</v>
      </c>
      <c r="AR771" s="19">
        <v>0</v>
      </c>
      <c r="AS771" s="19">
        <v>0</v>
      </c>
      <c r="AT771" s="19">
        <v>0</v>
      </c>
      <c r="AU771" s="19">
        <v>0</v>
      </c>
      <c r="AV771" s="19">
        <v>0</v>
      </c>
      <c r="AW771" s="20">
        <v>0</v>
      </c>
      <c r="AX771" s="20">
        <v>0</v>
      </c>
      <c r="AY771" s="20">
        <v>0</v>
      </c>
      <c r="AZ771" s="19">
        <v>0</v>
      </c>
      <c r="BA771" s="19">
        <v>0</v>
      </c>
      <c r="BB771" s="19">
        <v>0</v>
      </c>
      <c r="BC771" s="19">
        <v>0</v>
      </c>
      <c r="BD771" s="19">
        <v>0</v>
      </c>
      <c r="BE771" s="21">
        <v>0</v>
      </c>
      <c r="BF771" s="21">
        <v>0</v>
      </c>
      <c r="BG771" s="19">
        <v>0</v>
      </c>
      <c r="BH771" s="19">
        <v>0</v>
      </c>
      <c r="BI771" s="22">
        <f t="shared" si="223"/>
        <v>7</v>
      </c>
      <c r="BJ771" s="22">
        <f t="shared" si="224"/>
        <v>12</v>
      </c>
      <c r="BK771" s="22">
        <f t="shared" si="225"/>
        <v>19</v>
      </c>
      <c r="BL771" s="22">
        <f t="shared" si="226"/>
        <v>7</v>
      </c>
      <c r="BM771" s="22">
        <f t="shared" si="228"/>
        <v>12</v>
      </c>
      <c r="BN771" s="23">
        <f t="shared" si="230"/>
        <v>0</v>
      </c>
      <c r="BO771" s="23">
        <f t="shared" si="230"/>
        <v>0</v>
      </c>
      <c r="BP771" s="7" t="e">
        <f>VLOOKUP(A771,[1]Sheet15!B:E,4,0)</f>
        <v>#N/A</v>
      </c>
      <c r="BQ771" s="7" t="e">
        <f>VLOOKUP(A771,[1]Sheet15!B:E,3,0)</f>
        <v>#N/A</v>
      </c>
    </row>
    <row r="772" spans="1:69" ht="22.5" customHeight="1" x14ac:dyDescent="0.25">
      <c r="A772" s="15" t="s">
        <v>1832</v>
      </c>
      <c r="B772" s="15" t="e">
        <f>VLOOKUP(A772,'[1]Master clients'!F751:W4298,17,0)</f>
        <v>#N/A</v>
      </c>
      <c r="C772" s="15" t="e">
        <f>VLOOKUP(A772,'[1]Master clients'!F751:P4298,11,0)</f>
        <v>#N/A</v>
      </c>
      <c r="D772" s="15" t="str">
        <f>VLOOKUP(A772,'[1]Master clients'!F:M,8,0)</f>
        <v>End User</v>
      </c>
      <c r="E772" s="16" t="s">
        <v>1833</v>
      </c>
      <c r="F772" s="16" t="s">
        <v>1834</v>
      </c>
      <c r="G772" s="17">
        <v>20</v>
      </c>
      <c r="H772" s="17">
        <v>0</v>
      </c>
      <c r="I772" s="18">
        <v>12</v>
      </c>
      <c r="J772" s="18">
        <v>0</v>
      </c>
      <c r="K772" s="17">
        <v>0</v>
      </c>
      <c r="L772" s="17">
        <v>0</v>
      </c>
      <c r="M772" s="17">
        <v>0</v>
      </c>
      <c r="N772" s="17">
        <v>0</v>
      </c>
      <c r="O772" s="19">
        <v>0</v>
      </c>
      <c r="P772" s="19">
        <v>0</v>
      </c>
      <c r="Q772" s="19">
        <v>3</v>
      </c>
      <c r="R772" s="19">
        <v>0</v>
      </c>
      <c r="S772" s="19">
        <v>0</v>
      </c>
      <c r="T772" s="19">
        <v>0</v>
      </c>
      <c r="U772" s="19">
        <v>0</v>
      </c>
      <c r="V772" s="19">
        <v>0</v>
      </c>
      <c r="W772" s="20">
        <v>0</v>
      </c>
      <c r="X772" s="20">
        <v>0</v>
      </c>
      <c r="Y772" s="19">
        <v>0</v>
      </c>
      <c r="Z772" s="19">
        <v>0</v>
      </c>
      <c r="AA772" s="19">
        <v>0</v>
      </c>
      <c r="AB772" s="19">
        <v>0</v>
      </c>
      <c r="AC772" s="19">
        <v>0</v>
      </c>
      <c r="AD772" s="19">
        <v>0</v>
      </c>
      <c r="AE772" s="19">
        <v>0</v>
      </c>
      <c r="AF772" s="19">
        <v>0</v>
      </c>
      <c r="AG772" s="19">
        <v>0</v>
      </c>
      <c r="AH772" s="19">
        <v>0</v>
      </c>
      <c r="AI772" s="20">
        <v>0</v>
      </c>
      <c r="AJ772" s="20">
        <v>0</v>
      </c>
      <c r="AK772" s="19">
        <v>0</v>
      </c>
      <c r="AL772" s="20">
        <v>0</v>
      </c>
      <c r="AM772" s="19">
        <v>0</v>
      </c>
      <c r="AN772" s="19">
        <v>0</v>
      </c>
      <c r="AO772" s="19">
        <v>0</v>
      </c>
      <c r="AP772" s="19">
        <v>0</v>
      </c>
      <c r="AQ772" s="19">
        <v>0</v>
      </c>
      <c r="AR772" s="19">
        <v>4</v>
      </c>
      <c r="AS772" s="19">
        <v>0</v>
      </c>
      <c r="AT772" s="19">
        <v>0</v>
      </c>
      <c r="AU772" s="19">
        <v>0</v>
      </c>
      <c r="AV772" s="19">
        <v>0</v>
      </c>
      <c r="AW772" s="20">
        <v>0</v>
      </c>
      <c r="AX772" s="20">
        <v>0</v>
      </c>
      <c r="AY772" s="20">
        <v>0</v>
      </c>
      <c r="AZ772" s="19">
        <v>0</v>
      </c>
      <c r="BA772" s="19">
        <v>0</v>
      </c>
      <c r="BB772" s="19">
        <v>0</v>
      </c>
      <c r="BC772" s="19">
        <v>0</v>
      </c>
      <c r="BD772" s="19">
        <v>0</v>
      </c>
      <c r="BE772" s="21">
        <v>0</v>
      </c>
      <c r="BF772" s="21">
        <v>0</v>
      </c>
      <c r="BG772" s="19">
        <v>0</v>
      </c>
      <c r="BH772" s="19">
        <v>0</v>
      </c>
      <c r="BI772" s="22">
        <f t="shared" si="223"/>
        <v>4</v>
      </c>
      <c r="BJ772" s="22">
        <f t="shared" si="224"/>
        <v>3</v>
      </c>
      <c r="BK772" s="22">
        <f t="shared" si="225"/>
        <v>19</v>
      </c>
      <c r="BL772" s="22">
        <f t="shared" si="226"/>
        <v>16</v>
      </c>
      <c r="BM772" s="22">
        <f t="shared" si="228"/>
        <v>3</v>
      </c>
      <c r="BN772" s="23">
        <f t="shared" si="230"/>
        <v>0.75</v>
      </c>
      <c r="BO772" s="23">
        <f t="shared" si="230"/>
        <v>0</v>
      </c>
      <c r="BP772" s="7" t="e">
        <f>VLOOKUP(A772,[1]Sheet15!B:E,4,0)</f>
        <v>#N/A</v>
      </c>
      <c r="BQ772" s="7" t="e">
        <f>VLOOKUP(A772,[1]Sheet15!B:E,3,0)</f>
        <v>#N/A</v>
      </c>
    </row>
    <row r="773" spans="1:69" ht="22.5" customHeight="1" x14ac:dyDescent="0.25">
      <c r="A773" s="15" t="s">
        <v>1835</v>
      </c>
      <c r="B773" s="15" t="e">
        <f>VLOOKUP(A773,'[1]Master clients'!F752:W4299,17,0)</f>
        <v>#N/A</v>
      </c>
      <c r="C773" s="15" t="e">
        <f>VLOOKUP(A773,'[1]Master clients'!F752:P4299,11,0)</f>
        <v>#N/A</v>
      </c>
      <c r="D773" s="15" t="str">
        <f>VLOOKUP(A773,'[1]Master clients'!F:M,8,0)</f>
        <v>End User</v>
      </c>
      <c r="E773" s="16" t="s">
        <v>1836</v>
      </c>
      <c r="F773" s="16" t="s">
        <v>675</v>
      </c>
      <c r="G773" s="17"/>
      <c r="H773" s="17"/>
      <c r="I773" s="18">
        <v>18</v>
      </c>
      <c r="J773" s="18">
        <v>0</v>
      </c>
      <c r="K773" s="17">
        <v>6</v>
      </c>
      <c r="L773" s="17">
        <v>0</v>
      </c>
      <c r="M773" s="17">
        <v>0</v>
      </c>
      <c r="N773" s="17">
        <v>0</v>
      </c>
      <c r="O773" s="19">
        <v>0</v>
      </c>
      <c r="P773" s="19">
        <v>4</v>
      </c>
      <c r="Q773" s="19">
        <v>8</v>
      </c>
      <c r="R773" s="19">
        <v>0</v>
      </c>
      <c r="S773" s="19">
        <v>0</v>
      </c>
      <c r="T773" s="19">
        <v>0</v>
      </c>
      <c r="U773" s="19">
        <v>0</v>
      </c>
      <c r="V773" s="19">
        <v>0</v>
      </c>
      <c r="W773" s="20">
        <v>0</v>
      </c>
      <c r="X773" s="20">
        <v>0</v>
      </c>
      <c r="Y773" s="20">
        <v>0</v>
      </c>
      <c r="Z773" s="20">
        <v>0</v>
      </c>
      <c r="AA773" s="20">
        <v>0</v>
      </c>
      <c r="AB773" s="20">
        <v>0</v>
      </c>
      <c r="AC773" s="20">
        <v>0</v>
      </c>
      <c r="AD773" s="20">
        <v>0</v>
      </c>
      <c r="AE773" s="20">
        <v>0</v>
      </c>
      <c r="AF773" s="20">
        <v>0</v>
      </c>
      <c r="AG773" s="20">
        <v>0</v>
      </c>
      <c r="AH773" s="20">
        <v>0</v>
      </c>
      <c r="AI773" s="20">
        <v>0</v>
      </c>
      <c r="AJ773" s="20">
        <v>0</v>
      </c>
      <c r="AK773" s="20">
        <v>0</v>
      </c>
      <c r="AL773" s="20">
        <v>0</v>
      </c>
      <c r="AM773" s="20">
        <v>0</v>
      </c>
      <c r="AN773" s="20">
        <v>0</v>
      </c>
      <c r="AO773" s="20">
        <v>0</v>
      </c>
      <c r="AP773" s="20">
        <v>0</v>
      </c>
      <c r="AQ773" s="20">
        <v>0</v>
      </c>
      <c r="AR773" s="20">
        <v>0</v>
      </c>
      <c r="AS773" s="20">
        <v>0</v>
      </c>
      <c r="AT773" s="20">
        <v>0</v>
      </c>
      <c r="AU773" s="20">
        <v>0</v>
      </c>
      <c r="AV773" s="20">
        <v>0</v>
      </c>
      <c r="AW773" s="20">
        <v>0</v>
      </c>
      <c r="AX773" s="20">
        <v>0</v>
      </c>
      <c r="AY773" s="20">
        <v>0</v>
      </c>
      <c r="AZ773" s="20">
        <v>0</v>
      </c>
      <c r="BA773" s="20">
        <v>0</v>
      </c>
      <c r="BB773" s="20">
        <v>0</v>
      </c>
      <c r="BC773" s="20">
        <v>0</v>
      </c>
      <c r="BD773" s="20">
        <v>0</v>
      </c>
      <c r="BE773" s="20">
        <v>0</v>
      </c>
      <c r="BF773" s="20">
        <v>0</v>
      </c>
      <c r="BG773" s="20">
        <v>0</v>
      </c>
      <c r="BH773" s="20">
        <v>0</v>
      </c>
      <c r="BI773" s="22">
        <f t="shared" si="223"/>
        <v>10</v>
      </c>
      <c r="BJ773" s="22">
        <f t="shared" si="224"/>
        <v>8</v>
      </c>
      <c r="BK773" s="22">
        <f t="shared" si="225"/>
        <v>36</v>
      </c>
      <c r="BL773" s="22">
        <f t="shared" si="226"/>
        <v>28</v>
      </c>
      <c r="BM773" s="22">
        <f t="shared" si="228"/>
        <v>8</v>
      </c>
      <c r="BN773" s="23">
        <f t="shared" si="230"/>
        <v>0.6428571428571429</v>
      </c>
      <c r="BO773" s="23">
        <f t="shared" si="230"/>
        <v>0</v>
      </c>
      <c r="BP773" s="7">
        <f>VLOOKUP(A773,[1]Sheet15!B:E,4,0)</f>
        <v>10</v>
      </c>
      <c r="BQ773" s="7">
        <f>VLOOKUP(A773,[1]Sheet15!B:E,3,0)</f>
        <v>0</v>
      </c>
    </row>
    <row r="774" spans="1:69" ht="22.5" customHeight="1" x14ac:dyDescent="0.25">
      <c r="A774" s="15" t="s">
        <v>1837</v>
      </c>
      <c r="B774" s="15" t="e">
        <f>VLOOKUP(A774,'[1]Master clients'!F753:W4300,17,0)</f>
        <v>#N/A</v>
      </c>
      <c r="C774" s="15" t="e">
        <f>VLOOKUP(A774,'[1]Master clients'!F753:P4300,11,0)</f>
        <v>#N/A</v>
      </c>
      <c r="D774" s="15" t="str">
        <f>VLOOKUP(A774,'[1]Master clients'!F:M,8,0)</f>
        <v>Group (Mills)</v>
      </c>
      <c r="E774" s="16" t="s">
        <v>1838</v>
      </c>
      <c r="F774" s="16" t="s">
        <v>675</v>
      </c>
      <c r="G774" s="17">
        <v>10</v>
      </c>
      <c r="H774" s="17">
        <v>0</v>
      </c>
      <c r="I774" s="18">
        <v>10</v>
      </c>
      <c r="J774" s="18">
        <v>4</v>
      </c>
      <c r="K774" s="17">
        <v>0</v>
      </c>
      <c r="L774" s="17">
        <v>0</v>
      </c>
      <c r="M774" s="17">
        <v>0</v>
      </c>
      <c r="N774" s="17">
        <v>0</v>
      </c>
      <c r="O774" s="19">
        <v>0</v>
      </c>
      <c r="P774" s="19">
        <v>0</v>
      </c>
      <c r="Q774" s="19">
        <v>0</v>
      </c>
      <c r="R774" s="19">
        <v>8</v>
      </c>
      <c r="S774" s="19">
        <v>18</v>
      </c>
      <c r="T774" s="19">
        <v>0</v>
      </c>
      <c r="U774" s="19">
        <v>0</v>
      </c>
      <c r="V774" s="19">
        <v>0</v>
      </c>
      <c r="W774" s="20">
        <v>0</v>
      </c>
      <c r="X774" s="20">
        <v>0</v>
      </c>
      <c r="Y774" s="19">
        <v>0</v>
      </c>
      <c r="Z774" s="19">
        <v>0</v>
      </c>
      <c r="AA774" s="19">
        <v>0</v>
      </c>
      <c r="AB774" s="19">
        <v>0</v>
      </c>
      <c r="AC774" s="19">
        <v>0</v>
      </c>
      <c r="AD774" s="19">
        <v>0</v>
      </c>
      <c r="AE774" s="19">
        <v>0</v>
      </c>
      <c r="AF774" s="19">
        <v>0</v>
      </c>
      <c r="AG774" s="19">
        <v>0</v>
      </c>
      <c r="AH774" s="19">
        <v>0</v>
      </c>
      <c r="AI774" s="20">
        <v>0</v>
      </c>
      <c r="AJ774" s="20">
        <v>0</v>
      </c>
      <c r="AK774" s="19">
        <v>0</v>
      </c>
      <c r="AL774" s="20">
        <v>0</v>
      </c>
      <c r="AM774" s="19">
        <v>0</v>
      </c>
      <c r="AN774" s="19">
        <v>0</v>
      </c>
      <c r="AO774" s="19">
        <v>0</v>
      </c>
      <c r="AP774" s="19">
        <v>0</v>
      </c>
      <c r="AQ774" s="19">
        <v>0</v>
      </c>
      <c r="AR774" s="19">
        <v>0</v>
      </c>
      <c r="AS774" s="19">
        <v>0</v>
      </c>
      <c r="AT774" s="19">
        <v>0</v>
      </c>
      <c r="AU774" s="19">
        <v>0</v>
      </c>
      <c r="AV774" s="19">
        <v>0</v>
      </c>
      <c r="AW774" s="20">
        <v>0</v>
      </c>
      <c r="AX774" s="20">
        <v>0</v>
      </c>
      <c r="AY774" s="20">
        <v>0</v>
      </c>
      <c r="AZ774" s="19">
        <v>0</v>
      </c>
      <c r="BA774" s="19">
        <v>0</v>
      </c>
      <c r="BB774" s="19">
        <v>0</v>
      </c>
      <c r="BC774" s="19">
        <v>0</v>
      </c>
      <c r="BD774" s="19">
        <v>0</v>
      </c>
      <c r="BE774" s="21">
        <v>0</v>
      </c>
      <c r="BF774" s="21">
        <v>0</v>
      </c>
      <c r="BG774" s="19">
        <v>0</v>
      </c>
      <c r="BH774" s="19">
        <v>0</v>
      </c>
      <c r="BI774" s="22">
        <f t="shared" si="223"/>
        <v>8</v>
      </c>
      <c r="BJ774" s="22">
        <f t="shared" si="224"/>
        <v>18</v>
      </c>
      <c r="BK774" s="22">
        <f t="shared" si="225"/>
        <v>40</v>
      </c>
      <c r="BL774" s="22">
        <f t="shared" si="226"/>
        <v>18</v>
      </c>
      <c r="BM774" s="22">
        <f t="shared" si="228"/>
        <v>22</v>
      </c>
      <c r="BN774" s="23">
        <f t="shared" si="230"/>
        <v>0.55555555555555558</v>
      </c>
      <c r="BO774" s="23">
        <f t="shared" si="230"/>
        <v>0.18181818181818182</v>
      </c>
      <c r="BP774" s="7">
        <f>VLOOKUP(A774,[1]Sheet15!B:E,4,0)</f>
        <v>27</v>
      </c>
      <c r="BQ774" s="7">
        <f>VLOOKUP(A774,[1]Sheet15!B:E,3,0)</f>
        <v>0</v>
      </c>
    </row>
    <row r="775" spans="1:69" ht="22.5" customHeight="1" x14ac:dyDescent="0.25">
      <c r="A775" s="15" t="s">
        <v>1839</v>
      </c>
      <c r="B775" s="15" t="e">
        <f>VLOOKUP(A775,'[1]Master clients'!F754:W4301,17,0)</f>
        <v>#N/A</v>
      </c>
      <c r="C775" s="15" t="e">
        <f>VLOOKUP(A775,'[1]Master clients'!F754:P4301,11,0)</f>
        <v>#N/A</v>
      </c>
      <c r="D775" s="15" t="str">
        <f>VLOOKUP(A775,'[1]Master clients'!F:M,8,0)</f>
        <v>End User</v>
      </c>
      <c r="E775" s="16" t="s">
        <v>1840</v>
      </c>
      <c r="F775" s="16" t="s">
        <v>1841</v>
      </c>
      <c r="G775" s="17">
        <v>14</v>
      </c>
      <c r="H775" s="17">
        <v>0</v>
      </c>
      <c r="I775" s="18">
        <v>10</v>
      </c>
      <c r="J775" s="18">
        <v>0</v>
      </c>
      <c r="K775" s="17">
        <v>0</v>
      </c>
      <c r="L775" s="17">
        <v>0</v>
      </c>
      <c r="M775" s="17">
        <v>0</v>
      </c>
      <c r="N775" s="17">
        <v>0</v>
      </c>
      <c r="O775" s="19">
        <v>0</v>
      </c>
      <c r="P775" s="19">
        <v>0</v>
      </c>
      <c r="Q775" s="19">
        <v>3</v>
      </c>
      <c r="R775" s="19">
        <v>0</v>
      </c>
      <c r="S775" s="19">
        <v>0</v>
      </c>
      <c r="T775" s="19">
        <v>0</v>
      </c>
      <c r="U775" s="19">
        <v>0</v>
      </c>
      <c r="V775" s="19">
        <v>0</v>
      </c>
      <c r="W775" s="20">
        <v>0</v>
      </c>
      <c r="X775" s="20">
        <v>0</v>
      </c>
      <c r="Y775" s="19">
        <v>0</v>
      </c>
      <c r="Z775" s="19">
        <v>0</v>
      </c>
      <c r="AA775" s="19">
        <v>0</v>
      </c>
      <c r="AB775" s="19">
        <v>0</v>
      </c>
      <c r="AC775" s="19">
        <v>0</v>
      </c>
      <c r="AD775" s="19">
        <v>0</v>
      </c>
      <c r="AE775" s="19">
        <v>0</v>
      </c>
      <c r="AF775" s="19">
        <v>0</v>
      </c>
      <c r="AG775" s="19">
        <v>0</v>
      </c>
      <c r="AH775" s="19">
        <v>0</v>
      </c>
      <c r="AI775" s="20">
        <v>0</v>
      </c>
      <c r="AJ775" s="20">
        <v>0</v>
      </c>
      <c r="AK775" s="19">
        <v>0</v>
      </c>
      <c r="AL775" s="20">
        <v>0</v>
      </c>
      <c r="AM775" s="19">
        <v>0</v>
      </c>
      <c r="AN775" s="19">
        <v>0</v>
      </c>
      <c r="AO775" s="19">
        <v>0</v>
      </c>
      <c r="AP775" s="19">
        <v>0</v>
      </c>
      <c r="AQ775" s="19">
        <v>0</v>
      </c>
      <c r="AR775" s="19">
        <v>0</v>
      </c>
      <c r="AS775" s="19">
        <v>0</v>
      </c>
      <c r="AT775" s="19">
        <v>0</v>
      </c>
      <c r="AU775" s="19">
        <v>0</v>
      </c>
      <c r="AV775" s="19">
        <v>0</v>
      </c>
      <c r="AW775" s="20">
        <v>0</v>
      </c>
      <c r="AX775" s="20">
        <v>0</v>
      </c>
      <c r="AY775" s="20">
        <v>0</v>
      </c>
      <c r="AZ775" s="19">
        <v>0</v>
      </c>
      <c r="BA775" s="19">
        <v>0</v>
      </c>
      <c r="BB775" s="19">
        <v>0</v>
      </c>
      <c r="BC775" s="19">
        <v>0</v>
      </c>
      <c r="BD775" s="19">
        <v>0</v>
      </c>
      <c r="BE775" s="21">
        <v>0</v>
      </c>
      <c r="BF775" s="21">
        <v>0</v>
      </c>
      <c r="BG775" s="19">
        <v>0</v>
      </c>
      <c r="BH775" s="19">
        <v>0</v>
      </c>
      <c r="BI775" s="22">
        <f t="shared" si="223"/>
        <v>0</v>
      </c>
      <c r="BJ775" s="22">
        <f t="shared" si="224"/>
        <v>3</v>
      </c>
      <c r="BK775" s="22">
        <f t="shared" si="225"/>
        <v>13</v>
      </c>
      <c r="BL775" s="22">
        <f t="shared" si="226"/>
        <v>10</v>
      </c>
      <c r="BM775" s="22">
        <f t="shared" si="228"/>
        <v>3</v>
      </c>
      <c r="BN775" s="23">
        <f t="shared" si="230"/>
        <v>1</v>
      </c>
      <c r="BO775" s="23">
        <f t="shared" si="230"/>
        <v>0</v>
      </c>
      <c r="BP775" s="7" t="e">
        <f>VLOOKUP(A775,[1]Sheet15!B:E,4,0)</f>
        <v>#N/A</v>
      </c>
      <c r="BQ775" s="7" t="e">
        <f>VLOOKUP(A775,[1]Sheet15!B:E,3,0)</f>
        <v>#N/A</v>
      </c>
    </row>
    <row r="776" spans="1:69" ht="22.5" customHeight="1" x14ac:dyDescent="0.25">
      <c r="A776" s="15" t="s">
        <v>1842</v>
      </c>
      <c r="B776" s="15" t="e">
        <f>VLOOKUP(A776,'[1]Master clients'!F755:W4302,17,0)</f>
        <v>#N/A</v>
      </c>
      <c r="C776" s="15" t="e">
        <f>VLOOKUP(A776,'[1]Master clients'!F755:P4302,11,0)</f>
        <v>#N/A</v>
      </c>
      <c r="D776" s="15" t="str">
        <f>VLOOKUP(A776,'[1]Master clients'!F:M,8,0)</f>
        <v>End User</v>
      </c>
      <c r="E776" s="16" t="s">
        <v>1843</v>
      </c>
      <c r="F776" s="16" t="s">
        <v>1844</v>
      </c>
      <c r="G776" s="17">
        <v>7</v>
      </c>
      <c r="H776" s="17">
        <v>0</v>
      </c>
      <c r="I776" s="18">
        <v>16</v>
      </c>
      <c r="J776" s="18">
        <v>2</v>
      </c>
      <c r="K776" s="17">
        <v>0</v>
      </c>
      <c r="L776" s="17">
        <v>0</v>
      </c>
      <c r="M776" s="17">
        <v>0</v>
      </c>
      <c r="N776" s="17">
        <v>0</v>
      </c>
      <c r="O776" s="19">
        <v>0</v>
      </c>
      <c r="P776" s="19">
        <v>0</v>
      </c>
      <c r="Q776" s="19">
        <v>1</v>
      </c>
      <c r="R776" s="19">
        <v>0</v>
      </c>
      <c r="S776" s="19">
        <v>0</v>
      </c>
      <c r="T776" s="19">
        <v>0</v>
      </c>
      <c r="U776" s="19">
        <v>0</v>
      </c>
      <c r="V776" s="19">
        <v>0</v>
      </c>
      <c r="W776" s="20">
        <v>0</v>
      </c>
      <c r="X776" s="20">
        <v>0</v>
      </c>
      <c r="Y776" s="19">
        <v>0</v>
      </c>
      <c r="Z776" s="19">
        <v>0</v>
      </c>
      <c r="AA776" s="19">
        <v>0</v>
      </c>
      <c r="AB776" s="19">
        <v>0</v>
      </c>
      <c r="AC776" s="19">
        <v>0</v>
      </c>
      <c r="AD776" s="19">
        <v>0</v>
      </c>
      <c r="AE776" s="19">
        <v>0</v>
      </c>
      <c r="AF776" s="19">
        <v>0</v>
      </c>
      <c r="AG776" s="19">
        <v>0</v>
      </c>
      <c r="AH776" s="19">
        <v>0</v>
      </c>
      <c r="AI776" s="20">
        <v>0</v>
      </c>
      <c r="AJ776" s="20">
        <v>0</v>
      </c>
      <c r="AK776" s="19">
        <v>0</v>
      </c>
      <c r="AL776" s="20">
        <v>0</v>
      </c>
      <c r="AM776" s="19">
        <v>0</v>
      </c>
      <c r="AN776" s="19">
        <v>0</v>
      </c>
      <c r="AO776" s="19">
        <v>0</v>
      </c>
      <c r="AP776" s="19">
        <v>0</v>
      </c>
      <c r="AQ776" s="19">
        <v>0</v>
      </c>
      <c r="AR776" s="19">
        <v>0</v>
      </c>
      <c r="AS776" s="19">
        <v>0</v>
      </c>
      <c r="AT776" s="19">
        <v>0</v>
      </c>
      <c r="AU776" s="19">
        <v>0</v>
      </c>
      <c r="AV776" s="19">
        <v>0</v>
      </c>
      <c r="AW776" s="20">
        <v>0</v>
      </c>
      <c r="AX776" s="20">
        <v>0</v>
      </c>
      <c r="AY776" s="20">
        <v>0</v>
      </c>
      <c r="AZ776" s="19">
        <v>0</v>
      </c>
      <c r="BA776" s="19">
        <v>0</v>
      </c>
      <c r="BB776" s="19">
        <v>0</v>
      </c>
      <c r="BC776" s="19">
        <v>0</v>
      </c>
      <c r="BD776" s="19">
        <v>0</v>
      </c>
      <c r="BE776" s="21">
        <v>0</v>
      </c>
      <c r="BF776" s="21">
        <v>0</v>
      </c>
      <c r="BG776" s="19">
        <v>0</v>
      </c>
      <c r="BH776" s="19">
        <v>0</v>
      </c>
      <c r="BI776" s="22">
        <f t="shared" si="223"/>
        <v>0</v>
      </c>
      <c r="BJ776" s="22">
        <f t="shared" si="224"/>
        <v>1</v>
      </c>
      <c r="BK776" s="22">
        <f t="shared" si="225"/>
        <v>19</v>
      </c>
      <c r="BL776" s="22">
        <f t="shared" si="226"/>
        <v>16</v>
      </c>
      <c r="BM776" s="22">
        <f t="shared" si="228"/>
        <v>3</v>
      </c>
      <c r="BN776" s="23">
        <f t="shared" si="230"/>
        <v>1</v>
      </c>
      <c r="BO776" s="23">
        <f t="shared" si="230"/>
        <v>0.66666666666666663</v>
      </c>
      <c r="BP776" s="7">
        <f>VLOOKUP(A776,[1]Sheet15!B:E,4,0)</f>
        <v>7</v>
      </c>
      <c r="BQ776" s="7">
        <f>VLOOKUP(A776,[1]Sheet15!B:E,3,0)</f>
        <v>0</v>
      </c>
    </row>
    <row r="777" spans="1:69" ht="22.5" customHeight="1" x14ac:dyDescent="0.25">
      <c r="A777" s="15" t="s">
        <v>1845</v>
      </c>
      <c r="B777" s="15">
        <f>VLOOKUP(A777,'[1]Master clients'!F756:W4303,17,0)</f>
        <v>0</v>
      </c>
      <c r="C777" s="15" t="str">
        <f>VLOOKUP(A777,'[1]Master clients'!F756:P4303,11,0)</f>
        <v>AV</v>
      </c>
      <c r="D777" s="15" t="str">
        <f>VLOOKUP(A777,'[1]Master clients'!F:M,8,0)</f>
        <v>Group (Mills)</v>
      </c>
      <c r="E777" s="16" t="s">
        <v>1813</v>
      </c>
      <c r="F777" s="16" t="s">
        <v>1846</v>
      </c>
      <c r="G777" s="17">
        <f>35+18</f>
        <v>53</v>
      </c>
      <c r="H777" s="17">
        <v>0</v>
      </c>
      <c r="I777" s="18">
        <v>7</v>
      </c>
      <c r="J777" s="18">
        <v>0</v>
      </c>
      <c r="K777" s="17">
        <v>0</v>
      </c>
      <c r="L777" s="17">
        <v>0</v>
      </c>
      <c r="M777" s="17">
        <v>0</v>
      </c>
      <c r="N777" s="17">
        <v>0</v>
      </c>
      <c r="O777" s="19">
        <v>0</v>
      </c>
      <c r="P777" s="19">
        <v>0</v>
      </c>
      <c r="Q777" s="19">
        <v>6</v>
      </c>
      <c r="R777" s="19">
        <v>0</v>
      </c>
      <c r="S777" s="19">
        <v>0</v>
      </c>
      <c r="T777" s="19">
        <v>0</v>
      </c>
      <c r="U777" s="19">
        <v>0</v>
      </c>
      <c r="V777" s="19">
        <v>0</v>
      </c>
      <c r="W777" s="20">
        <v>0</v>
      </c>
      <c r="X777" s="20">
        <v>0</v>
      </c>
      <c r="Y777" s="19">
        <v>0</v>
      </c>
      <c r="Z777" s="19">
        <v>6</v>
      </c>
      <c r="AA777" s="19">
        <v>5</v>
      </c>
      <c r="AB777" s="19">
        <v>0</v>
      </c>
      <c r="AC777" s="19">
        <v>0</v>
      </c>
      <c r="AD777" s="19">
        <v>0</v>
      </c>
      <c r="AE777" s="19">
        <v>0</v>
      </c>
      <c r="AF777" s="19">
        <v>0</v>
      </c>
      <c r="AG777" s="19">
        <v>0</v>
      </c>
      <c r="AH777" s="19">
        <v>0</v>
      </c>
      <c r="AI777" s="20">
        <v>0</v>
      </c>
      <c r="AJ777" s="20">
        <v>0</v>
      </c>
      <c r="AK777" s="19">
        <v>8</v>
      </c>
      <c r="AL777" s="20">
        <v>0</v>
      </c>
      <c r="AM777" s="19">
        <v>0</v>
      </c>
      <c r="AN777" s="19">
        <v>0</v>
      </c>
      <c r="AO777" s="19">
        <v>0</v>
      </c>
      <c r="AP777" s="19">
        <v>0</v>
      </c>
      <c r="AQ777" s="19">
        <v>0</v>
      </c>
      <c r="AR777" s="19">
        <v>0</v>
      </c>
      <c r="AS777" s="19">
        <v>0</v>
      </c>
      <c r="AT777" s="19">
        <v>0</v>
      </c>
      <c r="AU777" s="19">
        <v>0</v>
      </c>
      <c r="AV777" s="19">
        <v>0</v>
      </c>
      <c r="AW777" s="20">
        <v>0</v>
      </c>
      <c r="AX777" s="20">
        <v>0</v>
      </c>
      <c r="AY777" s="20">
        <v>0</v>
      </c>
      <c r="AZ777" s="19">
        <v>0</v>
      </c>
      <c r="BA777" s="19">
        <v>0</v>
      </c>
      <c r="BB777" s="19">
        <v>0</v>
      </c>
      <c r="BC777" s="19">
        <v>0</v>
      </c>
      <c r="BD777" s="19">
        <v>0</v>
      </c>
      <c r="BE777" s="21">
        <v>0</v>
      </c>
      <c r="BF777" s="21">
        <v>0</v>
      </c>
      <c r="BG777" s="19">
        <v>0</v>
      </c>
      <c r="BH777" s="19">
        <v>0</v>
      </c>
      <c r="BI777" s="22">
        <f t="shared" si="223"/>
        <v>14</v>
      </c>
      <c r="BJ777" s="22">
        <f t="shared" si="224"/>
        <v>11</v>
      </c>
      <c r="BK777" s="22">
        <f t="shared" si="225"/>
        <v>32</v>
      </c>
      <c r="BL777" s="22">
        <f t="shared" si="226"/>
        <v>21</v>
      </c>
      <c r="BM777" s="22">
        <f t="shared" si="228"/>
        <v>11</v>
      </c>
      <c r="BN777" s="23">
        <f t="shared" si="230"/>
        <v>0.33333333333333331</v>
      </c>
      <c r="BO777" s="23">
        <f t="shared" si="230"/>
        <v>0</v>
      </c>
      <c r="BP777" s="7">
        <f>VLOOKUP(A777,[1]Sheet15!B:E,4,0)</f>
        <v>55</v>
      </c>
      <c r="BQ777" s="7">
        <f>VLOOKUP(A777,[1]Sheet15!B:E,3,0)</f>
        <v>0</v>
      </c>
    </row>
    <row r="778" spans="1:69" ht="22.5" customHeight="1" x14ac:dyDescent="0.25">
      <c r="A778" s="15" t="s">
        <v>1847</v>
      </c>
      <c r="B778" s="15" t="e">
        <f>VLOOKUP(A778,'[1]Master clients'!F757:W4304,17,0)</f>
        <v>#N/A</v>
      </c>
      <c r="C778" s="15" t="e">
        <f>VLOOKUP(A778,'[1]Master clients'!F757:P4304,11,0)</f>
        <v>#N/A</v>
      </c>
      <c r="D778" s="15" t="str">
        <f>VLOOKUP(A778,'[1]Master clients'!F:M,8,0)</f>
        <v>End User</v>
      </c>
      <c r="E778" s="16" t="s">
        <v>1848</v>
      </c>
      <c r="F778" s="16" t="s">
        <v>1849</v>
      </c>
      <c r="G778" s="17">
        <v>9</v>
      </c>
      <c r="H778" s="17">
        <v>0</v>
      </c>
      <c r="I778" s="18">
        <v>8</v>
      </c>
      <c r="J778" s="18">
        <v>0</v>
      </c>
      <c r="K778" s="17">
        <v>0</v>
      </c>
      <c r="L778" s="17">
        <v>0</v>
      </c>
      <c r="M778" s="17">
        <v>0</v>
      </c>
      <c r="N778" s="17">
        <v>0</v>
      </c>
      <c r="O778" s="19">
        <v>0</v>
      </c>
      <c r="P778" s="19">
        <v>0</v>
      </c>
      <c r="Q778" s="19">
        <v>12</v>
      </c>
      <c r="R778" s="19">
        <v>0</v>
      </c>
      <c r="S778" s="19">
        <v>0</v>
      </c>
      <c r="T778" s="19">
        <v>0</v>
      </c>
      <c r="U778" s="19">
        <v>0</v>
      </c>
      <c r="V778" s="19">
        <v>0</v>
      </c>
      <c r="W778" s="20">
        <v>0</v>
      </c>
      <c r="X778" s="20">
        <v>0</v>
      </c>
      <c r="Y778" s="19">
        <v>0</v>
      </c>
      <c r="Z778" s="19">
        <v>0</v>
      </c>
      <c r="AA778" s="19">
        <v>0</v>
      </c>
      <c r="AB778" s="19">
        <v>0</v>
      </c>
      <c r="AC778" s="19">
        <v>0</v>
      </c>
      <c r="AD778" s="19">
        <v>0</v>
      </c>
      <c r="AE778" s="19">
        <v>0</v>
      </c>
      <c r="AF778" s="19">
        <v>0</v>
      </c>
      <c r="AG778" s="19">
        <v>0</v>
      </c>
      <c r="AH778" s="19">
        <v>0</v>
      </c>
      <c r="AI778" s="20">
        <v>0</v>
      </c>
      <c r="AJ778" s="20">
        <v>0</v>
      </c>
      <c r="AK778" s="19">
        <v>0</v>
      </c>
      <c r="AL778" s="20">
        <v>0</v>
      </c>
      <c r="AM778" s="19">
        <v>0</v>
      </c>
      <c r="AN778" s="19">
        <v>0</v>
      </c>
      <c r="AO778" s="19">
        <v>0</v>
      </c>
      <c r="AP778" s="19">
        <v>0</v>
      </c>
      <c r="AQ778" s="19">
        <v>0</v>
      </c>
      <c r="AR778" s="19">
        <v>0</v>
      </c>
      <c r="AS778" s="19">
        <v>0</v>
      </c>
      <c r="AT778" s="19">
        <v>0</v>
      </c>
      <c r="AU778" s="19">
        <v>0</v>
      </c>
      <c r="AV778" s="19">
        <v>0</v>
      </c>
      <c r="AW778" s="20">
        <v>0</v>
      </c>
      <c r="AX778" s="20">
        <v>0</v>
      </c>
      <c r="AY778" s="20">
        <v>0</v>
      </c>
      <c r="AZ778" s="19">
        <v>0</v>
      </c>
      <c r="BA778" s="19">
        <v>0</v>
      </c>
      <c r="BB778" s="19">
        <v>0</v>
      </c>
      <c r="BC778" s="19">
        <v>0</v>
      </c>
      <c r="BD778" s="19">
        <v>0</v>
      </c>
      <c r="BE778" s="21">
        <v>0</v>
      </c>
      <c r="BF778" s="21">
        <v>0</v>
      </c>
      <c r="BG778" s="19">
        <v>0</v>
      </c>
      <c r="BH778" s="19">
        <v>0</v>
      </c>
      <c r="BI778" s="22">
        <f t="shared" si="223"/>
        <v>0</v>
      </c>
      <c r="BJ778" s="22">
        <f t="shared" si="224"/>
        <v>12</v>
      </c>
      <c r="BK778" s="22">
        <f t="shared" si="225"/>
        <v>20</v>
      </c>
      <c r="BL778" s="22">
        <f t="shared" si="226"/>
        <v>8</v>
      </c>
      <c r="BM778" s="22">
        <f t="shared" si="228"/>
        <v>12</v>
      </c>
      <c r="BN778" s="23">
        <f t="shared" si="230"/>
        <v>1</v>
      </c>
      <c r="BO778" s="23">
        <f t="shared" si="230"/>
        <v>0</v>
      </c>
      <c r="BP778" s="7">
        <f>VLOOKUP(A778,[1]Sheet15!B:E,4,0)</f>
        <v>7</v>
      </c>
      <c r="BQ778" s="7">
        <f>VLOOKUP(A778,[1]Sheet15!B:E,3,0)</f>
        <v>0</v>
      </c>
    </row>
    <row r="779" spans="1:69" ht="22.5" customHeight="1" x14ac:dyDescent="0.25">
      <c r="A779" s="15" t="s">
        <v>1850</v>
      </c>
      <c r="B779" s="15">
        <f>VLOOKUP(A779,'[1]Master clients'!F758:W4305,17,0)</f>
        <v>0</v>
      </c>
      <c r="C779" s="15" t="str">
        <f>VLOOKUP(A779,'[1]Master clients'!F758:P4305,11,0)</f>
        <v>AV</v>
      </c>
      <c r="D779" s="15" t="str">
        <f>VLOOKUP(A779,'[1]Master clients'!F:M,8,0)</f>
        <v>End User</v>
      </c>
      <c r="E779" s="16" t="s">
        <v>1851</v>
      </c>
      <c r="F779" s="16" t="s">
        <v>1852</v>
      </c>
      <c r="G779" s="17">
        <v>2</v>
      </c>
      <c r="H779" s="17">
        <v>0</v>
      </c>
      <c r="I779" s="18">
        <v>3</v>
      </c>
      <c r="J779" s="18">
        <v>0</v>
      </c>
      <c r="K779" s="17">
        <v>0</v>
      </c>
      <c r="L779" s="17">
        <v>1</v>
      </c>
      <c r="M779" s="17">
        <v>0</v>
      </c>
      <c r="N779" s="17">
        <v>0</v>
      </c>
      <c r="O779" s="19">
        <v>0</v>
      </c>
      <c r="P779" s="19">
        <v>5</v>
      </c>
      <c r="Q779" s="19">
        <v>4</v>
      </c>
      <c r="R779" s="19">
        <v>0</v>
      </c>
      <c r="S779" s="19">
        <v>0</v>
      </c>
      <c r="T779" s="19">
        <v>0</v>
      </c>
      <c r="U779" s="19">
        <v>0</v>
      </c>
      <c r="V779" s="19">
        <v>0</v>
      </c>
      <c r="W779" s="20">
        <v>0</v>
      </c>
      <c r="X779" s="20">
        <v>0</v>
      </c>
      <c r="Y779" s="19">
        <v>0</v>
      </c>
      <c r="Z779" s="19">
        <v>0</v>
      </c>
      <c r="AA779" s="19">
        <v>0</v>
      </c>
      <c r="AB779" s="19">
        <v>0</v>
      </c>
      <c r="AC779" s="19">
        <v>0</v>
      </c>
      <c r="AD779" s="19">
        <v>0</v>
      </c>
      <c r="AE779" s="19">
        <v>0</v>
      </c>
      <c r="AF779" s="19">
        <v>0</v>
      </c>
      <c r="AG779" s="19">
        <v>0</v>
      </c>
      <c r="AH779" s="19">
        <v>0</v>
      </c>
      <c r="AI779" s="20">
        <v>0</v>
      </c>
      <c r="AJ779" s="20">
        <v>0</v>
      </c>
      <c r="AK779" s="19">
        <v>0</v>
      </c>
      <c r="AL779" s="20">
        <v>0</v>
      </c>
      <c r="AM779" s="19">
        <v>0</v>
      </c>
      <c r="AN779" s="19">
        <v>0</v>
      </c>
      <c r="AO779" s="19">
        <v>0</v>
      </c>
      <c r="AP779" s="19">
        <v>0</v>
      </c>
      <c r="AQ779" s="19">
        <v>0</v>
      </c>
      <c r="AR779" s="19">
        <v>0</v>
      </c>
      <c r="AS779" s="19">
        <v>0</v>
      </c>
      <c r="AT779" s="19">
        <v>0</v>
      </c>
      <c r="AU779" s="19">
        <v>0</v>
      </c>
      <c r="AV779" s="19">
        <v>0</v>
      </c>
      <c r="AW779" s="20">
        <v>0</v>
      </c>
      <c r="AX779" s="20">
        <v>0</v>
      </c>
      <c r="AY779" s="20">
        <v>0</v>
      </c>
      <c r="AZ779" s="19">
        <v>0</v>
      </c>
      <c r="BA779" s="19">
        <v>0</v>
      </c>
      <c r="BB779" s="19">
        <v>0</v>
      </c>
      <c r="BC779" s="19">
        <v>0</v>
      </c>
      <c r="BD779" s="19">
        <v>0</v>
      </c>
      <c r="BE779" s="21">
        <v>0</v>
      </c>
      <c r="BF779" s="21">
        <v>0</v>
      </c>
      <c r="BG779" s="19">
        <v>0</v>
      </c>
      <c r="BH779" s="19">
        <v>0</v>
      </c>
      <c r="BI779" s="22">
        <f t="shared" si="223"/>
        <v>6</v>
      </c>
      <c r="BJ779" s="22">
        <f t="shared" si="224"/>
        <v>4</v>
      </c>
      <c r="BK779" s="22">
        <f t="shared" si="225"/>
        <v>13</v>
      </c>
      <c r="BL779" s="22">
        <f t="shared" si="226"/>
        <v>9</v>
      </c>
      <c r="BM779" s="22">
        <f t="shared" si="228"/>
        <v>4</v>
      </c>
      <c r="BN779" s="23">
        <f t="shared" si="230"/>
        <v>0.33333333333333331</v>
      </c>
      <c r="BO779" s="23">
        <f t="shared" si="230"/>
        <v>0</v>
      </c>
      <c r="BP779" s="7">
        <f>VLOOKUP(A779,[1]Sheet15!B:E,4,0)</f>
        <v>1</v>
      </c>
      <c r="BQ779" s="7">
        <f>VLOOKUP(A779,[1]Sheet15!B:E,3,0)</f>
        <v>0</v>
      </c>
    </row>
    <row r="780" spans="1:69" ht="22.5" customHeight="1" x14ac:dyDescent="0.25">
      <c r="A780" s="15" t="s">
        <v>1853</v>
      </c>
      <c r="B780" s="15" t="str">
        <f>VLOOKUP(A780,'[1]Master clients'!F759:W4306,17,0)</f>
        <v>Apr</v>
      </c>
      <c r="C780" s="15" t="str">
        <f>VLOOKUP(A780,'[1]Master clients'!F759:P4306,11,0)</f>
        <v>AV</v>
      </c>
      <c r="D780" s="15" t="str">
        <f>VLOOKUP(A780,'[1]Master clients'!F:M,8,0)</f>
        <v>End User</v>
      </c>
      <c r="E780" s="16" t="s">
        <v>1854</v>
      </c>
      <c r="F780" s="16" t="s">
        <v>1855</v>
      </c>
      <c r="G780" s="17">
        <v>7</v>
      </c>
      <c r="H780" s="17">
        <v>1</v>
      </c>
      <c r="I780" s="18">
        <v>9</v>
      </c>
      <c r="J780" s="18">
        <v>3</v>
      </c>
      <c r="K780" s="17">
        <v>5</v>
      </c>
      <c r="L780" s="17">
        <v>0</v>
      </c>
      <c r="M780" s="17">
        <v>0</v>
      </c>
      <c r="N780" s="17">
        <v>0</v>
      </c>
      <c r="O780" s="19">
        <v>0</v>
      </c>
      <c r="P780" s="19">
        <v>0</v>
      </c>
      <c r="Q780" s="19">
        <v>3</v>
      </c>
      <c r="R780" s="19">
        <v>0</v>
      </c>
      <c r="S780" s="19">
        <v>0</v>
      </c>
      <c r="T780" s="19">
        <v>0</v>
      </c>
      <c r="U780" s="19">
        <v>0</v>
      </c>
      <c r="V780" s="19">
        <v>0</v>
      </c>
      <c r="W780" s="20">
        <v>0</v>
      </c>
      <c r="X780" s="20">
        <v>0</v>
      </c>
      <c r="Y780" s="19">
        <v>0</v>
      </c>
      <c r="Z780" s="19">
        <v>0</v>
      </c>
      <c r="AA780" s="19">
        <v>0</v>
      </c>
      <c r="AB780" s="19">
        <v>0</v>
      </c>
      <c r="AC780" s="19">
        <v>0</v>
      </c>
      <c r="AD780" s="19">
        <v>0</v>
      </c>
      <c r="AE780" s="19">
        <v>0</v>
      </c>
      <c r="AF780" s="19">
        <v>0</v>
      </c>
      <c r="AG780" s="19">
        <v>0</v>
      </c>
      <c r="AH780" s="19">
        <v>0</v>
      </c>
      <c r="AI780" s="20">
        <v>0</v>
      </c>
      <c r="AJ780" s="20">
        <v>0</v>
      </c>
      <c r="AK780" s="19">
        <v>0</v>
      </c>
      <c r="AL780" s="20">
        <v>0</v>
      </c>
      <c r="AM780" s="19">
        <v>0</v>
      </c>
      <c r="AN780" s="19">
        <v>0</v>
      </c>
      <c r="AO780" s="19">
        <v>0</v>
      </c>
      <c r="AP780" s="19">
        <v>0</v>
      </c>
      <c r="AQ780" s="19">
        <v>0</v>
      </c>
      <c r="AR780" s="19">
        <v>0</v>
      </c>
      <c r="AS780" s="19">
        <v>0</v>
      </c>
      <c r="AT780" s="19">
        <v>0</v>
      </c>
      <c r="AU780" s="19">
        <v>0</v>
      </c>
      <c r="AV780" s="19">
        <v>0</v>
      </c>
      <c r="AW780" s="20">
        <v>0</v>
      </c>
      <c r="AX780" s="20">
        <v>0</v>
      </c>
      <c r="AY780" s="20">
        <v>0</v>
      </c>
      <c r="AZ780" s="19">
        <v>0</v>
      </c>
      <c r="BA780" s="19">
        <v>0</v>
      </c>
      <c r="BB780" s="19">
        <v>0</v>
      </c>
      <c r="BC780" s="19">
        <v>0</v>
      </c>
      <c r="BD780" s="19">
        <v>0</v>
      </c>
      <c r="BE780" s="21">
        <v>0</v>
      </c>
      <c r="BF780" s="21">
        <v>0</v>
      </c>
      <c r="BG780" s="19">
        <v>0</v>
      </c>
      <c r="BH780" s="19">
        <v>0</v>
      </c>
      <c r="BI780" s="22">
        <f t="shared" si="223"/>
        <v>5</v>
      </c>
      <c r="BJ780" s="22">
        <f t="shared" si="224"/>
        <v>3</v>
      </c>
      <c r="BK780" s="22">
        <f t="shared" si="225"/>
        <v>20</v>
      </c>
      <c r="BL780" s="22">
        <f t="shared" si="226"/>
        <v>14</v>
      </c>
      <c r="BM780" s="22">
        <f t="shared" si="228"/>
        <v>6</v>
      </c>
      <c r="BN780" s="23">
        <f t="shared" si="230"/>
        <v>0.6428571428571429</v>
      </c>
      <c r="BO780" s="23">
        <f t="shared" si="230"/>
        <v>0.5</v>
      </c>
      <c r="BP780" s="7">
        <f>VLOOKUP(A780,[1]Sheet15!B:E,4,0)</f>
        <v>7</v>
      </c>
      <c r="BQ780" s="7">
        <f>VLOOKUP(A780,[1]Sheet15!B:E,3,0)</f>
        <v>1</v>
      </c>
    </row>
    <row r="781" spans="1:69" ht="22.5" customHeight="1" x14ac:dyDescent="0.25">
      <c r="A781" s="15" t="s">
        <v>1856</v>
      </c>
      <c r="B781" s="15" t="e">
        <f>VLOOKUP(A781,'[1]Master clients'!F760:W4307,17,0)</f>
        <v>#N/A</v>
      </c>
      <c r="C781" s="15" t="e">
        <f>VLOOKUP(A781,'[1]Master clients'!F760:P4307,11,0)</f>
        <v>#N/A</v>
      </c>
      <c r="D781" s="15" t="str">
        <f>VLOOKUP(A781,'[1]Master clients'!F:M,8,0)</f>
        <v>End User</v>
      </c>
      <c r="E781" s="16" t="s">
        <v>1857</v>
      </c>
      <c r="F781" s="16" t="s">
        <v>1858</v>
      </c>
      <c r="G781" s="17">
        <v>2</v>
      </c>
      <c r="H781" s="17">
        <v>0</v>
      </c>
      <c r="I781" s="18">
        <v>3</v>
      </c>
      <c r="J781" s="18">
        <v>0</v>
      </c>
      <c r="K781" s="17">
        <v>0</v>
      </c>
      <c r="L781" s="17">
        <v>0</v>
      </c>
      <c r="M781" s="17">
        <v>0</v>
      </c>
      <c r="N781" s="17">
        <v>0</v>
      </c>
      <c r="O781" s="19">
        <v>0</v>
      </c>
      <c r="P781" s="19">
        <v>8</v>
      </c>
      <c r="Q781" s="19">
        <v>12</v>
      </c>
      <c r="R781" s="19">
        <v>0</v>
      </c>
      <c r="S781" s="19">
        <v>0</v>
      </c>
      <c r="T781" s="19">
        <v>0</v>
      </c>
      <c r="U781" s="19">
        <v>0</v>
      </c>
      <c r="V781" s="19">
        <v>0</v>
      </c>
      <c r="W781" s="20">
        <v>0</v>
      </c>
      <c r="X781" s="20">
        <v>0</v>
      </c>
      <c r="Y781" s="19">
        <v>0</v>
      </c>
      <c r="Z781" s="19">
        <v>0</v>
      </c>
      <c r="AA781" s="19">
        <v>0</v>
      </c>
      <c r="AB781" s="19">
        <v>0</v>
      </c>
      <c r="AC781" s="19">
        <v>0</v>
      </c>
      <c r="AD781" s="19">
        <v>0</v>
      </c>
      <c r="AE781" s="19">
        <v>0</v>
      </c>
      <c r="AF781" s="19">
        <v>0</v>
      </c>
      <c r="AG781" s="19">
        <v>0</v>
      </c>
      <c r="AH781" s="19">
        <v>0</v>
      </c>
      <c r="AI781" s="20">
        <v>0</v>
      </c>
      <c r="AJ781" s="20">
        <v>0</v>
      </c>
      <c r="AK781" s="19">
        <v>0</v>
      </c>
      <c r="AL781" s="20">
        <v>0</v>
      </c>
      <c r="AM781" s="19">
        <v>0</v>
      </c>
      <c r="AN781" s="19">
        <v>0</v>
      </c>
      <c r="AO781" s="19">
        <v>0</v>
      </c>
      <c r="AP781" s="19">
        <v>0</v>
      </c>
      <c r="AQ781" s="19">
        <v>0</v>
      </c>
      <c r="AR781" s="19">
        <v>0</v>
      </c>
      <c r="AS781" s="19">
        <v>0</v>
      </c>
      <c r="AT781" s="19">
        <v>0</v>
      </c>
      <c r="AU781" s="19">
        <v>0</v>
      </c>
      <c r="AV781" s="19">
        <v>0</v>
      </c>
      <c r="AW781" s="20">
        <v>0</v>
      </c>
      <c r="AX781" s="20">
        <v>0</v>
      </c>
      <c r="AY781" s="20">
        <v>0</v>
      </c>
      <c r="AZ781" s="19">
        <v>0</v>
      </c>
      <c r="BA781" s="19">
        <v>0</v>
      </c>
      <c r="BB781" s="19">
        <v>0</v>
      </c>
      <c r="BC781" s="19">
        <v>0</v>
      </c>
      <c r="BD781" s="19">
        <v>0</v>
      </c>
      <c r="BE781" s="21">
        <v>0</v>
      </c>
      <c r="BF781" s="21">
        <v>0</v>
      </c>
      <c r="BG781" s="19">
        <v>0</v>
      </c>
      <c r="BH781" s="19">
        <v>0</v>
      </c>
      <c r="BI781" s="22">
        <f t="shared" si="223"/>
        <v>8</v>
      </c>
      <c r="BJ781" s="22">
        <f t="shared" si="224"/>
        <v>12</v>
      </c>
      <c r="BK781" s="22">
        <f t="shared" si="225"/>
        <v>23</v>
      </c>
      <c r="BL781" s="22">
        <f t="shared" si="226"/>
        <v>11</v>
      </c>
      <c r="BM781" s="22">
        <f t="shared" si="228"/>
        <v>12</v>
      </c>
      <c r="BN781" s="23">
        <f t="shared" si="230"/>
        <v>0.27272727272727271</v>
      </c>
      <c r="BO781" s="23">
        <f t="shared" si="230"/>
        <v>0</v>
      </c>
      <c r="BP781" s="7" t="e">
        <f>VLOOKUP(A781,[1]Sheet15!B:E,4,0)</f>
        <v>#N/A</v>
      </c>
      <c r="BQ781" s="7" t="e">
        <f>VLOOKUP(A781,[1]Sheet15!B:E,3,0)</f>
        <v>#N/A</v>
      </c>
    </row>
    <row r="782" spans="1:69" ht="22.5" customHeight="1" x14ac:dyDescent="0.25">
      <c r="A782" s="15" t="s">
        <v>1859</v>
      </c>
      <c r="B782" s="15" t="str">
        <f>VLOOKUP(A782,'[1]Master clients'!F761:W4308,17,0)</f>
        <v>Apr</v>
      </c>
      <c r="C782" s="15" t="str">
        <f>VLOOKUP(A782,'[1]Master clients'!F761:P4308,11,0)</f>
        <v>AV</v>
      </c>
      <c r="D782" s="15" t="str">
        <f>VLOOKUP(A782,'[1]Master clients'!F:M,8,0)</f>
        <v>End User</v>
      </c>
      <c r="E782" s="24" t="s">
        <v>1860</v>
      </c>
      <c r="F782" s="25" t="s">
        <v>1861</v>
      </c>
      <c r="G782" s="20">
        <v>31</v>
      </c>
      <c r="H782" s="20">
        <v>0</v>
      </c>
      <c r="I782" s="26">
        <v>10</v>
      </c>
      <c r="J782" s="26">
        <v>0</v>
      </c>
      <c r="K782" s="20">
        <v>0</v>
      </c>
      <c r="L782" s="20">
        <v>0</v>
      </c>
      <c r="M782" s="20">
        <v>0</v>
      </c>
      <c r="N782" s="20">
        <v>0</v>
      </c>
      <c r="O782" s="20">
        <v>0</v>
      </c>
      <c r="P782" s="20">
        <v>1</v>
      </c>
      <c r="Q782" s="20">
        <v>12</v>
      </c>
      <c r="R782" s="20">
        <v>3</v>
      </c>
      <c r="S782" s="20">
        <v>0</v>
      </c>
      <c r="T782" s="20">
        <v>0</v>
      </c>
      <c r="U782" s="20">
        <v>0</v>
      </c>
      <c r="V782" s="20">
        <v>0</v>
      </c>
      <c r="W782" s="20">
        <v>0</v>
      </c>
      <c r="X782" s="20">
        <v>0</v>
      </c>
      <c r="Y782" s="20">
        <v>0</v>
      </c>
      <c r="Z782" s="20">
        <v>0</v>
      </c>
      <c r="AA782" s="20">
        <v>0</v>
      </c>
      <c r="AB782" s="20">
        <v>0</v>
      </c>
      <c r="AC782" s="20">
        <v>0</v>
      </c>
      <c r="AD782" s="20">
        <v>0</v>
      </c>
      <c r="AE782" s="20">
        <v>0</v>
      </c>
      <c r="AF782" s="20">
        <v>0</v>
      </c>
      <c r="AG782" s="20">
        <v>0</v>
      </c>
      <c r="AH782" s="20">
        <v>0</v>
      </c>
      <c r="AI782" s="20">
        <v>0</v>
      </c>
      <c r="AJ782" s="20">
        <v>0</v>
      </c>
      <c r="AK782" s="20">
        <v>0</v>
      </c>
      <c r="AL782" s="20">
        <v>0</v>
      </c>
      <c r="AM782" s="20">
        <v>0</v>
      </c>
      <c r="AN782" s="20">
        <v>0</v>
      </c>
      <c r="AO782" s="20">
        <v>0</v>
      </c>
      <c r="AP782" s="20">
        <v>0</v>
      </c>
      <c r="AQ782" s="20">
        <v>0</v>
      </c>
      <c r="AR782" s="20">
        <v>0</v>
      </c>
      <c r="AS782" s="20">
        <v>0</v>
      </c>
      <c r="AT782" s="20">
        <v>0</v>
      </c>
      <c r="AU782" s="20">
        <v>0</v>
      </c>
      <c r="AV782" s="20">
        <v>0</v>
      </c>
      <c r="AW782" s="20">
        <v>0</v>
      </c>
      <c r="AX782" s="20">
        <v>0</v>
      </c>
      <c r="AY782" s="20">
        <v>0</v>
      </c>
      <c r="AZ782" s="20">
        <v>0</v>
      </c>
      <c r="BA782" s="20">
        <v>0</v>
      </c>
      <c r="BB782" s="27">
        <v>0</v>
      </c>
      <c r="BC782" s="20">
        <v>0</v>
      </c>
      <c r="BD782" s="20">
        <v>0</v>
      </c>
      <c r="BE782" s="21">
        <v>0</v>
      </c>
      <c r="BF782" s="21">
        <v>0</v>
      </c>
      <c r="BG782" s="20">
        <v>0</v>
      </c>
      <c r="BH782" s="20">
        <v>0</v>
      </c>
      <c r="BI782" s="22">
        <f t="shared" si="223"/>
        <v>4</v>
      </c>
      <c r="BJ782" s="22">
        <f t="shared" si="224"/>
        <v>12</v>
      </c>
      <c r="BK782" s="28">
        <f t="shared" si="225"/>
        <v>26</v>
      </c>
      <c r="BL782" s="22">
        <f t="shared" si="226"/>
        <v>14</v>
      </c>
      <c r="BM782" s="22">
        <f t="shared" si="228"/>
        <v>12</v>
      </c>
      <c r="BN782" s="23">
        <f t="shared" si="230"/>
        <v>0.7142857142857143</v>
      </c>
      <c r="BO782" s="23">
        <f t="shared" si="230"/>
        <v>0</v>
      </c>
      <c r="BP782" s="7">
        <f>VLOOKUP(A782,[1]Sheet15!B:E,4,0)</f>
        <v>18</v>
      </c>
      <c r="BQ782" s="7">
        <f>VLOOKUP(A782,[1]Sheet15!B:E,3,0)</f>
        <v>0</v>
      </c>
    </row>
    <row r="783" spans="1:69" ht="22.5" customHeight="1" x14ac:dyDescent="0.25">
      <c r="A783" s="15" t="s">
        <v>1862</v>
      </c>
      <c r="B783" s="15" t="e">
        <f>VLOOKUP(A783,'[1]Master clients'!F762:W4309,17,0)</f>
        <v>#N/A</v>
      </c>
      <c r="C783" s="15" t="e">
        <f>VLOOKUP(A783,'[1]Master clients'!F762:P4309,11,0)</f>
        <v>#N/A</v>
      </c>
      <c r="D783" s="15" t="str">
        <f>VLOOKUP(A783,'[1]Master clients'!F:M,8,0)</f>
        <v>End User</v>
      </c>
      <c r="E783" s="16" t="s">
        <v>1863</v>
      </c>
      <c r="F783" s="16" t="s">
        <v>1864</v>
      </c>
      <c r="G783" s="17"/>
      <c r="H783" s="17"/>
      <c r="I783" s="26">
        <v>3</v>
      </c>
      <c r="J783" s="31">
        <v>0</v>
      </c>
      <c r="K783" s="17">
        <v>0</v>
      </c>
      <c r="L783" s="17">
        <v>0</v>
      </c>
      <c r="M783" s="17">
        <v>0</v>
      </c>
      <c r="N783" s="17">
        <v>0</v>
      </c>
      <c r="O783" s="17">
        <v>0</v>
      </c>
      <c r="P783" s="17">
        <v>0</v>
      </c>
      <c r="Q783" s="17">
        <v>0</v>
      </c>
      <c r="R783" s="17">
        <v>0</v>
      </c>
      <c r="S783" s="17">
        <v>0</v>
      </c>
      <c r="T783" s="17">
        <v>0</v>
      </c>
      <c r="U783" s="17">
        <v>0</v>
      </c>
      <c r="V783" s="17">
        <v>0</v>
      </c>
      <c r="W783" s="17">
        <v>0</v>
      </c>
      <c r="X783" s="17">
        <v>0</v>
      </c>
      <c r="Y783" s="17">
        <v>0</v>
      </c>
      <c r="Z783" s="17">
        <v>0</v>
      </c>
      <c r="AA783" s="17">
        <v>0</v>
      </c>
      <c r="AB783" s="17">
        <v>0</v>
      </c>
      <c r="AC783" s="17">
        <v>0</v>
      </c>
      <c r="AD783" s="17">
        <v>0</v>
      </c>
      <c r="AE783" s="17">
        <v>0</v>
      </c>
      <c r="AF783" s="17">
        <v>0</v>
      </c>
      <c r="AG783" s="17">
        <v>0</v>
      </c>
      <c r="AH783" s="17">
        <v>0</v>
      </c>
      <c r="AI783" s="17">
        <v>0</v>
      </c>
      <c r="AJ783" s="17">
        <v>0</v>
      </c>
      <c r="AK783" s="17">
        <v>0</v>
      </c>
      <c r="AL783" s="17">
        <v>0</v>
      </c>
      <c r="AM783" s="17">
        <v>0</v>
      </c>
      <c r="AN783" s="17">
        <v>0</v>
      </c>
      <c r="AO783" s="17">
        <v>0</v>
      </c>
      <c r="AP783" s="17">
        <v>0</v>
      </c>
      <c r="AQ783" s="17">
        <v>0</v>
      </c>
      <c r="AR783" s="17">
        <v>0</v>
      </c>
      <c r="AS783" s="17">
        <v>0</v>
      </c>
      <c r="AT783" s="17">
        <v>0</v>
      </c>
      <c r="AU783" s="17">
        <v>0</v>
      </c>
      <c r="AV783" s="17">
        <v>0</v>
      </c>
      <c r="AW783" s="17">
        <v>0</v>
      </c>
      <c r="AX783" s="17">
        <v>0</v>
      </c>
      <c r="AY783" s="17">
        <v>0</v>
      </c>
      <c r="AZ783" s="17">
        <v>0</v>
      </c>
      <c r="BA783" s="17">
        <v>0</v>
      </c>
      <c r="BB783" s="17">
        <v>0</v>
      </c>
      <c r="BC783" s="17">
        <v>0</v>
      </c>
      <c r="BD783" s="17">
        <v>0</v>
      </c>
      <c r="BE783" s="17">
        <v>0</v>
      </c>
      <c r="BF783" s="17">
        <v>0</v>
      </c>
      <c r="BG783" s="17">
        <v>0</v>
      </c>
      <c r="BH783" s="17">
        <v>0</v>
      </c>
      <c r="BI783" s="22">
        <f t="shared" si="223"/>
        <v>0</v>
      </c>
      <c r="BJ783" s="22">
        <f t="shared" si="224"/>
        <v>0</v>
      </c>
      <c r="BK783" s="28">
        <f t="shared" si="225"/>
        <v>3</v>
      </c>
      <c r="BL783" s="22">
        <f t="shared" si="226"/>
        <v>3</v>
      </c>
      <c r="BM783" s="22">
        <f t="shared" si="228"/>
        <v>0</v>
      </c>
      <c r="BN783" s="23">
        <f t="shared" si="230"/>
        <v>1</v>
      </c>
      <c r="BO783" s="23" t="e">
        <f t="shared" si="230"/>
        <v>#DIV/0!</v>
      </c>
      <c r="BP783" s="7">
        <f>VLOOKUP(A783,[1]Sheet15!B:E,4,0)</f>
        <v>3</v>
      </c>
      <c r="BQ783" s="7">
        <f>VLOOKUP(A783,[1]Sheet15!B:E,3,0)</f>
        <v>0</v>
      </c>
    </row>
    <row r="784" spans="1:69" ht="22.5" customHeight="1" x14ac:dyDescent="0.25">
      <c r="A784" s="15" t="s">
        <v>1865</v>
      </c>
      <c r="B784" s="15" t="e">
        <f>VLOOKUP(A784,'[1]Master clients'!F763:W4310,17,0)</f>
        <v>#N/A</v>
      </c>
      <c r="C784" s="15" t="e">
        <f>VLOOKUP(A784,'[1]Master clients'!F763:P4310,11,0)</f>
        <v>#N/A</v>
      </c>
      <c r="D784" s="15" t="str">
        <f>VLOOKUP(A784,'[1]Master clients'!F:M,8,0)</f>
        <v>Group (Mills)</v>
      </c>
      <c r="E784" s="24" t="s">
        <v>1866</v>
      </c>
      <c r="F784" s="25" t="s">
        <v>1867</v>
      </c>
      <c r="G784" s="20">
        <v>0</v>
      </c>
      <c r="H784" s="20">
        <v>0</v>
      </c>
      <c r="I784" s="26">
        <v>28</v>
      </c>
      <c r="J784" s="26">
        <v>0</v>
      </c>
      <c r="K784" s="20">
        <v>2</v>
      </c>
      <c r="L784" s="20">
        <v>12</v>
      </c>
      <c r="M784" s="20">
        <v>0</v>
      </c>
      <c r="N784" s="20">
        <v>6</v>
      </c>
      <c r="O784" s="20">
        <v>4</v>
      </c>
      <c r="P784" s="20">
        <v>0</v>
      </c>
      <c r="Q784" s="20">
        <v>2</v>
      </c>
      <c r="R784" s="20">
        <v>2</v>
      </c>
      <c r="S784" s="20">
        <v>0</v>
      </c>
      <c r="T784" s="20">
        <v>0</v>
      </c>
      <c r="U784" s="20">
        <v>0</v>
      </c>
      <c r="V784" s="20">
        <v>0</v>
      </c>
      <c r="W784" s="20">
        <v>0</v>
      </c>
      <c r="X784" s="20">
        <v>0</v>
      </c>
      <c r="Y784" s="20">
        <v>0</v>
      </c>
      <c r="Z784" s="20">
        <v>0</v>
      </c>
      <c r="AA784" s="20">
        <v>0</v>
      </c>
      <c r="AB784" s="20">
        <v>0</v>
      </c>
      <c r="AC784" s="20">
        <v>0</v>
      </c>
      <c r="AD784" s="20">
        <v>0</v>
      </c>
      <c r="AE784" s="20">
        <v>0</v>
      </c>
      <c r="AF784" s="20">
        <v>0</v>
      </c>
      <c r="AG784" s="20">
        <v>0</v>
      </c>
      <c r="AH784" s="20">
        <v>0</v>
      </c>
      <c r="AI784" s="20">
        <v>0</v>
      </c>
      <c r="AJ784" s="20">
        <v>0</v>
      </c>
      <c r="AK784" s="20">
        <v>0</v>
      </c>
      <c r="AL784" s="20">
        <v>0</v>
      </c>
      <c r="AM784" s="20">
        <v>0</v>
      </c>
      <c r="AN784" s="20">
        <v>0</v>
      </c>
      <c r="AO784" s="20">
        <v>12</v>
      </c>
      <c r="AP784" s="20">
        <v>0</v>
      </c>
      <c r="AQ784" s="20">
        <v>0</v>
      </c>
      <c r="AR784" s="20">
        <v>0</v>
      </c>
      <c r="AS784" s="20">
        <v>0</v>
      </c>
      <c r="AT784" s="20">
        <v>0</v>
      </c>
      <c r="AU784" s="19">
        <v>0</v>
      </c>
      <c r="AV784" s="20">
        <v>0</v>
      </c>
      <c r="AW784" s="20">
        <v>0</v>
      </c>
      <c r="AX784" s="20">
        <v>0</v>
      </c>
      <c r="AY784" s="20">
        <v>0</v>
      </c>
      <c r="AZ784" s="20">
        <v>0</v>
      </c>
      <c r="BA784" s="19">
        <v>0</v>
      </c>
      <c r="BB784" s="27">
        <v>0</v>
      </c>
      <c r="BC784" s="19">
        <v>0</v>
      </c>
      <c r="BD784" s="19">
        <v>0</v>
      </c>
      <c r="BE784" s="21">
        <v>0</v>
      </c>
      <c r="BF784" s="21">
        <v>0</v>
      </c>
      <c r="BG784" s="19">
        <v>0</v>
      </c>
      <c r="BH784" s="19">
        <v>0</v>
      </c>
      <c r="BI784" s="22">
        <f t="shared" si="223"/>
        <v>28</v>
      </c>
      <c r="BJ784" s="22">
        <f t="shared" si="224"/>
        <v>12</v>
      </c>
      <c r="BK784" s="28">
        <f t="shared" si="225"/>
        <v>68</v>
      </c>
      <c r="BL784" s="22">
        <f t="shared" si="226"/>
        <v>56</v>
      </c>
      <c r="BM784" s="22">
        <f t="shared" si="228"/>
        <v>12</v>
      </c>
      <c r="BN784" s="23">
        <f t="shared" ref="BN784:BO799" si="231">I784/BL784</f>
        <v>0.5</v>
      </c>
      <c r="BO784" s="23">
        <f t="shared" si="231"/>
        <v>0</v>
      </c>
      <c r="BP784" s="7">
        <f>VLOOKUP(A784,[1]Sheet15!B:E,4,0)</f>
        <v>5</v>
      </c>
      <c r="BQ784" s="7">
        <f>VLOOKUP(A784,[1]Sheet15!B:E,3,0)</f>
        <v>0</v>
      </c>
    </row>
    <row r="785" spans="1:69" ht="22.5" customHeight="1" x14ac:dyDescent="0.25">
      <c r="A785" s="15" t="s">
        <v>1868</v>
      </c>
      <c r="B785" s="15" t="e">
        <f>VLOOKUP(A785,'[1]Master clients'!F764:W4311,17,0)</f>
        <v>#N/A</v>
      </c>
      <c r="C785" s="15" t="e">
        <f>VLOOKUP(A785,'[1]Master clients'!F764:P4311,11,0)</f>
        <v>#N/A</v>
      </c>
      <c r="D785" s="15" t="str">
        <f>VLOOKUP(A785,'[1]Master clients'!F:M,8,0)</f>
        <v>End User</v>
      </c>
      <c r="E785" s="24" t="s">
        <v>1869</v>
      </c>
      <c r="F785" s="25" t="s">
        <v>1870</v>
      </c>
      <c r="G785" s="20">
        <v>4</v>
      </c>
      <c r="H785" s="20">
        <v>0</v>
      </c>
      <c r="I785" s="26">
        <v>4</v>
      </c>
      <c r="J785" s="26">
        <v>0</v>
      </c>
      <c r="K785" s="20">
        <v>4</v>
      </c>
      <c r="L785" s="20">
        <v>0</v>
      </c>
      <c r="M785" s="20">
        <v>0</v>
      </c>
      <c r="N785" s="20">
        <v>0</v>
      </c>
      <c r="O785" s="20">
        <v>0</v>
      </c>
      <c r="P785" s="20">
        <v>0</v>
      </c>
      <c r="Q785" s="20">
        <v>0</v>
      </c>
      <c r="R785" s="20">
        <v>0</v>
      </c>
      <c r="S785" s="20">
        <v>0</v>
      </c>
      <c r="T785" s="20">
        <v>0</v>
      </c>
      <c r="U785" s="20">
        <v>0</v>
      </c>
      <c r="V785" s="20">
        <v>0</v>
      </c>
      <c r="W785" s="20">
        <v>0</v>
      </c>
      <c r="X785" s="20">
        <v>0</v>
      </c>
      <c r="Y785" s="20">
        <v>0</v>
      </c>
      <c r="Z785" s="20">
        <v>0</v>
      </c>
      <c r="AA785" s="20">
        <v>0</v>
      </c>
      <c r="AB785" s="20">
        <v>0</v>
      </c>
      <c r="AC785" s="20">
        <v>0</v>
      </c>
      <c r="AD785" s="20">
        <v>0</v>
      </c>
      <c r="AE785" s="20">
        <v>0</v>
      </c>
      <c r="AF785" s="20">
        <v>0</v>
      </c>
      <c r="AG785" s="20">
        <v>0</v>
      </c>
      <c r="AH785" s="20">
        <v>0</v>
      </c>
      <c r="AI785" s="20">
        <v>0</v>
      </c>
      <c r="AJ785" s="20">
        <v>0</v>
      </c>
      <c r="AK785" s="20">
        <v>0</v>
      </c>
      <c r="AL785" s="20">
        <v>0</v>
      </c>
      <c r="AM785" s="20">
        <v>0</v>
      </c>
      <c r="AN785" s="20">
        <v>0</v>
      </c>
      <c r="AO785" s="20">
        <v>0</v>
      </c>
      <c r="AP785" s="20">
        <v>0</v>
      </c>
      <c r="AQ785" s="20">
        <v>0</v>
      </c>
      <c r="AR785" s="20">
        <v>0</v>
      </c>
      <c r="AS785" s="20">
        <v>0</v>
      </c>
      <c r="AT785" s="20">
        <v>0</v>
      </c>
      <c r="AU785" s="20">
        <v>0</v>
      </c>
      <c r="AV785" s="20">
        <v>0</v>
      </c>
      <c r="AW785" s="20">
        <v>0</v>
      </c>
      <c r="AX785" s="20">
        <v>0</v>
      </c>
      <c r="AY785" s="20">
        <v>0</v>
      </c>
      <c r="AZ785" s="20">
        <v>0</v>
      </c>
      <c r="BA785" s="20">
        <v>0</v>
      </c>
      <c r="BB785" s="27">
        <v>0</v>
      </c>
      <c r="BC785" s="20">
        <v>0</v>
      </c>
      <c r="BD785" s="20">
        <v>0</v>
      </c>
      <c r="BE785" s="21">
        <v>0</v>
      </c>
      <c r="BF785" s="21">
        <v>0</v>
      </c>
      <c r="BG785" s="20">
        <v>0</v>
      </c>
      <c r="BH785" s="20">
        <v>0</v>
      </c>
      <c r="BI785" s="22">
        <f t="shared" si="223"/>
        <v>4</v>
      </c>
      <c r="BJ785" s="22">
        <f t="shared" si="224"/>
        <v>0</v>
      </c>
      <c r="BK785" s="28">
        <f t="shared" si="225"/>
        <v>8</v>
      </c>
      <c r="BL785" s="22">
        <f t="shared" si="226"/>
        <v>8</v>
      </c>
      <c r="BM785" s="22">
        <f t="shared" si="228"/>
        <v>0</v>
      </c>
      <c r="BN785" s="23">
        <f t="shared" si="231"/>
        <v>0.5</v>
      </c>
      <c r="BO785" s="23" t="e">
        <f t="shared" si="231"/>
        <v>#DIV/0!</v>
      </c>
      <c r="BP785" s="7">
        <f>VLOOKUP(A785,[1]Sheet15!B:E,4,0)</f>
        <v>2</v>
      </c>
      <c r="BQ785" s="7">
        <f>VLOOKUP(A785,[1]Sheet15!B:E,3,0)</f>
        <v>0</v>
      </c>
    </row>
    <row r="786" spans="1:69" ht="22.5" customHeight="1" x14ac:dyDescent="0.25">
      <c r="A786" s="15" t="s">
        <v>1871</v>
      </c>
      <c r="B786" s="15" t="e">
        <f>VLOOKUP(A786,'[1]Master clients'!F765:W4312,17,0)</f>
        <v>#N/A</v>
      </c>
      <c r="C786" s="15" t="e">
        <f>VLOOKUP(A786,'[1]Master clients'!F765:P4312,11,0)</f>
        <v>#N/A</v>
      </c>
      <c r="D786" s="15" t="str">
        <f>VLOOKUP(A786,'[1]Master clients'!F:M,8,0)</f>
        <v>End User</v>
      </c>
      <c r="E786" s="16" t="s">
        <v>1872</v>
      </c>
      <c r="F786" s="16" t="s">
        <v>1870</v>
      </c>
      <c r="G786" s="17"/>
      <c r="H786" s="17"/>
      <c r="I786" s="31">
        <v>5</v>
      </c>
      <c r="J786" s="31">
        <v>0</v>
      </c>
      <c r="K786" s="17">
        <v>6</v>
      </c>
      <c r="L786" s="17">
        <v>0</v>
      </c>
      <c r="M786" s="17">
        <v>0</v>
      </c>
      <c r="N786" s="17">
        <v>0</v>
      </c>
      <c r="O786" s="17">
        <v>0</v>
      </c>
      <c r="P786" s="17">
        <v>0</v>
      </c>
      <c r="Q786" s="17">
        <v>0</v>
      </c>
      <c r="R786" s="17">
        <v>0</v>
      </c>
      <c r="S786" s="17">
        <v>0</v>
      </c>
      <c r="T786" s="17">
        <v>0</v>
      </c>
      <c r="U786" s="17">
        <v>0</v>
      </c>
      <c r="V786" s="17">
        <v>0</v>
      </c>
      <c r="W786" s="17">
        <v>0</v>
      </c>
      <c r="X786" s="17">
        <v>0</v>
      </c>
      <c r="Y786" s="17">
        <v>0</v>
      </c>
      <c r="Z786" s="17">
        <v>0</v>
      </c>
      <c r="AA786" s="17">
        <v>0</v>
      </c>
      <c r="AB786" s="17">
        <v>0</v>
      </c>
      <c r="AC786" s="17">
        <v>0</v>
      </c>
      <c r="AD786" s="17">
        <v>0</v>
      </c>
      <c r="AE786" s="17">
        <v>0</v>
      </c>
      <c r="AF786" s="17">
        <v>0</v>
      </c>
      <c r="AG786" s="17">
        <v>0</v>
      </c>
      <c r="AH786" s="17">
        <v>0</v>
      </c>
      <c r="AI786" s="17">
        <v>0</v>
      </c>
      <c r="AJ786" s="17">
        <v>0</v>
      </c>
      <c r="AK786" s="17">
        <v>0</v>
      </c>
      <c r="AL786" s="17">
        <v>0</v>
      </c>
      <c r="AM786" s="17">
        <v>0</v>
      </c>
      <c r="AN786" s="17">
        <v>0</v>
      </c>
      <c r="AO786" s="17">
        <v>0</v>
      </c>
      <c r="AP786" s="17">
        <v>0</v>
      </c>
      <c r="AQ786" s="17">
        <v>0</v>
      </c>
      <c r="AR786" s="17">
        <v>0</v>
      </c>
      <c r="AS786" s="17">
        <v>0</v>
      </c>
      <c r="AT786" s="17">
        <v>0</v>
      </c>
      <c r="AU786" s="17">
        <v>0</v>
      </c>
      <c r="AV786" s="17">
        <v>0</v>
      </c>
      <c r="AW786" s="17">
        <v>0</v>
      </c>
      <c r="AX786" s="17">
        <v>0</v>
      </c>
      <c r="AY786" s="17">
        <v>0</v>
      </c>
      <c r="AZ786" s="17">
        <v>0</v>
      </c>
      <c r="BA786" s="17">
        <v>0</v>
      </c>
      <c r="BB786" s="17">
        <v>0</v>
      </c>
      <c r="BC786" s="17">
        <v>0</v>
      </c>
      <c r="BD786" s="17">
        <v>0</v>
      </c>
      <c r="BE786" s="17">
        <v>0</v>
      </c>
      <c r="BF786" s="17">
        <v>0</v>
      </c>
      <c r="BG786" s="17">
        <v>0</v>
      </c>
      <c r="BH786" s="17">
        <v>0</v>
      </c>
      <c r="BI786" s="22">
        <f t="shared" si="223"/>
        <v>6</v>
      </c>
      <c r="BJ786" s="22">
        <f t="shared" si="224"/>
        <v>0</v>
      </c>
      <c r="BK786" s="22">
        <f t="shared" si="225"/>
        <v>11</v>
      </c>
      <c r="BL786" s="22">
        <f t="shared" si="226"/>
        <v>11</v>
      </c>
      <c r="BM786" s="22">
        <f t="shared" si="228"/>
        <v>0</v>
      </c>
      <c r="BN786" s="23">
        <f t="shared" si="231"/>
        <v>0.45454545454545453</v>
      </c>
      <c r="BO786" s="23" t="e">
        <f t="shared" si="231"/>
        <v>#DIV/0!</v>
      </c>
      <c r="BP786" s="7">
        <f>VLOOKUP(A786,[1]Sheet15!B:E,4,0)</f>
        <v>3</v>
      </c>
      <c r="BQ786" s="7">
        <f>VLOOKUP(A786,[1]Sheet15!B:E,3,0)</f>
        <v>0</v>
      </c>
    </row>
    <row r="787" spans="1:69" ht="22.5" customHeight="1" x14ac:dyDescent="0.25">
      <c r="A787" s="15" t="s">
        <v>1873</v>
      </c>
      <c r="B787" s="15" t="e">
        <f>VLOOKUP(A787,'[1]Master clients'!F766:W4313,17,0)</f>
        <v>#N/A</v>
      </c>
      <c r="C787" s="15" t="e">
        <f>VLOOKUP(A787,'[1]Master clients'!F766:P4313,11,0)</f>
        <v>#N/A</v>
      </c>
      <c r="D787" s="15" t="str">
        <f>VLOOKUP(A787,'[1]Master clients'!F:M,8,0)</f>
        <v>End User</v>
      </c>
      <c r="E787" s="16" t="s">
        <v>1874</v>
      </c>
      <c r="F787" s="16" t="s">
        <v>1870</v>
      </c>
      <c r="G787" s="17"/>
      <c r="H787" s="17"/>
      <c r="I787" s="31">
        <v>1</v>
      </c>
      <c r="J787" s="31">
        <v>0</v>
      </c>
      <c r="K787" s="17">
        <v>0</v>
      </c>
      <c r="L787" s="17">
        <v>0</v>
      </c>
      <c r="M787" s="17">
        <v>0</v>
      </c>
      <c r="N787" s="17">
        <v>0</v>
      </c>
      <c r="O787" s="17">
        <v>0</v>
      </c>
      <c r="P787" s="17">
        <v>0</v>
      </c>
      <c r="Q787" s="17">
        <v>0</v>
      </c>
      <c r="R787" s="17">
        <v>0</v>
      </c>
      <c r="S787" s="17">
        <v>0</v>
      </c>
      <c r="T787" s="17">
        <v>0</v>
      </c>
      <c r="U787" s="17">
        <v>0</v>
      </c>
      <c r="V787" s="17">
        <v>0</v>
      </c>
      <c r="W787" s="17">
        <v>0</v>
      </c>
      <c r="X787" s="17">
        <v>0</v>
      </c>
      <c r="Y787" s="17">
        <v>0</v>
      </c>
      <c r="Z787" s="17">
        <v>0</v>
      </c>
      <c r="AA787" s="17">
        <v>0</v>
      </c>
      <c r="AB787" s="17">
        <v>0</v>
      </c>
      <c r="AC787" s="17">
        <v>0</v>
      </c>
      <c r="AD787" s="17">
        <v>0</v>
      </c>
      <c r="AE787" s="17">
        <v>0</v>
      </c>
      <c r="AF787" s="17">
        <v>0</v>
      </c>
      <c r="AG787" s="17">
        <v>0</v>
      </c>
      <c r="AH787" s="17">
        <v>0</v>
      </c>
      <c r="AI787" s="17">
        <v>0</v>
      </c>
      <c r="AJ787" s="17">
        <v>0</v>
      </c>
      <c r="AK787" s="17">
        <v>0</v>
      </c>
      <c r="AL787" s="17">
        <v>0</v>
      </c>
      <c r="AM787" s="17">
        <v>0</v>
      </c>
      <c r="AN787" s="17">
        <v>0</v>
      </c>
      <c r="AO787" s="17">
        <v>0</v>
      </c>
      <c r="AP787" s="17">
        <v>0</v>
      </c>
      <c r="AQ787" s="17">
        <v>0</v>
      </c>
      <c r="AR787" s="17">
        <v>0</v>
      </c>
      <c r="AS787" s="17">
        <v>0</v>
      </c>
      <c r="AT787" s="17">
        <v>0</v>
      </c>
      <c r="AU787" s="17">
        <v>0</v>
      </c>
      <c r="AV787" s="17">
        <v>0</v>
      </c>
      <c r="AW787" s="17">
        <v>0</v>
      </c>
      <c r="AX787" s="17">
        <v>0</v>
      </c>
      <c r="AY787" s="17">
        <v>0</v>
      </c>
      <c r="AZ787" s="17">
        <v>0</v>
      </c>
      <c r="BA787" s="17">
        <v>0</v>
      </c>
      <c r="BB787" s="17">
        <v>0</v>
      </c>
      <c r="BC787" s="17">
        <v>0</v>
      </c>
      <c r="BD787" s="17">
        <v>0</v>
      </c>
      <c r="BE787" s="17">
        <v>0</v>
      </c>
      <c r="BF787" s="17">
        <v>0</v>
      </c>
      <c r="BG787" s="17">
        <v>0</v>
      </c>
      <c r="BH787" s="17">
        <v>0</v>
      </c>
      <c r="BI787" s="22">
        <f t="shared" si="223"/>
        <v>0</v>
      </c>
      <c r="BJ787" s="22">
        <f t="shared" si="224"/>
        <v>0</v>
      </c>
      <c r="BK787" s="22">
        <f t="shared" si="225"/>
        <v>1</v>
      </c>
      <c r="BL787" s="22">
        <f t="shared" si="226"/>
        <v>1</v>
      </c>
      <c r="BM787" s="22">
        <f t="shared" si="228"/>
        <v>0</v>
      </c>
      <c r="BN787" s="23">
        <f t="shared" si="231"/>
        <v>1</v>
      </c>
      <c r="BO787" s="23" t="e">
        <f t="shared" si="231"/>
        <v>#DIV/0!</v>
      </c>
      <c r="BP787" s="7" t="e">
        <f>VLOOKUP(A787,[1]Sheet15!B:E,4,0)</f>
        <v>#N/A</v>
      </c>
      <c r="BQ787" s="7" t="e">
        <f>VLOOKUP(A787,[1]Sheet15!B:E,3,0)</f>
        <v>#N/A</v>
      </c>
    </row>
    <row r="788" spans="1:69" ht="22.5" customHeight="1" x14ac:dyDescent="0.25">
      <c r="A788" s="15" t="s">
        <v>1875</v>
      </c>
      <c r="B788" s="15">
        <f>VLOOKUP(A788,'[1]Master clients'!F767:W4314,17,0)</f>
        <v>0</v>
      </c>
      <c r="C788" s="15" t="str">
        <f>VLOOKUP(A788,'[1]Master clients'!F767:P4314,11,0)</f>
        <v>NI</v>
      </c>
      <c r="D788" s="15" t="str">
        <f>VLOOKUP(A788,'[1]Master clients'!F:M,8,0)</f>
        <v>End User</v>
      </c>
      <c r="E788" s="24" t="s">
        <v>1876</v>
      </c>
      <c r="F788" s="25" t="s">
        <v>1870</v>
      </c>
      <c r="G788" s="20">
        <v>0</v>
      </c>
      <c r="H788" s="20">
        <v>0</v>
      </c>
      <c r="I788" s="26">
        <v>13</v>
      </c>
      <c r="J788" s="26">
        <v>0</v>
      </c>
      <c r="K788" s="20">
        <v>6</v>
      </c>
      <c r="L788" s="20">
        <v>2</v>
      </c>
      <c r="M788" s="20">
        <v>0</v>
      </c>
      <c r="N788" s="20">
        <v>8</v>
      </c>
      <c r="O788" s="20">
        <v>0</v>
      </c>
      <c r="P788" s="20">
        <v>0</v>
      </c>
      <c r="Q788" s="20">
        <v>5</v>
      </c>
      <c r="R788" s="20">
        <v>0</v>
      </c>
      <c r="S788" s="20">
        <v>0</v>
      </c>
      <c r="T788" s="20">
        <v>0</v>
      </c>
      <c r="U788" s="20">
        <v>0</v>
      </c>
      <c r="V788" s="20">
        <v>0</v>
      </c>
      <c r="W788" s="20">
        <v>0</v>
      </c>
      <c r="X788" s="20">
        <v>0</v>
      </c>
      <c r="Y788" s="20">
        <v>0</v>
      </c>
      <c r="Z788" s="20">
        <v>0</v>
      </c>
      <c r="AA788" s="20">
        <v>0</v>
      </c>
      <c r="AB788" s="20">
        <v>0</v>
      </c>
      <c r="AC788" s="20">
        <v>0</v>
      </c>
      <c r="AD788" s="20">
        <v>0</v>
      </c>
      <c r="AE788" s="20">
        <v>0</v>
      </c>
      <c r="AF788" s="20">
        <v>0</v>
      </c>
      <c r="AG788" s="20">
        <v>0</v>
      </c>
      <c r="AH788" s="20">
        <v>0</v>
      </c>
      <c r="AI788" s="20">
        <v>0</v>
      </c>
      <c r="AJ788" s="20">
        <v>0</v>
      </c>
      <c r="AK788" s="20">
        <v>0</v>
      </c>
      <c r="AL788" s="20">
        <v>0</v>
      </c>
      <c r="AM788" s="20">
        <v>0</v>
      </c>
      <c r="AN788" s="20">
        <v>0</v>
      </c>
      <c r="AO788" s="20">
        <v>2</v>
      </c>
      <c r="AP788" s="20">
        <v>0</v>
      </c>
      <c r="AQ788" s="20">
        <v>0</v>
      </c>
      <c r="AR788" s="20">
        <v>0</v>
      </c>
      <c r="AS788" s="20">
        <v>0</v>
      </c>
      <c r="AT788" s="20">
        <v>0</v>
      </c>
      <c r="AU788" s="20">
        <v>0</v>
      </c>
      <c r="AV788" s="20">
        <v>0</v>
      </c>
      <c r="AW788" s="20">
        <v>0</v>
      </c>
      <c r="AX788" s="20">
        <v>0</v>
      </c>
      <c r="AY788" s="20">
        <v>0</v>
      </c>
      <c r="AZ788" s="20">
        <v>0</v>
      </c>
      <c r="BA788" s="20">
        <v>0</v>
      </c>
      <c r="BB788" s="27">
        <v>0</v>
      </c>
      <c r="BC788" s="20">
        <v>0</v>
      </c>
      <c r="BD788" s="20">
        <v>0</v>
      </c>
      <c r="BE788" s="21">
        <v>0</v>
      </c>
      <c r="BF788" s="21">
        <v>0</v>
      </c>
      <c r="BG788" s="20">
        <v>0</v>
      </c>
      <c r="BH788" s="20">
        <v>0</v>
      </c>
      <c r="BI788" s="22">
        <f t="shared" si="223"/>
        <v>10</v>
      </c>
      <c r="BJ788" s="22">
        <f t="shared" si="224"/>
        <v>13</v>
      </c>
      <c r="BK788" s="28">
        <f t="shared" si="225"/>
        <v>36</v>
      </c>
      <c r="BL788" s="22">
        <f t="shared" si="226"/>
        <v>23</v>
      </c>
      <c r="BM788" s="22">
        <f t="shared" si="228"/>
        <v>13</v>
      </c>
      <c r="BN788" s="23">
        <f t="shared" si="231"/>
        <v>0.56521739130434778</v>
      </c>
      <c r="BO788" s="23">
        <f t="shared" si="231"/>
        <v>0</v>
      </c>
      <c r="BP788" s="7">
        <f>VLOOKUP(A788,[1]Sheet15!B:E,4,0)</f>
        <v>12</v>
      </c>
      <c r="BQ788" s="7">
        <f>VLOOKUP(A788,[1]Sheet15!B:E,3,0)</f>
        <v>0</v>
      </c>
    </row>
    <row r="789" spans="1:69" ht="22.5" customHeight="1" x14ac:dyDescent="0.25">
      <c r="A789" s="15" t="s">
        <v>1877</v>
      </c>
      <c r="B789" s="15" t="str">
        <f>VLOOKUP(A789,'[1]Master clients'!F768:W4315,17,0)</f>
        <v>Mar</v>
      </c>
      <c r="C789" s="15" t="str">
        <f>VLOOKUP(A789,'[1]Master clients'!F768:P4315,11,0)</f>
        <v>NI</v>
      </c>
      <c r="D789" s="15" t="str">
        <f>VLOOKUP(A789,'[1]Master clients'!F:M,8,0)</f>
        <v>Group (Mills)</v>
      </c>
      <c r="E789" s="24" t="s">
        <v>1878</v>
      </c>
      <c r="F789" s="25" t="s">
        <v>1870</v>
      </c>
      <c r="G789" s="20">
        <v>24</v>
      </c>
      <c r="H789" s="20">
        <v>1</v>
      </c>
      <c r="I789" s="26">
        <v>22</v>
      </c>
      <c r="J789" s="26">
        <v>2</v>
      </c>
      <c r="K789" s="20">
        <v>0</v>
      </c>
      <c r="L789" s="20">
        <v>0</v>
      </c>
      <c r="M789" s="20">
        <v>0</v>
      </c>
      <c r="N789" s="20">
        <v>6</v>
      </c>
      <c r="O789" s="20">
        <v>0</v>
      </c>
      <c r="P789" s="20">
        <v>0</v>
      </c>
      <c r="Q789" s="20">
        <v>12</v>
      </c>
      <c r="R789" s="20">
        <v>0</v>
      </c>
      <c r="S789" s="20">
        <v>0</v>
      </c>
      <c r="T789" s="20">
        <v>2</v>
      </c>
      <c r="U789" s="20">
        <v>0</v>
      </c>
      <c r="V789" s="20">
        <v>0</v>
      </c>
      <c r="W789" s="20">
        <v>0</v>
      </c>
      <c r="X789" s="20">
        <v>0</v>
      </c>
      <c r="Y789" s="20">
        <v>0</v>
      </c>
      <c r="Z789" s="20">
        <v>0</v>
      </c>
      <c r="AA789" s="20">
        <v>0</v>
      </c>
      <c r="AB789" s="20">
        <v>0</v>
      </c>
      <c r="AC789" s="20">
        <v>0</v>
      </c>
      <c r="AD789" s="20">
        <v>0</v>
      </c>
      <c r="AE789" s="20">
        <v>0</v>
      </c>
      <c r="AF789" s="20">
        <v>0</v>
      </c>
      <c r="AG789" s="20">
        <v>0</v>
      </c>
      <c r="AH789" s="20">
        <v>0</v>
      </c>
      <c r="AI789" s="20">
        <v>0</v>
      </c>
      <c r="AJ789" s="20">
        <v>0</v>
      </c>
      <c r="AK789" s="20">
        <v>0</v>
      </c>
      <c r="AL789" s="20">
        <v>0</v>
      </c>
      <c r="AM789" s="20">
        <v>0</v>
      </c>
      <c r="AN789" s="20">
        <v>0</v>
      </c>
      <c r="AO789" s="20">
        <v>0</v>
      </c>
      <c r="AP789" s="20">
        <v>0</v>
      </c>
      <c r="AQ789" s="20">
        <v>0</v>
      </c>
      <c r="AR789" s="20">
        <v>0</v>
      </c>
      <c r="AS789" s="20">
        <v>0</v>
      </c>
      <c r="AT789" s="20">
        <v>0</v>
      </c>
      <c r="AU789" s="20">
        <v>0</v>
      </c>
      <c r="AV789" s="20">
        <v>0</v>
      </c>
      <c r="AW789" s="20">
        <v>0</v>
      </c>
      <c r="AX789" s="20">
        <v>0</v>
      </c>
      <c r="AY789" s="20">
        <v>0</v>
      </c>
      <c r="AZ789" s="20">
        <v>0</v>
      </c>
      <c r="BA789" s="20">
        <v>0</v>
      </c>
      <c r="BB789" s="27">
        <v>0</v>
      </c>
      <c r="BC789" s="20">
        <v>0</v>
      </c>
      <c r="BD789" s="20">
        <v>0</v>
      </c>
      <c r="BE789" s="21">
        <v>0</v>
      </c>
      <c r="BF789" s="21">
        <v>0</v>
      </c>
      <c r="BG789" s="20">
        <v>0</v>
      </c>
      <c r="BH789" s="20">
        <v>0</v>
      </c>
      <c r="BI789" s="22">
        <f t="shared" si="223"/>
        <v>2</v>
      </c>
      <c r="BJ789" s="22">
        <f t="shared" si="224"/>
        <v>18</v>
      </c>
      <c r="BK789" s="28">
        <f t="shared" si="225"/>
        <v>44</v>
      </c>
      <c r="BL789" s="22">
        <f t="shared" si="226"/>
        <v>24</v>
      </c>
      <c r="BM789" s="22">
        <f t="shared" si="228"/>
        <v>20</v>
      </c>
      <c r="BN789" s="23">
        <f t="shared" si="231"/>
        <v>0.91666666666666663</v>
      </c>
      <c r="BO789" s="23">
        <f t="shared" si="231"/>
        <v>0.1</v>
      </c>
      <c r="BP789" s="7">
        <f>VLOOKUP(A789,[1]Sheet15!B:E,4,0)</f>
        <v>13</v>
      </c>
      <c r="BQ789" s="7">
        <f>VLOOKUP(A789,[1]Sheet15!B:E,3,0)</f>
        <v>4</v>
      </c>
    </row>
    <row r="790" spans="1:69" ht="22.5" customHeight="1" x14ac:dyDescent="0.25">
      <c r="A790" s="15" t="s">
        <v>1879</v>
      </c>
      <c r="B790" s="15" t="e">
        <f>VLOOKUP(A790,'[1]Master clients'!F769:W4316,17,0)</f>
        <v>#N/A</v>
      </c>
      <c r="C790" s="15" t="e">
        <f>VLOOKUP(A790,'[1]Master clients'!F769:P4316,11,0)</f>
        <v>#N/A</v>
      </c>
      <c r="D790" s="15" t="str">
        <f>VLOOKUP(A790,'[1]Master clients'!F:M,8,0)</f>
        <v>End User</v>
      </c>
      <c r="E790" s="16" t="s">
        <v>1880</v>
      </c>
      <c r="F790" s="16" t="s">
        <v>1881</v>
      </c>
      <c r="G790" s="17"/>
      <c r="H790" s="17"/>
      <c r="I790" s="26">
        <v>3</v>
      </c>
      <c r="J790" s="31">
        <v>0</v>
      </c>
      <c r="K790" s="17">
        <v>0</v>
      </c>
      <c r="L790" s="17">
        <v>0</v>
      </c>
      <c r="M790" s="17">
        <v>0</v>
      </c>
      <c r="N790" s="17">
        <v>0</v>
      </c>
      <c r="O790" s="17">
        <v>0</v>
      </c>
      <c r="P790" s="17">
        <v>0</v>
      </c>
      <c r="Q790" s="17">
        <v>0</v>
      </c>
      <c r="R790" s="17">
        <v>0</v>
      </c>
      <c r="S790" s="17">
        <v>0</v>
      </c>
      <c r="T790" s="17">
        <v>0</v>
      </c>
      <c r="U790" s="17">
        <v>0</v>
      </c>
      <c r="V790" s="17">
        <v>0</v>
      </c>
      <c r="W790" s="17">
        <v>0</v>
      </c>
      <c r="X790" s="17">
        <v>0</v>
      </c>
      <c r="Y790" s="17">
        <v>0</v>
      </c>
      <c r="Z790" s="17">
        <v>0</v>
      </c>
      <c r="AA790" s="17">
        <v>0</v>
      </c>
      <c r="AB790" s="17">
        <v>0</v>
      </c>
      <c r="AC790" s="17">
        <v>0</v>
      </c>
      <c r="AD790" s="17">
        <v>0</v>
      </c>
      <c r="AE790" s="17">
        <v>0</v>
      </c>
      <c r="AF790" s="17">
        <v>0</v>
      </c>
      <c r="AG790" s="17">
        <v>0</v>
      </c>
      <c r="AH790" s="17">
        <v>0</v>
      </c>
      <c r="AI790" s="17">
        <v>0</v>
      </c>
      <c r="AJ790" s="17">
        <v>0</v>
      </c>
      <c r="AK790" s="17">
        <v>0</v>
      </c>
      <c r="AL790" s="17">
        <v>0</v>
      </c>
      <c r="AM790" s="17">
        <v>0</v>
      </c>
      <c r="AN790" s="17">
        <v>0</v>
      </c>
      <c r="AO790" s="17">
        <v>0</v>
      </c>
      <c r="AP790" s="17">
        <v>0</v>
      </c>
      <c r="AQ790" s="17">
        <v>0</v>
      </c>
      <c r="AR790" s="17">
        <v>0</v>
      </c>
      <c r="AS790" s="17">
        <v>0</v>
      </c>
      <c r="AT790" s="17">
        <v>0</v>
      </c>
      <c r="AU790" s="17">
        <v>0</v>
      </c>
      <c r="AV790" s="17">
        <v>0</v>
      </c>
      <c r="AW790" s="17">
        <v>0</v>
      </c>
      <c r="AX790" s="17">
        <v>0</v>
      </c>
      <c r="AY790" s="17">
        <v>0</v>
      </c>
      <c r="AZ790" s="17">
        <v>0</v>
      </c>
      <c r="BA790" s="17">
        <v>0</v>
      </c>
      <c r="BB790" s="17">
        <v>0</v>
      </c>
      <c r="BC790" s="17">
        <v>0</v>
      </c>
      <c r="BD790" s="17">
        <v>0</v>
      </c>
      <c r="BE790" s="17">
        <v>0</v>
      </c>
      <c r="BF790" s="17">
        <v>0</v>
      </c>
      <c r="BG790" s="17">
        <v>0</v>
      </c>
      <c r="BH790" s="17">
        <v>0</v>
      </c>
      <c r="BI790" s="22">
        <f t="shared" si="223"/>
        <v>0</v>
      </c>
      <c r="BJ790" s="22">
        <f t="shared" si="224"/>
        <v>0</v>
      </c>
      <c r="BK790" s="22">
        <f t="shared" si="225"/>
        <v>3</v>
      </c>
      <c r="BL790" s="22">
        <f t="shared" si="226"/>
        <v>3</v>
      </c>
      <c r="BM790" s="22">
        <f t="shared" si="228"/>
        <v>0</v>
      </c>
      <c r="BN790" s="23">
        <f t="shared" si="231"/>
        <v>1</v>
      </c>
      <c r="BO790" s="23" t="e">
        <f t="shared" si="231"/>
        <v>#DIV/0!</v>
      </c>
      <c r="BP790" s="7">
        <f>VLOOKUP(A790,[1]Sheet15!B:E,4,0)</f>
        <v>3</v>
      </c>
      <c r="BQ790" s="7">
        <f>VLOOKUP(A790,[1]Sheet15!B:E,3,0)</f>
        <v>0</v>
      </c>
    </row>
    <row r="791" spans="1:69" ht="22.5" customHeight="1" x14ac:dyDescent="0.25">
      <c r="A791" s="15" t="s">
        <v>1882</v>
      </c>
      <c r="B791" s="15" t="e">
        <f>VLOOKUP(A791,'[1]Master clients'!F770:W4317,17,0)</f>
        <v>#N/A</v>
      </c>
      <c r="C791" s="15" t="e">
        <f>VLOOKUP(A791,'[1]Master clients'!F770:P4317,11,0)</f>
        <v>#N/A</v>
      </c>
      <c r="D791" s="15" t="str">
        <f>VLOOKUP(A791,'[1]Master clients'!F:M,8,0)</f>
        <v>End User</v>
      </c>
      <c r="E791" s="16" t="s">
        <v>1883</v>
      </c>
      <c r="F791" s="16" t="s">
        <v>1881</v>
      </c>
      <c r="G791" s="17"/>
      <c r="H791" s="17"/>
      <c r="I791" s="31">
        <v>3</v>
      </c>
      <c r="J791" s="31">
        <v>0</v>
      </c>
      <c r="K791" s="17">
        <v>2</v>
      </c>
      <c r="L791" s="17">
        <v>0</v>
      </c>
      <c r="M791" s="17">
        <v>0</v>
      </c>
      <c r="N791" s="17">
        <v>0</v>
      </c>
      <c r="O791" s="17">
        <v>0</v>
      </c>
      <c r="P791" s="17">
        <v>0</v>
      </c>
      <c r="Q791" s="17">
        <v>0</v>
      </c>
      <c r="R791" s="17">
        <v>0</v>
      </c>
      <c r="S791" s="17">
        <v>0</v>
      </c>
      <c r="T791" s="17">
        <v>0</v>
      </c>
      <c r="U791" s="17">
        <v>0</v>
      </c>
      <c r="V791" s="17">
        <v>0</v>
      </c>
      <c r="W791" s="17">
        <v>0</v>
      </c>
      <c r="X791" s="17">
        <v>0</v>
      </c>
      <c r="Y791" s="17">
        <v>0</v>
      </c>
      <c r="Z791" s="17">
        <v>0</v>
      </c>
      <c r="AA791" s="17">
        <v>0</v>
      </c>
      <c r="AB791" s="17">
        <v>0</v>
      </c>
      <c r="AC791" s="17">
        <v>0</v>
      </c>
      <c r="AD791" s="17">
        <v>0</v>
      </c>
      <c r="AE791" s="17">
        <v>0</v>
      </c>
      <c r="AF791" s="17">
        <v>0</v>
      </c>
      <c r="AG791" s="17">
        <v>0</v>
      </c>
      <c r="AH791" s="17">
        <v>0</v>
      </c>
      <c r="AI791" s="17">
        <v>0</v>
      </c>
      <c r="AJ791" s="17">
        <v>0</v>
      </c>
      <c r="AK791" s="17">
        <v>2</v>
      </c>
      <c r="AL791" s="17">
        <v>0</v>
      </c>
      <c r="AM791" s="17">
        <v>0</v>
      </c>
      <c r="AN791" s="17">
        <v>0</v>
      </c>
      <c r="AO791" s="17">
        <v>0</v>
      </c>
      <c r="AP791" s="17">
        <v>0</v>
      </c>
      <c r="AQ791" s="17">
        <v>0</v>
      </c>
      <c r="AR791" s="17">
        <v>0</v>
      </c>
      <c r="AS791" s="17">
        <v>0</v>
      </c>
      <c r="AT791" s="17">
        <v>0</v>
      </c>
      <c r="AU791" s="17">
        <v>0</v>
      </c>
      <c r="AV791" s="17">
        <v>0</v>
      </c>
      <c r="AW791" s="17">
        <v>0</v>
      </c>
      <c r="AX791" s="17">
        <v>0</v>
      </c>
      <c r="AY791" s="17">
        <v>0</v>
      </c>
      <c r="AZ791" s="17">
        <v>0</v>
      </c>
      <c r="BA791" s="17">
        <v>0</v>
      </c>
      <c r="BB791" s="17">
        <v>0</v>
      </c>
      <c r="BC791" s="17">
        <v>0</v>
      </c>
      <c r="BD791" s="17">
        <v>0</v>
      </c>
      <c r="BE791" s="17">
        <v>0</v>
      </c>
      <c r="BF791" s="17">
        <v>0</v>
      </c>
      <c r="BG791" s="17">
        <v>0</v>
      </c>
      <c r="BH791" s="17">
        <v>0</v>
      </c>
      <c r="BI791" s="22">
        <f t="shared" si="223"/>
        <v>4</v>
      </c>
      <c r="BJ791" s="22">
        <f t="shared" si="224"/>
        <v>0</v>
      </c>
      <c r="BK791" s="22">
        <f t="shared" si="225"/>
        <v>7</v>
      </c>
      <c r="BL791" s="22">
        <f t="shared" si="226"/>
        <v>7</v>
      </c>
      <c r="BM791" s="22">
        <f t="shared" si="228"/>
        <v>0</v>
      </c>
      <c r="BN791" s="23">
        <f t="shared" si="231"/>
        <v>0.42857142857142855</v>
      </c>
      <c r="BO791" s="23" t="e">
        <f t="shared" si="231"/>
        <v>#DIV/0!</v>
      </c>
      <c r="BP791" s="7">
        <f>VLOOKUP(A791,[1]Sheet15!B:E,4,0)</f>
        <v>3</v>
      </c>
      <c r="BQ791" s="7">
        <f>VLOOKUP(A791,[1]Sheet15!B:E,3,0)</f>
        <v>0</v>
      </c>
    </row>
    <row r="792" spans="1:69" ht="22.5" customHeight="1" x14ac:dyDescent="0.25">
      <c r="A792" s="15" t="s">
        <v>1884</v>
      </c>
      <c r="B792" s="15" t="e">
        <f>VLOOKUP(A792,'[1]Master clients'!F771:W4318,17,0)</f>
        <v>#N/A</v>
      </c>
      <c r="C792" s="15" t="e">
        <f>VLOOKUP(A792,'[1]Master clients'!F771:P4318,11,0)</f>
        <v>#N/A</v>
      </c>
      <c r="D792" s="15" t="str">
        <f>VLOOKUP(A792,'[1]Master clients'!F:M,8,0)</f>
        <v>Group (Mills)</v>
      </c>
      <c r="E792" s="24" t="s">
        <v>1885</v>
      </c>
      <c r="F792" s="25" t="s">
        <v>1886</v>
      </c>
      <c r="G792" s="20">
        <v>0</v>
      </c>
      <c r="H792" s="20">
        <v>0</v>
      </c>
      <c r="I792" s="26">
        <v>10</v>
      </c>
      <c r="J792" s="26">
        <v>0</v>
      </c>
      <c r="K792" s="20">
        <v>0</v>
      </c>
      <c r="L792" s="20">
        <v>7</v>
      </c>
      <c r="M792" s="20">
        <v>0</v>
      </c>
      <c r="N792" s="20">
        <v>6</v>
      </c>
      <c r="O792" s="20">
        <v>5</v>
      </c>
      <c r="P792" s="20">
        <v>0</v>
      </c>
      <c r="Q792" s="20">
        <v>0</v>
      </c>
      <c r="R792" s="20">
        <v>0</v>
      </c>
      <c r="S792" s="20">
        <v>0</v>
      </c>
      <c r="T792" s="20">
        <v>0</v>
      </c>
      <c r="U792" s="20">
        <v>0</v>
      </c>
      <c r="V792" s="20">
        <v>0</v>
      </c>
      <c r="W792" s="20">
        <v>0</v>
      </c>
      <c r="X792" s="20">
        <v>0</v>
      </c>
      <c r="Y792" s="20">
        <v>0</v>
      </c>
      <c r="Z792" s="20">
        <v>0</v>
      </c>
      <c r="AA792" s="20">
        <v>0</v>
      </c>
      <c r="AB792" s="20">
        <v>0</v>
      </c>
      <c r="AC792" s="20">
        <v>0</v>
      </c>
      <c r="AD792" s="20">
        <v>0</v>
      </c>
      <c r="AE792" s="20">
        <v>0</v>
      </c>
      <c r="AF792" s="20">
        <v>0</v>
      </c>
      <c r="AG792" s="20">
        <v>0</v>
      </c>
      <c r="AH792" s="20">
        <v>0</v>
      </c>
      <c r="AI792" s="20">
        <v>0</v>
      </c>
      <c r="AJ792" s="20">
        <v>0</v>
      </c>
      <c r="AK792" s="20">
        <v>0</v>
      </c>
      <c r="AL792" s="20">
        <v>0</v>
      </c>
      <c r="AM792" s="20">
        <v>0</v>
      </c>
      <c r="AN792" s="20">
        <v>0</v>
      </c>
      <c r="AO792" s="20">
        <v>0</v>
      </c>
      <c r="AP792" s="20">
        <v>0</v>
      </c>
      <c r="AQ792" s="20">
        <v>0</v>
      </c>
      <c r="AR792" s="20">
        <v>0</v>
      </c>
      <c r="AS792" s="20">
        <v>0</v>
      </c>
      <c r="AT792" s="20">
        <v>0</v>
      </c>
      <c r="AU792" s="19">
        <v>0</v>
      </c>
      <c r="AV792" s="20">
        <v>0</v>
      </c>
      <c r="AW792" s="20">
        <v>0</v>
      </c>
      <c r="AX792" s="20">
        <v>0</v>
      </c>
      <c r="AY792" s="20">
        <v>0</v>
      </c>
      <c r="AZ792" s="20">
        <v>0</v>
      </c>
      <c r="BA792" s="19">
        <v>0</v>
      </c>
      <c r="BB792" s="27">
        <v>0</v>
      </c>
      <c r="BC792" s="19">
        <v>0</v>
      </c>
      <c r="BD792" s="19">
        <v>0</v>
      </c>
      <c r="BE792" s="21">
        <v>0</v>
      </c>
      <c r="BF792" s="21">
        <v>0</v>
      </c>
      <c r="BG792" s="19">
        <v>0</v>
      </c>
      <c r="BH792" s="19">
        <v>0</v>
      </c>
      <c r="BI792" s="22">
        <f t="shared" si="223"/>
        <v>7</v>
      </c>
      <c r="BJ792" s="22">
        <f t="shared" si="224"/>
        <v>11</v>
      </c>
      <c r="BK792" s="28">
        <f t="shared" si="225"/>
        <v>28</v>
      </c>
      <c r="BL792" s="22">
        <f t="shared" si="226"/>
        <v>17</v>
      </c>
      <c r="BM792" s="22">
        <f t="shared" si="228"/>
        <v>11</v>
      </c>
      <c r="BN792" s="23">
        <f t="shared" si="231"/>
        <v>0.58823529411764708</v>
      </c>
      <c r="BO792" s="23">
        <f t="shared" si="231"/>
        <v>0</v>
      </c>
      <c r="BP792" s="7">
        <f>VLOOKUP(A792,[1]Sheet15!B:E,4,0)</f>
        <v>8</v>
      </c>
      <c r="BQ792" s="7">
        <f>VLOOKUP(A792,[1]Sheet15!B:E,3,0)</f>
        <v>0</v>
      </c>
    </row>
    <row r="793" spans="1:69" ht="22.5" customHeight="1" x14ac:dyDescent="0.25">
      <c r="A793" s="15" t="s">
        <v>1887</v>
      </c>
      <c r="B793" s="15" t="e">
        <f>VLOOKUP(A793,'[1]Master clients'!F772:W4319,17,0)</f>
        <v>#N/A</v>
      </c>
      <c r="C793" s="15" t="e">
        <f>VLOOKUP(A793,'[1]Master clients'!F772:P4319,11,0)</f>
        <v>#N/A</v>
      </c>
      <c r="D793" s="15" t="str">
        <f>VLOOKUP(A793,'[1]Master clients'!F:M,8,0)</f>
        <v>Group (Mills)</v>
      </c>
      <c r="E793" s="24" t="s">
        <v>1888</v>
      </c>
      <c r="F793" s="25" t="s">
        <v>1889</v>
      </c>
      <c r="G793" s="20">
        <v>59</v>
      </c>
      <c r="H793" s="20">
        <v>1</v>
      </c>
      <c r="I793" s="26">
        <v>61</v>
      </c>
      <c r="J793" s="26">
        <v>2</v>
      </c>
      <c r="K793" s="20">
        <v>4</v>
      </c>
      <c r="L793" s="20">
        <v>0</v>
      </c>
      <c r="M793" s="20">
        <v>0</v>
      </c>
      <c r="N793" s="20">
        <v>0</v>
      </c>
      <c r="O793" s="20">
        <v>10</v>
      </c>
      <c r="P793" s="20">
        <v>0</v>
      </c>
      <c r="Q793" s="20">
        <v>4</v>
      </c>
      <c r="R793" s="20">
        <v>0</v>
      </c>
      <c r="S793" s="20">
        <v>0</v>
      </c>
      <c r="T793" s="20">
        <v>0</v>
      </c>
      <c r="U793" s="20">
        <v>0</v>
      </c>
      <c r="V793" s="20">
        <v>0</v>
      </c>
      <c r="W793" s="20">
        <v>0</v>
      </c>
      <c r="X793" s="20">
        <v>0</v>
      </c>
      <c r="Y793" s="20">
        <v>0</v>
      </c>
      <c r="Z793" s="20">
        <v>0</v>
      </c>
      <c r="AA793" s="20">
        <v>0</v>
      </c>
      <c r="AB793" s="20">
        <v>0</v>
      </c>
      <c r="AC793" s="20">
        <v>0</v>
      </c>
      <c r="AD793" s="20">
        <v>0</v>
      </c>
      <c r="AE793" s="20">
        <v>0</v>
      </c>
      <c r="AF793" s="20">
        <v>0</v>
      </c>
      <c r="AG793" s="20">
        <v>0</v>
      </c>
      <c r="AH793" s="20">
        <v>0</v>
      </c>
      <c r="AI793" s="20">
        <v>0</v>
      </c>
      <c r="AJ793" s="20">
        <v>0</v>
      </c>
      <c r="AK793" s="20">
        <v>0</v>
      </c>
      <c r="AL793" s="20">
        <v>0</v>
      </c>
      <c r="AM793" s="20">
        <v>0</v>
      </c>
      <c r="AN793" s="20">
        <v>0</v>
      </c>
      <c r="AO793" s="20">
        <v>0</v>
      </c>
      <c r="AP793" s="20">
        <v>0</v>
      </c>
      <c r="AQ793" s="20">
        <v>0</v>
      </c>
      <c r="AR793" s="20">
        <v>0</v>
      </c>
      <c r="AS793" s="20">
        <v>0</v>
      </c>
      <c r="AT793" s="20">
        <v>0</v>
      </c>
      <c r="AU793" s="19">
        <v>0</v>
      </c>
      <c r="AV793" s="20">
        <v>0</v>
      </c>
      <c r="AW793" s="20">
        <v>0</v>
      </c>
      <c r="AX793" s="20">
        <v>0</v>
      </c>
      <c r="AY793" s="20">
        <v>0</v>
      </c>
      <c r="AZ793" s="20">
        <v>0</v>
      </c>
      <c r="BA793" s="19">
        <v>0</v>
      </c>
      <c r="BB793" s="27">
        <v>0</v>
      </c>
      <c r="BC793" s="19">
        <v>0</v>
      </c>
      <c r="BD793" s="19">
        <v>0</v>
      </c>
      <c r="BE793" s="21">
        <v>0</v>
      </c>
      <c r="BF793" s="21">
        <v>0</v>
      </c>
      <c r="BG793" s="19">
        <v>0</v>
      </c>
      <c r="BH793" s="19">
        <v>0</v>
      </c>
      <c r="BI793" s="22">
        <f t="shared" si="223"/>
        <v>4</v>
      </c>
      <c r="BJ793" s="22">
        <f t="shared" si="224"/>
        <v>14</v>
      </c>
      <c r="BK793" s="28">
        <f t="shared" si="225"/>
        <v>81</v>
      </c>
      <c r="BL793" s="22">
        <f t="shared" si="226"/>
        <v>65</v>
      </c>
      <c r="BM793" s="22">
        <f t="shared" si="228"/>
        <v>16</v>
      </c>
      <c r="BN793" s="23">
        <f t="shared" si="231"/>
        <v>0.93846153846153846</v>
      </c>
      <c r="BO793" s="23">
        <f t="shared" si="231"/>
        <v>0.125</v>
      </c>
      <c r="BP793" s="7">
        <f>VLOOKUP(A793,[1]Sheet15!B:E,4,0)</f>
        <v>36</v>
      </c>
      <c r="BQ793" s="7">
        <f>VLOOKUP(A793,[1]Sheet15!B:E,3,0)</f>
        <v>1</v>
      </c>
    </row>
    <row r="794" spans="1:69" ht="22.5" customHeight="1" x14ac:dyDescent="0.25">
      <c r="A794" s="15" t="s">
        <v>1890</v>
      </c>
      <c r="B794" s="15" t="e">
        <f>VLOOKUP(A794,'[1]Master clients'!F773:W4320,17,0)</f>
        <v>#N/A</v>
      </c>
      <c r="C794" s="15" t="e">
        <f>VLOOKUP(A794,'[1]Master clients'!F773:P4320,11,0)</f>
        <v>#N/A</v>
      </c>
      <c r="D794" s="15" t="str">
        <f>VLOOKUP(A794,'[1]Master clients'!F:M,8,0)</f>
        <v>Group (Mills)</v>
      </c>
      <c r="E794" s="24" t="s">
        <v>1891</v>
      </c>
      <c r="F794" s="25" t="s">
        <v>1889</v>
      </c>
      <c r="G794" s="20">
        <v>0</v>
      </c>
      <c r="H794" s="20">
        <v>0</v>
      </c>
      <c r="I794" s="26">
        <v>23</v>
      </c>
      <c r="J794" s="26">
        <v>0</v>
      </c>
      <c r="K794" s="20">
        <v>9</v>
      </c>
      <c r="L794" s="20">
        <v>0</v>
      </c>
      <c r="M794" s="20">
        <v>0</v>
      </c>
      <c r="N794" s="20">
        <v>0</v>
      </c>
      <c r="O794" s="20">
        <v>6</v>
      </c>
      <c r="P794" s="20">
        <v>0</v>
      </c>
      <c r="Q794" s="20">
        <v>2</v>
      </c>
      <c r="R794" s="20">
        <v>0</v>
      </c>
      <c r="S794" s="20">
        <v>0</v>
      </c>
      <c r="T794" s="20">
        <v>2</v>
      </c>
      <c r="U794" s="20">
        <v>0</v>
      </c>
      <c r="V794" s="20">
        <v>0</v>
      </c>
      <c r="W794" s="20">
        <v>0</v>
      </c>
      <c r="X794" s="20">
        <v>0</v>
      </c>
      <c r="Y794" s="20">
        <v>0</v>
      </c>
      <c r="Z794" s="20">
        <v>0</v>
      </c>
      <c r="AA794" s="20">
        <v>0</v>
      </c>
      <c r="AB794" s="20">
        <v>0</v>
      </c>
      <c r="AC794" s="20">
        <v>0</v>
      </c>
      <c r="AD794" s="20">
        <v>0</v>
      </c>
      <c r="AE794" s="20">
        <v>0</v>
      </c>
      <c r="AF794" s="20">
        <v>0</v>
      </c>
      <c r="AG794" s="20">
        <v>0</v>
      </c>
      <c r="AH794" s="20">
        <v>0</v>
      </c>
      <c r="AI794" s="20">
        <v>0</v>
      </c>
      <c r="AJ794" s="20">
        <v>0</v>
      </c>
      <c r="AK794" s="20">
        <v>0</v>
      </c>
      <c r="AL794" s="20">
        <v>0</v>
      </c>
      <c r="AM794" s="20">
        <v>0</v>
      </c>
      <c r="AN794" s="20">
        <v>0</v>
      </c>
      <c r="AO794" s="20">
        <v>0</v>
      </c>
      <c r="AP794" s="20">
        <v>0</v>
      </c>
      <c r="AQ794" s="20">
        <v>0</v>
      </c>
      <c r="AR794" s="20">
        <v>0</v>
      </c>
      <c r="AS794" s="20">
        <v>0</v>
      </c>
      <c r="AT794" s="20">
        <v>0</v>
      </c>
      <c r="AU794" s="19">
        <v>0</v>
      </c>
      <c r="AV794" s="20">
        <v>0</v>
      </c>
      <c r="AW794" s="20">
        <v>0</v>
      </c>
      <c r="AX794" s="20">
        <v>0</v>
      </c>
      <c r="AY794" s="20">
        <v>0</v>
      </c>
      <c r="AZ794" s="20">
        <v>0</v>
      </c>
      <c r="BA794" s="19">
        <v>0</v>
      </c>
      <c r="BB794" s="27">
        <v>0</v>
      </c>
      <c r="BC794" s="19">
        <v>0</v>
      </c>
      <c r="BD794" s="19">
        <v>0</v>
      </c>
      <c r="BE794" s="21">
        <v>0</v>
      </c>
      <c r="BF794" s="21">
        <v>0</v>
      </c>
      <c r="BG794" s="19">
        <v>0</v>
      </c>
      <c r="BH794" s="19">
        <v>0</v>
      </c>
      <c r="BI794" s="22">
        <f t="shared" si="223"/>
        <v>11</v>
      </c>
      <c r="BJ794" s="22">
        <f t="shared" si="224"/>
        <v>8</v>
      </c>
      <c r="BK794" s="28">
        <f t="shared" si="225"/>
        <v>42</v>
      </c>
      <c r="BL794" s="22">
        <f t="shared" si="226"/>
        <v>34</v>
      </c>
      <c r="BM794" s="22">
        <f t="shared" si="228"/>
        <v>8</v>
      </c>
      <c r="BN794" s="23">
        <f t="shared" si="231"/>
        <v>0.67647058823529416</v>
      </c>
      <c r="BO794" s="23">
        <f t="shared" si="231"/>
        <v>0</v>
      </c>
      <c r="BP794" s="7">
        <f>VLOOKUP(A794,[1]Sheet15!B:E,4,0)</f>
        <v>23</v>
      </c>
      <c r="BQ794" s="7">
        <f>VLOOKUP(A794,[1]Sheet15!B:E,3,0)</f>
        <v>0</v>
      </c>
    </row>
    <row r="795" spans="1:69" ht="22.5" customHeight="1" x14ac:dyDescent="0.25">
      <c r="A795" s="15" t="s">
        <v>1892</v>
      </c>
      <c r="B795" s="15" t="e">
        <f>VLOOKUP(A795,'[1]Master clients'!F774:W4321,17,0)</f>
        <v>#N/A</v>
      </c>
      <c r="C795" s="15" t="e">
        <f>VLOOKUP(A795,'[1]Master clients'!F774:P4321,11,0)</f>
        <v>#N/A</v>
      </c>
      <c r="D795" s="15" t="str">
        <f>VLOOKUP(A795,'[1]Master clients'!F:M,8,0)</f>
        <v>Group (Mills)</v>
      </c>
      <c r="E795" s="24" t="s">
        <v>1893</v>
      </c>
      <c r="F795" s="25" t="s">
        <v>1889</v>
      </c>
      <c r="G795" s="20">
        <v>0</v>
      </c>
      <c r="H795" s="20">
        <v>0</v>
      </c>
      <c r="I795" s="26">
        <v>12</v>
      </c>
      <c r="J795" s="26">
        <v>0</v>
      </c>
      <c r="K795" s="20">
        <v>10</v>
      </c>
      <c r="L795" s="20">
        <v>0</v>
      </c>
      <c r="M795" s="20">
        <v>0</v>
      </c>
      <c r="N795" s="20">
        <v>0</v>
      </c>
      <c r="O795" s="20">
        <v>6</v>
      </c>
      <c r="P795" s="20">
        <v>0</v>
      </c>
      <c r="Q795" s="20">
        <v>3</v>
      </c>
      <c r="R795" s="20">
        <v>0</v>
      </c>
      <c r="S795" s="20">
        <v>0</v>
      </c>
      <c r="T795" s="20">
        <v>0</v>
      </c>
      <c r="U795" s="20">
        <v>0</v>
      </c>
      <c r="V795" s="20">
        <v>0</v>
      </c>
      <c r="W795" s="20">
        <v>0</v>
      </c>
      <c r="X795" s="20">
        <v>0</v>
      </c>
      <c r="Y795" s="20">
        <v>0</v>
      </c>
      <c r="Z795" s="20">
        <v>0</v>
      </c>
      <c r="AA795" s="20">
        <v>0</v>
      </c>
      <c r="AB795" s="20">
        <v>0</v>
      </c>
      <c r="AC795" s="20">
        <v>0</v>
      </c>
      <c r="AD795" s="20">
        <v>0</v>
      </c>
      <c r="AE795" s="20">
        <v>0</v>
      </c>
      <c r="AF795" s="20">
        <v>0</v>
      </c>
      <c r="AG795" s="20">
        <v>0</v>
      </c>
      <c r="AH795" s="20">
        <v>0</v>
      </c>
      <c r="AI795" s="20">
        <v>0</v>
      </c>
      <c r="AJ795" s="20">
        <v>0</v>
      </c>
      <c r="AK795" s="20">
        <v>0</v>
      </c>
      <c r="AL795" s="20">
        <v>0</v>
      </c>
      <c r="AM795" s="20">
        <v>0</v>
      </c>
      <c r="AN795" s="20">
        <v>0</v>
      </c>
      <c r="AO795" s="20">
        <v>0</v>
      </c>
      <c r="AP795" s="20">
        <v>0</v>
      </c>
      <c r="AQ795" s="20">
        <v>0</v>
      </c>
      <c r="AR795" s="20">
        <v>0</v>
      </c>
      <c r="AS795" s="20">
        <v>0</v>
      </c>
      <c r="AT795" s="20">
        <v>0</v>
      </c>
      <c r="AU795" s="19">
        <v>0</v>
      </c>
      <c r="AV795" s="20">
        <v>0</v>
      </c>
      <c r="AW795" s="20">
        <v>0</v>
      </c>
      <c r="AX795" s="20">
        <v>0</v>
      </c>
      <c r="AY795" s="20">
        <v>0</v>
      </c>
      <c r="AZ795" s="20">
        <v>0</v>
      </c>
      <c r="BA795" s="19">
        <v>0</v>
      </c>
      <c r="BB795" s="27">
        <v>0</v>
      </c>
      <c r="BC795" s="19">
        <v>0</v>
      </c>
      <c r="BD795" s="19">
        <v>0</v>
      </c>
      <c r="BE795" s="21">
        <v>0</v>
      </c>
      <c r="BF795" s="21">
        <v>0</v>
      </c>
      <c r="BG795" s="19">
        <v>0</v>
      </c>
      <c r="BH795" s="19">
        <v>0</v>
      </c>
      <c r="BI795" s="22">
        <f t="shared" si="223"/>
        <v>10</v>
      </c>
      <c r="BJ795" s="22">
        <f t="shared" si="224"/>
        <v>9</v>
      </c>
      <c r="BK795" s="28">
        <f t="shared" si="225"/>
        <v>31</v>
      </c>
      <c r="BL795" s="22">
        <f t="shared" si="226"/>
        <v>22</v>
      </c>
      <c r="BM795" s="22">
        <f t="shared" si="228"/>
        <v>9</v>
      </c>
      <c r="BN795" s="23">
        <f t="shared" si="231"/>
        <v>0.54545454545454541</v>
      </c>
      <c r="BO795" s="23">
        <f t="shared" si="231"/>
        <v>0</v>
      </c>
      <c r="BP795" s="7">
        <f>VLOOKUP(A795,[1]Sheet15!B:E,4,0)</f>
        <v>11</v>
      </c>
      <c r="BQ795" s="7">
        <f>VLOOKUP(A795,[1]Sheet15!B:E,3,0)</f>
        <v>0</v>
      </c>
    </row>
    <row r="796" spans="1:69" ht="22.5" customHeight="1" x14ac:dyDescent="0.25">
      <c r="A796" s="15" t="s">
        <v>1894</v>
      </c>
      <c r="B796" s="15">
        <f>VLOOKUP(A796,'[1]Master clients'!F775:W4322,17,0)</f>
        <v>0</v>
      </c>
      <c r="C796" s="15" t="str">
        <f>VLOOKUP(A796,'[1]Master clients'!F775:P4322,11,0)</f>
        <v>NI</v>
      </c>
      <c r="D796" s="15" t="str">
        <f>VLOOKUP(A796,'[1]Master clients'!F:M,8,0)</f>
        <v>End User</v>
      </c>
      <c r="E796" s="24" t="s">
        <v>1895</v>
      </c>
      <c r="F796" s="25" t="s">
        <v>1889</v>
      </c>
      <c r="G796" s="20">
        <v>12</v>
      </c>
      <c r="H796" s="20">
        <v>0</v>
      </c>
      <c r="I796" s="26">
        <v>17</v>
      </c>
      <c r="J796" s="26">
        <v>0</v>
      </c>
      <c r="K796" s="20">
        <v>0</v>
      </c>
      <c r="L796" s="20">
        <v>0</v>
      </c>
      <c r="M796" s="20">
        <v>0</v>
      </c>
      <c r="N796" s="20">
        <v>0</v>
      </c>
      <c r="O796" s="20">
        <v>0</v>
      </c>
      <c r="P796" s="20">
        <v>0</v>
      </c>
      <c r="Q796" s="20">
        <v>3</v>
      </c>
      <c r="R796" s="20">
        <v>12</v>
      </c>
      <c r="S796" s="20">
        <v>0</v>
      </c>
      <c r="T796" s="20">
        <v>0</v>
      </c>
      <c r="U796" s="20">
        <v>0</v>
      </c>
      <c r="V796" s="20">
        <v>0</v>
      </c>
      <c r="W796" s="20">
        <v>0</v>
      </c>
      <c r="X796" s="20">
        <v>10</v>
      </c>
      <c r="Y796" s="20">
        <v>0</v>
      </c>
      <c r="Z796" s="20">
        <v>0</v>
      </c>
      <c r="AA796" s="20">
        <v>0</v>
      </c>
      <c r="AB796" s="20">
        <v>0</v>
      </c>
      <c r="AC796" s="20">
        <v>0</v>
      </c>
      <c r="AD796" s="20">
        <v>0</v>
      </c>
      <c r="AE796" s="20">
        <v>0</v>
      </c>
      <c r="AF796" s="20">
        <v>0</v>
      </c>
      <c r="AG796" s="20">
        <v>0</v>
      </c>
      <c r="AH796" s="20">
        <v>0</v>
      </c>
      <c r="AI796" s="20">
        <v>0</v>
      </c>
      <c r="AJ796" s="20">
        <v>0</v>
      </c>
      <c r="AK796" s="20">
        <v>0</v>
      </c>
      <c r="AL796" s="20">
        <v>0</v>
      </c>
      <c r="AM796" s="20">
        <v>0</v>
      </c>
      <c r="AN796" s="20">
        <v>0</v>
      </c>
      <c r="AO796" s="20">
        <v>0</v>
      </c>
      <c r="AP796" s="20">
        <v>0</v>
      </c>
      <c r="AQ796" s="20">
        <v>0</v>
      </c>
      <c r="AR796" s="20">
        <v>0</v>
      </c>
      <c r="AS796" s="20">
        <v>0</v>
      </c>
      <c r="AT796" s="20">
        <v>0</v>
      </c>
      <c r="AU796" s="20">
        <v>0</v>
      </c>
      <c r="AV796" s="20">
        <v>0</v>
      </c>
      <c r="AW796" s="20">
        <v>0</v>
      </c>
      <c r="AX796" s="20">
        <v>0</v>
      </c>
      <c r="AY796" s="20">
        <v>0</v>
      </c>
      <c r="AZ796" s="20">
        <v>0</v>
      </c>
      <c r="BA796" s="20">
        <v>0</v>
      </c>
      <c r="BB796" s="27">
        <v>0</v>
      </c>
      <c r="BC796" s="20">
        <v>0</v>
      </c>
      <c r="BD796" s="20">
        <v>0</v>
      </c>
      <c r="BE796" s="21">
        <v>0</v>
      </c>
      <c r="BF796" s="21">
        <v>0</v>
      </c>
      <c r="BG796" s="20">
        <v>0</v>
      </c>
      <c r="BH796" s="20">
        <v>0</v>
      </c>
      <c r="BI796" s="22">
        <f t="shared" si="223"/>
        <v>12</v>
      </c>
      <c r="BJ796" s="22">
        <f t="shared" si="224"/>
        <v>13</v>
      </c>
      <c r="BK796" s="28">
        <f t="shared" si="225"/>
        <v>42</v>
      </c>
      <c r="BL796" s="22">
        <f t="shared" si="226"/>
        <v>29</v>
      </c>
      <c r="BM796" s="22">
        <f t="shared" si="228"/>
        <v>13</v>
      </c>
      <c r="BN796" s="23">
        <f t="shared" si="231"/>
        <v>0.58620689655172409</v>
      </c>
      <c r="BO796" s="23">
        <f t="shared" si="231"/>
        <v>0</v>
      </c>
      <c r="BP796" s="7">
        <f>VLOOKUP(A796,[1]Sheet15!B:E,4,0)</f>
        <v>8</v>
      </c>
      <c r="BQ796" s="7">
        <f>VLOOKUP(A796,[1]Sheet15!B:E,3,0)</f>
        <v>0</v>
      </c>
    </row>
    <row r="797" spans="1:69" ht="22.5" customHeight="1" x14ac:dyDescent="0.25">
      <c r="A797" s="15" t="s">
        <v>1896</v>
      </c>
      <c r="B797" s="15">
        <f>VLOOKUP(A797,'[1]Master clients'!F776:W4323,17,0)</f>
        <v>0</v>
      </c>
      <c r="C797" s="15" t="str">
        <f>VLOOKUP(A797,'[1]Master clients'!F776:P4323,11,0)</f>
        <v>NI</v>
      </c>
      <c r="D797" s="15" t="str">
        <f>VLOOKUP(A797,'[1]Master clients'!F:M,8,0)</f>
        <v>Group (Mills)</v>
      </c>
      <c r="E797" s="16" t="s">
        <v>1897</v>
      </c>
      <c r="F797" s="16" t="s">
        <v>1889</v>
      </c>
      <c r="G797" s="17"/>
      <c r="H797" s="17"/>
      <c r="I797" s="26">
        <v>2</v>
      </c>
      <c r="J797" s="31">
        <v>0</v>
      </c>
      <c r="K797" s="17">
        <v>0</v>
      </c>
      <c r="L797" s="17">
        <v>0</v>
      </c>
      <c r="M797" s="17">
        <v>0</v>
      </c>
      <c r="N797" s="17">
        <v>0</v>
      </c>
      <c r="O797" s="17">
        <v>0</v>
      </c>
      <c r="P797" s="17">
        <v>0</v>
      </c>
      <c r="Q797" s="17">
        <v>0</v>
      </c>
      <c r="R797" s="17">
        <v>0</v>
      </c>
      <c r="S797" s="17">
        <v>0</v>
      </c>
      <c r="T797" s="17">
        <v>0</v>
      </c>
      <c r="U797" s="17">
        <v>0</v>
      </c>
      <c r="V797" s="17">
        <v>0</v>
      </c>
      <c r="W797" s="17">
        <v>0</v>
      </c>
      <c r="X797" s="17">
        <v>0</v>
      </c>
      <c r="Y797" s="17">
        <v>0</v>
      </c>
      <c r="Z797" s="17">
        <v>0</v>
      </c>
      <c r="AA797" s="17">
        <v>0</v>
      </c>
      <c r="AB797" s="17">
        <v>0</v>
      </c>
      <c r="AC797" s="17">
        <v>0</v>
      </c>
      <c r="AD797" s="17">
        <v>0</v>
      </c>
      <c r="AE797" s="17">
        <v>0</v>
      </c>
      <c r="AF797" s="17">
        <v>0</v>
      </c>
      <c r="AG797" s="17">
        <v>0</v>
      </c>
      <c r="AH797" s="17">
        <v>0</v>
      </c>
      <c r="AI797" s="17">
        <v>0</v>
      </c>
      <c r="AJ797" s="17">
        <v>0</v>
      </c>
      <c r="AK797" s="17">
        <v>0</v>
      </c>
      <c r="AL797" s="17">
        <v>0</v>
      </c>
      <c r="AM797" s="17">
        <v>0</v>
      </c>
      <c r="AN797" s="17">
        <v>0</v>
      </c>
      <c r="AO797" s="17">
        <v>0</v>
      </c>
      <c r="AP797" s="17">
        <v>0</v>
      </c>
      <c r="AQ797" s="17">
        <v>0</v>
      </c>
      <c r="AR797" s="17">
        <v>0</v>
      </c>
      <c r="AS797" s="17">
        <v>0</v>
      </c>
      <c r="AT797" s="17">
        <v>0</v>
      </c>
      <c r="AU797" s="17">
        <v>0</v>
      </c>
      <c r="AV797" s="17">
        <v>0</v>
      </c>
      <c r="AW797" s="17">
        <v>0</v>
      </c>
      <c r="AX797" s="17">
        <v>0</v>
      </c>
      <c r="AY797" s="17">
        <v>0</v>
      </c>
      <c r="AZ797" s="17">
        <v>0</v>
      </c>
      <c r="BA797" s="17">
        <v>0</v>
      </c>
      <c r="BB797" s="17">
        <v>0</v>
      </c>
      <c r="BC797" s="17">
        <v>0</v>
      </c>
      <c r="BD797" s="17">
        <v>0</v>
      </c>
      <c r="BE797" s="17">
        <v>0</v>
      </c>
      <c r="BF797" s="17">
        <v>0</v>
      </c>
      <c r="BG797" s="17">
        <v>0</v>
      </c>
      <c r="BH797" s="17">
        <v>0</v>
      </c>
      <c r="BI797" s="22">
        <f t="shared" si="223"/>
        <v>0</v>
      </c>
      <c r="BJ797" s="22">
        <f t="shared" si="224"/>
        <v>0</v>
      </c>
      <c r="BK797" s="28">
        <f t="shared" si="225"/>
        <v>2</v>
      </c>
      <c r="BL797" s="22">
        <f t="shared" si="226"/>
        <v>2</v>
      </c>
      <c r="BM797" s="22">
        <f t="shared" si="228"/>
        <v>0</v>
      </c>
      <c r="BN797" s="23">
        <f t="shared" si="231"/>
        <v>1</v>
      </c>
      <c r="BO797" s="23" t="e">
        <f t="shared" si="231"/>
        <v>#DIV/0!</v>
      </c>
      <c r="BP797" s="7">
        <f>VLOOKUP(A797,[1]Sheet15!B:E,4,0)</f>
        <v>2</v>
      </c>
      <c r="BQ797" s="7">
        <f>VLOOKUP(A797,[1]Sheet15!B:E,3,0)</f>
        <v>0</v>
      </c>
    </row>
    <row r="798" spans="1:69" ht="22.5" customHeight="1" x14ac:dyDescent="0.25">
      <c r="A798" s="15" t="s">
        <v>1898</v>
      </c>
      <c r="B798" s="15" t="e">
        <f>VLOOKUP(A798,'[1]Master clients'!F777:W4324,17,0)</f>
        <v>#N/A</v>
      </c>
      <c r="C798" s="15" t="e">
        <f>VLOOKUP(A798,'[1]Master clients'!F777:P4324,11,0)</f>
        <v>#N/A</v>
      </c>
      <c r="D798" s="15" t="str">
        <f>VLOOKUP(A798,'[1]Master clients'!F:M,8,0)</f>
        <v>End User</v>
      </c>
      <c r="E798" s="16" t="s">
        <v>1899</v>
      </c>
      <c r="F798" s="16" t="s">
        <v>72</v>
      </c>
      <c r="G798" s="17"/>
      <c r="H798" s="17">
        <v>1</v>
      </c>
      <c r="I798" s="26">
        <v>7</v>
      </c>
      <c r="J798" s="18">
        <v>1</v>
      </c>
      <c r="K798" s="17">
        <v>0</v>
      </c>
      <c r="L798" s="17">
        <v>0</v>
      </c>
      <c r="M798" s="17">
        <v>0</v>
      </c>
      <c r="N798" s="17">
        <v>0</v>
      </c>
      <c r="O798" s="17">
        <v>0</v>
      </c>
      <c r="P798" s="17">
        <v>0</v>
      </c>
      <c r="Q798" s="17">
        <v>0</v>
      </c>
      <c r="R798" s="17">
        <v>0</v>
      </c>
      <c r="S798" s="17">
        <v>0</v>
      </c>
      <c r="T798" s="17">
        <v>0</v>
      </c>
      <c r="U798" s="17">
        <v>0</v>
      </c>
      <c r="V798" s="17">
        <v>0</v>
      </c>
      <c r="W798" s="17">
        <v>0</v>
      </c>
      <c r="X798" s="17">
        <v>0</v>
      </c>
      <c r="Y798" s="17">
        <v>0</v>
      </c>
      <c r="Z798" s="17">
        <v>0</v>
      </c>
      <c r="AA798" s="17">
        <v>0</v>
      </c>
      <c r="AB798" s="17">
        <v>0</v>
      </c>
      <c r="AC798" s="17">
        <v>0</v>
      </c>
      <c r="AD798" s="17">
        <v>0</v>
      </c>
      <c r="AE798" s="17">
        <v>0</v>
      </c>
      <c r="AF798" s="17">
        <v>0</v>
      </c>
      <c r="AG798" s="17">
        <v>0</v>
      </c>
      <c r="AH798" s="17">
        <v>0</v>
      </c>
      <c r="AI798" s="17">
        <v>0</v>
      </c>
      <c r="AJ798" s="17">
        <v>0</v>
      </c>
      <c r="AK798" s="17">
        <v>0</v>
      </c>
      <c r="AL798" s="17">
        <v>0</v>
      </c>
      <c r="AM798" s="17">
        <v>0</v>
      </c>
      <c r="AN798" s="17">
        <v>0</v>
      </c>
      <c r="AO798" s="17">
        <v>0</v>
      </c>
      <c r="AP798" s="17">
        <v>0</v>
      </c>
      <c r="AQ798" s="17">
        <v>0</v>
      </c>
      <c r="AR798" s="17">
        <v>0</v>
      </c>
      <c r="AS798" s="17">
        <v>0</v>
      </c>
      <c r="AT798" s="17">
        <v>0</v>
      </c>
      <c r="AU798" s="17">
        <v>0</v>
      </c>
      <c r="AV798" s="17">
        <v>0</v>
      </c>
      <c r="AW798" s="17">
        <v>0</v>
      </c>
      <c r="AX798" s="17">
        <v>0</v>
      </c>
      <c r="AY798" s="17">
        <v>0</v>
      </c>
      <c r="AZ798" s="17">
        <v>0</v>
      </c>
      <c r="BA798" s="17">
        <v>0</v>
      </c>
      <c r="BB798" s="17">
        <v>0</v>
      </c>
      <c r="BC798" s="17">
        <v>0</v>
      </c>
      <c r="BD798" s="17">
        <v>0</v>
      </c>
      <c r="BE798" s="17">
        <v>0</v>
      </c>
      <c r="BF798" s="17">
        <v>0</v>
      </c>
      <c r="BG798" s="17">
        <v>0</v>
      </c>
      <c r="BH798" s="17">
        <v>0</v>
      </c>
      <c r="BI798" s="22">
        <f>SUM(M798+N798+P798+R798+T798+W798+Z798+AC798+AE798+AL798+AO798+AP798+AS798+AW798+AX798+BC798+BE798+BG798)</f>
        <v>0</v>
      </c>
      <c r="BJ798" s="22">
        <f>SUM(H798:BG798)</f>
        <v>9</v>
      </c>
      <c r="BK798" s="22">
        <f>SUM(H798+J798+K798+L798+O798+Q798+S798+U798+V798+X798+Y798+AA798+AB798+AD798+AF798+AG798+AH798+AI798+AJ798+AK798+AM798+AN798+AQ798+AR798+AT798+AU798+AV798+AY798+AZ798+BA798+BB798+BF798+BD798)</f>
        <v>2</v>
      </c>
      <c r="BL798" s="22">
        <f t="shared" ref="BL798:BM803" si="232">SUM(I798+M798+N798+P798+R798+T798+W798+Z798+AC798+AE798+AL798+AO798+AP798+AS798+AW798+AX798+BC798+BG798)</f>
        <v>7</v>
      </c>
      <c r="BM798" s="22">
        <f t="shared" si="232"/>
        <v>1</v>
      </c>
      <c r="BN798" s="23">
        <f t="shared" si="231"/>
        <v>1</v>
      </c>
      <c r="BO798" s="23">
        <f t="shared" si="231"/>
        <v>1</v>
      </c>
      <c r="BP798" s="7">
        <f>VLOOKUP(A798,[1]Sheet15!B:E,4,0)</f>
        <v>7</v>
      </c>
      <c r="BQ798" s="7">
        <f>VLOOKUP(A798,[1]Sheet15!B:E,3,0)</f>
        <v>1</v>
      </c>
    </row>
    <row r="799" spans="1:69" ht="22.5" customHeight="1" x14ac:dyDescent="0.25">
      <c r="A799" s="15" t="s">
        <v>1900</v>
      </c>
      <c r="B799" s="15" t="e">
        <f>VLOOKUP(A799,'[1]Master clients'!F778:W4325,17,0)</f>
        <v>#N/A</v>
      </c>
      <c r="C799" s="15" t="e">
        <f>VLOOKUP(A799,'[1]Master clients'!F778:P4325,11,0)</f>
        <v>#N/A</v>
      </c>
      <c r="D799" s="15" t="str">
        <f>VLOOKUP(A799,'[1]Master clients'!F:M,8,0)</f>
        <v>End User</v>
      </c>
      <c r="E799" s="16" t="s">
        <v>1901</v>
      </c>
      <c r="F799" s="16" t="s">
        <v>1902</v>
      </c>
      <c r="G799" s="17">
        <v>12</v>
      </c>
      <c r="H799" s="17">
        <v>5</v>
      </c>
      <c r="I799" s="18">
        <v>23</v>
      </c>
      <c r="J799" s="18">
        <v>3</v>
      </c>
      <c r="K799" s="17">
        <v>0</v>
      </c>
      <c r="L799" s="17">
        <v>0</v>
      </c>
      <c r="M799" s="17">
        <v>0</v>
      </c>
      <c r="N799" s="17">
        <v>0</v>
      </c>
      <c r="O799" s="19">
        <v>0</v>
      </c>
      <c r="P799" s="19">
        <v>3</v>
      </c>
      <c r="Q799" s="19">
        <v>3</v>
      </c>
      <c r="R799" s="19">
        <v>0</v>
      </c>
      <c r="S799" s="19">
        <v>0</v>
      </c>
      <c r="T799" s="19">
        <v>0</v>
      </c>
      <c r="U799" s="19">
        <v>0</v>
      </c>
      <c r="V799" s="19">
        <v>0</v>
      </c>
      <c r="W799" s="20">
        <v>0</v>
      </c>
      <c r="X799" s="20">
        <v>0</v>
      </c>
      <c r="Y799" s="19">
        <v>0</v>
      </c>
      <c r="Z799" s="19">
        <v>0</v>
      </c>
      <c r="AA799" s="19">
        <v>0</v>
      </c>
      <c r="AB799" s="19">
        <v>0</v>
      </c>
      <c r="AC799" s="19">
        <v>0</v>
      </c>
      <c r="AD799" s="19">
        <v>0</v>
      </c>
      <c r="AE799" s="19">
        <v>0</v>
      </c>
      <c r="AF799" s="19">
        <v>0</v>
      </c>
      <c r="AG799" s="19">
        <v>0</v>
      </c>
      <c r="AH799" s="19">
        <v>0</v>
      </c>
      <c r="AI799" s="20">
        <v>0</v>
      </c>
      <c r="AJ799" s="20">
        <v>0</v>
      </c>
      <c r="AK799" s="19">
        <v>0</v>
      </c>
      <c r="AL799" s="20">
        <v>0</v>
      </c>
      <c r="AM799" s="19">
        <v>0</v>
      </c>
      <c r="AN799" s="19">
        <v>0</v>
      </c>
      <c r="AO799" s="19">
        <v>0</v>
      </c>
      <c r="AP799" s="19">
        <v>0</v>
      </c>
      <c r="AQ799" s="19">
        <v>0</v>
      </c>
      <c r="AR799" s="19">
        <v>0</v>
      </c>
      <c r="AS799" s="19">
        <v>0</v>
      </c>
      <c r="AT799" s="19">
        <v>0</v>
      </c>
      <c r="AU799" s="19">
        <v>0</v>
      </c>
      <c r="AV799" s="19">
        <v>0</v>
      </c>
      <c r="AW799" s="20">
        <v>0</v>
      </c>
      <c r="AX799" s="20">
        <v>0</v>
      </c>
      <c r="AY799" s="20">
        <v>0</v>
      </c>
      <c r="AZ799" s="19">
        <v>0</v>
      </c>
      <c r="BA799" s="19">
        <v>0</v>
      </c>
      <c r="BB799" s="19">
        <v>0</v>
      </c>
      <c r="BC799" s="19">
        <v>0</v>
      </c>
      <c r="BD799" s="19">
        <v>0</v>
      </c>
      <c r="BE799" s="21">
        <v>0</v>
      </c>
      <c r="BF799" s="21">
        <v>0</v>
      </c>
      <c r="BG799" s="19">
        <v>0</v>
      </c>
      <c r="BH799" s="19">
        <v>0</v>
      </c>
      <c r="BI799" s="22">
        <f t="shared" ref="BI799:BI803" si="233">SUM(K799+L799+M799+P799+R799+T799+V799+W799+Y799+Z799+AB799+AC799+AE799+AG799+AH799+AI799+AJ799+AK799+AL799+AN799+AO799+AR799+AS799+AU799+AV799+AW799+AZ799+BA799+BB799+BC799+BE799+BG799)</f>
        <v>3</v>
      </c>
      <c r="BJ799" s="22">
        <f t="shared" ref="BJ799:BJ803" si="234">SUM(N799+O799+Q799+S799+U799+X799+AA799+AD799+AF799+AM799+AP799+AQ799+AT799+AX799+AY799+BD799+BF799+BH799)</f>
        <v>3</v>
      </c>
      <c r="BK799" s="22">
        <f t="shared" ref="BK799:BK803" si="235">SUM(I799:BH799)</f>
        <v>32</v>
      </c>
      <c r="BL799" s="22">
        <f t="shared" ref="BL799:BL803" si="236">SUM(I799+K799+L799+M799+P799+R799+T799+V799+W799+Y799+Z799+AB799+AC799+AE799+AG799+AH799+AI799+AJ799+AK799+AL799+AN799+AO799+AR799+AS799+AU799+AV799+AW799+AZ799+BA799+BB799+BC799+BG799+BE799)</f>
        <v>26</v>
      </c>
      <c r="BM799" s="22">
        <f t="shared" si="232"/>
        <v>6</v>
      </c>
      <c r="BN799" s="23">
        <f t="shared" si="231"/>
        <v>0.88461538461538458</v>
      </c>
      <c r="BO799" s="23">
        <f t="shared" si="231"/>
        <v>0.5</v>
      </c>
      <c r="BP799" s="7" t="e">
        <f>VLOOKUP(A799,[1]Sheet15!B:E,4,0)</f>
        <v>#N/A</v>
      </c>
      <c r="BQ799" s="7" t="e">
        <f>VLOOKUP(A799,[1]Sheet15!B:E,3,0)</f>
        <v>#N/A</v>
      </c>
    </row>
    <row r="800" spans="1:69" ht="22.5" customHeight="1" x14ac:dyDescent="0.25">
      <c r="A800" s="15" t="s">
        <v>1903</v>
      </c>
      <c r="B800" s="15">
        <f>VLOOKUP(A800,'[1]Master clients'!F779:W4326,17,0)</f>
        <v>0</v>
      </c>
      <c r="C800" s="15" t="str">
        <f>VLOOKUP(A800,'[1]Master clients'!F779:P4326,11,0)</f>
        <v>AV</v>
      </c>
      <c r="D800" s="15" t="str">
        <f>VLOOKUP(A800,'[1]Master clients'!F:M,8,0)</f>
        <v>End User</v>
      </c>
      <c r="E800" s="16" t="s">
        <v>1904</v>
      </c>
      <c r="F800" s="16" t="s">
        <v>1905</v>
      </c>
      <c r="G800" s="17">
        <v>0</v>
      </c>
      <c r="H800" s="17">
        <v>0</v>
      </c>
      <c r="I800" s="18">
        <v>12</v>
      </c>
      <c r="J800" s="18">
        <v>6</v>
      </c>
      <c r="K800" s="17">
        <v>0</v>
      </c>
      <c r="L800" s="17">
        <v>0</v>
      </c>
      <c r="M800" s="17">
        <v>0</v>
      </c>
      <c r="N800" s="17">
        <v>0</v>
      </c>
      <c r="O800" s="19">
        <v>0</v>
      </c>
      <c r="P800" s="19">
        <v>0</v>
      </c>
      <c r="Q800" s="19">
        <v>1</v>
      </c>
      <c r="R800" s="19">
        <v>0</v>
      </c>
      <c r="S800" s="19">
        <v>0</v>
      </c>
      <c r="T800" s="19">
        <v>0</v>
      </c>
      <c r="U800" s="19">
        <v>0</v>
      </c>
      <c r="V800" s="19">
        <v>0</v>
      </c>
      <c r="W800" s="20">
        <v>0</v>
      </c>
      <c r="X800" s="20">
        <v>0</v>
      </c>
      <c r="Y800" s="19">
        <v>0</v>
      </c>
      <c r="Z800" s="19">
        <v>0</v>
      </c>
      <c r="AA800" s="19">
        <v>0</v>
      </c>
      <c r="AB800" s="19">
        <v>0</v>
      </c>
      <c r="AC800" s="19">
        <v>0</v>
      </c>
      <c r="AD800" s="19">
        <v>0</v>
      </c>
      <c r="AE800" s="19">
        <v>0</v>
      </c>
      <c r="AF800" s="19">
        <v>0</v>
      </c>
      <c r="AG800" s="19">
        <v>0</v>
      </c>
      <c r="AH800" s="19">
        <v>0</v>
      </c>
      <c r="AI800" s="20">
        <v>0</v>
      </c>
      <c r="AJ800" s="20">
        <v>0</v>
      </c>
      <c r="AK800" s="19">
        <v>0</v>
      </c>
      <c r="AL800" s="20">
        <v>0</v>
      </c>
      <c r="AM800" s="19">
        <v>0</v>
      </c>
      <c r="AN800" s="19">
        <v>0</v>
      </c>
      <c r="AO800" s="19">
        <v>0</v>
      </c>
      <c r="AP800" s="19">
        <v>0</v>
      </c>
      <c r="AQ800" s="19">
        <v>0</v>
      </c>
      <c r="AR800" s="19">
        <v>0</v>
      </c>
      <c r="AS800" s="19">
        <v>0</v>
      </c>
      <c r="AT800" s="19">
        <v>0</v>
      </c>
      <c r="AU800" s="19">
        <v>0</v>
      </c>
      <c r="AV800" s="19">
        <v>0</v>
      </c>
      <c r="AW800" s="20">
        <v>0</v>
      </c>
      <c r="AX800" s="20">
        <v>0</v>
      </c>
      <c r="AY800" s="20">
        <v>0</v>
      </c>
      <c r="AZ800" s="19">
        <v>0</v>
      </c>
      <c r="BA800" s="19">
        <v>0</v>
      </c>
      <c r="BB800" s="19">
        <v>0</v>
      </c>
      <c r="BC800" s="19">
        <v>0</v>
      </c>
      <c r="BD800" s="19">
        <v>0</v>
      </c>
      <c r="BE800" s="21">
        <v>0</v>
      </c>
      <c r="BF800" s="21">
        <v>0</v>
      </c>
      <c r="BG800" s="19">
        <v>0</v>
      </c>
      <c r="BH800" s="19">
        <v>0</v>
      </c>
      <c r="BI800" s="22">
        <f t="shared" si="233"/>
        <v>0</v>
      </c>
      <c r="BJ800" s="22">
        <f t="shared" si="234"/>
        <v>1</v>
      </c>
      <c r="BK800" s="22">
        <f t="shared" si="235"/>
        <v>19</v>
      </c>
      <c r="BL800" s="22">
        <f t="shared" si="236"/>
        <v>12</v>
      </c>
      <c r="BM800" s="22">
        <f t="shared" si="232"/>
        <v>7</v>
      </c>
      <c r="BN800" s="23">
        <f t="shared" ref="BN800:BO815" si="237">I800/BL800</f>
        <v>1</v>
      </c>
      <c r="BO800" s="23">
        <f t="shared" si="237"/>
        <v>0.8571428571428571</v>
      </c>
      <c r="BP800" s="7" t="e">
        <f>VLOOKUP(A800,[1]Sheet15!B:E,4,0)</f>
        <v>#N/A</v>
      </c>
      <c r="BQ800" s="7" t="e">
        <f>VLOOKUP(A800,[1]Sheet15!B:E,3,0)</f>
        <v>#N/A</v>
      </c>
    </row>
    <row r="801" spans="1:69" ht="22.5" customHeight="1" x14ac:dyDescent="0.25">
      <c r="A801" s="15" t="s">
        <v>1906</v>
      </c>
      <c r="B801" s="15" t="e">
        <f>VLOOKUP(A801,'[1]Master clients'!F780:W4327,17,0)</f>
        <v>#N/A</v>
      </c>
      <c r="C801" s="15" t="e">
        <f>VLOOKUP(A801,'[1]Master clients'!F780:P4327,11,0)</f>
        <v>#N/A</v>
      </c>
      <c r="D801" s="15" t="str">
        <f>VLOOKUP(A801,'[1]Master clients'!F:M,8,0)</f>
        <v>Group (Mills)</v>
      </c>
      <c r="E801" s="16" t="s">
        <v>1907</v>
      </c>
      <c r="F801" s="16" t="s">
        <v>1908</v>
      </c>
      <c r="G801" s="17">
        <v>12</v>
      </c>
      <c r="H801" s="17">
        <v>8</v>
      </c>
      <c r="I801" s="18">
        <v>12</v>
      </c>
      <c r="J801" s="18">
        <v>8</v>
      </c>
      <c r="K801" s="17">
        <v>0</v>
      </c>
      <c r="L801" s="17">
        <v>0</v>
      </c>
      <c r="M801" s="17">
        <v>0</v>
      </c>
      <c r="N801" s="17">
        <v>0</v>
      </c>
      <c r="O801" s="19">
        <v>0</v>
      </c>
      <c r="P801" s="19">
        <v>0</v>
      </c>
      <c r="Q801" s="19">
        <v>0</v>
      </c>
      <c r="R801" s="19">
        <v>0</v>
      </c>
      <c r="S801" s="19">
        <v>0</v>
      </c>
      <c r="T801" s="19">
        <v>0</v>
      </c>
      <c r="U801" s="19">
        <v>0</v>
      </c>
      <c r="V801" s="19">
        <v>0</v>
      </c>
      <c r="W801" s="20">
        <v>0</v>
      </c>
      <c r="X801" s="20">
        <v>0</v>
      </c>
      <c r="Y801" s="19">
        <v>0</v>
      </c>
      <c r="Z801" s="19">
        <v>0</v>
      </c>
      <c r="AA801" s="19">
        <v>0</v>
      </c>
      <c r="AB801" s="19">
        <v>0</v>
      </c>
      <c r="AC801" s="19">
        <v>0</v>
      </c>
      <c r="AD801" s="19">
        <v>0</v>
      </c>
      <c r="AE801" s="19">
        <v>0</v>
      </c>
      <c r="AF801" s="19">
        <v>0</v>
      </c>
      <c r="AG801" s="19">
        <v>0</v>
      </c>
      <c r="AH801" s="19">
        <v>0</v>
      </c>
      <c r="AI801" s="20">
        <v>0</v>
      </c>
      <c r="AJ801" s="20">
        <v>0</v>
      </c>
      <c r="AK801" s="19">
        <v>0</v>
      </c>
      <c r="AL801" s="20">
        <v>0</v>
      </c>
      <c r="AM801" s="19">
        <v>0</v>
      </c>
      <c r="AN801" s="19">
        <v>0</v>
      </c>
      <c r="AO801" s="19">
        <v>0</v>
      </c>
      <c r="AP801" s="19">
        <v>0</v>
      </c>
      <c r="AQ801" s="19">
        <v>0</v>
      </c>
      <c r="AR801" s="19">
        <v>0</v>
      </c>
      <c r="AS801" s="19">
        <v>0</v>
      </c>
      <c r="AT801" s="19">
        <v>0</v>
      </c>
      <c r="AU801" s="19">
        <v>0</v>
      </c>
      <c r="AV801" s="19">
        <v>0</v>
      </c>
      <c r="AW801" s="20">
        <v>0</v>
      </c>
      <c r="AX801" s="20">
        <v>0</v>
      </c>
      <c r="AY801" s="20">
        <v>0</v>
      </c>
      <c r="AZ801" s="19">
        <v>0</v>
      </c>
      <c r="BA801" s="19">
        <v>0</v>
      </c>
      <c r="BB801" s="19">
        <v>0</v>
      </c>
      <c r="BC801" s="19">
        <v>0</v>
      </c>
      <c r="BD801" s="19">
        <v>0</v>
      </c>
      <c r="BE801" s="21">
        <v>0</v>
      </c>
      <c r="BF801" s="21">
        <v>0</v>
      </c>
      <c r="BG801" s="19">
        <v>0</v>
      </c>
      <c r="BH801" s="19">
        <v>0</v>
      </c>
      <c r="BI801" s="22">
        <f t="shared" si="233"/>
        <v>0</v>
      </c>
      <c r="BJ801" s="22">
        <f t="shared" si="234"/>
        <v>0</v>
      </c>
      <c r="BK801" s="22">
        <f t="shared" si="235"/>
        <v>20</v>
      </c>
      <c r="BL801" s="22">
        <f t="shared" si="236"/>
        <v>12</v>
      </c>
      <c r="BM801" s="22">
        <f t="shared" si="232"/>
        <v>8</v>
      </c>
      <c r="BN801" s="23">
        <f t="shared" si="237"/>
        <v>1</v>
      </c>
      <c r="BO801" s="23">
        <f t="shared" si="237"/>
        <v>1</v>
      </c>
      <c r="BP801" s="7">
        <f>VLOOKUP(A801,[1]Sheet15!B:E,4,0)</f>
        <v>1</v>
      </c>
      <c r="BQ801" s="7">
        <f>VLOOKUP(A801,[1]Sheet15!B:E,3,0)</f>
        <v>1</v>
      </c>
    </row>
    <row r="802" spans="1:69" ht="22.5" customHeight="1" x14ac:dyDescent="0.25">
      <c r="A802" s="15" t="s">
        <v>1909</v>
      </c>
      <c r="B802" s="15" t="e">
        <f>VLOOKUP(A802,'[1]Master clients'!F781:W4328,17,0)</f>
        <v>#N/A</v>
      </c>
      <c r="C802" s="15" t="e">
        <f>VLOOKUP(A802,'[1]Master clients'!F781:P4328,11,0)</f>
        <v>#N/A</v>
      </c>
      <c r="D802" s="15" t="str">
        <f>VLOOKUP(A802,'[1]Master clients'!F:M,8,0)</f>
        <v>Group (Mills)</v>
      </c>
      <c r="E802" s="16" t="s">
        <v>1910</v>
      </c>
      <c r="F802" s="16" t="s">
        <v>1911</v>
      </c>
      <c r="G802" s="17">
        <v>1</v>
      </c>
      <c r="H802" s="17">
        <v>0</v>
      </c>
      <c r="I802" s="18">
        <v>19</v>
      </c>
      <c r="J802" s="18">
        <v>8</v>
      </c>
      <c r="K802" s="17">
        <v>0</v>
      </c>
      <c r="L802" s="17">
        <v>0</v>
      </c>
      <c r="M802" s="17">
        <v>0</v>
      </c>
      <c r="N802" s="17">
        <v>0</v>
      </c>
      <c r="O802" s="19">
        <v>0</v>
      </c>
      <c r="P802" s="19">
        <v>0</v>
      </c>
      <c r="Q802" s="19">
        <v>0</v>
      </c>
      <c r="R802" s="19">
        <v>0</v>
      </c>
      <c r="S802" s="19">
        <v>0</v>
      </c>
      <c r="T802" s="19">
        <v>0</v>
      </c>
      <c r="U802" s="19">
        <v>0</v>
      </c>
      <c r="V802" s="19">
        <v>0</v>
      </c>
      <c r="W802" s="20">
        <v>0</v>
      </c>
      <c r="X802" s="20">
        <v>0</v>
      </c>
      <c r="Y802" s="19">
        <v>0</v>
      </c>
      <c r="Z802" s="19">
        <v>0</v>
      </c>
      <c r="AA802" s="19">
        <v>0</v>
      </c>
      <c r="AB802" s="19">
        <v>0</v>
      </c>
      <c r="AC802" s="19">
        <v>0</v>
      </c>
      <c r="AD802" s="19">
        <v>0</v>
      </c>
      <c r="AE802" s="19">
        <v>1</v>
      </c>
      <c r="AF802" s="19">
        <v>0</v>
      </c>
      <c r="AG802" s="19">
        <v>2</v>
      </c>
      <c r="AH802" s="19">
        <v>0</v>
      </c>
      <c r="AI802" s="20">
        <v>0</v>
      </c>
      <c r="AJ802" s="20">
        <v>0</v>
      </c>
      <c r="AK802" s="19">
        <v>0</v>
      </c>
      <c r="AL802" s="20">
        <v>0</v>
      </c>
      <c r="AM802" s="19">
        <v>0</v>
      </c>
      <c r="AN802" s="19">
        <v>0</v>
      </c>
      <c r="AO802" s="19">
        <v>0</v>
      </c>
      <c r="AP802" s="19">
        <v>0</v>
      </c>
      <c r="AQ802" s="19">
        <v>0</v>
      </c>
      <c r="AR802" s="19">
        <v>0</v>
      </c>
      <c r="AS802" s="19">
        <v>0</v>
      </c>
      <c r="AT802" s="19">
        <v>0</v>
      </c>
      <c r="AU802" s="19">
        <v>0</v>
      </c>
      <c r="AV802" s="19">
        <v>0</v>
      </c>
      <c r="AW802" s="20">
        <v>0</v>
      </c>
      <c r="AX802" s="20">
        <v>0</v>
      </c>
      <c r="AY802" s="20">
        <v>0</v>
      </c>
      <c r="AZ802" s="19">
        <v>0</v>
      </c>
      <c r="BA802" s="19">
        <v>0</v>
      </c>
      <c r="BB802" s="19">
        <v>0</v>
      </c>
      <c r="BC802" s="19">
        <v>0</v>
      </c>
      <c r="BD802" s="19">
        <v>0</v>
      </c>
      <c r="BE802" s="21">
        <v>0</v>
      </c>
      <c r="BF802" s="21">
        <v>0</v>
      </c>
      <c r="BG802" s="19">
        <v>0</v>
      </c>
      <c r="BH802" s="19">
        <v>0</v>
      </c>
      <c r="BI802" s="22">
        <f t="shared" si="233"/>
        <v>3</v>
      </c>
      <c r="BJ802" s="22">
        <f t="shared" si="234"/>
        <v>0</v>
      </c>
      <c r="BK802" s="22">
        <f t="shared" si="235"/>
        <v>30</v>
      </c>
      <c r="BL802" s="22">
        <f t="shared" si="236"/>
        <v>22</v>
      </c>
      <c r="BM802" s="22">
        <f t="shared" si="232"/>
        <v>8</v>
      </c>
      <c r="BN802" s="23">
        <f t="shared" si="237"/>
        <v>0.86363636363636365</v>
      </c>
      <c r="BO802" s="23">
        <f t="shared" si="237"/>
        <v>1</v>
      </c>
      <c r="BP802" s="7">
        <f>VLOOKUP(A802,[1]Sheet15!B:E,4,0)</f>
        <v>1</v>
      </c>
      <c r="BQ802" s="7">
        <f>VLOOKUP(A802,[1]Sheet15!B:E,3,0)</f>
        <v>0</v>
      </c>
    </row>
    <row r="803" spans="1:69" ht="22.5" customHeight="1" x14ac:dyDescent="0.25">
      <c r="A803" s="15" t="s">
        <v>1912</v>
      </c>
      <c r="B803" s="15" t="e">
        <f>VLOOKUP(A803,'[1]Master clients'!F782:W4329,17,0)</f>
        <v>#N/A</v>
      </c>
      <c r="C803" s="15" t="e">
        <f>VLOOKUP(A803,'[1]Master clients'!F782:P4329,11,0)</f>
        <v>#N/A</v>
      </c>
      <c r="D803" s="15" t="str">
        <f>VLOOKUP(A803,'[1]Master clients'!F:M,8,0)</f>
        <v>Group (Mills)</v>
      </c>
      <c r="E803" s="16" t="s">
        <v>1913</v>
      </c>
      <c r="F803" s="16" t="s">
        <v>72</v>
      </c>
      <c r="G803" s="17">
        <v>1</v>
      </c>
      <c r="H803" s="17">
        <v>1</v>
      </c>
      <c r="I803" s="18">
        <v>6</v>
      </c>
      <c r="J803" s="17">
        <v>1</v>
      </c>
      <c r="K803" s="17">
        <v>0</v>
      </c>
      <c r="L803" s="17">
        <v>0</v>
      </c>
      <c r="M803" s="17">
        <v>0</v>
      </c>
      <c r="N803" s="17">
        <v>0</v>
      </c>
      <c r="O803" s="19">
        <v>0</v>
      </c>
      <c r="P803" s="19">
        <v>0</v>
      </c>
      <c r="Q803" s="19">
        <v>8</v>
      </c>
      <c r="R803" s="19">
        <v>0</v>
      </c>
      <c r="S803" s="19">
        <v>0</v>
      </c>
      <c r="T803" s="19">
        <v>0</v>
      </c>
      <c r="U803" s="19">
        <v>0</v>
      </c>
      <c r="V803" s="19">
        <v>0</v>
      </c>
      <c r="W803" s="20">
        <v>0</v>
      </c>
      <c r="X803" s="20">
        <v>0</v>
      </c>
      <c r="Y803" s="19">
        <v>0</v>
      </c>
      <c r="Z803" s="19">
        <v>0</v>
      </c>
      <c r="AA803" s="19">
        <v>0</v>
      </c>
      <c r="AB803" s="19">
        <v>0</v>
      </c>
      <c r="AC803" s="19">
        <v>0</v>
      </c>
      <c r="AD803" s="19">
        <v>0</v>
      </c>
      <c r="AE803" s="19">
        <v>1</v>
      </c>
      <c r="AF803" s="19">
        <v>0</v>
      </c>
      <c r="AG803" s="19">
        <v>0</v>
      </c>
      <c r="AH803" s="19">
        <v>0</v>
      </c>
      <c r="AI803" s="20">
        <v>0</v>
      </c>
      <c r="AJ803" s="20">
        <v>0</v>
      </c>
      <c r="AK803" s="19">
        <v>0</v>
      </c>
      <c r="AL803" s="20">
        <v>0</v>
      </c>
      <c r="AM803" s="19">
        <v>0</v>
      </c>
      <c r="AN803" s="19">
        <v>0</v>
      </c>
      <c r="AO803" s="19">
        <v>0</v>
      </c>
      <c r="AP803" s="19">
        <v>0</v>
      </c>
      <c r="AQ803" s="19">
        <v>0</v>
      </c>
      <c r="AR803" s="19">
        <v>0</v>
      </c>
      <c r="AS803" s="19">
        <v>0</v>
      </c>
      <c r="AT803" s="19">
        <v>0</v>
      </c>
      <c r="AU803" s="19">
        <v>0</v>
      </c>
      <c r="AV803" s="19">
        <v>0</v>
      </c>
      <c r="AW803" s="20">
        <v>0</v>
      </c>
      <c r="AX803" s="20">
        <v>0</v>
      </c>
      <c r="AY803" s="20">
        <v>0</v>
      </c>
      <c r="AZ803" s="19">
        <v>0</v>
      </c>
      <c r="BA803" s="19">
        <v>0</v>
      </c>
      <c r="BB803" s="19">
        <v>0</v>
      </c>
      <c r="BC803" s="19">
        <v>0</v>
      </c>
      <c r="BD803" s="19">
        <v>0</v>
      </c>
      <c r="BE803" s="21">
        <v>0</v>
      </c>
      <c r="BF803" s="21">
        <v>0</v>
      </c>
      <c r="BG803" s="19">
        <v>0</v>
      </c>
      <c r="BH803" s="19">
        <v>0</v>
      </c>
      <c r="BI803" s="22">
        <f t="shared" si="233"/>
        <v>1</v>
      </c>
      <c r="BJ803" s="22">
        <f t="shared" si="234"/>
        <v>8</v>
      </c>
      <c r="BK803" s="22">
        <f t="shared" si="235"/>
        <v>16</v>
      </c>
      <c r="BL803" s="22">
        <f t="shared" si="236"/>
        <v>7</v>
      </c>
      <c r="BM803" s="22">
        <f t="shared" si="232"/>
        <v>9</v>
      </c>
      <c r="BN803" s="23">
        <f t="shared" si="237"/>
        <v>0.8571428571428571</v>
      </c>
      <c r="BO803" s="23">
        <f t="shared" si="237"/>
        <v>0.1111111111111111</v>
      </c>
      <c r="BP803" s="7">
        <f>VLOOKUP(A803,[1]Sheet15!B:E,4,0)</f>
        <v>8</v>
      </c>
      <c r="BQ803" s="7">
        <f>VLOOKUP(A803,[1]Sheet15!B:E,3,0)</f>
        <v>0</v>
      </c>
    </row>
    <row r="804" spans="1:69" ht="22.5" customHeight="1" x14ac:dyDescent="0.25">
      <c r="A804" s="15" t="s">
        <v>1914</v>
      </c>
      <c r="B804" s="15" t="e">
        <f>VLOOKUP(A804,'[1]Master clients'!F783:W4330,17,0)</f>
        <v>#N/A</v>
      </c>
      <c r="C804" s="15" t="e">
        <f>VLOOKUP(A804,'[1]Master clients'!F783:P4330,11,0)</f>
        <v>#N/A</v>
      </c>
      <c r="D804" s="15" t="str">
        <f>VLOOKUP(A804,'[1]Master clients'!F:M,8,0)</f>
        <v>End User</v>
      </c>
      <c r="E804" s="16" t="s">
        <v>1915</v>
      </c>
      <c r="F804" s="16" t="s">
        <v>72</v>
      </c>
      <c r="G804" s="17"/>
      <c r="H804" s="17"/>
      <c r="I804" s="26">
        <v>9</v>
      </c>
      <c r="J804" s="31">
        <v>0</v>
      </c>
      <c r="K804" s="17">
        <v>0</v>
      </c>
      <c r="L804" s="17">
        <v>0</v>
      </c>
      <c r="M804" s="17">
        <v>0</v>
      </c>
      <c r="N804" s="17">
        <v>0</v>
      </c>
      <c r="O804" s="17">
        <v>0</v>
      </c>
      <c r="P804" s="17">
        <v>0</v>
      </c>
      <c r="Q804" s="17">
        <v>0</v>
      </c>
      <c r="R804" s="17">
        <v>0</v>
      </c>
      <c r="S804" s="17">
        <v>0</v>
      </c>
      <c r="T804" s="17">
        <v>0</v>
      </c>
      <c r="U804" s="17">
        <v>0</v>
      </c>
      <c r="V804" s="17">
        <v>0</v>
      </c>
      <c r="W804" s="17">
        <v>0</v>
      </c>
      <c r="X804" s="17">
        <v>0</v>
      </c>
      <c r="Y804" s="17">
        <v>0</v>
      </c>
      <c r="Z804" s="17">
        <v>0</v>
      </c>
      <c r="AA804" s="17">
        <v>0</v>
      </c>
      <c r="AB804" s="17">
        <v>0</v>
      </c>
      <c r="AC804" s="17">
        <v>0</v>
      </c>
      <c r="AD804" s="17">
        <v>0</v>
      </c>
      <c r="AE804" s="17">
        <v>0</v>
      </c>
      <c r="AF804" s="17">
        <v>0</v>
      </c>
      <c r="AG804" s="17">
        <v>0</v>
      </c>
      <c r="AH804" s="17">
        <v>0</v>
      </c>
      <c r="AI804" s="17">
        <v>0</v>
      </c>
      <c r="AJ804" s="17">
        <v>0</v>
      </c>
      <c r="AK804" s="17">
        <v>0</v>
      </c>
      <c r="AL804" s="17">
        <v>0</v>
      </c>
      <c r="AM804" s="17">
        <v>0</v>
      </c>
      <c r="AN804" s="17">
        <v>0</v>
      </c>
      <c r="AO804" s="17">
        <v>0</v>
      </c>
      <c r="AP804" s="17">
        <v>0</v>
      </c>
      <c r="AQ804" s="17">
        <v>0</v>
      </c>
      <c r="AR804" s="17">
        <v>0</v>
      </c>
      <c r="AS804" s="17">
        <v>0</v>
      </c>
      <c r="AT804" s="17">
        <v>0</v>
      </c>
      <c r="AU804" s="17">
        <v>0</v>
      </c>
      <c r="AV804" s="17">
        <v>0</v>
      </c>
      <c r="AW804" s="17">
        <v>0</v>
      </c>
      <c r="AX804" s="17">
        <v>0</v>
      </c>
      <c r="AY804" s="17">
        <v>0</v>
      </c>
      <c r="AZ804" s="17">
        <v>0</v>
      </c>
      <c r="BA804" s="17">
        <v>0</v>
      </c>
      <c r="BB804" s="17">
        <v>0</v>
      </c>
      <c r="BC804" s="17">
        <v>0</v>
      </c>
      <c r="BD804" s="17">
        <v>0</v>
      </c>
      <c r="BE804" s="17">
        <v>0</v>
      </c>
      <c r="BF804" s="17">
        <v>0</v>
      </c>
      <c r="BG804" s="17">
        <v>0</v>
      </c>
      <c r="BH804" s="17">
        <v>0</v>
      </c>
      <c r="BI804" s="22">
        <f t="shared" ref="BI804:BI805" si="238">SUM(M804+N804+P804+R804+T804+W804+Z804+AC804+AE804+AL804+AO804+AP804+AS804+AW804+AX804+BC804+BE804+BG804)</f>
        <v>0</v>
      </c>
      <c r="BJ804" s="22">
        <f t="shared" ref="BJ804:BJ805" si="239">SUM(H804:BG804)</f>
        <v>9</v>
      </c>
      <c r="BK804" s="22">
        <f t="shared" ref="BK804:BK805" si="240">SUM(H804+J804+K804+L804+O804+Q804+S804+U804+V804+X804+Y804+AA804+AB804+AD804+AF804+AG804+AH804+AI804+AJ804+AK804+AM804+AN804+AQ804+AR804+AT804+AU804+AV804+AY804+AZ804+BA804+BB804+BF804+BD804)</f>
        <v>0</v>
      </c>
      <c r="BL804" s="22">
        <f t="shared" ref="BL804:BM814" si="241">SUM(I804+M804+N804+P804+R804+T804+W804+Z804+AC804+AE804+AL804+AO804+AP804+AS804+AW804+AX804+BC804+BG804)</f>
        <v>9</v>
      </c>
      <c r="BM804" s="22">
        <f t="shared" si="241"/>
        <v>0</v>
      </c>
      <c r="BN804" s="23">
        <f t="shared" si="237"/>
        <v>1</v>
      </c>
      <c r="BO804" s="23" t="e">
        <f t="shared" si="237"/>
        <v>#DIV/0!</v>
      </c>
      <c r="BP804" s="7">
        <f>VLOOKUP(A804,[1]Sheet15!B:E,4,0)</f>
        <v>9</v>
      </c>
      <c r="BQ804" s="7">
        <f>VLOOKUP(A804,[1]Sheet15!B:E,3,0)</f>
        <v>0</v>
      </c>
    </row>
    <row r="805" spans="1:69" ht="22.5" customHeight="1" x14ac:dyDescent="0.25">
      <c r="A805" s="15" t="s">
        <v>1916</v>
      </c>
      <c r="B805" s="15" t="e">
        <f>VLOOKUP(A805,'[1]Master clients'!F784:W4331,17,0)</f>
        <v>#N/A</v>
      </c>
      <c r="C805" s="15" t="e">
        <f>VLOOKUP(A805,'[1]Master clients'!F784:P4331,11,0)</f>
        <v>#N/A</v>
      </c>
      <c r="D805" s="15" t="str">
        <f>VLOOKUP(A805,'[1]Master clients'!F:M,8,0)</f>
        <v>End User</v>
      </c>
      <c r="E805" s="16" t="s">
        <v>1917</v>
      </c>
      <c r="F805" s="16" t="s">
        <v>72</v>
      </c>
      <c r="G805" s="17"/>
      <c r="H805" s="17"/>
      <c r="I805" s="26">
        <v>3</v>
      </c>
      <c r="J805" s="31">
        <v>0</v>
      </c>
      <c r="K805" s="17">
        <v>0</v>
      </c>
      <c r="L805" s="17">
        <v>0</v>
      </c>
      <c r="M805" s="17">
        <v>0</v>
      </c>
      <c r="N805" s="17">
        <v>0</v>
      </c>
      <c r="O805" s="17">
        <v>0</v>
      </c>
      <c r="P805" s="17">
        <v>0</v>
      </c>
      <c r="Q805" s="17">
        <v>0</v>
      </c>
      <c r="R805" s="17">
        <v>0</v>
      </c>
      <c r="S805" s="17">
        <v>0</v>
      </c>
      <c r="T805" s="17">
        <v>0</v>
      </c>
      <c r="U805" s="17">
        <v>0</v>
      </c>
      <c r="V805" s="17">
        <v>0</v>
      </c>
      <c r="W805" s="17">
        <v>0</v>
      </c>
      <c r="X805" s="17">
        <v>0</v>
      </c>
      <c r="Y805" s="17">
        <v>0</v>
      </c>
      <c r="Z805" s="17">
        <v>0</v>
      </c>
      <c r="AA805" s="17">
        <v>0</v>
      </c>
      <c r="AB805" s="17">
        <v>0</v>
      </c>
      <c r="AC805" s="17">
        <v>0</v>
      </c>
      <c r="AD805" s="17">
        <v>0</v>
      </c>
      <c r="AE805" s="17">
        <v>0</v>
      </c>
      <c r="AF805" s="17">
        <v>0</v>
      </c>
      <c r="AG805" s="17">
        <v>0</v>
      </c>
      <c r="AH805" s="17">
        <v>0</v>
      </c>
      <c r="AI805" s="17">
        <v>0</v>
      </c>
      <c r="AJ805" s="17">
        <v>0</v>
      </c>
      <c r="AK805" s="17">
        <v>0</v>
      </c>
      <c r="AL805" s="17">
        <v>0</v>
      </c>
      <c r="AM805" s="17">
        <v>0</v>
      </c>
      <c r="AN805" s="17">
        <v>0</v>
      </c>
      <c r="AO805" s="17">
        <v>0</v>
      </c>
      <c r="AP805" s="17">
        <v>0</v>
      </c>
      <c r="AQ805" s="17">
        <v>0</v>
      </c>
      <c r="AR805" s="17">
        <v>0</v>
      </c>
      <c r="AS805" s="17">
        <v>0</v>
      </c>
      <c r="AT805" s="17">
        <v>0</v>
      </c>
      <c r="AU805" s="17">
        <v>0</v>
      </c>
      <c r="AV805" s="17">
        <v>0</v>
      </c>
      <c r="AW805" s="17">
        <v>0</v>
      </c>
      <c r="AX805" s="17">
        <v>0</v>
      </c>
      <c r="AY805" s="17">
        <v>0</v>
      </c>
      <c r="AZ805" s="17">
        <v>0</v>
      </c>
      <c r="BA805" s="17">
        <v>0</v>
      </c>
      <c r="BB805" s="17">
        <v>0</v>
      </c>
      <c r="BC805" s="17">
        <v>0</v>
      </c>
      <c r="BD805" s="17">
        <v>0</v>
      </c>
      <c r="BE805" s="17">
        <v>0</v>
      </c>
      <c r="BF805" s="17">
        <v>0</v>
      </c>
      <c r="BG805" s="17">
        <v>0</v>
      </c>
      <c r="BH805" s="17">
        <v>0</v>
      </c>
      <c r="BI805" s="22">
        <f t="shared" si="238"/>
        <v>0</v>
      </c>
      <c r="BJ805" s="22">
        <f t="shared" si="239"/>
        <v>3</v>
      </c>
      <c r="BK805" s="22">
        <f t="shared" si="240"/>
        <v>0</v>
      </c>
      <c r="BL805" s="22">
        <f t="shared" si="241"/>
        <v>3</v>
      </c>
      <c r="BM805" s="22">
        <f t="shared" si="241"/>
        <v>0</v>
      </c>
      <c r="BN805" s="23">
        <f t="shared" si="237"/>
        <v>1</v>
      </c>
      <c r="BO805" s="23" t="e">
        <f t="shared" si="237"/>
        <v>#DIV/0!</v>
      </c>
      <c r="BP805" s="7">
        <f>VLOOKUP(A805,[1]Sheet15!B:E,4,0)</f>
        <v>3</v>
      </c>
      <c r="BQ805" s="7">
        <f>VLOOKUP(A805,[1]Sheet15!B:E,3,0)</f>
        <v>0</v>
      </c>
    </row>
    <row r="806" spans="1:69" ht="22.5" customHeight="1" x14ac:dyDescent="0.25">
      <c r="A806" s="15" t="s">
        <v>1918</v>
      </c>
      <c r="B806" s="15" t="e">
        <f>VLOOKUP(A806,'[1]Master clients'!F785:W4332,17,0)</f>
        <v>#N/A</v>
      </c>
      <c r="C806" s="15" t="e">
        <f>VLOOKUP(A806,'[1]Master clients'!F785:P4332,11,0)</f>
        <v>#N/A</v>
      </c>
      <c r="D806" s="15" t="str">
        <f>VLOOKUP(A806,'[1]Master clients'!F:M,8,0)</f>
        <v>End User</v>
      </c>
      <c r="E806" s="16" t="s">
        <v>1919</v>
      </c>
      <c r="F806" s="16" t="s">
        <v>1920</v>
      </c>
      <c r="G806" s="17">
        <v>10</v>
      </c>
      <c r="H806" s="17">
        <v>9</v>
      </c>
      <c r="I806" s="18">
        <v>10</v>
      </c>
      <c r="J806" s="18">
        <v>9</v>
      </c>
      <c r="K806" s="17">
        <v>0</v>
      </c>
      <c r="L806" s="17">
        <v>0</v>
      </c>
      <c r="M806" s="17">
        <v>0</v>
      </c>
      <c r="N806" s="17">
        <v>0</v>
      </c>
      <c r="O806" s="19">
        <v>0</v>
      </c>
      <c r="P806" s="19">
        <v>0</v>
      </c>
      <c r="Q806" s="19">
        <v>0</v>
      </c>
      <c r="R806" s="19">
        <v>0</v>
      </c>
      <c r="S806" s="19">
        <v>0</v>
      </c>
      <c r="T806" s="19">
        <v>0</v>
      </c>
      <c r="U806" s="19">
        <v>0</v>
      </c>
      <c r="V806" s="19">
        <v>0</v>
      </c>
      <c r="W806" s="20">
        <v>0</v>
      </c>
      <c r="X806" s="20">
        <v>0</v>
      </c>
      <c r="Y806" s="19">
        <v>0</v>
      </c>
      <c r="Z806" s="19">
        <v>0</v>
      </c>
      <c r="AA806" s="19">
        <v>0</v>
      </c>
      <c r="AB806" s="19">
        <v>0</v>
      </c>
      <c r="AC806" s="19">
        <v>0</v>
      </c>
      <c r="AD806" s="19">
        <v>0</v>
      </c>
      <c r="AE806" s="19">
        <v>0</v>
      </c>
      <c r="AF806" s="19">
        <v>0</v>
      </c>
      <c r="AG806" s="19">
        <v>0</v>
      </c>
      <c r="AH806" s="19">
        <v>0</v>
      </c>
      <c r="AI806" s="20">
        <v>0</v>
      </c>
      <c r="AJ806" s="20">
        <v>0</v>
      </c>
      <c r="AK806" s="19">
        <v>0</v>
      </c>
      <c r="AL806" s="20">
        <v>0</v>
      </c>
      <c r="AM806" s="19">
        <v>0</v>
      </c>
      <c r="AN806" s="19">
        <v>0</v>
      </c>
      <c r="AO806" s="19">
        <v>0</v>
      </c>
      <c r="AP806" s="19">
        <v>0</v>
      </c>
      <c r="AQ806" s="19">
        <v>0</v>
      </c>
      <c r="AR806" s="19">
        <v>0</v>
      </c>
      <c r="AS806" s="19">
        <v>0</v>
      </c>
      <c r="AT806" s="19">
        <v>0</v>
      </c>
      <c r="AU806" s="19">
        <v>0</v>
      </c>
      <c r="AV806" s="19">
        <v>0</v>
      </c>
      <c r="AW806" s="20">
        <v>0</v>
      </c>
      <c r="AX806" s="20">
        <v>0</v>
      </c>
      <c r="AY806" s="20">
        <v>0</v>
      </c>
      <c r="AZ806" s="19">
        <v>0</v>
      </c>
      <c r="BA806" s="19">
        <v>0</v>
      </c>
      <c r="BB806" s="19">
        <v>0</v>
      </c>
      <c r="BC806" s="19">
        <v>0</v>
      </c>
      <c r="BD806" s="19">
        <v>0</v>
      </c>
      <c r="BE806" s="21">
        <v>0</v>
      </c>
      <c r="BF806" s="21">
        <v>0</v>
      </c>
      <c r="BG806" s="19">
        <v>0</v>
      </c>
      <c r="BH806" s="19">
        <v>0</v>
      </c>
      <c r="BI806" s="22">
        <f t="shared" ref="BI806:BI814" si="242">SUM(K806+L806+M806+P806+R806+T806+V806+W806+Y806+Z806+AB806+AC806+AE806+AG806+AH806+AI806+AJ806+AK806+AL806+AN806+AO806+AR806+AS806+AU806+AV806+AW806+AZ806+BA806+BB806+BC806+BE806+BG806)</f>
        <v>0</v>
      </c>
      <c r="BJ806" s="22">
        <f t="shared" ref="BJ806:BJ814" si="243">SUM(N806+O806+Q806+S806+U806+X806+AA806+AD806+AF806+AM806+AP806+AQ806+AT806+AX806+AY806+BD806+BF806+BH806)</f>
        <v>0</v>
      </c>
      <c r="BK806" s="22">
        <f t="shared" ref="BK806:BK814" si="244">SUM(I806:BH806)</f>
        <v>19</v>
      </c>
      <c r="BL806" s="22">
        <f t="shared" ref="BL806:BL814" si="245">SUM(I806+K806+L806+M806+P806+R806+T806+V806+W806+Y806+Z806+AB806+AC806+AE806+AG806+AH806+AI806+AJ806+AK806+AL806+AN806+AO806+AR806+AS806+AU806+AV806+AW806+AZ806+BA806+BB806+BC806+BG806+BE806)</f>
        <v>10</v>
      </c>
      <c r="BM806" s="22">
        <f t="shared" si="241"/>
        <v>9</v>
      </c>
      <c r="BN806" s="23">
        <f t="shared" si="237"/>
        <v>1</v>
      </c>
      <c r="BO806" s="23">
        <f t="shared" si="237"/>
        <v>1</v>
      </c>
      <c r="BP806" s="7">
        <f>VLOOKUP(A806,[1]Sheet15!B:E,4,0)</f>
        <v>1</v>
      </c>
      <c r="BQ806" s="7">
        <f>VLOOKUP(A806,[1]Sheet15!B:E,3,0)</f>
        <v>2</v>
      </c>
    </row>
    <row r="807" spans="1:69" ht="22.5" customHeight="1" x14ac:dyDescent="0.25">
      <c r="A807" s="15" t="s">
        <v>1921</v>
      </c>
      <c r="B807" s="15">
        <f>VLOOKUP(A807,'[1]Master clients'!F786:W4333,17,0)</f>
        <v>0</v>
      </c>
      <c r="C807" s="15" t="str">
        <f>VLOOKUP(A807,'[1]Master clients'!F786:P4333,11,0)</f>
        <v>MRK</v>
      </c>
      <c r="D807" s="15">
        <f>VLOOKUP(A807,'[1]Master clients'!F:M,8,0)</f>
        <v>0</v>
      </c>
      <c r="E807" s="16" t="s">
        <v>1922</v>
      </c>
      <c r="F807" s="29" t="s">
        <v>72</v>
      </c>
      <c r="G807" s="17"/>
      <c r="H807" s="17"/>
      <c r="I807" s="18">
        <v>2</v>
      </c>
      <c r="J807" s="18">
        <v>0</v>
      </c>
      <c r="K807" s="17">
        <v>0</v>
      </c>
      <c r="L807" s="17">
        <v>6</v>
      </c>
      <c r="M807" s="17">
        <v>0</v>
      </c>
      <c r="N807" s="17">
        <v>4</v>
      </c>
      <c r="O807" s="19">
        <v>0</v>
      </c>
      <c r="P807" s="19">
        <v>0</v>
      </c>
      <c r="Q807" s="19">
        <v>4</v>
      </c>
      <c r="R807" s="19">
        <v>0</v>
      </c>
      <c r="S807" s="19">
        <v>0</v>
      </c>
      <c r="T807" s="19">
        <v>0</v>
      </c>
      <c r="U807" s="19">
        <v>0</v>
      </c>
      <c r="V807" s="19">
        <v>0</v>
      </c>
      <c r="W807" s="20">
        <v>0</v>
      </c>
      <c r="X807" s="20">
        <v>0</v>
      </c>
      <c r="Y807" s="19">
        <v>0</v>
      </c>
      <c r="Z807" s="19">
        <v>0</v>
      </c>
      <c r="AA807" s="19">
        <v>0</v>
      </c>
      <c r="AB807" s="19">
        <v>0</v>
      </c>
      <c r="AC807" s="19">
        <v>0</v>
      </c>
      <c r="AD807" s="19">
        <v>0</v>
      </c>
      <c r="AE807" s="19">
        <v>0</v>
      </c>
      <c r="AF807" s="19">
        <v>0</v>
      </c>
      <c r="AG807" s="19">
        <v>0</v>
      </c>
      <c r="AH807" s="19">
        <v>0</v>
      </c>
      <c r="AI807" s="20">
        <v>0</v>
      </c>
      <c r="AJ807" s="20">
        <v>0</v>
      </c>
      <c r="AK807" s="19">
        <v>0</v>
      </c>
      <c r="AL807" s="20">
        <v>0</v>
      </c>
      <c r="AM807" s="19">
        <v>0</v>
      </c>
      <c r="AN807" s="19">
        <v>0</v>
      </c>
      <c r="AO807" s="19">
        <v>0</v>
      </c>
      <c r="AP807" s="19">
        <v>0</v>
      </c>
      <c r="AQ807" s="19">
        <v>0</v>
      </c>
      <c r="AR807" s="19">
        <v>0</v>
      </c>
      <c r="AS807" s="19">
        <v>0</v>
      </c>
      <c r="AT807" s="19">
        <v>0</v>
      </c>
      <c r="AU807" s="19">
        <v>0</v>
      </c>
      <c r="AV807" s="19">
        <v>0</v>
      </c>
      <c r="AW807" s="20">
        <v>0</v>
      </c>
      <c r="AX807" s="20">
        <v>0</v>
      </c>
      <c r="AY807" s="20">
        <v>0</v>
      </c>
      <c r="AZ807" s="19">
        <v>0</v>
      </c>
      <c r="BA807" s="19">
        <v>0</v>
      </c>
      <c r="BB807" s="19">
        <v>0</v>
      </c>
      <c r="BC807" s="19">
        <v>0</v>
      </c>
      <c r="BD807" s="19">
        <v>0</v>
      </c>
      <c r="BE807" s="21">
        <v>0</v>
      </c>
      <c r="BF807" s="21">
        <v>0</v>
      </c>
      <c r="BG807" s="19">
        <v>0</v>
      </c>
      <c r="BH807" s="19">
        <v>0</v>
      </c>
      <c r="BI807" s="22">
        <f t="shared" si="242"/>
        <v>6</v>
      </c>
      <c r="BJ807" s="22">
        <f t="shared" si="243"/>
        <v>8</v>
      </c>
      <c r="BK807" s="22">
        <f t="shared" si="244"/>
        <v>16</v>
      </c>
      <c r="BL807" s="22">
        <f t="shared" si="245"/>
        <v>8</v>
      </c>
      <c r="BM807" s="22">
        <f t="shared" si="241"/>
        <v>8</v>
      </c>
      <c r="BN807" s="23">
        <f t="shared" si="237"/>
        <v>0.25</v>
      </c>
      <c r="BO807" s="23">
        <f t="shared" si="237"/>
        <v>0</v>
      </c>
      <c r="BP807" s="7" t="e">
        <f>VLOOKUP(A807,[1]Sheet15!B:E,4,0)</f>
        <v>#N/A</v>
      </c>
      <c r="BQ807" s="7" t="e">
        <f>VLOOKUP(A807,[1]Sheet15!B:E,3,0)</f>
        <v>#N/A</v>
      </c>
    </row>
    <row r="808" spans="1:69" ht="22.5" customHeight="1" x14ac:dyDescent="0.25">
      <c r="A808" s="15" t="s">
        <v>1923</v>
      </c>
      <c r="B808" s="15" t="e">
        <f>VLOOKUP(A808,'[1]Master clients'!F787:W4334,17,0)</f>
        <v>#N/A</v>
      </c>
      <c r="C808" s="15" t="e">
        <f>VLOOKUP(A808,'[1]Master clients'!F787:P4334,11,0)</f>
        <v>#N/A</v>
      </c>
      <c r="D808" s="15" t="str">
        <f>VLOOKUP(A808,'[1]Master clients'!F:M,8,0)</f>
        <v>End User</v>
      </c>
      <c r="E808" s="16" t="s">
        <v>1924</v>
      </c>
      <c r="F808" s="16" t="s">
        <v>72</v>
      </c>
      <c r="G808" s="17">
        <v>23</v>
      </c>
      <c r="H808" s="17">
        <v>9</v>
      </c>
      <c r="I808" s="18">
        <v>13</v>
      </c>
      <c r="J808" s="18">
        <v>6</v>
      </c>
      <c r="K808" s="17">
        <v>0</v>
      </c>
      <c r="L808" s="17">
        <v>0</v>
      </c>
      <c r="M808" s="17">
        <v>0</v>
      </c>
      <c r="N808" s="17">
        <v>0</v>
      </c>
      <c r="O808" s="19">
        <v>0</v>
      </c>
      <c r="P808" s="19">
        <v>0</v>
      </c>
      <c r="Q808" s="19">
        <v>0</v>
      </c>
      <c r="R808" s="19">
        <v>0</v>
      </c>
      <c r="S808" s="19">
        <v>0</v>
      </c>
      <c r="T808" s="19">
        <v>0</v>
      </c>
      <c r="U808" s="19">
        <v>0</v>
      </c>
      <c r="V808" s="19">
        <v>0</v>
      </c>
      <c r="W808" s="20">
        <v>0</v>
      </c>
      <c r="X808" s="20">
        <v>0</v>
      </c>
      <c r="Y808" s="19">
        <v>0</v>
      </c>
      <c r="Z808" s="19">
        <v>0</v>
      </c>
      <c r="AA808" s="19">
        <v>0</v>
      </c>
      <c r="AB808" s="19">
        <v>0</v>
      </c>
      <c r="AC808" s="19">
        <v>0</v>
      </c>
      <c r="AD808" s="19">
        <v>0</v>
      </c>
      <c r="AE808" s="19">
        <v>0</v>
      </c>
      <c r="AF808" s="19">
        <v>0</v>
      </c>
      <c r="AG808" s="19">
        <v>0</v>
      </c>
      <c r="AH808" s="19">
        <v>0</v>
      </c>
      <c r="AI808" s="20">
        <v>0</v>
      </c>
      <c r="AJ808" s="20">
        <v>0</v>
      </c>
      <c r="AK808" s="19">
        <v>0</v>
      </c>
      <c r="AL808" s="20">
        <v>0</v>
      </c>
      <c r="AM808" s="19">
        <v>0</v>
      </c>
      <c r="AN808" s="19">
        <v>0</v>
      </c>
      <c r="AO808" s="19">
        <v>0</v>
      </c>
      <c r="AP808" s="19">
        <v>0</v>
      </c>
      <c r="AQ808" s="19">
        <v>0</v>
      </c>
      <c r="AR808" s="19">
        <v>0</v>
      </c>
      <c r="AS808" s="19">
        <v>0</v>
      </c>
      <c r="AT808" s="19">
        <v>0</v>
      </c>
      <c r="AU808" s="19">
        <v>0</v>
      </c>
      <c r="AV808" s="19">
        <v>0</v>
      </c>
      <c r="AW808" s="20">
        <v>0</v>
      </c>
      <c r="AX808" s="20">
        <v>0</v>
      </c>
      <c r="AY808" s="20">
        <v>0</v>
      </c>
      <c r="AZ808" s="19">
        <v>0</v>
      </c>
      <c r="BA808" s="19">
        <v>0</v>
      </c>
      <c r="BB808" s="19">
        <v>0</v>
      </c>
      <c r="BC808" s="19">
        <v>0</v>
      </c>
      <c r="BD808" s="19">
        <v>0</v>
      </c>
      <c r="BE808" s="21">
        <v>0</v>
      </c>
      <c r="BF808" s="21">
        <v>0</v>
      </c>
      <c r="BG808" s="19">
        <v>0</v>
      </c>
      <c r="BH808" s="19">
        <v>0</v>
      </c>
      <c r="BI808" s="22">
        <f t="shared" si="242"/>
        <v>0</v>
      </c>
      <c r="BJ808" s="22">
        <f t="shared" si="243"/>
        <v>0</v>
      </c>
      <c r="BK808" s="22">
        <f t="shared" si="244"/>
        <v>19</v>
      </c>
      <c r="BL808" s="22">
        <f t="shared" si="245"/>
        <v>13</v>
      </c>
      <c r="BM808" s="22">
        <f t="shared" si="241"/>
        <v>6</v>
      </c>
      <c r="BN808" s="23">
        <f t="shared" si="237"/>
        <v>1</v>
      </c>
      <c r="BO808" s="23">
        <f t="shared" si="237"/>
        <v>1</v>
      </c>
      <c r="BP808" s="7">
        <f>VLOOKUP(A808,[1]Sheet15!B:E,4,0)</f>
        <v>9</v>
      </c>
      <c r="BQ808" s="7">
        <f>VLOOKUP(A808,[1]Sheet15!B:E,3,0)</f>
        <v>0</v>
      </c>
    </row>
    <row r="809" spans="1:69" ht="22.5" customHeight="1" x14ac:dyDescent="0.25">
      <c r="A809" s="15" t="s">
        <v>1925</v>
      </c>
      <c r="B809" s="15" t="e">
        <f>VLOOKUP(A809,'[1]Master clients'!F788:W4335,17,0)</f>
        <v>#N/A</v>
      </c>
      <c r="C809" s="15" t="e">
        <f>VLOOKUP(A809,'[1]Master clients'!F788:P4335,11,0)</f>
        <v>#N/A</v>
      </c>
      <c r="D809" s="15" t="str">
        <f>VLOOKUP(A809,'[1]Master clients'!F:M,8,0)</f>
        <v>End User</v>
      </c>
      <c r="E809" s="16" t="s">
        <v>1926</v>
      </c>
      <c r="F809" s="16" t="s">
        <v>1927</v>
      </c>
      <c r="G809" s="17">
        <v>45</v>
      </c>
      <c r="H809" s="17">
        <v>0</v>
      </c>
      <c r="I809" s="18">
        <v>45</v>
      </c>
      <c r="J809" s="18">
        <v>0</v>
      </c>
      <c r="K809" s="17">
        <v>0</v>
      </c>
      <c r="L809" s="17">
        <v>0</v>
      </c>
      <c r="M809" s="17">
        <v>0</v>
      </c>
      <c r="N809" s="17">
        <v>0</v>
      </c>
      <c r="O809" s="19">
        <v>0</v>
      </c>
      <c r="P809" s="19">
        <v>0</v>
      </c>
      <c r="Q809" s="19">
        <v>1</v>
      </c>
      <c r="R809" s="19">
        <v>0</v>
      </c>
      <c r="S809" s="19">
        <v>0</v>
      </c>
      <c r="T809" s="19">
        <v>0</v>
      </c>
      <c r="U809" s="19">
        <v>0</v>
      </c>
      <c r="V809" s="19">
        <v>0</v>
      </c>
      <c r="W809" s="20">
        <v>0</v>
      </c>
      <c r="X809" s="20">
        <v>0</v>
      </c>
      <c r="Y809" s="19">
        <v>0</v>
      </c>
      <c r="Z809" s="19">
        <v>0</v>
      </c>
      <c r="AA809" s="19">
        <v>5</v>
      </c>
      <c r="AB809" s="19">
        <v>0</v>
      </c>
      <c r="AC809" s="19">
        <v>0</v>
      </c>
      <c r="AD809" s="19">
        <v>0</v>
      </c>
      <c r="AE809" s="19">
        <v>0</v>
      </c>
      <c r="AF809" s="19">
        <v>0</v>
      </c>
      <c r="AG809" s="19">
        <v>0</v>
      </c>
      <c r="AH809" s="19">
        <v>0</v>
      </c>
      <c r="AI809" s="20">
        <v>0</v>
      </c>
      <c r="AJ809" s="20">
        <v>0</v>
      </c>
      <c r="AK809" s="19">
        <v>0</v>
      </c>
      <c r="AL809" s="20">
        <v>0</v>
      </c>
      <c r="AM809" s="19">
        <v>0</v>
      </c>
      <c r="AN809" s="19">
        <v>0</v>
      </c>
      <c r="AO809" s="19">
        <v>0</v>
      </c>
      <c r="AP809" s="19">
        <v>0</v>
      </c>
      <c r="AQ809" s="19">
        <v>0</v>
      </c>
      <c r="AR809" s="19">
        <v>0</v>
      </c>
      <c r="AS809" s="19">
        <v>0</v>
      </c>
      <c r="AT809" s="19">
        <v>0</v>
      </c>
      <c r="AU809" s="19">
        <v>0</v>
      </c>
      <c r="AV809" s="19">
        <v>6</v>
      </c>
      <c r="AW809" s="20">
        <v>0</v>
      </c>
      <c r="AX809" s="20">
        <v>0</v>
      </c>
      <c r="AY809" s="20">
        <v>0</v>
      </c>
      <c r="AZ809" s="19">
        <v>0</v>
      </c>
      <c r="BA809" s="19">
        <v>0</v>
      </c>
      <c r="BB809" s="19">
        <v>0</v>
      </c>
      <c r="BC809" s="19">
        <v>0</v>
      </c>
      <c r="BD809" s="19">
        <v>0</v>
      </c>
      <c r="BE809" s="21">
        <v>0</v>
      </c>
      <c r="BF809" s="21">
        <v>0</v>
      </c>
      <c r="BG809" s="19">
        <v>0</v>
      </c>
      <c r="BH809" s="19">
        <v>0</v>
      </c>
      <c r="BI809" s="22">
        <f t="shared" si="242"/>
        <v>6</v>
      </c>
      <c r="BJ809" s="22">
        <f t="shared" si="243"/>
        <v>6</v>
      </c>
      <c r="BK809" s="22">
        <f t="shared" si="244"/>
        <v>57</v>
      </c>
      <c r="BL809" s="22">
        <f t="shared" si="245"/>
        <v>51</v>
      </c>
      <c r="BM809" s="22">
        <f t="shared" si="241"/>
        <v>6</v>
      </c>
      <c r="BN809" s="23">
        <f t="shared" si="237"/>
        <v>0.88235294117647056</v>
      </c>
      <c r="BO809" s="23">
        <f t="shared" si="237"/>
        <v>0</v>
      </c>
      <c r="BP809" s="7">
        <f>VLOOKUP(A809,[1]Sheet15!B:E,4,0)</f>
        <v>13</v>
      </c>
      <c r="BQ809" s="7">
        <f>VLOOKUP(A809,[1]Sheet15!B:E,3,0)</f>
        <v>0</v>
      </c>
    </row>
    <row r="810" spans="1:69" ht="22.5" customHeight="1" x14ac:dyDescent="0.25">
      <c r="A810" s="15" t="s">
        <v>1928</v>
      </c>
      <c r="B810" s="15" t="e">
        <f>VLOOKUP(A810,'[1]Master clients'!F789:W4336,17,0)</f>
        <v>#N/A</v>
      </c>
      <c r="C810" s="15" t="e">
        <f>VLOOKUP(A810,'[1]Master clients'!F789:P4336,11,0)</f>
        <v>#N/A</v>
      </c>
      <c r="D810" s="15" t="str">
        <f>VLOOKUP(A810,'[1]Master clients'!F:M,8,0)</f>
        <v>End User</v>
      </c>
      <c r="E810" s="16" t="s">
        <v>1929</v>
      </c>
      <c r="F810" s="16" t="s">
        <v>72</v>
      </c>
      <c r="G810" s="17">
        <v>16</v>
      </c>
      <c r="H810" s="17">
        <v>0</v>
      </c>
      <c r="I810" s="18">
        <v>18</v>
      </c>
      <c r="J810" s="18">
        <v>0</v>
      </c>
      <c r="K810" s="17">
        <v>4</v>
      </c>
      <c r="L810" s="17">
        <v>0</v>
      </c>
      <c r="M810" s="17">
        <v>0</v>
      </c>
      <c r="N810" s="17">
        <v>0</v>
      </c>
      <c r="O810" s="19">
        <v>0</v>
      </c>
      <c r="P810" s="19">
        <v>8</v>
      </c>
      <c r="Q810" s="19">
        <v>6</v>
      </c>
      <c r="R810" s="19">
        <v>0</v>
      </c>
      <c r="S810" s="19">
        <v>0</v>
      </c>
      <c r="T810" s="19">
        <v>0</v>
      </c>
      <c r="U810" s="19">
        <v>0</v>
      </c>
      <c r="V810" s="19">
        <v>0</v>
      </c>
      <c r="W810" s="20">
        <v>0</v>
      </c>
      <c r="X810" s="20">
        <v>0</v>
      </c>
      <c r="Y810" s="19">
        <v>0</v>
      </c>
      <c r="Z810" s="19">
        <v>0</v>
      </c>
      <c r="AA810" s="19">
        <v>7</v>
      </c>
      <c r="AB810" s="19">
        <v>0</v>
      </c>
      <c r="AC810" s="19">
        <v>0</v>
      </c>
      <c r="AD810" s="19">
        <v>0</v>
      </c>
      <c r="AE810" s="19">
        <v>0</v>
      </c>
      <c r="AF810" s="19">
        <v>0</v>
      </c>
      <c r="AG810" s="19">
        <v>0</v>
      </c>
      <c r="AH810" s="19">
        <v>0</v>
      </c>
      <c r="AI810" s="20">
        <v>0</v>
      </c>
      <c r="AJ810" s="20">
        <v>0</v>
      </c>
      <c r="AK810" s="19">
        <v>0</v>
      </c>
      <c r="AL810" s="20">
        <v>0</v>
      </c>
      <c r="AM810" s="19">
        <v>0</v>
      </c>
      <c r="AN810" s="19">
        <v>0</v>
      </c>
      <c r="AO810" s="19">
        <v>0</v>
      </c>
      <c r="AP810" s="19">
        <v>0</v>
      </c>
      <c r="AQ810" s="19">
        <v>0</v>
      </c>
      <c r="AR810" s="19">
        <v>0</v>
      </c>
      <c r="AS810" s="19">
        <v>0</v>
      </c>
      <c r="AT810" s="19">
        <v>0</v>
      </c>
      <c r="AU810" s="19">
        <v>0</v>
      </c>
      <c r="AV810" s="19">
        <v>0</v>
      </c>
      <c r="AW810" s="20">
        <v>0</v>
      </c>
      <c r="AX810" s="20">
        <v>0</v>
      </c>
      <c r="AY810" s="20">
        <v>0</v>
      </c>
      <c r="AZ810" s="19">
        <v>0</v>
      </c>
      <c r="BA810" s="19">
        <v>0</v>
      </c>
      <c r="BB810" s="19">
        <v>0</v>
      </c>
      <c r="BC810" s="19">
        <v>0</v>
      </c>
      <c r="BD810" s="19">
        <v>0</v>
      </c>
      <c r="BE810" s="21">
        <v>0</v>
      </c>
      <c r="BF810" s="21">
        <v>0</v>
      </c>
      <c r="BG810" s="19">
        <v>0</v>
      </c>
      <c r="BH810" s="19">
        <v>0</v>
      </c>
      <c r="BI810" s="22">
        <f t="shared" si="242"/>
        <v>12</v>
      </c>
      <c r="BJ810" s="22">
        <f t="shared" si="243"/>
        <v>13</v>
      </c>
      <c r="BK810" s="22">
        <f t="shared" si="244"/>
        <v>43</v>
      </c>
      <c r="BL810" s="22">
        <f t="shared" si="245"/>
        <v>30</v>
      </c>
      <c r="BM810" s="22">
        <f t="shared" si="241"/>
        <v>13</v>
      </c>
      <c r="BN810" s="23">
        <f t="shared" si="237"/>
        <v>0.6</v>
      </c>
      <c r="BO810" s="23">
        <f t="shared" si="237"/>
        <v>0</v>
      </c>
      <c r="BP810" s="7">
        <f>VLOOKUP(A810,[1]Sheet15!B:E,4,0)</f>
        <v>17</v>
      </c>
      <c r="BQ810" s="7">
        <f>VLOOKUP(A810,[1]Sheet15!B:E,3,0)</f>
        <v>0</v>
      </c>
    </row>
    <row r="811" spans="1:69" ht="22.5" customHeight="1" x14ac:dyDescent="0.25">
      <c r="A811" s="15" t="s">
        <v>1930</v>
      </c>
      <c r="B811" s="15" t="e">
        <f>VLOOKUP(A811,'[1]Master clients'!F790:W4337,17,0)</f>
        <v>#N/A</v>
      </c>
      <c r="C811" s="15" t="e">
        <f>VLOOKUP(A811,'[1]Master clients'!F790:P4337,11,0)</f>
        <v>#N/A</v>
      </c>
      <c r="D811" s="15" t="str">
        <f>VLOOKUP(A811,'[1]Master clients'!F:M,8,0)</f>
        <v>End User</v>
      </c>
      <c r="E811" s="16" t="s">
        <v>1931</v>
      </c>
      <c r="F811" s="16" t="s">
        <v>72</v>
      </c>
      <c r="G811" s="17"/>
      <c r="H811" s="17"/>
      <c r="I811" s="31">
        <v>0</v>
      </c>
      <c r="J811" s="31">
        <v>0</v>
      </c>
      <c r="K811" s="17">
        <v>0</v>
      </c>
      <c r="L811" s="17">
        <v>0</v>
      </c>
      <c r="M811" s="17">
        <v>0</v>
      </c>
      <c r="N811" s="17">
        <v>0</v>
      </c>
      <c r="O811" s="17">
        <v>0</v>
      </c>
      <c r="P811" s="17">
        <v>0</v>
      </c>
      <c r="Q811" s="17">
        <v>0</v>
      </c>
      <c r="R811" s="17">
        <v>0</v>
      </c>
      <c r="S811" s="17">
        <v>0</v>
      </c>
      <c r="T811" s="17">
        <v>0</v>
      </c>
      <c r="U811" s="17">
        <v>0</v>
      </c>
      <c r="V811" s="17">
        <v>0</v>
      </c>
      <c r="W811" s="17">
        <v>0</v>
      </c>
      <c r="X811" s="17">
        <v>0</v>
      </c>
      <c r="Y811" s="17">
        <v>0</v>
      </c>
      <c r="Z811" s="17">
        <v>0</v>
      </c>
      <c r="AA811" s="17">
        <v>0</v>
      </c>
      <c r="AB811" s="17">
        <v>0</v>
      </c>
      <c r="AC811" s="17">
        <v>0</v>
      </c>
      <c r="AD811" s="17">
        <v>0</v>
      </c>
      <c r="AE811" s="17">
        <v>0</v>
      </c>
      <c r="AF811" s="17">
        <v>0</v>
      </c>
      <c r="AG811" s="17">
        <v>0</v>
      </c>
      <c r="AH811" s="17">
        <v>0</v>
      </c>
      <c r="AI811" s="17">
        <v>0</v>
      </c>
      <c r="AJ811" s="17">
        <v>0</v>
      </c>
      <c r="AK811" s="17">
        <v>0</v>
      </c>
      <c r="AL811" s="17">
        <v>0</v>
      </c>
      <c r="AM811" s="17">
        <v>0</v>
      </c>
      <c r="AN811" s="17">
        <v>0</v>
      </c>
      <c r="AO811" s="17">
        <v>0</v>
      </c>
      <c r="AP811" s="17">
        <v>0</v>
      </c>
      <c r="AQ811" s="17">
        <v>0</v>
      </c>
      <c r="AR811" s="17">
        <v>0</v>
      </c>
      <c r="AS811" s="17">
        <v>0</v>
      </c>
      <c r="AT811" s="17">
        <v>0</v>
      </c>
      <c r="AU811" s="17">
        <v>0</v>
      </c>
      <c r="AV811" s="17">
        <v>0</v>
      </c>
      <c r="AW811" s="17">
        <v>0</v>
      </c>
      <c r="AX811" s="17">
        <v>0</v>
      </c>
      <c r="AY811" s="17">
        <v>0</v>
      </c>
      <c r="AZ811" s="17">
        <v>0</v>
      </c>
      <c r="BA811" s="17">
        <v>0</v>
      </c>
      <c r="BB811" s="17">
        <v>0</v>
      </c>
      <c r="BC811" s="17">
        <v>0</v>
      </c>
      <c r="BD811" s="17">
        <v>0</v>
      </c>
      <c r="BE811" s="17">
        <v>0</v>
      </c>
      <c r="BF811" s="17">
        <v>0</v>
      </c>
      <c r="BG811" s="17">
        <v>0</v>
      </c>
      <c r="BH811" s="17">
        <v>0</v>
      </c>
      <c r="BI811" s="22">
        <f t="shared" si="242"/>
        <v>0</v>
      </c>
      <c r="BJ811" s="22">
        <f t="shared" si="243"/>
        <v>0</v>
      </c>
      <c r="BK811" s="22">
        <f t="shared" si="244"/>
        <v>0</v>
      </c>
      <c r="BL811" s="22">
        <f t="shared" si="245"/>
        <v>0</v>
      </c>
      <c r="BM811" s="22">
        <f t="shared" si="241"/>
        <v>0</v>
      </c>
      <c r="BN811" s="23" t="e">
        <f t="shared" si="237"/>
        <v>#DIV/0!</v>
      </c>
      <c r="BO811" s="23" t="e">
        <f t="shared" si="237"/>
        <v>#DIV/0!</v>
      </c>
      <c r="BP811" s="7" t="e">
        <f>VLOOKUP(A811,[1]Sheet15!B:E,4,0)</f>
        <v>#N/A</v>
      </c>
      <c r="BQ811" s="7" t="e">
        <f>VLOOKUP(A811,[1]Sheet15!B:E,3,0)</f>
        <v>#N/A</v>
      </c>
    </row>
    <row r="812" spans="1:69" ht="22.5" customHeight="1" x14ac:dyDescent="0.25">
      <c r="A812" s="15" t="s">
        <v>1932</v>
      </c>
      <c r="B812" s="15" t="e">
        <f>VLOOKUP(A812,'[1]Master clients'!F791:W4338,17,0)</f>
        <v>#N/A</v>
      </c>
      <c r="C812" s="15" t="e">
        <f>VLOOKUP(A812,'[1]Master clients'!F791:P4338,11,0)</f>
        <v>#N/A</v>
      </c>
      <c r="D812" s="15" t="str">
        <f>VLOOKUP(A812,'[1]Master clients'!F:M,8,0)</f>
        <v>End User</v>
      </c>
      <c r="E812" s="16" t="s">
        <v>1933</v>
      </c>
      <c r="F812" s="16" t="s">
        <v>72</v>
      </c>
      <c r="G812" s="17">
        <v>33</v>
      </c>
      <c r="H812" s="17">
        <v>8</v>
      </c>
      <c r="I812" s="18">
        <v>22</v>
      </c>
      <c r="J812" s="18">
        <v>4</v>
      </c>
      <c r="K812" s="17">
        <v>0</v>
      </c>
      <c r="L812" s="17">
        <v>3</v>
      </c>
      <c r="M812" s="17">
        <v>0</v>
      </c>
      <c r="N812" s="17">
        <v>0</v>
      </c>
      <c r="O812" s="19">
        <v>0</v>
      </c>
      <c r="P812" s="19">
        <v>0</v>
      </c>
      <c r="Q812" s="19">
        <v>2</v>
      </c>
      <c r="R812" s="19">
        <v>0</v>
      </c>
      <c r="S812" s="19">
        <v>0</v>
      </c>
      <c r="T812" s="19">
        <v>0</v>
      </c>
      <c r="U812" s="19">
        <v>0</v>
      </c>
      <c r="V812" s="19">
        <v>0</v>
      </c>
      <c r="W812" s="20">
        <v>0</v>
      </c>
      <c r="X812" s="20">
        <v>0</v>
      </c>
      <c r="Y812" s="19">
        <v>0</v>
      </c>
      <c r="Z812" s="19">
        <v>0</v>
      </c>
      <c r="AA812" s="19">
        <v>0</v>
      </c>
      <c r="AB812" s="19">
        <v>0</v>
      </c>
      <c r="AC812" s="19">
        <v>0</v>
      </c>
      <c r="AD812" s="19">
        <v>0</v>
      </c>
      <c r="AE812" s="19">
        <v>0</v>
      </c>
      <c r="AF812" s="19">
        <v>0</v>
      </c>
      <c r="AG812" s="19">
        <v>0</v>
      </c>
      <c r="AH812" s="19">
        <v>0</v>
      </c>
      <c r="AI812" s="20">
        <v>0</v>
      </c>
      <c r="AJ812" s="20">
        <v>0</v>
      </c>
      <c r="AK812" s="19">
        <v>0</v>
      </c>
      <c r="AL812" s="20">
        <v>0</v>
      </c>
      <c r="AM812" s="19">
        <v>0</v>
      </c>
      <c r="AN812" s="19">
        <v>0</v>
      </c>
      <c r="AO812" s="19">
        <v>0</v>
      </c>
      <c r="AP812" s="19">
        <v>0</v>
      </c>
      <c r="AQ812" s="19">
        <v>0</v>
      </c>
      <c r="AR812" s="19">
        <v>0</v>
      </c>
      <c r="AS812" s="19">
        <v>0</v>
      </c>
      <c r="AT812" s="19">
        <v>0</v>
      </c>
      <c r="AU812" s="19">
        <v>0</v>
      </c>
      <c r="AV812" s="19">
        <v>0</v>
      </c>
      <c r="AW812" s="20">
        <v>0</v>
      </c>
      <c r="AX812" s="20">
        <v>0</v>
      </c>
      <c r="AY812" s="20">
        <v>0</v>
      </c>
      <c r="AZ812" s="19">
        <v>0</v>
      </c>
      <c r="BA812" s="19">
        <v>0</v>
      </c>
      <c r="BB812" s="19">
        <v>0</v>
      </c>
      <c r="BC812" s="19">
        <v>0</v>
      </c>
      <c r="BD812" s="19">
        <v>0</v>
      </c>
      <c r="BE812" s="21">
        <v>0</v>
      </c>
      <c r="BF812" s="21">
        <v>0</v>
      </c>
      <c r="BG812" s="19">
        <v>0</v>
      </c>
      <c r="BH812" s="19">
        <v>0</v>
      </c>
      <c r="BI812" s="22">
        <f t="shared" si="242"/>
        <v>3</v>
      </c>
      <c r="BJ812" s="22">
        <f t="shared" si="243"/>
        <v>2</v>
      </c>
      <c r="BK812" s="22">
        <f t="shared" si="244"/>
        <v>31</v>
      </c>
      <c r="BL812" s="22">
        <f t="shared" si="245"/>
        <v>25</v>
      </c>
      <c r="BM812" s="22">
        <f t="shared" si="241"/>
        <v>6</v>
      </c>
      <c r="BN812" s="23">
        <f t="shared" si="237"/>
        <v>0.88</v>
      </c>
      <c r="BO812" s="23">
        <f t="shared" si="237"/>
        <v>0.66666666666666663</v>
      </c>
      <c r="BP812" s="7">
        <f>VLOOKUP(A812,[1]Sheet15!B:E,4,0)</f>
        <v>7</v>
      </c>
      <c r="BQ812" s="7">
        <f>VLOOKUP(A812,[1]Sheet15!B:E,3,0)</f>
        <v>0</v>
      </c>
    </row>
    <row r="813" spans="1:69" ht="22.5" customHeight="1" x14ac:dyDescent="0.25">
      <c r="A813" s="15" t="s">
        <v>1934</v>
      </c>
      <c r="B813" s="15" t="e">
        <f>VLOOKUP(A813,'[1]Master clients'!F792:W4339,17,0)</f>
        <v>#N/A</v>
      </c>
      <c r="C813" s="15" t="e">
        <f>VLOOKUP(A813,'[1]Master clients'!F792:P4339,11,0)</f>
        <v>#N/A</v>
      </c>
      <c r="D813" s="15" t="str">
        <f>VLOOKUP(A813,'[1]Master clients'!F:M,8,0)</f>
        <v>End User</v>
      </c>
      <c r="E813" s="16" t="s">
        <v>1935</v>
      </c>
      <c r="F813" s="16" t="s">
        <v>72</v>
      </c>
      <c r="G813" s="17"/>
      <c r="H813" s="17">
        <v>1</v>
      </c>
      <c r="I813" s="26">
        <v>10</v>
      </c>
      <c r="J813" s="31">
        <v>1</v>
      </c>
      <c r="K813" s="17">
        <v>0</v>
      </c>
      <c r="L813" s="17">
        <v>0</v>
      </c>
      <c r="M813" s="17">
        <v>0</v>
      </c>
      <c r="N813" s="17">
        <v>0</v>
      </c>
      <c r="O813" s="17">
        <v>0</v>
      </c>
      <c r="P813" s="17">
        <v>0</v>
      </c>
      <c r="Q813" s="17">
        <v>0</v>
      </c>
      <c r="R813" s="17">
        <v>0</v>
      </c>
      <c r="S813" s="17">
        <v>0</v>
      </c>
      <c r="T813" s="17">
        <v>0</v>
      </c>
      <c r="U813" s="17">
        <v>0</v>
      </c>
      <c r="V813" s="17">
        <v>0</v>
      </c>
      <c r="W813" s="17">
        <v>0</v>
      </c>
      <c r="X813" s="17">
        <v>0</v>
      </c>
      <c r="Y813" s="17">
        <v>0</v>
      </c>
      <c r="Z813" s="17">
        <v>0</v>
      </c>
      <c r="AA813" s="17">
        <v>0</v>
      </c>
      <c r="AB813" s="17">
        <v>0</v>
      </c>
      <c r="AC813" s="17">
        <v>0</v>
      </c>
      <c r="AD813" s="17">
        <v>0</v>
      </c>
      <c r="AE813" s="17">
        <v>0</v>
      </c>
      <c r="AF813" s="17">
        <v>0</v>
      </c>
      <c r="AG813" s="17">
        <v>0</v>
      </c>
      <c r="AH813" s="17">
        <v>0</v>
      </c>
      <c r="AI813" s="17">
        <v>0</v>
      </c>
      <c r="AJ813" s="17">
        <v>0</v>
      </c>
      <c r="AK813" s="17">
        <v>0</v>
      </c>
      <c r="AL813" s="17">
        <v>0</v>
      </c>
      <c r="AM813" s="17">
        <v>0</v>
      </c>
      <c r="AN813" s="17">
        <v>0</v>
      </c>
      <c r="AO813" s="17">
        <v>0</v>
      </c>
      <c r="AP813" s="17">
        <v>0</v>
      </c>
      <c r="AQ813" s="17">
        <v>0</v>
      </c>
      <c r="AR813" s="17">
        <v>0</v>
      </c>
      <c r="AS813" s="17">
        <v>0</v>
      </c>
      <c r="AT813" s="17">
        <v>0</v>
      </c>
      <c r="AU813" s="17">
        <v>0</v>
      </c>
      <c r="AV813" s="17">
        <v>0</v>
      </c>
      <c r="AW813" s="17">
        <v>0</v>
      </c>
      <c r="AX813" s="17">
        <v>0</v>
      </c>
      <c r="AY813" s="17">
        <v>0</v>
      </c>
      <c r="AZ813" s="17">
        <v>0</v>
      </c>
      <c r="BA813" s="17">
        <v>0</v>
      </c>
      <c r="BB813" s="17">
        <v>0</v>
      </c>
      <c r="BC813" s="17">
        <v>0</v>
      </c>
      <c r="BD813" s="17">
        <v>0</v>
      </c>
      <c r="BE813" s="17">
        <v>0</v>
      </c>
      <c r="BF813" s="17">
        <v>0</v>
      </c>
      <c r="BG813" s="17">
        <v>0</v>
      </c>
      <c r="BH813" s="17">
        <v>0</v>
      </c>
      <c r="BI813" s="22">
        <f t="shared" si="242"/>
        <v>0</v>
      </c>
      <c r="BJ813" s="22">
        <f t="shared" si="243"/>
        <v>0</v>
      </c>
      <c r="BK813" s="28">
        <f t="shared" si="244"/>
        <v>11</v>
      </c>
      <c r="BL813" s="22">
        <f t="shared" si="245"/>
        <v>10</v>
      </c>
      <c r="BM813" s="22">
        <f t="shared" si="241"/>
        <v>1</v>
      </c>
      <c r="BN813" s="23">
        <f t="shared" si="237"/>
        <v>1</v>
      </c>
      <c r="BO813" s="23">
        <f t="shared" si="237"/>
        <v>1</v>
      </c>
      <c r="BP813" s="7">
        <f>VLOOKUP(A813,[1]Sheet15!B:E,4,0)</f>
        <v>10</v>
      </c>
      <c r="BQ813" s="7">
        <f>VLOOKUP(A813,[1]Sheet15!B:E,3,0)</f>
        <v>1</v>
      </c>
    </row>
    <row r="814" spans="1:69" ht="22.5" customHeight="1" x14ac:dyDescent="0.25">
      <c r="A814" s="15" t="s">
        <v>1936</v>
      </c>
      <c r="B814" s="15" t="e">
        <f>VLOOKUP(A814,'[1]Master clients'!F793:W4340,17,0)</f>
        <v>#N/A</v>
      </c>
      <c r="C814" s="15" t="e">
        <f>VLOOKUP(A814,'[1]Master clients'!F793:P4340,11,0)</f>
        <v>#N/A</v>
      </c>
      <c r="D814" s="15" t="str">
        <f>VLOOKUP(A814,'[1]Master clients'!F:M,8,0)</f>
        <v>End User</v>
      </c>
      <c r="E814" s="16" t="s">
        <v>1937</v>
      </c>
      <c r="F814" s="16" t="s">
        <v>72</v>
      </c>
      <c r="G814" s="17">
        <v>8</v>
      </c>
      <c r="H814" s="17">
        <v>0</v>
      </c>
      <c r="I814" s="18">
        <v>9</v>
      </c>
      <c r="J814" s="18">
        <v>0</v>
      </c>
      <c r="K814" s="17">
        <v>0</v>
      </c>
      <c r="L814" s="17">
        <v>0</v>
      </c>
      <c r="M814" s="17">
        <v>0</v>
      </c>
      <c r="N814" s="17">
        <v>0</v>
      </c>
      <c r="O814" s="19">
        <v>0</v>
      </c>
      <c r="P814" s="19">
        <v>0</v>
      </c>
      <c r="Q814" s="19">
        <v>6</v>
      </c>
      <c r="R814" s="19">
        <v>6</v>
      </c>
      <c r="S814" s="19">
        <v>0</v>
      </c>
      <c r="T814" s="19">
        <v>0</v>
      </c>
      <c r="U814" s="19">
        <v>0</v>
      </c>
      <c r="V814" s="19">
        <v>0</v>
      </c>
      <c r="W814" s="20">
        <v>0</v>
      </c>
      <c r="X814" s="20">
        <v>0</v>
      </c>
      <c r="Y814" s="19">
        <v>0</v>
      </c>
      <c r="Z814" s="19">
        <v>0</v>
      </c>
      <c r="AA814" s="19">
        <v>0</v>
      </c>
      <c r="AB814" s="19">
        <v>0</v>
      </c>
      <c r="AC814" s="19">
        <v>0</v>
      </c>
      <c r="AD814" s="19">
        <v>0</v>
      </c>
      <c r="AE814" s="19">
        <v>0</v>
      </c>
      <c r="AF814" s="19">
        <v>0</v>
      </c>
      <c r="AG814" s="19">
        <v>0</v>
      </c>
      <c r="AH814" s="19">
        <v>0</v>
      </c>
      <c r="AI814" s="20">
        <v>0</v>
      </c>
      <c r="AJ814" s="20">
        <v>0</v>
      </c>
      <c r="AK814" s="19">
        <v>0</v>
      </c>
      <c r="AL814" s="20">
        <v>0</v>
      </c>
      <c r="AM814" s="19">
        <v>0</v>
      </c>
      <c r="AN814" s="19">
        <v>0</v>
      </c>
      <c r="AO814" s="19">
        <v>0</v>
      </c>
      <c r="AP814" s="19">
        <v>0</v>
      </c>
      <c r="AQ814" s="19">
        <v>0</v>
      </c>
      <c r="AR814" s="19">
        <v>0</v>
      </c>
      <c r="AS814" s="19">
        <v>0</v>
      </c>
      <c r="AT814" s="19">
        <v>0</v>
      </c>
      <c r="AU814" s="19">
        <v>0</v>
      </c>
      <c r="AV814" s="19">
        <v>0</v>
      </c>
      <c r="AW814" s="20">
        <v>0</v>
      </c>
      <c r="AX814" s="20">
        <v>0</v>
      </c>
      <c r="AY814" s="20">
        <v>0</v>
      </c>
      <c r="AZ814" s="19">
        <v>0</v>
      </c>
      <c r="BA814" s="19">
        <v>0</v>
      </c>
      <c r="BB814" s="19">
        <v>0</v>
      </c>
      <c r="BC814" s="19">
        <v>0</v>
      </c>
      <c r="BD814" s="19">
        <v>0</v>
      </c>
      <c r="BE814" s="21">
        <v>0</v>
      </c>
      <c r="BF814" s="21">
        <v>0</v>
      </c>
      <c r="BG814" s="19">
        <v>0</v>
      </c>
      <c r="BH814" s="19">
        <v>0</v>
      </c>
      <c r="BI814" s="22">
        <f t="shared" si="242"/>
        <v>6</v>
      </c>
      <c r="BJ814" s="22">
        <f t="shared" si="243"/>
        <v>6</v>
      </c>
      <c r="BK814" s="22">
        <f t="shared" si="244"/>
        <v>21</v>
      </c>
      <c r="BL814" s="22">
        <f t="shared" si="245"/>
        <v>15</v>
      </c>
      <c r="BM814" s="22">
        <f t="shared" si="241"/>
        <v>6</v>
      </c>
      <c r="BN814" s="23">
        <f t="shared" si="237"/>
        <v>0.6</v>
      </c>
      <c r="BO814" s="23">
        <f t="shared" si="237"/>
        <v>0</v>
      </c>
      <c r="BP814" s="7">
        <f>VLOOKUP(A814,[1]Sheet15!B:E,4,0)</f>
        <v>1</v>
      </c>
      <c r="BQ814" s="7">
        <f>VLOOKUP(A814,[1]Sheet15!B:E,3,0)</f>
        <v>0</v>
      </c>
    </row>
    <row r="815" spans="1:69" ht="22.5" customHeight="1" x14ac:dyDescent="0.25">
      <c r="A815" s="15" t="s">
        <v>1938</v>
      </c>
      <c r="B815" s="15" t="e">
        <f>VLOOKUP(A815,'[1]Master clients'!F794:W4341,17,0)</f>
        <v>#N/A</v>
      </c>
      <c r="C815" s="15" t="e">
        <f>VLOOKUP(A815,'[1]Master clients'!F794:P4341,11,0)</f>
        <v>#N/A</v>
      </c>
      <c r="D815" s="15" t="str">
        <f>VLOOKUP(A815,'[1]Master clients'!F:M,8,0)</f>
        <v>End User</v>
      </c>
      <c r="E815" s="16" t="s">
        <v>1939</v>
      </c>
      <c r="F815" s="16" t="s">
        <v>72</v>
      </c>
      <c r="G815" s="17"/>
      <c r="H815" s="17"/>
      <c r="I815" s="26">
        <v>2</v>
      </c>
      <c r="J815" s="31">
        <v>0</v>
      </c>
      <c r="K815" s="17">
        <v>0</v>
      </c>
      <c r="L815" s="17">
        <v>0</v>
      </c>
      <c r="M815" s="17">
        <v>0</v>
      </c>
      <c r="N815" s="17">
        <v>0</v>
      </c>
      <c r="O815" s="17">
        <v>0</v>
      </c>
      <c r="P815" s="17">
        <v>0</v>
      </c>
      <c r="Q815" s="17">
        <v>0</v>
      </c>
      <c r="R815" s="17">
        <v>0</v>
      </c>
      <c r="S815" s="17">
        <v>0</v>
      </c>
      <c r="T815" s="17">
        <v>0</v>
      </c>
      <c r="U815" s="17">
        <v>0</v>
      </c>
      <c r="V815" s="17">
        <v>0</v>
      </c>
      <c r="W815" s="17">
        <v>0</v>
      </c>
      <c r="X815" s="17">
        <v>0</v>
      </c>
      <c r="Y815" s="17">
        <v>0</v>
      </c>
      <c r="Z815" s="17">
        <v>0</v>
      </c>
      <c r="AA815" s="17">
        <v>0</v>
      </c>
      <c r="AB815" s="17">
        <v>0</v>
      </c>
      <c r="AC815" s="17">
        <v>0</v>
      </c>
      <c r="AD815" s="17">
        <v>0</v>
      </c>
      <c r="AE815" s="17">
        <v>0</v>
      </c>
      <c r="AF815" s="17">
        <v>0</v>
      </c>
      <c r="AG815" s="17">
        <v>0</v>
      </c>
      <c r="AH815" s="17">
        <v>0</v>
      </c>
      <c r="AI815" s="17">
        <v>0</v>
      </c>
      <c r="AJ815" s="17">
        <v>0</v>
      </c>
      <c r="AK815" s="17">
        <v>0</v>
      </c>
      <c r="AL815" s="17">
        <v>0</v>
      </c>
      <c r="AM815" s="17">
        <v>0</v>
      </c>
      <c r="AN815" s="17">
        <v>0</v>
      </c>
      <c r="AO815" s="17">
        <v>0</v>
      </c>
      <c r="AP815" s="17">
        <v>0</v>
      </c>
      <c r="AQ815" s="17">
        <v>0</v>
      </c>
      <c r="AR815" s="17">
        <v>0</v>
      </c>
      <c r="AS815" s="17">
        <v>0</v>
      </c>
      <c r="AT815" s="17">
        <v>0</v>
      </c>
      <c r="AU815" s="17">
        <v>0</v>
      </c>
      <c r="AV815" s="17">
        <v>0</v>
      </c>
      <c r="AW815" s="17">
        <v>0</v>
      </c>
      <c r="AX815" s="17">
        <v>0</v>
      </c>
      <c r="AY815" s="17">
        <v>0</v>
      </c>
      <c r="AZ815" s="17">
        <v>0</v>
      </c>
      <c r="BA815" s="17">
        <v>0</v>
      </c>
      <c r="BB815" s="17">
        <v>0</v>
      </c>
      <c r="BC815" s="17">
        <v>0</v>
      </c>
      <c r="BD815" s="17">
        <v>0</v>
      </c>
      <c r="BE815" s="17">
        <v>0</v>
      </c>
      <c r="BF815" s="17">
        <v>0</v>
      </c>
      <c r="BG815" s="17">
        <v>0</v>
      </c>
      <c r="BH815" s="17">
        <v>0</v>
      </c>
      <c r="BI815" s="22">
        <f>SUM(M815+N815+P815+R815+T815+W815+Z815+AC815+AE815+AL815+AO815+AP815+AS815+AW815+AX815+BC815+BE815+BG815)</f>
        <v>0</v>
      </c>
      <c r="BJ815" s="22">
        <f>SUM(H815:BG815)</f>
        <v>2</v>
      </c>
      <c r="BK815" s="22">
        <f>SUM(H815+J815+K815+L815+O815+Q815+S815+U815+V815+X815+Y815+AA815+AB815+AD815+AF815+AG815+AH815+AI815+AJ815+AK815+AM815+AN815+AQ815+AR815+AT815+AU815+AV815+AY815+AZ815+BA815+BB815+BF815+BD815)</f>
        <v>0</v>
      </c>
      <c r="BL815" s="22">
        <f t="shared" ref="BL815:BM830" si="246">SUM(I815+M815+N815+P815+R815+T815+W815+Z815+AC815+AE815+AL815+AO815+AP815+AS815+AW815+AX815+BC815+BG815)</f>
        <v>2</v>
      </c>
      <c r="BM815" s="22">
        <f t="shared" si="246"/>
        <v>0</v>
      </c>
      <c r="BN815" s="23">
        <f t="shared" si="237"/>
        <v>1</v>
      </c>
      <c r="BO815" s="23" t="e">
        <f t="shared" si="237"/>
        <v>#DIV/0!</v>
      </c>
      <c r="BP815" s="7">
        <f>VLOOKUP(A815,[1]Sheet15!B:E,4,0)</f>
        <v>2</v>
      </c>
      <c r="BQ815" s="7">
        <f>VLOOKUP(A815,[1]Sheet15!B:E,3,0)</f>
        <v>0</v>
      </c>
    </row>
    <row r="816" spans="1:69" ht="22.5" customHeight="1" x14ac:dyDescent="0.25">
      <c r="A816" s="15" t="s">
        <v>1940</v>
      </c>
      <c r="B816" s="15" t="e">
        <f>VLOOKUP(A816,'[1]Master clients'!F795:W4342,17,0)</f>
        <v>#N/A</v>
      </c>
      <c r="C816" s="15" t="e">
        <f>VLOOKUP(A816,'[1]Master clients'!F795:P4342,11,0)</f>
        <v>#N/A</v>
      </c>
      <c r="D816" s="15" t="str">
        <f>VLOOKUP(A816,'[1]Master clients'!F:M,8,0)</f>
        <v>End User</v>
      </c>
      <c r="E816" s="16" t="s">
        <v>1941</v>
      </c>
      <c r="F816" s="16" t="s">
        <v>72</v>
      </c>
      <c r="G816" s="17"/>
      <c r="H816" s="17"/>
      <c r="I816" s="26">
        <v>4</v>
      </c>
      <c r="J816" s="31">
        <v>0</v>
      </c>
      <c r="K816" s="17">
        <v>0</v>
      </c>
      <c r="L816" s="17">
        <v>0</v>
      </c>
      <c r="M816" s="17">
        <v>0</v>
      </c>
      <c r="N816" s="17">
        <v>0</v>
      </c>
      <c r="O816" s="17">
        <v>0</v>
      </c>
      <c r="P816" s="17">
        <v>0</v>
      </c>
      <c r="Q816" s="17">
        <v>0</v>
      </c>
      <c r="R816" s="17">
        <v>0</v>
      </c>
      <c r="S816" s="17">
        <v>0</v>
      </c>
      <c r="T816" s="17">
        <v>0</v>
      </c>
      <c r="U816" s="17">
        <v>0</v>
      </c>
      <c r="V816" s="17">
        <v>0</v>
      </c>
      <c r="W816" s="17">
        <v>0</v>
      </c>
      <c r="X816" s="17">
        <v>0</v>
      </c>
      <c r="Y816" s="17">
        <v>0</v>
      </c>
      <c r="Z816" s="17">
        <v>0</v>
      </c>
      <c r="AA816" s="17">
        <v>0</v>
      </c>
      <c r="AB816" s="17">
        <v>0</v>
      </c>
      <c r="AC816" s="17">
        <v>0</v>
      </c>
      <c r="AD816" s="17">
        <v>0</v>
      </c>
      <c r="AE816" s="17">
        <v>0</v>
      </c>
      <c r="AF816" s="17">
        <v>0</v>
      </c>
      <c r="AG816" s="17">
        <v>0</v>
      </c>
      <c r="AH816" s="17">
        <v>0</v>
      </c>
      <c r="AI816" s="17">
        <v>0</v>
      </c>
      <c r="AJ816" s="17">
        <v>0</v>
      </c>
      <c r="AK816" s="17">
        <v>0</v>
      </c>
      <c r="AL816" s="17">
        <v>0</v>
      </c>
      <c r="AM816" s="17">
        <v>0</v>
      </c>
      <c r="AN816" s="17">
        <v>0</v>
      </c>
      <c r="AO816" s="17">
        <v>0</v>
      </c>
      <c r="AP816" s="17">
        <v>0</v>
      </c>
      <c r="AQ816" s="17">
        <v>0</v>
      </c>
      <c r="AR816" s="17">
        <v>0</v>
      </c>
      <c r="AS816" s="17">
        <v>0</v>
      </c>
      <c r="AT816" s="17">
        <v>0</v>
      </c>
      <c r="AU816" s="17">
        <v>0</v>
      </c>
      <c r="AV816" s="17">
        <v>0</v>
      </c>
      <c r="AW816" s="17">
        <v>0</v>
      </c>
      <c r="AX816" s="17">
        <v>0</v>
      </c>
      <c r="AY816" s="17">
        <v>0</v>
      </c>
      <c r="AZ816" s="17">
        <v>0</v>
      </c>
      <c r="BA816" s="17">
        <v>0</v>
      </c>
      <c r="BB816" s="17">
        <v>0</v>
      </c>
      <c r="BC816" s="17">
        <v>0</v>
      </c>
      <c r="BD816" s="17">
        <v>0</v>
      </c>
      <c r="BE816" s="17">
        <v>0</v>
      </c>
      <c r="BF816" s="17">
        <v>0</v>
      </c>
      <c r="BG816" s="17">
        <v>0</v>
      </c>
      <c r="BH816" s="17">
        <v>0</v>
      </c>
      <c r="BI816" s="22">
        <f t="shared" ref="BI816:BI837" si="247">SUM(K816+L816+M816+P816+R816+T816+V816+W816+Y816+Z816+AB816+AC816+AE816+AG816+AH816+AI816+AJ816+AK816+AL816+AN816+AO816+AR816+AS816+AU816+AV816+AW816+AZ816+BA816+BB816+BC816+BE816+BG816)</f>
        <v>0</v>
      </c>
      <c r="BJ816" s="22">
        <f t="shared" ref="BJ816:BJ837" si="248">SUM(N816+O816+Q816+S816+U816+X816+AA816+AD816+AF816+AM816+AP816+AQ816+AT816+AX816+AY816+BD816+BF816+BH816)</f>
        <v>0</v>
      </c>
      <c r="BK816" s="22">
        <f t="shared" ref="BK816:BK837" si="249">SUM(I816:BH816)</f>
        <v>4</v>
      </c>
      <c r="BL816" s="22">
        <f t="shared" ref="BL816:BL837" si="250">SUM(I816+K816+L816+M816+P816+R816+T816+V816+W816+Y816+Z816+AB816+AC816+AE816+AG816+AH816+AI816+AJ816+AK816+AL816+AN816+AO816+AR816+AS816+AU816+AV816+AW816+AZ816+BA816+BB816+BC816+BG816+BE816)</f>
        <v>4</v>
      </c>
      <c r="BM816" s="22">
        <f t="shared" si="246"/>
        <v>0</v>
      </c>
      <c r="BN816" s="23">
        <f t="shared" ref="BN816:BO831" si="251">I816/BL816</f>
        <v>1</v>
      </c>
      <c r="BO816" s="23" t="e">
        <f t="shared" si="251"/>
        <v>#DIV/0!</v>
      </c>
      <c r="BP816" s="7">
        <f>VLOOKUP(A816,[1]Sheet15!B:E,4,0)</f>
        <v>4</v>
      </c>
      <c r="BQ816" s="7">
        <f>VLOOKUP(A816,[1]Sheet15!B:E,3,0)</f>
        <v>0</v>
      </c>
    </row>
    <row r="817" spans="1:69" ht="22.5" customHeight="1" x14ac:dyDescent="0.25">
      <c r="A817" s="15" t="s">
        <v>1942</v>
      </c>
      <c r="B817" s="15" t="e">
        <f>VLOOKUP(A817,'[1]Master clients'!F796:W4343,17,0)</f>
        <v>#N/A</v>
      </c>
      <c r="C817" s="15" t="e">
        <f>VLOOKUP(A817,'[1]Master clients'!F796:P4343,11,0)</f>
        <v>#N/A</v>
      </c>
      <c r="D817" s="15" t="str">
        <f>VLOOKUP(A817,'[1]Master clients'!F:M,8,0)</f>
        <v>Group (Mills)</v>
      </c>
      <c r="E817" s="16" t="s">
        <v>1943</v>
      </c>
      <c r="F817" s="16" t="s">
        <v>72</v>
      </c>
      <c r="G817" s="17">
        <v>5</v>
      </c>
      <c r="H817" s="17">
        <v>0</v>
      </c>
      <c r="I817" s="18">
        <v>13</v>
      </c>
      <c r="J817" s="18">
        <v>0</v>
      </c>
      <c r="K817" s="17">
        <v>0</v>
      </c>
      <c r="L817" s="17">
        <v>0</v>
      </c>
      <c r="M817" s="17">
        <v>0</v>
      </c>
      <c r="N817" s="17">
        <v>0</v>
      </c>
      <c r="O817" s="19">
        <v>0</v>
      </c>
      <c r="P817" s="19">
        <v>0</v>
      </c>
      <c r="Q817" s="19">
        <v>4</v>
      </c>
      <c r="R817" s="19">
        <v>0</v>
      </c>
      <c r="S817" s="19">
        <v>0</v>
      </c>
      <c r="T817" s="19">
        <v>0</v>
      </c>
      <c r="U817" s="19">
        <v>0</v>
      </c>
      <c r="V817" s="19">
        <v>0</v>
      </c>
      <c r="W817" s="20">
        <v>0</v>
      </c>
      <c r="X817" s="20">
        <v>0</v>
      </c>
      <c r="Y817" s="19">
        <v>0</v>
      </c>
      <c r="Z817" s="19">
        <v>0</v>
      </c>
      <c r="AA817" s="19">
        <v>0</v>
      </c>
      <c r="AB817" s="19">
        <v>0</v>
      </c>
      <c r="AC817" s="19">
        <v>0</v>
      </c>
      <c r="AD817" s="19">
        <v>0</v>
      </c>
      <c r="AE817" s="19">
        <v>0</v>
      </c>
      <c r="AF817" s="19">
        <v>0</v>
      </c>
      <c r="AG817" s="19">
        <v>0</v>
      </c>
      <c r="AH817" s="19">
        <v>0</v>
      </c>
      <c r="AI817" s="20">
        <v>0</v>
      </c>
      <c r="AJ817" s="20">
        <v>0</v>
      </c>
      <c r="AK817" s="19">
        <v>0</v>
      </c>
      <c r="AL817" s="20">
        <v>0</v>
      </c>
      <c r="AM817" s="19">
        <v>0</v>
      </c>
      <c r="AN817" s="19">
        <v>0</v>
      </c>
      <c r="AO817" s="19">
        <v>0</v>
      </c>
      <c r="AP817" s="19">
        <v>0</v>
      </c>
      <c r="AQ817" s="19">
        <v>0</v>
      </c>
      <c r="AR817" s="19">
        <v>0</v>
      </c>
      <c r="AS817" s="19">
        <v>0</v>
      </c>
      <c r="AT817" s="19">
        <v>0</v>
      </c>
      <c r="AU817" s="19">
        <v>0</v>
      </c>
      <c r="AV817" s="19">
        <v>0</v>
      </c>
      <c r="AW817" s="20">
        <v>0</v>
      </c>
      <c r="AX817" s="20">
        <v>0</v>
      </c>
      <c r="AY817" s="20">
        <v>0</v>
      </c>
      <c r="AZ817" s="19">
        <v>0</v>
      </c>
      <c r="BA817" s="19">
        <v>0</v>
      </c>
      <c r="BB817" s="19">
        <v>0</v>
      </c>
      <c r="BC817" s="19">
        <v>0</v>
      </c>
      <c r="BD817" s="19">
        <v>0</v>
      </c>
      <c r="BE817" s="21">
        <v>0</v>
      </c>
      <c r="BF817" s="21">
        <v>0</v>
      </c>
      <c r="BG817" s="19">
        <v>0</v>
      </c>
      <c r="BH817" s="19">
        <v>0</v>
      </c>
      <c r="BI817" s="22">
        <f t="shared" si="247"/>
        <v>0</v>
      </c>
      <c r="BJ817" s="22">
        <f t="shared" si="248"/>
        <v>4</v>
      </c>
      <c r="BK817" s="22">
        <f t="shared" si="249"/>
        <v>17</v>
      </c>
      <c r="BL817" s="22">
        <f t="shared" si="250"/>
        <v>13</v>
      </c>
      <c r="BM817" s="22">
        <f t="shared" si="246"/>
        <v>4</v>
      </c>
      <c r="BN817" s="23">
        <f t="shared" si="251"/>
        <v>1</v>
      </c>
      <c r="BO817" s="23">
        <f t="shared" si="251"/>
        <v>0</v>
      </c>
      <c r="BP817" s="7">
        <f>VLOOKUP(A817,[1]Sheet15!B:E,4,0)</f>
        <v>1</v>
      </c>
      <c r="BQ817" s="7">
        <f>VLOOKUP(A817,[1]Sheet15!B:E,3,0)</f>
        <v>0</v>
      </c>
    </row>
    <row r="818" spans="1:69" ht="22.5" customHeight="1" x14ac:dyDescent="0.25">
      <c r="A818" s="15" t="s">
        <v>1944</v>
      </c>
      <c r="B818" s="15" t="e">
        <f>VLOOKUP(A818,'[1]Master clients'!F797:W4344,17,0)</f>
        <v>#N/A</v>
      </c>
      <c r="C818" s="15" t="e">
        <f>VLOOKUP(A818,'[1]Master clients'!F797:P4344,11,0)</f>
        <v>#N/A</v>
      </c>
      <c r="D818" s="15" t="str">
        <f>VLOOKUP(A818,'[1]Master clients'!F:M,8,0)</f>
        <v>Group (Mills)</v>
      </c>
      <c r="E818" s="16" t="s">
        <v>1945</v>
      </c>
      <c r="F818" s="16" t="s">
        <v>72</v>
      </c>
      <c r="G818" s="17"/>
      <c r="H818" s="17"/>
      <c r="I818" s="26">
        <v>13</v>
      </c>
      <c r="J818" s="26">
        <v>1</v>
      </c>
      <c r="K818" s="17">
        <v>0</v>
      </c>
      <c r="L818" s="17">
        <v>0</v>
      </c>
      <c r="M818" s="17">
        <v>0</v>
      </c>
      <c r="N818" s="17">
        <v>0</v>
      </c>
      <c r="O818" s="17">
        <v>0</v>
      </c>
      <c r="P818" s="17">
        <v>0</v>
      </c>
      <c r="Q818" s="17">
        <v>0</v>
      </c>
      <c r="R818" s="17">
        <v>0</v>
      </c>
      <c r="S818" s="17">
        <v>0</v>
      </c>
      <c r="T818" s="17">
        <v>0</v>
      </c>
      <c r="U818" s="17">
        <v>0</v>
      </c>
      <c r="V818" s="17">
        <v>0</v>
      </c>
      <c r="W818" s="17">
        <v>0</v>
      </c>
      <c r="X818" s="17">
        <v>0</v>
      </c>
      <c r="Y818" s="17">
        <v>0</v>
      </c>
      <c r="Z818" s="17">
        <v>0</v>
      </c>
      <c r="AA818" s="17">
        <v>0</v>
      </c>
      <c r="AB818" s="17">
        <v>0</v>
      </c>
      <c r="AC818" s="17">
        <v>0</v>
      </c>
      <c r="AD818" s="17">
        <v>0</v>
      </c>
      <c r="AE818" s="17">
        <v>0</v>
      </c>
      <c r="AF818" s="17">
        <v>0</v>
      </c>
      <c r="AG818" s="17">
        <v>0</v>
      </c>
      <c r="AH818" s="17">
        <v>0</v>
      </c>
      <c r="AI818" s="17">
        <v>0</v>
      </c>
      <c r="AJ818" s="17">
        <v>0</v>
      </c>
      <c r="AK818" s="17">
        <v>0</v>
      </c>
      <c r="AL818" s="17">
        <v>0</v>
      </c>
      <c r="AM818" s="17">
        <v>0</v>
      </c>
      <c r="AN818" s="17">
        <v>0</v>
      </c>
      <c r="AO818" s="17">
        <v>0</v>
      </c>
      <c r="AP818" s="17">
        <v>0</v>
      </c>
      <c r="AQ818" s="17">
        <v>0</v>
      </c>
      <c r="AR818" s="17">
        <v>0</v>
      </c>
      <c r="AS818" s="17">
        <v>0</v>
      </c>
      <c r="AT818" s="17">
        <v>0</v>
      </c>
      <c r="AU818" s="17">
        <v>0</v>
      </c>
      <c r="AV818" s="17">
        <v>0</v>
      </c>
      <c r="AW818" s="17">
        <v>0</v>
      </c>
      <c r="AX818" s="17">
        <v>0</v>
      </c>
      <c r="AY818" s="17">
        <v>0</v>
      </c>
      <c r="AZ818" s="17">
        <v>0</v>
      </c>
      <c r="BA818" s="17">
        <v>0</v>
      </c>
      <c r="BB818" s="17">
        <v>0</v>
      </c>
      <c r="BC818" s="17">
        <v>0</v>
      </c>
      <c r="BD818" s="17">
        <v>0</v>
      </c>
      <c r="BE818" s="17">
        <v>0</v>
      </c>
      <c r="BF818" s="17">
        <v>0</v>
      </c>
      <c r="BG818" s="17">
        <v>0</v>
      </c>
      <c r="BH818" s="17">
        <v>0</v>
      </c>
      <c r="BI818" s="22">
        <f t="shared" si="247"/>
        <v>0</v>
      </c>
      <c r="BJ818" s="22">
        <f t="shared" si="248"/>
        <v>0</v>
      </c>
      <c r="BK818" s="28">
        <f t="shared" si="249"/>
        <v>14</v>
      </c>
      <c r="BL818" s="22">
        <f t="shared" si="250"/>
        <v>13</v>
      </c>
      <c r="BM818" s="22">
        <f t="shared" si="246"/>
        <v>1</v>
      </c>
      <c r="BN818" s="23">
        <f t="shared" si="251"/>
        <v>1</v>
      </c>
      <c r="BO818" s="23">
        <f t="shared" si="251"/>
        <v>1</v>
      </c>
      <c r="BP818" s="7" t="e">
        <f>VLOOKUP(A818,[1]Sheet15!B:E,4,0)</f>
        <v>#N/A</v>
      </c>
      <c r="BQ818" s="7" t="e">
        <f>VLOOKUP(A818,[1]Sheet15!B:E,3,0)</f>
        <v>#N/A</v>
      </c>
    </row>
    <row r="819" spans="1:69" ht="22.5" customHeight="1" x14ac:dyDescent="0.25">
      <c r="A819" s="15" t="s">
        <v>1946</v>
      </c>
      <c r="B819" s="15" t="e">
        <f>VLOOKUP(A819,'[1]Master clients'!F798:W4345,17,0)</f>
        <v>#N/A</v>
      </c>
      <c r="C819" s="15" t="e">
        <f>VLOOKUP(A819,'[1]Master clients'!F798:P4345,11,0)</f>
        <v>#N/A</v>
      </c>
      <c r="D819" s="15" t="str">
        <f>VLOOKUP(A819,'[1]Master clients'!F:M,8,0)</f>
        <v>OEM</v>
      </c>
      <c r="E819" s="16" t="s">
        <v>1947</v>
      </c>
      <c r="F819" s="16" t="s">
        <v>72</v>
      </c>
      <c r="G819" s="17"/>
      <c r="H819" s="17"/>
      <c r="I819" s="26">
        <v>10</v>
      </c>
      <c r="J819" s="31">
        <v>0</v>
      </c>
      <c r="K819" s="17">
        <v>0</v>
      </c>
      <c r="L819" s="17">
        <v>0</v>
      </c>
      <c r="M819" s="17">
        <v>0</v>
      </c>
      <c r="N819" s="17">
        <v>0</v>
      </c>
      <c r="O819" s="17">
        <v>0</v>
      </c>
      <c r="P819" s="17">
        <v>0</v>
      </c>
      <c r="Q819" s="17">
        <v>0</v>
      </c>
      <c r="R819" s="17">
        <v>0</v>
      </c>
      <c r="S819" s="17">
        <v>0</v>
      </c>
      <c r="T819" s="17">
        <v>0</v>
      </c>
      <c r="U819" s="17">
        <v>0</v>
      </c>
      <c r="V819" s="17">
        <v>0</v>
      </c>
      <c r="W819" s="17">
        <v>0</v>
      </c>
      <c r="X819" s="17">
        <v>0</v>
      </c>
      <c r="Y819" s="17">
        <v>0</v>
      </c>
      <c r="Z819" s="17">
        <v>0</v>
      </c>
      <c r="AA819" s="17">
        <v>0</v>
      </c>
      <c r="AB819" s="17">
        <v>0</v>
      </c>
      <c r="AC819" s="17">
        <v>0</v>
      </c>
      <c r="AD819" s="17">
        <v>0</v>
      </c>
      <c r="AE819" s="17">
        <v>0</v>
      </c>
      <c r="AF819" s="17">
        <v>0</v>
      </c>
      <c r="AG819" s="17">
        <v>0</v>
      </c>
      <c r="AH819" s="17">
        <v>0</v>
      </c>
      <c r="AI819" s="17">
        <v>0</v>
      </c>
      <c r="AJ819" s="17">
        <v>0</v>
      </c>
      <c r="AK819" s="17">
        <v>0</v>
      </c>
      <c r="AL819" s="17">
        <v>0</v>
      </c>
      <c r="AM819" s="17">
        <v>0</v>
      </c>
      <c r="AN819" s="17">
        <v>0</v>
      </c>
      <c r="AO819" s="17">
        <v>0</v>
      </c>
      <c r="AP819" s="17">
        <v>0</v>
      </c>
      <c r="AQ819" s="17">
        <v>0</v>
      </c>
      <c r="AR819" s="17">
        <v>0</v>
      </c>
      <c r="AS819" s="17">
        <v>0</v>
      </c>
      <c r="AT819" s="17">
        <v>0</v>
      </c>
      <c r="AU819" s="17">
        <v>0</v>
      </c>
      <c r="AV819" s="17">
        <v>0</v>
      </c>
      <c r="AW819" s="17">
        <v>0</v>
      </c>
      <c r="AX819" s="17">
        <v>0</v>
      </c>
      <c r="AY819" s="17">
        <v>0</v>
      </c>
      <c r="AZ819" s="17">
        <v>0</v>
      </c>
      <c r="BA819" s="17">
        <v>0</v>
      </c>
      <c r="BB819" s="17">
        <v>0</v>
      </c>
      <c r="BC819" s="17">
        <v>0</v>
      </c>
      <c r="BD819" s="17">
        <v>0</v>
      </c>
      <c r="BE819" s="17">
        <v>0</v>
      </c>
      <c r="BF819" s="17">
        <v>0</v>
      </c>
      <c r="BG819" s="17">
        <v>0</v>
      </c>
      <c r="BH819" s="17">
        <v>0</v>
      </c>
      <c r="BI819" s="22">
        <f t="shared" si="247"/>
        <v>0</v>
      </c>
      <c r="BJ819" s="22">
        <f t="shared" si="248"/>
        <v>0</v>
      </c>
      <c r="BK819" s="28">
        <f t="shared" si="249"/>
        <v>10</v>
      </c>
      <c r="BL819" s="22">
        <f t="shared" si="250"/>
        <v>10</v>
      </c>
      <c r="BM819" s="22">
        <f t="shared" si="246"/>
        <v>0</v>
      </c>
      <c r="BN819" s="23">
        <f t="shared" si="251"/>
        <v>1</v>
      </c>
      <c r="BO819" s="23" t="e">
        <f t="shared" si="251"/>
        <v>#DIV/0!</v>
      </c>
      <c r="BP819" s="7">
        <f>VLOOKUP(A819,[1]Sheet15!B:E,4,0)</f>
        <v>10</v>
      </c>
      <c r="BQ819" s="7">
        <f>VLOOKUP(A819,[1]Sheet15!B:E,3,0)</f>
        <v>0</v>
      </c>
    </row>
    <row r="820" spans="1:69" ht="22.5" customHeight="1" x14ac:dyDescent="0.25">
      <c r="A820" s="15" t="s">
        <v>1948</v>
      </c>
      <c r="B820" s="15" t="str">
        <f>VLOOKUP(A820,'[1]Master clients'!F799:W4346,17,0)</f>
        <v>May</v>
      </c>
      <c r="C820" s="15" t="str">
        <f>VLOOKUP(A820,'[1]Master clients'!F799:P4346,11,0)</f>
        <v>AV</v>
      </c>
      <c r="D820" s="15" t="str">
        <f>VLOOKUP(A820,'[1]Master clients'!F:M,8,0)</f>
        <v>End User</v>
      </c>
      <c r="E820" s="16" t="s">
        <v>1949</v>
      </c>
      <c r="F820" s="16" t="s">
        <v>74</v>
      </c>
      <c r="G820" s="17">
        <v>25</v>
      </c>
      <c r="H820" s="17">
        <v>2</v>
      </c>
      <c r="I820" s="18">
        <v>25</v>
      </c>
      <c r="J820" s="17">
        <v>2</v>
      </c>
      <c r="K820" s="17">
        <v>0</v>
      </c>
      <c r="L820" s="17">
        <v>0</v>
      </c>
      <c r="M820" s="17">
        <v>0</v>
      </c>
      <c r="N820" s="17">
        <v>0</v>
      </c>
      <c r="O820" s="19">
        <v>0</v>
      </c>
      <c r="P820" s="19">
        <v>2</v>
      </c>
      <c r="Q820" s="19">
        <v>14</v>
      </c>
      <c r="R820" s="19">
        <v>0</v>
      </c>
      <c r="S820" s="19">
        <v>0</v>
      </c>
      <c r="T820" s="19">
        <v>0</v>
      </c>
      <c r="U820" s="19">
        <v>0</v>
      </c>
      <c r="V820" s="19">
        <v>0</v>
      </c>
      <c r="W820" s="20">
        <v>0</v>
      </c>
      <c r="X820" s="20">
        <v>0</v>
      </c>
      <c r="Y820" s="19">
        <v>0</v>
      </c>
      <c r="Z820" s="19">
        <v>7</v>
      </c>
      <c r="AA820" s="19">
        <v>0</v>
      </c>
      <c r="AB820" s="19">
        <v>0</v>
      </c>
      <c r="AC820" s="19">
        <v>0</v>
      </c>
      <c r="AD820" s="19">
        <v>0</v>
      </c>
      <c r="AE820" s="19">
        <v>0</v>
      </c>
      <c r="AF820" s="19">
        <v>0</v>
      </c>
      <c r="AG820" s="19">
        <v>0</v>
      </c>
      <c r="AH820" s="19">
        <v>0</v>
      </c>
      <c r="AI820" s="20">
        <v>0</v>
      </c>
      <c r="AJ820" s="20">
        <v>0</v>
      </c>
      <c r="AK820" s="19">
        <v>0</v>
      </c>
      <c r="AL820" s="20">
        <v>0</v>
      </c>
      <c r="AM820" s="19">
        <v>0</v>
      </c>
      <c r="AN820" s="19">
        <v>0</v>
      </c>
      <c r="AO820" s="19">
        <v>0</v>
      </c>
      <c r="AP820" s="19">
        <v>0</v>
      </c>
      <c r="AQ820" s="19">
        <v>0</v>
      </c>
      <c r="AR820" s="19">
        <v>0</v>
      </c>
      <c r="AS820" s="19">
        <v>0</v>
      </c>
      <c r="AT820" s="19">
        <v>0</v>
      </c>
      <c r="AU820" s="19">
        <v>0</v>
      </c>
      <c r="AV820" s="19">
        <v>0</v>
      </c>
      <c r="AW820" s="20">
        <v>0</v>
      </c>
      <c r="AX820" s="20">
        <v>0</v>
      </c>
      <c r="AY820" s="20">
        <v>0</v>
      </c>
      <c r="AZ820" s="19">
        <v>0</v>
      </c>
      <c r="BA820" s="19">
        <v>0</v>
      </c>
      <c r="BB820" s="19">
        <v>0</v>
      </c>
      <c r="BC820" s="19">
        <v>0</v>
      </c>
      <c r="BD820" s="19">
        <v>0</v>
      </c>
      <c r="BE820" s="21">
        <v>0</v>
      </c>
      <c r="BF820" s="21">
        <v>0</v>
      </c>
      <c r="BG820" s="19">
        <v>0</v>
      </c>
      <c r="BH820" s="19">
        <v>0</v>
      </c>
      <c r="BI820" s="22">
        <f t="shared" si="247"/>
        <v>9</v>
      </c>
      <c r="BJ820" s="22">
        <f t="shared" si="248"/>
        <v>14</v>
      </c>
      <c r="BK820" s="22">
        <f t="shared" si="249"/>
        <v>50</v>
      </c>
      <c r="BL820" s="22">
        <f t="shared" si="250"/>
        <v>34</v>
      </c>
      <c r="BM820" s="22">
        <f t="shared" si="246"/>
        <v>16</v>
      </c>
      <c r="BN820" s="23">
        <f t="shared" si="251"/>
        <v>0.73529411764705888</v>
      </c>
      <c r="BO820" s="23">
        <f t="shared" si="251"/>
        <v>0.125</v>
      </c>
      <c r="BP820" s="7">
        <f>VLOOKUP(A820,[1]Sheet15!B:E,4,0)</f>
        <v>4</v>
      </c>
      <c r="BQ820" s="7">
        <f>VLOOKUP(A820,[1]Sheet15!B:E,3,0)</f>
        <v>0</v>
      </c>
    </row>
    <row r="821" spans="1:69" ht="22.5" customHeight="1" x14ac:dyDescent="0.25">
      <c r="A821" s="15" t="s">
        <v>1950</v>
      </c>
      <c r="B821" s="15">
        <f>VLOOKUP(A821,'[1]Master clients'!F800:W4347,17,0)</f>
        <v>0</v>
      </c>
      <c r="C821" s="15" t="str">
        <f>VLOOKUP(A821,'[1]Master clients'!F800:P4347,11,0)</f>
        <v>AV</v>
      </c>
      <c r="D821" s="15" t="str">
        <f>VLOOKUP(A821,'[1]Master clients'!F:M,8,0)</f>
        <v>End User</v>
      </c>
      <c r="E821" s="16" t="s">
        <v>1951</v>
      </c>
      <c r="F821" s="16" t="s">
        <v>1952</v>
      </c>
      <c r="G821" s="17">
        <v>2</v>
      </c>
      <c r="H821" s="17">
        <v>0</v>
      </c>
      <c r="I821" s="18">
        <v>2</v>
      </c>
      <c r="J821" s="18">
        <v>0</v>
      </c>
      <c r="K821" s="17">
        <v>0</v>
      </c>
      <c r="L821" s="17">
        <v>0</v>
      </c>
      <c r="M821" s="17">
        <v>0</v>
      </c>
      <c r="N821" s="17">
        <v>0</v>
      </c>
      <c r="O821" s="19">
        <v>0</v>
      </c>
      <c r="P821" s="19">
        <v>0</v>
      </c>
      <c r="Q821" s="19">
        <v>7</v>
      </c>
      <c r="R821" s="19">
        <v>0</v>
      </c>
      <c r="S821" s="19">
        <v>0</v>
      </c>
      <c r="T821" s="19">
        <v>0</v>
      </c>
      <c r="U821" s="19">
        <v>0</v>
      </c>
      <c r="V821" s="19">
        <v>0</v>
      </c>
      <c r="W821" s="20">
        <v>0</v>
      </c>
      <c r="X821" s="20">
        <v>0</v>
      </c>
      <c r="Y821" s="19">
        <v>0</v>
      </c>
      <c r="Z821" s="19">
        <v>0</v>
      </c>
      <c r="AA821" s="19">
        <v>0</v>
      </c>
      <c r="AB821" s="19">
        <v>0</v>
      </c>
      <c r="AC821" s="19">
        <v>0</v>
      </c>
      <c r="AD821" s="19">
        <v>0</v>
      </c>
      <c r="AE821" s="19">
        <v>0</v>
      </c>
      <c r="AF821" s="19">
        <v>0</v>
      </c>
      <c r="AG821" s="19">
        <v>3</v>
      </c>
      <c r="AH821" s="19">
        <v>0</v>
      </c>
      <c r="AI821" s="20">
        <v>0</v>
      </c>
      <c r="AJ821" s="20">
        <v>0</v>
      </c>
      <c r="AK821" s="19">
        <v>0</v>
      </c>
      <c r="AL821" s="20">
        <v>0</v>
      </c>
      <c r="AM821" s="19">
        <v>0</v>
      </c>
      <c r="AN821" s="19">
        <v>0</v>
      </c>
      <c r="AO821" s="19">
        <v>0</v>
      </c>
      <c r="AP821" s="19">
        <v>0</v>
      </c>
      <c r="AQ821" s="19">
        <v>0</v>
      </c>
      <c r="AR821" s="19">
        <v>0</v>
      </c>
      <c r="AS821" s="19">
        <v>0</v>
      </c>
      <c r="AT821" s="19">
        <v>0</v>
      </c>
      <c r="AU821" s="19">
        <v>0</v>
      </c>
      <c r="AV821" s="19">
        <v>0</v>
      </c>
      <c r="AW821" s="20">
        <v>0</v>
      </c>
      <c r="AX821" s="20">
        <v>0</v>
      </c>
      <c r="AY821" s="20">
        <v>0</v>
      </c>
      <c r="AZ821" s="19">
        <v>0</v>
      </c>
      <c r="BA821" s="19">
        <v>0</v>
      </c>
      <c r="BB821" s="19">
        <v>0</v>
      </c>
      <c r="BC821" s="19">
        <v>0</v>
      </c>
      <c r="BD821" s="19">
        <v>0</v>
      </c>
      <c r="BE821" s="21">
        <v>0</v>
      </c>
      <c r="BF821" s="21">
        <v>0</v>
      </c>
      <c r="BG821" s="19">
        <v>0</v>
      </c>
      <c r="BH821" s="19">
        <v>0</v>
      </c>
      <c r="BI821" s="22">
        <f t="shared" si="247"/>
        <v>3</v>
      </c>
      <c r="BJ821" s="22">
        <f t="shared" si="248"/>
        <v>7</v>
      </c>
      <c r="BK821" s="22">
        <f t="shared" si="249"/>
        <v>12</v>
      </c>
      <c r="BL821" s="22">
        <f t="shared" si="250"/>
        <v>5</v>
      </c>
      <c r="BM821" s="22">
        <f t="shared" si="246"/>
        <v>7</v>
      </c>
      <c r="BN821" s="23">
        <f t="shared" si="251"/>
        <v>0.4</v>
      </c>
      <c r="BO821" s="23">
        <f t="shared" si="251"/>
        <v>0</v>
      </c>
      <c r="BP821" s="7">
        <f>VLOOKUP(A821,[1]Sheet15!B:E,4,0)</f>
        <v>1</v>
      </c>
      <c r="BQ821" s="7">
        <f>VLOOKUP(A821,[1]Sheet15!B:E,3,0)</f>
        <v>0</v>
      </c>
    </row>
    <row r="822" spans="1:69" ht="22.5" customHeight="1" x14ac:dyDescent="0.25">
      <c r="A822" s="15" t="s">
        <v>1953</v>
      </c>
      <c r="B822" s="15" t="str">
        <f>VLOOKUP(A822,'[1]Master clients'!F801:W4348,17,0)</f>
        <v>May</v>
      </c>
      <c r="C822" s="15" t="str">
        <f>VLOOKUP(A822,'[1]Master clients'!F801:P4348,11,0)</f>
        <v>AV</v>
      </c>
      <c r="D822" s="15" t="str">
        <f>VLOOKUP(A822,'[1]Master clients'!F:M,8,0)</f>
        <v>End User</v>
      </c>
      <c r="E822" s="16" t="s">
        <v>1954</v>
      </c>
      <c r="F822" s="16" t="s">
        <v>72</v>
      </c>
      <c r="G822" s="17">
        <v>7</v>
      </c>
      <c r="H822" s="17">
        <v>4</v>
      </c>
      <c r="I822" s="18">
        <v>8</v>
      </c>
      <c r="J822" s="18">
        <v>4</v>
      </c>
      <c r="K822" s="17">
        <v>0</v>
      </c>
      <c r="L822" s="17">
        <v>0</v>
      </c>
      <c r="M822" s="17">
        <v>0</v>
      </c>
      <c r="N822" s="17">
        <v>0</v>
      </c>
      <c r="O822" s="19">
        <v>0</v>
      </c>
      <c r="P822" s="19">
        <v>0</v>
      </c>
      <c r="Q822" s="19">
        <v>2</v>
      </c>
      <c r="R822" s="19">
        <v>0</v>
      </c>
      <c r="S822" s="19">
        <v>0</v>
      </c>
      <c r="T822" s="19">
        <v>0</v>
      </c>
      <c r="U822" s="19">
        <v>0</v>
      </c>
      <c r="V822" s="19">
        <v>0</v>
      </c>
      <c r="W822" s="20">
        <v>0</v>
      </c>
      <c r="X822" s="20">
        <v>0</v>
      </c>
      <c r="Y822" s="19">
        <v>0</v>
      </c>
      <c r="Z822" s="19">
        <v>0</v>
      </c>
      <c r="AA822" s="19">
        <v>0</v>
      </c>
      <c r="AB822" s="19">
        <v>0</v>
      </c>
      <c r="AC822" s="19">
        <v>0</v>
      </c>
      <c r="AD822" s="19">
        <v>0</v>
      </c>
      <c r="AE822" s="19">
        <v>0</v>
      </c>
      <c r="AF822" s="19">
        <v>0</v>
      </c>
      <c r="AG822" s="19">
        <v>0</v>
      </c>
      <c r="AH822" s="19">
        <v>0</v>
      </c>
      <c r="AI822" s="20">
        <v>0</v>
      </c>
      <c r="AJ822" s="20">
        <v>0</v>
      </c>
      <c r="AK822" s="19">
        <v>0</v>
      </c>
      <c r="AL822" s="20">
        <v>0</v>
      </c>
      <c r="AM822" s="19">
        <v>0</v>
      </c>
      <c r="AN822" s="19">
        <v>0</v>
      </c>
      <c r="AO822" s="19">
        <v>0</v>
      </c>
      <c r="AP822" s="19">
        <v>0</v>
      </c>
      <c r="AQ822" s="19">
        <v>0</v>
      </c>
      <c r="AR822" s="19">
        <v>0</v>
      </c>
      <c r="AS822" s="19">
        <v>0</v>
      </c>
      <c r="AT822" s="19">
        <v>0</v>
      </c>
      <c r="AU822" s="19">
        <v>0</v>
      </c>
      <c r="AV822" s="19">
        <v>0</v>
      </c>
      <c r="AW822" s="20">
        <v>0</v>
      </c>
      <c r="AX822" s="20">
        <v>0</v>
      </c>
      <c r="AY822" s="20">
        <v>0</v>
      </c>
      <c r="AZ822" s="19">
        <v>0</v>
      </c>
      <c r="BA822" s="19">
        <v>0</v>
      </c>
      <c r="BB822" s="19">
        <v>0</v>
      </c>
      <c r="BC822" s="19">
        <v>0</v>
      </c>
      <c r="BD822" s="19">
        <v>0</v>
      </c>
      <c r="BE822" s="21">
        <v>0</v>
      </c>
      <c r="BF822" s="21">
        <v>0</v>
      </c>
      <c r="BG822" s="19">
        <v>0</v>
      </c>
      <c r="BH822" s="19">
        <v>0</v>
      </c>
      <c r="BI822" s="22">
        <f t="shared" si="247"/>
        <v>0</v>
      </c>
      <c r="BJ822" s="22">
        <f t="shared" si="248"/>
        <v>2</v>
      </c>
      <c r="BK822" s="22">
        <f t="shared" si="249"/>
        <v>14</v>
      </c>
      <c r="BL822" s="22">
        <f t="shared" si="250"/>
        <v>8</v>
      </c>
      <c r="BM822" s="22">
        <f t="shared" si="246"/>
        <v>6</v>
      </c>
      <c r="BN822" s="23">
        <f t="shared" si="251"/>
        <v>1</v>
      </c>
      <c r="BO822" s="23">
        <f t="shared" si="251"/>
        <v>0.66666666666666663</v>
      </c>
      <c r="BP822" s="7" t="e">
        <f>VLOOKUP(A822,[1]Sheet15!B:E,4,0)</f>
        <v>#N/A</v>
      </c>
      <c r="BQ822" s="7" t="e">
        <f>VLOOKUP(A822,[1]Sheet15!B:E,3,0)</f>
        <v>#N/A</v>
      </c>
    </row>
    <row r="823" spans="1:69" ht="22.5" customHeight="1" x14ac:dyDescent="0.25">
      <c r="A823" s="15" t="s">
        <v>1955</v>
      </c>
      <c r="B823" s="15">
        <f>VLOOKUP(A823,'[1]Master clients'!F802:W4349,17,0)</f>
        <v>0</v>
      </c>
      <c r="C823" s="15" t="str">
        <f>VLOOKUP(A823,'[1]Master clients'!F802:P4349,11,0)</f>
        <v>AV</v>
      </c>
      <c r="D823" s="15" t="str">
        <f>VLOOKUP(A823,'[1]Master clients'!F:M,8,0)</f>
        <v>End User</v>
      </c>
      <c r="E823" s="16" t="s">
        <v>1956</v>
      </c>
      <c r="F823" s="16" t="s">
        <v>72</v>
      </c>
      <c r="G823" s="17">
        <v>31</v>
      </c>
      <c r="H823" s="17">
        <v>0</v>
      </c>
      <c r="I823" s="18">
        <v>6</v>
      </c>
      <c r="J823" s="18">
        <v>0</v>
      </c>
      <c r="K823" s="17">
        <v>0</v>
      </c>
      <c r="L823" s="17">
        <v>0</v>
      </c>
      <c r="M823" s="17">
        <v>0</v>
      </c>
      <c r="N823" s="17">
        <v>0</v>
      </c>
      <c r="O823" s="19">
        <v>0</v>
      </c>
      <c r="P823" s="19">
        <v>0</v>
      </c>
      <c r="Q823" s="19">
        <v>10</v>
      </c>
      <c r="R823" s="19">
        <v>0</v>
      </c>
      <c r="S823" s="19">
        <v>0</v>
      </c>
      <c r="T823" s="19">
        <v>0</v>
      </c>
      <c r="U823" s="19">
        <v>0</v>
      </c>
      <c r="V823" s="19">
        <v>0</v>
      </c>
      <c r="W823" s="20">
        <v>0</v>
      </c>
      <c r="X823" s="20">
        <v>0</v>
      </c>
      <c r="Y823" s="19">
        <v>0</v>
      </c>
      <c r="Z823" s="19">
        <v>1</v>
      </c>
      <c r="AA823" s="19">
        <v>0</v>
      </c>
      <c r="AB823" s="19">
        <v>0</v>
      </c>
      <c r="AC823" s="19">
        <v>0</v>
      </c>
      <c r="AD823" s="19">
        <v>0</v>
      </c>
      <c r="AE823" s="19">
        <v>0</v>
      </c>
      <c r="AF823" s="19">
        <v>0</v>
      </c>
      <c r="AG823" s="19">
        <v>0</v>
      </c>
      <c r="AH823" s="19">
        <v>0</v>
      </c>
      <c r="AI823" s="20">
        <v>0</v>
      </c>
      <c r="AJ823" s="20">
        <v>0</v>
      </c>
      <c r="AK823" s="19">
        <v>0</v>
      </c>
      <c r="AL823" s="20">
        <v>0</v>
      </c>
      <c r="AM823" s="19">
        <v>0</v>
      </c>
      <c r="AN823" s="19">
        <v>0</v>
      </c>
      <c r="AO823" s="19">
        <v>0</v>
      </c>
      <c r="AP823" s="19">
        <v>0</v>
      </c>
      <c r="AQ823" s="19">
        <v>0</v>
      </c>
      <c r="AR823" s="19">
        <v>0</v>
      </c>
      <c r="AS823" s="19">
        <v>4</v>
      </c>
      <c r="AT823" s="19">
        <v>0</v>
      </c>
      <c r="AU823" s="19">
        <v>0</v>
      </c>
      <c r="AV823" s="19">
        <v>0</v>
      </c>
      <c r="AW823" s="20">
        <v>0</v>
      </c>
      <c r="AX823" s="20">
        <v>0</v>
      </c>
      <c r="AY823" s="20">
        <v>0</v>
      </c>
      <c r="AZ823" s="19">
        <v>0</v>
      </c>
      <c r="BA823" s="19">
        <v>0</v>
      </c>
      <c r="BB823" s="19">
        <v>0</v>
      </c>
      <c r="BC823" s="19">
        <v>0</v>
      </c>
      <c r="BD823" s="19">
        <v>0</v>
      </c>
      <c r="BE823" s="21">
        <v>0</v>
      </c>
      <c r="BF823" s="21">
        <v>0</v>
      </c>
      <c r="BG823" s="19">
        <v>0</v>
      </c>
      <c r="BH823" s="19">
        <v>0</v>
      </c>
      <c r="BI823" s="22">
        <f t="shared" si="247"/>
        <v>5</v>
      </c>
      <c r="BJ823" s="22">
        <f t="shared" si="248"/>
        <v>10</v>
      </c>
      <c r="BK823" s="22">
        <f t="shared" si="249"/>
        <v>21</v>
      </c>
      <c r="BL823" s="22">
        <f t="shared" si="250"/>
        <v>11</v>
      </c>
      <c r="BM823" s="22">
        <f t="shared" si="246"/>
        <v>10</v>
      </c>
      <c r="BN823" s="23">
        <f t="shared" si="251"/>
        <v>0.54545454545454541</v>
      </c>
      <c r="BO823" s="23">
        <f t="shared" si="251"/>
        <v>0</v>
      </c>
      <c r="BP823" s="7">
        <f>VLOOKUP(A823,[1]Sheet15!B:E,4,0)</f>
        <v>5</v>
      </c>
      <c r="BQ823" s="7">
        <f>VLOOKUP(A823,[1]Sheet15!B:E,3,0)</f>
        <v>0</v>
      </c>
    </row>
    <row r="824" spans="1:69" ht="22.5" customHeight="1" x14ac:dyDescent="0.25">
      <c r="A824" s="15" t="s">
        <v>1957</v>
      </c>
      <c r="B824" s="15">
        <f>VLOOKUP(A824,'[1]Master clients'!F803:W4350,17,0)</f>
        <v>0</v>
      </c>
      <c r="C824" s="15" t="str">
        <f>VLOOKUP(A824,'[1]Master clients'!F803:P4350,11,0)</f>
        <v>AV</v>
      </c>
      <c r="D824" s="15" t="str">
        <f>VLOOKUP(A824,'[1]Master clients'!F:M,8,0)</f>
        <v>End User</v>
      </c>
      <c r="E824" s="16" t="s">
        <v>1958</v>
      </c>
      <c r="F824" s="16" t="s">
        <v>72</v>
      </c>
      <c r="G824" s="17">
        <v>30</v>
      </c>
      <c r="H824" s="17">
        <v>0</v>
      </c>
      <c r="I824" s="18">
        <v>18</v>
      </c>
      <c r="J824" s="18">
        <v>0</v>
      </c>
      <c r="K824" s="17">
        <v>6</v>
      </c>
      <c r="L824" s="17">
        <v>0</v>
      </c>
      <c r="M824" s="17">
        <v>0</v>
      </c>
      <c r="N824" s="17">
        <v>0</v>
      </c>
      <c r="O824" s="19">
        <v>0</v>
      </c>
      <c r="P824" s="19">
        <v>0</v>
      </c>
      <c r="Q824" s="19">
        <v>5</v>
      </c>
      <c r="R824" s="19">
        <v>0</v>
      </c>
      <c r="S824" s="19">
        <v>0</v>
      </c>
      <c r="T824" s="19">
        <v>0</v>
      </c>
      <c r="U824" s="19">
        <v>0</v>
      </c>
      <c r="V824" s="19">
        <v>0</v>
      </c>
      <c r="W824" s="20">
        <v>0</v>
      </c>
      <c r="X824" s="20">
        <v>0</v>
      </c>
      <c r="Y824" s="19">
        <v>0</v>
      </c>
      <c r="Z824" s="19">
        <v>0</v>
      </c>
      <c r="AA824" s="19">
        <v>0</v>
      </c>
      <c r="AB824" s="19">
        <v>0</v>
      </c>
      <c r="AC824" s="19">
        <v>0</v>
      </c>
      <c r="AD824" s="19">
        <v>0</v>
      </c>
      <c r="AE824" s="19">
        <v>1</v>
      </c>
      <c r="AF824" s="19">
        <v>0</v>
      </c>
      <c r="AG824" s="19">
        <v>0</v>
      </c>
      <c r="AH824" s="19">
        <v>0</v>
      </c>
      <c r="AI824" s="20">
        <v>0</v>
      </c>
      <c r="AJ824" s="20">
        <v>0</v>
      </c>
      <c r="AK824" s="19">
        <v>0</v>
      </c>
      <c r="AL824" s="20">
        <v>0</v>
      </c>
      <c r="AM824" s="19">
        <v>0</v>
      </c>
      <c r="AN824" s="19">
        <v>0</v>
      </c>
      <c r="AO824" s="19">
        <v>0</v>
      </c>
      <c r="AP824" s="19">
        <v>0</v>
      </c>
      <c r="AQ824" s="19">
        <v>0</v>
      </c>
      <c r="AR824" s="19">
        <v>0</v>
      </c>
      <c r="AS824" s="19">
        <v>0</v>
      </c>
      <c r="AT824" s="19">
        <v>0</v>
      </c>
      <c r="AU824" s="19">
        <v>0</v>
      </c>
      <c r="AV824" s="19">
        <v>0</v>
      </c>
      <c r="AW824" s="20">
        <v>0</v>
      </c>
      <c r="AX824" s="20">
        <v>0</v>
      </c>
      <c r="AY824" s="20">
        <v>0</v>
      </c>
      <c r="AZ824" s="19">
        <v>0</v>
      </c>
      <c r="BA824" s="19">
        <v>0</v>
      </c>
      <c r="BB824" s="19">
        <v>0</v>
      </c>
      <c r="BC824" s="19">
        <v>0</v>
      </c>
      <c r="BD824" s="19">
        <v>0</v>
      </c>
      <c r="BE824" s="21">
        <v>0</v>
      </c>
      <c r="BF824" s="21">
        <v>0</v>
      </c>
      <c r="BG824" s="19">
        <v>0</v>
      </c>
      <c r="BH824" s="19">
        <v>0</v>
      </c>
      <c r="BI824" s="22">
        <f t="shared" si="247"/>
        <v>7</v>
      </c>
      <c r="BJ824" s="22">
        <f t="shared" si="248"/>
        <v>5</v>
      </c>
      <c r="BK824" s="22">
        <f t="shared" si="249"/>
        <v>30</v>
      </c>
      <c r="BL824" s="22">
        <f t="shared" si="250"/>
        <v>25</v>
      </c>
      <c r="BM824" s="22">
        <f t="shared" si="246"/>
        <v>5</v>
      </c>
      <c r="BN824" s="23">
        <f t="shared" si="251"/>
        <v>0.72</v>
      </c>
      <c r="BO824" s="23">
        <f t="shared" si="251"/>
        <v>0</v>
      </c>
      <c r="BP824" s="7">
        <f>VLOOKUP(A824,[1]Sheet15!B:E,4,0)</f>
        <v>18</v>
      </c>
      <c r="BQ824" s="7">
        <f>VLOOKUP(A824,[1]Sheet15!B:E,3,0)</f>
        <v>0</v>
      </c>
    </row>
    <row r="825" spans="1:69" ht="22.5" customHeight="1" x14ac:dyDescent="0.25">
      <c r="A825" s="15" t="s">
        <v>1959</v>
      </c>
      <c r="B825" s="15" t="str">
        <f>VLOOKUP(A825,'[1]Master clients'!F804:W4351,17,0)</f>
        <v>May</v>
      </c>
      <c r="C825" s="15" t="str">
        <f>VLOOKUP(A825,'[1]Master clients'!F804:P4351,11,0)</f>
        <v>AV</v>
      </c>
      <c r="D825" s="15" t="str">
        <f>VLOOKUP(A825,'[1]Master clients'!F:M,8,0)</f>
        <v>End User</v>
      </c>
      <c r="E825" s="16" t="s">
        <v>1960</v>
      </c>
      <c r="F825" s="16" t="s">
        <v>72</v>
      </c>
      <c r="G825" s="17">
        <v>2</v>
      </c>
      <c r="H825" s="17">
        <v>0</v>
      </c>
      <c r="I825" s="18">
        <v>14</v>
      </c>
      <c r="J825" s="18">
        <v>4</v>
      </c>
      <c r="K825" s="17">
        <v>0</v>
      </c>
      <c r="L825" s="17">
        <v>0</v>
      </c>
      <c r="M825" s="17">
        <v>0</v>
      </c>
      <c r="N825" s="17">
        <v>0</v>
      </c>
      <c r="O825" s="19">
        <v>0</v>
      </c>
      <c r="P825" s="19">
        <v>0</v>
      </c>
      <c r="Q825" s="19">
        <v>0</v>
      </c>
      <c r="R825" s="19">
        <v>0</v>
      </c>
      <c r="S825" s="19">
        <v>0</v>
      </c>
      <c r="T825" s="19">
        <v>0</v>
      </c>
      <c r="U825" s="19">
        <v>0</v>
      </c>
      <c r="V825" s="19">
        <v>0</v>
      </c>
      <c r="W825" s="20">
        <v>0</v>
      </c>
      <c r="X825" s="20">
        <v>0</v>
      </c>
      <c r="Y825" s="19">
        <v>0</v>
      </c>
      <c r="Z825" s="19">
        <v>0</v>
      </c>
      <c r="AA825" s="19">
        <v>0</v>
      </c>
      <c r="AB825" s="19">
        <v>0</v>
      </c>
      <c r="AC825" s="19">
        <v>0</v>
      </c>
      <c r="AD825" s="19">
        <v>0</v>
      </c>
      <c r="AE825" s="19">
        <v>0</v>
      </c>
      <c r="AF825" s="19">
        <v>0</v>
      </c>
      <c r="AG825" s="19">
        <v>0</v>
      </c>
      <c r="AH825" s="19">
        <v>0</v>
      </c>
      <c r="AI825" s="20">
        <v>0</v>
      </c>
      <c r="AJ825" s="20">
        <v>0</v>
      </c>
      <c r="AK825" s="19">
        <v>0</v>
      </c>
      <c r="AL825" s="20">
        <v>0</v>
      </c>
      <c r="AM825" s="19">
        <v>0</v>
      </c>
      <c r="AN825" s="19">
        <v>0</v>
      </c>
      <c r="AO825" s="19">
        <v>0</v>
      </c>
      <c r="AP825" s="19">
        <v>0</v>
      </c>
      <c r="AQ825" s="19">
        <v>0</v>
      </c>
      <c r="AR825" s="19">
        <v>0</v>
      </c>
      <c r="AS825" s="19">
        <v>2</v>
      </c>
      <c r="AT825" s="19">
        <v>0</v>
      </c>
      <c r="AU825" s="19">
        <v>0</v>
      </c>
      <c r="AV825" s="19">
        <v>0</v>
      </c>
      <c r="AW825" s="20">
        <v>0</v>
      </c>
      <c r="AX825" s="20">
        <v>0</v>
      </c>
      <c r="AY825" s="20">
        <v>0</v>
      </c>
      <c r="AZ825" s="19">
        <v>0</v>
      </c>
      <c r="BA825" s="19">
        <v>0</v>
      </c>
      <c r="BB825" s="19">
        <v>0</v>
      </c>
      <c r="BC825" s="19">
        <v>0</v>
      </c>
      <c r="BD825" s="19">
        <v>0</v>
      </c>
      <c r="BE825" s="21">
        <v>0</v>
      </c>
      <c r="BF825" s="21">
        <v>0</v>
      </c>
      <c r="BG825" s="19">
        <v>0</v>
      </c>
      <c r="BH825" s="19">
        <v>0</v>
      </c>
      <c r="BI825" s="22">
        <f t="shared" si="247"/>
        <v>2</v>
      </c>
      <c r="BJ825" s="22">
        <f t="shared" si="248"/>
        <v>0</v>
      </c>
      <c r="BK825" s="22">
        <f t="shared" si="249"/>
        <v>20</v>
      </c>
      <c r="BL825" s="22">
        <f t="shared" si="250"/>
        <v>16</v>
      </c>
      <c r="BM825" s="22">
        <f t="shared" si="246"/>
        <v>4</v>
      </c>
      <c r="BN825" s="23">
        <f t="shared" si="251"/>
        <v>0.875</v>
      </c>
      <c r="BO825" s="23">
        <f t="shared" si="251"/>
        <v>1</v>
      </c>
      <c r="BP825" s="7">
        <f>VLOOKUP(A825,[1]Sheet15!B:E,4,0)</f>
        <v>2</v>
      </c>
      <c r="BQ825" s="7">
        <f>VLOOKUP(A825,[1]Sheet15!B:E,3,0)</f>
        <v>0</v>
      </c>
    </row>
    <row r="826" spans="1:69" ht="22.5" customHeight="1" x14ac:dyDescent="0.25">
      <c r="A826" s="15" t="s">
        <v>1961</v>
      </c>
      <c r="B826" s="15">
        <f>VLOOKUP(A826,'[1]Master clients'!F805:W4352,17,0)</f>
        <v>0</v>
      </c>
      <c r="C826" s="15" t="str">
        <f>VLOOKUP(A826,'[1]Master clients'!F805:P4352,11,0)</f>
        <v>AV</v>
      </c>
      <c r="D826" s="15" t="str">
        <f>VLOOKUP(A826,'[1]Master clients'!F:M,8,0)</f>
        <v>End User</v>
      </c>
      <c r="E826" s="16" t="s">
        <v>1962</v>
      </c>
      <c r="F826" s="16" t="s">
        <v>1963</v>
      </c>
      <c r="G826" s="17">
        <v>4</v>
      </c>
      <c r="H826" s="17">
        <v>2</v>
      </c>
      <c r="I826" s="18">
        <v>4</v>
      </c>
      <c r="J826" s="18">
        <v>2</v>
      </c>
      <c r="K826" s="17">
        <v>0</v>
      </c>
      <c r="L826" s="17">
        <v>0</v>
      </c>
      <c r="M826" s="17">
        <v>4</v>
      </c>
      <c r="N826" s="17">
        <v>0</v>
      </c>
      <c r="O826" s="19">
        <v>0</v>
      </c>
      <c r="P826" s="19">
        <v>0</v>
      </c>
      <c r="Q826" s="19">
        <v>0</v>
      </c>
      <c r="R826" s="19">
        <v>0</v>
      </c>
      <c r="S826" s="19">
        <v>0</v>
      </c>
      <c r="T826" s="19">
        <v>0</v>
      </c>
      <c r="U826" s="19">
        <v>0</v>
      </c>
      <c r="V826" s="19">
        <v>0</v>
      </c>
      <c r="W826" s="20">
        <v>0</v>
      </c>
      <c r="X826" s="20">
        <v>0</v>
      </c>
      <c r="Y826" s="19">
        <v>0</v>
      </c>
      <c r="Z826" s="19">
        <v>0</v>
      </c>
      <c r="AA826" s="19">
        <v>0</v>
      </c>
      <c r="AB826" s="19">
        <v>0</v>
      </c>
      <c r="AC826" s="19">
        <v>0</v>
      </c>
      <c r="AD826" s="19">
        <v>0</v>
      </c>
      <c r="AE826" s="19">
        <v>0</v>
      </c>
      <c r="AF826" s="19">
        <v>0</v>
      </c>
      <c r="AG826" s="19">
        <v>0</v>
      </c>
      <c r="AH826" s="19">
        <v>0</v>
      </c>
      <c r="AI826" s="20">
        <v>0</v>
      </c>
      <c r="AJ826" s="20">
        <v>0</v>
      </c>
      <c r="AK826" s="19">
        <v>0</v>
      </c>
      <c r="AL826" s="20">
        <v>0</v>
      </c>
      <c r="AM826" s="19">
        <v>0</v>
      </c>
      <c r="AN826" s="19">
        <v>0</v>
      </c>
      <c r="AO826" s="19">
        <v>0</v>
      </c>
      <c r="AP826" s="19">
        <v>0</v>
      </c>
      <c r="AQ826" s="19">
        <v>0</v>
      </c>
      <c r="AR826" s="19">
        <v>0</v>
      </c>
      <c r="AS826" s="19">
        <v>4</v>
      </c>
      <c r="AT826" s="19">
        <v>0</v>
      </c>
      <c r="AU826" s="19">
        <v>0</v>
      </c>
      <c r="AV826" s="19">
        <v>0</v>
      </c>
      <c r="AW826" s="20">
        <v>0</v>
      </c>
      <c r="AX826" s="20">
        <v>0</v>
      </c>
      <c r="AY826" s="20">
        <v>0</v>
      </c>
      <c r="AZ826" s="19">
        <v>0</v>
      </c>
      <c r="BA826" s="19">
        <v>0</v>
      </c>
      <c r="BB826" s="19">
        <v>0</v>
      </c>
      <c r="BC826" s="19">
        <v>0</v>
      </c>
      <c r="BD826" s="19">
        <v>0</v>
      </c>
      <c r="BE826" s="21">
        <v>0</v>
      </c>
      <c r="BF826" s="21">
        <v>0</v>
      </c>
      <c r="BG826" s="19">
        <v>0</v>
      </c>
      <c r="BH826" s="19">
        <v>0</v>
      </c>
      <c r="BI826" s="22">
        <f t="shared" si="247"/>
        <v>8</v>
      </c>
      <c r="BJ826" s="22">
        <f t="shared" si="248"/>
        <v>0</v>
      </c>
      <c r="BK826" s="22">
        <f t="shared" si="249"/>
        <v>14</v>
      </c>
      <c r="BL826" s="22">
        <f t="shared" si="250"/>
        <v>12</v>
      </c>
      <c r="BM826" s="22">
        <f t="shared" si="246"/>
        <v>2</v>
      </c>
      <c r="BN826" s="23">
        <f t="shared" si="251"/>
        <v>0.33333333333333331</v>
      </c>
      <c r="BO826" s="23">
        <f t="shared" si="251"/>
        <v>1</v>
      </c>
      <c r="BP826" s="7" t="e">
        <f>VLOOKUP(A826,[1]Sheet15!B:E,4,0)</f>
        <v>#N/A</v>
      </c>
      <c r="BQ826" s="7" t="e">
        <f>VLOOKUP(A826,[1]Sheet15!B:E,3,0)</f>
        <v>#N/A</v>
      </c>
    </row>
    <row r="827" spans="1:69" ht="22.5" customHeight="1" x14ac:dyDescent="0.25">
      <c r="A827" s="15" t="s">
        <v>1964</v>
      </c>
      <c r="B827" s="15" t="e">
        <f>VLOOKUP(A827,'[1]Master clients'!F806:W4353,17,0)</f>
        <v>#N/A</v>
      </c>
      <c r="C827" s="15" t="e">
        <f>VLOOKUP(A827,'[1]Master clients'!F806:P4353,11,0)</f>
        <v>#N/A</v>
      </c>
      <c r="D827" s="15" t="str">
        <f>VLOOKUP(A827,'[1]Master clients'!F:M,8,0)</f>
        <v>Group (Mills)</v>
      </c>
      <c r="E827" s="16" t="s">
        <v>1965</v>
      </c>
      <c r="F827" s="16" t="s">
        <v>72</v>
      </c>
      <c r="G827" s="17">
        <v>2</v>
      </c>
      <c r="H827" s="17">
        <v>0</v>
      </c>
      <c r="I827" s="18">
        <v>2</v>
      </c>
      <c r="J827" s="18">
        <v>0</v>
      </c>
      <c r="K827" s="17">
        <v>0</v>
      </c>
      <c r="L827" s="17">
        <v>0</v>
      </c>
      <c r="M827" s="17">
        <v>0</v>
      </c>
      <c r="N827" s="17">
        <v>0</v>
      </c>
      <c r="O827" s="19">
        <v>0</v>
      </c>
      <c r="P827" s="19">
        <v>10</v>
      </c>
      <c r="Q827" s="19">
        <v>10</v>
      </c>
      <c r="R827" s="19">
        <v>0</v>
      </c>
      <c r="S827" s="19">
        <v>0</v>
      </c>
      <c r="T827" s="19">
        <v>0</v>
      </c>
      <c r="U827" s="19">
        <v>0</v>
      </c>
      <c r="V827" s="19">
        <v>0</v>
      </c>
      <c r="W827" s="20">
        <v>0</v>
      </c>
      <c r="X827" s="20">
        <v>0</v>
      </c>
      <c r="Y827" s="19">
        <v>0</v>
      </c>
      <c r="Z827" s="19">
        <v>0</v>
      </c>
      <c r="AA827" s="19">
        <v>0</v>
      </c>
      <c r="AB827" s="19">
        <v>0</v>
      </c>
      <c r="AC827" s="19">
        <v>0</v>
      </c>
      <c r="AD827" s="19">
        <v>0</v>
      </c>
      <c r="AE827" s="19">
        <v>0</v>
      </c>
      <c r="AF827" s="19">
        <v>0</v>
      </c>
      <c r="AG827" s="19">
        <v>0</v>
      </c>
      <c r="AH827" s="19">
        <v>0</v>
      </c>
      <c r="AI827" s="20">
        <v>0</v>
      </c>
      <c r="AJ827" s="20">
        <v>0</v>
      </c>
      <c r="AK827" s="19">
        <v>0</v>
      </c>
      <c r="AL827" s="20">
        <v>0</v>
      </c>
      <c r="AM827" s="19">
        <v>0</v>
      </c>
      <c r="AN827" s="19">
        <v>0</v>
      </c>
      <c r="AO827" s="19">
        <v>0</v>
      </c>
      <c r="AP827" s="19">
        <v>0</v>
      </c>
      <c r="AQ827" s="19">
        <v>0</v>
      </c>
      <c r="AR827" s="19">
        <v>0</v>
      </c>
      <c r="AS827" s="19">
        <v>0</v>
      </c>
      <c r="AT827" s="19">
        <v>0</v>
      </c>
      <c r="AU827" s="19">
        <v>0</v>
      </c>
      <c r="AV827" s="19">
        <v>0</v>
      </c>
      <c r="AW827" s="20">
        <v>0</v>
      </c>
      <c r="AX827" s="20">
        <v>0</v>
      </c>
      <c r="AY827" s="20">
        <v>0</v>
      </c>
      <c r="AZ827" s="19">
        <v>0</v>
      </c>
      <c r="BA827" s="19">
        <v>0</v>
      </c>
      <c r="BB827" s="19">
        <v>0</v>
      </c>
      <c r="BC827" s="19">
        <v>0</v>
      </c>
      <c r="BD827" s="19">
        <v>2</v>
      </c>
      <c r="BE827" s="21">
        <v>0</v>
      </c>
      <c r="BF827" s="21">
        <v>0</v>
      </c>
      <c r="BG827" s="19">
        <v>0</v>
      </c>
      <c r="BH827" s="19">
        <v>0</v>
      </c>
      <c r="BI827" s="22">
        <f t="shared" si="247"/>
        <v>10</v>
      </c>
      <c r="BJ827" s="22">
        <f t="shared" si="248"/>
        <v>12</v>
      </c>
      <c r="BK827" s="22">
        <f t="shared" si="249"/>
        <v>24</v>
      </c>
      <c r="BL827" s="22">
        <f t="shared" si="250"/>
        <v>12</v>
      </c>
      <c r="BM827" s="22">
        <f t="shared" si="246"/>
        <v>12</v>
      </c>
      <c r="BN827" s="23">
        <f t="shared" si="251"/>
        <v>0.16666666666666666</v>
      </c>
      <c r="BO827" s="23">
        <f t="shared" si="251"/>
        <v>0</v>
      </c>
      <c r="BP827" s="7">
        <f>VLOOKUP(A827,[1]Sheet15!B:E,4,0)</f>
        <v>2</v>
      </c>
      <c r="BQ827" s="7">
        <f>VLOOKUP(A827,[1]Sheet15!B:E,3,0)</f>
        <v>0</v>
      </c>
    </row>
    <row r="828" spans="1:69" ht="22.5" customHeight="1" x14ac:dyDescent="0.25">
      <c r="A828" s="15" t="s">
        <v>1966</v>
      </c>
      <c r="B828" s="15" t="e">
        <f>VLOOKUP(A828,'[1]Master clients'!F807:W4354,17,0)</f>
        <v>#N/A</v>
      </c>
      <c r="C828" s="15" t="e">
        <f>VLOOKUP(A828,'[1]Master clients'!F807:P4354,11,0)</f>
        <v>#N/A</v>
      </c>
      <c r="D828" s="15" t="str">
        <f>VLOOKUP(A828,'[1]Master clients'!F:M,8,0)</f>
        <v>Group (Mills)</v>
      </c>
      <c r="E828" s="16" t="s">
        <v>1967</v>
      </c>
      <c r="F828" s="16" t="s">
        <v>72</v>
      </c>
      <c r="G828" s="17"/>
      <c r="H828" s="17"/>
      <c r="I828" s="31">
        <v>0</v>
      </c>
      <c r="J828" s="31">
        <v>0</v>
      </c>
      <c r="K828" s="17">
        <v>0</v>
      </c>
      <c r="L828" s="17">
        <v>0</v>
      </c>
      <c r="M828" s="17">
        <v>0</v>
      </c>
      <c r="N828" s="17">
        <v>0</v>
      </c>
      <c r="O828" s="17">
        <v>0</v>
      </c>
      <c r="P828" s="17">
        <v>0</v>
      </c>
      <c r="Q828" s="17">
        <v>0</v>
      </c>
      <c r="R828" s="17">
        <v>0</v>
      </c>
      <c r="S828" s="17">
        <v>0</v>
      </c>
      <c r="T828" s="17">
        <v>0</v>
      </c>
      <c r="U828" s="17">
        <v>0</v>
      </c>
      <c r="V828" s="17">
        <v>0</v>
      </c>
      <c r="W828" s="17">
        <v>0</v>
      </c>
      <c r="X828" s="17">
        <v>0</v>
      </c>
      <c r="Y828" s="17">
        <v>0</v>
      </c>
      <c r="Z828" s="17">
        <v>0</v>
      </c>
      <c r="AA828" s="17">
        <v>0</v>
      </c>
      <c r="AB828" s="17">
        <v>0</v>
      </c>
      <c r="AC828" s="17">
        <v>0</v>
      </c>
      <c r="AD828" s="17">
        <v>0</v>
      </c>
      <c r="AE828" s="17">
        <v>0</v>
      </c>
      <c r="AF828" s="17">
        <v>0</v>
      </c>
      <c r="AG828" s="17">
        <v>0</v>
      </c>
      <c r="AH828" s="17">
        <v>0</v>
      </c>
      <c r="AI828" s="17">
        <v>0</v>
      </c>
      <c r="AJ828" s="17">
        <v>0</v>
      </c>
      <c r="AK828" s="17">
        <v>0</v>
      </c>
      <c r="AL828" s="17">
        <v>0</v>
      </c>
      <c r="AM828" s="17">
        <v>0</v>
      </c>
      <c r="AN828" s="17">
        <v>0</v>
      </c>
      <c r="AO828" s="17">
        <v>0</v>
      </c>
      <c r="AP828" s="17">
        <v>0</v>
      </c>
      <c r="AQ828" s="17">
        <v>0</v>
      </c>
      <c r="AR828" s="17">
        <v>0</v>
      </c>
      <c r="AS828" s="17">
        <v>0</v>
      </c>
      <c r="AT828" s="17">
        <v>0</v>
      </c>
      <c r="AU828" s="17">
        <v>0</v>
      </c>
      <c r="AV828" s="17">
        <v>0</v>
      </c>
      <c r="AW828" s="17">
        <v>0</v>
      </c>
      <c r="AX828" s="17">
        <v>0</v>
      </c>
      <c r="AY828" s="17">
        <v>0</v>
      </c>
      <c r="AZ828" s="17">
        <v>0</v>
      </c>
      <c r="BA828" s="17">
        <v>0</v>
      </c>
      <c r="BB828" s="17">
        <v>0</v>
      </c>
      <c r="BC828" s="17">
        <v>0</v>
      </c>
      <c r="BD828" s="17">
        <v>0</v>
      </c>
      <c r="BE828" s="17">
        <v>0</v>
      </c>
      <c r="BF828" s="17">
        <v>0</v>
      </c>
      <c r="BG828" s="17">
        <v>0</v>
      </c>
      <c r="BH828" s="17">
        <v>0</v>
      </c>
      <c r="BI828" s="22">
        <f t="shared" si="247"/>
        <v>0</v>
      </c>
      <c r="BJ828" s="22">
        <f t="shared" si="248"/>
        <v>0</v>
      </c>
      <c r="BK828" s="22">
        <f t="shared" si="249"/>
        <v>0</v>
      </c>
      <c r="BL828" s="22">
        <f t="shared" si="250"/>
        <v>0</v>
      </c>
      <c r="BM828" s="22">
        <f t="shared" si="246"/>
        <v>0</v>
      </c>
      <c r="BN828" s="23" t="e">
        <f t="shared" si="251"/>
        <v>#DIV/0!</v>
      </c>
      <c r="BO828" s="23" t="e">
        <f t="shared" si="251"/>
        <v>#DIV/0!</v>
      </c>
      <c r="BP828" s="7" t="e">
        <f>VLOOKUP(A828,[1]Sheet15!B:E,4,0)</f>
        <v>#N/A</v>
      </c>
      <c r="BQ828" s="7" t="e">
        <f>VLOOKUP(A828,[1]Sheet15!B:E,3,0)</f>
        <v>#N/A</v>
      </c>
    </row>
    <row r="829" spans="1:69" ht="22.5" customHeight="1" x14ac:dyDescent="0.25">
      <c r="A829" s="15" t="s">
        <v>1968</v>
      </c>
      <c r="B829" s="15">
        <f>VLOOKUP(A829,'[1]Master clients'!F808:W4355,17,0)</f>
        <v>0</v>
      </c>
      <c r="C829" s="15" t="str">
        <f>VLOOKUP(A829,'[1]Master clients'!F808:P4355,11,0)</f>
        <v>AV</v>
      </c>
      <c r="D829" s="15" t="str">
        <f>VLOOKUP(A829,'[1]Master clients'!F:M,8,0)</f>
        <v>End User</v>
      </c>
      <c r="E829" s="16" t="s">
        <v>1969</v>
      </c>
      <c r="F829" s="16" t="s">
        <v>1970</v>
      </c>
      <c r="G829" s="17">
        <v>7</v>
      </c>
      <c r="H829" s="17">
        <v>0</v>
      </c>
      <c r="I829" s="18">
        <v>7</v>
      </c>
      <c r="J829" s="18">
        <v>0</v>
      </c>
      <c r="K829" s="17">
        <v>0</v>
      </c>
      <c r="L829" s="17">
        <v>0</v>
      </c>
      <c r="M829" s="17">
        <v>0</v>
      </c>
      <c r="N829" s="17">
        <v>0</v>
      </c>
      <c r="O829" s="19">
        <v>0</v>
      </c>
      <c r="P829" s="19">
        <v>0</v>
      </c>
      <c r="Q829" s="19">
        <v>6</v>
      </c>
      <c r="R829" s="19">
        <v>0</v>
      </c>
      <c r="S829" s="19">
        <v>0</v>
      </c>
      <c r="T829" s="19">
        <v>0</v>
      </c>
      <c r="U829" s="19">
        <v>0</v>
      </c>
      <c r="V829" s="19">
        <v>0</v>
      </c>
      <c r="W829" s="20">
        <v>0</v>
      </c>
      <c r="X829" s="20">
        <v>0</v>
      </c>
      <c r="Y829" s="19">
        <v>0</v>
      </c>
      <c r="Z829" s="19">
        <v>5</v>
      </c>
      <c r="AA829" s="19">
        <v>0</v>
      </c>
      <c r="AB829" s="19">
        <v>1</v>
      </c>
      <c r="AC829" s="19">
        <v>0</v>
      </c>
      <c r="AD829" s="19">
        <v>0</v>
      </c>
      <c r="AE829" s="19">
        <v>0</v>
      </c>
      <c r="AF829" s="19">
        <v>0</v>
      </c>
      <c r="AG829" s="19">
        <v>0</v>
      </c>
      <c r="AH829" s="19">
        <v>0</v>
      </c>
      <c r="AI829" s="20">
        <v>0</v>
      </c>
      <c r="AJ829" s="20">
        <v>0</v>
      </c>
      <c r="AK829" s="19">
        <v>3</v>
      </c>
      <c r="AL829" s="20">
        <v>0</v>
      </c>
      <c r="AM829" s="19">
        <v>0</v>
      </c>
      <c r="AN829" s="19">
        <v>0</v>
      </c>
      <c r="AO829" s="19">
        <v>0</v>
      </c>
      <c r="AP829" s="19">
        <v>0</v>
      </c>
      <c r="AQ829" s="19">
        <v>0</v>
      </c>
      <c r="AR829" s="19">
        <v>0</v>
      </c>
      <c r="AS829" s="19">
        <v>1</v>
      </c>
      <c r="AT829" s="19">
        <v>0</v>
      </c>
      <c r="AU829" s="19">
        <v>0</v>
      </c>
      <c r="AV829" s="19">
        <v>0</v>
      </c>
      <c r="AW829" s="20">
        <v>0</v>
      </c>
      <c r="AX829" s="20">
        <v>0</v>
      </c>
      <c r="AY829" s="20">
        <v>0</v>
      </c>
      <c r="AZ829" s="19">
        <v>0</v>
      </c>
      <c r="BA829" s="19">
        <v>0</v>
      </c>
      <c r="BB829" s="19">
        <v>0</v>
      </c>
      <c r="BC829" s="19">
        <v>0</v>
      </c>
      <c r="BD829" s="19">
        <v>0</v>
      </c>
      <c r="BE829" s="21">
        <v>0</v>
      </c>
      <c r="BF829" s="21">
        <v>0</v>
      </c>
      <c r="BG829" s="19">
        <v>0</v>
      </c>
      <c r="BH829" s="19">
        <v>0</v>
      </c>
      <c r="BI829" s="22">
        <f t="shared" si="247"/>
        <v>10</v>
      </c>
      <c r="BJ829" s="22">
        <f t="shared" si="248"/>
        <v>6</v>
      </c>
      <c r="BK829" s="22">
        <f t="shared" si="249"/>
        <v>23</v>
      </c>
      <c r="BL829" s="22">
        <f t="shared" si="250"/>
        <v>17</v>
      </c>
      <c r="BM829" s="22">
        <f t="shared" si="246"/>
        <v>6</v>
      </c>
      <c r="BN829" s="23">
        <f t="shared" si="251"/>
        <v>0.41176470588235292</v>
      </c>
      <c r="BO829" s="23">
        <f t="shared" si="251"/>
        <v>0</v>
      </c>
      <c r="BP829" s="7">
        <f>VLOOKUP(A829,[1]Sheet15!B:E,4,0)</f>
        <v>3</v>
      </c>
      <c r="BQ829" s="7">
        <f>VLOOKUP(A829,[1]Sheet15!B:E,3,0)</f>
        <v>0</v>
      </c>
    </row>
    <row r="830" spans="1:69" ht="22.5" customHeight="1" x14ac:dyDescent="0.25">
      <c r="A830" s="15" t="s">
        <v>1971</v>
      </c>
      <c r="B830" s="15" t="str">
        <f>VLOOKUP(A830,'[1]Master clients'!F809:W4356,17,0)</f>
        <v>May</v>
      </c>
      <c r="C830" s="15" t="str">
        <f>VLOOKUP(A830,'[1]Master clients'!F809:P4356,11,0)</f>
        <v>AV</v>
      </c>
      <c r="D830" s="15" t="str">
        <f>VLOOKUP(A830,'[1]Master clients'!F:M,8,0)</f>
        <v>Group (Mills)</v>
      </c>
      <c r="E830" s="24" t="s">
        <v>1972</v>
      </c>
      <c r="F830" s="25" t="s">
        <v>72</v>
      </c>
      <c r="G830" s="20">
        <v>36</v>
      </c>
      <c r="H830" s="20">
        <v>1</v>
      </c>
      <c r="I830" s="26">
        <v>24</v>
      </c>
      <c r="J830" s="26">
        <v>1</v>
      </c>
      <c r="K830" s="20">
        <v>0</v>
      </c>
      <c r="L830" s="20">
        <v>0</v>
      </c>
      <c r="M830" s="20">
        <v>0</v>
      </c>
      <c r="N830" s="20">
        <v>0</v>
      </c>
      <c r="O830" s="20">
        <v>0</v>
      </c>
      <c r="P830" s="20">
        <v>0</v>
      </c>
      <c r="Q830" s="20">
        <v>0</v>
      </c>
      <c r="R830" s="20">
        <v>0</v>
      </c>
      <c r="S830" s="20">
        <v>0</v>
      </c>
      <c r="T830" s="20">
        <v>0</v>
      </c>
      <c r="U830" s="20">
        <v>0</v>
      </c>
      <c r="V830" s="20">
        <v>0</v>
      </c>
      <c r="W830" s="20">
        <v>0</v>
      </c>
      <c r="X830" s="20">
        <v>0</v>
      </c>
      <c r="Y830" s="20">
        <v>0</v>
      </c>
      <c r="Z830" s="20">
        <v>0</v>
      </c>
      <c r="AA830" s="20">
        <v>0</v>
      </c>
      <c r="AB830" s="20">
        <v>0</v>
      </c>
      <c r="AC830" s="20">
        <v>0</v>
      </c>
      <c r="AD830" s="20">
        <v>0</v>
      </c>
      <c r="AE830" s="20">
        <v>0</v>
      </c>
      <c r="AF830" s="20">
        <v>0</v>
      </c>
      <c r="AG830" s="20">
        <v>0</v>
      </c>
      <c r="AH830" s="20">
        <v>0</v>
      </c>
      <c r="AI830" s="20">
        <v>0</v>
      </c>
      <c r="AJ830" s="20">
        <v>0</v>
      </c>
      <c r="AK830" s="20">
        <v>0</v>
      </c>
      <c r="AL830" s="20">
        <v>0</v>
      </c>
      <c r="AM830" s="20">
        <v>0</v>
      </c>
      <c r="AN830" s="20">
        <v>0</v>
      </c>
      <c r="AO830" s="20">
        <v>0</v>
      </c>
      <c r="AP830" s="20">
        <v>0</v>
      </c>
      <c r="AQ830" s="20">
        <v>0</v>
      </c>
      <c r="AR830" s="20">
        <v>0</v>
      </c>
      <c r="AS830" s="20">
        <v>0</v>
      </c>
      <c r="AT830" s="20">
        <v>0</v>
      </c>
      <c r="AU830" s="20">
        <v>0</v>
      </c>
      <c r="AV830" s="20">
        <v>0</v>
      </c>
      <c r="AW830" s="20">
        <v>0</v>
      </c>
      <c r="AX830" s="20">
        <v>0</v>
      </c>
      <c r="AY830" s="20">
        <v>0</v>
      </c>
      <c r="AZ830" s="20">
        <v>0</v>
      </c>
      <c r="BA830" s="20">
        <v>0</v>
      </c>
      <c r="BB830" s="27">
        <v>0</v>
      </c>
      <c r="BC830" s="20">
        <v>0</v>
      </c>
      <c r="BD830" s="20">
        <v>0</v>
      </c>
      <c r="BE830" s="21">
        <v>0</v>
      </c>
      <c r="BF830" s="21">
        <v>0</v>
      </c>
      <c r="BG830" s="20">
        <v>0</v>
      </c>
      <c r="BH830" s="20">
        <v>0</v>
      </c>
      <c r="BI830" s="22">
        <f t="shared" si="247"/>
        <v>0</v>
      </c>
      <c r="BJ830" s="22">
        <f t="shared" si="248"/>
        <v>0</v>
      </c>
      <c r="BK830" s="28">
        <f t="shared" si="249"/>
        <v>25</v>
      </c>
      <c r="BL830" s="22">
        <f t="shared" si="250"/>
        <v>24</v>
      </c>
      <c r="BM830" s="22">
        <f t="shared" si="246"/>
        <v>1</v>
      </c>
      <c r="BN830" s="23">
        <f t="shared" si="251"/>
        <v>1</v>
      </c>
      <c r="BO830" s="23">
        <f t="shared" si="251"/>
        <v>1</v>
      </c>
      <c r="BP830" s="7">
        <f>VLOOKUP(A830,[1]Sheet15!B:E,4,0)</f>
        <v>39</v>
      </c>
      <c r="BQ830" s="7">
        <f>VLOOKUP(A830,[1]Sheet15!B:E,3,0)</f>
        <v>1</v>
      </c>
    </row>
    <row r="831" spans="1:69" ht="22.5" customHeight="1" x14ac:dyDescent="0.25">
      <c r="A831" s="15" t="s">
        <v>1973</v>
      </c>
      <c r="B831" s="15">
        <f>VLOOKUP(A831,'[1]Master clients'!F810:W4357,17,0)</f>
        <v>0</v>
      </c>
      <c r="C831" s="15" t="str">
        <f>VLOOKUP(A831,'[1]Master clients'!F810:P4357,11,0)</f>
        <v>-</v>
      </c>
      <c r="D831" s="15" t="str">
        <f>VLOOKUP(A831,'[1]Master clients'!F:M,8,0)</f>
        <v>End User</v>
      </c>
      <c r="E831" s="24" t="s">
        <v>1974</v>
      </c>
      <c r="F831" s="25" t="s">
        <v>1905</v>
      </c>
      <c r="G831" s="20">
        <v>28</v>
      </c>
      <c r="H831" s="20">
        <v>1</v>
      </c>
      <c r="I831" s="26">
        <v>25</v>
      </c>
      <c r="J831" s="26">
        <v>1</v>
      </c>
      <c r="K831" s="20">
        <v>0</v>
      </c>
      <c r="L831" s="20">
        <v>0</v>
      </c>
      <c r="M831" s="20">
        <v>0</v>
      </c>
      <c r="N831" s="20">
        <v>0</v>
      </c>
      <c r="O831" s="20">
        <v>0</v>
      </c>
      <c r="P831" s="20">
        <v>0</v>
      </c>
      <c r="Q831" s="20">
        <v>0</v>
      </c>
      <c r="R831" s="20">
        <v>0</v>
      </c>
      <c r="S831" s="20">
        <v>0</v>
      </c>
      <c r="T831" s="20">
        <v>0</v>
      </c>
      <c r="U831" s="20">
        <v>0</v>
      </c>
      <c r="V831" s="20">
        <v>0</v>
      </c>
      <c r="W831" s="20">
        <v>0</v>
      </c>
      <c r="X831" s="20">
        <v>0</v>
      </c>
      <c r="Y831" s="20">
        <v>0</v>
      </c>
      <c r="Z831" s="20">
        <v>0</v>
      </c>
      <c r="AA831" s="20">
        <v>0</v>
      </c>
      <c r="AB831" s="20">
        <v>0</v>
      </c>
      <c r="AC831" s="20">
        <v>0</v>
      </c>
      <c r="AD831" s="20">
        <v>0</v>
      </c>
      <c r="AE831" s="20">
        <v>0</v>
      </c>
      <c r="AF831" s="20">
        <v>0</v>
      </c>
      <c r="AG831" s="20">
        <v>0</v>
      </c>
      <c r="AH831" s="20">
        <v>0</v>
      </c>
      <c r="AI831" s="20">
        <v>0</v>
      </c>
      <c r="AJ831" s="20">
        <v>0</v>
      </c>
      <c r="AK831" s="20">
        <v>0</v>
      </c>
      <c r="AL831" s="20">
        <v>0</v>
      </c>
      <c r="AM831" s="20">
        <v>0</v>
      </c>
      <c r="AN831" s="20">
        <v>0</v>
      </c>
      <c r="AO831" s="20">
        <v>0</v>
      </c>
      <c r="AP831" s="20">
        <v>0</v>
      </c>
      <c r="AQ831" s="20">
        <v>0</v>
      </c>
      <c r="AR831" s="20">
        <v>0</v>
      </c>
      <c r="AS831" s="20">
        <v>3</v>
      </c>
      <c r="AT831" s="20">
        <v>0</v>
      </c>
      <c r="AU831" s="20">
        <v>0</v>
      </c>
      <c r="AV831" s="20">
        <v>0</v>
      </c>
      <c r="AW831" s="20">
        <v>0</v>
      </c>
      <c r="AX831" s="20">
        <v>0</v>
      </c>
      <c r="AY831" s="20">
        <v>0</v>
      </c>
      <c r="AZ831" s="20">
        <v>0</v>
      </c>
      <c r="BA831" s="20">
        <v>0</v>
      </c>
      <c r="BB831" s="27">
        <v>0</v>
      </c>
      <c r="BC831" s="20">
        <v>0</v>
      </c>
      <c r="BD831" s="20">
        <v>0</v>
      </c>
      <c r="BE831" s="21">
        <v>0</v>
      </c>
      <c r="BF831" s="21">
        <v>0</v>
      </c>
      <c r="BG831" s="20">
        <v>0</v>
      </c>
      <c r="BH831" s="20">
        <v>0</v>
      </c>
      <c r="BI831" s="22">
        <f t="shared" si="247"/>
        <v>3</v>
      </c>
      <c r="BJ831" s="22">
        <f t="shared" si="248"/>
        <v>0</v>
      </c>
      <c r="BK831" s="28">
        <f t="shared" si="249"/>
        <v>29</v>
      </c>
      <c r="BL831" s="22">
        <f t="shared" si="250"/>
        <v>28</v>
      </c>
      <c r="BM831" s="22">
        <f t="shared" ref="BM831:BM852" si="252">SUM(J831+N831+O831+Q831+S831+U831+X831+AA831+AD831+AF831+AM831+AP831+AQ831+AT831+AX831+AY831+BD831+BH831)</f>
        <v>1</v>
      </c>
      <c r="BN831" s="23">
        <f t="shared" si="251"/>
        <v>0.8928571428571429</v>
      </c>
      <c r="BO831" s="23">
        <f t="shared" si="251"/>
        <v>1</v>
      </c>
      <c r="BP831" s="7">
        <f>VLOOKUP(A831,[1]Sheet15!B:E,4,0)</f>
        <v>2</v>
      </c>
      <c r="BQ831" s="7">
        <f>VLOOKUP(A831,[1]Sheet15!B:E,3,0)</f>
        <v>1</v>
      </c>
    </row>
    <row r="832" spans="1:69" ht="22.5" customHeight="1" x14ac:dyDescent="0.25">
      <c r="A832" s="15" t="s">
        <v>1975</v>
      </c>
      <c r="B832" s="15" t="str">
        <f>VLOOKUP(A832,'[1]Master clients'!F811:W4358,17,0)</f>
        <v>May</v>
      </c>
      <c r="C832" s="15" t="str">
        <f>VLOOKUP(A832,'[1]Master clients'!F811:P4358,11,0)</f>
        <v>AV</v>
      </c>
      <c r="D832" s="15" t="str">
        <f>VLOOKUP(A832,'[1]Master clients'!F:M,8,0)</f>
        <v>Group (Mills)</v>
      </c>
      <c r="E832" s="24" t="s">
        <v>1976</v>
      </c>
      <c r="F832" s="25" t="s">
        <v>72</v>
      </c>
      <c r="G832" s="20">
        <v>10</v>
      </c>
      <c r="H832" s="20">
        <v>0</v>
      </c>
      <c r="I832" s="26">
        <v>13</v>
      </c>
      <c r="J832" s="26">
        <v>3</v>
      </c>
      <c r="K832" s="20">
        <v>0</v>
      </c>
      <c r="L832" s="20">
        <v>0</v>
      </c>
      <c r="M832" s="20">
        <v>0</v>
      </c>
      <c r="N832" s="20">
        <v>0</v>
      </c>
      <c r="O832" s="20">
        <v>0</v>
      </c>
      <c r="P832" s="20">
        <v>0</v>
      </c>
      <c r="Q832" s="20">
        <v>0</v>
      </c>
      <c r="R832" s="20">
        <v>0</v>
      </c>
      <c r="S832" s="20">
        <v>0</v>
      </c>
      <c r="T832" s="20">
        <v>0</v>
      </c>
      <c r="U832" s="20">
        <v>0</v>
      </c>
      <c r="V832" s="20">
        <v>0</v>
      </c>
      <c r="W832" s="20">
        <v>0</v>
      </c>
      <c r="X832" s="20">
        <v>0</v>
      </c>
      <c r="Y832" s="20">
        <v>0</v>
      </c>
      <c r="Z832" s="20">
        <v>0</v>
      </c>
      <c r="AA832" s="20">
        <v>0</v>
      </c>
      <c r="AB832" s="20">
        <v>0</v>
      </c>
      <c r="AC832" s="20">
        <v>0</v>
      </c>
      <c r="AD832" s="20">
        <v>0</v>
      </c>
      <c r="AE832" s="20">
        <v>1</v>
      </c>
      <c r="AF832" s="20">
        <v>0</v>
      </c>
      <c r="AG832" s="20">
        <v>0</v>
      </c>
      <c r="AH832" s="20">
        <v>0</v>
      </c>
      <c r="AI832" s="20">
        <v>0</v>
      </c>
      <c r="AJ832" s="20">
        <v>0</v>
      </c>
      <c r="AK832" s="20">
        <v>0</v>
      </c>
      <c r="AL832" s="20">
        <v>0</v>
      </c>
      <c r="AM832" s="20">
        <v>0</v>
      </c>
      <c r="AN832" s="20">
        <v>0</v>
      </c>
      <c r="AO832" s="20">
        <v>0</v>
      </c>
      <c r="AP832" s="20">
        <v>0</v>
      </c>
      <c r="AQ832" s="20">
        <v>0</v>
      </c>
      <c r="AR832" s="20">
        <v>0</v>
      </c>
      <c r="AS832" s="20">
        <v>0</v>
      </c>
      <c r="AT832" s="20">
        <v>0</v>
      </c>
      <c r="AU832" s="20">
        <v>0</v>
      </c>
      <c r="AV832" s="20">
        <v>0</v>
      </c>
      <c r="AW832" s="20">
        <v>0</v>
      </c>
      <c r="AX832" s="20">
        <v>0</v>
      </c>
      <c r="AY832" s="20">
        <v>0</v>
      </c>
      <c r="AZ832" s="20">
        <v>0</v>
      </c>
      <c r="BA832" s="20">
        <v>0</v>
      </c>
      <c r="BB832" s="27">
        <v>0</v>
      </c>
      <c r="BC832" s="20">
        <v>0</v>
      </c>
      <c r="BD832" s="20">
        <v>0</v>
      </c>
      <c r="BE832" s="21">
        <v>0</v>
      </c>
      <c r="BF832" s="21">
        <v>0</v>
      </c>
      <c r="BG832" s="20">
        <v>0</v>
      </c>
      <c r="BH832" s="20">
        <v>0</v>
      </c>
      <c r="BI832" s="22">
        <f t="shared" si="247"/>
        <v>1</v>
      </c>
      <c r="BJ832" s="22">
        <f t="shared" si="248"/>
        <v>0</v>
      </c>
      <c r="BK832" s="28">
        <f t="shared" si="249"/>
        <v>17</v>
      </c>
      <c r="BL832" s="22">
        <f t="shared" si="250"/>
        <v>14</v>
      </c>
      <c r="BM832" s="22">
        <f t="shared" si="252"/>
        <v>3</v>
      </c>
      <c r="BN832" s="23">
        <f t="shared" ref="BN832:BO847" si="253">I832/BL832</f>
        <v>0.9285714285714286</v>
      </c>
      <c r="BO832" s="23">
        <f t="shared" si="253"/>
        <v>1</v>
      </c>
      <c r="BP832" s="7">
        <f>VLOOKUP(A832,[1]Sheet15!B:E,4,0)</f>
        <v>9</v>
      </c>
      <c r="BQ832" s="7">
        <f>VLOOKUP(A832,[1]Sheet15!B:E,3,0)</f>
        <v>1</v>
      </c>
    </row>
    <row r="833" spans="1:69" ht="22.5" customHeight="1" x14ac:dyDescent="0.25">
      <c r="A833" s="15" t="s">
        <v>1977</v>
      </c>
      <c r="B833" s="15">
        <f>VLOOKUP(A833,'[1]Master clients'!F812:W4359,17,0)</f>
        <v>0</v>
      </c>
      <c r="C833" s="15" t="str">
        <f>VLOOKUP(A833,'[1]Master clients'!F812:P4359,11,0)</f>
        <v>AV</v>
      </c>
      <c r="D833" s="15" t="str">
        <f>VLOOKUP(A833,'[1]Master clients'!F:M,8,0)</f>
        <v>End User</v>
      </c>
      <c r="E833" s="24" t="s">
        <v>1978</v>
      </c>
      <c r="F833" s="25" t="s">
        <v>72</v>
      </c>
      <c r="G833" s="20"/>
      <c r="H833" s="20"/>
      <c r="I833" s="26">
        <v>0</v>
      </c>
      <c r="J833" s="26">
        <v>0</v>
      </c>
      <c r="K833" s="20">
        <v>0</v>
      </c>
      <c r="L833" s="20">
        <v>0</v>
      </c>
      <c r="M833" s="20">
        <v>0</v>
      </c>
      <c r="N833" s="20">
        <v>0</v>
      </c>
      <c r="O833" s="20">
        <v>0</v>
      </c>
      <c r="P833" s="20">
        <v>0</v>
      </c>
      <c r="Q833" s="20">
        <v>0</v>
      </c>
      <c r="R833" s="20">
        <v>0</v>
      </c>
      <c r="S833" s="20">
        <v>0</v>
      </c>
      <c r="T833" s="20">
        <v>0</v>
      </c>
      <c r="U833" s="20">
        <v>0</v>
      </c>
      <c r="V833" s="20">
        <v>0</v>
      </c>
      <c r="W833" s="20">
        <v>0</v>
      </c>
      <c r="X833" s="20">
        <v>0</v>
      </c>
      <c r="Y833" s="20">
        <v>0</v>
      </c>
      <c r="Z833" s="20">
        <v>0</v>
      </c>
      <c r="AA833" s="20">
        <v>0</v>
      </c>
      <c r="AB833" s="20">
        <v>0</v>
      </c>
      <c r="AC833" s="20">
        <v>0</v>
      </c>
      <c r="AD833" s="20">
        <v>0</v>
      </c>
      <c r="AE833" s="20">
        <v>0</v>
      </c>
      <c r="AF833" s="20">
        <v>0</v>
      </c>
      <c r="AG833" s="20">
        <v>0</v>
      </c>
      <c r="AH833" s="20">
        <v>0</v>
      </c>
      <c r="AI833" s="20">
        <v>0</v>
      </c>
      <c r="AJ833" s="20">
        <v>0</v>
      </c>
      <c r="AK833" s="20">
        <v>0</v>
      </c>
      <c r="AL833" s="20">
        <v>0</v>
      </c>
      <c r="AM833" s="20">
        <v>0</v>
      </c>
      <c r="AN833" s="20">
        <v>0</v>
      </c>
      <c r="AO833" s="20">
        <v>0</v>
      </c>
      <c r="AP833" s="20">
        <v>0</v>
      </c>
      <c r="AQ833" s="20">
        <v>0</v>
      </c>
      <c r="AR833" s="20">
        <v>0</v>
      </c>
      <c r="AS833" s="20">
        <v>0</v>
      </c>
      <c r="AT833" s="20">
        <v>0</v>
      </c>
      <c r="AU833" s="20">
        <v>0</v>
      </c>
      <c r="AV833" s="20">
        <v>0</v>
      </c>
      <c r="AW833" s="20">
        <v>0</v>
      </c>
      <c r="AX833" s="20">
        <v>0</v>
      </c>
      <c r="AY833" s="20">
        <v>0</v>
      </c>
      <c r="AZ833" s="20">
        <v>0</v>
      </c>
      <c r="BA833" s="20">
        <v>0</v>
      </c>
      <c r="BB833" s="27">
        <v>0</v>
      </c>
      <c r="BC833" s="20">
        <v>0</v>
      </c>
      <c r="BD833" s="20">
        <v>0</v>
      </c>
      <c r="BE833" s="21">
        <v>0</v>
      </c>
      <c r="BF833" s="21">
        <v>0</v>
      </c>
      <c r="BG833" s="20">
        <v>0</v>
      </c>
      <c r="BH833" s="20">
        <v>0</v>
      </c>
      <c r="BI833" s="22">
        <f t="shared" si="247"/>
        <v>0</v>
      </c>
      <c r="BJ833" s="22">
        <f t="shared" si="248"/>
        <v>0</v>
      </c>
      <c r="BK833" s="28">
        <f t="shared" si="249"/>
        <v>0</v>
      </c>
      <c r="BL833" s="22">
        <f t="shared" si="250"/>
        <v>0</v>
      </c>
      <c r="BM833" s="22">
        <f t="shared" si="252"/>
        <v>0</v>
      </c>
      <c r="BN833" s="23" t="e">
        <f t="shared" si="253"/>
        <v>#DIV/0!</v>
      </c>
      <c r="BO833" s="23" t="e">
        <f t="shared" si="253"/>
        <v>#DIV/0!</v>
      </c>
      <c r="BP833" s="7" t="e">
        <f>VLOOKUP(A833,[1]Sheet15!B:E,4,0)</f>
        <v>#N/A</v>
      </c>
      <c r="BQ833" s="7" t="e">
        <f>VLOOKUP(A833,[1]Sheet15!B:E,3,0)</f>
        <v>#N/A</v>
      </c>
    </row>
    <row r="834" spans="1:69" ht="22.5" customHeight="1" x14ac:dyDescent="0.25">
      <c r="A834" s="15" t="s">
        <v>1979</v>
      </c>
      <c r="B834" s="15" t="e">
        <f>VLOOKUP(A834,'[1]Master clients'!F813:W4360,17,0)</f>
        <v>#N/A</v>
      </c>
      <c r="C834" s="15" t="e">
        <f>VLOOKUP(A834,'[1]Master clients'!F813:P4360,11,0)</f>
        <v>#N/A</v>
      </c>
      <c r="D834" s="15" t="str">
        <f>VLOOKUP(A834,'[1]Master clients'!F:M,8,0)</f>
        <v>End User</v>
      </c>
      <c r="E834" s="16" t="s">
        <v>1980</v>
      </c>
      <c r="F834" s="16" t="s">
        <v>1981</v>
      </c>
      <c r="G834" s="17"/>
      <c r="H834" s="17"/>
      <c r="I834" s="18">
        <v>0</v>
      </c>
      <c r="J834" s="18">
        <v>0</v>
      </c>
      <c r="K834" s="17">
        <v>0</v>
      </c>
      <c r="L834" s="17">
        <v>0</v>
      </c>
      <c r="M834" s="17">
        <v>0</v>
      </c>
      <c r="N834" s="17">
        <v>0</v>
      </c>
      <c r="O834" s="17">
        <v>0</v>
      </c>
      <c r="P834" s="17">
        <v>0</v>
      </c>
      <c r="Q834" s="17">
        <v>0</v>
      </c>
      <c r="R834" s="17">
        <v>0</v>
      </c>
      <c r="S834" s="17">
        <v>0</v>
      </c>
      <c r="T834" s="17">
        <v>0</v>
      </c>
      <c r="U834" s="17">
        <v>0</v>
      </c>
      <c r="V834" s="17">
        <v>0</v>
      </c>
      <c r="W834" s="17">
        <v>0</v>
      </c>
      <c r="X834" s="17">
        <v>0</v>
      </c>
      <c r="Y834" s="17">
        <v>0</v>
      </c>
      <c r="Z834" s="17">
        <v>0</v>
      </c>
      <c r="AA834" s="17">
        <v>0</v>
      </c>
      <c r="AB834" s="17">
        <v>0</v>
      </c>
      <c r="AC834" s="17">
        <v>0</v>
      </c>
      <c r="AD834" s="17">
        <v>0</v>
      </c>
      <c r="AE834" s="17">
        <v>0</v>
      </c>
      <c r="AF834" s="17">
        <v>0</v>
      </c>
      <c r="AG834" s="17">
        <v>0</v>
      </c>
      <c r="AH834" s="17">
        <v>0</v>
      </c>
      <c r="AI834" s="17">
        <v>0</v>
      </c>
      <c r="AJ834" s="17">
        <v>0</v>
      </c>
      <c r="AK834" s="17">
        <v>0</v>
      </c>
      <c r="AL834" s="17">
        <v>0</v>
      </c>
      <c r="AM834" s="17">
        <v>0</v>
      </c>
      <c r="AN834" s="17">
        <v>0</v>
      </c>
      <c r="AO834" s="17">
        <v>0</v>
      </c>
      <c r="AP834" s="17">
        <v>0</v>
      </c>
      <c r="AQ834" s="17">
        <v>0</v>
      </c>
      <c r="AR834" s="17">
        <v>0</v>
      </c>
      <c r="AS834" s="17">
        <v>0</v>
      </c>
      <c r="AT834" s="17">
        <v>0</v>
      </c>
      <c r="AU834" s="17">
        <v>0</v>
      </c>
      <c r="AV834" s="17">
        <v>0</v>
      </c>
      <c r="AW834" s="17">
        <v>0</v>
      </c>
      <c r="AX834" s="17">
        <v>0</v>
      </c>
      <c r="AY834" s="17">
        <v>0</v>
      </c>
      <c r="AZ834" s="17">
        <v>0</v>
      </c>
      <c r="BA834" s="17">
        <v>0</v>
      </c>
      <c r="BB834" s="17">
        <v>0</v>
      </c>
      <c r="BC834" s="17">
        <v>0</v>
      </c>
      <c r="BD834" s="17">
        <v>0</v>
      </c>
      <c r="BE834" s="17">
        <v>0</v>
      </c>
      <c r="BF834" s="17">
        <v>0</v>
      </c>
      <c r="BG834" s="17">
        <v>0</v>
      </c>
      <c r="BH834" s="17">
        <v>0</v>
      </c>
      <c r="BI834" s="22">
        <f t="shared" si="247"/>
        <v>0</v>
      </c>
      <c r="BJ834" s="22">
        <f t="shared" si="248"/>
        <v>0</v>
      </c>
      <c r="BK834" s="22">
        <f t="shared" si="249"/>
        <v>0</v>
      </c>
      <c r="BL834" s="22">
        <f t="shared" si="250"/>
        <v>0</v>
      </c>
      <c r="BM834" s="22">
        <f t="shared" si="252"/>
        <v>0</v>
      </c>
      <c r="BN834" s="23" t="e">
        <f t="shared" si="253"/>
        <v>#DIV/0!</v>
      </c>
      <c r="BO834" s="23" t="e">
        <f t="shared" si="253"/>
        <v>#DIV/0!</v>
      </c>
      <c r="BP834" s="7" t="e">
        <f>VLOOKUP(A834,[1]Sheet15!B:E,4,0)</f>
        <v>#N/A</v>
      </c>
      <c r="BQ834" s="7" t="e">
        <f>VLOOKUP(A834,[1]Sheet15!B:E,3,0)</f>
        <v>#N/A</v>
      </c>
    </row>
    <row r="835" spans="1:69" ht="22.5" customHeight="1" x14ac:dyDescent="0.25">
      <c r="A835" s="15" t="s">
        <v>1982</v>
      </c>
      <c r="B835" s="15" t="str">
        <f>VLOOKUP(A835,'[1]Master clients'!F814:W4361,17,0)</f>
        <v>Mar</v>
      </c>
      <c r="C835" s="15" t="str">
        <f>VLOOKUP(A835,'[1]Master clients'!F814:P4361,11,0)</f>
        <v>NI</v>
      </c>
      <c r="D835" s="15" t="str">
        <f>VLOOKUP(A835,'[1]Master clients'!F:M,8,0)</f>
        <v>End User</v>
      </c>
      <c r="E835" s="16" t="s">
        <v>1983</v>
      </c>
      <c r="F835" s="16" t="s">
        <v>1981</v>
      </c>
      <c r="G835" s="17"/>
      <c r="H835" s="17"/>
      <c r="I835" s="31">
        <v>2</v>
      </c>
      <c r="J835" s="31">
        <v>3</v>
      </c>
      <c r="K835" s="17">
        <v>0</v>
      </c>
      <c r="L835" s="17">
        <v>0</v>
      </c>
      <c r="M835" s="17">
        <v>0</v>
      </c>
      <c r="N835" s="17">
        <v>2</v>
      </c>
      <c r="O835" s="17">
        <v>0</v>
      </c>
      <c r="P835" s="17">
        <v>0</v>
      </c>
      <c r="Q835" s="17">
        <v>0</v>
      </c>
      <c r="R835" s="17">
        <v>0</v>
      </c>
      <c r="S835" s="17">
        <v>0</v>
      </c>
      <c r="T835" s="17">
        <v>7</v>
      </c>
      <c r="U835" s="17">
        <v>0</v>
      </c>
      <c r="V835" s="17">
        <v>0</v>
      </c>
      <c r="W835" s="17">
        <v>0</v>
      </c>
      <c r="X835" s="17">
        <v>2</v>
      </c>
      <c r="Y835" s="17">
        <v>0</v>
      </c>
      <c r="Z835" s="17">
        <v>0</v>
      </c>
      <c r="AA835" s="17">
        <v>0</v>
      </c>
      <c r="AB835" s="17">
        <v>0</v>
      </c>
      <c r="AC835" s="17">
        <v>0</v>
      </c>
      <c r="AD835" s="17">
        <v>0</v>
      </c>
      <c r="AE835" s="17">
        <v>0</v>
      </c>
      <c r="AF835" s="17">
        <v>0</v>
      </c>
      <c r="AG835" s="17">
        <v>0</v>
      </c>
      <c r="AH835" s="17">
        <v>0</v>
      </c>
      <c r="AI835" s="17">
        <v>0</v>
      </c>
      <c r="AJ835" s="17">
        <v>0</v>
      </c>
      <c r="AK835" s="17">
        <v>0</v>
      </c>
      <c r="AL835" s="17">
        <v>0</v>
      </c>
      <c r="AM835" s="17">
        <v>0</v>
      </c>
      <c r="AN835" s="17">
        <v>0</v>
      </c>
      <c r="AO835" s="17">
        <v>0</v>
      </c>
      <c r="AP835" s="17">
        <v>0</v>
      </c>
      <c r="AQ835" s="17">
        <v>0</v>
      </c>
      <c r="AR835" s="17">
        <v>0</v>
      </c>
      <c r="AS835" s="17">
        <v>0</v>
      </c>
      <c r="AT835" s="17">
        <v>0</v>
      </c>
      <c r="AU835" s="17">
        <v>0</v>
      </c>
      <c r="AV835" s="17">
        <v>0</v>
      </c>
      <c r="AW835" s="17">
        <v>0</v>
      </c>
      <c r="AX835" s="17">
        <v>0</v>
      </c>
      <c r="AY835" s="17">
        <v>0</v>
      </c>
      <c r="AZ835" s="17">
        <v>0</v>
      </c>
      <c r="BA835" s="17">
        <v>0</v>
      </c>
      <c r="BB835" s="17">
        <v>0</v>
      </c>
      <c r="BC835" s="17">
        <v>0</v>
      </c>
      <c r="BD835" s="17">
        <v>0</v>
      </c>
      <c r="BE835" s="17">
        <v>0</v>
      </c>
      <c r="BF835" s="17">
        <v>0</v>
      </c>
      <c r="BG835" s="17">
        <v>0</v>
      </c>
      <c r="BH835" s="17">
        <v>0</v>
      </c>
      <c r="BI835" s="22">
        <f t="shared" si="247"/>
        <v>7</v>
      </c>
      <c r="BJ835" s="22">
        <f t="shared" si="248"/>
        <v>4</v>
      </c>
      <c r="BK835" s="22">
        <f t="shared" si="249"/>
        <v>16</v>
      </c>
      <c r="BL835" s="22">
        <f t="shared" si="250"/>
        <v>9</v>
      </c>
      <c r="BM835" s="22">
        <f t="shared" si="252"/>
        <v>7</v>
      </c>
      <c r="BN835" s="23">
        <f t="shared" si="253"/>
        <v>0.22222222222222221</v>
      </c>
      <c r="BO835" s="23">
        <f t="shared" si="253"/>
        <v>0.42857142857142855</v>
      </c>
      <c r="BP835" s="7">
        <f>VLOOKUP(A835,[1]Sheet15!B:E,4,0)</f>
        <v>2</v>
      </c>
      <c r="BQ835" s="7">
        <f>VLOOKUP(A835,[1]Sheet15!B:E,3,0)</f>
        <v>3</v>
      </c>
    </row>
    <row r="836" spans="1:69" ht="22.5" customHeight="1" x14ac:dyDescent="0.25">
      <c r="A836" s="15" t="s">
        <v>1984</v>
      </c>
      <c r="B836" s="15">
        <f>VLOOKUP(A836,'[1]Master clients'!F815:W4362,17,0)</f>
        <v>0</v>
      </c>
      <c r="C836" s="15" t="str">
        <f>VLOOKUP(A836,'[1]Master clients'!F815:P4362,11,0)</f>
        <v>NI</v>
      </c>
      <c r="D836" s="15" t="str">
        <f>VLOOKUP(A836,'[1]Master clients'!F:M,8,0)</f>
        <v>OEM</v>
      </c>
      <c r="E836" s="16" t="s">
        <v>1985</v>
      </c>
      <c r="F836" s="16" t="s">
        <v>1986</v>
      </c>
      <c r="G836" s="17"/>
      <c r="H836" s="17"/>
      <c r="I836" s="26">
        <v>5</v>
      </c>
      <c r="J836" s="31">
        <v>0</v>
      </c>
      <c r="K836" s="17">
        <v>0</v>
      </c>
      <c r="L836" s="17">
        <v>0</v>
      </c>
      <c r="M836" s="17">
        <v>0</v>
      </c>
      <c r="N836" s="17">
        <v>0</v>
      </c>
      <c r="O836" s="17">
        <v>0</v>
      </c>
      <c r="P836" s="17">
        <v>0</v>
      </c>
      <c r="Q836" s="17">
        <v>0</v>
      </c>
      <c r="R836" s="17">
        <v>0</v>
      </c>
      <c r="S836" s="17">
        <v>0</v>
      </c>
      <c r="T836" s="17">
        <v>0</v>
      </c>
      <c r="U836" s="17">
        <v>0</v>
      </c>
      <c r="V836" s="17">
        <v>0</v>
      </c>
      <c r="W836" s="17">
        <v>0</v>
      </c>
      <c r="X836" s="17">
        <v>0</v>
      </c>
      <c r="Y836" s="17">
        <v>0</v>
      </c>
      <c r="Z836" s="17">
        <v>0</v>
      </c>
      <c r="AA836" s="17">
        <v>0</v>
      </c>
      <c r="AB836" s="17">
        <v>0</v>
      </c>
      <c r="AC836" s="17">
        <v>0</v>
      </c>
      <c r="AD836" s="17">
        <v>0</v>
      </c>
      <c r="AE836" s="17">
        <v>0</v>
      </c>
      <c r="AF836" s="17">
        <v>0</v>
      </c>
      <c r="AG836" s="17">
        <v>0</v>
      </c>
      <c r="AH836" s="17">
        <v>0</v>
      </c>
      <c r="AI836" s="17">
        <v>0</v>
      </c>
      <c r="AJ836" s="17">
        <v>0</v>
      </c>
      <c r="AK836" s="17">
        <v>0</v>
      </c>
      <c r="AL836" s="17">
        <v>0</v>
      </c>
      <c r="AM836" s="17">
        <v>0</v>
      </c>
      <c r="AN836" s="17">
        <v>0</v>
      </c>
      <c r="AO836" s="17">
        <v>0</v>
      </c>
      <c r="AP836" s="17">
        <v>0</v>
      </c>
      <c r="AQ836" s="17">
        <v>0</v>
      </c>
      <c r="AR836" s="17">
        <v>0</v>
      </c>
      <c r="AS836" s="17">
        <v>0</v>
      </c>
      <c r="AT836" s="17">
        <v>0</v>
      </c>
      <c r="AU836" s="17">
        <v>0</v>
      </c>
      <c r="AV836" s="17">
        <v>0</v>
      </c>
      <c r="AW836" s="17">
        <v>0</v>
      </c>
      <c r="AX836" s="17">
        <v>0</v>
      </c>
      <c r="AY836" s="17">
        <v>0</v>
      </c>
      <c r="AZ836" s="17">
        <v>0</v>
      </c>
      <c r="BA836" s="17">
        <v>0</v>
      </c>
      <c r="BB836" s="17">
        <v>0</v>
      </c>
      <c r="BC836" s="17">
        <v>0</v>
      </c>
      <c r="BD836" s="17">
        <v>0</v>
      </c>
      <c r="BE836" s="17">
        <v>0</v>
      </c>
      <c r="BF836" s="17">
        <v>0</v>
      </c>
      <c r="BG836" s="17">
        <v>0</v>
      </c>
      <c r="BH836" s="17">
        <v>0</v>
      </c>
      <c r="BI836" s="22">
        <f t="shared" si="247"/>
        <v>0</v>
      </c>
      <c r="BJ836" s="22">
        <f t="shared" si="248"/>
        <v>0</v>
      </c>
      <c r="BK836" s="28">
        <f t="shared" si="249"/>
        <v>5</v>
      </c>
      <c r="BL836" s="22">
        <f t="shared" si="250"/>
        <v>5</v>
      </c>
      <c r="BM836" s="22">
        <f t="shared" si="252"/>
        <v>0</v>
      </c>
      <c r="BN836" s="23">
        <f t="shared" si="253"/>
        <v>1</v>
      </c>
      <c r="BO836" s="23" t="e">
        <f t="shared" si="253"/>
        <v>#DIV/0!</v>
      </c>
      <c r="BP836" s="7">
        <f>VLOOKUP(A836,[1]Sheet15!B:E,4,0)</f>
        <v>5</v>
      </c>
      <c r="BQ836" s="7">
        <f>VLOOKUP(A836,[1]Sheet15!B:E,3,0)</f>
        <v>0</v>
      </c>
    </row>
    <row r="837" spans="1:69" ht="22.5" customHeight="1" x14ac:dyDescent="0.25">
      <c r="A837" s="15" t="s">
        <v>1987</v>
      </c>
      <c r="B837" s="15" t="e">
        <f>VLOOKUP(A837,'[1]Master clients'!F816:W4363,17,0)</f>
        <v>#N/A</v>
      </c>
      <c r="C837" s="15" t="e">
        <f>VLOOKUP(A837,'[1]Master clients'!F816:P4363,11,0)</f>
        <v>#N/A</v>
      </c>
      <c r="D837" s="15" t="str">
        <f>VLOOKUP(A837,'[1]Master clients'!F:M,8,0)</f>
        <v>End User</v>
      </c>
      <c r="E837" s="16" t="s">
        <v>1988</v>
      </c>
      <c r="F837" s="16" t="s">
        <v>1989</v>
      </c>
      <c r="G837" s="17"/>
      <c r="H837" s="17"/>
      <c r="I837" s="31">
        <v>0</v>
      </c>
      <c r="J837" s="31">
        <v>0</v>
      </c>
      <c r="K837" s="17">
        <v>0</v>
      </c>
      <c r="L837" s="17">
        <v>0</v>
      </c>
      <c r="M837" s="17">
        <v>0</v>
      </c>
      <c r="N837" s="17">
        <v>0</v>
      </c>
      <c r="O837" s="17">
        <v>0</v>
      </c>
      <c r="P837" s="17">
        <v>0</v>
      </c>
      <c r="Q837" s="17">
        <v>0</v>
      </c>
      <c r="R837" s="17">
        <v>0</v>
      </c>
      <c r="S837" s="17">
        <v>0</v>
      </c>
      <c r="T837" s="17">
        <v>0</v>
      </c>
      <c r="U837" s="17">
        <v>0</v>
      </c>
      <c r="V837" s="17">
        <v>0</v>
      </c>
      <c r="W837" s="17">
        <v>0</v>
      </c>
      <c r="X837" s="17">
        <v>0</v>
      </c>
      <c r="Y837" s="17">
        <v>0</v>
      </c>
      <c r="Z837" s="17">
        <v>0</v>
      </c>
      <c r="AA837" s="17">
        <v>0</v>
      </c>
      <c r="AB837" s="17">
        <v>0</v>
      </c>
      <c r="AC837" s="17">
        <v>0</v>
      </c>
      <c r="AD837" s="17">
        <v>0</v>
      </c>
      <c r="AE837" s="17">
        <v>0</v>
      </c>
      <c r="AF837" s="17">
        <v>0</v>
      </c>
      <c r="AG837" s="17">
        <v>0</v>
      </c>
      <c r="AH837" s="17">
        <v>0</v>
      </c>
      <c r="AI837" s="17">
        <v>0</v>
      </c>
      <c r="AJ837" s="17">
        <v>0</v>
      </c>
      <c r="AK837" s="17">
        <v>0</v>
      </c>
      <c r="AL837" s="17">
        <v>0</v>
      </c>
      <c r="AM837" s="17">
        <v>0</v>
      </c>
      <c r="AN837" s="17">
        <v>0</v>
      </c>
      <c r="AO837" s="17">
        <v>0</v>
      </c>
      <c r="AP837" s="17">
        <v>0</v>
      </c>
      <c r="AQ837" s="17">
        <v>0</v>
      </c>
      <c r="AR837" s="17">
        <v>0</v>
      </c>
      <c r="AS837" s="17">
        <v>0</v>
      </c>
      <c r="AT837" s="17">
        <v>0</v>
      </c>
      <c r="AU837" s="17">
        <v>0</v>
      </c>
      <c r="AV837" s="17">
        <v>0</v>
      </c>
      <c r="AW837" s="17">
        <v>0</v>
      </c>
      <c r="AX837" s="17">
        <v>0</v>
      </c>
      <c r="AY837" s="17">
        <v>0</v>
      </c>
      <c r="AZ837" s="17">
        <v>0</v>
      </c>
      <c r="BA837" s="17">
        <v>0</v>
      </c>
      <c r="BB837" s="17">
        <v>0</v>
      </c>
      <c r="BC837" s="17">
        <v>0</v>
      </c>
      <c r="BD837" s="17">
        <v>0</v>
      </c>
      <c r="BE837" s="17">
        <v>0</v>
      </c>
      <c r="BF837" s="17">
        <v>0</v>
      </c>
      <c r="BG837" s="17">
        <v>0</v>
      </c>
      <c r="BH837" s="17">
        <v>0</v>
      </c>
      <c r="BI837" s="22">
        <f t="shared" si="247"/>
        <v>0</v>
      </c>
      <c r="BJ837" s="22">
        <f t="shared" si="248"/>
        <v>0</v>
      </c>
      <c r="BK837" s="22">
        <f t="shared" si="249"/>
        <v>0</v>
      </c>
      <c r="BL837" s="22">
        <f t="shared" si="250"/>
        <v>0</v>
      </c>
      <c r="BM837" s="22">
        <f t="shared" si="252"/>
        <v>0</v>
      </c>
      <c r="BN837" s="23" t="e">
        <f t="shared" si="253"/>
        <v>#DIV/0!</v>
      </c>
      <c r="BO837" s="23" t="e">
        <f t="shared" si="253"/>
        <v>#DIV/0!</v>
      </c>
      <c r="BP837" s="7" t="e">
        <f>VLOOKUP(A837,[1]Sheet15!B:E,4,0)</f>
        <v>#N/A</v>
      </c>
      <c r="BQ837" s="7" t="e">
        <f>VLOOKUP(A837,[1]Sheet15!B:E,3,0)</f>
        <v>#N/A</v>
      </c>
    </row>
    <row r="838" spans="1:69" ht="22.5" customHeight="1" x14ac:dyDescent="0.25">
      <c r="A838" s="15" t="s">
        <v>1990</v>
      </c>
      <c r="B838" s="15" t="e">
        <f>VLOOKUP(A838,'[1]Master clients'!F817:W4364,17,0)</f>
        <v>#N/A</v>
      </c>
      <c r="C838" s="15" t="e">
        <f>VLOOKUP(A838,'[1]Master clients'!F817:P4364,11,0)</f>
        <v>#N/A</v>
      </c>
      <c r="D838" s="15" t="str">
        <f>VLOOKUP(A838,'[1]Master clients'!F:M,8,0)</f>
        <v>Group (Mills)</v>
      </c>
      <c r="E838" s="16" t="s">
        <v>1991</v>
      </c>
      <c r="F838" s="16" t="s">
        <v>1992</v>
      </c>
      <c r="G838" s="17"/>
      <c r="H838" s="17"/>
      <c r="I838" s="26">
        <v>11</v>
      </c>
      <c r="J838" s="31">
        <v>0</v>
      </c>
      <c r="K838" s="17">
        <v>0</v>
      </c>
      <c r="L838" s="17">
        <v>0</v>
      </c>
      <c r="M838" s="17">
        <v>0</v>
      </c>
      <c r="N838" s="17">
        <v>0</v>
      </c>
      <c r="O838" s="17">
        <v>0</v>
      </c>
      <c r="P838" s="17">
        <v>0</v>
      </c>
      <c r="Q838" s="17">
        <v>0</v>
      </c>
      <c r="R838" s="17">
        <v>0</v>
      </c>
      <c r="S838" s="17">
        <v>0</v>
      </c>
      <c r="T838" s="17">
        <v>0</v>
      </c>
      <c r="U838" s="17">
        <v>0</v>
      </c>
      <c r="V838" s="17">
        <v>0</v>
      </c>
      <c r="W838" s="17">
        <v>0</v>
      </c>
      <c r="X838" s="17">
        <v>0</v>
      </c>
      <c r="Y838" s="17">
        <v>0</v>
      </c>
      <c r="Z838" s="17">
        <v>0</v>
      </c>
      <c r="AA838" s="17">
        <v>0</v>
      </c>
      <c r="AB838" s="17">
        <v>0</v>
      </c>
      <c r="AC838" s="17">
        <v>0</v>
      </c>
      <c r="AD838" s="17">
        <v>0</v>
      </c>
      <c r="AE838" s="17">
        <v>0</v>
      </c>
      <c r="AF838" s="17">
        <v>0</v>
      </c>
      <c r="AG838" s="17">
        <v>0</v>
      </c>
      <c r="AH838" s="17">
        <v>0</v>
      </c>
      <c r="AI838" s="17">
        <v>0</v>
      </c>
      <c r="AJ838" s="17">
        <v>0</v>
      </c>
      <c r="AK838" s="17">
        <v>0</v>
      </c>
      <c r="AL838" s="17">
        <v>0</v>
      </c>
      <c r="AM838" s="17">
        <v>0</v>
      </c>
      <c r="AN838" s="17">
        <v>0</v>
      </c>
      <c r="AO838" s="17">
        <v>0</v>
      </c>
      <c r="AP838" s="17">
        <v>0</v>
      </c>
      <c r="AQ838" s="17">
        <v>0</v>
      </c>
      <c r="AR838" s="17">
        <v>0</v>
      </c>
      <c r="AS838" s="17">
        <v>0</v>
      </c>
      <c r="AT838" s="17">
        <v>0</v>
      </c>
      <c r="AU838" s="17">
        <v>0</v>
      </c>
      <c r="AV838" s="17">
        <v>0</v>
      </c>
      <c r="AW838" s="17">
        <v>0</v>
      </c>
      <c r="AX838" s="17">
        <v>0</v>
      </c>
      <c r="AY838" s="17">
        <v>0</v>
      </c>
      <c r="AZ838" s="17">
        <v>0</v>
      </c>
      <c r="BA838" s="17">
        <v>0</v>
      </c>
      <c r="BB838" s="17">
        <v>0</v>
      </c>
      <c r="BC838" s="17">
        <v>0</v>
      </c>
      <c r="BD838" s="17">
        <v>0</v>
      </c>
      <c r="BE838" s="17">
        <v>0</v>
      </c>
      <c r="BF838" s="17">
        <v>0</v>
      </c>
      <c r="BG838" s="17">
        <v>0</v>
      </c>
      <c r="BH838" s="17">
        <v>0</v>
      </c>
      <c r="BI838" s="22">
        <f>SUM(M838+N838+P838+R838+T838+W838+Z838+AC838+AE838+AL838+AO838+AP838+AS838+AW838+AX838+BC838+BE838+BG838)</f>
        <v>0</v>
      </c>
      <c r="BJ838" s="22">
        <f>SUM(H838:BG838)</f>
        <v>11</v>
      </c>
      <c r="BK838" s="22">
        <f>SUM(H838+J838+K838+L838+O838+Q838+S838+U838+V838+X838+Y838+AA838+AB838+AD838+AF838+AG838+AH838+AI838+AJ838+AK838+AM838+AN838+AQ838+AR838+AT838+AU838+AV838+AY838+AZ838+BA838+BB838+BF838+BD838)</f>
        <v>0</v>
      </c>
      <c r="BL838" s="22">
        <f t="shared" ref="BL838:BM842" si="254">SUM(I838+M838+N838+P838+R838+T838+W838+Z838+AC838+AE838+AL838+AO838+AP838+AS838+AW838+AX838+BC838+BG838)</f>
        <v>11</v>
      </c>
      <c r="BM838" s="22">
        <f t="shared" si="254"/>
        <v>0</v>
      </c>
      <c r="BN838" s="23">
        <f t="shared" si="253"/>
        <v>1</v>
      </c>
      <c r="BO838" s="23" t="e">
        <f t="shared" si="253"/>
        <v>#DIV/0!</v>
      </c>
      <c r="BP838" s="7">
        <f>VLOOKUP(A838,[1]Sheet15!B:E,4,0)</f>
        <v>11</v>
      </c>
      <c r="BQ838" s="7">
        <f>VLOOKUP(A838,[1]Sheet15!B:E,3,0)</f>
        <v>0</v>
      </c>
    </row>
    <row r="839" spans="1:69" ht="22.5" customHeight="1" x14ac:dyDescent="0.25">
      <c r="A839" s="15" t="s">
        <v>1993</v>
      </c>
      <c r="B839" s="15" t="e">
        <f>VLOOKUP(A839,'[1]Master clients'!F818:W4365,17,0)</f>
        <v>#N/A</v>
      </c>
      <c r="C839" s="15" t="e">
        <f>VLOOKUP(A839,'[1]Master clients'!F818:P4365,11,0)</f>
        <v>#N/A</v>
      </c>
      <c r="D839" s="15" t="str">
        <f>VLOOKUP(A839,'[1]Master clients'!F:M,8,0)</f>
        <v>Group (Mills)</v>
      </c>
      <c r="E839" s="24" t="s">
        <v>1994</v>
      </c>
      <c r="F839" s="25" t="s">
        <v>1995</v>
      </c>
      <c r="G839" s="20">
        <v>0</v>
      </c>
      <c r="H839" s="20">
        <v>0</v>
      </c>
      <c r="I839" s="26">
        <v>8</v>
      </c>
      <c r="J839" s="26">
        <v>3</v>
      </c>
      <c r="K839" s="20">
        <v>0</v>
      </c>
      <c r="L839" s="20">
        <v>0</v>
      </c>
      <c r="M839" s="20">
        <v>0</v>
      </c>
      <c r="N839" s="20">
        <v>5</v>
      </c>
      <c r="O839" s="20">
        <v>0</v>
      </c>
      <c r="P839" s="20">
        <v>0</v>
      </c>
      <c r="Q839" s="20">
        <v>0</v>
      </c>
      <c r="R839" s="20">
        <v>0</v>
      </c>
      <c r="S839" s="20">
        <v>0</v>
      </c>
      <c r="T839" s="20">
        <v>0</v>
      </c>
      <c r="U839" s="20">
        <v>0</v>
      </c>
      <c r="V839" s="20">
        <v>0</v>
      </c>
      <c r="W839" s="20">
        <v>0</v>
      </c>
      <c r="X839" s="20">
        <v>0</v>
      </c>
      <c r="Y839" s="20">
        <v>0</v>
      </c>
      <c r="Z839" s="20">
        <v>0</v>
      </c>
      <c r="AA839" s="20">
        <v>0</v>
      </c>
      <c r="AB839" s="20">
        <v>0</v>
      </c>
      <c r="AC839" s="20">
        <v>0</v>
      </c>
      <c r="AD839" s="20">
        <v>0</v>
      </c>
      <c r="AE839" s="20">
        <v>0</v>
      </c>
      <c r="AF839" s="20">
        <v>0</v>
      </c>
      <c r="AG839" s="20">
        <v>0</v>
      </c>
      <c r="AH839" s="20">
        <v>0</v>
      </c>
      <c r="AI839" s="20">
        <v>0</v>
      </c>
      <c r="AJ839" s="20">
        <v>0</v>
      </c>
      <c r="AK839" s="20">
        <v>0</v>
      </c>
      <c r="AL839" s="20">
        <v>0</v>
      </c>
      <c r="AM839" s="20">
        <v>0</v>
      </c>
      <c r="AN839" s="20">
        <v>0</v>
      </c>
      <c r="AO839" s="20">
        <v>0</v>
      </c>
      <c r="AP839" s="20">
        <v>0</v>
      </c>
      <c r="AQ839" s="20">
        <v>0</v>
      </c>
      <c r="AR839" s="20">
        <v>0</v>
      </c>
      <c r="AS839" s="20">
        <v>0</v>
      </c>
      <c r="AT839" s="20">
        <v>0</v>
      </c>
      <c r="AU839" s="20">
        <v>0</v>
      </c>
      <c r="AV839" s="20">
        <v>0</v>
      </c>
      <c r="AW839" s="20">
        <v>0</v>
      </c>
      <c r="AX839" s="20">
        <v>0</v>
      </c>
      <c r="AY839" s="20">
        <v>0</v>
      </c>
      <c r="AZ839" s="20">
        <v>0</v>
      </c>
      <c r="BA839" s="20">
        <v>0</v>
      </c>
      <c r="BB839" s="27">
        <v>0</v>
      </c>
      <c r="BC839" s="20">
        <v>0</v>
      </c>
      <c r="BD839" s="20">
        <v>0</v>
      </c>
      <c r="BE839" s="21">
        <v>0</v>
      </c>
      <c r="BF839" s="21">
        <v>0</v>
      </c>
      <c r="BG839" s="20">
        <v>0</v>
      </c>
      <c r="BH839" s="20">
        <v>0</v>
      </c>
      <c r="BI839" s="22">
        <f t="shared" ref="BI839:BI842" si="255">SUM(K839+L839+M839+P839+R839+T839+V839+W839+Y839+Z839+AB839+AC839+AE839+AG839+AH839+AI839+AJ839+AK839+AL839+AN839+AO839+AR839+AS839+AU839+AV839+AW839+AZ839+BA839+BB839+BC839+BE839+BG839)</f>
        <v>0</v>
      </c>
      <c r="BJ839" s="22">
        <f t="shared" ref="BJ839:BJ842" si="256">SUM(N839+O839+Q839+S839+U839+X839+AA839+AD839+AF839+AM839+AP839+AQ839+AT839+AX839+AY839+BD839+BF839+BH839)</f>
        <v>5</v>
      </c>
      <c r="BK839" s="28">
        <f t="shared" ref="BK839:BK842" si="257">SUM(I839:BH839)</f>
        <v>16</v>
      </c>
      <c r="BL839" s="22">
        <f t="shared" ref="BL839:BL842" si="258">SUM(I839+K839+L839+M839+P839+R839+T839+V839+W839+Y839+Z839+AB839+AC839+AE839+AG839+AH839+AI839+AJ839+AK839+AL839+AN839+AO839+AR839+AS839+AU839+AV839+AW839+AZ839+BA839+BB839+BC839+BG839+BE839)</f>
        <v>8</v>
      </c>
      <c r="BM839" s="22">
        <f t="shared" si="254"/>
        <v>8</v>
      </c>
      <c r="BN839" s="23">
        <f t="shared" si="253"/>
        <v>1</v>
      </c>
      <c r="BO839" s="23">
        <f t="shared" si="253"/>
        <v>0.375</v>
      </c>
      <c r="BP839" s="7">
        <f>VLOOKUP(A839,[1]Sheet15!B:E,4,0)</f>
        <v>16</v>
      </c>
      <c r="BQ839" s="7">
        <f>VLOOKUP(A839,[1]Sheet15!B:E,3,0)</f>
        <v>1</v>
      </c>
    </row>
    <row r="840" spans="1:69" ht="22.5" customHeight="1" x14ac:dyDescent="0.25">
      <c r="A840" s="15" t="s">
        <v>1996</v>
      </c>
      <c r="B840" s="15" t="e">
        <f>VLOOKUP(A840,'[1]Master clients'!F819:W4366,17,0)</f>
        <v>#N/A</v>
      </c>
      <c r="C840" s="15" t="e">
        <f>VLOOKUP(A840,'[1]Master clients'!F819:P4366,11,0)</f>
        <v>#N/A</v>
      </c>
      <c r="D840" s="15" t="str">
        <f>VLOOKUP(A840,'[1]Master clients'!F:M,8,0)</f>
        <v>End User</v>
      </c>
      <c r="E840" s="16" t="s">
        <v>1997</v>
      </c>
      <c r="F840" s="29" t="s">
        <v>553</v>
      </c>
      <c r="G840" s="20"/>
      <c r="H840" s="20"/>
      <c r="I840" s="26">
        <v>13</v>
      </c>
      <c r="J840" s="18">
        <v>0</v>
      </c>
      <c r="K840" s="20">
        <v>0</v>
      </c>
      <c r="L840" s="20">
        <v>0</v>
      </c>
      <c r="M840" s="20">
        <v>0</v>
      </c>
      <c r="N840" s="20">
        <v>3</v>
      </c>
      <c r="O840" s="20">
        <v>4</v>
      </c>
      <c r="P840" s="20">
        <v>0</v>
      </c>
      <c r="Q840" s="20">
        <v>0</v>
      </c>
      <c r="R840" s="20">
        <v>0</v>
      </c>
      <c r="S840" s="20">
        <v>0</v>
      </c>
      <c r="T840" s="20">
        <v>0</v>
      </c>
      <c r="U840" s="20">
        <v>0</v>
      </c>
      <c r="V840" s="20">
        <v>0</v>
      </c>
      <c r="W840" s="20">
        <v>0</v>
      </c>
      <c r="X840" s="20">
        <v>0</v>
      </c>
      <c r="Y840" s="20">
        <v>0</v>
      </c>
      <c r="Z840" s="20">
        <v>0</v>
      </c>
      <c r="AA840" s="20">
        <v>0</v>
      </c>
      <c r="AB840" s="20">
        <v>0</v>
      </c>
      <c r="AC840" s="20">
        <v>0</v>
      </c>
      <c r="AD840" s="20">
        <v>0</v>
      </c>
      <c r="AE840" s="20">
        <v>0</v>
      </c>
      <c r="AF840" s="20">
        <v>0</v>
      </c>
      <c r="AG840" s="20">
        <v>0</v>
      </c>
      <c r="AH840" s="20">
        <v>0</v>
      </c>
      <c r="AI840" s="20">
        <v>0</v>
      </c>
      <c r="AJ840" s="20">
        <v>0</v>
      </c>
      <c r="AK840" s="20">
        <v>0</v>
      </c>
      <c r="AL840" s="20">
        <v>0</v>
      </c>
      <c r="AM840" s="20">
        <v>0</v>
      </c>
      <c r="AN840" s="20">
        <v>0</v>
      </c>
      <c r="AO840" s="20">
        <v>0</v>
      </c>
      <c r="AP840" s="20">
        <v>0</v>
      </c>
      <c r="AQ840" s="20">
        <v>0</v>
      </c>
      <c r="AR840" s="20">
        <v>0</v>
      </c>
      <c r="AS840" s="20">
        <v>0</v>
      </c>
      <c r="AT840" s="20">
        <v>0</v>
      </c>
      <c r="AU840" s="20">
        <v>0</v>
      </c>
      <c r="AV840" s="20">
        <v>0</v>
      </c>
      <c r="AW840" s="20">
        <v>0</v>
      </c>
      <c r="AX840" s="20">
        <v>0</v>
      </c>
      <c r="AY840" s="20">
        <v>0</v>
      </c>
      <c r="AZ840" s="20">
        <v>0</v>
      </c>
      <c r="BA840" s="20">
        <v>0</v>
      </c>
      <c r="BB840" s="20">
        <v>0</v>
      </c>
      <c r="BC840" s="20">
        <v>0</v>
      </c>
      <c r="BD840" s="20">
        <v>0</v>
      </c>
      <c r="BE840" s="20">
        <v>0</v>
      </c>
      <c r="BF840" s="20">
        <v>0</v>
      </c>
      <c r="BG840" s="20">
        <v>0</v>
      </c>
      <c r="BH840" s="20">
        <v>0</v>
      </c>
      <c r="BI840" s="22">
        <f t="shared" si="255"/>
        <v>0</v>
      </c>
      <c r="BJ840" s="22">
        <f t="shared" si="256"/>
        <v>7</v>
      </c>
      <c r="BK840" s="28">
        <f t="shared" si="257"/>
        <v>20</v>
      </c>
      <c r="BL840" s="22">
        <f t="shared" si="258"/>
        <v>13</v>
      </c>
      <c r="BM840" s="22">
        <f t="shared" si="254"/>
        <v>7</v>
      </c>
      <c r="BN840" s="23">
        <f t="shared" si="253"/>
        <v>1</v>
      </c>
      <c r="BO840" s="23">
        <f t="shared" si="253"/>
        <v>0</v>
      </c>
      <c r="BP840" s="7">
        <f>VLOOKUP(A840,[1]Sheet15!B:E,4,0)</f>
        <v>6</v>
      </c>
      <c r="BQ840" s="7">
        <f>VLOOKUP(A840,[1]Sheet15!B:E,3,0)</f>
        <v>0</v>
      </c>
    </row>
    <row r="841" spans="1:69" ht="22.5" customHeight="1" x14ac:dyDescent="0.25">
      <c r="A841" s="15" t="s">
        <v>1998</v>
      </c>
      <c r="B841" s="15" t="e">
        <f>VLOOKUP(A841,'[1]Master clients'!F820:W4367,17,0)</f>
        <v>#N/A</v>
      </c>
      <c r="C841" s="15" t="e">
        <f>VLOOKUP(A841,'[1]Master clients'!F820:P4367,11,0)</f>
        <v>#N/A</v>
      </c>
      <c r="D841" s="15" t="str">
        <f>VLOOKUP(A841,'[1]Master clients'!F:M,8,0)</f>
        <v>End User</v>
      </c>
      <c r="E841" s="16" t="s">
        <v>1999</v>
      </c>
      <c r="F841" s="16" t="s">
        <v>620</v>
      </c>
      <c r="G841" s="17"/>
      <c r="H841" s="17"/>
      <c r="I841" s="26">
        <v>1</v>
      </c>
      <c r="J841" s="18">
        <v>0</v>
      </c>
      <c r="K841" s="17">
        <v>0</v>
      </c>
      <c r="L841" s="17">
        <v>0</v>
      </c>
      <c r="M841" s="17">
        <v>0</v>
      </c>
      <c r="N841" s="17">
        <v>0</v>
      </c>
      <c r="O841" s="17">
        <v>0</v>
      </c>
      <c r="P841" s="17">
        <v>0</v>
      </c>
      <c r="Q841" s="17">
        <v>0</v>
      </c>
      <c r="R841" s="17">
        <v>0</v>
      </c>
      <c r="S841" s="17">
        <v>0</v>
      </c>
      <c r="T841" s="17">
        <v>0</v>
      </c>
      <c r="U841" s="17">
        <v>0</v>
      </c>
      <c r="V841" s="17">
        <v>0</v>
      </c>
      <c r="W841" s="17">
        <v>0</v>
      </c>
      <c r="X841" s="17">
        <v>0</v>
      </c>
      <c r="Y841" s="17">
        <v>0</v>
      </c>
      <c r="Z841" s="17">
        <v>0</v>
      </c>
      <c r="AA841" s="17">
        <v>0</v>
      </c>
      <c r="AB841" s="17">
        <v>0</v>
      </c>
      <c r="AC841" s="17">
        <v>0</v>
      </c>
      <c r="AD841" s="17">
        <v>0</v>
      </c>
      <c r="AE841" s="17">
        <v>0</v>
      </c>
      <c r="AF841" s="17">
        <v>0</v>
      </c>
      <c r="AG841" s="17">
        <v>0</v>
      </c>
      <c r="AH841" s="17">
        <v>0</v>
      </c>
      <c r="AI841" s="17">
        <v>0</v>
      </c>
      <c r="AJ841" s="17">
        <v>0</v>
      </c>
      <c r="AK841" s="17">
        <v>0</v>
      </c>
      <c r="AL841" s="17">
        <v>0</v>
      </c>
      <c r="AM841" s="17">
        <v>0</v>
      </c>
      <c r="AN841" s="17">
        <v>0</v>
      </c>
      <c r="AO841" s="17">
        <v>0</v>
      </c>
      <c r="AP841" s="17">
        <v>0</v>
      </c>
      <c r="AQ841" s="17">
        <v>0</v>
      </c>
      <c r="AR841" s="17">
        <v>0</v>
      </c>
      <c r="AS841" s="17">
        <v>0</v>
      </c>
      <c r="AT841" s="17">
        <v>0</v>
      </c>
      <c r="AU841" s="17">
        <v>0</v>
      </c>
      <c r="AV841" s="17">
        <v>0</v>
      </c>
      <c r="AW841" s="17">
        <v>0</v>
      </c>
      <c r="AX841" s="17">
        <v>0</v>
      </c>
      <c r="AY841" s="17">
        <v>0</v>
      </c>
      <c r="AZ841" s="17">
        <v>0</v>
      </c>
      <c r="BA841" s="17">
        <v>0</v>
      </c>
      <c r="BB841" s="17">
        <v>0</v>
      </c>
      <c r="BC841" s="17">
        <v>0</v>
      </c>
      <c r="BD841" s="17">
        <v>0</v>
      </c>
      <c r="BE841" s="17">
        <v>0</v>
      </c>
      <c r="BF841" s="17">
        <v>0</v>
      </c>
      <c r="BG841" s="17">
        <v>0</v>
      </c>
      <c r="BH841" s="17">
        <v>0</v>
      </c>
      <c r="BI841" s="22">
        <f t="shared" si="255"/>
        <v>0</v>
      </c>
      <c r="BJ841" s="22">
        <f t="shared" si="256"/>
        <v>0</v>
      </c>
      <c r="BK841" s="22">
        <f t="shared" si="257"/>
        <v>1</v>
      </c>
      <c r="BL841" s="22">
        <f t="shared" si="258"/>
        <v>1</v>
      </c>
      <c r="BM841" s="22">
        <f t="shared" si="254"/>
        <v>0</v>
      </c>
      <c r="BN841" s="23">
        <f t="shared" si="253"/>
        <v>1</v>
      </c>
      <c r="BO841" s="23" t="e">
        <f t="shared" si="253"/>
        <v>#DIV/0!</v>
      </c>
      <c r="BP841" s="7">
        <f>VLOOKUP(A841,[1]Sheet15!B:E,4,0)</f>
        <v>1</v>
      </c>
      <c r="BQ841" s="7">
        <f>VLOOKUP(A841,[1]Sheet15!B:E,3,0)</f>
        <v>0</v>
      </c>
    </row>
    <row r="842" spans="1:69" ht="22.5" customHeight="1" x14ac:dyDescent="0.25">
      <c r="A842" s="15" t="s">
        <v>2000</v>
      </c>
      <c r="B842" s="15" t="e">
        <f>VLOOKUP(A842,'[1]Master clients'!F821:W4368,17,0)</f>
        <v>#N/A</v>
      </c>
      <c r="C842" s="15" t="e">
        <f>VLOOKUP(A842,'[1]Master clients'!F821:P4368,11,0)</f>
        <v>#N/A</v>
      </c>
      <c r="D842" s="15" t="str">
        <f>VLOOKUP(A842,'[1]Master clients'!F:M,8,0)</f>
        <v>End User</v>
      </c>
      <c r="E842" s="24" t="s">
        <v>2001</v>
      </c>
      <c r="F842" s="25" t="s">
        <v>1560</v>
      </c>
      <c r="G842" s="20">
        <v>0</v>
      </c>
      <c r="H842" s="20">
        <v>0</v>
      </c>
      <c r="I842" s="26">
        <v>2</v>
      </c>
      <c r="J842" s="26">
        <v>0</v>
      </c>
      <c r="K842" s="20">
        <v>3</v>
      </c>
      <c r="L842" s="20">
        <v>0</v>
      </c>
      <c r="M842" s="20">
        <v>0</v>
      </c>
      <c r="N842" s="20">
        <v>0</v>
      </c>
      <c r="O842" s="20">
        <v>0</v>
      </c>
      <c r="P842" s="20">
        <v>0</v>
      </c>
      <c r="Q842" s="20">
        <v>0</v>
      </c>
      <c r="R842" s="20">
        <v>0</v>
      </c>
      <c r="S842" s="20">
        <v>0</v>
      </c>
      <c r="T842" s="20">
        <v>0</v>
      </c>
      <c r="U842" s="20">
        <v>0</v>
      </c>
      <c r="V842" s="20">
        <v>0</v>
      </c>
      <c r="W842" s="20">
        <v>0</v>
      </c>
      <c r="X842" s="20">
        <v>0</v>
      </c>
      <c r="Y842" s="20">
        <v>0</v>
      </c>
      <c r="Z842" s="20">
        <v>0</v>
      </c>
      <c r="AA842" s="20">
        <v>0</v>
      </c>
      <c r="AB842" s="20">
        <v>0</v>
      </c>
      <c r="AC842" s="20">
        <v>0</v>
      </c>
      <c r="AD842" s="20">
        <v>0</v>
      </c>
      <c r="AE842" s="20">
        <v>0</v>
      </c>
      <c r="AF842" s="20">
        <v>0</v>
      </c>
      <c r="AG842" s="20">
        <v>0</v>
      </c>
      <c r="AH842" s="20">
        <v>0</v>
      </c>
      <c r="AI842" s="20">
        <v>0</v>
      </c>
      <c r="AJ842" s="20">
        <v>0</v>
      </c>
      <c r="AK842" s="20">
        <v>2</v>
      </c>
      <c r="AL842" s="20">
        <v>0</v>
      </c>
      <c r="AM842" s="20">
        <v>0</v>
      </c>
      <c r="AN842" s="20">
        <v>0</v>
      </c>
      <c r="AO842" s="20">
        <v>0</v>
      </c>
      <c r="AP842" s="20">
        <v>0</v>
      </c>
      <c r="AQ842" s="20">
        <v>0</v>
      </c>
      <c r="AR842" s="20">
        <v>0</v>
      </c>
      <c r="AS842" s="20">
        <v>0</v>
      </c>
      <c r="AT842" s="20">
        <v>0</v>
      </c>
      <c r="AU842" s="19">
        <v>0</v>
      </c>
      <c r="AV842" s="20">
        <v>0</v>
      </c>
      <c r="AW842" s="20">
        <v>0</v>
      </c>
      <c r="AX842" s="20">
        <v>0</v>
      </c>
      <c r="AY842" s="20">
        <v>0</v>
      </c>
      <c r="AZ842" s="20">
        <v>0</v>
      </c>
      <c r="BA842" s="19">
        <v>0</v>
      </c>
      <c r="BB842" s="27">
        <v>0</v>
      </c>
      <c r="BC842" s="19">
        <v>0</v>
      </c>
      <c r="BD842" s="19">
        <v>0</v>
      </c>
      <c r="BE842" s="21">
        <v>0</v>
      </c>
      <c r="BF842" s="21">
        <v>0</v>
      </c>
      <c r="BG842" s="19">
        <v>0</v>
      </c>
      <c r="BH842" s="19">
        <v>0</v>
      </c>
      <c r="BI842" s="22">
        <f t="shared" si="255"/>
        <v>5</v>
      </c>
      <c r="BJ842" s="22">
        <f t="shared" si="256"/>
        <v>0</v>
      </c>
      <c r="BK842" s="28">
        <f t="shared" si="257"/>
        <v>7</v>
      </c>
      <c r="BL842" s="22">
        <f t="shared" si="258"/>
        <v>7</v>
      </c>
      <c r="BM842" s="22">
        <f t="shared" si="254"/>
        <v>0</v>
      </c>
      <c r="BN842" s="23">
        <f t="shared" si="253"/>
        <v>0.2857142857142857</v>
      </c>
      <c r="BO842" s="23" t="e">
        <f t="shared" si="253"/>
        <v>#DIV/0!</v>
      </c>
      <c r="BP842" s="7">
        <f>VLOOKUP(A842,[1]Sheet15!B:E,4,0)</f>
        <v>2</v>
      </c>
      <c r="BQ842" s="7">
        <f>VLOOKUP(A842,[1]Sheet15!B:E,3,0)</f>
        <v>0</v>
      </c>
    </row>
    <row r="843" spans="1:69" ht="22.5" customHeight="1" x14ac:dyDescent="0.25">
      <c r="A843" s="15" t="s">
        <v>2002</v>
      </c>
      <c r="B843" s="15" t="e">
        <f>VLOOKUP(A843,'[1]Master clients'!F822:W4369,17,0)</f>
        <v>#N/A</v>
      </c>
      <c r="C843" s="15" t="e">
        <f>VLOOKUP(A843,'[1]Master clients'!F822:P4369,11,0)</f>
        <v>#N/A</v>
      </c>
      <c r="D843" s="15" t="str">
        <f>VLOOKUP(A843,'[1]Master clients'!F:M,8,0)</f>
        <v>End User</v>
      </c>
      <c r="E843" s="16" t="s">
        <v>2003</v>
      </c>
      <c r="F843" s="16" t="s">
        <v>2004</v>
      </c>
      <c r="G843" s="17"/>
      <c r="H843" s="17"/>
      <c r="I843" s="26">
        <v>6</v>
      </c>
      <c r="J843" s="31">
        <v>0</v>
      </c>
      <c r="K843" s="17">
        <v>0</v>
      </c>
      <c r="L843" s="17">
        <v>0</v>
      </c>
      <c r="M843" s="17">
        <v>0</v>
      </c>
      <c r="N843" s="17">
        <v>0</v>
      </c>
      <c r="O843" s="17">
        <v>0</v>
      </c>
      <c r="P843" s="17">
        <v>0</v>
      </c>
      <c r="Q843" s="17">
        <v>0</v>
      </c>
      <c r="R843" s="17">
        <v>0</v>
      </c>
      <c r="S843" s="17">
        <v>0</v>
      </c>
      <c r="T843" s="17">
        <v>0</v>
      </c>
      <c r="U843" s="17">
        <v>0</v>
      </c>
      <c r="V843" s="17">
        <v>0</v>
      </c>
      <c r="W843" s="17">
        <v>0</v>
      </c>
      <c r="X843" s="17">
        <v>0</v>
      </c>
      <c r="Y843" s="17">
        <v>0</v>
      </c>
      <c r="Z843" s="17">
        <v>0</v>
      </c>
      <c r="AA843" s="17">
        <v>0</v>
      </c>
      <c r="AB843" s="17">
        <v>0</v>
      </c>
      <c r="AC843" s="17">
        <v>0</v>
      </c>
      <c r="AD843" s="17">
        <v>0</v>
      </c>
      <c r="AE843" s="17">
        <v>0</v>
      </c>
      <c r="AF843" s="17">
        <v>0</v>
      </c>
      <c r="AG843" s="17">
        <v>0</v>
      </c>
      <c r="AH843" s="17">
        <v>0</v>
      </c>
      <c r="AI843" s="17">
        <v>0</v>
      </c>
      <c r="AJ843" s="17">
        <v>0</v>
      </c>
      <c r="AK843" s="17">
        <v>0</v>
      </c>
      <c r="AL843" s="17">
        <v>0</v>
      </c>
      <c r="AM843" s="17">
        <v>0</v>
      </c>
      <c r="AN843" s="17">
        <v>0</v>
      </c>
      <c r="AO843" s="17">
        <v>0</v>
      </c>
      <c r="AP843" s="17">
        <v>0</v>
      </c>
      <c r="AQ843" s="17">
        <v>0</v>
      </c>
      <c r="AR843" s="17">
        <v>0</v>
      </c>
      <c r="AS843" s="17">
        <v>0</v>
      </c>
      <c r="AT843" s="17">
        <v>0</v>
      </c>
      <c r="AU843" s="17">
        <v>0</v>
      </c>
      <c r="AV843" s="17">
        <v>0</v>
      </c>
      <c r="AW843" s="17">
        <v>0</v>
      </c>
      <c r="AX843" s="17">
        <v>0</v>
      </c>
      <c r="AY843" s="17">
        <v>0</v>
      </c>
      <c r="AZ843" s="17">
        <v>0</v>
      </c>
      <c r="BA843" s="17">
        <v>0</v>
      </c>
      <c r="BB843" s="17">
        <v>0</v>
      </c>
      <c r="BC843" s="17">
        <v>0</v>
      </c>
      <c r="BD843" s="17">
        <v>0</v>
      </c>
      <c r="BE843" s="17">
        <v>0</v>
      </c>
      <c r="BF843" s="17">
        <v>0</v>
      </c>
      <c r="BG843" s="17">
        <v>0</v>
      </c>
      <c r="BH843" s="17">
        <v>0</v>
      </c>
      <c r="BI843" s="22">
        <f>SUM(M843+N843+P843+R843+T843+W843+Z843+AC843+AE843+AL843+AO843+AP843+AS843+AW843+AX843+BC843+BE843+BG843)</f>
        <v>0</v>
      </c>
      <c r="BJ843" s="22">
        <f>SUM(H843:BG843)</f>
        <v>6</v>
      </c>
      <c r="BK843" s="22">
        <f>SUM(H843+J843+K843+L843+O843+Q843+S843+U843+V843+X843+Y843+AA843+AB843+AD843+AF843+AG843+AH843+AI843+AJ843+AK843+AM843+AN843+AQ843+AR843+AT843+AU843+AV843+AY843+AZ843+BA843+BB843+BF843+BD843)</f>
        <v>0</v>
      </c>
      <c r="BL843" s="22">
        <f t="shared" ref="BL843:BM858" si="259">SUM(I843+M843+N843+P843+R843+T843+W843+Z843+AC843+AE843+AL843+AO843+AP843+AS843+AW843+AX843+BC843+BG843)</f>
        <v>6</v>
      </c>
      <c r="BM843" s="22">
        <f t="shared" si="259"/>
        <v>0</v>
      </c>
      <c r="BN843" s="23">
        <f t="shared" si="253"/>
        <v>1</v>
      </c>
      <c r="BO843" s="23" t="e">
        <f t="shared" si="253"/>
        <v>#DIV/0!</v>
      </c>
      <c r="BP843" s="7">
        <f>VLOOKUP(A843,[1]Sheet15!B:E,4,0)</f>
        <v>6</v>
      </c>
      <c r="BQ843" s="7">
        <f>VLOOKUP(A843,[1]Sheet15!B:E,3,0)</f>
        <v>0</v>
      </c>
    </row>
    <row r="844" spans="1:69" ht="22.5" customHeight="1" x14ac:dyDescent="0.25">
      <c r="A844" s="15" t="s">
        <v>2005</v>
      </c>
      <c r="B844" s="15" t="e">
        <f>VLOOKUP(A844,'[1]Master clients'!F823:W4370,17,0)</f>
        <v>#N/A</v>
      </c>
      <c r="C844" s="15" t="e">
        <f>VLOOKUP(A844,'[1]Master clients'!F823:P4370,11,0)</f>
        <v>#N/A</v>
      </c>
      <c r="D844" s="15" t="str">
        <f>VLOOKUP(A844,'[1]Master clients'!F:M,8,0)</f>
        <v>End User</v>
      </c>
      <c r="E844" s="24" t="s">
        <v>2006</v>
      </c>
      <c r="F844" s="25" t="s">
        <v>2004</v>
      </c>
      <c r="G844" s="20">
        <v>7</v>
      </c>
      <c r="H844" s="20">
        <v>0</v>
      </c>
      <c r="I844" s="26">
        <v>15</v>
      </c>
      <c r="J844" s="26">
        <v>0</v>
      </c>
      <c r="K844" s="20">
        <v>4</v>
      </c>
      <c r="L844" s="20">
        <v>0</v>
      </c>
      <c r="M844" s="20">
        <v>0</v>
      </c>
      <c r="N844" s="20">
        <v>0</v>
      </c>
      <c r="O844" s="20">
        <v>0</v>
      </c>
      <c r="P844" s="20">
        <v>0</v>
      </c>
      <c r="Q844" s="20">
        <v>14</v>
      </c>
      <c r="R844" s="20">
        <v>0</v>
      </c>
      <c r="S844" s="20">
        <v>0</v>
      </c>
      <c r="T844" s="20">
        <v>0</v>
      </c>
      <c r="U844" s="20">
        <v>0</v>
      </c>
      <c r="V844" s="20">
        <v>0</v>
      </c>
      <c r="W844" s="20">
        <v>0</v>
      </c>
      <c r="X844" s="20">
        <v>0</v>
      </c>
      <c r="Y844" s="20">
        <v>0</v>
      </c>
      <c r="Z844" s="20">
        <v>0</v>
      </c>
      <c r="AA844" s="20">
        <v>0</v>
      </c>
      <c r="AB844" s="20">
        <v>0</v>
      </c>
      <c r="AC844" s="20">
        <v>0</v>
      </c>
      <c r="AD844" s="20">
        <v>0</v>
      </c>
      <c r="AE844" s="20">
        <v>0</v>
      </c>
      <c r="AF844" s="20">
        <v>0</v>
      </c>
      <c r="AG844" s="20">
        <v>0</v>
      </c>
      <c r="AH844" s="20">
        <v>0</v>
      </c>
      <c r="AI844" s="20">
        <v>0</v>
      </c>
      <c r="AJ844" s="20">
        <v>0</v>
      </c>
      <c r="AK844" s="20">
        <v>0</v>
      </c>
      <c r="AL844" s="20">
        <v>0</v>
      </c>
      <c r="AM844" s="20">
        <v>0</v>
      </c>
      <c r="AN844" s="20">
        <v>0</v>
      </c>
      <c r="AO844" s="20">
        <v>0</v>
      </c>
      <c r="AP844" s="20">
        <v>0</v>
      </c>
      <c r="AQ844" s="20">
        <v>0</v>
      </c>
      <c r="AR844" s="20">
        <v>0</v>
      </c>
      <c r="AS844" s="20">
        <v>0</v>
      </c>
      <c r="AT844" s="20">
        <v>0</v>
      </c>
      <c r="AU844" s="20">
        <v>0</v>
      </c>
      <c r="AV844" s="20">
        <v>0</v>
      </c>
      <c r="AW844" s="20">
        <v>0</v>
      </c>
      <c r="AX844" s="20">
        <v>0</v>
      </c>
      <c r="AY844" s="20">
        <v>0</v>
      </c>
      <c r="AZ844" s="20">
        <v>0</v>
      </c>
      <c r="BA844" s="20">
        <v>0</v>
      </c>
      <c r="BB844" s="27">
        <v>0</v>
      </c>
      <c r="BC844" s="20">
        <v>0</v>
      </c>
      <c r="BD844" s="20">
        <v>0</v>
      </c>
      <c r="BE844" s="21">
        <v>0</v>
      </c>
      <c r="BF844" s="21">
        <v>0</v>
      </c>
      <c r="BG844" s="20">
        <v>0</v>
      </c>
      <c r="BH844" s="20">
        <v>0</v>
      </c>
      <c r="BI844" s="22">
        <f t="shared" ref="BI844:BI861" si="260">SUM(K844+L844+M844+P844+R844+T844+V844+W844+Y844+Z844+AB844+AC844+AE844+AG844+AH844+AI844+AJ844+AK844+AL844+AN844+AO844+AR844+AS844+AU844+AV844+AW844+AZ844+BA844+BB844+BC844+BE844+BG844)</f>
        <v>4</v>
      </c>
      <c r="BJ844" s="22">
        <f t="shared" ref="BJ844:BJ861" si="261">SUM(N844+O844+Q844+S844+U844+X844+AA844+AD844+AF844+AM844+AP844+AQ844+AT844+AX844+AY844+BD844+BF844+BH844)</f>
        <v>14</v>
      </c>
      <c r="BK844" s="28">
        <f t="shared" ref="BK844:BK861" si="262">SUM(I844:BH844)</f>
        <v>33</v>
      </c>
      <c r="BL844" s="22">
        <f t="shared" ref="BL844:BL861" si="263">SUM(I844+K844+L844+M844+P844+R844+T844+V844+W844+Y844+Z844+AB844+AC844+AE844+AG844+AH844+AI844+AJ844+AK844+AL844+AN844+AO844+AR844+AS844+AU844+AV844+AW844+AZ844+BA844+BB844+BC844+BG844+BE844)</f>
        <v>19</v>
      </c>
      <c r="BM844" s="22">
        <f t="shared" si="259"/>
        <v>14</v>
      </c>
      <c r="BN844" s="23">
        <f t="shared" si="253"/>
        <v>0.78947368421052633</v>
      </c>
      <c r="BO844" s="23">
        <f t="shared" si="253"/>
        <v>0</v>
      </c>
      <c r="BP844" s="7">
        <f>VLOOKUP(A844,[1]Sheet15!B:E,4,0)</f>
        <v>2</v>
      </c>
      <c r="BQ844" s="7">
        <f>VLOOKUP(A844,[1]Sheet15!B:E,3,0)</f>
        <v>0</v>
      </c>
    </row>
    <row r="845" spans="1:69" ht="22.5" customHeight="1" x14ac:dyDescent="0.25">
      <c r="A845" s="15" t="s">
        <v>2007</v>
      </c>
      <c r="B845" s="15" t="e">
        <f>VLOOKUP(A845,'[1]Master clients'!F824:W4371,17,0)</f>
        <v>#N/A</v>
      </c>
      <c r="C845" s="15" t="e">
        <f>VLOOKUP(A845,'[1]Master clients'!F824:P4371,11,0)</f>
        <v>#N/A</v>
      </c>
      <c r="D845" s="15" t="str">
        <f>VLOOKUP(A845,'[1]Master clients'!F:M,8,0)</f>
        <v>End User</v>
      </c>
      <c r="E845" s="24" t="s">
        <v>2008</v>
      </c>
      <c r="F845" s="25" t="s">
        <v>2004</v>
      </c>
      <c r="G845" s="20">
        <v>12</v>
      </c>
      <c r="H845" s="20">
        <v>0</v>
      </c>
      <c r="I845" s="26">
        <v>12</v>
      </c>
      <c r="J845" s="26">
        <v>0</v>
      </c>
      <c r="K845" s="20">
        <v>2</v>
      </c>
      <c r="L845" s="20">
        <v>0</v>
      </c>
      <c r="M845" s="20">
        <v>0</v>
      </c>
      <c r="N845" s="20">
        <v>0</v>
      </c>
      <c r="O845" s="20">
        <v>0</v>
      </c>
      <c r="P845" s="20">
        <v>0</v>
      </c>
      <c r="Q845" s="20">
        <v>12</v>
      </c>
      <c r="R845" s="20">
        <v>0</v>
      </c>
      <c r="S845" s="20">
        <v>0</v>
      </c>
      <c r="T845" s="20">
        <v>0</v>
      </c>
      <c r="U845" s="20">
        <v>0</v>
      </c>
      <c r="V845" s="20">
        <v>0</v>
      </c>
      <c r="W845" s="20">
        <v>0</v>
      </c>
      <c r="X845" s="20">
        <v>0</v>
      </c>
      <c r="Y845" s="20">
        <v>0</v>
      </c>
      <c r="Z845" s="20">
        <v>0</v>
      </c>
      <c r="AA845" s="20">
        <v>0</v>
      </c>
      <c r="AB845" s="20">
        <v>0</v>
      </c>
      <c r="AC845" s="20">
        <v>0</v>
      </c>
      <c r="AD845" s="20">
        <v>0</v>
      </c>
      <c r="AE845" s="20">
        <v>0</v>
      </c>
      <c r="AF845" s="20">
        <v>0</v>
      </c>
      <c r="AG845" s="20">
        <v>0</v>
      </c>
      <c r="AH845" s="20">
        <v>0</v>
      </c>
      <c r="AI845" s="20">
        <v>0</v>
      </c>
      <c r="AJ845" s="20">
        <v>0</v>
      </c>
      <c r="AK845" s="20">
        <v>0</v>
      </c>
      <c r="AL845" s="20">
        <v>0</v>
      </c>
      <c r="AM845" s="20">
        <v>0</v>
      </c>
      <c r="AN845" s="20">
        <v>0</v>
      </c>
      <c r="AO845" s="20">
        <v>0</v>
      </c>
      <c r="AP845" s="20">
        <v>0</v>
      </c>
      <c r="AQ845" s="20">
        <v>0</v>
      </c>
      <c r="AR845" s="20">
        <v>0</v>
      </c>
      <c r="AS845" s="20">
        <v>0</v>
      </c>
      <c r="AT845" s="20">
        <v>0</v>
      </c>
      <c r="AU845" s="20">
        <v>0</v>
      </c>
      <c r="AV845" s="20">
        <v>0</v>
      </c>
      <c r="AW845" s="20">
        <v>0</v>
      </c>
      <c r="AX845" s="20">
        <v>0</v>
      </c>
      <c r="AY845" s="20">
        <v>0</v>
      </c>
      <c r="AZ845" s="20">
        <v>0</v>
      </c>
      <c r="BA845" s="20">
        <v>0</v>
      </c>
      <c r="BB845" s="27">
        <v>0</v>
      </c>
      <c r="BC845" s="20">
        <v>0</v>
      </c>
      <c r="BD845" s="20">
        <v>0</v>
      </c>
      <c r="BE845" s="21">
        <v>0</v>
      </c>
      <c r="BF845" s="21">
        <v>0</v>
      </c>
      <c r="BG845" s="20">
        <v>0</v>
      </c>
      <c r="BH845" s="20">
        <v>0</v>
      </c>
      <c r="BI845" s="22">
        <f t="shared" si="260"/>
        <v>2</v>
      </c>
      <c r="BJ845" s="22">
        <f t="shared" si="261"/>
        <v>12</v>
      </c>
      <c r="BK845" s="28">
        <f t="shared" si="262"/>
        <v>26</v>
      </c>
      <c r="BL845" s="22">
        <f t="shared" si="263"/>
        <v>14</v>
      </c>
      <c r="BM845" s="22">
        <f t="shared" si="259"/>
        <v>12</v>
      </c>
      <c r="BN845" s="23">
        <f t="shared" si="253"/>
        <v>0.8571428571428571</v>
      </c>
      <c r="BO845" s="23">
        <f t="shared" si="253"/>
        <v>0</v>
      </c>
      <c r="BP845" s="7">
        <f>VLOOKUP(A845,[1]Sheet15!B:E,4,0)</f>
        <v>2</v>
      </c>
      <c r="BQ845" s="7">
        <f>VLOOKUP(A845,[1]Sheet15!B:E,3,0)</f>
        <v>0</v>
      </c>
    </row>
    <row r="846" spans="1:69" ht="22.5" customHeight="1" x14ac:dyDescent="0.25">
      <c r="A846" s="15" t="s">
        <v>2009</v>
      </c>
      <c r="B846" s="15" t="e">
        <f>VLOOKUP(A846,'[1]Master clients'!F825:W4372,17,0)</f>
        <v>#N/A</v>
      </c>
      <c r="C846" s="15" t="e">
        <f>VLOOKUP(A846,'[1]Master clients'!F825:P4372,11,0)</f>
        <v>#N/A</v>
      </c>
      <c r="D846" s="15" t="str">
        <f>VLOOKUP(A846,'[1]Master clients'!F:M,8,0)</f>
        <v>End User</v>
      </c>
      <c r="E846" s="24" t="s">
        <v>2010</v>
      </c>
      <c r="F846" s="25" t="s">
        <v>2004</v>
      </c>
      <c r="G846" s="20">
        <v>14</v>
      </c>
      <c r="H846" s="20">
        <v>0</v>
      </c>
      <c r="I846" s="26">
        <v>15</v>
      </c>
      <c r="J846" s="26">
        <v>0</v>
      </c>
      <c r="K846" s="20">
        <v>2</v>
      </c>
      <c r="L846" s="20">
        <v>0</v>
      </c>
      <c r="M846" s="20">
        <v>0</v>
      </c>
      <c r="N846" s="20">
        <v>0</v>
      </c>
      <c r="O846" s="20">
        <v>0</v>
      </c>
      <c r="P846" s="20">
        <v>0</v>
      </c>
      <c r="Q846" s="20">
        <v>16</v>
      </c>
      <c r="R846" s="20">
        <v>0</v>
      </c>
      <c r="S846" s="20">
        <v>0</v>
      </c>
      <c r="T846" s="20">
        <v>0</v>
      </c>
      <c r="U846" s="20">
        <v>0</v>
      </c>
      <c r="V846" s="20">
        <v>0</v>
      </c>
      <c r="W846" s="20">
        <v>0</v>
      </c>
      <c r="X846" s="20">
        <v>0</v>
      </c>
      <c r="Y846" s="20">
        <v>0</v>
      </c>
      <c r="Z846" s="20">
        <v>0</v>
      </c>
      <c r="AA846" s="20">
        <v>0</v>
      </c>
      <c r="AB846" s="20">
        <v>0</v>
      </c>
      <c r="AC846" s="20">
        <v>0</v>
      </c>
      <c r="AD846" s="20">
        <v>0</v>
      </c>
      <c r="AE846" s="20">
        <v>0</v>
      </c>
      <c r="AF846" s="20">
        <v>0</v>
      </c>
      <c r="AG846" s="20">
        <v>0</v>
      </c>
      <c r="AH846" s="20">
        <v>0</v>
      </c>
      <c r="AI846" s="20">
        <v>0</v>
      </c>
      <c r="AJ846" s="20">
        <v>0</v>
      </c>
      <c r="AK846" s="20">
        <v>0</v>
      </c>
      <c r="AL846" s="20">
        <v>0</v>
      </c>
      <c r="AM846" s="20">
        <v>0</v>
      </c>
      <c r="AN846" s="20">
        <v>0</v>
      </c>
      <c r="AO846" s="20">
        <v>0</v>
      </c>
      <c r="AP846" s="20">
        <v>0</v>
      </c>
      <c r="AQ846" s="20">
        <v>0</v>
      </c>
      <c r="AR846" s="20">
        <v>0</v>
      </c>
      <c r="AS846" s="20">
        <v>0</v>
      </c>
      <c r="AT846" s="20">
        <v>0</v>
      </c>
      <c r="AU846" s="20">
        <v>0</v>
      </c>
      <c r="AV846" s="20">
        <v>0</v>
      </c>
      <c r="AW846" s="20">
        <v>0</v>
      </c>
      <c r="AX846" s="20">
        <v>0</v>
      </c>
      <c r="AY846" s="20">
        <v>0</v>
      </c>
      <c r="AZ846" s="20">
        <v>0</v>
      </c>
      <c r="BA846" s="20">
        <v>0</v>
      </c>
      <c r="BB846" s="27">
        <v>0</v>
      </c>
      <c r="BC846" s="20">
        <v>0</v>
      </c>
      <c r="BD846" s="20">
        <v>0</v>
      </c>
      <c r="BE846" s="21">
        <v>0</v>
      </c>
      <c r="BF846" s="21">
        <v>0</v>
      </c>
      <c r="BG846" s="20">
        <v>0</v>
      </c>
      <c r="BH846" s="20">
        <v>0</v>
      </c>
      <c r="BI846" s="22">
        <f t="shared" si="260"/>
        <v>2</v>
      </c>
      <c r="BJ846" s="22">
        <f t="shared" si="261"/>
        <v>16</v>
      </c>
      <c r="BK846" s="28">
        <f t="shared" si="262"/>
        <v>33</v>
      </c>
      <c r="BL846" s="22">
        <f t="shared" si="263"/>
        <v>17</v>
      </c>
      <c r="BM846" s="22">
        <f t="shared" si="259"/>
        <v>16</v>
      </c>
      <c r="BN846" s="23">
        <f t="shared" si="253"/>
        <v>0.88235294117647056</v>
      </c>
      <c r="BO846" s="23">
        <f t="shared" si="253"/>
        <v>0</v>
      </c>
      <c r="BP846" s="7">
        <f>VLOOKUP(A846,[1]Sheet15!B:E,4,0)</f>
        <v>8</v>
      </c>
      <c r="BQ846" s="7">
        <f>VLOOKUP(A846,[1]Sheet15!B:E,3,0)</f>
        <v>0</v>
      </c>
    </row>
    <row r="847" spans="1:69" ht="22.5" customHeight="1" x14ac:dyDescent="0.25">
      <c r="A847" s="15" t="s">
        <v>2011</v>
      </c>
      <c r="B847" s="15" t="e">
        <f>VLOOKUP(A847,'[1]Master clients'!F826:W4373,17,0)</f>
        <v>#N/A</v>
      </c>
      <c r="C847" s="15" t="e">
        <f>VLOOKUP(A847,'[1]Master clients'!F826:P4373,11,0)</f>
        <v>#N/A</v>
      </c>
      <c r="D847" s="15" t="str">
        <f>VLOOKUP(A847,'[1]Master clients'!F:M,8,0)</f>
        <v>End User</v>
      </c>
      <c r="E847" s="24" t="s">
        <v>2012</v>
      </c>
      <c r="F847" s="25" t="s">
        <v>2004</v>
      </c>
      <c r="G847" s="20">
        <v>0</v>
      </c>
      <c r="H847" s="20">
        <v>0</v>
      </c>
      <c r="I847" s="26">
        <v>22</v>
      </c>
      <c r="J847" s="26">
        <v>0</v>
      </c>
      <c r="K847" s="20">
        <v>0</v>
      </c>
      <c r="L847" s="20">
        <v>0</v>
      </c>
      <c r="M847" s="20">
        <v>0</v>
      </c>
      <c r="N847" s="20">
        <v>0</v>
      </c>
      <c r="O847" s="20">
        <v>0</v>
      </c>
      <c r="P847" s="20">
        <v>0</v>
      </c>
      <c r="Q847" s="20">
        <v>18</v>
      </c>
      <c r="R847" s="20">
        <v>0</v>
      </c>
      <c r="S847" s="20">
        <v>0</v>
      </c>
      <c r="T847" s="20">
        <v>0</v>
      </c>
      <c r="U847" s="20">
        <v>0</v>
      </c>
      <c r="V847" s="20">
        <v>0</v>
      </c>
      <c r="W847" s="20">
        <v>0</v>
      </c>
      <c r="X847" s="20">
        <v>0</v>
      </c>
      <c r="Y847" s="20">
        <v>0</v>
      </c>
      <c r="Z847" s="20">
        <v>0</v>
      </c>
      <c r="AA847" s="20">
        <v>0</v>
      </c>
      <c r="AB847" s="20">
        <v>0</v>
      </c>
      <c r="AC847" s="20">
        <v>0</v>
      </c>
      <c r="AD847" s="20">
        <v>0</v>
      </c>
      <c r="AE847" s="20">
        <v>0</v>
      </c>
      <c r="AF847" s="20">
        <v>0</v>
      </c>
      <c r="AG847" s="20">
        <v>0</v>
      </c>
      <c r="AH847" s="20">
        <v>0</v>
      </c>
      <c r="AI847" s="20">
        <v>0</v>
      </c>
      <c r="AJ847" s="20">
        <v>0</v>
      </c>
      <c r="AK847" s="20">
        <v>0</v>
      </c>
      <c r="AL847" s="20">
        <v>0</v>
      </c>
      <c r="AM847" s="20">
        <v>0</v>
      </c>
      <c r="AN847" s="20">
        <v>0</v>
      </c>
      <c r="AO847" s="20">
        <v>0</v>
      </c>
      <c r="AP847" s="20">
        <v>0</v>
      </c>
      <c r="AQ847" s="20">
        <v>0</v>
      </c>
      <c r="AR847" s="20">
        <v>0</v>
      </c>
      <c r="AS847" s="20">
        <v>0</v>
      </c>
      <c r="AT847" s="20">
        <v>0</v>
      </c>
      <c r="AU847" s="20">
        <v>0</v>
      </c>
      <c r="AV847" s="20">
        <v>0</v>
      </c>
      <c r="AW847" s="20">
        <v>0</v>
      </c>
      <c r="AX847" s="20">
        <v>0</v>
      </c>
      <c r="AY847" s="20">
        <v>0</v>
      </c>
      <c r="AZ847" s="20">
        <v>0</v>
      </c>
      <c r="BA847" s="20">
        <v>0</v>
      </c>
      <c r="BB847" s="27">
        <v>0</v>
      </c>
      <c r="BC847" s="20">
        <v>0</v>
      </c>
      <c r="BD847" s="20">
        <v>0</v>
      </c>
      <c r="BE847" s="21">
        <v>0</v>
      </c>
      <c r="BF847" s="21">
        <v>0</v>
      </c>
      <c r="BG847" s="20">
        <v>0</v>
      </c>
      <c r="BH847" s="20">
        <v>0</v>
      </c>
      <c r="BI847" s="22">
        <f t="shared" si="260"/>
        <v>0</v>
      </c>
      <c r="BJ847" s="22">
        <f t="shared" si="261"/>
        <v>18</v>
      </c>
      <c r="BK847" s="28">
        <f t="shared" si="262"/>
        <v>40</v>
      </c>
      <c r="BL847" s="22">
        <f t="shared" si="263"/>
        <v>22</v>
      </c>
      <c r="BM847" s="22">
        <f t="shared" si="259"/>
        <v>18</v>
      </c>
      <c r="BN847" s="23">
        <f t="shared" si="253"/>
        <v>1</v>
      </c>
      <c r="BO847" s="23">
        <f t="shared" si="253"/>
        <v>0</v>
      </c>
      <c r="BP847" s="7">
        <f>VLOOKUP(A847,[1]Sheet15!B:E,4,0)</f>
        <v>12</v>
      </c>
      <c r="BQ847" s="7">
        <f>VLOOKUP(A847,[1]Sheet15!B:E,3,0)</f>
        <v>0</v>
      </c>
    </row>
    <row r="848" spans="1:69" ht="22.5" customHeight="1" x14ac:dyDescent="0.25">
      <c r="A848" s="15" t="s">
        <v>2013</v>
      </c>
      <c r="B848" s="15">
        <f>VLOOKUP(A848,'[1]Master clients'!F827:W4374,17,0)</f>
        <v>0</v>
      </c>
      <c r="C848" s="15" t="str">
        <f>VLOOKUP(A848,'[1]Master clients'!F827:P4374,11,0)</f>
        <v>NI</v>
      </c>
      <c r="D848" s="15" t="str">
        <f>VLOOKUP(A848,'[1]Master clients'!F:M,8,0)</f>
        <v>End User</v>
      </c>
      <c r="E848" s="24" t="s">
        <v>2014</v>
      </c>
      <c r="F848" s="25" t="s">
        <v>2004</v>
      </c>
      <c r="G848" s="20">
        <v>30</v>
      </c>
      <c r="H848" s="20">
        <v>2</v>
      </c>
      <c r="I848" s="26">
        <v>16</v>
      </c>
      <c r="J848" s="26">
        <v>1</v>
      </c>
      <c r="K848" s="20">
        <v>0</v>
      </c>
      <c r="L848" s="20">
        <v>0</v>
      </c>
      <c r="M848" s="20">
        <v>0</v>
      </c>
      <c r="N848" s="20">
        <v>0</v>
      </c>
      <c r="O848" s="20">
        <v>0</v>
      </c>
      <c r="P848" s="20">
        <v>0</v>
      </c>
      <c r="Q848" s="20">
        <v>12</v>
      </c>
      <c r="R848" s="20">
        <v>0</v>
      </c>
      <c r="S848" s="20">
        <v>0</v>
      </c>
      <c r="T848" s="20">
        <v>0</v>
      </c>
      <c r="U848" s="20">
        <v>0</v>
      </c>
      <c r="V848" s="20">
        <v>0</v>
      </c>
      <c r="W848" s="20">
        <v>0</v>
      </c>
      <c r="X848" s="20">
        <v>0</v>
      </c>
      <c r="Y848" s="20">
        <v>0</v>
      </c>
      <c r="Z848" s="20">
        <v>0</v>
      </c>
      <c r="AA848" s="20">
        <v>0</v>
      </c>
      <c r="AB848" s="20">
        <v>0</v>
      </c>
      <c r="AC848" s="20">
        <v>0</v>
      </c>
      <c r="AD848" s="20">
        <v>0</v>
      </c>
      <c r="AE848" s="20">
        <v>0</v>
      </c>
      <c r="AF848" s="20">
        <v>0</v>
      </c>
      <c r="AG848" s="20">
        <v>0</v>
      </c>
      <c r="AH848" s="20">
        <v>0</v>
      </c>
      <c r="AI848" s="20">
        <v>0</v>
      </c>
      <c r="AJ848" s="20">
        <v>0</v>
      </c>
      <c r="AK848" s="20">
        <v>0</v>
      </c>
      <c r="AL848" s="20">
        <v>0</v>
      </c>
      <c r="AM848" s="20">
        <v>0</v>
      </c>
      <c r="AN848" s="20">
        <v>0</v>
      </c>
      <c r="AO848" s="20">
        <v>0</v>
      </c>
      <c r="AP848" s="20">
        <v>0</v>
      </c>
      <c r="AQ848" s="20">
        <v>0</v>
      </c>
      <c r="AR848" s="20">
        <v>0</v>
      </c>
      <c r="AS848" s="20">
        <v>0</v>
      </c>
      <c r="AT848" s="20">
        <v>0</v>
      </c>
      <c r="AU848" s="20">
        <v>0</v>
      </c>
      <c r="AV848" s="20">
        <v>0</v>
      </c>
      <c r="AW848" s="20">
        <v>0</v>
      </c>
      <c r="AX848" s="20">
        <v>0</v>
      </c>
      <c r="AY848" s="20">
        <v>0</v>
      </c>
      <c r="AZ848" s="20">
        <v>0</v>
      </c>
      <c r="BA848" s="20">
        <v>0</v>
      </c>
      <c r="BB848" s="27">
        <v>0</v>
      </c>
      <c r="BC848" s="20">
        <v>0</v>
      </c>
      <c r="BD848" s="20">
        <v>0</v>
      </c>
      <c r="BE848" s="21">
        <v>0</v>
      </c>
      <c r="BF848" s="21">
        <v>0</v>
      </c>
      <c r="BG848" s="20">
        <v>0</v>
      </c>
      <c r="BH848" s="20">
        <v>0</v>
      </c>
      <c r="BI848" s="22">
        <f t="shared" si="260"/>
        <v>0</v>
      </c>
      <c r="BJ848" s="22">
        <f t="shared" si="261"/>
        <v>12</v>
      </c>
      <c r="BK848" s="28">
        <f t="shared" si="262"/>
        <v>29</v>
      </c>
      <c r="BL848" s="22">
        <f t="shared" si="263"/>
        <v>16</v>
      </c>
      <c r="BM848" s="22">
        <f t="shared" si="259"/>
        <v>13</v>
      </c>
      <c r="BN848" s="23">
        <f t="shared" ref="BN848:BO863" si="264">I848/BL848</f>
        <v>1</v>
      </c>
      <c r="BO848" s="23">
        <f t="shared" si="264"/>
        <v>7.6923076923076927E-2</v>
      </c>
      <c r="BP848" s="7">
        <f>VLOOKUP(A848,[1]Sheet15!B:E,4,0)</f>
        <v>10</v>
      </c>
      <c r="BQ848" s="7">
        <f>VLOOKUP(A848,[1]Sheet15!B:E,3,0)</f>
        <v>1</v>
      </c>
    </row>
    <row r="849" spans="1:69" ht="22.5" customHeight="1" x14ac:dyDescent="0.25">
      <c r="A849" s="15" t="s">
        <v>2015</v>
      </c>
      <c r="B849" s="15" t="e">
        <f>VLOOKUP(A849,'[1]Master clients'!F828:W4375,17,0)</f>
        <v>#N/A</v>
      </c>
      <c r="C849" s="15" t="e">
        <f>VLOOKUP(A849,'[1]Master clients'!F828:P4375,11,0)</f>
        <v>#N/A</v>
      </c>
      <c r="D849" s="15" t="str">
        <f>VLOOKUP(A849,'[1]Master clients'!F:M,8,0)</f>
        <v>End User</v>
      </c>
      <c r="E849" s="24" t="s">
        <v>2016</v>
      </c>
      <c r="F849" s="25" t="s">
        <v>2004</v>
      </c>
      <c r="G849" s="20">
        <v>7</v>
      </c>
      <c r="H849" s="20">
        <v>0</v>
      </c>
      <c r="I849" s="26">
        <v>3</v>
      </c>
      <c r="J849" s="26">
        <v>0</v>
      </c>
      <c r="K849" s="20">
        <v>0</v>
      </c>
      <c r="L849" s="20">
        <v>0</v>
      </c>
      <c r="M849" s="20">
        <v>0</v>
      </c>
      <c r="N849" s="20">
        <v>0</v>
      </c>
      <c r="O849" s="20">
        <v>0</v>
      </c>
      <c r="P849" s="20">
        <v>0</v>
      </c>
      <c r="Q849" s="20">
        <v>10</v>
      </c>
      <c r="R849" s="20">
        <v>5</v>
      </c>
      <c r="S849" s="20">
        <v>0</v>
      </c>
      <c r="T849" s="20">
        <v>0</v>
      </c>
      <c r="U849" s="20">
        <v>0</v>
      </c>
      <c r="V849" s="20">
        <v>0</v>
      </c>
      <c r="W849" s="20">
        <v>0</v>
      </c>
      <c r="X849" s="20">
        <v>0</v>
      </c>
      <c r="Y849" s="20">
        <v>0</v>
      </c>
      <c r="Z849" s="20">
        <v>0</v>
      </c>
      <c r="AA849" s="20">
        <v>0</v>
      </c>
      <c r="AB849" s="20">
        <v>0</v>
      </c>
      <c r="AC849" s="20">
        <v>0</v>
      </c>
      <c r="AD849" s="20">
        <v>0</v>
      </c>
      <c r="AE849" s="20">
        <v>0</v>
      </c>
      <c r="AF849" s="20">
        <v>0</v>
      </c>
      <c r="AG849" s="20">
        <v>0</v>
      </c>
      <c r="AH849" s="20">
        <v>0</v>
      </c>
      <c r="AI849" s="20">
        <v>0</v>
      </c>
      <c r="AJ849" s="20">
        <v>0</v>
      </c>
      <c r="AK849" s="20">
        <v>0</v>
      </c>
      <c r="AL849" s="20">
        <v>0</v>
      </c>
      <c r="AM849" s="20">
        <v>0</v>
      </c>
      <c r="AN849" s="20">
        <v>0</v>
      </c>
      <c r="AO849" s="20">
        <v>0</v>
      </c>
      <c r="AP849" s="20">
        <v>0</v>
      </c>
      <c r="AQ849" s="20">
        <v>0</v>
      </c>
      <c r="AR849" s="20">
        <v>0</v>
      </c>
      <c r="AS849" s="20">
        <v>0</v>
      </c>
      <c r="AT849" s="20">
        <v>0</v>
      </c>
      <c r="AU849" s="20">
        <v>0</v>
      </c>
      <c r="AV849" s="20">
        <v>0</v>
      </c>
      <c r="AW849" s="20">
        <v>0</v>
      </c>
      <c r="AX849" s="20">
        <v>0</v>
      </c>
      <c r="AY849" s="20">
        <v>0</v>
      </c>
      <c r="AZ849" s="20">
        <v>0</v>
      </c>
      <c r="BA849" s="20">
        <v>0</v>
      </c>
      <c r="BB849" s="27">
        <v>0</v>
      </c>
      <c r="BC849" s="20">
        <v>0</v>
      </c>
      <c r="BD849" s="20">
        <v>0</v>
      </c>
      <c r="BE849" s="21">
        <v>0</v>
      </c>
      <c r="BF849" s="21">
        <v>0</v>
      </c>
      <c r="BG849" s="20">
        <v>0</v>
      </c>
      <c r="BH849" s="20">
        <v>0</v>
      </c>
      <c r="BI849" s="22">
        <f t="shared" si="260"/>
        <v>5</v>
      </c>
      <c r="BJ849" s="22">
        <f t="shared" si="261"/>
        <v>10</v>
      </c>
      <c r="BK849" s="28">
        <f t="shared" si="262"/>
        <v>18</v>
      </c>
      <c r="BL849" s="22">
        <f t="shared" si="263"/>
        <v>8</v>
      </c>
      <c r="BM849" s="22">
        <f t="shared" si="259"/>
        <v>10</v>
      </c>
      <c r="BN849" s="23">
        <f t="shared" si="264"/>
        <v>0.375</v>
      </c>
      <c r="BO849" s="23">
        <f t="shared" si="264"/>
        <v>0</v>
      </c>
      <c r="BP849" s="7">
        <f>VLOOKUP(A849,[1]Sheet15!B:E,4,0)</f>
        <v>2</v>
      </c>
      <c r="BQ849" s="7">
        <f>VLOOKUP(A849,[1]Sheet15!B:E,3,0)</f>
        <v>0</v>
      </c>
    </row>
    <row r="850" spans="1:69" ht="22.5" customHeight="1" x14ac:dyDescent="0.25">
      <c r="A850" s="15" t="s">
        <v>2017</v>
      </c>
      <c r="B850" s="15">
        <f>VLOOKUP(A850,'[1]Master clients'!F829:W4376,17,0)</f>
        <v>0</v>
      </c>
      <c r="C850" s="15" t="str">
        <f>VLOOKUP(A850,'[1]Master clients'!F829:P4376,11,0)</f>
        <v>HO</v>
      </c>
      <c r="D850" s="15" t="str">
        <f>VLOOKUP(A850,'[1]Master clients'!F:M,8,0)</f>
        <v>End User</v>
      </c>
      <c r="E850" s="24" t="s">
        <v>2018</v>
      </c>
      <c r="F850" s="25" t="s">
        <v>2004</v>
      </c>
      <c r="G850" s="20">
        <v>3</v>
      </c>
      <c r="H850" s="20">
        <v>0</v>
      </c>
      <c r="I850" s="26">
        <v>4</v>
      </c>
      <c r="J850" s="26">
        <v>0</v>
      </c>
      <c r="K850" s="20">
        <v>0</v>
      </c>
      <c r="L850" s="20">
        <v>0</v>
      </c>
      <c r="M850" s="20">
        <v>0</v>
      </c>
      <c r="N850" s="20">
        <v>4</v>
      </c>
      <c r="O850" s="20">
        <v>0</v>
      </c>
      <c r="P850" s="20">
        <v>0</v>
      </c>
      <c r="Q850" s="20">
        <v>4</v>
      </c>
      <c r="R850" s="20">
        <v>0</v>
      </c>
      <c r="S850" s="20">
        <v>0</v>
      </c>
      <c r="T850" s="20">
        <v>0</v>
      </c>
      <c r="U850" s="20">
        <v>0</v>
      </c>
      <c r="V850" s="20">
        <v>0</v>
      </c>
      <c r="W850" s="20">
        <v>0</v>
      </c>
      <c r="X850" s="20">
        <v>0</v>
      </c>
      <c r="Y850" s="20">
        <v>0</v>
      </c>
      <c r="Z850" s="20">
        <v>4</v>
      </c>
      <c r="AA850" s="20">
        <v>0</v>
      </c>
      <c r="AB850" s="20">
        <v>0</v>
      </c>
      <c r="AC850" s="20">
        <v>0</v>
      </c>
      <c r="AD850" s="20">
        <v>0</v>
      </c>
      <c r="AE850" s="20">
        <v>0</v>
      </c>
      <c r="AF850" s="20">
        <v>0</v>
      </c>
      <c r="AG850" s="20">
        <v>0</v>
      </c>
      <c r="AH850" s="20">
        <v>0</v>
      </c>
      <c r="AI850" s="20">
        <v>0</v>
      </c>
      <c r="AJ850" s="20">
        <v>0</v>
      </c>
      <c r="AK850" s="20">
        <v>0</v>
      </c>
      <c r="AL850" s="20">
        <v>0</v>
      </c>
      <c r="AM850" s="20">
        <v>0</v>
      </c>
      <c r="AN850" s="20">
        <v>0</v>
      </c>
      <c r="AO850" s="20">
        <v>0</v>
      </c>
      <c r="AP850" s="20">
        <v>0</v>
      </c>
      <c r="AQ850" s="20">
        <v>0</v>
      </c>
      <c r="AR850" s="20">
        <v>0</v>
      </c>
      <c r="AS850" s="20">
        <v>0</v>
      </c>
      <c r="AT850" s="20">
        <v>0</v>
      </c>
      <c r="AU850" s="20">
        <v>0</v>
      </c>
      <c r="AV850" s="20">
        <v>0</v>
      </c>
      <c r="AW850" s="20">
        <v>0</v>
      </c>
      <c r="AX850" s="20">
        <v>0</v>
      </c>
      <c r="AY850" s="20">
        <v>0</v>
      </c>
      <c r="AZ850" s="20">
        <v>0</v>
      </c>
      <c r="BA850" s="20">
        <v>0</v>
      </c>
      <c r="BB850" s="27">
        <v>0</v>
      </c>
      <c r="BC850" s="20">
        <v>0</v>
      </c>
      <c r="BD850" s="20">
        <v>0</v>
      </c>
      <c r="BE850" s="21">
        <v>0</v>
      </c>
      <c r="BF850" s="21">
        <v>0</v>
      </c>
      <c r="BG850" s="20">
        <v>0</v>
      </c>
      <c r="BH850" s="20">
        <v>0</v>
      </c>
      <c r="BI850" s="22">
        <f t="shared" si="260"/>
        <v>4</v>
      </c>
      <c r="BJ850" s="22">
        <f t="shared" si="261"/>
        <v>8</v>
      </c>
      <c r="BK850" s="28">
        <f t="shared" si="262"/>
        <v>16</v>
      </c>
      <c r="BL850" s="22">
        <f t="shared" si="263"/>
        <v>8</v>
      </c>
      <c r="BM850" s="22">
        <f t="shared" si="259"/>
        <v>8</v>
      </c>
      <c r="BN850" s="23">
        <f t="shared" si="264"/>
        <v>0.5</v>
      </c>
      <c r="BO850" s="23">
        <f t="shared" si="264"/>
        <v>0</v>
      </c>
      <c r="BP850" s="7">
        <f>VLOOKUP(A850,[1]Sheet15!B:E,4,0)</f>
        <v>3</v>
      </c>
      <c r="BQ850" s="7">
        <f>VLOOKUP(A850,[1]Sheet15!B:E,3,0)</f>
        <v>0</v>
      </c>
    </row>
    <row r="851" spans="1:69" ht="22.5" customHeight="1" x14ac:dyDescent="0.25">
      <c r="A851" s="15" t="s">
        <v>2019</v>
      </c>
      <c r="B851" s="15">
        <f>VLOOKUP(A851,'[1]Master clients'!F830:W4377,17,0)</f>
        <v>0</v>
      </c>
      <c r="C851" s="15" t="str">
        <f>VLOOKUP(A851,'[1]Master clients'!F830:P4377,11,0)</f>
        <v>NI</v>
      </c>
      <c r="D851" s="15" t="str">
        <f>VLOOKUP(A851,'[1]Master clients'!F:M,8,0)</f>
        <v>End User</v>
      </c>
      <c r="E851" s="24" t="s">
        <v>2020</v>
      </c>
      <c r="F851" s="25" t="s">
        <v>2004</v>
      </c>
      <c r="G851" s="20">
        <v>2</v>
      </c>
      <c r="H851" s="20">
        <v>0</v>
      </c>
      <c r="I851" s="26">
        <v>3</v>
      </c>
      <c r="J851" s="26">
        <v>0</v>
      </c>
      <c r="K851" s="20">
        <v>0</v>
      </c>
      <c r="L851" s="20">
        <v>0</v>
      </c>
      <c r="M851" s="20">
        <v>0</v>
      </c>
      <c r="N851" s="20">
        <v>0</v>
      </c>
      <c r="O851" s="20">
        <v>0</v>
      </c>
      <c r="P851" s="20">
        <v>0</v>
      </c>
      <c r="Q851" s="20">
        <v>10</v>
      </c>
      <c r="R851" s="20">
        <v>8</v>
      </c>
      <c r="S851" s="20">
        <v>0</v>
      </c>
      <c r="T851" s="20">
        <v>0</v>
      </c>
      <c r="U851" s="20">
        <v>0</v>
      </c>
      <c r="V851" s="20">
        <v>0</v>
      </c>
      <c r="W851" s="20">
        <v>0</v>
      </c>
      <c r="X851" s="20">
        <v>0</v>
      </c>
      <c r="Y851" s="20">
        <v>0</v>
      </c>
      <c r="Z851" s="20">
        <v>0</v>
      </c>
      <c r="AA851" s="20">
        <v>0</v>
      </c>
      <c r="AB851" s="20">
        <v>0</v>
      </c>
      <c r="AC851" s="20">
        <v>0</v>
      </c>
      <c r="AD851" s="20">
        <v>0</v>
      </c>
      <c r="AE851" s="20">
        <v>0</v>
      </c>
      <c r="AF851" s="20">
        <v>0</v>
      </c>
      <c r="AG851" s="20">
        <v>0</v>
      </c>
      <c r="AH851" s="20">
        <v>0</v>
      </c>
      <c r="AI851" s="20">
        <v>0</v>
      </c>
      <c r="AJ851" s="20">
        <v>0</v>
      </c>
      <c r="AK851" s="20">
        <v>0</v>
      </c>
      <c r="AL851" s="20">
        <v>0</v>
      </c>
      <c r="AM851" s="20">
        <v>0</v>
      </c>
      <c r="AN851" s="20">
        <v>0</v>
      </c>
      <c r="AO851" s="20">
        <v>0</v>
      </c>
      <c r="AP851" s="20">
        <v>0</v>
      </c>
      <c r="AQ851" s="20">
        <v>0</v>
      </c>
      <c r="AR851" s="20">
        <v>0</v>
      </c>
      <c r="AS851" s="20">
        <v>0</v>
      </c>
      <c r="AT851" s="20">
        <v>0</v>
      </c>
      <c r="AU851" s="20">
        <v>0</v>
      </c>
      <c r="AV851" s="20">
        <v>0</v>
      </c>
      <c r="AW851" s="20">
        <v>0</v>
      </c>
      <c r="AX851" s="20">
        <v>0</v>
      </c>
      <c r="AY851" s="20">
        <v>0</v>
      </c>
      <c r="AZ851" s="20">
        <v>0</v>
      </c>
      <c r="BA851" s="20">
        <v>0</v>
      </c>
      <c r="BB851" s="27">
        <v>0</v>
      </c>
      <c r="BC851" s="20">
        <v>0</v>
      </c>
      <c r="BD851" s="20">
        <v>0</v>
      </c>
      <c r="BE851" s="21">
        <v>0</v>
      </c>
      <c r="BF851" s="21">
        <v>0</v>
      </c>
      <c r="BG851" s="20">
        <v>0</v>
      </c>
      <c r="BH851" s="20">
        <v>0</v>
      </c>
      <c r="BI851" s="22">
        <f t="shared" si="260"/>
        <v>8</v>
      </c>
      <c r="BJ851" s="22">
        <f t="shared" si="261"/>
        <v>10</v>
      </c>
      <c r="BK851" s="28">
        <f t="shared" si="262"/>
        <v>21</v>
      </c>
      <c r="BL851" s="22">
        <f t="shared" si="263"/>
        <v>11</v>
      </c>
      <c r="BM851" s="22">
        <f t="shared" si="259"/>
        <v>10</v>
      </c>
      <c r="BN851" s="23">
        <f t="shared" si="264"/>
        <v>0.27272727272727271</v>
      </c>
      <c r="BO851" s="23">
        <f t="shared" si="264"/>
        <v>0</v>
      </c>
      <c r="BP851" s="7">
        <f>VLOOKUP(A851,[1]Sheet15!B:E,4,0)</f>
        <v>2</v>
      </c>
      <c r="BQ851" s="7">
        <f>VLOOKUP(A851,[1]Sheet15!B:E,3,0)</f>
        <v>0</v>
      </c>
    </row>
    <row r="852" spans="1:69" ht="22.5" customHeight="1" x14ac:dyDescent="0.25">
      <c r="A852" s="15" t="s">
        <v>2021</v>
      </c>
      <c r="B852" s="15">
        <f>VLOOKUP(A852,'[1]Master clients'!F831:W4378,17,0)</f>
        <v>0</v>
      </c>
      <c r="C852" s="15" t="str">
        <f>VLOOKUP(A852,'[1]Master clients'!F831:P4378,11,0)</f>
        <v>NI</v>
      </c>
      <c r="D852" s="15" t="str">
        <f>VLOOKUP(A852,'[1]Master clients'!F:M,8,0)</f>
        <v>End User</v>
      </c>
      <c r="E852" s="16" t="s">
        <v>2022</v>
      </c>
      <c r="F852" s="16" t="s">
        <v>2004</v>
      </c>
      <c r="G852" s="17"/>
      <c r="H852" s="17"/>
      <c r="I852" s="31">
        <v>0</v>
      </c>
      <c r="J852" s="31">
        <v>0</v>
      </c>
      <c r="K852" s="17">
        <v>0</v>
      </c>
      <c r="L852" s="17">
        <v>0</v>
      </c>
      <c r="M852" s="17">
        <v>0</v>
      </c>
      <c r="N852" s="17">
        <v>0</v>
      </c>
      <c r="O852" s="17">
        <v>0</v>
      </c>
      <c r="P852" s="17">
        <v>0</v>
      </c>
      <c r="Q852" s="17">
        <v>0</v>
      </c>
      <c r="R852" s="17">
        <v>0</v>
      </c>
      <c r="S852" s="17">
        <v>0</v>
      </c>
      <c r="T852" s="17">
        <v>0</v>
      </c>
      <c r="U852" s="17">
        <v>0</v>
      </c>
      <c r="V852" s="17">
        <v>0</v>
      </c>
      <c r="W852" s="17">
        <v>0</v>
      </c>
      <c r="X852" s="17">
        <v>0</v>
      </c>
      <c r="Y852" s="17">
        <v>0</v>
      </c>
      <c r="Z852" s="17">
        <v>0</v>
      </c>
      <c r="AA852" s="17">
        <v>0</v>
      </c>
      <c r="AB852" s="17">
        <v>0</v>
      </c>
      <c r="AC852" s="17">
        <v>0</v>
      </c>
      <c r="AD852" s="17">
        <v>0</v>
      </c>
      <c r="AE852" s="17">
        <v>0</v>
      </c>
      <c r="AF852" s="17">
        <v>0</v>
      </c>
      <c r="AG852" s="17">
        <v>0</v>
      </c>
      <c r="AH852" s="17">
        <v>0</v>
      </c>
      <c r="AI852" s="17">
        <v>0</v>
      </c>
      <c r="AJ852" s="17">
        <v>0</v>
      </c>
      <c r="AK852" s="17">
        <v>0</v>
      </c>
      <c r="AL852" s="17">
        <v>0</v>
      </c>
      <c r="AM852" s="17">
        <v>0</v>
      </c>
      <c r="AN852" s="17">
        <v>0</v>
      </c>
      <c r="AO852" s="17">
        <v>0</v>
      </c>
      <c r="AP852" s="17">
        <v>0</v>
      </c>
      <c r="AQ852" s="17">
        <v>0</v>
      </c>
      <c r="AR852" s="17">
        <v>0</v>
      </c>
      <c r="AS852" s="17">
        <v>0</v>
      </c>
      <c r="AT852" s="17">
        <v>0</v>
      </c>
      <c r="AU852" s="17">
        <v>0</v>
      </c>
      <c r="AV852" s="17">
        <v>0</v>
      </c>
      <c r="AW852" s="17">
        <v>0</v>
      </c>
      <c r="AX852" s="17">
        <v>0</v>
      </c>
      <c r="AY852" s="17">
        <v>0</v>
      </c>
      <c r="AZ852" s="17">
        <v>0</v>
      </c>
      <c r="BA852" s="17">
        <v>0</v>
      </c>
      <c r="BB852" s="17">
        <v>0</v>
      </c>
      <c r="BC852" s="17">
        <v>0</v>
      </c>
      <c r="BD852" s="17">
        <v>0</v>
      </c>
      <c r="BE852" s="17">
        <v>0</v>
      </c>
      <c r="BF852" s="17">
        <v>0</v>
      </c>
      <c r="BG852" s="17">
        <v>0</v>
      </c>
      <c r="BH852" s="17">
        <v>0</v>
      </c>
      <c r="BI852" s="22">
        <f t="shared" si="260"/>
        <v>0</v>
      </c>
      <c r="BJ852" s="22">
        <f t="shared" si="261"/>
        <v>0</v>
      </c>
      <c r="BK852" s="22">
        <f t="shared" si="262"/>
        <v>0</v>
      </c>
      <c r="BL852" s="22">
        <f t="shared" si="263"/>
        <v>0</v>
      </c>
      <c r="BM852" s="22">
        <f t="shared" si="259"/>
        <v>0</v>
      </c>
      <c r="BN852" s="23" t="e">
        <f t="shared" si="264"/>
        <v>#DIV/0!</v>
      </c>
      <c r="BO852" s="23" t="e">
        <f t="shared" si="264"/>
        <v>#DIV/0!</v>
      </c>
      <c r="BP852" s="7" t="e">
        <f>VLOOKUP(A852,[1]Sheet15!B:E,4,0)</f>
        <v>#N/A</v>
      </c>
      <c r="BQ852" s="7" t="e">
        <f>VLOOKUP(A852,[1]Sheet15!B:E,3,0)</f>
        <v>#N/A</v>
      </c>
    </row>
    <row r="853" spans="1:69" ht="22.5" customHeight="1" x14ac:dyDescent="0.25">
      <c r="A853" s="15" t="s">
        <v>2023</v>
      </c>
      <c r="B853" s="15" t="e">
        <f>VLOOKUP(A853,'[1]Master clients'!F832:W4379,17,0)</f>
        <v>#N/A</v>
      </c>
      <c r="C853" s="15" t="e">
        <f>VLOOKUP(A853,'[1]Master clients'!F832:P4379,11,0)</f>
        <v>#N/A</v>
      </c>
      <c r="D853" s="15" t="str">
        <f>VLOOKUP(A853,'[1]Master clients'!F:M,8,0)</f>
        <v>End User</v>
      </c>
      <c r="E853" s="16" t="s">
        <v>2024</v>
      </c>
      <c r="F853" s="16" t="s">
        <v>2025</v>
      </c>
      <c r="G853" s="17"/>
      <c r="H853" s="17"/>
      <c r="I853" s="18">
        <v>0</v>
      </c>
      <c r="J853" s="18">
        <v>0</v>
      </c>
      <c r="K853" s="17">
        <v>0</v>
      </c>
      <c r="L853" s="17">
        <v>0</v>
      </c>
      <c r="M853" s="17">
        <v>0</v>
      </c>
      <c r="N853" s="17">
        <v>0</v>
      </c>
      <c r="O853" s="17">
        <v>0</v>
      </c>
      <c r="P853" s="17">
        <v>0</v>
      </c>
      <c r="Q853" s="17">
        <v>0</v>
      </c>
      <c r="R853" s="17">
        <v>0</v>
      </c>
      <c r="S853" s="17">
        <v>0</v>
      </c>
      <c r="T853" s="17">
        <v>0</v>
      </c>
      <c r="U853" s="17">
        <v>0</v>
      </c>
      <c r="V853" s="17">
        <v>0</v>
      </c>
      <c r="W853" s="17">
        <v>0</v>
      </c>
      <c r="X853" s="17">
        <v>0</v>
      </c>
      <c r="Y853" s="17">
        <v>0</v>
      </c>
      <c r="Z853" s="17">
        <v>0</v>
      </c>
      <c r="AA853" s="17">
        <v>0</v>
      </c>
      <c r="AB853" s="17">
        <v>0</v>
      </c>
      <c r="AC853" s="17">
        <v>0</v>
      </c>
      <c r="AD853" s="17">
        <v>0</v>
      </c>
      <c r="AE853" s="17">
        <v>0</v>
      </c>
      <c r="AF853" s="17">
        <v>0</v>
      </c>
      <c r="AG853" s="17">
        <v>0</v>
      </c>
      <c r="AH853" s="17">
        <v>0</v>
      </c>
      <c r="AI853" s="17">
        <v>0</v>
      </c>
      <c r="AJ853" s="17">
        <v>0</v>
      </c>
      <c r="AK853" s="17">
        <v>0</v>
      </c>
      <c r="AL853" s="17">
        <v>0</v>
      </c>
      <c r="AM853" s="17">
        <v>0</v>
      </c>
      <c r="AN853" s="17">
        <v>0</v>
      </c>
      <c r="AO853" s="17">
        <v>0</v>
      </c>
      <c r="AP853" s="17">
        <v>0</v>
      </c>
      <c r="AQ853" s="17">
        <v>0</v>
      </c>
      <c r="AR853" s="17">
        <v>0</v>
      </c>
      <c r="AS853" s="17">
        <v>0</v>
      </c>
      <c r="AT853" s="17">
        <v>0</v>
      </c>
      <c r="AU853" s="17">
        <v>0</v>
      </c>
      <c r="AV853" s="17">
        <v>0</v>
      </c>
      <c r="AW853" s="17">
        <v>0</v>
      </c>
      <c r="AX853" s="17">
        <v>0</v>
      </c>
      <c r="AY853" s="17">
        <v>0</v>
      </c>
      <c r="AZ853" s="17">
        <v>0</v>
      </c>
      <c r="BA853" s="17">
        <v>0</v>
      </c>
      <c r="BB853" s="17">
        <v>0</v>
      </c>
      <c r="BC853" s="17">
        <v>0</v>
      </c>
      <c r="BD853" s="17">
        <v>0</v>
      </c>
      <c r="BE853" s="17">
        <v>0</v>
      </c>
      <c r="BF853" s="17">
        <v>0</v>
      </c>
      <c r="BG853" s="17">
        <v>0</v>
      </c>
      <c r="BH853" s="17">
        <v>0</v>
      </c>
      <c r="BI853" s="22">
        <f t="shared" si="260"/>
        <v>0</v>
      </c>
      <c r="BJ853" s="22">
        <f t="shared" si="261"/>
        <v>0</v>
      </c>
      <c r="BK853" s="22">
        <f t="shared" si="262"/>
        <v>0</v>
      </c>
      <c r="BL853" s="22">
        <f t="shared" si="263"/>
        <v>0</v>
      </c>
      <c r="BM853" s="22">
        <f t="shared" si="259"/>
        <v>0</v>
      </c>
      <c r="BN853" s="23" t="e">
        <f t="shared" si="264"/>
        <v>#DIV/0!</v>
      </c>
      <c r="BO853" s="23" t="e">
        <f t="shared" si="264"/>
        <v>#DIV/0!</v>
      </c>
      <c r="BP853" s="7" t="e">
        <f>VLOOKUP(A853,[1]Sheet15!B:E,4,0)</f>
        <v>#N/A</v>
      </c>
      <c r="BQ853" s="7" t="e">
        <f>VLOOKUP(A853,[1]Sheet15!B:E,3,0)</f>
        <v>#N/A</v>
      </c>
    </row>
    <row r="854" spans="1:69" ht="22.5" customHeight="1" x14ac:dyDescent="0.25">
      <c r="A854" s="38" t="s">
        <v>2026</v>
      </c>
      <c r="B854" s="15" t="e">
        <f>VLOOKUP(A854,'[1]Master clients'!F833:W4380,17,0)</f>
        <v>#N/A</v>
      </c>
      <c r="C854" s="15" t="e">
        <f>VLOOKUP(A854,'[1]Master clients'!F833:P4380,11,0)</f>
        <v>#N/A</v>
      </c>
      <c r="D854" s="15" t="str">
        <f>VLOOKUP(A854,'[1]Master clients'!F:M,8,0)</f>
        <v>End User</v>
      </c>
      <c r="E854" s="40" t="s">
        <v>2027</v>
      </c>
      <c r="F854" s="25" t="s">
        <v>2028</v>
      </c>
      <c r="G854" s="20">
        <v>0</v>
      </c>
      <c r="H854" s="20">
        <v>0</v>
      </c>
      <c r="I854" s="26">
        <v>15</v>
      </c>
      <c r="J854" s="26">
        <v>0</v>
      </c>
      <c r="K854" s="20">
        <v>0</v>
      </c>
      <c r="L854" s="20">
        <v>0</v>
      </c>
      <c r="M854" s="20">
        <v>0</v>
      </c>
      <c r="N854" s="20">
        <v>0</v>
      </c>
      <c r="O854" s="20">
        <v>0</v>
      </c>
      <c r="P854" s="20">
        <v>0</v>
      </c>
      <c r="Q854" s="20">
        <v>0</v>
      </c>
      <c r="R854" s="20">
        <v>0</v>
      </c>
      <c r="S854" s="20">
        <v>0</v>
      </c>
      <c r="T854" s="20">
        <v>0</v>
      </c>
      <c r="U854" s="20">
        <v>0</v>
      </c>
      <c r="V854" s="20">
        <v>0</v>
      </c>
      <c r="W854" s="20">
        <v>0</v>
      </c>
      <c r="X854" s="20">
        <v>0</v>
      </c>
      <c r="Y854" s="20">
        <v>0</v>
      </c>
      <c r="Z854" s="20">
        <v>0</v>
      </c>
      <c r="AA854" s="20">
        <v>10</v>
      </c>
      <c r="AB854" s="20">
        <v>0</v>
      </c>
      <c r="AC854" s="20">
        <v>0</v>
      </c>
      <c r="AD854" s="20">
        <v>0</v>
      </c>
      <c r="AE854" s="20">
        <v>0</v>
      </c>
      <c r="AF854" s="20">
        <v>0</v>
      </c>
      <c r="AG854" s="20">
        <v>0</v>
      </c>
      <c r="AH854" s="20">
        <v>0</v>
      </c>
      <c r="AI854" s="20">
        <v>0</v>
      </c>
      <c r="AJ854" s="20">
        <v>0</v>
      </c>
      <c r="AK854" s="20">
        <v>0</v>
      </c>
      <c r="AL854" s="20">
        <v>0</v>
      </c>
      <c r="AM854" s="20">
        <v>0</v>
      </c>
      <c r="AN854" s="20">
        <v>0</v>
      </c>
      <c r="AO854" s="20">
        <v>0</v>
      </c>
      <c r="AP854" s="20">
        <v>0</v>
      </c>
      <c r="AQ854" s="20">
        <v>0</v>
      </c>
      <c r="AR854" s="20">
        <v>0</v>
      </c>
      <c r="AS854" s="20">
        <v>0</v>
      </c>
      <c r="AT854" s="20">
        <v>0</v>
      </c>
      <c r="AU854" s="20">
        <v>0</v>
      </c>
      <c r="AV854" s="20">
        <v>0</v>
      </c>
      <c r="AW854" s="20">
        <v>0</v>
      </c>
      <c r="AX854" s="20">
        <v>0</v>
      </c>
      <c r="AY854" s="20">
        <v>0</v>
      </c>
      <c r="AZ854" s="20">
        <v>0</v>
      </c>
      <c r="BA854" s="20">
        <v>0</v>
      </c>
      <c r="BB854" s="27">
        <v>0</v>
      </c>
      <c r="BC854" s="20">
        <v>0</v>
      </c>
      <c r="BD854" s="20">
        <v>0</v>
      </c>
      <c r="BE854" s="21">
        <v>0</v>
      </c>
      <c r="BF854" s="21">
        <v>0</v>
      </c>
      <c r="BG854" s="20">
        <v>0</v>
      </c>
      <c r="BH854" s="20">
        <v>0</v>
      </c>
      <c r="BI854" s="22">
        <f t="shared" si="260"/>
        <v>0</v>
      </c>
      <c r="BJ854" s="22">
        <f t="shared" si="261"/>
        <v>10</v>
      </c>
      <c r="BK854" s="28">
        <f t="shared" si="262"/>
        <v>25</v>
      </c>
      <c r="BL854" s="22">
        <f t="shared" si="263"/>
        <v>15</v>
      </c>
      <c r="BM854" s="22">
        <f t="shared" si="259"/>
        <v>10</v>
      </c>
      <c r="BN854" s="23">
        <f t="shared" si="264"/>
        <v>1</v>
      </c>
      <c r="BO854" s="23">
        <f t="shared" si="264"/>
        <v>0</v>
      </c>
      <c r="BP854" s="7">
        <f>VLOOKUP(A854,[1]Sheet15!B:E,4,0)</f>
        <v>4</v>
      </c>
      <c r="BQ854" s="7">
        <f>VLOOKUP(A854,[1]Sheet15!B:E,3,0)</f>
        <v>0</v>
      </c>
    </row>
    <row r="855" spans="1:69" ht="22.5" customHeight="1" x14ac:dyDescent="0.25">
      <c r="A855" s="15" t="s">
        <v>2029</v>
      </c>
      <c r="B855" s="15" t="e">
        <f>VLOOKUP(A855,'[1]Master clients'!F834:W4381,17,0)</f>
        <v>#N/A</v>
      </c>
      <c r="C855" s="15" t="e">
        <f>VLOOKUP(A855,'[1]Master clients'!F834:P4381,11,0)</f>
        <v>#N/A</v>
      </c>
      <c r="D855" s="15" t="str">
        <f>VLOOKUP(A855,'[1]Master clients'!F:M,8,0)</f>
        <v>End User</v>
      </c>
      <c r="E855" s="16" t="s">
        <v>2030</v>
      </c>
      <c r="F855" s="16" t="s">
        <v>2028</v>
      </c>
      <c r="G855" s="17"/>
      <c r="H855" s="17"/>
      <c r="I855" s="18">
        <v>8</v>
      </c>
      <c r="J855" s="18">
        <v>0</v>
      </c>
      <c r="K855" s="20">
        <v>0</v>
      </c>
      <c r="L855" s="20">
        <v>0</v>
      </c>
      <c r="M855" s="20">
        <v>0</v>
      </c>
      <c r="N855" s="20">
        <v>0</v>
      </c>
      <c r="O855" s="19">
        <v>2</v>
      </c>
      <c r="P855" s="20">
        <v>0</v>
      </c>
      <c r="Q855" s="19">
        <v>6</v>
      </c>
      <c r="R855" s="20">
        <v>0</v>
      </c>
      <c r="S855" s="20">
        <v>0</v>
      </c>
      <c r="T855" s="20">
        <v>0</v>
      </c>
      <c r="U855" s="20">
        <v>0</v>
      </c>
      <c r="V855" s="20">
        <v>0</v>
      </c>
      <c r="W855" s="20">
        <v>0</v>
      </c>
      <c r="X855" s="20">
        <v>0</v>
      </c>
      <c r="Y855" s="20">
        <v>0</v>
      </c>
      <c r="Z855" s="20">
        <v>0</v>
      </c>
      <c r="AA855" s="20">
        <v>0</v>
      </c>
      <c r="AB855" s="20">
        <v>0</v>
      </c>
      <c r="AC855" s="20">
        <v>0</v>
      </c>
      <c r="AD855" s="20">
        <v>0</v>
      </c>
      <c r="AE855" s="20">
        <v>0</v>
      </c>
      <c r="AF855" s="20">
        <v>0</v>
      </c>
      <c r="AG855" s="20">
        <v>0</v>
      </c>
      <c r="AH855" s="20">
        <v>0</v>
      </c>
      <c r="AI855" s="20">
        <v>0</v>
      </c>
      <c r="AJ855" s="20">
        <v>0</v>
      </c>
      <c r="AK855" s="20">
        <v>0</v>
      </c>
      <c r="AL855" s="20">
        <v>0</v>
      </c>
      <c r="AM855" s="20">
        <v>0</v>
      </c>
      <c r="AN855" s="20">
        <v>0</v>
      </c>
      <c r="AO855" s="20">
        <v>0</v>
      </c>
      <c r="AP855" s="20">
        <v>0</v>
      </c>
      <c r="AQ855" s="20">
        <v>0</v>
      </c>
      <c r="AR855" s="20">
        <v>0</v>
      </c>
      <c r="AS855" s="20">
        <v>0</v>
      </c>
      <c r="AT855" s="20">
        <v>0</v>
      </c>
      <c r="AU855" s="20">
        <v>0</v>
      </c>
      <c r="AV855" s="20">
        <v>0</v>
      </c>
      <c r="AW855" s="20">
        <v>0</v>
      </c>
      <c r="AX855" s="20">
        <v>0</v>
      </c>
      <c r="AY855" s="20">
        <v>0</v>
      </c>
      <c r="AZ855" s="20">
        <v>3</v>
      </c>
      <c r="BA855" s="20">
        <v>0</v>
      </c>
      <c r="BB855" s="20">
        <v>0</v>
      </c>
      <c r="BC855" s="20">
        <v>0</v>
      </c>
      <c r="BD855" s="20">
        <v>0</v>
      </c>
      <c r="BE855" s="20">
        <v>0</v>
      </c>
      <c r="BF855" s="20">
        <v>0</v>
      </c>
      <c r="BG855" s="20">
        <v>0</v>
      </c>
      <c r="BH855" s="20">
        <v>0</v>
      </c>
      <c r="BI855" s="22">
        <f t="shared" si="260"/>
        <v>3</v>
      </c>
      <c r="BJ855" s="22">
        <f t="shared" si="261"/>
        <v>8</v>
      </c>
      <c r="BK855" s="22">
        <f t="shared" si="262"/>
        <v>19</v>
      </c>
      <c r="BL855" s="22">
        <f t="shared" si="263"/>
        <v>11</v>
      </c>
      <c r="BM855" s="22">
        <f t="shared" si="259"/>
        <v>8</v>
      </c>
      <c r="BN855" s="23">
        <f t="shared" si="264"/>
        <v>0.72727272727272729</v>
      </c>
      <c r="BO855" s="23">
        <f t="shared" si="264"/>
        <v>0</v>
      </c>
      <c r="BP855" s="7">
        <f>VLOOKUP(A855,[1]Sheet15!B:E,4,0)</f>
        <v>2</v>
      </c>
      <c r="BQ855" s="7">
        <f>VLOOKUP(A855,[1]Sheet15!B:E,3,0)</f>
        <v>0</v>
      </c>
    </row>
    <row r="856" spans="1:69" ht="22.5" customHeight="1" x14ac:dyDescent="0.25">
      <c r="A856" s="38" t="s">
        <v>2031</v>
      </c>
      <c r="B856" s="15" t="e">
        <f>VLOOKUP(A856,'[1]Master clients'!F835:W4382,17,0)</f>
        <v>#N/A</v>
      </c>
      <c r="C856" s="15" t="e">
        <f>VLOOKUP(A856,'[1]Master clients'!F835:P4382,11,0)</f>
        <v>#N/A</v>
      </c>
      <c r="D856" s="15" t="str">
        <f>VLOOKUP(A856,'[1]Master clients'!F:M,8,0)</f>
        <v>End User</v>
      </c>
      <c r="E856" s="39" t="s">
        <v>2032</v>
      </c>
      <c r="F856" s="39" t="s">
        <v>2028</v>
      </c>
      <c r="G856" s="17"/>
      <c r="H856" s="17"/>
      <c r="I856" s="26">
        <v>14</v>
      </c>
      <c r="J856" s="31">
        <v>0</v>
      </c>
      <c r="K856" s="17">
        <v>0</v>
      </c>
      <c r="L856" s="17">
        <v>0</v>
      </c>
      <c r="M856" s="17">
        <v>0</v>
      </c>
      <c r="N856" s="17">
        <v>0</v>
      </c>
      <c r="O856" s="17">
        <v>0</v>
      </c>
      <c r="P856" s="17">
        <v>0</v>
      </c>
      <c r="Q856" s="17">
        <v>0</v>
      </c>
      <c r="R856" s="17">
        <v>0</v>
      </c>
      <c r="S856" s="17">
        <v>0</v>
      </c>
      <c r="T856" s="17">
        <v>0</v>
      </c>
      <c r="U856" s="17">
        <v>0</v>
      </c>
      <c r="V856" s="17">
        <v>0</v>
      </c>
      <c r="W856" s="17">
        <v>0</v>
      </c>
      <c r="X856" s="17">
        <v>0</v>
      </c>
      <c r="Y856" s="17">
        <v>0</v>
      </c>
      <c r="Z856" s="17">
        <v>0</v>
      </c>
      <c r="AA856" s="17">
        <v>0</v>
      </c>
      <c r="AB856" s="17">
        <v>0</v>
      </c>
      <c r="AC856" s="17">
        <v>0</v>
      </c>
      <c r="AD856" s="17">
        <v>0</v>
      </c>
      <c r="AE856" s="17">
        <v>0</v>
      </c>
      <c r="AF856" s="17">
        <v>0</v>
      </c>
      <c r="AG856" s="17">
        <v>0</v>
      </c>
      <c r="AH856" s="17">
        <v>0</v>
      </c>
      <c r="AI856" s="17">
        <v>0</v>
      </c>
      <c r="AJ856" s="17">
        <v>0</v>
      </c>
      <c r="AK856" s="17">
        <v>0</v>
      </c>
      <c r="AL856" s="17">
        <v>0</v>
      </c>
      <c r="AM856" s="17">
        <v>0</v>
      </c>
      <c r="AN856" s="17">
        <v>0</v>
      </c>
      <c r="AO856" s="17">
        <v>0</v>
      </c>
      <c r="AP856" s="17">
        <v>0</v>
      </c>
      <c r="AQ856" s="17">
        <v>0</v>
      </c>
      <c r="AR856" s="17">
        <v>0</v>
      </c>
      <c r="AS856" s="17">
        <v>0</v>
      </c>
      <c r="AT856" s="17">
        <v>0</v>
      </c>
      <c r="AU856" s="17">
        <v>0</v>
      </c>
      <c r="AV856" s="17">
        <v>0</v>
      </c>
      <c r="AW856" s="17">
        <v>0</v>
      </c>
      <c r="AX856" s="17">
        <v>0</v>
      </c>
      <c r="AY856" s="17">
        <v>0</v>
      </c>
      <c r="AZ856" s="17">
        <v>0</v>
      </c>
      <c r="BA856" s="17">
        <v>0</v>
      </c>
      <c r="BB856" s="17">
        <v>0</v>
      </c>
      <c r="BC856" s="17">
        <v>0</v>
      </c>
      <c r="BD856" s="17">
        <v>0</v>
      </c>
      <c r="BE856" s="17">
        <v>0</v>
      </c>
      <c r="BF856" s="17">
        <v>0</v>
      </c>
      <c r="BG856" s="17">
        <v>0</v>
      </c>
      <c r="BH856" s="17">
        <v>0</v>
      </c>
      <c r="BI856" s="22">
        <f t="shared" si="260"/>
        <v>0</v>
      </c>
      <c r="BJ856" s="22">
        <f t="shared" si="261"/>
        <v>0</v>
      </c>
      <c r="BK856" s="22">
        <f t="shared" si="262"/>
        <v>14</v>
      </c>
      <c r="BL856" s="22">
        <f t="shared" si="263"/>
        <v>14</v>
      </c>
      <c r="BM856" s="22">
        <f t="shared" si="259"/>
        <v>0</v>
      </c>
      <c r="BN856" s="23">
        <f t="shared" si="264"/>
        <v>1</v>
      </c>
      <c r="BO856" s="23" t="e">
        <f t="shared" si="264"/>
        <v>#DIV/0!</v>
      </c>
      <c r="BP856" s="7">
        <f>VLOOKUP(A856,[1]Sheet15!B:E,4,0)</f>
        <v>14</v>
      </c>
      <c r="BQ856" s="7">
        <f>VLOOKUP(A856,[1]Sheet15!B:E,3,0)</f>
        <v>0</v>
      </c>
    </row>
    <row r="857" spans="1:69" ht="22.5" customHeight="1" x14ac:dyDescent="0.25">
      <c r="A857" s="15" t="s">
        <v>2033</v>
      </c>
      <c r="B857" s="15">
        <f>VLOOKUP(A857,'[1]Master clients'!F836:W4383,17,0)</f>
        <v>0</v>
      </c>
      <c r="C857" s="15" t="str">
        <f>VLOOKUP(A857,'[1]Master clients'!F836:P4383,11,0)</f>
        <v>NI</v>
      </c>
      <c r="D857" s="15" t="str">
        <f>VLOOKUP(A857,'[1]Master clients'!F:M,8,0)</f>
        <v>End User</v>
      </c>
      <c r="E857" s="24" t="s">
        <v>2034</v>
      </c>
      <c r="F857" s="41" t="s">
        <v>2028</v>
      </c>
      <c r="G857" s="20">
        <v>0</v>
      </c>
      <c r="H857" s="20">
        <v>0</v>
      </c>
      <c r="I857" s="26">
        <v>2</v>
      </c>
      <c r="J857" s="26">
        <v>0</v>
      </c>
      <c r="K857" s="20">
        <v>4</v>
      </c>
      <c r="L857" s="20">
        <v>0</v>
      </c>
      <c r="M857" s="20">
        <v>0</v>
      </c>
      <c r="N857" s="20">
        <v>0</v>
      </c>
      <c r="O857" s="20">
        <v>0</v>
      </c>
      <c r="P857" s="20">
        <v>0</v>
      </c>
      <c r="Q857" s="20">
        <v>0</v>
      </c>
      <c r="R857" s="20">
        <v>0</v>
      </c>
      <c r="S857" s="20">
        <v>0</v>
      </c>
      <c r="T857" s="20">
        <v>0</v>
      </c>
      <c r="U857" s="20">
        <v>0</v>
      </c>
      <c r="V857" s="20">
        <v>0</v>
      </c>
      <c r="W857" s="20">
        <v>0</v>
      </c>
      <c r="X857" s="20">
        <v>0</v>
      </c>
      <c r="Y857" s="20">
        <v>0</v>
      </c>
      <c r="Z857" s="20">
        <v>0</v>
      </c>
      <c r="AA857" s="20">
        <v>0</v>
      </c>
      <c r="AB857" s="20">
        <v>0</v>
      </c>
      <c r="AC857" s="20">
        <v>0</v>
      </c>
      <c r="AD857" s="20">
        <v>0</v>
      </c>
      <c r="AE857" s="20">
        <v>0</v>
      </c>
      <c r="AF857" s="20">
        <v>0</v>
      </c>
      <c r="AG857" s="20">
        <v>0</v>
      </c>
      <c r="AH857" s="20">
        <v>0</v>
      </c>
      <c r="AI857" s="20">
        <v>0</v>
      </c>
      <c r="AJ857" s="20">
        <v>0</v>
      </c>
      <c r="AK857" s="20">
        <v>0</v>
      </c>
      <c r="AL857" s="20">
        <v>0</v>
      </c>
      <c r="AM857" s="20">
        <v>0</v>
      </c>
      <c r="AN857" s="20">
        <v>0</v>
      </c>
      <c r="AO857" s="20">
        <v>0</v>
      </c>
      <c r="AP857" s="20">
        <v>0</v>
      </c>
      <c r="AQ857" s="20">
        <v>0</v>
      </c>
      <c r="AR857" s="20">
        <v>0</v>
      </c>
      <c r="AS857" s="20">
        <v>0</v>
      </c>
      <c r="AT857" s="20">
        <v>0</v>
      </c>
      <c r="AU857" s="20">
        <v>0</v>
      </c>
      <c r="AV857" s="20">
        <v>0</v>
      </c>
      <c r="AW857" s="20">
        <v>0</v>
      </c>
      <c r="AX857" s="20">
        <v>0</v>
      </c>
      <c r="AY857" s="20">
        <v>0</v>
      </c>
      <c r="AZ857" s="20">
        <v>0</v>
      </c>
      <c r="BA857" s="20">
        <v>0</v>
      </c>
      <c r="BB857" s="27">
        <v>0</v>
      </c>
      <c r="BC857" s="20">
        <v>0</v>
      </c>
      <c r="BD857" s="20">
        <v>0</v>
      </c>
      <c r="BE857" s="21">
        <v>0</v>
      </c>
      <c r="BF857" s="21">
        <v>0</v>
      </c>
      <c r="BG857" s="20">
        <v>0</v>
      </c>
      <c r="BH857" s="20">
        <v>0</v>
      </c>
      <c r="BI857" s="22">
        <f t="shared" si="260"/>
        <v>4</v>
      </c>
      <c r="BJ857" s="22">
        <f t="shared" si="261"/>
        <v>0</v>
      </c>
      <c r="BK857" s="28">
        <f t="shared" si="262"/>
        <v>6</v>
      </c>
      <c r="BL857" s="22">
        <f t="shared" si="263"/>
        <v>6</v>
      </c>
      <c r="BM857" s="22">
        <f t="shared" si="259"/>
        <v>0</v>
      </c>
      <c r="BN857" s="23">
        <f t="shared" si="264"/>
        <v>0.33333333333333331</v>
      </c>
      <c r="BO857" s="23" t="e">
        <f t="shared" si="264"/>
        <v>#DIV/0!</v>
      </c>
      <c r="BP857" s="7" t="e">
        <f>VLOOKUP(A857,[1]Sheet15!B:E,4,0)</f>
        <v>#N/A</v>
      </c>
      <c r="BQ857" s="7" t="e">
        <f>VLOOKUP(A857,[1]Sheet15!B:E,3,0)</f>
        <v>#N/A</v>
      </c>
    </row>
    <row r="858" spans="1:69" ht="22.5" customHeight="1" x14ac:dyDescent="0.25">
      <c r="A858" s="15" t="s">
        <v>2035</v>
      </c>
      <c r="B858" s="15">
        <f>VLOOKUP(A858,'[1]Master clients'!F837:W4384,17,0)</f>
        <v>0</v>
      </c>
      <c r="C858" s="15" t="str">
        <f>VLOOKUP(A858,'[1]Master clients'!F837:P4384,11,0)</f>
        <v>NI</v>
      </c>
      <c r="D858" s="15" t="str">
        <f>VLOOKUP(A858,'[1]Master clients'!F:M,8,0)</f>
        <v>End User</v>
      </c>
      <c r="E858" s="16" t="s">
        <v>2036</v>
      </c>
      <c r="F858" s="39" t="s">
        <v>2028</v>
      </c>
      <c r="G858" s="17"/>
      <c r="H858" s="17"/>
      <c r="I858" s="31">
        <v>0</v>
      </c>
      <c r="J858" s="31">
        <v>0</v>
      </c>
      <c r="K858" s="17">
        <v>0</v>
      </c>
      <c r="L858" s="17">
        <v>0</v>
      </c>
      <c r="M858" s="17">
        <v>0</v>
      </c>
      <c r="N858" s="17">
        <v>0</v>
      </c>
      <c r="O858" s="17">
        <v>0</v>
      </c>
      <c r="P858" s="17">
        <v>0</v>
      </c>
      <c r="Q858" s="17">
        <v>0</v>
      </c>
      <c r="R858" s="17">
        <v>0</v>
      </c>
      <c r="S858" s="17">
        <v>0</v>
      </c>
      <c r="T858" s="17">
        <v>0</v>
      </c>
      <c r="U858" s="17">
        <v>0</v>
      </c>
      <c r="V858" s="17">
        <v>0</v>
      </c>
      <c r="W858" s="17">
        <v>0</v>
      </c>
      <c r="X858" s="17">
        <v>0</v>
      </c>
      <c r="Y858" s="17">
        <v>0</v>
      </c>
      <c r="Z858" s="17">
        <v>0</v>
      </c>
      <c r="AA858" s="17">
        <v>0</v>
      </c>
      <c r="AB858" s="17">
        <v>0</v>
      </c>
      <c r="AC858" s="17">
        <v>0</v>
      </c>
      <c r="AD858" s="17">
        <v>0</v>
      </c>
      <c r="AE858" s="17">
        <v>0</v>
      </c>
      <c r="AF858" s="17">
        <v>0</v>
      </c>
      <c r="AG858" s="17">
        <v>0</v>
      </c>
      <c r="AH858" s="17">
        <v>0</v>
      </c>
      <c r="AI858" s="17">
        <v>0</v>
      </c>
      <c r="AJ858" s="17">
        <v>0</v>
      </c>
      <c r="AK858" s="17">
        <v>0</v>
      </c>
      <c r="AL858" s="17">
        <v>0</v>
      </c>
      <c r="AM858" s="17">
        <v>0</v>
      </c>
      <c r="AN858" s="17">
        <v>0</v>
      </c>
      <c r="AO858" s="17">
        <v>0</v>
      </c>
      <c r="AP858" s="17">
        <v>0</v>
      </c>
      <c r="AQ858" s="17">
        <v>0</v>
      </c>
      <c r="AR858" s="17">
        <v>0</v>
      </c>
      <c r="AS858" s="17">
        <v>0</v>
      </c>
      <c r="AT858" s="17">
        <v>0</v>
      </c>
      <c r="AU858" s="17">
        <v>0</v>
      </c>
      <c r="AV858" s="17">
        <v>0</v>
      </c>
      <c r="AW858" s="17">
        <v>0</v>
      </c>
      <c r="AX858" s="17">
        <v>0</v>
      </c>
      <c r="AY858" s="17">
        <v>0</v>
      </c>
      <c r="AZ858" s="17">
        <v>0</v>
      </c>
      <c r="BA858" s="17">
        <v>0</v>
      </c>
      <c r="BB858" s="17">
        <v>0</v>
      </c>
      <c r="BC858" s="17">
        <v>0</v>
      </c>
      <c r="BD858" s="17">
        <v>0</v>
      </c>
      <c r="BE858" s="17">
        <v>0</v>
      </c>
      <c r="BF858" s="17">
        <v>0</v>
      </c>
      <c r="BG858" s="17">
        <v>0</v>
      </c>
      <c r="BH858" s="17">
        <v>0</v>
      </c>
      <c r="BI858" s="22">
        <f t="shared" si="260"/>
        <v>0</v>
      </c>
      <c r="BJ858" s="22">
        <f t="shared" si="261"/>
        <v>0</v>
      </c>
      <c r="BK858" s="22">
        <f t="shared" si="262"/>
        <v>0</v>
      </c>
      <c r="BL858" s="22">
        <f t="shared" si="263"/>
        <v>0</v>
      </c>
      <c r="BM858" s="22">
        <f t="shared" si="259"/>
        <v>0</v>
      </c>
      <c r="BN858" s="23" t="e">
        <f t="shared" si="264"/>
        <v>#DIV/0!</v>
      </c>
      <c r="BO858" s="23" t="e">
        <f t="shared" si="264"/>
        <v>#DIV/0!</v>
      </c>
      <c r="BP858" s="7" t="e">
        <f>VLOOKUP(A858,[1]Sheet15!B:E,4,0)</f>
        <v>#N/A</v>
      </c>
      <c r="BQ858" s="7" t="e">
        <f>VLOOKUP(A858,[1]Sheet15!B:E,3,0)</f>
        <v>#N/A</v>
      </c>
    </row>
    <row r="859" spans="1:69" ht="22.5" customHeight="1" x14ac:dyDescent="0.25">
      <c r="A859" s="38" t="s">
        <v>2037</v>
      </c>
      <c r="B859" s="15" t="e">
        <f>VLOOKUP(A859,'[1]Master clients'!F838:W4385,17,0)</f>
        <v>#N/A</v>
      </c>
      <c r="C859" s="15" t="e">
        <f>VLOOKUP(A859,'[1]Master clients'!F838:P4385,11,0)</f>
        <v>#N/A</v>
      </c>
      <c r="D859" s="15" t="str">
        <f>VLOOKUP(A859,'[1]Master clients'!F:M,8,0)</f>
        <v>Group (Mills)</v>
      </c>
      <c r="E859" s="39" t="s">
        <v>2038</v>
      </c>
      <c r="F859" s="39" t="s">
        <v>2039</v>
      </c>
      <c r="G859" s="17"/>
      <c r="H859" s="17"/>
      <c r="I859" s="31">
        <v>2</v>
      </c>
      <c r="J859" s="31">
        <v>0</v>
      </c>
      <c r="K859" s="17">
        <v>2</v>
      </c>
      <c r="L859" s="17">
        <v>4</v>
      </c>
      <c r="M859" s="17">
        <v>0</v>
      </c>
      <c r="N859" s="17">
        <v>0</v>
      </c>
      <c r="O859" s="17">
        <v>0</v>
      </c>
      <c r="P859" s="17">
        <v>0</v>
      </c>
      <c r="Q859" s="17">
        <v>0</v>
      </c>
      <c r="R859" s="17">
        <v>0</v>
      </c>
      <c r="S859" s="17">
        <v>0</v>
      </c>
      <c r="T859" s="17">
        <v>0</v>
      </c>
      <c r="U859" s="17">
        <v>0</v>
      </c>
      <c r="V859" s="17">
        <v>0</v>
      </c>
      <c r="W859" s="17">
        <v>0</v>
      </c>
      <c r="X859" s="17">
        <v>0</v>
      </c>
      <c r="Y859" s="17">
        <v>0</v>
      </c>
      <c r="Z859" s="17">
        <v>0</v>
      </c>
      <c r="AA859" s="17">
        <v>0</v>
      </c>
      <c r="AB859" s="17">
        <v>0</v>
      </c>
      <c r="AC859" s="17">
        <v>0</v>
      </c>
      <c r="AD859" s="17">
        <v>0</v>
      </c>
      <c r="AE859" s="17">
        <v>0</v>
      </c>
      <c r="AF859" s="17">
        <v>0</v>
      </c>
      <c r="AG859" s="17">
        <v>0</v>
      </c>
      <c r="AH859" s="17">
        <v>0</v>
      </c>
      <c r="AI859" s="17">
        <v>0</v>
      </c>
      <c r="AJ859" s="17">
        <v>0</v>
      </c>
      <c r="AK859" s="17">
        <v>0</v>
      </c>
      <c r="AL859" s="17">
        <v>0</v>
      </c>
      <c r="AM859" s="17">
        <v>0</v>
      </c>
      <c r="AN859" s="17">
        <v>0</v>
      </c>
      <c r="AO859" s="17">
        <v>0</v>
      </c>
      <c r="AP859" s="17">
        <v>0</v>
      </c>
      <c r="AQ859" s="17">
        <v>0</v>
      </c>
      <c r="AR859" s="17">
        <v>0</v>
      </c>
      <c r="AS859" s="17">
        <v>0</v>
      </c>
      <c r="AT859" s="17">
        <v>0</v>
      </c>
      <c r="AU859" s="17">
        <v>0</v>
      </c>
      <c r="AV859" s="17">
        <v>0</v>
      </c>
      <c r="AW859" s="17">
        <v>0</v>
      </c>
      <c r="AX859" s="17">
        <v>0</v>
      </c>
      <c r="AY859" s="17">
        <v>0</v>
      </c>
      <c r="AZ859" s="17">
        <v>0</v>
      </c>
      <c r="BA859" s="17">
        <v>0</v>
      </c>
      <c r="BB859" s="17">
        <v>0</v>
      </c>
      <c r="BC859" s="17">
        <v>0</v>
      </c>
      <c r="BD859" s="17">
        <v>0</v>
      </c>
      <c r="BE859" s="17">
        <v>0</v>
      </c>
      <c r="BF859" s="17">
        <v>0</v>
      </c>
      <c r="BG859" s="17">
        <v>0</v>
      </c>
      <c r="BH859" s="17">
        <v>0</v>
      </c>
      <c r="BI859" s="22">
        <f t="shared" si="260"/>
        <v>6</v>
      </c>
      <c r="BJ859" s="22">
        <f t="shared" si="261"/>
        <v>0</v>
      </c>
      <c r="BK859" s="22">
        <f t="shared" si="262"/>
        <v>8</v>
      </c>
      <c r="BL859" s="22">
        <f t="shared" si="263"/>
        <v>8</v>
      </c>
      <c r="BM859" s="22">
        <f t="shared" ref="BM859:BM876" si="265">SUM(J859+N859+O859+Q859+S859+U859+X859+AA859+AD859+AF859+AM859+AP859+AQ859+AT859+AX859+AY859+BD859+BH859)</f>
        <v>0</v>
      </c>
      <c r="BN859" s="23">
        <f t="shared" si="264"/>
        <v>0.25</v>
      </c>
      <c r="BO859" s="23" t="e">
        <f t="shared" si="264"/>
        <v>#DIV/0!</v>
      </c>
      <c r="BP859" s="7">
        <f>VLOOKUP(A859,[1]Sheet15!B:E,4,0)</f>
        <v>4</v>
      </c>
      <c r="BQ859" s="7">
        <f>VLOOKUP(A859,[1]Sheet15!B:E,3,0)</f>
        <v>0</v>
      </c>
    </row>
    <row r="860" spans="1:69" ht="22.5" customHeight="1" x14ac:dyDescent="0.25">
      <c r="A860" s="38" t="s">
        <v>2040</v>
      </c>
      <c r="B860" s="15" t="e">
        <f>VLOOKUP(A860,'[1]Master clients'!F839:W4386,17,0)</f>
        <v>#N/A</v>
      </c>
      <c r="C860" s="15" t="e">
        <f>VLOOKUP(A860,'[1]Master clients'!F839:P4386,11,0)</f>
        <v>#N/A</v>
      </c>
      <c r="D860" s="15" t="str">
        <f>VLOOKUP(A860,'[1]Master clients'!F:M,8,0)</f>
        <v>End User</v>
      </c>
      <c r="E860" s="39" t="s">
        <v>2041</v>
      </c>
      <c r="F860" s="39" t="s">
        <v>2042</v>
      </c>
      <c r="G860" s="17"/>
      <c r="H860" s="17"/>
      <c r="I860" s="26">
        <v>2</v>
      </c>
      <c r="J860" s="18">
        <v>0</v>
      </c>
      <c r="K860" s="17">
        <v>0</v>
      </c>
      <c r="L860" s="17">
        <v>0</v>
      </c>
      <c r="M860" s="17">
        <v>0</v>
      </c>
      <c r="N860" s="17">
        <v>0</v>
      </c>
      <c r="O860" s="17">
        <v>0</v>
      </c>
      <c r="P860" s="17">
        <v>0</v>
      </c>
      <c r="Q860" s="17">
        <v>0</v>
      </c>
      <c r="R860" s="17">
        <v>0</v>
      </c>
      <c r="S860" s="17">
        <v>0</v>
      </c>
      <c r="T860" s="17">
        <v>0</v>
      </c>
      <c r="U860" s="17">
        <v>0</v>
      </c>
      <c r="V860" s="17">
        <v>0</v>
      </c>
      <c r="W860" s="17">
        <v>0</v>
      </c>
      <c r="X860" s="17">
        <v>0</v>
      </c>
      <c r="Y860" s="17">
        <v>0</v>
      </c>
      <c r="Z860" s="17">
        <v>0</v>
      </c>
      <c r="AA860" s="17">
        <v>0</v>
      </c>
      <c r="AB860" s="17">
        <v>0</v>
      </c>
      <c r="AC860" s="17">
        <v>0</v>
      </c>
      <c r="AD860" s="17">
        <v>0</v>
      </c>
      <c r="AE860" s="17">
        <v>0</v>
      </c>
      <c r="AF860" s="17">
        <v>0</v>
      </c>
      <c r="AG860" s="17">
        <v>0</v>
      </c>
      <c r="AH860" s="17">
        <v>0</v>
      </c>
      <c r="AI860" s="17">
        <v>0</v>
      </c>
      <c r="AJ860" s="17">
        <v>0</v>
      </c>
      <c r="AK860" s="17">
        <v>0</v>
      </c>
      <c r="AL860" s="17">
        <v>0</v>
      </c>
      <c r="AM860" s="17">
        <v>0</v>
      </c>
      <c r="AN860" s="17">
        <v>0</v>
      </c>
      <c r="AO860" s="17">
        <v>0</v>
      </c>
      <c r="AP860" s="17">
        <v>0</v>
      </c>
      <c r="AQ860" s="17">
        <v>0</v>
      </c>
      <c r="AR860" s="17">
        <v>0</v>
      </c>
      <c r="AS860" s="17">
        <v>0</v>
      </c>
      <c r="AT860" s="17">
        <v>0</v>
      </c>
      <c r="AU860" s="17">
        <v>0</v>
      </c>
      <c r="AV860" s="17">
        <v>0</v>
      </c>
      <c r="AW860" s="17">
        <v>0</v>
      </c>
      <c r="AX860" s="17">
        <v>0</v>
      </c>
      <c r="AY860" s="17">
        <v>0</v>
      </c>
      <c r="AZ860" s="17">
        <v>0</v>
      </c>
      <c r="BA860" s="17">
        <v>0</v>
      </c>
      <c r="BB860" s="17">
        <v>0</v>
      </c>
      <c r="BC860" s="17">
        <v>0</v>
      </c>
      <c r="BD860" s="17">
        <v>0</v>
      </c>
      <c r="BE860" s="17">
        <v>0</v>
      </c>
      <c r="BF860" s="17">
        <v>0</v>
      </c>
      <c r="BG860" s="17">
        <v>0</v>
      </c>
      <c r="BH860" s="17">
        <v>0</v>
      </c>
      <c r="BI860" s="22">
        <f t="shared" si="260"/>
        <v>0</v>
      </c>
      <c r="BJ860" s="22">
        <f t="shared" si="261"/>
        <v>0</v>
      </c>
      <c r="BK860" s="22">
        <f t="shared" si="262"/>
        <v>2</v>
      </c>
      <c r="BL860" s="22">
        <f t="shared" si="263"/>
        <v>2</v>
      </c>
      <c r="BM860" s="22">
        <f t="shared" si="265"/>
        <v>0</v>
      </c>
      <c r="BN860" s="23">
        <f t="shared" si="264"/>
        <v>1</v>
      </c>
      <c r="BO860" s="23" t="e">
        <f t="shared" si="264"/>
        <v>#DIV/0!</v>
      </c>
      <c r="BP860" s="7">
        <f>VLOOKUP(A860,[1]Sheet15!B:E,4,0)</f>
        <v>2</v>
      </c>
      <c r="BQ860" s="7">
        <f>VLOOKUP(A860,[1]Sheet15!B:E,3,0)</f>
        <v>0</v>
      </c>
    </row>
    <row r="861" spans="1:69" ht="22.5" customHeight="1" x14ac:dyDescent="0.25">
      <c r="A861" s="15" t="s">
        <v>2043</v>
      </c>
      <c r="B861" s="15">
        <f>VLOOKUP(A861,'[1]Master clients'!F840:W4387,17,0)</f>
        <v>0</v>
      </c>
      <c r="C861" s="15" t="str">
        <f>VLOOKUP(A861,'[1]Master clients'!F840:P4387,11,0)</f>
        <v>NI</v>
      </c>
      <c r="D861" s="15" t="str">
        <f>VLOOKUP(A861,'[1]Master clients'!F:M,8,0)</f>
        <v>End User</v>
      </c>
      <c r="E861" s="16" t="s">
        <v>2044</v>
      </c>
      <c r="F861" s="39" t="s">
        <v>2042</v>
      </c>
      <c r="G861" s="17"/>
      <c r="H861" s="17"/>
      <c r="I861" s="26">
        <v>3</v>
      </c>
      <c r="J861" s="31">
        <v>0</v>
      </c>
      <c r="K861" s="17">
        <v>0</v>
      </c>
      <c r="L861" s="17">
        <v>0</v>
      </c>
      <c r="M861" s="17">
        <v>0</v>
      </c>
      <c r="N861" s="17">
        <v>0</v>
      </c>
      <c r="O861" s="17">
        <v>0</v>
      </c>
      <c r="P861" s="17">
        <v>0</v>
      </c>
      <c r="Q861" s="17">
        <v>0</v>
      </c>
      <c r="R861" s="17">
        <v>0</v>
      </c>
      <c r="S861" s="17">
        <v>0</v>
      </c>
      <c r="T861" s="17">
        <v>0</v>
      </c>
      <c r="U861" s="17">
        <v>0</v>
      </c>
      <c r="V861" s="17">
        <v>0</v>
      </c>
      <c r="W861" s="17">
        <v>0</v>
      </c>
      <c r="X861" s="17">
        <v>0</v>
      </c>
      <c r="Y861" s="17">
        <v>0</v>
      </c>
      <c r="Z861" s="17">
        <v>0</v>
      </c>
      <c r="AA861" s="17">
        <v>0</v>
      </c>
      <c r="AB861" s="17">
        <v>0</v>
      </c>
      <c r="AC861" s="17">
        <v>0</v>
      </c>
      <c r="AD861" s="17">
        <v>0</v>
      </c>
      <c r="AE861" s="17">
        <v>0</v>
      </c>
      <c r="AF861" s="17">
        <v>0</v>
      </c>
      <c r="AG861" s="17">
        <v>0</v>
      </c>
      <c r="AH861" s="17">
        <v>0</v>
      </c>
      <c r="AI861" s="17">
        <v>0</v>
      </c>
      <c r="AJ861" s="17">
        <v>0</v>
      </c>
      <c r="AK861" s="17">
        <v>0</v>
      </c>
      <c r="AL861" s="17">
        <v>0</v>
      </c>
      <c r="AM861" s="17">
        <v>0</v>
      </c>
      <c r="AN861" s="17">
        <v>0</v>
      </c>
      <c r="AO861" s="17">
        <v>0</v>
      </c>
      <c r="AP861" s="17">
        <v>0</v>
      </c>
      <c r="AQ861" s="17">
        <v>0</v>
      </c>
      <c r="AR861" s="17">
        <v>0</v>
      </c>
      <c r="AS861" s="17">
        <v>0</v>
      </c>
      <c r="AT861" s="17">
        <v>0</v>
      </c>
      <c r="AU861" s="17">
        <v>0</v>
      </c>
      <c r="AV861" s="17">
        <v>0</v>
      </c>
      <c r="AW861" s="17">
        <v>0</v>
      </c>
      <c r="AX861" s="17">
        <v>0</v>
      </c>
      <c r="AY861" s="17">
        <v>0</v>
      </c>
      <c r="AZ861" s="17">
        <v>0</v>
      </c>
      <c r="BA861" s="17">
        <v>0</v>
      </c>
      <c r="BB861" s="17">
        <v>0</v>
      </c>
      <c r="BC861" s="17">
        <v>0</v>
      </c>
      <c r="BD861" s="17">
        <v>0</v>
      </c>
      <c r="BE861" s="17">
        <v>0</v>
      </c>
      <c r="BF861" s="17">
        <v>0</v>
      </c>
      <c r="BG861" s="17">
        <v>0</v>
      </c>
      <c r="BH861" s="17">
        <v>0</v>
      </c>
      <c r="BI861" s="22">
        <f t="shared" si="260"/>
        <v>0</v>
      </c>
      <c r="BJ861" s="22">
        <f t="shared" si="261"/>
        <v>0</v>
      </c>
      <c r="BK861" s="28">
        <f t="shared" si="262"/>
        <v>3</v>
      </c>
      <c r="BL861" s="22">
        <f t="shared" si="263"/>
        <v>3</v>
      </c>
      <c r="BM861" s="22">
        <f t="shared" si="265"/>
        <v>0</v>
      </c>
      <c r="BN861" s="23">
        <f t="shared" si="264"/>
        <v>1</v>
      </c>
      <c r="BO861" s="23" t="e">
        <f t="shared" si="264"/>
        <v>#DIV/0!</v>
      </c>
      <c r="BP861" s="7">
        <f>VLOOKUP(A861,[1]Sheet15!B:E,4,0)</f>
        <v>3</v>
      </c>
      <c r="BQ861" s="7">
        <f>VLOOKUP(A861,[1]Sheet15!B:E,3,0)</f>
        <v>0</v>
      </c>
    </row>
    <row r="862" spans="1:69" ht="22.5" customHeight="1" x14ac:dyDescent="0.25">
      <c r="A862" s="38" t="s">
        <v>2045</v>
      </c>
      <c r="B862" s="15" t="e">
        <f>VLOOKUP(A862,'[1]Master clients'!F841:W4388,17,0)</f>
        <v>#N/A</v>
      </c>
      <c r="C862" s="15" t="e">
        <f>VLOOKUP(A862,'[1]Master clients'!F841:P4388,11,0)</f>
        <v>#N/A</v>
      </c>
      <c r="D862" s="15" t="str">
        <f>VLOOKUP(A862,'[1]Master clients'!F:M,8,0)</f>
        <v>End User</v>
      </c>
      <c r="E862" s="39" t="s">
        <v>2046</v>
      </c>
      <c r="F862" s="39" t="s">
        <v>2047</v>
      </c>
      <c r="G862" s="17"/>
      <c r="H862" s="17"/>
      <c r="I862" s="26">
        <v>4</v>
      </c>
      <c r="J862" s="18">
        <v>0</v>
      </c>
      <c r="K862" s="17">
        <v>0</v>
      </c>
      <c r="L862" s="17">
        <v>0</v>
      </c>
      <c r="M862" s="17">
        <v>0</v>
      </c>
      <c r="N862" s="17">
        <v>0</v>
      </c>
      <c r="O862" s="17">
        <v>0</v>
      </c>
      <c r="P862" s="17">
        <v>0</v>
      </c>
      <c r="Q862" s="17">
        <v>0</v>
      </c>
      <c r="R862" s="17">
        <v>0</v>
      </c>
      <c r="S862" s="17">
        <v>0</v>
      </c>
      <c r="T862" s="17">
        <v>0</v>
      </c>
      <c r="U862" s="17">
        <v>0</v>
      </c>
      <c r="V862" s="17">
        <v>0</v>
      </c>
      <c r="W862" s="17">
        <v>0</v>
      </c>
      <c r="X862" s="17">
        <v>0</v>
      </c>
      <c r="Y862" s="17">
        <v>0</v>
      </c>
      <c r="Z862" s="17">
        <v>0</v>
      </c>
      <c r="AA862" s="17">
        <v>0</v>
      </c>
      <c r="AB862" s="17">
        <v>0</v>
      </c>
      <c r="AC862" s="17">
        <v>0</v>
      </c>
      <c r="AD862" s="17">
        <v>0</v>
      </c>
      <c r="AE862" s="17">
        <v>0</v>
      </c>
      <c r="AF862" s="17">
        <v>0</v>
      </c>
      <c r="AG862" s="17">
        <v>0</v>
      </c>
      <c r="AH862" s="17">
        <v>0</v>
      </c>
      <c r="AI862" s="17">
        <v>0</v>
      </c>
      <c r="AJ862" s="17">
        <v>0</v>
      </c>
      <c r="AK862" s="17">
        <v>0</v>
      </c>
      <c r="AL862" s="17">
        <v>0</v>
      </c>
      <c r="AM862" s="17">
        <v>0</v>
      </c>
      <c r="AN862" s="17">
        <v>0</v>
      </c>
      <c r="AO862" s="17">
        <v>0</v>
      </c>
      <c r="AP862" s="17">
        <v>0</v>
      </c>
      <c r="AQ862" s="17">
        <v>0</v>
      </c>
      <c r="AR862" s="17">
        <v>0</v>
      </c>
      <c r="AS862" s="17">
        <v>0</v>
      </c>
      <c r="AT862" s="17">
        <v>0</v>
      </c>
      <c r="AU862" s="17">
        <v>0</v>
      </c>
      <c r="AV862" s="17">
        <v>0</v>
      </c>
      <c r="AW862" s="17">
        <v>0</v>
      </c>
      <c r="AX862" s="17">
        <v>0</v>
      </c>
      <c r="AY862" s="17">
        <v>0</v>
      </c>
      <c r="AZ862" s="17">
        <v>0</v>
      </c>
      <c r="BA862" s="17">
        <v>0</v>
      </c>
      <c r="BB862" s="17">
        <v>0</v>
      </c>
      <c r="BC862" s="17">
        <v>0</v>
      </c>
      <c r="BD862" s="17">
        <v>0</v>
      </c>
      <c r="BE862" s="17">
        <v>0</v>
      </c>
      <c r="BF862" s="17">
        <v>0</v>
      </c>
      <c r="BG862" s="17">
        <v>0</v>
      </c>
      <c r="BH862" s="17">
        <v>0</v>
      </c>
      <c r="BI862" s="22">
        <f>SUM(M862+N862+P862+R862+T862+W862+Z862+AC862+AE862+AL862+AO862+AP862+AS862+AW862+AX862+BC862+BE862+BG862)</f>
        <v>0</v>
      </c>
      <c r="BJ862" s="22">
        <f>SUM(H862:BG862)</f>
        <v>4</v>
      </c>
      <c r="BK862" s="22">
        <f>SUM(H862+J862+K862+L862+O862+Q862+S862+U862+V862+X862+Y862+AA862+AB862+AD862+AF862+AG862+AH862+AI862+AJ862+AK862+AM862+AN862+AQ862+AR862+AT862+AU862+AV862+AY862+AZ862+BA862+BB862+BF862+BD862)</f>
        <v>0</v>
      </c>
      <c r="BL862" s="22">
        <f t="shared" ref="BL862:BM862" si="266">SUM(I862+M862+N862+P862+R862+T862+W862+Z862+AC862+AE862+AL862+AO862+AP862+AS862+AW862+AX862+BC862+BG862)</f>
        <v>4</v>
      </c>
      <c r="BM862" s="22">
        <f t="shared" si="266"/>
        <v>0</v>
      </c>
      <c r="BN862" s="23">
        <f t="shared" si="264"/>
        <v>1</v>
      </c>
      <c r="BO862" s="23" t="e">
        <f t="shared" si="264"/>
        <v>#DIV/0!</v>
      </c>
      <c r="BP862" s="7">
        <f>VLOOKUP(A862,[1]Sheet15!B:E,4,0)</f>
        <v>4</v>
      </c>
      <c r="BQ862" s="7">
        <f>VLOOKUP(A862,[1]Sheet15!B:E,3,0)</f>
        <v>0</v>
      </c>
    </row>
    <row r="863" spans="1:69" ht="22.5" customHeight="1" x14ac:dyDescent="0.25">
      <c r="A863" s="38" t="s">
        <v>2048</v>
      </c>
      <c r="B863" s="15">
        <f>VLOOKUP(A863,'[1]Master clients'!F842:W4389,17,0)</f>
        <v>0</v>
      </c>
      <c r="C863" s="15" t="str">
        <f>VLOOKUP(A863,'[1]Master clients'!F842:P4389,11,0)</f>
        <v>SI-GS</v>
      </c>
      <c r="D863" s="15" t="str">
        <f>VLOOKUP(A863,'[1]Master clients'!F:M,8,0)</f>
        <v>End User</v>
      </c>
      <c r="E863" s="39" t="s">
        <v>2049</v>
      </c>
      <c r="F863" s="39" t="s">
        <v>2050</v>
      </c>
      <c r="G863" s="17"/>
      <c r="H863" s="17"/>
      <c r="I863" s="31">
        <v>0</v>
      </c>
      <c r="J863" s="31">
        <v>0</v>
      </c>
      <c r="K863" s="17">
        <v>0</v>
      </c>
      <c r="L863" s="17">
        <v>0</v>
      </c>
      <c r="M863" s="17">
        <v>0</v>
      </c>
      <c r="N863" s="17">
        <v>0</v>
      </c>
      <c r="O863" s="17">
        <v>0</v>
      </c>
      <c r="P863" s="17">
        <v>0</v>
      </c>
      <c r="Q863" s="17">
        <v>0</v>
      </c>
      <c r="R863" s="17">
        <v>0</v>
      </c>
      <c r="S863" s="17">
        <v>0</v>
      </c>
      <c r="T863" s="17">
        <v>0</v>
      </c>
      <c r="U863" s="17">
        <v>0</v>
      </c>
      <c r="V863" s="17">
        <v>0</v>
      </c>
      <c r="W863" s="17">
        <v>0</v>
      </c>
      <c r="X863" s="17">
        <v>0</v>
      </c>
      <c r="Y863" s="17">
        <v>0</v>
      </c>
      <c r="Z863" s="17">
        <v>0</v>
      </c>
      <c r="AA863" s="17">
        <v>0</v>
      </c>
      <c r="AB863" s="17">
        <v>0</v>
      </c>
      <c r="AC863" s="17">
        <v>0</v>
      </c>
      <c r="AD863" s="17">
        <v>0</v>
      </c>
      <c r="AE863" s="17">
        <v>0</v>
      </c>
      <c r="AF863" s="17">
        <v>0</v>
      </c>
      <c r="AG863" s="17">
        <v>0</v>
      </c>
      <c r="AH863" s="17">
        <v>0</v>
      </c>
      <c r="AI863" s="17">
        <v>0</v>
      </c>
      <c r="AJ863" s="17">
        <v>0</v>
      </c>
      <c r="AK863" s="17">
        <v>0</v>
      </c>
      <c r="AL863" s="17">
        <v>0</v>
      </c>
      <c r="AM863" s="17">
        <v>0</v>
      </c>
      <c r="AN863" s="17">
        <v>0</v>
      </c>
      <c r="AO863" s="17">
        <v>0</v>
      </c>
      <c r="AP863" s="17">
        <v>0</v>
      </c>
      <c r="AQ863" s="17">
        <v>0</v>
      </c>
      <c r="AR863" s="17">
        <v>0</v>
      </c>
      <c r="AS863" s="17">
        <v>0</v>
      </c>
      <c r="AT863" s="17">
        <v>0</v>
      </c>
      <c r="AU863" s="17">
        <v>0</v>
      </c>
      <c r="AV863" s="17">
        <v>0</v>
      </c>
      <c r="AW863" s="17">
        <v>0</v>
      </c>
      <c r="AX863" s="17">
        <v>0</v>
      </c>
      <c r="AY863" s="17">
        <v>0</v>
      </c>
      <c r="AZ863" s="17">
        <v>0</v>
      </c>
      <c r="BA863" s="17">
        <v>0</v>
      </c>
      <c r="BB863" s="17">
        <v>0</v>
      </c>
      <c r="BC863" s="17">
        <v>0</v>
      </c>
      <c r="BD863" s="17">
        <v>0</v>
      </c>
      <c r="BE863" s="17">
        <v>0</v>
      </c>
      <c r="BF863" s="17">
        <v>0</v>
      </c>
      <c r="BG863" s="17">
        <v>0</v>
      </c>
      <c r="BH863" s="17">
        <v>0</v>
      </c>
      <c r="BI863" s="22">
        <f>SUM(K863+L863+M863+P863+R863+T863+V863+W863+Y863+Z863+AB863+AC863+AE863+AG863+AH863+AI863+AJ863+AK863+AL863+AN863+AO863+AR863+AS863+AU863+AV863+AW863+AZ863+BA863+BB863+BC863+BE863+BG863)</f>
        <v>0</v>
      </c>
      <c r="BJ863" s="22">
        <f>SUM(N863+O863+Q863+S863+U863+X863+AA863+AD863+AF863+AM863+AP863+AQ863+AT863+AX863+AY863+BD863+BF863+BH863)</f>
        <v>0</v>
      </c>
      <c r="BK863" s="22">
        <f>SUM(I863:BH863)</f>
        <v>0</v>
      </c>
      <c r="BL863" s="22">
        <f>SUM(I863+K863+L863+M863+P863+R863+T863+V863+W863+Y863+Z863+AB863+AC863+AE863+AG863+AH863+AI863+AJ863+AK863+AL863+AN863+AO863+AR863+AS863+AU863+AV863+AW863+AZ863+BA863+BB863+BC863+BG863+BE863)</f>
        <v>0</v>
      </c>
      <c r="BM863" s="22">
        <f>SUM(J863+N863+O863+Q863+S863+U863+X863+AA863+AD863+AF863+AM863+AP863+AQ863+AT863+AX863+AY863+BD863+BH863)</f>
        <v>0</v>
      </c>
      <c r="BN863" s="23" t="e">
        <f t="shared" si="264"/>
        <v>#DIV/0!</v>
      </c>
      <c r="BO863" s="23" t="e">
        <f t="shared" si="264"/>
        <v>#DIV/0!</v>
      </c>
      <c r="BP863" s="7" t="e">
        <f>VLOOKUP(A863,[1]Sheet15!B:E,4,0)</f>
        <v>#N/A</v>
      </c>
      <c r="BQ863" s="7" t="e">
        <f>VLOOKUP(A863,[1]Sheet15!B:E,3,0)</f>
        <v>#N/A</v>
      </c>
    </row>
    <row r="864" spans="1:69" ht="22.5" customHeight="1" x14ac:dyDescent="0.25">
      <c r="A864" s="15" t="s">
        <v>2051</v>
      </c>
      <c r="B864" s="15" t="e">
        <f>VLOOKUP(A864,'[1]Master clients'!F843:W4390,17,0)</f>
        <v>#N/A</v>
      </c>
      <c r="C864" s="15" t="e">
        <f>VLOOKUP(A864,'[1]Master clients'!F843:P4390,11,0)</f>
        <v>#N/A</v>
      </c>
      <c r="D864" s="15" t="str">
        <f>VLOOKUP(A864,'[1]Master clients'!F:M,8,0)</f>
        <v>Group (Mills)</v>
      </c>
      <c r="E864" s="16" t="s">
        <v>2052</v>
      </c>
      <c r="F864" s="39" t="s">
        <v>2053</v>
      </c>
      <c r="G864" s="17"/>
      <c r="H864" s="17"/>
      <c r="I864" s="26">
        <v>6</v>
      </c>
      <c r="J864" s="18">
        <v>0</v>
      </c>
      <c r="K864" s="17">
        <v>0</v>
      </c>
      <c r="L864" s="17">
        <v>0</v>
      </c>
      <c r="M864" s="17">
        <v>0</v>
      </c>
      <c r="N864" s="17">
        <v>0</v>
      </c>
      <c r="O864" s="17">
        <v>0</v>
      </c>
      <c r="P864" s="17">
        <v>0</v>
      </c>
      <c r="Q864" s="17">
        <v>0</v>
      </c>
      <c r="R864" s="17">
        <v>0</v>
      </c>
      <c r="S864" s="17">
        <v>0</v>
      </c>
      <c r="T864" s="17">
        <v>0</v>
      </c>
      <c r="U864" s="17">
        <v>0</v>
      </c>
      <c r="V864" s="17">
        <v>0</v>
      </c>
      <c r="W864" s="17">
        <v>0</v>
      </c>
      <c r="X864" s="17">
        <v>0</v>
      </c>
      <c r="Y864" s="17">
        <v>0</v>
      </c>
      <c r="Z864" s="17">
        <v>0</v>
      </c>
      <c r="AA864" s="17">
        <v>0</v>
      </c>
      <c r="AB864" s="17">
        <v>0</v>
      </c>
      <c r="AC864" s="17">
        <v>0</v>
      </c>
      <c r="AD864" s="17">
        <v>0</v>
      </c>
      <c r="AE864" s="17">
        <v>0</v>
      </c>
      <c r="AF864" s="17">
        <v>0</v>
      </c>
      <c r="AG864" s="17">
        <v>0</v>
      </c>
      <c r="AH864" s="17">
        <v>0</v>
      </c>
      <c r="AI864" s="17">
        <v>0</v>
      </c>
      <c r="AJ864" s="17">
        <v>0</v>
      </c>
      <c r="AK864" s="17">
        <v>0</v>
      </c>
      <c r="AL864" s="17">
        <v>0</v>
      </c>
      <c r="AM864" s="17">
        <v>0</v>
      </c>
      <c r="AN864" s="17">
        <v>0</v>
      </c>
      <c r="AO864" s="17">
        <v>0</v>
      </c>
      <c r="AP864" s="17">
        <v>0</v>
      </c>
      <c r="AQ864" s="17">
        <v>0</v>
      </c>
      <c r="AR864" s="17">
        <v>0</v>
      </c>
      <c r="AS864" s="17">
        <v>0</v>
      </c>
      <c r="AT864" s="17">
        <v>0</v>
      </c>
      <c r="AU864" s="17">
        <v>0</v>
      </c>
      <c r="AV864" s="17">
        <v>0</v>
      </c>
      <c r="AW864" s="17">
        <v>0</v>
      </c>
      <c r="AX864" s="17">
        <v>0</v>
      </c>
      <c r="AY864" s="17">
        <v>0</v>
      </c>
      <c r="AZ864" s="17">
        <v>0</v>
      </c>
      <c r="BA864" s="17">
        <v>0</v>
      </c>
      <c r="BB864" s="17">
        <v>0</v>
      </c>
      <c r="BC864" s="17">
        <v>0</v>
      </c>
      <c r="BD864" s="17">
        <v>0</v>
      </c>
      <c r="BE864" s="17">
        <v>0</v>
      </c>
      <c r="BF864" s="17">
        <v>0</v>
      </c>
      <c r="BG864" s="17">
        <v>0</v>
      </c>
      <c r="BH864" s="17">
        <v>0</v>
      </c>
      <c r="BI864" s="22">
        <f>SUM(M864+N864+P864+R864+T864+W864+Z864+AC864+AE864+AL864+AO864+AP864+AS864+AW864+AX864+BC864+BE864+BG864)</f>
        <v>0</v>
      </c>
      <c r="BJ864" s="22">
        <f>SUM(H864:BG864)</f>
        <v>6</v>
      </c>
      <c r="BK864" s="22">
        <f>SUM(H864+J864+K864+L864+O864+Q864+S864+U864+V864+X864+Y864+AA864+AB864+AD864+AF864+AG864+AH864+AI864+AJ864+AK864+AM864+AN864+AQ864+AR864+AT864+AU864+AV864+AY864+AZ864+BA864+BB864+BF864+BD864)</f>
        <v>0</v>
      </c>
      <c r="BL864" s="22">
        <f t="shared" ref="BL864:BM864" si="267">SUM(I864+M864+N864+P864+R864+T864+W864+Z864+AC864+AE864+AL864+AO864+AP864+AS864+AW864+AX864+BC864+BG864)</f>
        <v>6</v>
      </c>
      <c r="BM864" s="22">
        <f t="shared" si="267"/>
        <v>0</v>
      </c>
      <c r="BN864" s="23">
        <f t="shared" ref="BN864:BO879" si="268">I864/BL864</f>
        <v>1</v>
      </c>
      <c r="BO864" s="23" t="e">
        <f t="shared" si="268"/>
        <v>#DIV/0!</v>
      </c>
      <c r="BP864" s="7">
        <f>VLOOKUP(A864,[1]Sheet15!B:E,4,0)</f>
        <v>6</v>
      </c>
      <c r="BQ864" s="7">
        <f>VLOOKUP(A864,[1]Sheet15!B:E,3,0)</f>
        <v>0</v>
      </c>
    </row>
    <row r="865" spans="1:69" ht="22.5" customHeight="1" x14ac:dyDescent="0.25">
      <c r="A865" s="38" t="s">
        <v>2054</v>
      </c>
      <c r="B865" s="15">
        <f>VLOOKUP(A865,'[1]Master clients'!F844:W4391,17,0)</f>
        <v>0</v>
      </c>
      <c r="C865" s="15" t="str">
        <f>VLOOKUP(A865,'[1]Master clients'!F844:P4391,11,0)</f>
        <v>SI-GS</v>
      </c>
      <c r="D865" s="15" t="str">
        <f>VLOOKUP(A865,'[1]Master clients'!F:M,8,0)</f>
        <v>End User</v>
      </c>
      <c r="E865" s="39" t="s">
        <v>2055</v>
      </c>
      <c r="F865" s="39" t="s">
        <v>2053</v>
      </c>
      <c r="G865" s="17"/>
      <c r="H865" s="17"/>
      <c r="I865" s="26">
        <v>4</v>
      </c>
      <c r="J865" s="31">
        <v>0</v>
      </c>
      <c r="K865" s="17">
        <v>0</v>
      </c>
      <c r="L865" s="17">
        <v>0</v>
      </c>
      <c r="M865" s="17">
        <v>0</v>
      </c>
      <c r="N865" s="17">
        <v>0</v>
      </c>
      <c r="O865" s="17">
        <v>0</v>
      </c>
      <c r="P865" s="17">
        <v>0</v>
      </c>
      <c r="Q865" s="17">
        <v>0</v>
      </c>
      <c r="R865" s="17">
        <v>0</v>
      </c>
      <c r="S865" s="17">
        <v>0</v>
      </c>
      <c r="T865" s="17">
        <v>0</v>
      </c>
      <c r="U865" s="17">
        <v>0</v>
      </c>
      <c r="V865" s="17">
        <v>0</v>
      </c>
      <c r="W865" s="17">
        <v>0</v>
      </c>
      <c r="X865" s="17">
        <v>0</v>
      </c>
      <c r="Y865" s="17">
        <v>0</v>
      </c>
      <c r="Z865" s="17">
        <v>0</v>
      </c>
      <c r="AA865" s="17">
        <v>0</v>
      </c>
      <c r="AB865" s="17">
        <v>0</v>
      </c>
      <c r="AC865" s="17">
        <v>0</v>
      </c>
      <c r="AD865" s="17">
        <v>0</v>
      </c>
      <c r="AE865" s="17">
        <v>0</v>
      </c>
      <c r="AF865" s="17">
        <v>0</v>
      </c>
      <c r="AG865" s="17">
        <v>0</v>
      </c>
      <c r="AH865" s="17">
        <v>0</v>
      </c>
      <c r="AI865" s="17">
        <v>0</v>
      </c>
      <c r="AJ865" s="17">
        <v>0</v>
      </c>
      <c r="AK865" s="17">
        <v>0</v>
      </c>
      <c r="AL865" s="17">
        <v>0</v>
      </c>
      <c r="AM865" s="17">
        <v>0</v>
      </c>
      <c r="AN865" s="17">
        <v>0</v>
      </c>
      <c r="AO865" s="17">
        <v>0</v>
      </c>
      <c r="AP865" s="17">
        <v>0</v>
      </c>
      <c r="AQ865" s="17">
        <v>0</v>
      </c>
      <c r="AR865" s="17">
        <v>0</v>
      </c>
      <c r="AS865" s="17">
        <v>0</v>
      </c>
      <c r="AT865" s="17">
        <v>0</v>
      </c>
      <c r="AU865" s="17">
        <v>0</v>
      </c>
      <c r="AV865" s="17">
        <v>0</v>
      </c>
      <c r="AW865" s="17">
        <v>0</v>
      </c>
      <c r="AX865" s="17">
        <v>0</v>
      </c>
      <c r="AY865" s="17">
        <v>0</v>
      </c>
      <c r="AZ865" s="17">
        <v>0</v>
      </c>
      <c r="BA865" s="17">
        <v>0</v>
      </c>
      <c r="BB865" s="17">
        <v>0</v>
      </c>
      <c r="BC865" s="17">
        <v>0</v>
      </c>
      <c r="BD865" s="17">
        <v>0</v>
      </c>
      <c r="BE865" s="17">
        <v>0</v>
      </c>
      <c r="BF865" s="17">
        <v>0</v>
      </c>
      <c r="BG865" s="17">
        <v>0</v>
      </c>
      <c r="BH865" s="17">
        <v>0</v>
      </c>
      <c r="BI865" s="22">
        <f>SUM(K865+L865+M865+P865+R865+T865+V865+W865+Y865+Z865+AB865+AC865+AE865+AG865+AH865+AI865+AJ865+AK865+AL865+AN865+AO865+AR865+AS865+AU865+AV865+AW865+AZ865+BA865+BB865+BC865+BE865+BG865)</f>
        <v>0</v>
      </c>
      <c r="BJ865" s="22">
        <f>SUM(N865+O865+Q865+S865+U865+X865+AA865+AD865+AF865+AM865+AP865+AQ865+AT865+AX865+AY865+BD865+BF865+BH865)</f>
        <v>0</v>
      </c>
      <c r="BK865" s="28">
        <f>SUM(I865:BH865)</f>
        <v>4</v>
      </c>
      <c r="BL865" s="22">
        <f>SUM(I865+K865+L865+M865+P865+R865+T865+V865+W865+Y865+Z865+AB865+AC865+AE865+AG865+AH865+AI865+AJ865+AK865+AL865+AN865+AO865+AR865+AS865+AU865+AV865+AW865+AZ865+BA865+BB865+BC865+BG865+BE865)</f>
        <v>4</v>
      </c>
      <c r="BM865" s="22">
        <f>SUM(J865+N865+O865+Q865+S865+U865+X865+AA865+AD865+AF865+AM865+AP865+AQ865+AT865+AX865+AY865+BD865+BH865)</f>
        <v>0</v>
      </c>
      <c r="BN865" s="23">
        <f t="shared" si="268"/>
        <v>1</v>
      </c>
      <c r="BO865" s="23" t="e">
        <f t="shared" si="268"/>
        <v>#DIV/0!</v>
      </c>
      <c r="BP865" s="7">
        <f>VLOOKUP(A865,[1]Sheet15!B:E,4,0)</f>
        <v>4</v>
      </c>
      <c r="BQ865" s="7">
        <f>VLOOKUP(A865,[1]Sheet15!B:E,3,0)</f>
        <v>0</v>
      </c>
    </row>
    <row r="866" spans="1:69" ht="22.5" customHeight="1" x14ac:dyDescent="0.25">
      <c r="A866" s="15" t="s">
        <v>2056</v>
      </c>
      <c r="B866" s="15" t="e">
        <f>VLOOKUP(A866,'[1]Master clients'!F845:W4392,17,0)</f>
        <v>#N/A</v>
      </c>
      <c r="C866" s="15" t="e">
        <f>VLOOKUP(A866,'[1]Master clients'!F845:P4392,11,0)</f>
        <v>#N/A</v>
      </c>
      <c r="D866" s="15" t="str">
        <f>VLOOKUP(A866,'[1]Master clients'!F:M,8,0)</f>
        <v>End User</v>
      </c>
      <c r="E866" s="16" t="s">
        <v>2057</v>
      </c>
      <c r="F866" s="39" t="s">
        <v>2053</v>
      </c>
      <c r="G866" s="17"/>
      <c r="H866" s="17"/>
      <c r="I866" s="31">
        <v>0</v>
      </c>
      <c r="J866" s="31">
        <v>0</v>
      </c>
      <c r="K866" s="17">
        <v>0</v>
      </c>
      <c r="L866" s="17">
        <v>0</v>
      </c>
      <c r="M866" s="17">
        <v>0</v>
      </c>
      <c r="N866" s="17">
        <v>0</v>
      </c>
      <c r="O866" s="17">
        <v>0</v>
      </c>
      <c r="P866" s="17">
        <v>0</v>
      </c>
      <c r="Q866" s="17">
        <v>0</v>
      </c>
      <c r="R866" s="17">
        <v>0</v>
      </c>
      <c r="S866" s="17">
        <v>0</v>
      </c>
      <c r="T866" s="17">
        <v>0</v>
      </c>
      <c r="U866" s="17">
        <v>0</v>
      </c>
      <c r="V866" s="17">
        <v>0</v>
      </c>
      <c r="W866" s="17">
        <v>0</v>
      </c>
      <c r="X866" s="17">
        <v>0</v>
      </c>
      <c r="Y866" s="17">
        <v>0</v>
      </c>
      <c r="Z866" s="17">
        <v>0</v>
      </c>
      <c r="AA866" s="17">
        <v>0</v>
      </c>
      <c r="AB866" s="17">
        <v>0</v>
      </c>
      <c r="AC866" s="17">
        <v>0</v>
      </c>
      <c r="AD866" s="17">
        <v>0</v>
      </c>
      <c r="AE866" s="17">
        <v>0</v>
      </c>
      <c r="AF866" s="17">
        <v>0</v>
      </c>
      <c r="AG866" s="17">
        <v>0</v>
      </c>
      <c r="AH866" s="17">
        <v>0</v>
      </c>
      <c r="AI866" s="17">
        <v>0</v>
      </c>
      <c r="AJ866" s="17">
        <v>0</v>
      </c>
      <c r="AK866" s="17">
        <v>0</v>
      </c>
      <c r="AL866" s="17">
        <v>0</v>
      </c>
      <c r="AM866" s="17">
        <v>0</v>
      </c>
      <c r="AN866" s="17">
        <v>0</v>
      </c>
      <c r="AO866" s="17">
        <v>0</v>
      </c>
      <c r="AP866" s="17">
        <v>0</v>
      </c>
      <c r="AQ866" s="17">
        <v>0</v>
      </c>
      <c r="AR866" s="17">
        <v>0</v>
      </c>
      <c r="AS866" s="17">
        <v>0</v>
      </c>
      <c r="AT866" s="17">
        <v>0</v>
      </c>
      <c r="AU866" s="17">
        <v>0</v>
      </c>
      <c r="AV866" s="17">
        <v>0</v>
      </c>
      <c r="AW866" s="17">
        <v>0</v>
      </c>
      <c r="AX866" s="17">
        <v>0</v>
      </c>
      <c r="AY866" s="17">
        <v>0</v>
      </c>
      <c r="AZ866" s="17">
        <v>0</v>
      </c>
      <c r="BA866" s="17">
        <v>0</v>
      </c>
      <c r="BB866" s="17">
        <v>0</v>
      </c>
      <c r="BC866" s="17">
        <v>0</v>
      </c>
      <c r="BD866" s="17">
        <v>0</v>
      </c>
      <c r="BE866" s="17">
        <v>0</v>
      </c>
      <c r="BF866" s="17">
        <v>0</v>
      </c>
      <c r="BG866" s="17">
        <v>0</v>
      </c>
      <c r="BH866" s="17">
        <v>0</v>
      </c>
      <c r="BI866" s="22">
        <f>SUM(M866+N866+P866+R866+T866+W866+Z866+AC866+AE866+AL866+AO866+AP866+AS866+AW866+AX866+BC866+BE866+BG866)</f>
        <v>0</v>
      </c>
      <c r="BJ866" s="22">
        <f>SUM(H866:BG866)</f>
        <v>0</v>
      </c>
      <c r="BK866" s="22">
        <f>SUM(H866+J866+K866+L866+O866+Q866+S866+U866+V866+X866+Y866+AA866+AB866+AD866+AF866+AG866+AH866+AI866+AJ866+AK866+AM866+AN866+AQ866+AR866+AT866+AU866+AV866+AY866+AZ866+BA866+BB866+BF866+BD866)</f>
        <v>0</v>
      </c>
      <c r="BL866" s="22">
        <f t="shared" ref="BL866:BM881" si="269">SUM(I866+M866+N866+P866+R866+T866+W866+Z866+AC866+AE866+AL866+AO866+AP866+AS866+AW866+AX866+BC866+BG866)</f>
        <v>0</v>
      </c>
      <c r="BM866" s="22">
        <f t="shared" si="269"/>
        <v>0</v>
      </c>
      <c r="BN866" s="23" t="e">
        <f t="shared" si="268"/>
        <v>#DIV/0!</v>
      </c>
      <c r="BO866" s="23" t="e">
        <f t="shared" si="268"/>
        <v>#DIV/0!</v>
      </c>
      <c r="BP866" s="7" t="e">
        <f>VLOOKUP(A866,[1]Sheet15!B:E,4,0)</f>
        <v>#N/A</v>
      </c>
      <c r="BQ866" s="7" t="e">
        <f>VLOOKUP(A866,[1]Sheet15!B:E,3,0)</f>
        <v>#N/A</v>
      </c>
    </row>
    <row r="867" spans="1:69" ht="22.5" customHeight="1" x14ac:dyDescent="0.25">
      <c r="A867" s="15" t="s">
        <v>2058</v>
      </c>
      <c r="B867" s="15" t="e">
        <f>VLOOKUP(A867,'[1]Master clients'!F846:W4393,17,0)</f>
        <v>#N/A</v>
      </c>
      <c r="C867" s="15" t="e">
        <f>VLOOKUP(A867,'[1]Master clients'!F846:P4393,11,0)</f>
        <v>#N/A</v>
      </c>
      <c r="D867" s="15" t="str">
        <f>VLOOKUP(A867,'[1]Master clients'!F:M,8,0)</f>
        <v>End User</v>
      </c>
      <c r="E867" s="16" t="s">
        <v>2059</v>
      </c>
      <c r="F867" s="39" t="s">
        <v>2060</v>
      </c>
      <c r="G867" s="17"/>
      <c r="H867" s="17"/>
      <c r="I867" s="31">
        <v>0</v>
      </c>
      <c r="J867" s="31">
        <v>0</v>
      </c>
      <c r="K867" s="17">
        <v>0</v>
      </c>
      <c r="L867" s="17">
        <v>0</v>
      </c>
      <c r="M867" s="17">
        <v>0</v>
      </c>
      <c r="N867" s="17">
        <v>0</v>
      </c>
      <c r="O867" s="17">
        <v>0</v>
      </c>
      <c r="P867" s="17">
        <v>0</v>
      </c>
      <c r="Q867" s="17">
        <v>0</v>
      </c>
      <c r="R867" s="17">
        <v>0</v>
      </c>
      <c r="S867" s="17">
        <v>0</v>
      </c>
      <c r="T867" s="17">
        <v>0</v>
      </c>
      <c r="U867" s="17">
        <v>0</v>
      </c>
      <c r="V867" s="17">
        <v>0</v>
      </c>
      <c r="W867" s="17">
        <v>0</v>
      </c>
      <c r="X867" s="17">
        <v>0</v>
      </c>
      <c r="Y867" s="17">
        <v>0</v>
      </c>
      <c r="Z867" s="17">
        <v>0</v>
      </c>
      <c r="AA867" s="17">
        <v>0</v>
      </c>
      <c r="AB867" s="17">
        <v>0</v>
      </c>
      <c r="AC867" s="17">
        <v>0</v>
      </c>
      <c r="AD867" s="17">
        <v>0</v>
      </c>
      <c r="AE867" s="17">
        <v>0</v>
      </c>
      <c r="AF867" s="17">
        <v>0</v>
      </c>
      <c r="AG867" s="17">
        <v>0</v>
      </c>
      <c r="AH867" s="17">
        <v>0</v>
      </c>
      <c r="AI867" s="17">
        <v>0</v>
      </c>
      <c r="AJ867" s="17">
        <v>0</v>
      </c>
      <c r="AK867" s="17">
        <v>0</v>
      </c>
      <c r="AL867" s="17">
        <v>0</v>
      </c>
      <c r="AM867" s="17">
        <v>0</v>
      </c>
      <c r="AN867" s="17">
        <v>0</v>
      </c>
      <c r="AO867" s="17">
        <v>0</v>
      </c>
      <c r="AP867" s="17">
        <v>0</v>
      </c>
      <c r="AQ867" s="17">
        <v>0</v>
      </c>
      <c r="AR867" s="17">
        <v>0</v>
      </c>
      <c r="AS867" s="17">
        <v>0</v>
      </c>
      <c r="AT867" s="17">
        <v>0</v>
      </c>
      <c r="AU867" s="17">
        <v>0</v>
      </c>
      <c r="AV867" s="17">
        <v>0</v>
      </c>
      <c r="AW867" s="17">
        <v>0</v>
      </c>
      <c r="AX867" s="17">
        <v>0</v>
      </c>
      <c r="AY867" s="17">
        <v>0</v>
      </c>
      <c r="AZ867" s="17">
        <v>0</v>
      </c>
      <c r="BA867" s="17">
        <v>0</v>
      </c>
      <c r="BB867" s="17">
        <v>0</v>
      </c>
      <c r="BC867" s="17">
        <v>0</v>
      </c>
      <c r="BD867" s="17">
        <v>0</v>
      </c>
      <c r="BE867" s="17">
        <v>0</v>
      </c>
      <c r="BF867" s="17">
        <v>0</v>
      </c>
      <c r="BG867" s="17">
        <v>0</v>
      </c>
      <c r="BH867" s="17">
        <v>0</v>
      </c>
      <c r="BI867" s="22">
        <f t="shared" ref="BI867:BI896" si="270">SUM(K867+L867+M867+P867+R867+T867+V867+W867+Y867+Z867+AB867+AC867+AE867+AG867+AH867+AI867+AJ867+AK867+AL867+AN867+AO867+AR867+AS867+AU867+AV867+AW867+AZ867+BA867+BB867+BC867+BE867+BG867)</f>
        <v>0</v>
      </c>
      <c r="BJ867" s="22">
        <f t="shared" ref="BJ867:BJ896" si="271">SUM(N867+O867+Q867+S867+U867+X867+AA867+AD867+AF867+AM867+AP867+AQ867+AT867+AX867+AY867+BD867+BF867+BH867)</f>
        <v>0</v>
      </c>
      <c r="BK867" s="22">
        <f t="shared" ref="BK867:BK896" si="272">SUM(I867:BH867)</f>
        <v>0</v>
      </c>
      <c r="BL867" s="22">
        <f t="shared" ref="BL867:BL896" si="273">SUM(I867+K867+L867+M867+P867+R867+T867+V867+W867+Y867+Z867+AB867+AC867+AE867+AG867+AH867+AI867+AJ867+AK867+AL867+AN867+AO867+AR867+AS867+AU867+AV867+AW867+AZ867+BA867+BB867+BC867+BG867+BE867)</f>
        <v>0</v>
      </c>
      <c r="BM867" s="22">
        <f t="shared" si="269"/>
        <v>0</v>
      </c>
      <c r="BN867" s="23" t="e">
        <f t="shared" si="268"/>
        <v>#DIV/0!</v>
      </c>
      <c r="BO867" s="23" t="e">
        <f t="shared" si="268"/>
        <v>#DIV/0!</v>
      </c>
      <c r="BP867" s="7" t="e">
        <f>VLOOKUP(A867,[1]Sheet15!B:E,4,0)</f>
        <v>#N/A</v>
      </c>
      <c r="BQ867" s="7" t="e">
        <f>VLOOKUP(A867,[1]Sheet15!B:E,3,0)</f>
        <v>#N/A</v>
      </c>
    </row>
    <row r="868" spans="1:69" ht="22.5" customHeight="1" x14ac:dyDescent="0.25">
      <c r="A868" s="38" t="s">
        <v>2061</v>
      </c>
      <c r="B868" s="15">
        <f>VLOOKUP(A868,'[1]Master clients'!F847:W4394,17,0)</f>
        <v>0</v>
      </c>
      <c r="C868" s="15" t="str">
        <f>VLOOKUP(A868,'[1]Master clients'!F847:P4394,11,0)</f>
        <v>SI-GS</v>
      </c>
      <c r="D868" s="15" t="str">
        <f>VLOOKUP(A868,'[1]Master clients'!F:M,8,0)</f>
        <v>End User</v>
      </c>
      <c r="E868" s="39" t="s">
        <v>2062</v>
      </c>
      <c r="F868" s="39" t="s">
        <v>2063</v>
      </c>
      <c r="G868" s="17"/>
      <c r="H868" s="17"/>
      <c r="I868" s="26">
        <v>13</v>
      </c>
      <c r="J868" s="31">
        <v>0</v>
      </c>
      <c r="K868" s="17">
        <v>0</v>
      </c>
      <c r="L868" s="17">
        <v>0</v>
      </c>
      <c r="M868" s="17">
        <v>0</v>
      </c>
      <c r="N868" s="17">
        <v>0</v>
      </c>
      <c r="O868" s="17">
        <v>0</v>
      </c>
      <c r="P868" s="17">
        <v>0</v>
      </c>
      <c r="Q868" s="17">
        <v>0</v>
      </c>
      <c r="R868" s="17">
        <v>0</v>
      </c>
      <c r="S868" s="17">
        <v>0</v>
      </c>
      <c r="T868" s="17">
        <v>0</v>
      </c>
      <c r="U868" s="17">
        <v>0</v>
      </c>
      <c r="V868" s="17">
        <v>0</v>
      </c>
      <c r="W868" s="17">
        <v>0</v>
      </c>
      <c r="X868" s="17">
        <v>0</v>
      </c>
      <c r="Y868" s="17">
        <v>0</v>
      </c>
      <c r="Z868" s="17">
        <v>0</v>
      </c>
      <c r="AA868" s="17">
        <v>0</v>
      </c>
      <c r="AB868" s="17">
        <v>0</v>
      </c>
      <c r="AC868" s="17">
        <v>0</v>
      </c>
      <c r="AD868" s="17">
        <v>0</v>
      </c>
      <c r="AE868" s="17">
        <v>0</v>
      </c>
      <c r="AF868" s="17">
        <v>0</v>
      </c>
      <c r="AG868" s="17">
        <v>0</v>
      </c>
      <c r="AH868" s="17">
        <v>0</v>
      </c>
      <c r="AI868" s="17">
        <v>0</v>
      </c>
      <c r="AJ868" s="17">
        <v>0</v>
      </c>
      <c r="AK868" s="17">
        <v>0</v>
      </c>
      <c r="AL868" s="17">
        <v>0</v>
      </c>
      <c r="AM868" s="17">
        <v>0</v>
      </c>
      <c r="AN868" s="17">
        <v>0</v>
      </c>
      <c r="AO868" s="17">
        <v>0</v>
      </c>
      <c r="AP868" s="17">
        <v>0</v>
      </c>
      <c r="AQ868" s="17">
        <v>0</v>
      </c>
      <c r="AR868" s="17">
        <v>0</v>
      </c>
      <c r="AS868" s="17">
        <v>0</v>
      </c>
      <c r="AT868" s="17">
        <v>0</v>
      </c>
      <c r="AU868" s="17">
        <v>0</v>
      </c>
      <c r="AV868" s="17">
        <v>0</v>
      </c>
      <c r="AW868" s="17">
        <v>0</v>
      </c>
      <c r="AX868" s="17">
        <v>0</v>
      </c>
      <c r="AY868" s="17">
        <v>0</v>
      </c>
      <c r="AZ868" s="17">
        <v>0</v>
      </c>
      <c r="BA868" s="17">
        <v>0</v>
      </c>
      <c r="BB868" s="17">
        <v>0</v>
      </c>
      <c r="BC868" s="17">
        <v>0</v>
      </c>
      <c r="BD868" s="17">
        <v>0</v>
      </c>
      <c r="BE868" s="17">
        <v>0</v>
      </c>
      <c r="BF868" s="17">
        <v>0</v>
      </c>
      <c r="BG868" s="17">
        <v>0</v>
      </c>
      <c r="BH868" s="17">
        <v>0</v>
      </c>
      <c r="BI868" s="22">
        <f t="shared" si="270"/>
        <v>0</v>
      </c>
      <c r="BJ868" s="22">
        <f t="shared" si="271"/>
        <v>0</v>
      </c>
      <c r="BK868" s="28">
        <f t="shared" si="272"/>
        <v>13</v>
      </c>
      <c r="BL868" s="22">
        <f t="shared" si="273"/>
        <v>13</v>
      </c>
      <c r="BM868" s="22">
        <f t="shared" si="269"/>
        <v>0</v>
      </c>
      <c r="BN868" s="23">
        <f t="shared" si="268"/>
        <v>1</v>
      </c>
      <c r="BO868" s="23" t="e">
        <f t="shared" si="268"/>
        <v>#DIV/0!</v>
      </c>
      <c r="BP868" s="7">
        <f>VLOOKUP(A868,[1]Sheet15!B:E,4,0)</f>
        <v>13</v>
      </c>
      <c r="BQ868" s="7">
        <f>VLOOKUP(A868,[1]Sheet15!B:E,3,0)</f>
        <v>0</v>
      </c>
    </row>
    <row r="869" spans="1:69" ht="22.5" customHeight="1" x14ac:dyDescent="0.25">
      <c r="A869" s="38" t="s">
        <v>2064</v>
      </c>
      <c r="B869" s="15" t="e">
        <f>VLOOKUP(A869,'[1]Master clients'!F848:W4395,17,0)</f>
        <v>#N/A</v>
      </c>
      <c r="C869" s="15" t="e">
        <f>VLOOKUP(A869,'[1]Master clients'!F848:P4395,11,0)</f>
        <v>#N/A</v>
      </c>
      <c r="D869" s="15" t="str">
        <f>VLOOKUP(A869,'[1]Master clients'!F:M,8,0)</f>
        <v>End User</v>
      </c>
      <c r="E869" s="39" t="s">
        <v>2065</v>
      </c>
      <c r="F869" s="39" t="s">
        <v>2066</v>
      </c>
      <c r="G869" s="17"/>
      <c r="H869" s="17"/>
      <c r="I869" s="31">
        <v>0</v>
      </c>
      <c r="J869" s="31">
        <v>0</v>
      </c>
      <c r="K869" s="17">
        <v>0</v>
      </c>
      <c r="L869" s="17">
        <v>0</v>
      </c>
      <c r="M869" s="17">
        <v>0</v>
      </c>
      <c r="N869" s="17">
        <v>0</v>
      </c>
      <c r="O869" s="17">
        <v>0</v>
      </c>
      <c r="P869" s="17">
        <v>0</v>
      </c>
      <c r="Q869" s="17">
        <v>0</v>
      </c>
      <c r="R869" s="17">
        <v>0</v>
      </c>
      <c r="S869" s="17">
        <v>0</v>
      </c>
      <c r="T869" s="17">
        <v>0</v>
      </c>
      <c r="U869" s="17">
        <v>0</v>
      </c>
      <c r="V869" s="17">
        <v>0</v>
      </c>
      <c r="W869" s="17">
        <v>0</v>
      </c>
      <c r="X869" s="17">
        <v>0</v>
      </c>
      <c r="Y869" s="17">
        <v>0</v>
      </c>
      <c r="Z869" s="17">
        <v>0</v>
      </c>
      <c r="AA869" s="17">
        <v>0</v>
      </c>
      <c r="AB869" s="17">
        <v>0</v>
      </c>
      <c r="AC869" s="17">
        <v>0</v>
      </c>
      <c r="AD869" s="17">
        <v>0</v>
      </c>
      <c r="AE869" s="17">
        <v>0</v>
      </c>
      <c r="AF869" s="17">
        <v>0</v>
      </c>
      <c r="AG869" s="17">
        <v>0</v>
      </c>
      <c r="AH869" s="17">
        <v>0</v>
      </c>
      <c r="AI869" s="17">
        <v>0</v>
      </c>
      <c r="AJ869" s="17">
        <v>0</v>
      </c>
      <c r="AK869" s="17">
        <v>0</v>
      </c>
      <c r="AL869" s="17">
        <v>0</v>
      </c>
      <c r="AM869" s="17">
        <v>0</v>
      </c>
      <c r="AN869" s="17">
        <v>0</v>
      </c>
      <c r="AO869" s="17">
        <v>0</v>
      </c>
      <c r="AP869" s="17">
        <v>0</v>
      </c>
      <c r="AQ869" s="17">
        <v>0</v>
      </c>
      <c r="AR869" s="17">
        <v>0</v>
      </c>
      <c r="AS869" s="17">
        <v>0</v>
      </c>
      <c r="AT869" s="17">
        <v>0</v>
      </c>
      <c r="AU869" s="17">
        <v>0</v>
      </c>
      <c r="AV869" s="17">
        <v>0</v>
      </c>
      <c r="AW869" s="17">
        <v>0</v>
      </c>
      <c r="AX869" s="17">
        <v>0</v>
      </c>
      <c r="AY869" s="17">
        <v>0</v>
      </c>
      <c r="AZ869" s="17">
        <v>0</v>
      </c>
      <c r="BA869" s="17">
        <v>0</v>
      </c>
      <c r="BB869" s="17">
        <v>0</v>
      </c>
      <c r="BC869" s="17">
        <v>0</v>
      </c>
      <c r="BD869" s="17">
        <v>0</v>
      </c>
      <c r="BE869" s="17">
        <v>0</v>
      </c>
      <c r="BF869" s="17">
        <v>0</v>
      </c>
      <c r="BG869" s="17">
        <v>0</v>
      </c>
      <c r="BH869" s="17">
        <v>0</v>
      </c>
      <c r="BI869" s="22">
        <f t="shared" si="270"/>
        <v>0</v>
      </c>
      <c r="BJ869" s="22">
        <f t="shared" si="271"/>
        <v>0</v>
      </c>
      <c r="BK869" s="22">
        <f t="shared" si="272"/>
        <v>0</v>
      </c>
      <c r="BL869" s="22">
        <f t="shared" si="273"/>
        <v>0</v>
      </c>
      <c r="BM869" s="22">
        <f t="shared" si="269"/>
        <v>0</v>
      </c>
      <c r="BN869" s="23" t="e">
        <f t="shared" si="268"/>
        <v>#DIV/0!</v>
      </c>
      <c r="BO869" s="23" t="e">
        <f t="shared" si="268"/>
        <v>#DIV/0!</v>
      </c>
      <c r="BP869" s="7" t="e">
        <f>VLOOKUP(A869,[1]Sheet15!B:E,4,0)</f>
        <v>#N/A</v>
      </c>
      <c r="BQ869" s="7" t="e">
        <f>VLOOKUP(A869,[1]Sheet15!B:E,3,0)</f>
        <v>#N/A</v>
      </c>
    </row>
    <row r="870" spans="1:69" ht="22.5" customHeight="1" x14ac:dyDescent="0.25">
      <c r="A870" s="38" t="s">
        <v>2067</v>
      </c>
      <c r="B870" s="15" t="e">
        <f>VLOOKUP(A870,'[1]Master clients'!F849:W4396,17,0)</f>
        <v>#N/A</v>
      </c>
      <c r="C870" s="15" t="e">
        <f>VLOOKUP(A870,'[1]Master clients'!F849:P4396,11,0)</f>
        <v>#N/A</v>
      </c>
      <c r="D870" s="15" t="str">
        <f>VLOOKUP(A870,'[1]Master clients'!F:M,8,0)</f>
        <v>End User</v>
      </c>
      <c r="E870" s="39" t="s">
        <v>2068</v>
      </c>
      <c r="F870" s="39" t="s">
        <v>2069</v>
      </c>
      <c r="G870" s="17"/>
      <c r="H870" s="17"/>
      <c r="I870" s="31">
        <v>0</v>
      </c>
      <c r="J870" s="31">
        <v>0</v>
      </c>
      <c r="K870" s="17">
        <v>0</v>
      </c>
      <c r="L870" s="17">
        <v>0</v>
      </c>
      <c r="M870" s="17">
        <v>0</v>
      </c>
      <c r="N870" s="17">
        <v>0</v>
      </c>
      <c r="O870" s="17">
        <v>0</v>
      </c>
      <c r="P870" s="17">
        <v>0</v>
      </c>
      <c r="Q870" s="17">
        <v>0</v>
      </c>
      <c r="R870" s="17">
        <v>0</v>
      </c>
      <c r="S870" s="17">
        <v>0</v>
      </c>
      <c r="T870" s="17">
        <v>0</v>
      </c>
      <c r="U870" s="17">
        <v>0</v>
      </c>
      <c r="V870" s="17">
        <v>0</v>
      </c>
      <c r="W870" s="17">
        <v>0</v>
      </c>
      <c r="X870" s="17">
        <v>0</v>
      </c>
      <c r="Y870" s="17">
        <v>0</v>
      </c>
      <c r="Z870" s="17">
        <v>0</v>
      </c>
      <c r="AA870" s="17">
        <v>0</v>
      </c>
      <c r="AB870" s="17">
        <v>0</v>
      </c>
      <c r="AC870" s="17">
        <v>0</v>
      </c>
      <c r="AD870" s="17">
        <v>0</v>
      </c>
      <c r="AE870" s="17">
        <v>0</v>
      </c>
      <c r="AF870" s="17">
        <v>0</v>
      </c>
      <c r="AG870" s="17">
        <v>0</v>
      </c>
      <c r="AH870" s="17">
        <v>0</v>
      </c>
      <c r="AI870" s="17">
        <v>0</v>
      </c>
      <c r="AJ870" s="17">
        <v>0</v>
      </c>
      <c r="AK870" s="17">
        <v>0</v>
      </c>
      <c r="AL870" s="17">
        <v>0</v>
      </c>
      <c r="AM870" s="17">
        <v>0</v>
      </c>
      <c r="AN870" s="17">
        <v>0</v>
      </c>
      <c r="AO870" s="17">
        <v>0</v>
      </c>
      <c r="AP870" s="17">
        <v>0</v>
      </c>
      <c r="AQ870" s="17">
        <v>0</v>
      </c>
      <c r="AR870" s="17">
        <v>0</v>
      </c>
      <c r="AS870" s="17">
        <v>0</v>
      </c>
      <c r="AT870" s="17">
        <v>0</v>
      </c>
      <c r="AU870" s="17">
        <v>0</v>
      </c>
      <c r="AV870" s="17">
        <v>0</v>
      </c>
      <c r="AW870" s="17">
        <v>0</v>
      </c>
      <c r="AX870" s="17">
        <v>0</v>
      </c>
      <c r="AY870" s="17">
        <v>0</v>
      </c>
      <c r="AZ870" s="17">
        <v>0</v>
      </c>
      <c r="BA870" s="17">
        <v>0</v>
      </c>
      <c r="BB870" s="17">
        <v>0</v>
      </c>
      <c r="BC870" s="17">
        <v>0</v>
      </c>
      <c r="BD870" s="17">
        <v>0</v>
      </c>
      <c r="BE870" s="17">
        <v>0</v>
      </c>
      <c r="BF870" s="17">
        <v>0</v>
      </c>
      <c r="BG870" s="17">
        <v>0</v>
      </c>
      <c r="BH870" s="17">
        <v>0</v>
      </c>
      <c r="BI870" s="22">
        <f t="shared" si="270"/>
        <v>0</v>
      </c>
      <c r="BJ870" s="22">
        <f t="shared" si="271"/>
        <v>0</v>
      </c>
      <c r="BK870" s="22">
        <f t="shared" si="272"/>
        <v>0</v>
      </c>
      <c r="BL870" s="22">
        <f t="shared" si="273"/>
        <v>0</v>
      </c>
      <c r="BM870" s="22">
        <f t="shared" si="269"/>
        <v>0</v>
      </c>
      <c r="BN870" s="23" t="e">
        <f t="shared" si="268"/>
        <v>#DIV/0!</v>
      </c>
      <c r="BO870" s="23" t="e">
        <f t="shared" si="268"/>
        <v>#DIV/0!</v>
      </c>
      <c r="BP870" s="7" t="e">
        <f>VLOOKUP(A870,[1]Sheet15!B:E,4,0)</f>
        <v>#N/A</v>
      </c>
      <c r="BQ870" s="7" t="e">
        <f>VLOOKUP(A870,[1]Sheet15!B:E,3,0)</f>
        <v>#N/A</v>
      </c>
    </row>
    <row r="871" spans="1:69" ht="22.5" customHeight="1" x14ac:dyDescent="0.25">
      <c r="A871" s="38" t="s">
        <v>2070</v>
      </c>
      <c r="B871" s="15" t="e">
        <f>VLOOKUP(A871,'[1]Master clients'!F850:W4397,17,0)</f>
        <v>#N/A</v>
      </c>
      <c r="C871" s="15" t="e">
        <f>VLOOKUP(A871,'[1]Master clients'!F850:P4397,11,0)</f>
        <v>#N/A</v>
      </c>
      <c r="D871" s="15" t="str">
        <f>VLOOKUP(A871,'[1]Master clients'!F:M,8,0)</f>
        <v>End User</v>
      </c>
      <c r="E871" s="39" t="s">
        <v>2071</v>
      </c>
      <c r="F871" s="39" t="s">
        <v>2072</v>
      </c>
      <c r="G871" s="17"/>
      <c r="H871" s="17"/>
      <c r="I871" s="31">
        <v>0</v>
      </c>
      <c r="J871" s="31">
        <v>0</v>
      </c>
      <c r="K871" s="17">
        <v>0</v>
      </c>
      <c r="L871" s="17">
        <v>0</v>
      </c>
      <c r="M871" s="17">
        <v>0</v>
      </c>
      <c r="N871" s="17">
        <v>0</v>
      </c>
      <c r="O871" s="17">
        <v>0</v>
      </c>
      <c r="P871" s="17">
        <v>0</v>
      </c>
      <c r="Q871" s="17">
        <v>0</v>
      </c>
      <c r="R871" s="17">
        <v>0</v>
      </c>
      <c r="S871" s="17">
        <v>0</v>
      </c>
      <c r="T871" s="17">
        <v>0</v>
      </c>
      <c r="U871" s="17">
        <v>0</v>
      </c>
      <c r="V871" s="17">
        <v>0</v>
      </c>
      <c r="W871" s="17">
        <v>0</v>
      </c>
      <c r="X871" s="17">
        <v>0</v>
      </c>
      <c r="Y871" s="17">
        <v>0</v>
      </c>
      <c r="Z871" s="17">
        <v>0</v>
      </c>
      <c r="AA871" s="17">
        <v>0</v>
      </c>
      <c r="AB871" s="17">
        <v>0</v>
      </c>
      <c r="AC871" s="17">
        <v>0</v>
      </c>
      <c r="AD871" s="17">
        <v>0</v>
      </c>
      <c r="AE871" s="17">
        <v>0</v>
      </c>
      <c r="AF871" s="17">
        <v>0</v>
      </c>
      <c r="AG871" s="17">
        <v>0</v>
      </c>
      <c r="AH871" s="17">
        <v>0</v>
      </c>
      <c r="AI871" s="17">
        <v>0</v>
      </c>
      <c r="AJ871" s="17">
        <v>0</v>
      </c>
      <c r="AK871" s="17">
        <v>0</v>
      </c>
      <c r="AL871" s="17">
        <v>0</v>
      </c>
      <c r="AM871" s="17">
        <v>0</v>
      </c>
      <c r="AN871" s="17">
        <v>0</v>
      </c>
      <c r="AO871" s="17">
        <v>0</v>
      </c>
      <c r="AP871" s="17">
        <v>0</v>
      </c>
      <c r="AQ871" s="17">
        <v>0</v>
      </c>
      <c r="AR871" s="17">
        <v>0</v>
      </c>
      <c r="AS871" s="17">
        <v>0</v>
      </c>
      <c r="AT871" s="17">
        <v>0</v>
      </c>
      <c r="AU871" s="17">
        <v>0</v>
      </c>
      <c r="AV871" s="17">
        <v>0</v>
      </c>
      <c r="AW871" s="17">
        <v>0</v>
      </c>
      <c r="AX871" s="17">
        <v>0</v>
      </c>
      <c r="AY871" s="17">
        <v>0</v>
      </c>
      <c r="AZ871" s="17">
        <v>0</v>
      </c>
      <c r="BA871" s="17">
        <v>0</v>
      </c>
      <c r="BB871" s="17">
        <v>0</v>
      </c>
      <c r="BC871" s="17">
        <v>0</v>
      </c>
      <c r="BD871" s="17">
        <v>0</v>
      </c>
      <c r="BE871" s="17">
        <v>0</v>
      </c>
      <c r="BF871" s="17">
        <v>0</v>
      </c>
      <c r="BG871" s="17">
        <v>0</v>
      </c>
      <c r="BH871" s="17">
        <v>0</v>
      </c>
      <c r="BI871" s="22">
        <f t="shared" si="270"/>
        <v>0</v>
      </c>
      <c r="BJ871" s="22">
        <f t="shared" si="271"/>
        <v>0</v>
      </c>
      <c r="BK871" s="22">
        <f t="shared" si="272"/>
        <v>0</v>
      </c>
      <c r="BL871" s="22">
        <f t="shared" si="273"/>
        <v>0</v>
      </c>
      <c r="BM871" s="22">
        <f t="shared" si="269"/>
        <v>0</v>
      </c>
      <c r="BN871" s="23" t="e">
        <f t="shared" si="268"/>
        <v>#DIV/0!</v>
      </c>
      <c r="BO871" s="23" t="e">
        <f t="shared" si="268"/>
        <v>#DIV/0!</v>
      </c>
      <c r="BP871" s="7" t="e">
        <f>VLOOKUP(A871,[1]Sheet15!B:E,4,0)</f>
        <v>#N/A</v>
      </c>
      <c r="BQ871" s="7" t="e">
        <f>VLOOKUP(A871,[1]Sheet15!B:E,3,0)</f>
        <v>#N/A</v>
      </c>
    </row>
    <row r="872" spans="1:69" ht="22.5" customHeight="1" x14ac:dyDescent="0.25">
      <c r="A872" s="38" t="s">
        <v>2073</v>
      </c>
      <c r="B872" s="15">
        <f>VLOOKUP(A872,'[1]Master clients'!F851:W4398,17,0)</f>
        <v>0</v>
      </c>
      <c r="C872" s="15" t="str">
        <f>VLOOKUP(A872,'[1]Master clients'!F851:P4398,11,0)</f>
        <v>-</v>
      </c>
      <c r="D872" s="15" t="str">
        <f>VLOOKUP(A872,'[1]Master clients'!F:M,8,0)</f>
        <v>End User</v>
      </c>
      <c r="E872" s="40" t="s">
        <v>2074</v>
      </c>
      <c r="F872" s="41" t="s">
        <v>2072</v>
      </c>
      <c r="G872" s="20">
        <v>0</v>
      </c>
      <c r="H872" s="20">
        <v>0</v>
      </c>
      <c r="I872" s="26">
        <v>0</v>
      </c>
      <c r="J872" s="26">
        <v>0</v>
      </c>
      <c r="K872" s="20">
        <v>3</v>
      </c>
      <c r="L872" s="20">
        <v>4</v>
      </c>
      <c r="M872" s="20">
        <v>0</v>
      </c>
      <c r="N872" s="20">
        <v>0</v>
      </c>
      <c r="O872" s="20">
        <v>0</v>
      </c>
      <c r="P872" s="20">
        <v>0</v>
      </c>
      <c r="Q872" s="20">
        <v>0</v>
      </c>
      <c r="R872" s="20">
        <v>0</v>
      </c>
      <c r="S872" s="20">
        <v>0</v>
      </c>
      <c r="T872" s="20">
        <v>0</v>
      </c>
      <c r="U872" s="20">
        <v>0</v>
      </c>
      <c r="V872" s="20">
        <v>0</v>
      </c>
      <c r="W872" s="20">
        <v>0</v>
      </c>
      <c r="X872" s="20">
        <v>0</v>
      </c>
      <c r="Y872" s="20">
        <v>0</v>
      </c>
      <c r="Z872" s="20">
        <v>0</v>
      </c>
      <c r="AA872" s="20">
        <v>0</v>
      </c>
      <c r="AB872" s="20">
        <v>10</v>
      </c>
      <c r="AC872" s="20">
        <v>0</v>
      </c>
      <c r="AD872" s="20">
        <v>0</v>
      </c>
      <c r="AE872" s="20">
        <v>0</v>
      </c>
      <c r="AF872" s="20">
        <v>0</v>
      </c>
      <c r="AG872" s="20">
        <v>0</v>
      </c>
      <c r="AH872" s="20">
        <v>0</v>
      </c>
      <c r="AI872" s="20">
        <v>0</v>
      </c>
      <c r="AJ872" s="20">
        <v>0</v>
      </c>
      <c r="AK872" s="20">
        <v>4</v>
      </c>
      <c r="AL872" s="20">
        <v>0</v>
      </c>
      <c r="AM872" s="20">
        <v>0</v>
      </c>
      <c r="AN872" s="20">
        <v>0</v>
      </c>
      <c r="AO872" s="20">
        <v>0</v>
      </c>
      <c r="AP872" s="20">
        <v>0</v>
      </c>
      <c r="AQ872" s="20">
        <v>0</v>
      </c>
      <c r="AR872" s="20">
        <v>0</v>
      </c>
      <c r="AS872" s="20">
        <v>0</v>
      </c>
      <c r="AT872" s="20">
        <v>0</v>
      </c>
      <c r="AU872" s="20">
        <v>0</v>
      </c>
      <c r="AV872" s="20">
        <v>0</v>
      </c>
      <c r="AW872" s="20">
        <v>0</v>
      </c>
      <c r="AX872" s="20">
        <v>0</v>
      </c>
      <c r="AY872" s="20">
        <v>0</v>
      </c>
      <c r="AZ872" s="20">
        <v>0</v>
      </c>
      <c r="BA872" s="20">
        <v>0</v>
      </c>
      <c r="BB872" s="27">
        <v>0</v>
      </c>
      <c r="BC872" s="20">
        <v>0</v>
      </c>
      <c r="BD872" s="20">
        <v>0</v>
      </c>
      <c r="BE872" s="21">
        <v>0</v>
      </c>
      <c r="BF872" s="21">
        <v>0</v>
      </c>
      <c r="BG872" s="20">
        <v>0</v>
      </c>
      <c r="BH872" s="20">
        <v>0</v>
      </c>
      <c r="BI872" s="22">
        <f t="shared" si="270"/>
        <v>21</v>
      </c>
      <c r="BJ872" s="22">
        <f t="shared" si="271"/>
        <v>0</v>
      </c>
      <c r="BK872" s="28">
        <f t="shared" si="272"/>
        <v>21</v>
      </c>
      <c r="BL872" s="22">
        <f t="shared" si="273"/>
        <v>21</v>
      </c>
      <c r="BM872" s="22">
        <f t="shared" si="269"/>
        <v>0</v>
      </c>
      <c r="BN872" s="23">
        <f t="shared" si="268"/>
        <v>0</v>
      </c>
      <c r="BO872" s="23" t="e">
        <f t="shared" si="268"/>
        <v>#DIV/0!</v>
      </c>
      <c r="BP872" s="7" t="e">
        <f>VLOOKUP(A872,[1]Sheet15!B:E,4,0)</f>
        <v>#N/A</v>
      </c>
      <c r="BQ872" s="7" t="e">
        <f>VLOOKUP(A872,[1]Sheet15!B:E,3,0)</f>
        <v>#N/A</v>
      </c>
    </row>
    <row r="873" spans="1:69" ht="22.5" customHeight="1" x14ac:dyDescent="0.25">
      <c r="A873" s="38" t="s">
        <v>2075</v>
      </c>
      <c r="B873" s="15" t="e">
        <f>VLOOKUP(A873,'[1]Master clients'!F852:W4399,17,0)</f>
        <v>#N/A</v>
      </c>
      <c r="C873" s="15" t="e">
        <f>VLOOKUP(A873,'[1]Master clients'!F852:P4399,11,0)</f>
        <v>#N/A</v>
      </c>
      <c r="D873" s="15" t="str">
        <f>VLOOKUP(A873,'[1]Master clients'!F:M,8,0)</f>
        <v>End User</v>
      </c>
      <c r="E873" s="40" t="s">
        <v>2076</v>
      </c>
      <c r="F873" s="41" t="s">
        <v>2072</v>
      </c>
      <c r="G873" s="20">
        <v>19</v>
      </c>
      <c r="H873" s="20">
        <v>0</v>
      </c>
      <c r="I873" s="26">
        <v>19</v>
      </c>
      <c r="J873" s="26">
        <v>0</v>
      </c>
      <c r="K873" s="20">
        <v>0</v>
      </c>
      <c r="L873" s="20">
        <v>0</v>
      </c>
      <c r="M873" s="20">
        <v>0</v>
      </c>
      <c r="N873" s="20">
        <v>7</v>
      </c>
      <c r="O873" s="20">
        <v>0</v>
      </c>
      <c r="P873" s="20">
        <v>0</v>
      </c>
      <c r="Q873" s="20">
        <v>0</v>
      </c>
      <c r="R873" s="20">
        <v>0</v>
      </c>
      <c r="S873" s="20">
        <v>0</v>
      </c>
      <c r="T873" s="20">
        <v>0</v>
      </c>
      <c r="U873" s="20">
        <v>0</v>
      </c>
      <c r="V873" s="20">
        <v>0</v>
      </c>
      <c r="W873" s="20">
        <v>0</v>
      </c>
      <c r="X873" s="20">
        <v>0</v>
      </c>
      <c r="Y873" s="20">
        <v>0</v>
      </c>
      <c r="Z873" s="20">
        <v>0</v>
      </c>
      <c r="AA873" s="20">
        <v>0</v>
      </c>
      <c r="AB873" s="20">
        <v>0</v>
      </c>
      <c r="AC873" s="20">
        <v>0</v>
      </c>
      <c r="AD873" s="20">
        <v>0</v>
      </c>
      <c r="AE873" s="20">
        <v>0</v>
      </c>
      <c r="AF873" s="20">
        <v>0</v>
      </c>
      <c r="AG873" s="20">
        <v>0</v>
      </c>
      <c r="AH873" s="20">
        <v>0</v>
      </c>
      <c r="AI873" s="20">
        <v>0</v>
      </c>
      <c r="AJ873" s="20">
        <v>0</v>
      </c>
      <c r="AK873" s="20">
        <v>0</v>
      </c>
      <c r="AL873" s="20">
        <v>0</v>
      </c>
      <c r="AM873" s="20">
        <v>0</v>
      </c>
      <c r="AN873" s="20">
        <v>0</v>
      </c>
      <c r="AO873" s="20">
        <v>0</v>
      </c>
      <c r="AP873" s="20">
        <v>0</v>
      </c>
      <c r="AQ873" s="20">
        <v>0</v>
      </c>
      <c r="AR873" s="20">
        <v>0</v>
      </c>
      <c r="AS873" s="20">
        <v>0</v>
      </c>
      <c r="AT873" s="20">
        <v>0</v>
      </c>
      <c r="AU873" s="20">
        <v>0</v>
      </c>
      <c r="AV873" s="20">
        <v>0</v>
      </c>
      <c r="AW873" s="20">
        <v>0</v>
      </c>
      <c r="AX873" s="20">
        <v>0</v>
      </c>
      <c r="AY873" s="20">
        <v>0</v>
      </c>
      <c r="AZ873" s="20">
        <v>0</v>
      </c>
      <c r="BA873" s="20">
        <v>0</v>
      </c>
      <c r="BB873" s="27">
        <v>0</v>
      </c>
      <c r="BC873" s="20">
        <v>0</v>
      </c>
      <c r="BD873" s="20">
        <v>0</v>
      </c>
      <c r="BE873" s="21">
        <v>0</v>
      </c>
      <c r="BF873" s="21">
        <v>0</v>
      </c>
      <c r="BG873" s="20">
        <v>0</v>
      </c>
      <c r="BH873" s="20">
        <v>0</v>
      </c>
      <c r="BI873" s="22">
        <f t="shared" si="270"/>
        <v>0</v>
      </c>
      <c r="BJ873" s="22">
        <f t="shared" si="271"/>
        <v>7</v>
      </c>
      <c r="BK873" s="28">
        <f t="shared" si="272"/>
        <v>26</v>
      </c>
      <c r="BL873" s="22">
        <f t="shared" si="273"/>
        <v>19</v>
      </c>
      <c r="BM873" s="22">
        <f t="shared" si="269"/>
        <v>7</v>
      </c>
      <c r="BN873" s="23">
        <f t="shared" si="268"/>
        <v>1</v>
      </c>
      <c r="BO873" s="23">
        <f t="shared" si="268"/>
        <v>0</v>
      </c>
      <c r="BP873" s="7">
        <f>VLOOKUP(A873,[1]Sheet15!B:E,4,0)</f>
        <v>17</v>
      </c>
      <c r="BQ873" s="7">
        <f>VLOOKUP(A873,[1]Sheet15!B:E,3,0)</f>
        <v>0</v>
      </c>
    </row>
    <row r="874" spans="1:69" ht="22.5" customHeight="1" x14ac:dyDescent="0.25">
      <c r="A874" s="38" t="s">
        <v>2077</v>
      </c>
      <c r="B874" s="15" t="e">
        <f>VLOOKUP(A874,'[1]Master clients'!F853:W4400,17,0)</f>
        <v>#N/A</v>
      </c>
      <c r="C874" s="15" t="e">
        <f>VLOOKUP(A874,'[1]Master clients'!F853:P4400,11,0)</f>
        <v>#N/A</v>
      </c>
      <c r="D874" s="15" t="str">
        <f>VLOOKUP(A874,'[1]Master clients'!F:M,8,0)</f>
        <v>End User</v>
      </c>
      <c r="E874" s="40" t="s">
        <v>2078</v>
      </c>
      <c r="F874" s="41" t="s">
        <v>2072</v>
      </c>
      <c r="G874" s="20">
        <v>0</v>
      </c>
      <c r="H874" s="20">
        <v>0</v>
      </c>
      <c r="I874" s="26">
        <v>21</v>
      </c>
      <c r="J874" s="26">
        <v>4</v>
      </c>
      <c r="K874" s="20">
        <v>0</v>
      </c>
      <c r="L874" s="20">
        <v>0</v>
      </c>
      <c r="M874" s="20">
        <v>0</v>
      </c>
      <c r="N874" s="20">
        <v>10</v>
      </c>
      <c r="O874" s="20">
        <v>0</v>
      </c>
      <c r="P874" s="20">
        <v>0</v>
      </c>
      <c r="Q874" s="20">
        <v>0</v>
      </c>
      <c r="R874" s="20">
        <v>0</v>
      </c>
      <c r="S874" s="20">
        <v>0</v>
      </c>
      <c r="T874" s="20">
        <v>0</v>
      </c>
      <c r="U874" s="20">
        <v>0</v>
      </c>
      <c r="V874" s="20">
        <v>0</v>
      </c>
      <c r="W874" s="20">
        <v>0</v>
      </c>
      <c r="X874" s="20">
        <v>0</v>
      </c>
      <c r="Y874" s="20">
        <v>0</v>
      </c>
      <c r="Z874" s="20">
        <v>0</v>
      </c>
      <c r="AA874" s="20">
        <v>0</v>
      </c>
      <c r="AB874" s="20">
        <v>0</v>
      </c>
      <c r="AC874" s="20">
        <v>0</v>
      </c>
      <c r="AD874" s="20">
        <v>0</v>
      </c>
      <c r="AE874" s="20">
        <v>0</v>
      </c>
      <c r="AF874" s="20">
        <v>0</v>
      </c>
      <c r="AG874" s="20">
        <v>0</v>
      </c>
      <c r="AH874" s="20">
        <v>0</v>
      </c>
      <c r="AI874" s="20">
        <v>0</v>
      </c>
      <c r="AJ874" s="20">
        <v>0</v>
      </c>
      <c r="AK874" s="20">
        <v>0</v>
      </c>
      <c r="AL874" s="20">
        <v>0</v>
      </c>
      <c r="AM874" s="20">
        <v>0</v>
      </c>
      <c r="AN874" s="20">
        <v>0</v>
      </c>
      <c r="AO874" s="20">
        <v>0</v>
      </c>
      <c r="AP874" s="20">
        <v>0</v>
      </c>
      <c r="AQ874" s="20">
        <v>0</v>
      </c>
      <c r="AR874" s="20">
        <v>0</v>
      </c>
      <c r="AS874" s="20">
        <v>0</v>
      </c>
      <c r="AT874" s="20">
        <v>0</v>
      </c>
      <c r="AU874" s="20">
        <v>0</v>
      </c>
      <c r="AV874" s="20">
        <v>0</v>
      </c>
      <c r="AW874" s="20">
        <v>0</v>
      </c>
      <c r="AX874" s="20">
        <v>1</v>
      </c>
      <c r="AY874" s="20">
        <v>0</v>
      </c>
      <c r="AZ874" s="20">
        <v>0</v>
      </c>
      <c r="BA874" s="20">
        <v>0</v>
      </c>
      <c r="BB874" s="27">
        <v>0</v>
      </c>
      <c r="BC874" s="20">
        <v>0</v>
      </c>
      <c r="BD874" s="20">
        <v>0</v>
      </c>
      <c r="BE874" s="21">
        <v>0</v>
      </c>
      <c r="BF874" s="21">
        <v>0</v>
      </c>
      <c r="BG874" s="20">
        <v>0</v>
      </c>
      <c r="BH874" s="20">
        <v>0</v>
      </c>
      <c r="BI874" s="22">
        <f t="shared" si="270"/>
        <v>0</v>
      </c>
      <c r="BJ874" s="22">
        <f t="shared" si="271"/>
        <v>11</v>
      </c>
      <c r="BK874" s="28">
        <f t="shared" si="272"/>
        <v>36</v>
      </c>
      <c r="BL874" s="22">
        <f t="shared" si="273"/>
        <v>21</v>
      </c>
      <c r="BM874" s="22">
        <f t="shared" si="269"/>
        <v>15</v>
      </c>
      <c r="BN874" s="23">
        <f t="shared" si="268"/>
        <v>1</v>
      </c>
      <c r="BO874" s="23">
        <f t="shared" si="268"/>
        <v>0.26666666666666666</v>
      </c>
      <c r="BP874" s="7">
        <f>VLOOKUP(A874,[1]Sheet15!B:E,4,0)</f>
        <v>38</v>
      </c>
      <c r="BQ874" s="7">
        <f>VLOOKUP(A874,[1]Sheet15!B:E,3,0)</f>
        <v>1</v>
      </c>
    </row>
    <row r="875" spans="1:69" ht="22.5" customHeight="1" x14ac:dyDescent="0.25">
      <c r="A875" s="38" t="s">
        <v>2079</v>
      </c>
      <c r="B875" s="15" t="e">
        <f>VLOOKUP(A875,'[1]Master clients'!F854:W4401,17,0)</f>
        <v>#N/A</v>
      </c>
      <c r="C875" s="15" t="e">
        <f>VLOOKUP(A875,'[1]Master clients'!F854:P4401,11,0)</f>
        <v>#N/A</v>
      </c>
      <c r="D875" s="15" t="str">
        <f>VLOOKUP(A875,'[1]Master clients'!F:M,8,0)</f>
        <v>End User</v>
      </c>
      <c r="E875" s="39" t="s">
        <v>2080</v>
      </c>
      <c r="F875" s="39" t="s">
        <v>2072</v>
      </c>
      <c r="G875" s="17"/>
      <c r="H875" s="17"/>
      <c r="I875" s="26">
        <v>3</v>
      </c>
      <c r="J875" s="31">
        <v>0</v>
      </c>
      <c r="K875" s="17">
        <v>0</v>
      </c>
      <c r="L875" s="17">
        <v>0</v>
      </c>
      <c r="M875" s="17">
        <v>0</v>
      </c>
      <c r="N875" s="17">
        <v>0</v>
      </c>
      <c r="O875" s="17">
        <v>0</v>
      </c>
      <c r="P875" s="17">
        <v>0</v>
      </c>
      <c r="Q875" s="17">
        <v>0</v>
      </c>
      <c r="R875" s="17">
        <v>0</v>
      </c>
      <c r="S875" s="17">
        <v>0</v>
      </c>
      <c r="T875" s="17">
        <v>0</v>
      </c>
      <c r="U875" s="17">
        <v>0</v>
      </c>
      <c r="V875" s="17">
        <v>0</v>
      </c>
      <c r="W875" s="17">
        <v>0</v>
      </c>
      <c r="X875" s="17">
        <v>0</v>
      </c>
      <c r="Y875" s="17">
        <v>0</v>
      </c>
      <c r="Z875" s="17">
        <v>0</v>
      </c>
      <c r="AA875" s="17">
        <v>0</v>
      </c>
      <c r="AB875" s="17">
        <v>0</v>
      </c>
      <c r="AC875" s="17">
        <v>0</v>
      </c>
      <c r="AD875" s="17">
        <v>0</v>
      </c>
      <c r="AE875" s="17">
        <v>0</v>
      </c>
      <c r="AF875" s="17">
        <v>0</v>
      </c>
      <c r="AG875" s="17">
        <v>0</v>
      </c>
      <c r="AH875" s="17">
        <v>0</v>
      </c>
      <c r="AI875" s="17">
        <v>0</v>
      </c>
      <c r="AJ875" s="17">
        <v>0</v>
      </c>
      <c r="AK875" s="17">
        <v>0</v>
      </c>
      <c r="AL875" s="17">
        <v>0</v>
      </c>
      <c r="AM875" s="17">
        <v>0</v>
      </c>
      <c r="AN875" s="17">
        <v>0</v>
      </c>
      <c r="AO875" s="17">
        <v>0</v>
      </c>
      <c r="AP875" s="17">
        <v>0</v>
      </c>
      <c r="AQ875" s="17">
        <v>0</v>
      </c>
      <c r="AR875" s="17">
        <v>0</v>
      </c>
      <c r="AS875" s="17">
        <v>0</v>
      </c>
      <c r="AT875" s="17">
        <v>0</v>
      </c>
      <c r="AU875" s="17">
        <v>0</v>
      </c>
      <c r="AV875" s="17">
        <v>0</v>
      </c>
      <c r="AW875" s="17">
        <v>0</v>
      </c>
      <c r="AX875" s="17">
        <v>0</v>
      </c>
      <c r="AY875" s="17">
        <v>0</v>
      </c>
      <c r="AZ875" s="17">
        <v>0</v>
      </c>
      <c r="BA875" s="17">
        <v>0</v>
      </c>
      <c r="BB875" s="17">
        <v>0</v>
      </c>
      <c r="BC875" s="17">
        <v>0</v>
      </c>
      <c r="BD875" s="17">
        <v>0</v>
      </c>
      <c r="BE875" s="17">
        <v>0</v>
      </c>
      <c r="BF875" s="17">
        <v>0</v>
      </c>
      <c r="BG875" s="17">
        <v>0</v>
      </c>
      <c r="BH875" s="17">
        <v>0</v>
      </c>
      <c r="BI875" s="22">
        <f t="shared" si="270"/>
        <v>0</v>
      </c>
      <c r="BJ875" s="22">
        <f t="shared" si="271"/>
        <v>0</v>
      </c>
      <c r="BK875" s="22">
        <f t="shared" si="272"/>
        <v>3</v>
      </c>
      <c r="BL875" s="22">
        <f t="shared" si="273"/>
        <v>3</v>
      </c>
      <c r="BM875" s="22">
        <f t="shared" si="269"/>
        <v>0</v>
      </c>
      <c r="BN875" s="23">
        <f t="shared" si="268"/>
        <v>1</v>
      </c>
      <c r="BO875" s="23" t="e">
        <f t="shared" si="268"/>
        <v>#DIV/0!</v>
      </c>
      <c r="BP875" s="7">
        <f>VLOOKUP(A875,[1]Sheet15!B:E,4,0)</f>
        <v>3</v>
      </c>
      <c r="BQ875" s="7">
        <f>VLOOKUP(A875,[1]Sheet15!B:E,3,0)</f>
        <v>0</v>
      </c>
    </row>
    <row r="876" spans="1:69" ht="22.5" customHeight="1" x14ac:dyDescent="0.25">
      <c r="A876" s="38" t="s">
        <v>2081</v>
      </c>
      <c r="B876" s="15">
        <f>VLOOKUP(A876,'[1]Master clients'!F855:W4402,17,0)</f>
        <v>0</v>
      </c>
      <c r="C876" s="15" t="str">
        <f>VLOOKUP(A876,'[1]Master clients'!F855:P4402,11,0)</f>
        <v>-</v>
      </c>
      <c r="D876" s="15" t="str">
        <f>VLOOKUP(A876,'[1]Master clients'!F:M,8,0)</f>
        <v>End User</v>
      </c>
      <c r="E876" s="40" t="s">
        <v>2082</v>
      </c>
      <c r="F876" s="41" t="s">
        <v>2072</v>
      </c>
      <c r="G876" s="20">
        <v>0</v>
      </c>
      <c r="H876" s="20">
        <v>0</v>
      </c>
      <c r="I876" s="26">
        <v>6</v>
      </c>
      <c r="J876" s="26">
        <v>0</v>
      </c>
      <c r="K876" s="20">
        <v>0</v>
      </c>
      <c r="L876" s="20">
        <v>0</v>
      </c>
      <c r="M876" s="20">
        <v>0</v>
      </c>
      <c r="N876" s="20">
        <v>10</v>
      </c>
      <c r="O876" s="20">
        <v>0</v>
      </c>
      <c r="P876" s="20">
        <v>0</v>
      </c>
      <c r="Q876" s="20">
        <v>0</v>
      </c>
      <c r="R876" s="20">
        <v>0</v>
      </c>
      <c r="S876" s="20">
        <v>0</v>
      </c>
      <c r="T876" s="20">
        <v>6</v>
      </c>
      <c r="U876" s="20">
        <v>0</v>
      </c>
      <c r="V876" s="20">
        <v>0</v>
      </c>
      <c r="W876" s="20">
        <v>0</v>
      </c>
      <c r="X876" s="20">
        <v>0</v>
      </c>
      <c r="Y876" s="20">
        <v>0</v>
      </c>
      <c r="Z876" s="20">
        <v>0</v>
      </c>
      <c r="AA876" s="20">
        <v>0</v>
      </c>
      <c r="AB876" s="20">
        <v>0</v>
      </c>
      <c r="AC876" s="20">
        <v>0</v>
      </c>
      <c r="AD876" s="20">
        <v>0</v>
      </c>
      <c r="AE876" s="20">
        <v>0</v>
      </c>
      <c r="AF876" s="20">
        <v>0</v>
      </c>
      <c r="AG876" s="20">
        <v>0</v>
      </c>
      <c r="AH876" s="20">
        <v>0</v>
      </c>
      <c r="AI876" s="20">
        <v>0</v>
      </c>
      <c r="AJ876" s="20">
        <v>0</v>
      </c>
      <c r="AK876" s="20">
        <v>0</v>
      </c>
      <c r="AL876" s="20">
        <v>0</v>
      </c>
      <c r="AM876" s="20">
        <v>0</v>
      </c>
      <c r="AN876" s="20">
        <v>0</v>
      </c>
      <c r="AO876" s="20">
        <v>0</v>
      </c>
      <c r="AP876" s="20">
        <v>0</v>
      </c>
      <c r="AQ876" s="20">
        <v>0</v>
      </c>
      <c r="AR876" s="20">
        <v>0</v>
      </c>
      <c r="AS876" s="20">
        <v>0</v>
      </c>
      <c r="AT876" s="20">
        <v>0</v>
      </c>
      <c r="AU876" s="20">
        <v>0</v>
      </c>
      <c r="AV876" s="20">
        <v>0</v>
      </c>
      <c r="AW876" s="20">
        <v>0</v>
      </c>
      <c r="AX876" s="20">
        <v>0</v>
      </c>
      <c r="AY876" s="20">
        <v>0</v>
      </c>
      <c r="AZ876" s="20">
        <v>0</v>
      </c>
      <c r="BA876" s="20">
        <v>0</v>
      </c>
      <c r="BB876" s="27">
        <v>0</v>
      </c>
      <c r="BC876" s="20">
        <v>0</v>
      </c>
      <c r="BD876" s="20">
        <v>0</v>
      </c>
      <c r="BE876" s="21">
        <v>0</v>
      </c>
      <c r="BF876" s="21">
        <v>0</v>
      </c>
      <c r="BG876" s="20">
        <v>0</v>
      </c>
      <c r="BH876" s="20">
        <v>0</v>
      </c>
      <c r="BI876" s="22">
        <f t="shared" si="270"/>
        <v>6</v>
      </c>
      <c r="BJ876" s="22">
        <f t="shared" si="271"/>
        <v>10</v>
      </c>
      <c r="BK876" s="28">
        <f t="shared" si="272"/>
        <v>22</v>
      </c>
      <c r="BL876" s="22">
        <f t="shared" si="273"/>
        <v>12</v>
      </c>
      <c r="BM876" s="22">
        <f t="shared" si="269"/>
        <v>10</v>
      </c>
      <c r="BN876" s="23">
        <f t="shared" si="268"/>
        <v>0.5</v>
      </c>
      <c r="BO876" s="23">
        <f t="shared" si="268"/>
        <v>0</v>
      </c>
      <c r="BP876" s="7" t="e">
        <f>VLOOKUP(A876,[1]Sheet15!B:E,4,0)</f>
        <v>#N/A</v>
      </c>
      <c r="BQ876" s="7" t="e">
        <f>VLOOKUP(A876,[1]Sheet15!B:E,3,0)</f>
        <v>#N/A</v>
      </c>
    </row>
    <row r="877" spans="1:69" ht="22.5" customHeight="1" x14ac:dyDescent="0.25">
      <c r="A877" s="38" t="s">
        <v>2083</v>
      </c>
      <c r="B877" s="15">
        <f>VLOOKUP(A877,'[1]Master clients'!F856:W4403,17,0)</f>
        <v>0</v>
      </c>
      <c r="C877" s="15" t="str">
        <f>VLOOKUP(A877,'[1]Master clients'!F856:P4403,11,0)</f>
        <v>WI-SV</v>
      </c>
      <c r="D877" s="15" t="str">
        <f>VLOOKUP(A877,'[1]Master clients'!F:M,8,0)</f>
        <v>End User</v>
      </c>
      <c r="E877" s="39" t="s">
        <v>2084</v>
      </c>
      <c r="F877" s="39" t="s">
        <v>2085</v>
      </c>
      <c r="G877" s="17"/>
      <c r="H877" s="17"/>
      <c r="I877" s="26">
        <v>2</v>
      </c>
      <c r="J877" s="31">
        <v>0</v>
      </c>
      <c r="K877" s="17">
        <v>0</v>
      </c>
      <c r="L877" s="17">
        <v>0</v>
      </c>
      <c r="M877" s="17">
        <v>0</v>
      </c>
      <c r="N877" s="17">
        <v>0</v>
      </c>
      <c r="O877" s="17">
        <v>0</v>
      </c>
      <c r="P877" s="17">
        <v>0</v>
      </c>
      <c r="Q877" s="17">
        <v>0</v>
      </c>
      <c r="R877" s="17">
        <v>0</v>
      </c>
      <c r="S877" s="17">
        <v>0</v>
      </c>
      <c r="T877" s="17">
        <v>0</v>
      </c>
      <c r="U877" s="17">
        <v>0</v>
      </c>
      <c r="V877" s="17">
        <v>0</v>
      </c>
      <c r="W877" s="17">
        <v>0</v>
      </c>
      <c r="X877" s="17">
        <v>0</v>
      </c>
      <c r="Y877" s="17">
        <v>0</v>
      </c>
      <c r="Z877" s="17">
        <v>0</v>
      </c>
      <c r="AA877" s="17">
        <v>0</v>
      </c>
      <c r="AB877" s="17">
        <v>0</v>
      </c>
      <c r="AC877" s="17">
        <v>0</v>
      </c>
      <c r="AD877" s="17">
        <v>0</v>
      </c>
      <c r="AE877" s="17">
        <v>0</v>
      </c>
      <c r="AF877" s="17">
        <v>0</v>
      </c>
      <c r="AG877" s="17">
        <v>0</v>
      </c>
      <c r="AH877" s="17">
        <v>0</v>
      </c>
      <c r="AI877" s="17">
        <v>0</v>
      </c>
      <c r="AJ877" s="17">
        <v>0</v>
      </c>
      <c r="AK877" s="17">
        <v>0</v>
      </c>
      <c r="AL877" s="17">
        <v>0</v>
      </c>
      <c r="AM877" s="17">
        <v>0</v>
      </c>
      <c r="AN877" s="17">
        <v>0</v>
      </c>
      <c r="AO877" s="17">
        <v>0</v>
      </c>
      <c r="AP877" s="17">
        <v>0</v>
      </c>
      <c r="AQ877" s="17">
        <v>0</v>
      </c>
      <c r="AR877" s="17">
        <v>0</v>
      </c>
      <c r="AS877" s="17">
        <v>0</v>
      </c>
      <c r="AT877" s="17">
        <v>0</v>
      </c>
      <c r="AU877" s="17">
        <v>0</v>
      </c>
      <c r="AV877" s="17">
        <v>0</v>
      </c>
      <c r="AW877" s="17">
        <v>0</v>
      </c>
      <c r="AX877" s="17">
        <v>0</v>
      </c>
      <c r="AY877" s="17">
        <v>0</v>
      </c>
      <c r="AZ877" s="17">
        <v>0</v>
      </c>
      <c r="BA877" s="17">
        <v>0</v>
      </c>
      <c r="BB877" s="17">
        <v>0</v>
      </c>
      <c r="BC877" s="17">
        <v>0</v>
      </c>
      <c r="BD877" s="17">
        <v>0</v>
      </c>
      <c r="BE877" s="17">
        <v>0</v>
      </c>
      <c r="BF877" s="17">
        <v>0</v>
      </c>
      <c r="BG877" s="17">
        <v>0</v>
      </c>
      <c r="BH877" s="17">
        <v>0</v>
      </c>
      <c r="BI877" s="22">
        <f t="shared" si="270"/>
        <v>0</v>
      </c>
      <c r="BJ877" s="22">
        <f t="shared" si="271"/>
        <v>0</v>
      </c>
      <c r="BK877" s="28">
        <f t="shared" si="272"/>
        <v>2</v>
      </c>
      <c r="BL877" s="22">
        <f t="shared" si="273"/>
        <v>2</v>
      </c>
      <c r="BM877" s="22">
        <f t="shared" si="269"/>
        <v>0</v>
      </c>
      <c r="BN877" s="23">
        <f t="shared" si="268"/>
        <v>1</v>
      </c>
      <c r="BO877" s="23" t="e">
        <f t="shared" si="268"/>
        <v>#DIV/0!</v>
      </c>
      <c r="BP877" s="7">
        <f>VLOOKUP(A877,[1]Sheet15!B:E,4,0)</f>
        <v>2</v>
      </c>
      <c r="BQ877" s="7">
        <f>VLOOKUP(A877,[1]Sheet15!B:E,3,0)</f>
        <v>0</v>
      </c>
    </row>
    <row r="878" spans="1:69" ht="22.5" customHeight="1" x14ac:dyDescent="0.25">
      <c r="A878" s="38" t="s">
        <v>2086</v>
      </c>
      <c r="B878" s="15">
        <f>VLOOKUP(A878,'[1]Master clients'!F857:W4404,17,0)</f>
        <v>0</v>
      </c>
      <c r="C878" s="15" t="str">
        <f>VLOOKUP(A878,'[1]Master clients'!F857:P4404,11,0)</f>
        <v>VA</v>
      </c>
      <c r="D878" s="15">
        <f>VLOOKUP(A878,'[1]Master clients'!F:M,8,0)</f>
        <v>0</v>
      </c>
      <c r="E878" s="39" t="s">
        <v>2087</v>
      </c>
      <c r="F878" s="39" t="s">
        <v>2004</v>
      </c>
      <c r="G878" s="17"/>
      <c r="H878" s="17"/>
      <c r="I878" s="31">
        <v>0</v>
      </c>
      <c r="J878" s="31">
        <v>0</v>
      </c>
      <c r="K878" s="17">
        <v>12</v>
      </c>
      <c r="L878" s="17">
        <v>0</v>
      </c>
      <c r="M878" s="17">
        <v>0</v>
      </c>
      <c r="N878" s="17">
        <v>8</v>
      </c>
      <c r="O878" s="17">
        <v>0</v>
      </c>
      <c r="P878" s="17">
        <v>0</v>
      </c>
      <c r="Q878" s="17">
        <v>0</v>
      </c>
      <c r="R878" s="17">
        <v>0</v>
      </c>
      <c r="S878" s="17">
        <v>0</v>
      </c>
      <c r="T878" s="17">
        <v>0</v>
      </c>
      <c r="U878" s="17">
        <v>0</v>
      </c>
      <c r="V878" s="17">
        <v>0</v>
      </c>
      <c r="W878" s="17">
        <v>0</v>
      </c>
      <c r="X878" s="17">
        <v>0</v>
      </c>
      <c r="Y878" s="17">
        <v>0</v>
      </c>
      <c r="Z878" s="17">
        <v>0</v>
      </c>
      <c r="AA878" s="17">
        <v>0</v>
      </c>
      <c r="AB878" s="17">
        <v>0</v>
      </c>
      <c r="AC878" s="17">
        <v>0</v>
      </c>
      <c r="AD878" s="17">
        <v>0</v>
      </c>
      <c r="AE878" s="17">
        <v>0</v>
      </c>
      <c r="AF878" s="17">
        <v>0</v>
      </c>
      <c r="AG878" s="17">
        <v>0</v>
      </c>
      <c r="AH878" s="17">
        <v>0</v>
      </c>
      <c r="AI878" s="17">
        <v>0</v>
      </c>
      <c r="AJ878" s="17">
        <v>0</v>
      </c>
      <c r="AK878" s="17">
        <v>0</v>
      </c>
      <c r="AL878" s="17">
        <v>0</v>
      </c>
      <c r="AM878" s="17">
        <v>0</v>
      </c>
      <c r="AN878" s="17">
        <v>0</v>
      </c>
      <c r="AO878" s="17">
        <v>0</v>
      </c>
      <c r="AP878" s="17">
        <v>0</v>
      </c>
      <c r="AQ878" s="17">
        <v>0</v>
      </c>
      <c r="AR878" s="17">
        <v>0</v>
      </c>
      <c r="AS878" s="17">
        <v>0</v>
      </c>
      <c r="AT878" s="17">
        <v>0</v>
      </c>
      <c r="AU878" s="17">
        <v>0</v>
      </c>
      <c r="AV878" s="17">
        <v>0</v>
      </c>
      <c r="AW878" s="17">
        <v>0</v>
      </c>
      <c r="AX878" s="17">
        <v>0</v>
      </c>
      <c r="AY878" s="17">
        <v>0</v>
      </c>
      <c r="AZ878" s="17">
        <v>0</v>
      </c>
      <c r="BA878" s="17">
        <v>0</v>
      </c>
      <c r="BB878" s="17">
        <v>0</v>
      </c>
      <c r="BC878" s="17">
        <v>0</v>
      </c>
      <c r="BD878" s="17">
        <v>0</v>
      </c>
      <c r="BE878" s="17">
        <v>0</v>
      </c>
      <c r="BF878" s="17">
        <v>0</v>
      </c>
      <c r="BG878" s="17">
        <v>0</v>
      </c>
      <c r="BH878" s="17">
        <v>0</v>
      </c>
      <c r="BI878" s="22">
        <f t="shared" si="270"/>
        <v>12</v>
      </c>
      <c r="BJ878" s="22">
        <f t="shared" si="271"/>
        <v>8</v>
      </c>
      <c r="BK878" s="22">
        <f t="shared" si="272"/>
        <v>20</v>
      </c>
      <c r="BL878" s="22">
        <f t="shared" si="273"/>
        <v>12</v>
      </c>
      <c r="BM878" s="22">
        <f t="shared" si="269"/>
        <v>8</v>
      </c>
      <c r="BN878" s="23">
        <f t="shared" si="268"/>
        <v>0</v>
      </c>
      <c r="BO878" s="23">
        <f t="shared" si="268"/>
        <v>0</v>
      </c>
      <c r="BP878" s="7" t="e">
        <f>VLOOKUP(A878,[1]Sheet15!B:E,4,0)</f>
        <v>#N/A</v>
      </c>
      <c r="BQ878" s="7" t="e">
        <f>VLOOKUP(A878,[1]Sheet15!B:E,3,0)</f>
        <v>#N/A</v>
      </c>
    </row>
    <row r="879" spans="1:69" ht="22.5" customHeight="1" x14ac:dyDescent="0.25">
      <c r="A879" s="38" t="s">
        <v>2088</v>
      </c>
      <c r="B879" s="15" t="e">
        <f>VLOOKUP(A879,'[1]Master clients'!F858:W4405,17,0)</f>
        <v>#N/A</v>
      </c>
      <c r="C879" s="15" t="e">
        <f>VLOOKUP(A879,'[1]Master clients'!F858:P4405,11,0)</f>
        <v>#N/A</v>
      </c>
      <c r="D879" s="15" t="str">
        <f>VLOOKUP(A879,'[1]Master clients'!F:M,8,0)</f>
        <v>End User</v>
      </c>
      <c r="E879" s="40" t="s">
        <v>2089</v>
      </c>
      <c r="F879" s="41" t="s">
        <v>679</v>
      </c>
      <c r="G879" s="20"/>
      <c r="H879" s="20"/>
      <c r="I879" s="18">
        <v>0</v>
      </c>
      <c r="J879" s="18">
        <v>0</v>
      </c>
      <c r="K879" s="20">
        <v>48</v>
      </c>
      <c r="L879" s="20">
        <v>0</v>
      </c>
      <c r="M879" s="20">
        <v>0</v>
      </c>
      <c r="N879" s="20">
        <v>8</v>
      </c>
      <c r="O879" s="20">
        <v>0</v>
      </c>
      <c r="P879" s="20">
        <v>0</v>
      </c>
      <c r="Q879" s="20">
        <v>6</v>
      </c>
      <c r="R879" s="20">
        <v>0</v>
      </c>
      <c r="S879" s="20">
        <v>0</v>
      </c>
      <c r="T879" s="20">
        <v>0</v>
      </c>
      <c r="U879" s="20">
        <v>0</v>
      </c>
      <c r="V879" s="20">
        <v>0</v>
      </c>
      <c r="W879" s="20">
        <v>0</v>
      </c>
      <c r="X879" s="20">
        <v>0</v>
      </c>
      <c r="Y879" s="20">
        <v>0</v>
      </c>
      <c r="Z879" s="20">
        <v>0</v>
      </c>
      <c r="AA879" s="20">
        <v>0</v>
      </c>
      <c r="AB879" s="20">
        <v>0</v>
      </c>
      <c r="AC879" s="20">
        <v>0</v>
      </c>
      <c r="AD879" s="20">
        <v>0</v>
      </c>
      <c r="AE879" s="20">
        <v>0</v>
      </c>
      <c r="AF879" s="20">
        <v>0</v>
      </c>
      <c r="AG879" s="20">
        <v>0</v>
      </c>
      <c r="AH879" s="20">
        <v>0</v>
      </c>
      <c r="AI879" s="20">
        <v>0</v>
      </c>
      <c r="AJ879" s="20">
        <v>0</v>
      </c>
      <c r="AK879" s="20">
        <v>0</v>
      </c>
      <c r="AL879" s="20">
        <v>0</v>
      </c>
      <c r="AM879" s="20">
        <v>0</v>
      </c>
      <c r="AN879" s="20">
        <v>0</v>
      </c>
      <c r="AO879" s="20">
        <v>0</v>
      </c>
      <c r="AP879" s="20">
        <v>0</v>
      </c>
      <c r="AQ879" s="20">
        <v>0</v>
      </c>
      <c r="AR879" s="20">
        <v>0</v>
      </c>
      <c r="AS879" s="20">
        <v>0</v>
      </c>
      <c r="AT879" s="20">
        <v>0</v>
      </c>
      <c r="AU879" s="20">
        <v>0</v>
      </c>
      <c r="AV879" s="20">
        <v>0</v>
      </c>
      <c r="AW879" s="20">
        <v>0</v>
      </c>
      <c r="AX879" s="20">
        <v>0</v>
      </c>
      <c r="AY879" s="20">
        <v>0</v>
      </c>
      <c r="AZ879" s="20">
        <v>0</v>
      </c>
      <c r="BA879" s="20">
        <v>0</v>
      </c>
      <c r="BB879" s="20">
        <v>0</v>
      </c>
      <c r="BC879" s="20">
        <v>0</v>
      </c>
      <c r="BD879" s="20">
        <v>0</v>
      </c>
      <c r="BE879" s="20">
        <v>0</v>
      </c>
      <c r="BF879" s="20">
        <v>0</v>
      </c>
      <c r="BG879" s="20">
        <v>0</v>
      </c>
      <c r="BH879" s="20">
        <v>0</v>
      </c>
      <c r="BI879" s="22">
        <f t="shared" si="270"/>
        <v>48</v>
      </c>
      <c r="BJ879" s="22">
        <f t="shared" si="271"/>
        <v>14</v>
      </c>
      <c r="BK879" s="22">
        <f t="shared" si="272"/>
        <v>62</v>
      </c>
      <c r="BL879" s="22">
        <f t="shared" si="273"/>
        <v>48</v>
      </c>
      <c r="BM879" s="22">
        <f t="shared" si="269"/>
        <v>14</v>
      </c>
      <c r="BN879" s="23">
        <f t="shared" si="268"/>
        <v>0</v>
      </c>
      <c r="BO879" s="23">
        <f t="shared" si="268"/>
        <v>0</v>
      </c>
      <c r="BP879" s="7" t="e">
        <f>VLOOKUP(A879,[1]Sheet15!B:E,4,0)</f>
        <v>#N/A</v>
      </c>
      <c r="BQ879" s="7" t="e">
        <f>VLOOKUP(A879,[1]Sheet15!B:E,3,0)</f>
        <v>#N/A</v>
      </c>
    </row>
    <row r="880" spans="1:69" ht="22.5" customHeight="1" x14ac:dyDescent="0.25">
      <c r="A880" s="38" t="s">
        <v>2090</v>
      </c>
      <c r="B880" s="15" t="e">
        <f>VLOOKUP(A880,'[1]Master clients'!F859:W4406,17,0)</f>
        <v>#N/A</v>
      </c>
      <c r="C880" s="15" t="e">
        <f>VLOOKUP(A880,'[1]Master clients'!F859:P4406,11,0)</f>
        <v>#N/A</v>
      </c>
      <c r="D880" s="15" t="str">
        <f>VLOOKUP(A880,'[1]Master clients'!F:M,8,0)</f>
        <v>End User</v>
      </c>
      <c r="E880" s="39" t="s">
        <v>2091</v>
      </c>
      <c r="F880" s="41" t="s">
        <v>679</v>
      </c>
      <c r="G880" s="20"/>
      <c r="H880" s="20"/>
      <c r="I880" s="26">
        <v>14</v>
      </c>
      <c r="J880" s="26">
        <v>6</v>
      </c>
      <c r="K880" s="20">
        <v>0</v>
      </c>
      <c r="L880" s="20">
        <v>0</v>
      </c>
      <c r="M880" s="20">
        <v>0</v>
      </c>
      <c r="N880" s="20">
        <v>0</v>
      </c>
      <c r="O880" s="20">
        <v>0</v>
      </c>
      <c r="P880" s="20">
        <v>0</v>
      </c>
      <c r="Q880" s="20">
        <v>3</v>
      </c>
      <c r="R880" s="20">
        <v>0</v>
      </c>
      <c r="S880" s="20">
        <v>0</v>
      </c>
      <c r="T880" s="20">
        <v>0</v>
      </c>
      <c r="U880" s="20">
        <v>0</v>
      </c>
      <c r="V880" s="20">
        <v>0</v>
      </c>
      <c r="W880" s="20">
        <v>0</v>
      </c>
      <c r="X880" s="20">
        <v>0</v>
      </c>
      <c r="Y880" s="20">
        <v>0</v>
      </c>
      <c r="Z880" s="20">
        <v>0</v>
      </c>
      <c r="AA880" s="20">
        <v>0</v>
      </c>
      <c r="AB880" s="20">
        <v>0</v>
      </c>
      <c r="AC880" s="20">
        <v>0</v>
      </c>
      <c r="AD880" s="20">
        <v>0</v>
      </c>
      <c r="AE880" s="20">
        <v>0</v>
      </c>
      <c r="AF880" s="20">
        <v>0</v>
      </c>
      <c r="AG880" s="20">
        <v>0</v>
      </c>
      <c r="AH880" s="20">
        <v>0</v>
      </c>
      <c r="AI880" s="20">
        <v>0</v>
      </c>
      <c r="AJ880" s="20">
        <v>0</v>
      </c>
      <c r="AK880" s="20">
        <v>0</v>
      </c>
      <c r="AL880" s="20">
        <v>0</v>
      </c>
      <c r="AM880" s="20">
        <v>0</v>
      </c>
      <c r="AN880" s="20">
        <v>0</v>
      </c>
      <c r="AO880" s="20">
        <v>0</v>
      </c>
      <c r="AP880" s="20">
        <v>0</v>
      </c>
      <c r="AQ880" s="20">
        <v>0</v>
      </c>
      <c r="AR880" s="20">
        <v>0</v>
      </c>
      <c r="AS880" s="20">
        <v>0</v>
      </c>
      <c r="AT880" s="20">
        <v>0</v>
      </c>
      <c r="AU880" s="20">
        <v>0</v>
      </c>
      <c r="AV880" s="20">
        <v>0</v>
      </c>
      <c r="AW880" s="20">
        <v>0</v>
      </c>
      <c r="AX880" s="20">
        <v>0</v>
      </c>
      <c r="AY880" s="20">
        <v>0</v>
      </c>
      <c r="AZ880" s="20">
        <v>0</v>
      </c>
      <c r="BA880" s="20">
        <v>0</v>
      </c>
      <c r="BB880" s="20">
        <v>0</v>
      </c>
      <c r="BC880" s="20">
        <v>0</v>
      </c>
      <c r="BD880" s="20">
        <v>0</v>
      </c>
      <c r="BE880" s="20">
        <v>0</v>
      </c>
      <c r="BF880" s="20">
        <v>0</v>
      </c>
      <c r="BG880" s="20">
        <v>0</v>
      </c>
      <c r="BH880" s="20">
        <v>0</v>
      </c>
      <c r="BI880" s="22">
        <f t="shared" si="270"/>
        <v>0</v>
      </c>
      <c r="BJ880" s="22">
        <f t="shared" si="271"/>
        <v>3</v>
      </c>
      <c r="BK880" s="28">
        <f t="shared" si="272"/>
        <v>23</v>
      </c>
      <c r="BL880" s="22">
        <f t="shared" si="273"/>
        <v>14</v>
      </c>
      <c r="BM880" s="22">
        <f t="shared" si="269"/>
        <v>9</v>
      </c>
      <c r="BN880" s="23">
        <f t="shared" ref="BN880:BO895" si="274">I880/BL880</f>
        <v>1</v>
      </c>
      <c r="BO880" s="23">
        <f t="shared" si="274"/>
        <v>0.66666666666666663</v>
      </c>
      <c r="BP880" s="7">
        <f>VLOOKUP(A880,[1]Sheet15!B:E,4,0)</f>
        <v>11</v>
      </c>
      <c r="BQ880" s="7">
        <f>VLOOKUP(A880,[1]Sheet15!B:E,3,0)</f>
        <v>0</v>
      </c>
    </row>
    <row r="881" spans="1:69" ht="22.5" customHeight="1" x14ac:dyDescent="0.25">
      <c r="A881" s="38" t="s">
        <v>2092</v>
      </c>
      <c r="B881" s="15" t="e">
        <f>VLOOKUP(A881,'[1]Master clients'!F860:W4407,17,0)</f>
        <v>#N/A</v>
      </c>
      <c r="C881" s="15" t="e">
        <f>VLOOKUP(A881,'[1]Master clients'!F860:P4407,11,0)</f>
        <v>#N/A</v>
      </c>
      <c r="D881" s="15" t="str">
        <f>VLOOKUP(A881,'[1]Master clients'!F:M,8,0)</f>
        <v>End User</v>
      </c>
      <c r="E881" s="39" t="s">
        <v>2093</v>
      </c>
      <c r="F881" s="42" t="s">
        <v>679</v>
      </c>
      <c r="G881" s="20"/>
      <c r="H881" s="20"/>
      <c r="I881" s="26">
        <v>27</v>
      </c>
      <c r="J881" s="26">
        <v>9</v>
      </c>
      <c r="K881" s="20">
        <v>0</v>
      </c>
      <c r="L881" s="20">
        <v>0</v>
      </c>
      <c r="M881" s="20">
        <v>0</v>
      </c>
      <c r="N881" s="20">
        <v>0</v>
      </c>
      <c r="O881" s="20">
        <v>0</v>
      </c>
      <c r="P881" s="20">
        <v>0</v>
      </c>
      <c r="Q881" s="20">
        <v>6</v>
      </c>
      <c r="R881" s="20">
        <v>0</v>
      </c>
      <c r="S881" s="20">
        <v>0</v>
      </c>
      <c r="T881" s="20">
        <v>0</v>
      </c>
      <c r="U881" s="20">
        <v>0</v>
      </c>
      <c r="V881" s="20">
        <v>0</v>
      </c>
      <c r="W881" s="20">
        <v>0</v>
      </c>
      <c r="X881" s="20">
        <v>0</v>
      </c>
      <c r="Y881" s="20">
        <v>0</v>
      </c>
      <c r="Z881" s="20">
        <v>0</v>
      </c>
      <c r="AA881" s="20">
        <v>0</v>
      </c>
      <c r="AB881" s="20">
        <v>0</v>
      </c>
      <c r="AC881" s="20">
        <v>0</v>
      </c>
      <c r="AD881" s="20">
        <v>0</v>
      </c>
      <c r="AE881" s="20">
        <v>0</v>
      </c>
      <c r="AF881" s="20">
        <v>0</v>
      </c>
      <c r="AG881" s="20">
        <v>0</v>
      </c>
      <c r="AH881" s="20">
        <v>0</v>
      </c>
      <c r="AI881" s="20">
        <v>0</v>
      </c>
      <c r="AJ881" s="20">
        <v>0</v>
      </c>
      <c r="AK881" s="20">
        <v>0</v>
      </c>
      <c r="AL881" s="20">
        <v>0</v>
      </c>
      <c r="AM881" s="20">
        <v>0</v>
      </c>
      <c r="AN881" s="20">
        <v>0</v>
      </c>
      <c r="AO881" s="20">
        <v>2</v>
      </c>
      <c r="AP881" s="20">
        <v>0</v>
      </c>
      <c r="AQ881" s="20">
        <v>0</v>
      </c>
      <c r="AR881" s="20">
        <v>0</v>
      </c>
      <c r="AS881" s="20">
        <v>0</v>
      </c>
      <c r="AT881" s="20">
        <v>0</v>
      </c>
      <c r="AU881" s="20">
        <v>0</v>
      </c>
      <c r="AV881" s="20">
        <v>0</v>
      </c>
      <c r="AW881" s="20">
        <v>0</v>
      </c>
      <c r="AX881" s="20">
        <v>0</v>
      </c>
      <c r="AY881" s="20">
        <v>0</v>
      </c>
      <c r="AZ881" s="20">
        <v>0</v>
      </c>
      <c r="BA881" s="20">
        <v>0</v>
      </c>
      <c r="BB881" s="20">
        <v>0</v>
      </c>
      <c r="BC881" s="20">
        <v>0</v>
      </c>
      <c r="BD881" s="20">
        <v>0</v>
      </c>
      <c r="BE881" s="20">
        <v>0</v>
      </c>
      <c r="BF881" s="20">
        <v>0</v>
      </c>
      <c r="BG881" s="20">
        <v>0</v>
      </c>
      <c r="BH881" s="20">
        <v>0</v>
      </c>
      <c r="BI881" s="22">
        <f t="shared" si="270"/>
        <v>2</v>
      </c>
      <c r="BJ881" s="22">
        <f t="shared" si="271"/>
        <v>6</v>
      </c>
      <c r="BK881" s="28">
        <f t="shared" si="272"/>
        <v>44</v>
      </c>
      <c r="BL881" s="22">
        <f t="shared" si="273"/>
        <v>29</v>
      </c>
      <c r="BM881" s="22">
        <f t="shared" si="269"/>
        <v>15</v>
      </c>
      <c r="BN881" s="23">
        <f t="shared" si="274"/>
        <v>0.93103448275862066</v>
      </c>
      <c r="BO881" s="23">
        <f t="shared" si="274"/>
        <v>0.6</v>
      </c>
      <c r="BP881" s="7">
        <f>VLOOKUP(A881,[1]Sheet15!B:E,4,0)</f>
        <v>23</v>
      </c>
      <c r="BQ881" s="7">
        <f>VLOOKUP(A881,[1]Sheet15!B:E,3,0)</f>
        <v>0</v>
      </c>
    </row>
    <row r="882" spans="1:69" ht="22.5" customHeight="1" x14ac:dyDescent="0.25">
      <c r="A882" s="38" t="s">
        <v>2094</v>
      </c>
      <c r="B882" s="15">
        <f>VLOOKUP(A882,'[1]Master clients'!F861:W4408,17,0)</f>
        <v>0</v>
      </c>
      <c r="C882" s="15" t="str">
        <f>VLOOKUP(A882,'[1]Master clients'!F861:P4408,11,0)</f>
        <v>-</v>
      </c>
      <c r="D882" s="15" t="str">
        <f>VLOOKUP(A882,'[1]Master clients'!F:M,8,0)</f>
        <v>End User</v>
      </c>
      <c r="E882" s="39" t="s">
        <v>2095</v>
      </c>
      <c r="F882" s="42" t="s">
        <v>679</v>
      </c>
      <c r="G882" s="20"/>
      <c r="H882" s="20"/>
      <c r="I882" s="26">
        <v>4</v>
      </c>
      <c r="J882" s="18">
        <v>0</v>
      </c>
      <c r="K882" s="20">
        <v>0</v>
      </c>
      <c r="L882" s="20">
        <v>0</v>
      </c>
      <c r="M882" s="20">
        <v>0</v>
      </c>
      <c r="N882" s="20">
        <v>0</v>
      </c>
      <c r="O882" s="20">
        <v>0</v>
      </c>
      <c r="P882" s="20">
        <v>0</v>
      </c>
      <c r="Q882" s="20">
        <v>14</v>
      </c>
      <c r="R882" s="20">
        <v>0</v>
      </c>
      <c r="S882" s="20">
        <v>0</v>
      </c>
      <c r="T882" s="20">
        <v>0</v>
      </c>
      <c r="U882" s="20">
        <v>0</v>
      </c>
      <c r="V882" s="20">
        <v>0</v>
      </c>
      <c r="W882" s="20">
        <v>0</v>
      </c>
      <c r="X882" s="20">
        <v>0</v>
      </c>
      <c r="Y882" s="20">
        <v>0</v>
      </c>
      <c r="Z882" s="20">
        <v>0</v>
      </c>
      <c r="AA882" s="20">
        <v>0</v>
      </c>
      <c r="AB882" s="20">
        <v>0</v>
      </c>
      <c r="AC882" s="20">
        <v>0</v>
      </c>
      <c r="AD882" s="20">
        <v>0</v>
      </c>
      <c r="AE882" s="20">
        <v>0</v>
      </c>
      <c r="AF882" s="20">
        <v>0</v>
      </c>
      <c r="AG882" s="20">
        <v>0</v>
      </c>
      <c r="AH882" s="20">
        <v>0</v>
      </c>
      <c r="AI882" s="20">
        <v>0</v>
      </c>
      <c r="AJ882" s="20">
        <v>0</v>
      </c>
      <c r="AK882" s="20">
        <v>0</v>
      </c>
      <c r="AL882" s="20">
        <v>0</v>
      </c>
      <c r="AM882" s="20">
        <v>0</v>
      </c>
      <c r="AN882" s="20">
        <v>0</v>
      </c>
      <c r="AO882" s="20">
        <v>6</v>
      </c>
      <c r="AP882" s="20">
        <v>0</v>
      </c>
      <c r="AQ882" s="20">
        <v>0</v>
      </c>
      <c r="AR882" s="20">
        <v>0</v>
      </c>
      <c r="AS882" s="20">
        <v>0</v>
      </c>
      <c r="AT882" s="20">
        <v>0</v>
      </c>
      <c r="AU882" s="20">
        <v>0</v>
      </c>
      <c r="AV882" s="20">
        <v>0</v>
      </c>
      <c r="AW882" s="20">
        <v>0</v>
      </c>
      <c r="AX882" s="20">
        <v>0</v>
      </c>
      <c r="AY882" s="20">
        <v>0</v>
      </c>
      <c r="AZ882" s="20">
        <v>0</v>
      </c>
      <c r="BA882" s="20">
        <v>0</v>
      </c>
      <c r="BB882" s="20">
        <v>0</v>
      </c>
      <c r="BC882" s="20">
        <v>0</v>
      </c>
      <c r="BD882" s="20">
        <v>0</v>
      </c>
      <c r="BE882" s="20">
        <v>0</v>
      </c>
      <c r="BF882" s="20">
        <v>0</v>
      </c>
      <c r="BG882" s="20">
        <v>0</v>
      </c>
      <c r="BH882" s="20">
        <v>0</v>
      </c>
      <c r="BI882" s="22">
        <f t="shared" si="270"/>
        <v>6</v>
      </c>
      <c r="BJ882" s="22">
        <f t="shared" si="271"/>
        <v>14</v>
      </c>
      <c r="BK882" s="28">
        <f t="shared" si="272"/>
        <v>24</v>
      </c>
      <c r="BL882" s="22">
        <f t="shared" si="273"/>
        <v>10</v>
      </c>
      <c r="BM882" s="22">
        <f t="shared" ref="BM882:BM911" si="275">SUM(J882+N882+O882+Q882+S882+U882+X882+AA882+AD882+AF882+AM882+AP882+AQ882+AT882+AX882+AY882+BD882+BH882)</f>
        <v>14</v>
      </c>
      <c r="BN882" s="23">
        <f t="shared" si="274"/>
        <v>0.4</v>
      </c>
      <c r="BO882" s="23">
        <f t="shared" si="274"/>
        <v>0</v>
      </c>
      <c r="BP882" s="7" t="e">
        <f>VLOOKUP(A882,[1]Sheet15!B:E,4,0)</f>
        <v>#N/A</v>
      </c>
      <c r="BQ882" s="7" t="e">
        <f>VLOOKUP(A882,[1]Sheet15!B:E,3,0)</f>
        <v>#N/A</v>
      </c>
    </row>
    <row r="883" spans="1:69" ht="22.5" customHeight="1" x14ac:dyDescent="0.25">
      <c r="A883" s="38" t="s">
        <v>2096</v>
      </c>
      <c r="B883" s="15">
        <f>VLOOKUP(A883,'[1]Master clients'!F862:W4409,17,0)</f>
        <v>0</v>
      </c>
      <c r="C883" s="15" t="str">
        <f>VLOOKUP(A883,'[1]Master clients'!F862:P4409,11,0)</f>
        <v>NI</v>
      </c>
      <c r="D883" s="15">
        <f>VLOOKUP(A883,'[1]Master clients'!F:M,8,0)</f>
        <v>0</v>
      </c>
      <c r="E883" s="39" t="s">
        <v>2097</v>
      </c>
      <c r="F883" s="42" t="s">
        <v>679</v>
      </c>
      <c r="G883" s="20"/>
      <c r="H883" s="20"/>
      <c r="I883" s="26">
        <v>3</v>
      </c>
      <c r="J883" s="18">
        <v>0</v>
      </c>
      <c r="K883" s="20">
        <v>5</v>
      </c>
      <c r="L883" s="20">
        <v>0</v>
      </c>
      <c r="M883" s="20">
        <v>0</v>
      </c>
      <c r="N883" s="20">
        <v>0</v>
      </c>
      <c r="O883" s="20">
        <v>0</v>
      </c>
      <c r="P883" s="20">
        <v>0</v>
      </c>
      <c r="Q883" s="20">
        <v>0</v>
      </c>
      <c r="R883" s="20">
        <v>0</v>
      </c>
      <c r="S883" s="20">
        <v>0</v>
      </c>
      <c r="T883" s="20">
        <v>0</v>
      </c>
      <c r="U883" s="20">
        <v>0</v>
      </c>
      <c r="V883" s="20">
        <v>0</v>
      </c>
      <c r="W883" s="20">
        <v>0</v>
      </c>
      <c r="X883" s="20">
        <v>0</v>
      </c>
      <c r="Y883" s="20">
        <v>0</v>
      </c>
      <c r="Z883" s="20">
        <v>0</v>
      </c>
      <c r="AA883" s="20">
        <v>0</v>
      </c>
      <c r="AB883" s="20">
        <v>0</v>
      </c>
      <c r="AC883" s="20">
        <v>0</v>
      </c>
      <c r="AD883" s="20">
        <v>0</v>
      </c>
      <c r="AE883" s="20">
        <v>0</v>
      </c>
      <c r="AF883" s="20">
        <v>0</v>
      </c>
      <c r="AG883" s="20">
        <v>0</v>
      </c>
      <c r="AH883" s="20">
        <v>0</v>
      </c>
      <c r="AI883" s="20">
        <v>0</v>
      </c>
      <c r="AJ883" s="20">
        <v>0</v>
      </c>
      <c r="AK883" s="20">
        <v>0</v>
      </c>
      <c r="AL883" s="20">
        <v>0</v>
      </c>
      <c r="AM883" s="20">
        <v>0</v>
      </c>
      <c r="AN883" s="20">
        <v>0</v>
      </c>
      <c r="AO883" s="20">
        <v>0</v>
      </c>
      <c r="AP883" s="20">
        <v>0</v>
      </c>
      <c r="AQ883" s="20">
        <v>0</v>
      </c>
      <c r="AR883" s="20">
        <v>0</v>
      </c>
      <c r="AS883" s="20">
        <v>0</v>
      </c>
      <c r="AT883" s="20">
        <v>0</v>
      </c>
      <c r="AU883" s="20">
        <v>0</v>
      </c>
      <c r="AV883" s="20">
        <v>0</v>
      </c>
      <c r="AW883" s="20">
        <v>0</v>
      </c>
      <c r="AX883" s="20">
        <v>0</v>
      </c>
      <c r="AY883" s="20">
        <v>0</v>
      </c>
      <c r="AZ883" s="20">
        <v>0</v>
      </c>
      <c r="BA883" s="20">
        <v>0</v>
      </c>
      <c r="BB883" s="20">
        <v>0</v>
      </c>
      <c r="BC883" s="20">
        <v>0</v>
      </c>
      <c r="BD883" s="20">
        <v>0</v>
      </c>
      <c r="BE883" s="20">
        <v>0</v>
      </c>
      <c r="BF883" s="20">
        <v>0</v>
      </c>
      <c r="BG883" s="20">
        <v>0</v>
      </c>
      <c r="BH883" s="20">
        <v>0</v>
      </c>
      <c r="BI883" s="22">
        <f t="shared" si="270"/>
        <v>5</v>
      </c>
      <c r="BJ883" s="22">
        <f t="shared" si="271"/>
        <v>0</v>
      </c>
      <c r="BK883" s="28">
        <f t="shared" si="272"/>
        <v>8</v>
      </c>
      <c r="BL883" s="22">
        <f t="shared" si="273"/>
        <v>8</v>
      </c>
      <c r="BM883" s="22">
        <f t="shared" si="275"/>
        <v>0</v>
      </c>
      <c r="BN883" s="23">
        <f t="shared" si="274"/>
        <v>0.375</v>
      </c>
      <c r="BO883" s="23" t="e">
        <f t="shared" si="274"/>
        <v>#DIV/0!</v>
      </c>
      <c r="BP883" s="7">
        <f>VLOOKUP(A883,[1]Sheet15!B:E,4,0)</f>
        <v>3</v>
      </c>
      <c r="BQ883" s="7">
        <f>VLOOKUP(A883,[1]Sheet15!B:E,3,0)</f>
        <v>0</v>
      </c>
    </row>
    <row r="884" spans="1:69" ht="22.5" customHeight="1" x14ac:dyDescent="0.25">
      <c r="A884" s="38" t="s">
        <v>2098</v>
      </c>
      <c r="B884" s="15" t="e">
        <f>VLOOKUP(A884,'[1]Master clients'!F863:W4410,17,0)</f>
        <v>#N/A</v>
      </c>
      <c r="C884" s="15" t="e">
        <f>VLOOKUP(A884,'[1]Master clients'!F863:P4410,11,0)</f>
        <v>#N/A</v>
      </c>
      <c r="D884" s="15" t="str">
        <f>VLOOKUP(A884,'[1]Master clients'!F:M,8,0)</f>
        <v>End User</v>
      </c>
      <c r="E884" s="40" t="s">
        <v>2099</v>
      </c>
      <c r="F884" s="41" t="s">
        <v>2100</v>
      </c>
      <c r="G884" s="20">
        <v>0</v>
      </c>
      <c r="H884" s="20">
        <v>0</v>
      </c>
      <c r="I884" s="26">
        <v>1</v>
      </c>
      <c r="J884" s="26">
        <v>0</v>
      </c>
      <c r="K884" s="20">
        <v>0</v>
      </c>
      <c r="L884" s="20">
        <v>0</v>
      </c>
      <c r="M884" s="20">
        <v>0</v>
      </c>
      <c r="N884" s="20">
        <v>0</v>
      </c>
      <c r="O884" s="20">
        <v>0</v>
      </c>
      <c r="P884" s="20">
        <v>0</v>
      </c>
      <c r="Q884" s="20">
        <v>0</v>
      </c>
      <c r="R884" s="20">
        <v>0</v>
      </c>
      <c r="S884" s="20">
        <v>0</v>
      </c>
      <c r="T884" s="20">
        <v>0</v>
      </c>
      <c r="U884" s="20">
        <v>0</v>
      </c>
      <c r="V884" s="20">
        <v>0</v>
      </c>
      <c r="W884" s="20">
        <v>0</v>
      </c>
      <c r="X884" s="20">
        <v>0</v>
      </c>
      <c r="Y884" s="20">
        <v>0</v>
      </c>
      <c r="Z884" s="20">
        <v>0</v>
      </c>
      <c r="AA884" s="20">
        <v>0</v>
      </c>
      <c r="AB884" s="20">
        <v>0</v>
      </c>
      <c r="AC884" s="20">
        <v>0</v>
      </c>
      <c r="AD884" s="20">
        <v>0</v>
      </c>
      <c r="AE884" s="20">
        <v>0</v>
      </c>
      <c r="AF884" s="20">
        <v>0</v>
      </c>
      <c r="AG884" s="20">
        <v>0</v>
      </c>
      <c r="AH884" s="20">
        <v>0</v>
      </c>
      <c r="AI884" s="20">
        <v>0</v>
      </c>
      <c r="AJ884" s="20">
        <v>0</v>
      </c>
      <c r="AK884" s="20">
        <v>0</v>
      </c>
      <c r="AL884" s="20">
        <v>0</v>
      </c>
      <c r="AM884" s="20">
        <v>0</v>
      </c>
      <c r="AN884" s="20">
        <v>0</v>
      </c>
      <c r="AO884" s="20">
        <v>0</v>
      </c>
      <c r="AP884" s="20">
        <v>0</v>
      </c>
      <c r="AQ884" s="20">
        <v>0</v>
      </c>
      <c r="AR884" s="20">
        <v>0</v>
      </c>
      <c r="AS884" s="20">
        <v>0</v>
      </c>
      <c r="AT884" s="20">
        <v>0</v>
      </c>
      <c r="AU884" s="20">
        <v>0</v>
      </c>
      <c r="AV884" s="20">
        <v>0</v>
      </c>
      <c r="AW884" s="20">
        <v>0</v>
      </c>
      <c r="AX884" s="20">
        <v>0</v>
      </c>
      <c r="AY884" s="20">
        <v>0</v>
      </c>
      <c r="AZ884" s="20">
        <v>0</v>
      </c>
      <c r="BA884" s="20">
        <v>0</v>
      </c>
      <c r="BB884" s="27">
        <v>0</v>
      </c>
      <c r="BC884" s="20">
        <v>0</v>
      </c>
      <c r="BD884" s="20">
        <v>0</v>
      </c>
      <c r="BE884" s="21">
        <v>0</v>
      </c>
      <c r="BF884" s="21">
        <v>0</v>
      </c>
      <c r="BG884" s="20">
        <v>0</v>
      </c>
      <c r="BH884" s="20">
        <v>0</v>
      </c>
      <c r="BI884" s="22">
        <f t="shared" si="270"/>
        <v>0</v>
      </c>
      <c r="BJ884" s="22">
        <f t="shared" si="271"/>
        <v>0</v>
      </c>
      <c r="BK884" s="28">
        <f t="shared" si="272"/>
        <v>1</v>
      </c>
      <c r="BL884" s="22">
        <f t="shared" si="273"/>
        <v>1</v>
      </c>
      <c r="BM884" s="22">
        <f t="shared" si="275"/>
        <v>0</v>
      </c>
      <c r="BN884" s="23">
        <f t="shared" si="274"/>
        <v>1</v>
      </c>
      <c r="BO884" s="23" t="e">
        <f t="shared" si="274"/>
        <v>#DIV/0!</v>
      </c>
      <c r="BP884" s="7">
        <f>VLOOKUP(A884,[1]Sheet15!B:E,4,0)</f>
        <v>2</v>
      </c>
      <c r="BQ884" s="7">
        <f>VLOOKUP(A884,[1]Sheet15!B:E,3,0)</f>
        <v>0</v>
      </c>
    </row>
    <row r="885" spans="1:69" ht="22.5" customHeight="1" x14ac:dyDescent="0.25">
      <c r="A885" s="38" t="s">
        <v>2101</v>
      </c>
      <c r="B885" s="15" t="e">
        <f>VLOOKUP(A885,'[1]Master clients'!F864:W4411,17,0)</f>
        <v>#N/A</v>
      </c>
      <c r="C885" s="15" t="e">
        <f>VLOOKUP(A885,'[1]Master clients'!F864:P4411,11,0)</f>
        <v>#N/A</v>
      </c>
      <c r="D885" s="15" t="str">
        <f>VLOOKUP(A885,'[1]Master clients'!F:M,8,0)</f>
        <v>End User</v>
      </c>
      <c r="E885" s="39" t="s">
        <v>2102</v>
      </c>
      <c r="F885" s="39" t="s">
        <v>2103</v>
      </c>
      <c r="G885" s="17"/>
      <c r="H885" s="17"/>
      <c r="I885" s="18">
        <v>0</v>
      </c>
      <c r="J885" s="18">
        <v>0</v>
      </c>
      <c r="K885" s="17">
        <v>0</v>
      </c>
      <c r="L885" s="17">
        <v>0</v>
      </c>
      <c r="M885" s="17">
        <v>0</v>
      </c>
      <c r="N885" s="17">
        <v>0</v>
      </c>
      <c r="O885" s="17">
        <v>0</v>
      </c>
      <c r="P885" s="17">
        <v>0</v>
      </c>
      <c r="Q885" s="17">
        <v>0</v>
      </c>
      <c r="R885" s="17">
        <v>0</v>
      </c>
      <c r="S885" s="17">
        <v>0</v>
      </c>
      <c r="T885" s="17">
        <v>0</v>
      </c>
      <c r="U885" s="17">
        <v>0</v>
      </c>
      <c r="V885" s="17">
        <v>0</v>
      </c>
      <c r="W885" s="17">
        <v>0</v>
      </c>
      <c r="X885" s="17">
        <v>0</v>
      </c>
      <c r="Y885" s="17">
        <v>0</v>
      </c>
      <c r="Z885" s="17">
        <v>0</v>
      </c>
      <c r="AA885" s="17">
        <v>0</v>
      </c>
      <c r="AB885" s="17">
        <v>0</v>
      </c>
      <c r="AC885" s="17">
        <v>0</v>
      </c>
      <c r="AD885" s="17">
        <v>0</v>
      </c>
      <c r="AE885" s="17">
        <v>0</v>
      </c>
      <c r="AF885" s="17">
        <v>0</v>
      </c>
      <c r="AG885" s="17">
        <v>0</v>
      </c>
      <c r="AH885" s="17">
        <v>0</v>
      </c>
      <c r="AI885" s="17">
        <v>0</v>
      </c>
      <c r="AJ885" s="17">
        <v>0</v>
      </c>
      <c r="AK885" s="17">
        <v>0</v>
      </c>
      <c r="AL885" s="17">
        <v>0</v>
      </c>
      <c r="AM885" s="17">
        <v>0</v>
      </c>
      <c r="AN885" s="17">
        <v>0</v>
      </c>
      <c r="AO885" s="17">
        <v>0</v>
      </c>
      <c r="AP885" s="17">
        <v>0</v>
      </c>
      <c r="AQ885" s="17">
        <v>0</v>
      </c>
      <c r="AR885" s="17">
        <v>0</v>
      </c>
      <c r="AS885" s="17">
        <v>0</v>
      </c>
      <c r="AT885" s="17">
        <v>0</v>
      </c>
      <c r="AU885" s="17">
        <v>0</v>
      </c>
      <c r="AV885" s="17">
        <v>0</v>
      </c>
      <c r="AW885" s="17">
        <v>0</v>
      </c>
      <c r="AX885" s="17">
        <v>0</v>
      </c>
      <c r="AY885" s="17">
        <v>0</v>
      </c>
      <c r="AZ885" s="17">
        <v>0</v>
      </c>
      <c r="BA885" s="17">
        <v>0</v>
      </c>
      <c r="BB885" s="17">
        <v>0</v>
      </c>
      <c r="BC885" s="17">
        <v>0</v>
      </c>
      <c r="BD885" s="17">
        <v>0</v>
      </c>
      <c r="BE885" s="17">
        <v>0</v>
      </c>
      <c r="BF885" s="17">
        <v>0</v>
      </c>
      <c r="BG885" s="17">
        <v>0</v>
      </c>
      <c r="BH885" s="17">
        <v>0</v>
      </c>
      <c r="BI885" s="22">
        <f t="shared" si="270"/>
        <v>0</v>
      </c>
      <c r="BJ885" s="22">
        <f t="shared" si="271"/>
        <v>0</v>
      </c>
      <c r="BK885" s="22">
        <f t="shared" si="272"/>
        <v>0</v>
      </c>
      <c r="BL885" s="22">
        <f t="shared" si="273"/>
        <v>0</v>
      </c>
      <c r="BM885" s="22">
        <f t="shared" si="275"/>
        <v>0</v>
      </c>
      <c r="BN885" s="23" t="e">
        <f t="shared" si="274"/>
        <v>#DIV/0!</v>
      </c>
      <c r="BO885" s="23" t="e">
        <f t="shared" si="274"/>
        <v>#DIV/0!</v>
      </c>
      <c r="BP885" s="7" t="e">
        <f>VLOOKUP(A885,[1]Sheet15!B:E,4,0)</f>
        <v>#N/A</v>
      </c>
      <c r="BQ885" s="7" t="e">
        <f>VLOOKUP(A885,[1]Sheet15!B:E,3,0)</f>
        <v>#N/A</v>
      </c>
    </row>
    <row r="886" spans="1:69" ht="22.5" customHeight="1" x14ac:dyDescent="0.25">
      <c r="A886" s="38" t="s">
        <v>2104</v>
      </c>
      <c r="B886" s="15" t="e">
        <f>VLOOKUP(A886,'[1]Master clients'!F865:W4412,17,0)</f>
        <v>#N/A</v>
      </c>
      <c r="C886" s="15" t="e">
        <f>VLOOKUP(A886,'[1]Master clients'!F865:P4412,11,0)</f>
        <v>#N/A</v>
      </c>
      <c r="D886" s="15" t="str">
        <f>VLOOKUP(A886,'[1]Master clients'!F:M,8,0)</f>
        <v>End User</v>
      </c>
      <c r="E886" s="39" t="s">
        <v>2105</v>
      </c>
      <c r="F886" s="39" t="s">
        <v>2103</v>
      </c>
      <c r="G886" s="17"/>
      <c r="H886" s="17"/>
      <c r="I886" s="26">
        <v>10</v>
      </c>
      <c r="J886" s="31">
        <v>0</v>
      </c>
      <c r="K886" s="17">
        <v>0</v>
      </c>
      <c r="L886" s="17">
        <v>0</v>
      </c>
      <c r="M886" s="17">
        <v>0</v>
      </c>
      <c r="N886" s="17">
        <v>0</v>
      </c>
      <c r="O886" s="17">
        <v>0</v>
      </c>
      <c r="P886" s="17">
        <v>0</v>
      </c>
      <c r="Q886" s="17">
        <v>0</v>
      </c>
      <c r="R886" s="17">
        <v>0</v>
      </c>
      <c r="S886" s="17">
        <v>0</v>
      </c>
      <c r="T886" s="17">
        <v>0</v>
      </c>
      <c r="U886" s="17">
        <v>0</v>
      </c>
      <c r="V886" s="17">
        <v>0</v>
      </c>
      <c r="W886" s="17">
        <v>0</v>
      </c>
      <c r="X886" s="17">
        <v>0</v>
      </c>
      <c r="Y886" s="17">
        <v>0</v>
      </c>
      <c r="Z886" s="17">
        <v>0</v>
      </c>
      <c r="AA886" s="17">
        <v>0</v>
      </c>
      <c r="AB886" s="17">
        <v>0</v>
      </c>
      <c r="AC886" s="17">
        <v>0</v>
      </c>
      <c r="AD886" s="17">
        <v>0</v>
      </c>
      <c r="AE886" s="17">
        <v>0</v>
      </c>
      <c r="AF886" s="17">
        <v>0</v>
      </c>
      <c r="AG886" s="17">
        <v>0</v>
      </c>
      <c r="AH886" s="17">
        <v>0</v>
      </c>
      <c r="AI886" s="17">
        <v>0</v>
      </c>
      <c r="AJ886" s="17">
        <v>0</v>
      </c>
      <c r="AK886" s="17">
        <v>0</v>
      </c>
      <c r="AL886" s="17">
        <v>0</v>
      </c>
      <c r="AM886" s="17">
        <v>0</v>
      </c>
      <c r="AN886" s="17">
        <v>0</v>
      </c>
      <c r="AO886" s="17">
        <v>0</v>
      </c>
      <c r="AP886" s="17">
        <v>0</v>
      </c>
      <c r="AQ886" s="17">
        <v>0</v>
      </c>
      <c r="AR886" s="17">
        <v>0</v>
      </c>
      <c r="AS886" s="17">
        <v>0</v>
      </c>
      <c r="AT886" s="17">
        <v>0</v>
      </c>
      <c r="AU886" s="17">
        <v>0</v>
      </c>
      <c r="AV886" s="17">
        <v>0</v>
      </c>
      <c r="AW886" s="17">
        <v>0</v>
      </c>
      <c r="AX886" s="17">
        <v>0</v>
      </c>
      <c r="AY886" s="17">
        <v>0</v>
      </c>
      <c r="AZ886" s="17">
        <v>0</v>
      </c>
      <c r="BA886" s="17">
        <v>0</v>
      </c>
      <c r="BB886" s="17">
        <v>0</v>
      </c>
      <c r="BC886" s="17">
        <v>0</v>
      </c>
      <c r="BD886" s="17">
        <v>0</v>
      </c>
      <c r="BE886" s="17">
        <v>0</v>
      </c>
      <c r="BF886" s="17">
        <v>0</v>
      </c>
      <c r="BG886" s="17">
        <v>0</v>
      </c>
      <c r="BH886" s="17">
        <v>0</v>
      </c>
      <c r="BI886" s="22">
        <f t="shared" si="270"/>
        <v>0</v>
      </c>
      <c r="BJ886" s="22">
        <f t="shared" si="271"/>
        <v>0</v>
      </c>
      <c r="BK886" s="22">
        <f t="shared" si="272"/>
        <v>10</v>
      </c>
      <c r="BL886" s="22">
        <f t="shared" si="273"/>
        <v>10</v>
      </c>
      <c r="BM886" s="22">
        <f t="shared" si="275"/>
        <v>0</v>
      </c>
      <c r="BN886" s="23">
        <f t="shared" si="274"/>
        <v>1</v>
      </c>
      <c r="BO886" s="23" t="e">
        <f t="shared" si="274"/>
        <v>#DIV/0!</v>
      </c>
      <c r="BP886" s="7">
        <f>VLOOKUP(A886,[1]Sheet15!B:E,4,0)</f>
        <v>10</v>
      </c>
      <c r="BQ886" s="7">
        <f>VLOOKUP(A886,[1]Sheet15!B:E,3,0)</f>
        <v>0</v>
      </c>
    </row>
    <row r="887" spans="1:69" ht="22.5" customHeight="1" x14ac:dyDescent="0.25">
      <c r="A887" s="38" t="s">
        <v>2106</v>
      </c>
      <c r="B887" s="15" t="e">
        <f>VLOOKUP(A887,'[1]Master clients'!F866:W4413,17,0)</f>
        <v>#N/A</v>
      </c>
      <c r="C887" s="15" t="e">
        <f>VLOOKUP(A887,'[1]Master clients'!F866:P4413,11,0)</f>
        <v>#N/A</v>
      </c>
      <c r="D887" s="15" t="str">
        <f>VLOOKUP(A887,'[1]Master clients'!F:M,8,0)</f>
        <v>End User</v>
      </c>
      <c r="E887" s="39" t="s">
        <v>2107</v>
      </c>
      <c r="F887" s="39" t="s">
        <v>2103</v>
      </c>
      <c r="G887" s="17"/>
      <c r="H887" s="17"/>
      <c r="I887" s="26">
        <v>2</v>
      </c>
      <c r="J887" s="31">
        <v>0</v>
      </c>
      <c r="K887" s="17">
        <v>0</v>
      </c>
      <c r="L887" s="17">
        <v>0</v>
      </c>
      <c r="M887" s="17">
        <v>0</v>
      </c>
      <c r="N887" s="17">
        <v>0</v>
      </c>
      <c r="O887" s="17">
        <v>0</v>
      </c>
      <c r="P887" s="17">
        <v>0</v>
      </c>
      <c r="Q887" s="17">
        <v>0</v>
      </c>
      <c r="R887" s="17">
        <v>0</v>
      </c>
      <c r="S887" s="17">
        <v>0</v>
      </c>
      <c r="T887" s="17">
        <v>0</v>
      </c>
      <c r="U887" s="17">
        <v>0</v>
      </c>
      <c r="V887" s="17">
        <v>0</v>
      </c>
      <c r="W887" s="17">
        <v>0</v>
      </c>
      <c r="X887" s="17">
        <v>0</v>
      </c>
      <c r="Y887" s="17">
        <v>0</v>
      </c>
      <c r="Z887" s="17">
        <v>0</v>
      </c>
      <c r="AA887" s="17">
        <v>0</v>
      </c>
      <c r="AB887" s="17">
        <v>0</v>
      </c>
      <c r="AC887" s="17">
        <v>0</v>
      </c>
      <c r="AD887" s="17">
        <v>0</v>
      </c>
      <c r="AE887" s="17">
        <v>0</v>
      </c>
      <c r="AF887" s="17">
        <v>0</v>
      </c>
      <c r="AG887" s="17">
        <v>0</v>
      </c>
      <c r="AH887" s="17">
        <v>0</v>
      </c>
      <c r="AI887" s="17">
        <v>0</v>
      </c>
      <c r="AJ887" s="17">
        <v>0</v>
      </c>
      <c r="AK887" s="17">
        <v>0</v>
      </c>
      <c r="AL887" s="17">
        <v>0</v>
      </c>
      <c r="AM887" s="17">
        <v>0</v>
      </c>
      <c r="AN887" s="17">
        <v>0</v>
      </c>
      <c r="AO887" s="17">
        <v>0</v>
      </c>
      <c r="AP887" s="17">
        <v>0</v>
      </c>
      <c r="AQ887" s="17">
        <v>0</v>
      </c>
      <c r="AR887" s="17">
        <v>0</v>
      </c>
      <c r="AS887" s="17">
        <v>0</v>
      </c>
      <c r="AT887" s="17">
        <v>0</v>
      </c>
      <c r="AU887" s="17">
        <v>0</v>
      </c>
      <c r="AV887" s="17">
        <v>0</v>
      </c>
      <c r="AW887" s="17">
        <v>0</v>
      </c>
      <c r="AX887" s="17">
        <v>0</v>
      </c>
      <c r="AY887" s="17">
        <v>0</v>
      </c>
      <c r="AZ887" s="17">
        <v>0</v>
      </c>
      <c r="BA887" s="17">
        <v>0</v>
      </c>
      <c r="BB887" s="17">
        <v>0</v>
      </c>
      <c r="BC887" s="17">
        <v>0</v>
      </c>
      <c r="BD887" s="17">
        <v>0</v>
      </c>
      <c r="BE887" s="17">
        <v>0</v>
      </c>
      <c r="BF887" s="17">
        <v>0</v>
      </c>
      <c r="BG887" s="17">
        <v>0</v>
      </c>
      <c r="BH887" s="17">
        <v>0</v>
      </c>
      <c r="BI887" s="22">
        <f t="shared" si="270"/>
        <v>0</v>
      </c>
      <c r="BJ887" s="22">
        <f t="shared" si="271"/>
        <v>0</v>
      </c>
      <c r="BK887" s="22">
        <f t="shared" si="272"/>
        <v>2</v>
      </c>
      <c r="BL887" s="22">
        <f t="shared" si="273"/>
        <v>2</v>
      </c>
      <c r="BM887" s="22">
        <f t="shared" si="275"/>
        <v>0</v>
      </c>
      <c r="BN887" s="23">
        <f t="shared" si="274"/>
        <v>1</v>
      </c>
      <c r="BO887" s="23" t="e">
        <f t="shared" si="274"/>
        <v>#DIV/0!</v>
      </c>
      <c r="BP887" s="7">
        <f>VLOOKUP(A887,[1]Sheet15!B:E,4,0)</f>
        <v>2</v>
      </c>
      <c r="BQ887" s="7">
        <f>VLOOKUP(A887,[1]Sheet15!B:E,3,0)</f>
        <v>0</v>
      </c>
    </row>
    <row r="888" spans="1:69" ht="22.5" customHeight="1" x14ac:dyDescent="0.25">
      <c r="A888" s="38" t="s">
        <v>2108</v>
      </c>
      <c r="B888" s="15" t="e">
        <f>VLOOKUP(A888,'[1]Master clients'!F867:W4414,17,0)</f>
        <v>#N/A</v>
      </c>
      <c r="C888" s="15" t="e">
        <f>VLOOKUP(A888,'[1]Master clients'!F867:P4414,11,0)</f>
        <v>#N/A</v>
      </c>
      <c r="D888" s="15" t="str">
        <f>VLOOKUP(A888,'[1]Master clients'!F:M,8,0)</f>
        <v>End User</v>
      </c>
      <c r="E888" s="40" t="s">
        <v>2109</v>
      </c>
      <c r="F888" s="41" t="s">
        <v>2110</v>
      </c>
      <c r="G888" s="20">
        <v>15</v>
      </c>
      <c r="H888" s="20">
        <v>17</v>
      </c>
      <c r="I888" s="26">
        <v>12</v>
      </c>
      <c r="J888" s="26">
        <v>10</v>
      </c>
      <c r="K888" s="20">
        <v>0</v>
      </c>
      <c r="L888" s="20">
        <v>0</v>
      </c>
      <c r="M888" s="20">
        <v>0</v>
      </c>
      <c r="N888" s="20">
        <v>0</v>
      </c>
      <c r="O888" s="20">
        <v>0</v>
      </c>
      <c r="P888" s="20">
        <v>0</v>
      </c>
      <c r="Q888" s="20">
        <v>0</v>
      </c>
      <c r="R888" s="20">
        <v>0</v>
      </c>
      <c r="S888" s="20">
        <v>0</v>
      </c>
      <c r="T888" s="20">
        <v>0</v>
      </c>
      <c r="U888" s="20">
        <v>0</v>
      </c>
      <c r="V888" s="20">
        <v>0</v>
      </c>
      <c r="W888" s="20">
        <v>0</v>
      </c>
      <c r="X888" s="20">
        <v>0</v>
      </c>
      <c r="Y888" s="20">
        <v>0</v>
      </c>
      <c r="Z888" s="20">
        <v>0</v>
      </c>
      <c r="AA888" s="20">
        <v>0</v>
      </c>
      <c r="AB888" s="20">
        <v>0</v>
      </c>
      <c r="AC888" s="20">
        <v>0</v>
      </c>
      <c r="AD888" s="20">
        <v>0</v>
      </c>
      <c r="AE888" s="20">
        <v>0</v>
      </c>
      <c r="AF888" s="20">
        <v>0</v>
      </c>
      <c r="AG888" s="20">
        <v>0</v>
      </c>
      <c r="AH888" s="20">
        <v>0</v>
      </c>
      <c r="AI888" s="20">
        <v>0</v>
      </c>
      <c r="AJ888" s="20">
        <v>0</v>
      </c>
      <c r="AK888" s="20">
        <v>0</v>
      </c>
      <c r="AL888" s="20">
        <v>0</v>
      </c>
      <c r="AM888" s="20">
        <v>0</v>
      </c>
      <c r="AN888" s="20">
        <v>0</v>
      </c>
      <c r="AO888" s="20">
        <v>0</v>
      </c>
      <c r="AP888" s="20">
        <v>0</v>
      </c>
      <c r="AQ888" s="20">
        <v>0</v>
      </c>
      <c r="AR888" s="20">
        <v>0</v>
      </c>
      <c r="AS888" s="20">
        <v>0</v>
      </c>
      <c r="AT888" s="20">
        <v>0</v>
      </c>
      <c r="AU888" s="20">
        <v>0</v>
      </c>
      <c r="AV888" s="20">
        <v>0</v>
      </c>
      <c r="AW888" s="20">
        <v>0</v>
      </c>
      <c r="AX888" s="20">
        <v>0</v>
      </c>
      <c r="AY888" s="20">
        <v>0</v>
      </c>
      <c r="AZ888" s="20">
        <v>0</v>
      </c>
      <c r="BA888" s="20">
        <v>0</v>
      </c>
      <c r="BB888" s="27">
        <v>0</v>
      </c>
      <c r="BC888" s="20">
        <v>0</v>
      </c>
      <c r="BD888" s="20">
        <v>0</v>
      </c>
      <c r="BE888" s="21">
        <v>0</v>
      </c>
      <c r="BF888" s="21">
        <v>0</v>
      </c>
      <c r="BG888" s="20">
        <v>0</v>
      </c>
      <c r="BH888" s="20">
        <v>0</v>
      </c>
      <c r="BI888" s="22">
        <f t="shared" si="270"/>
        <v>0</v>
      </c>
      <c r="BJ888" s="22">
        <f t="shared" si="271"/>
        <v>0</v>
      </c>
      <c r="BK888" s="28">
        <f t="shared" si="272"/>
        <v>22</v>
      </c>
      <c r="BL888" s="22">
        <f t="shared" si="273"/>
        <v>12</v>
      </c>
      <c r="BM888" s="22">
        <f t="shared" si="275"/>
        <v>10</v>
      </c>
      <c r="BN888" s="23">
        <f t="shared" si="274"/>
        <v>1</v>
      </c>
      <c r="BO888" s="23">
        <f t="shared" si="274"/>
        <v>1</v>
      </c>
      <c r="BP888" s="7">
        <f>VLOOKUP(A888,[1]Sheet15!B:E,4,0)</f>
        <v>3</v>
      </c>
      <c r="BQ888" s="7">
        <f>VLOOKUP(A888,[1]Sheet15!B:E,3,0)</f>
        <v>4</v>
      </c>
    </row>
    <row r="889" spans="1:69" ht="22.5" customHeight="1" x14ac:dyDescent="0.25">
      <c r="A889" s="38" t="s">
        <v>2111</v>
      </c>
      <c r="B889" s="15">
        <f>VLOOKUP(A889,'[1]Master clients'!F868:W4415,17,0)</f>
        <v>0</v>
      </c>
      <c r="C889" s="15" t="str">
        <f>VLOOKUP(A889,'[1]Master clients'!F868:P4415,11,0)</f>
        <v>HO</v>
      </c>
      <c r="D889" s="15" t="str">
        <f>VLOOKUP(A889,'[1]Master clients'!F:M,8,0)</f>
        <v>End User</v>
      </c>
      <c r="E889" s="39" t="s">
        <v>2112</v>
      </c>
      <c r="F889" s="42" t="s">
        <v>620</v>
      </c>
      <c r="G889" s="20"/>
      <c r="H889" s="20"/>
      <c r="I889" s="26">
        <v>1</v>
      </c>
      <c r="J889" s="18">
        <v>0</v>
      </c>
      <c r="K889" s="20">
        <v>0</v>
      </c>
      <c r="L889" s="20">
        <v>0</v>
      </c>
      <c r="M889" s="20">
        <v>0</v>
      </c>
      <c r="N889" s="20">
        <v>0</v>
      </c>
      <c r="O889" s="20">
        <v>0</v>
      </c>
      <c r="P889" s="20">
        <v>0</v>
      </c>
      <c r="Q889" s="20">
        <v>0</v>
      </c>
      <c r="R889" s="20">
        <v>0</v>
      </c>
      <c r="S889" s="20">
        <v>0</v>
      </c>
      <c r="T889" s="20">
        <v>0</v>
      </c>
      <c r="U889" s="20">
        <v>0</v>
      </c>
      <c r="V889" s="20">
        <v>0</v>
      </c>
      <c r="W889" s="20">
        <v>0</v>
      </c>
      <c r="X889" s="20">
        <v>0</v>
      </c>
      <c r="Y889" s="20">
        <v>0</v>
      </c>
      <c r="Z889" s="20">
        <v>0</v>
      </c>
      <c r="AA889" s="20">
        <v>0</v>
      </c>
      <c r="AB889" s="20">
        <v>0</v>
      </c>
      <c r="AC889" s="20">
        <v>0</v>
      </c>
      <c r="AD889" s="20">
        <v>0</v>
      </c>
      <c r="AE889" s="20">
        <v>0</v>
      </c>
      <c r="AF889" s="20">
        <v>0</v>
      </c>
      <c r="AG889" s="20">
        <v>0</v>
      </c>
      <c r="AH889" s="20">
        <v>0</v>
      </c>
      <c r="AI889" s="20">
        <v>0</v>
      </c>
      <c r="AJ889" s="20">
        <v>0</v>
      </c>
      <c r="AK889" s="20">
        <v>0</v>
      </c>
      <c r="AL889" s="20">
        <v>0</v>
      </c>
      <c r="AM889" s="20">
        <v>0</v>
      </c>
      <c r="AN889" s="20">
        <v>0</v>
      </c>
      <c r="AO889" s="20">
        <v>2</v>
      </c>
      <c r="AP889" s="20">
        <v>0</v>
      </c>
      <c r="AQ889" s="20">
        <v>0</v>
      </c>
      <c r="AR889" s="20">
        <v>0</v>
      </c>
      <c r="AS889" s="20">
        <v>0</v>
      </c>
      <c r="AT889" s="20">
        <v>0</v>
      </c>
      <c r="AU889" s="20">
        <v>0</v>
      </c>
      <c r="AV889" s="20">
        <v>0</v>
      </c>
      <c r="AW889" s="20">
        <v>0</v>
      </c>
      <c r="AX889" s="20">
        <v>0</v>
      </c>
      <c r="AY889" s="20">
        <v>0</v>
      </c>
      <c r="AZ889" s="20">
        <v>0</v>
      </c>
      <c r="BA889" s="20">
        <v>0</v>
      </c>
      <c r="BB889" s="20">
        <v>0</v>
      </c>
      <c r="BC889" s="20">
        <v>0</v>
      </c>
      <c r="BD889" s="20">
        <v>0</v>
      </c>
      <c r="BE889" s="20">
        <v>0</v>
      </c>
      <c r="BF889" s="20">
        <v>0</v>
      </c>
      <c r="BG889" s="20">
        <v>0</v>
      </c>
      <c r="BH889" s="20">
        <v>0</v>
      </c>
      <c r="BI889" s="22">
        <f t="shared" si="270"/>
        <v>2</v>
      </c>
      <c r="BJ889" s="22">
        <f t="shared" si="271"/>
        <v>0</v>
      </c>
      <c r="BK889" s="28">
        <f t="shared" si="272"/>
        <v>3</v>
      </c>
      <c r="BL889" s="22">
        <f t="shared" si="273"/>
        <v>3</v>
      </c>
      <c r="BM889" s="22">
        <f t="shared" si="275"/>
        <v>0</v>
      </c>
      <c r="BN889" s="23">
        <f t="shared" si="274"/>
        <v>0.33333333333333331</v>
      </c>
      <c r="BO889" s="23" t="e">
        <f t="shared" si="274"/>
        <v>#DIV/0!</v>
      </c>
      <c r="BP889" s="7">
        <f>VLOOKUP(A889,[1]Sheet15!B:E,4,0)</f>
        <v>1</v>
      </c>
      <c r="BQ889" s="7">
        <f>VLOOKUP(A889,[1]Sheet15!B:E,3,0)</f>
        <v>0</v>
      </c>
    </row>
    <row r="890" spans="1:69" ht="22.5" customHeight="1" x14ac:dyDescent="0.25">
      <c r="A890" s="38" t="s">
        <v>2113</v>
      </c>
      <c r="B890" s="15" t="e">
        <f>VLOOKUP(A890,'[1]Master clients'!F869:W4416,17,0)</f>
        <v>#N/A</v>
      </c>
      <c r="C890" s="15" t="e">
        <f>VLOOKUP(A890,'[1]Master clients'!F869:P4416,11,0)</f>
        <v>#N/A</v>
      </c>
      <c r="D890" s="15" t="str">
        <f>VLOOKUP(A890,'[1]Master clients'!F:M,8,0)</f>
        <v>End User</v>
      </c>
      <c r="E890" s="39" t="s">
        <v>2114</v>
      </c>
      <c r="F890" s="39" t="s">
        <v>2115</v>
      </c>
      <c r="G890" s="17"/>
      <c r="H890" s="17"/>
      <c r="I890" s="31">
        <v>0</v>
      </c>
      <c r="J890" s="31">
        <v>0</v>
      </c>
      <c r="K890" s="17">
        <v>0</v>
      </c>
      <c r="L890" s="17">
        <v>0</v>
      </c>
      <c r="M890" s="17">
        <v>0</v>
      </c>
      <c r="N890" s="17">
        <v>0</v>
      </c>
      <c r="O890" s="17">
        <v>0</v>
      </c>
      <c r="P890" s="17">
        <v>0</v>
      </c>
      <c r="Q890" s="17">
        <v>0</v>
      </c>
      <c r="R890" s="17">
        <v>0</v>
      </c>
      <c r="S890" s="17">
        <v>0</v>
      </c>
      <c r="T890" s="17">
        <v>0</v>
      </c>
      <c r="U890" s="17">
        <v>0</v>
      </c>
      <c r="V890" s="17">
        <v>0</v>
      </c>
      <c r="W890" s="17">
        <v>0</v>
      </c>
      <c r="X890" s="17">
        <v>0</v>
      </c>
      <c r="Y890" s="17">
        <v>0</v>
      </c>
      <c r="Z890" s="17">
        <v>0</v>
      </c>
      <c r="AA890" s="17">
        <v>0</v>
      </c>
      <c r="AB890" s="17">
        <v>0</v>
      </c>
      <c r="AC890" s="17">
        <v>0</v>
      </c>
      <c r="AD890" s="17">
        <v>0</v>
      </c>
      <c r="AE890" s="17">
        <v>0</v>
      </c>
      <c r="AF890" s="17">
        <v>0</v>
      </c>
      <c r="AG890" s="17">
        <v>0</v>
      </c>
      <c r="AH890" s="17">
        <v>0</v>
      </c>
      <c r="AI890" s="17">
        <v>0</v>
      </c>
      <c r="AJ890" s="17">
        <v>0</v>
      </c>
      <c r="AK890" s="17">
        <v>0</v>
      </c>
      <c r="AL890" s="17">
        <v>0</v>
      </c>
      <c r="AM890" s="17">
        <v>0</v>
      </c>
      <c r="AN890" s="17">
        <v>0</v>
      </c>
      <c r="AO890" s="17">
        <v>0</v>
      </c>
      <c r="AP890" s="17">
        <v>0</v>
      </c>
      <c r="AQ890" s="17">
        <v>0</v>
      </c>
      <c r="AR890" s="17">
        <v>0</v>
      </c>
      <c r="AS890" s="17">
        <v>0</v>
      </c>
      <c r="AT890" s="17">
        <v>0</v>
      </c>
      <c r="AU890" s="17">
        <v>0</v>
      </c>
      <c r="AV890" s="17">
        <v>0</v>
      </c>
      <c r="AW890" s="17">
        <v>0</v>
      </c>
      <c r="AX890" s="17">
        <v>0</v>
      </c>
      <c r="AY890" s="17">
        <v>0</v>
      </c>
      <c r="AZ890" s="17">
        <v>0</v>
      </c>
      <c r="BA890" s="17">
        <v>0</v>
      </c>
      <c r="BB890" s="17">
        <v>0</v>
      </c>
      <c r="BC890" s="17">
        <v>0</v>
      </c>
      <c r="BD890" s="17">
        <v>0</v>
      </c>
      <c r="BE890" s="17">
        <v>0</v>
      </c>
      <c r="BF890" s="17">
        <v>0</v>
      </c>
      <c r="BG890" s="17">
        <v>0</v>
      </c>
      <c r="BH890" s="17">
        <v>0</v>
      </c>
      <c r="BI890" s="22">
        <f t="shared" si="270"/>
        <v>0</v>
      </c>
      <c r="BJ890" s="22">
        <f t="shared" si="271"/>
        <v>0</v>
      </c>
      <c r="BK890" s="22">
        <f t="shared" si="272"/>
        <v>0</v>
      </c>
      <c r="BL890" s="22">
        <f t="shared" si="273"/>
        <v>0</v>
      </c>
      <c r="BM890" s="22">
        <f t="shared" si="275"/>
        <v>0</v>
      </c>
      <c r="BN890" s="23" t="e">
        <f t="shared" si="274"/>
        <v>#DIV/0!</v>
      </c>
      <c r="BO890" s="23" t="e">
        <f t="shared" si="274"/>
        <v>#DIV/0!</v>
      </c>
      <c r="BP890" s="7" t="e">
        <f>VLOOKUP(A890,[1]Sheet15!B:E,4,0)</f>
        <v>#N/A</v>
      </c>
      <c r="BQ890" s="7" t="e">
        <f>VLOOKUP(A890,[1]Sheet15!B:E,3,0)</f>
        <v>#N/A</v>
      </c>
    </row>
    <row r="891" spans="1:69" ht="22.5" customHeight="1" x14ac:dyDescent="0.25">
      <c r="A891" s="38" t="s">
        <v>2116</v>
      </c>
      <c r="B891" s="15">
        <f>VLOOKUP(A891,'[1]Master clients'!F870:W4417,17,0)</f>
        <v>0</v>
      </c>
      <c r="C891" s="15" t="str">
        <f>VLOOKUP(A891,'[1]Master clients'!F870:P4417,11,0)</f>
        <v>HO</v>
      </c>
      <c r="D891" s="15" t="str">
        <f>VLOOKUP(A891,'[1]Master clients'!F:M,8,0)</f>
        <v>End User</v>
      </c>
      <c r="E891" s="40" t="s">
        <v>2117</v>
      </c>
      <c r="F891" s="41" t="s">
        <v>2118</v>
      </c>
      <c r="G891" s="20">
        <v>0</v>
      </c>
      <c r="H891" s="20">
        <v>0</v>
      </c>
      <c r="I891" s="26">
        <v>1</v>
      </c>
      <c r="J891" s="26">
        <v>0</v>
      </c>
      <c r="K891" s="20">
        <v>0</v>
      </c>
      <c r="L891" s="20">
        <v>0</v>
      </c>
      <c r="M891" s="20">
        <v>0</v>
      </c>
      <c r="N891" s="20">
        <v>0</v>
      </c>
      <c r="O891" s="20">
        <v>0</v>
      </c>
      <c r="P891" s="20">
        <v>0</v>
      </c>
      <c r="Q891" s="20">
        <v>0</v>
      </c>
      <c r="R891" s="20">
        <v>0</v>
      </c>
      <c r="S891" s="20">
        <v>0</v>
      </c>
      <c r="T891" s="20">
        <v>0</v>
      </c>
      <c r="U891" s="20">
        <v>0</v>
      </c>
      <c r="V891" s="20">
        <v>0</v>
      </c>
      <c r="W891" s="20">
        <v>0</v>
      </c>
      <c r="X891" s="20">
        <v>0</v>
      </c>
      <c r="Y891" s="20">
        <v>0</v>
      </c>
      <c r="Z891" s="20">
        <v>0</v>
      </c>
      <c r="AA891" s="20">
        <v>0</v>
      </c>
      <c r="AB891" s="20">
        <v>0</v>
      </c>
      <c r="AC891" s="20">
        <v>0</v>
      </c>
      <c r="AD891" s="20">
        <v>0</v>
      </c>
      <c r="AE891" s="20">
        <v>0</v>
      </c>
      <c r="AF891" s="20">
        <v>0</v>
      </c>
      <c r="AG891" s="20">
        <v>0</v>
      </c>
      <c r="AH891" s="20">
        <v>0</v>
      </c>
      <c r="AI891" s="20">
        <v>0</v>
      </c>
      <c r="AJ891" s="20">
        <v>0</v>
      </c>
      <c r="AK891" s="20">
        <v>0</v>
      </c>
      <c r="AL891" s="20">
        <v>0</v>
      </c>
      <c r="AM891" s="20">
        <v>0</v>
      </c>
      <c r="AN891" s="20">
        <v>0</v>
      </c>
      <c r="AO891" s="20">
        <v>0</v>
      </c>
      <c r="AP891" s="20">
        <v>0</v>
      </c>
      <c r="AQ891" s="20">
        <v>0</v>
      </c>
      <c r="AR891" s="20">
        <v>0</v>
      </c>
      <c r="AS891" s="20">
        <v>0</v>
      </c>
      <c r="AT891" s="20">
        <v>0</v>
      </c>
      <c r="AU891" s="20">
        <v>0</v>
      </c>
      <c r="AV891" s="20">
        <v>0</v>
      </c>
      <c r="AW891" s="20">
        <v>0</v>
      </c>
      <c r="AX891" s="20">
        <v>0</v>
      </c>
      <c r="AY891" s="20">
        <v>0</v>
      </c>
      <c r="AZ891" s="20">
        <v>0</v>
      </c>
      <c r="BA891" s="20">
        <v>0</v>
      </c>
      <c r="BB891" s="27">
        <v>0</v>
      </c>
      <c r="BC891" s="20">
        <v>0</v>
      </c>
      <c r="BD891" s="20">
        <v>0</v>
      </c>
      <c r="BE891" s="21">
        <v>0</v>
      </c>
      <c r="BF891" s="21">
        <v>0</v>
      </c>
      <c r="BG891" s="20">
        <v>0</v>
      </c>
      <c r="BH891" s="20">
        <v>0</v>
      </c>
      <c r="BI891" s="22">
        <f t="shared" si="270"/>
        <v>0</v>
      </c>
      <c r="BJ891" s="22">
        <f t="shared" si="271"/>
        <v>0</v>
      </c>
      <c r="BK891" s="28">
        <f t="shared" si="272"/>
        <v>1</v>
      </c>
      <c r="BL891" s="22">
        <f t="shared" si="273"/>
        <v>1</v>
      </c>
      <c r="BM891" s="22">
        <f t="shared" si="275"/>
        <v>0</v>
      </c>
      <c r="BN891" s="23">
        <f t="shared" si="274"/>
        <v>1</v>
      </c>
      <c r="BO891" s="23" t="e">
        <f t="shared" si="274"/>
        <v>#DIV/0!</v>
      </c>
      <c r="BP891" s="7" t="e">
        <f>VLOOKUP(A891,[1]Sheet15!B:E,4,0)</f>
        <v>#N/A</v>
      </c>
      <c r="BQ891" s="7" t="e">
        <f>VLOOKUP(A891,[1]Sheet15!B:E,3,0)</f>
        <v>#N/A</v>
      </c>
    </row>
    <row r="892" spans="1:69" ht="22.5" customHeight="1" x14ac:dyDescent="0.25">
      <c r="A892" s="38" t="s">
        <v>2119</v>
      </c>
      <c r="B892" s="15">
        <f>VLOOKUP(A892,'[1]Master clients'!F871:W4418,17,0)</f>
        <v>0</v>
      </c>
      <c r="C892" s="15" t="str">
        <f>VLOOKUP(A892,'[1]Master clients'!F871:P4418,11,0)</f>
        <v>NI</v>
      </c>
      <c r="D892" s="15" t="str">
        <f>VLOOKUP(A892,'[1]Master clients'!F:M,8,0)</f>
        <v>End User</v>
      </c>
      <c r="E892" s="39" t="s">
        <v>2120</v>
      </c>
      <c r="F892" s="39" t="s">
        <v>2118</v>
      </c>
      <c r="G892" s="17"/>
      <c r="H892" s="17"/>
      <c r="I892" s="31">
        <v>0</v>
      </c>
      <c r="J892" s="31">
        <v>0</v>
      </c>
      <c r="K892" s="17">
        <v>0</v>
      </c>
      <c r="L892" s="17">
        <v>0</v>
      </c>
      <c r="M892" s="17">
        <v>0</v>
      </c>
      <c r="N892" s="17">
        <v>0</v>
      </c>
      <c r="O892" s="17">
        <v>0</v>
      </c>
      <c r="P892" s="17">
        <v>0</v>
      </c>
      <c r="Q892" s="17">
        <v>0</v>
      </c>
      <c r="R892" s="17">
        <v>0</v>
      </c>
      <c r="S892" s="17">
        <v>0</v>
      </c>
      <c r="T892" s="17">
        <v>0</v>
      </c>
      <c r="U892" s="17">
        <v>0</v>
      </c>
      <c r="V892" s="17">
        <v>0</v>
      </c>
      <c r="W892" s="17">
        <v>0</v>
      </c>
      <c r="X892" s="17">
        <v>0</v>
      </c>
      <c r="Y892" s="17">
        <v>0</v>
      </c>
      <c r="Z892" s="17">
        <v>0</v>
      </c>
      <c r="AA892" s="17">
        <v>0</v>
      </c>
      <c r="AB892" s="17">
        <v>0</v>
      </c>
      <c r="AC892" s="17">
        <v>0</v>
      </c>
      <c r="AD892" s="17">
        <v>0</v>
      </c>
      <c r="AE892" s="17">
        <v>0</v>
      </c>
      <c r="AF892" s="17">
        <v>0</v>
      </c>
      <c r="AG892" s="17">
        <v>0</v>
      </c>
      <c r="AH892" s="17">
        <v>0</v>
      </c>
      <c r="AI892" s="17">
        <v>0</v>
      </c>
      <c r="AJ892" s="17">
        <v>0</v>
      </c>
      <c r="AK892" s="17">
        <v>0</v>
      </c>
      <c r="AL892" s="17">
        <v>0</v>
      </c>
      <c r="AM892" s="17">
        <v>0</v>
      </c>
      <c r="AN892" s="17">
        <v>0</v>
      </c>
      <c r="AO892" s="17">
        <v>0</v>
      </c>
      <c r="AP892" s="17">
        <v>0</v>
      </c>
      <c r="AQ892" s="17">
        <v>0</v>
      </c>
      <c r="AR892" s="17">
        <v>0</v>
      </c>
      <c r="AS892" s="17">
        <v>0</v>
      </c>
      <c r="AT892" s="17">
        <v>0</v>
      </c>
      <c r="AU892" s="17">
        <v>0</v>
      </c>
      <c r="AV892" s="17">
        <v>0</v>
      </c>
      <c r="AW892" s="17">
        <v>0</v>
      </c>
      <c r="AX892" s="17">
        <v>0</v>
      </c>
      <c r="AY892" s="17">
        <v>0</v>
      </c>
      <c r="AZ892" s="17">
        <v>0</v>
      </c>
      <c r="BA892" s="17">
        <v>0</v>
      </c>
      <c r="BB892" s="17">
        <v>0</v>
      </c>
      <c r="BC892" s="17">
        <v>0</v>
      </c>
      <c r="BD892" s="17">
        <v>0</v>
      </c>
      <c r="BE892" s="17">
        <v>0</v>
      </c>
      <c r="BF892" s="17">
        <v>0</v>
      </c>
      <c r="BG892" s="17">
        <v>0</v>
      </c>
      <c r="BH892" s="17">
        <v>0</v>
      </c>
      <c r="BI892" s="22">
        <f t="shared" si="270"/>
        <v>0</v>
      </c>
      <c r="BJ892" s="22">
        <f t="shared" si="271"/>
        <v>0</v>
      </c>
      <c r="BK892" s="22">
        <f t="shared" si="272"/>
        <v>0</v>
      </c>
      <c r="BL892" s="22">
        <f t="shared" si="273"/>
        <v>0</v>
      </c>
      <c r="BM892" s="22">
        <f t="shared" si="275"/>
        <v>0</v>
      </c>
      <c r="BN892" s="23" t="e">
        <f t="shared" si="274"/>
        <v>#DIV/0!</v>
      </c>
      <c r="BO892" s="23" t="e">
        <f t="shared" si="274"/>
        <v>#DIV/0!</v>
      </c>
      <c r="BP892" s="7" t="e">
        <f>VLOOKUP(A892,[1]Sheet15!B:E,4,0)</f>
        <v>#N/A</v>
      </c>
      <c r="BQ892" s="7" t="e">
        <f>VLOOKUP(A892,[1]Sheet15!B:E,3,0)</f>
        <v>#N/A</v>
      </c>
    </row>
    <row r="893" spans="1:69" ht="22.5" customHeight="1" x14ac:dyDescent="0.25">
      <c r="A893" s="38" t="s">
        <v>2121</v>
      </c>
      <c r="B893" s="15">
        <f>VLOOKUP(A893,'[1]Master clients'!F872:W4419,17,0)</f>
        <v>0</v>
      </c>
      <c r="C893" s="15" t="str">
        <f>VLOOKUP(A893,'[1]Master clients'!F872:P4419,11,0)</f>
        <v>SI-GS</v>
      </c>
      <c r="D893" s="15" t="str">
        <f>VLOOKUP(A893,'[1]Master clients'!F:M,8,0)</f>
        <v>End User</v>
      </c>
      <c r="E893" s="39" t="s">
        <v>2122</v>
      </c>
      <c r="F893" s="39" t="s">
        <v>2123</v>
      </c>
      <c r="G893" s="17"/>
      <c r="H893" s="17"/>
      <c r="I893" s="26">
        <v>8</v>
      </c>
      <c r="J893" s="31">
        <v>0</v>
      </c>
      <c r="K893" s="17">
        <v>0</v>
      </c>
      <c r="L893" s="17">
        <v>0</v>
      </c>
      <c r="M893" s="17">
        <v>0</v>
      </c>
      <c r="N893" s="17">
        <v>0</v>
      </c>
      <c r="O893" s="17">
        <v>0</v>
      </c>
      <c r="P893" s="17">
        <v>0</v>
      </c>
      <c r="Q893" s="17">
        <v>0</v>
      </c>
      <c r="R893" s="17">
        <v>0</v>
      </c>
      <c r="S893" s="17">
        <v>0</v>
      </c>
      <c r="T893" s="17">
        <v>0</v>
      </c>
      <c r="U893" s="17">
        <v>0</v>
      </c>
      <c r="V893" s="17">
        <v>0</v>
      </c>
      <c r="W893" s="17">
        <v>0</v>
      </c>
      <c r="X893" s="17">
        <v>0</v>
      </c>
      <c r="Y893" s="17">
        <v>0</v>
      </c>
      <c r="Z893" s="17">
        <v>0</v>
      </c>
      <c r="AA893" s="17">
        <v>0</v>
      </c>
      <c r="AB893" s="17">
        <v>0</v>
      </c>
      <c r="AC893" s="17">
        <v>0</v>
      </c>
      <c r="AD893" s="17">
        <v>0</v>
      </c>
      <c r="AE893" s="17">
        <v>0</v>
      </c>
      <c r="AF893" s="17">
        <v>0</v>
      </c>
      <c r="AG893" s="17">
        <v>0</v>
      </c>
      <c r="AH893" s="17">
        <v>0</v>
      </c>
      <c r="AI893" s="17">
        <v>0</v>
      </c>
      <c r="AJ893" s="17">
        <v>0</v>
      </c>
      <c r="AK893" s="17">
        <v>0</v>
      </c>
      <c r="AL893" s="17">
        <v>0</v>
      </c>
      <c r="AM893" s="17">
        <v>0</v>
      </c>
      <c r="AN893" s="17">
        <v>0</v>
      </c>
      <c r="AO893" s="17">
        <v>0</v>
      </c>
      <c r="AP893" s="17">
        <v>0</v>
      </c>
      <c r="AQ893" s="17">
        <v>0</v>
      </c>
      <c r="AR893" s="17">
        <v>0</v>
      </c>
      <c r="AS893" s="17">
        <v>0</v>
      </c>
      <c r="AT893" s="17">
        <v>0</v>
      </c>
      <c r="AU893" s="17">
        <v>0</v>
      </c>
      <c r="AV893" s="17">
        <v>0</v>
      </c>
      <c r="AW893" s="17">
        <v>0</v>
      </c>
      <c r="AX893" s="17">
        <v>0</v>
      </c>
      <c r="AY893" s="17">
        <v>0</v>
      </c>
      <c r="AZ893" s="17">
        <v>0</v>
      </c>
      <c r="BA893" s="17">
        <v>0</v>
      </c>
      <c r="BB893" s="17">
        <v>0</v>
      </c>
      <c r="BC893" s="17">
        <v>0</v>
      </c>
      <c r="BD893" s="17">
        <v>0</v>
      </c>
      <c r="BE893" s="17">
        <v>0</v>
      </c>
      <c r="BF893" s="17">
        <v>0</v>
      </c>
      <c r="BG893" s="17">
        <v>0</v>
      </c>
      <c r="BH893" s="17">
        <v>0</v>
      </c>
      <c r="BI893" s="22">
        <f t="shared" si="270"/>
        <v>0</v>
      </c>
      <c r="BJ893" s="22">
        <f t="shared" si="271"/>
        <v>0</v>
      </c>
      <c r="BK893" s="28">
        <f t="shared" si="272"/>
        <v>8</v>
      </c>
      <c r="BL893" s="22">
        <f t="shared" si="273"/>
        <v>8</v>
      </c>
      <c r="BM893" s="22">
        <f t="shared" si="275"/>
        <v>0</v>
      </c>
      <c r="BN893" s="23">
        <f t="shared" si="274"/>
        <v>1</v>
      </c>
      <c r="BO893" s="23" t="e">
        <f t="shared" si="274"/>
        <v>#DIV/0!</v>
      </c>
      <c r="BP893" s="7">
        <f>VLOOKUP(A893,[1]Sheet15!B:E,4,0)</f>
        <v>8</v>
      </c>
      <c r="BQ893" s="7">
        <f>VLOOKUP(A893,[1]Sheet15!B:E,3,0)</f>
        <v>0</v>
      </c>
    </row>
    <row r="894" spans="1:69" ht="22.5" customHeight="1" x14ac:dyDescent="0.25">
      <c r="A894" s="38" t="s">
        <v>2124</v>
      </c>
      <c r="B894" s="15">
        <f>VLOOKUP(A894,'[1]Master clients'!F873:W4420,17,0)</f>
        <v>0</v>
      </c>
      <c r="C894" s="15" t="str">
        <f>VLOOKUP(A894,'[1]Master clients'!F873:P4420,11,0)</f>
        <v>SI-GS</v>
      </c>
      <c r="D894" s="15" t="str">
        <f>VLOOKUP(A894,'[1]Master clients'!F:M,8,0)</f>
        <v>End User</v>
      </c>
      <c r="E894" s="39" t="s">
        <v>2125</v>
      </c>
      <c r="F894" s="39" t="s">
        <v>2123</v>
      </c>
      <c r="G894" s="17"/>
      <c r="H894" s="17"/>
      <c r="I894" s="26">
        <v>2</v>
      </c>
      <c r="J894" s="31">
        <v>0</v>
      </c>
      <c r="K894" s="17">
        <v>0</v>
      </c>
      <c r="L894" s="17">
        <v>0</v>
      </c>
      <c r="M894" s="17">
        <v>0</v>
      </c>
      <c r="N894" s="17">
        <v>0</v>
      </c>
      <c r="O894" s="17">
        <v>0</v>
      </c>
      <c r="P894" s="17">
        <v>0</v>
      </c>
      <c r="Q894" s="17">
        <v>0</v>
      </c>
      <c r="R894" s="17">
        <v>0</v>
      </c>
      <c r="S894" s="17">
        <v>0</v>
      </c>
      <c r="T894" s="17">
        <v>0</v>
      </c>
      <c r="U894" s="17">
        <v>0</v>
      </c>
      <c r="V894" s="17">
        <v>0</v>
      </c>
      <c r="W894" s="17">
        <v>0</v>
      </c>
      <c r="X894" s="17">
        <v>0</v>
      </c>
      <c r="Y894" s="17">
        <v>0</v>
      </c>
      <c r="Z894" s="17">
        <v>0</v>
      </c>
      <c r="AA894" s="17">
        <v>0</v>
      </c>
      <c r="AB894" s="17">
        <v>0</v>
      </c>
      <c r="AC894" s="17">
        <v>0</v>
      </c>
      <c r="AD894" s="17">
        <v>0</v>
      </c>
      <c r="AE894" s="17">
        <v>0</v>
      </c>
      <c r="AF894" s="17">
        <v>0</v>
      </c>
      <c r="AG894" s="17">
        <v>0</v>
      </c>
      <c r="AH894" s="17">
        <v>0</v>
      </c>
      <c r="AI894" s="17">
        <v>0</v>
      </c>
      <c r="AJ894" s="17">
        <v>0</v>
      </c>
      <c r="AK894" s="17">
        <v>0</v>
      </c>
      <c r="AL894" s="17">
        <v>0</v>
      </c>
      <c r="AM894" s="17">
        <v>0</v>
      </c>
      <c r="AN894" s="17">
        <v>0</v>
      </c>
      <c r="AO894" s="17">
        <v>0</v>
      </c>
      <c r="AP894" s="17">
        <v>0</v>
      </c>
      <c r="AQ894" s="17">
        <v>0</v>
      </c>
      <c r="AR894" s="17">
        <v>0</v>
      </c>
      <c r="AS894" s="17">
        <v>0</v>
      </c>
      <c r="AT894" s="17">
        <v>0</v>
      </c>
      <c r="AU894" s="17">
        <v>0</v>
      </c>
      <c r="AV894" s="17">
        <v>0</v>
      </c>
      <c r="AW894" s="17">
        <v>0</v>
      </c>
      <c r="AX894" s="17">
        <v>0</v>
      </c>
      <c r="AY894" s="17">
        <v>0</v>
      </c>
      <c r="AZ894" s="17">
        <v>0</v>
      </c>
      <c r="BA894" s="17">
        <v>0</v>
      </c>
      <c r="BB894" s="17">
        <v>0</v>
      </c>
      <c r="BC894" s="17">
        <v>0</v>
      </c>
      <c r="BD894" s="17">
        <v>0</v>
      </c>
      <c r="BE894" s="17">
        <v>0</v>
      </c>
      <c r="BF894" s="17">
        <v>0</v>
      </c>
      <c r="BG894" s="17">
        <v>0</v>
      </c>
      <c r="BH894" s="17">
        <v>0</v>
      </c>
      <c r="BI894" s="22">
        <f t="shared" si="270"/>
        <v>0</v>
      </c>
      <c r="BJ894" s="22">
        <f t="shared" si="271"/>
        <v>0</v>
      </c>
      <c r="BK894" s="28">
        <f t="shared" si="272"/>
        <v>2</v>
      </c>
      <c r="BL894" s="22">
        <f t="shared" si="273"/>
        <v>2</v>
      </c>
      <c r="BM894" s="22">
        <f t="shared" si="275"/>
        <v>0</v>
      </c>
      <c r="BN894" s="23">
        <f t="shared" si="274"/>
        <v>1</v>
      </c>
      <c r="BO894" s="23" t="e">
        <f t="shared" si="274"/>
        <v>#DIV/0!</v>
      </c>
      <c r="BP894" s="7">
        <f>VLOOKUP(A894,[1]Sheet15!B:E,4,0)</f>
        <v>2</v>
      </c>
      <c r="BQ894" s="7">
        <f>VLOOKUP(A894,[1]Sheet15!B:E,3,0)</f>
        <v>0</v>
      </c>
    </row>
    <row r="895" spans="1:69" ht="22.5" customHeight="1" x14ac:dyDescent="0.25">
      <c r="A895" s="38" t="s">
        <v>2126</v>
      </c>
      <c r="B895" s="15" t="e">
        <f>VLOOKUP(A895,'[1]Master clients'!F874:W4421,17,0)</f>
        <v>#N/A</v>
      </c>
      <c r="C895" s="15" t="e">
        <f>VLOOKUP(A895,'[1]Master clients'!F874:P4421,11,0)</f>
        <v>#N/A</v>
      </c>
      <c r="D895" s="15" t="str">
        <f>VLOOKUP(A895,'[1]Master clients'!F:M,8,0)</f>
        <v>End User</v>
      </c>
      <c r="E895" s="39" t="s">
        <v>2127</v>
      </c>
      <c r="F895" s="39" t="s">
        <v>2128</v>
      </c>
      <c r="G895" s="17">
        <v>15</v>
      </c>
      <c r="H895" s="17">
        <v>9</v>
      </c>
      <c r="I895" s="18">
        <v>18</v>
      </c>
      <c r="J895" s="17">
        <v>9</v>
      </c>
      <c r="K895" s="17">
        <v>0</v>
      </c>
      <c r="L895" s="17">
        <v>0</v>
      </c>
      <c r="M895" s="17">
        <v>0</v>
      </c>
      <c r="N895" s="17">
        <v>0</v>
      </c>
      <c r="O895" s="19">
        <v>0</v>
      </c>
      <c r="P895" s="19">
        <v>0</v>
      </c>
      <c r="Q895" s="19">
        <v>10</v>
      </c>
      <c r="R895" s="19">
        <v>0</v>
      </c>
      <c r="S895" s="19">
        <v>0</v>
      </c>
      <c r="T895" s="19">
        <v>0</v>
      </c>
      <c r="U895" s="19">
        <v>0</v>
      </c>
      <c r="V895" s="19">
        <v>0</v>
      </c>
      <c r="W895" s="20">
        <v>0</v>
      </c>
      <c r="X895" s="20">
        <v>0</v>
      </c>
      <c r="Y895" s="19">
        <v>0</v>
      </c>
      <c r="Z895" s="19">
        <v>0</v>
      </c>
      <c r="AA895" s="19">
        <v>0</v>
      </c>
      <c r="AB895" s="19">
        <v>0</v>
      </c>
      <c r="AC895" s="19">
        <v>0</v>
      </c>
      <c r="AD895" s="19">
        <v>0</v>
      </c>
      <c r="AE895" s="19">
        <v>0</v>
      </c>
      <c r="AF895" s="19">
        <v>0</v>
      </c>
      <c r="AG895" s="19">
        <v>0</v>
      </c>
      <c r="AH895" s="19">
        <v>0</v>
      </c>
      <c r="AI895" s="20">
        <v>0</v>
      </c>
      <c r="AJ895" s="20">
        <v>0</v>
      </c>
      <c r="AK895" s="19">
        <v>0</v>
      </c>
      <c r="AL895" s="20">
        <v>0</v>
      </c>
      <c r="AM895" s="19">
        <v>0</v>
      </c>
      <c r="AN895" s="19">
        <v>0</v>
      </c>
      <c r="AO895" s="19">
        <v>0</v>
      </c>
      <c r="AP895" s="19">
        <v>0</v>
      </c>
      <c r="AQ895" s="19">
        <v>0</v>
      </c>
      <c r="AR895" s="19">
        <v>0</v>
      </c>
      <c r="AS895" s="19">
        <v>0</v>
      </c>
      <c r="AT895" s="19">
        <v>0</v>
      </c>
      <c r="AU895" s="19">
        <v>0</v>
      </c>
      <c r="AV895" s="19">
        <v>0</v>
      </c>
      <c r="AW895" s="20">
        <v>0</v>
      </c>
      <c r="AX895" s="20">
        <v>0</v>
      </c>
      <c r="AY895" s="20">
        <v>0</v>
      </c>
      <c r="AZ895" s="19">
        <v>0</v>
      </c>
      <c r="BA895" s="19">
        <v>0</v>
      </c>
      <c r="BB895" s="19">
        <v>0</v>
      </c>
      <c r="BC895" s="19">
        <v>0</v>
      </c>
      <c r="BD895" s="19">
        <v>0</v>
      </c>
      <c r="BE895" s="21">
        <v>0</v>
      </c>
      <c r="BF895" s="21">
        <v>0</v>
      </c>
      <c r="BG895" s="19">
        <v>0</v>
      </c>
      <c r="BH895" s="19">
        <v>0</v>
      </c>
      <c r="BI895" s="22">
        <f t="shared" si="270"/>
        <v>0</v>
      </c>
      <c r="BJ895" s="22">
        <f t="shared" si="271"/>
        <v>10</v>
      </c>
      <c r="BK895" s="22">
        <f t="shared" si="272"/>
        <v>37</v>
      </c>
      <c r="BL895" s="22">
        <f t="shared" si="273"/>
        <v>18</v>
      </c>
      <c r="BM895" s="22">
        <f t="shared" si="275"/>
        <v>19</v>
      </c>
      <c r="BN895" s="23">
        <f t="shared" si="274"/>
        <v>1</v>
      </c>
      <c r="BO895" s="23">
        <f t="shared" si="274"/>
        <v>0.47368421052631576</v>
      </c>
      <c r="BP895" s="7">
        <f>VLOOKUP(A895,[1]Sheet15!B:E,4,0)</f>
        <v>3</v>
      </c>
      <c r="BQ895" s="7">
        <f>VLOOKUP(A895,[1]Sheet15!B:E,3,0)</f>
        <v>0</v>
      </c>
    </row>
    <row r="896" spans="1:69" ht="22.5" customHeight="1" x14ac:dyDescent="0.25">
      <c r="A896" s="38" t="s">
        <v>2129</v>
      </c>
      <c r="B896" s="15" t="str">
        <f>VLOOKUP(A896,'[1]Master clients'!F875:W4422,17,0)</f>
        <v>Apr</v>
      </c>
      <c r="C896" s="15" t="str">
        <f>VLOOKUP(A896,'[1]Master clients'!F875:P4422,11,0)</f>
        <v>MRK</v>
      </c>
      <c r="D896" s="15" t="str">
        <f>VLOOKUP(A896,'[1]Master clients'!F:M,8,0)</f>
        <v>End User</v>
      </c>
      <c r="E896" s="39" t="s">
        <v>2130</v>
      </c>
      <c r="F896" s="42" t="s">
        <v>104</v>
      </c>
      <c r="G896" s="17"/>
      <c r="H896" s="17"/>
      <c r="I896" s="18">
        <v>11</v>
      </c>
      <c r="J896" s="18">
        <v>2</v>
      </c>
      <c r="K896" s="17">
        <v>0</v>
      </c>
      <c r="L896" s="17">
        <v>0</v>
      </c>
      <c r="M896" s="17">
        <v>0</v>
      </c>
      <c r="N896" s="17">
        <v>0</v>
      </c>
      <c r="O896" s="19">
        <v>0</v>
      </c>
      <c r="P896" s="19">
        <v>1</v>
      </c>
      <c r="Q896" s="19">
        <v>5</v>
      </c>
      <c r="R896" s="19">
        <v>0</v>
      </c>
      <c r="S896" s="19">
        <v>0</v>
      </c>
      <c r="T896" s="19">
        <v>0</v>
      </c>
      <c r="U896" s="19">
        <v>0</v>
      </c>
      <c r="V896" s="19">
        <v>0</v>
      </c>
      <c r="W896" s="20">
        <v>0</v>
      </c>
      <c r="X896" s="20">
        <v>0</v>
      </c>
      <c r="Y896" s="19">
        <v>0</v>
      </c>
      <c r="Z896" s="19">
        <v>0</v>
      </c>
      <c r="AA896" s="19">
        <v>0</v>
      </c>
      <c r="AB896" s="19">
        <v>0</v>
      </c>
      <c r="AC896" s="19">
        <v>0</v>
      </c>
      <c r="AD896" s="19">
        <v>0</v>
      </c>
      <c r="AE896" s="19">
        <v>0</v>
      </c>
      <c r="AF896" s="19">
        <v>0</v>
      </c>
      <c r="AG896" s="19">
        <v>0</v>
      </c>
      <c r="AH896" s="19">
        <v>0</v>
      </c>
      <c r="AI896" s="20">
        <v>0</v>
      </c>
      <c r="AJ896" s="20">
        <v>0</v>
      </c>
      <c r="AK896" s="19">
        <v>0</v>
      </c>
      <c r="AL896" s="20">
        <v>0</v>
      </c>
      <c r="AM896" s="19">
        <v>0</v>
      </c>
      <c r="AN896" s="19">
        <v>0</v>
      </c>
      <c r="AO896" s="19">
        <v>0</v>
      </c>
      <c r="AP896" s="19">
        <v>0</v>
      </c>
      <c r="AQ896" s="19">
        <v>0</v>
      </c>
      <c r="AR896" s="19">
        <v>0</v>
      </c>
      <c r="AS896" s="19">
        <v>0</v>
      </c>
      <c r="AT896" s="19">
        <v>0</v>
      </c>
      <c r="AU896" s="19">
        <v>0</v>
      </c>
      <c r="AV896" s="19">
        <v>0</v>
      </c>
      <c r="AW896" s="20">
        <v>0</v>
      </c>
      <c r="AX896" s="20">
        <v>0</v>
      </c>
      <c r="AY896" s="20">
        <v>0</v>
      </c>
      <c r="AZ896" s="19">
        <v>0</v>
      </c>
      <c r="BA896" s="19">
        <v>0</v>
      </c>
      <c r="BB896" s="19">
        <v>0</v>
      </c>
      <c r="BC896" s="19">
        <v>0</v>
      </c>
      <c r="BD896" s="19">
        <v>0</v>
      </c>
      <c r="BE896" s="21">
        <v>0</v>
      </c>
      <c r="BF896" s="21">
        <v>0</v>
      </c>
      <c r="BG896" s="19">
        <v>0</v>
      </c>
      <c r="BH896" s="19">
        <v>0</v>
      </c>
      <c r="BI896" s="22">
        <f t="shared" si="270"/>
        <v>1</v>
      </c>
      <c r="BJ896" s="22">
        <f t="shared" si="271"/>
        <v>5</v>
      </c>
      <c r="BK896" s="22">
        <f t="shared" si="272"/>
        <v>19</v>
      </c>
      <c r="BL896" s="22">
        <f t="shared" si="273"/>
        <v>12</v>
      </c>
      <c r="BM896" s="22">
        <f t="shared" si="275"/>
        <v>7</v>
      </c>
      <c r="BN896" s="23">
        <f t="shared" ref="BN896:BO911" si="276">I896/BL896</f>
        <v>0.91666666666666663</v>
      </c>
      <c r="BO896" s="23">
        <f t="shared" si="276"/>
        <v>0.2857142857142857</v>
      </c>
      <c r="BP896" s="7" t="e">
        <f>VLOOKUP(A896,[1]Sheet15!B:E,4,0)</f>
        <v>#N/A</v>
      </c>
      <c r="BQ896" s="7" t="e">
        <f>VLOOKUP(A896,[1]Sheet15!B:E,3,0)</f>
        <v>#N/A</v>
      </c>
    </row>
    <row r="897" spans="1:69" ht="22.5" customHeight="1" x14ac:dyDescent="0.25">
      <c r="A897" s="38" t="s">
        <v>2131</v>
      </c>
      <c r="B897" s="15" t="e">
        <f>VLOOKUP(A897,'[1]Master clients'!F876:W4423,17,0)</f>
        <v>#N/A</v>
      </c>
      <c r="C897" s="15" t="e">
        <f>VLOOKUP(A897,'[1]Master clients'!F876:P4423,11,0)</f>
        <v>#N/A</v>
      </c>
      <c r="D897" s="15" t="str">
        <f>VLOOKUP(A897,'[1]Master clients'!F:M,8,0)</f>
        <v>End User</v>
      </c>
      <c r="E897" s="39" t="s">
        <v>2132</v>
      </c>
      <c r="F897" s="39" t="s">
        <v>2133</v>
      </c>
      <c r="G897" s="17"/>
      <c r="H897" s="17"/>
      <c r="I897" s="26">
        <v>3</v>
      </c>
      <c r="J897" s="18">
        <v>0</v>
      </c>
      <c r="K897" s="17">
        <v>0</v>
      </c>
      <c r="L897" s="17">
        <v>0</v>
      </c>
      <c r="M897" s="17">
        <v>0</v>
      </c>
      <c r="N897" s="17">
        <v>0</v>
      </c>
      <c r="O897" s="17">
        <v>0</v>
      </c>
      <c r="P897" s="17">
        <v>0</v>
      </c>
      <c r="Q897" s="17">
        <v>0</v>
      </c>
      <c r="R897" s="17">
        <v>0</v>
      </c>
      <c r="S897" s="17">
        <v>0</v>
      </c>
      <c r="T897" s="17">
        <v>0</v>
      </c>
      <c r="U897" s="17">
        <v>0</v>
      </c>
      <c r="V897" s="17">
        <v>0</v>
      </c>
      <c r="W897" s="17">
        <v>0</v>
      </c>
      <c r="X897" s="17">
        <v>0</v>
      </c>
      <c r="Y897" s="17">
        <v>0</v>
      </c>
      <c r="Z897" s="17">
        <v>0</v>
      </c>
      <c r="AA897" s="17">
        <v>0</v>
      </c>
      <c r="AB897" s="17">
        <v>0</v>
      </c>
      <c r="AC897" s="17">
        <v>0</v>
      </c>
      <c r="AD897" s="17">
        <v>0</v>
      </c>
      <c r="AE897" s="17">
        <v>0</v>
      </c>
      <c r="AF897" s="17">
        <v>0</v>
      </c>
      <c r="AG897" s="17">
        <v>0</v>
      </c>
      <c r="AH897" s="17">
        <v>0</v>
      </c>
      <c r="AI897" s="17">
        <v>0</v>
      </c>
      <c r="AJ897" s="17">
        <v>0</v>
      </c>
      <c r="AK897" s="17">
        <v>0</v>
      </c>
      <c r="AL897" s="17">
        <v>0</v>
      </c>
      <c r="AM897" s="17">
        <v>0</v>
      </c>
      <c r="AN897" s="17">
        <v>0</v>
      </c>
      <c r="AO897" s="17">
        <v>0</v>
      </c>
      <c r="AP897" s="17">
        <v>0</v>
      </c>
      <c r="AQ897" s="17">
        <v>0</v>
      </c>
      <c r="AR897" s="17">
        <v>0</v>
      </c>
      <c r="AS897" s="17">
        <v>0</v>
      </c>
      <c r="AT897" s="17">
        <v>0</v>
      </c>
      <c r="AU897" s="17">
        <v>0</v>
      </c>
      <c r="AV897" s="17">
        <v>0</v>
      </c>
      <c r="AW897" s="17">
        <v>0</v>
      </c>
      <c r="AX897" s="17">
        <v>0</v>
      </c>
      <c r="AY897" s="17">
        <v>0</v>
      </c>
      <c r="AZ897" s="17">
        <v>0</v>
      </c>
      <c r="BA897" s="17">
        <v>0</v>
      </c>
      <c r="BB897" s="17">
        <v>0</v>
      </c>
      <c r="BC897" s="17">
        <v>0</v>
      </c>
      <c r="BD897" s="17">
        <v>0</v>
      </c>
      <c r="BE897" s="17">
        <v>0</v>
      </c>
      <c r="BF897" s="17">
        <v>0</v>
      </c>
      <c r="BG897" s="17">
        <v>0</v>
      </c>
      <c r="BH897" s="17">
        <v>0</v>
      </c>
      <c r="BI897" s="22">
        <f>SUM(M897+N897+P897+R897+T897+W897+Z897+AC897+AE897+AL897+AO897+AP897+AS897+AW897+AX897+BC897+BE897+BG897)</f>
        <v>0</v>
      </c>
      <c r="BJ897" s="22">
        <f>SUM(H897:BG897)</f>
        <v>3</v>
      </c>
      <c r="BK897" s="22">
        <f>SUM(H897+J897+K897+L897+O897+Q897+S897+U897+V897+X897+Y897+AA897+AB897+AD897+AF897+AG897+AH897+AI897+AJ897+AK897+AM897+AN897+AQ897+AR897+AT897+AU897+AV897+AY897+AZ897+BA897+BB897+BF897+BD897)</f>
        <v>0</v>
      </c>
      <c r="BL897" s="22">
        <f t="shared" ref="BL897:BM912" si="277">SUM(I897+M897+N897+P897+R897+T897+W897+Z897+AC897+AE897+AL897+AO897+AP897+AS897+AW897+AX897+BC897+BG897)</f>
        <v>3</v>
      </c>
      <c r="BM897" s="22">
        <f t="shared" si="277"/>
        <v>0</v>
      </c>
      <c r="BN897" s="23">
        <f t="shared" si="276"/>
        <v>1</v>
      </c>
      <c r="BO897" s="23" t="e">
        <f t="shared" si="276"/>
        <v>#DIV/0!</v>
      </c>
      <c r="BP897" s="7">
        <f>VLOOKUP(A897,[1]Sheet15!B:E,4,0)</f>
        <v>3</v>
      </c>
      <c r="BQ897" s="7">
        <f>VLOOKUP(A897,[1]Sheet15!B:E,3,0)</f>
        <v>0</v>
      </c>
    </row>
    <row r="898" spans="1:69" ht="22.5" customHeight="1" x14ac:dyDescent="0.25">
      <c r="A898" s="38" t="s">
        <v>2134</v>
      </c>
      <c r="B898" s="15" t="e">
        <f>VLOOKUP(A898,'[1]Master clients'!F877:W4424,17,0)</f>
        <v>#N/A</v>
      </c>
      <c r="C898" s="15" t="e">
        <f>VLOOKUP(A898,'[1]Master clients'!F877:P4424,11,0)</f>
        <v>#N/A</v>
      </c>
      <c r="D898" s="15" t="str">
        <f>VLOOKUP(A898,'[1]Master clients'!F:M,8,0)</f>
        <v>End User</v>
      </c>
      <c r="E898" s="39" t="s">
        <v>2135</v>
      </c>
      <c r="F898" s="39" t="s">
        <v>2136</v>
      </c>
      <c r="G898" s="17"/>
      <c r="H898" s="17"/>
      <c r="I898" s="26">
        <v>3</v>
      </c>
      <c r="J898" s="31">
        <v>0</v>
      </c>
      <c r="K898" s="17">
        <v>0</v>
      </c>
      <c r="L898" s="17">
        <v>0</v>
      </c>
      <c r="M898" s="17">
        <v>0</v>
      </c>
      <c r="N898" s="17">
        <v>0</v>
      </c>
      <c r="O898" s="17">
        <v>0</v>
      </c>
      <c r="P898" s="17">
        <v>0</v>
      </c>
      <c r="Q898" s="17">
        <v>0</v>
      </c>
      <c r="R898" s="17">
        <v>0</v>
      </c>
      <c r="S898" s="17">
        <v>0</v>
      </c>
      <c r="T898" s="17">
        <v>0</v>
      </c>
      <c r="U898" s="17">
        <v>0</v>
      </c>
      <c r="V898" s="17">
        <v>0</v>
      </c>
      <c r="W898" s="17">
        <v>0</v>
      </c>
      <c r="X898" s="17">
        <v>0</v>
      </c>
      <c r="Y898" s="17">
        <v>0</v>
      </c>
      <c r="Z898" s="17">
        <v>0</v>
      </c>
      <c r="AA898" s="17">
        <v>0</v>
      </c>
      <c r="AB898" s="17">
        <v>0</v>
      </c>
      <c r="AC898" s="17">
        <v>0</v>
      </c>
      <c r="AD898" s="17">
        <v>0</v>
      </c>
      <c r="AE898" s="17">
        <v>0</v>
      </c>
      <c r="AF898" s="17">
        <v>0</v>
      </c>
      <c r="AG898" s="17">
        <v>0</v>
      </c>
      <c r="AH898" s="17">
        <v>0</v>
      </c>
      <c r="AI898" s="17">
        <v>0</v>
      </c>
      <c r="AJ898" s="17">
        <v>0</v>
      </c>
      <c r="AK898" s="17">
        <v>0</v>
      </c>
      <c r="AL898" s="17">
        <v>0</v>
      </c>
      <c r="AM898" s="17">
        <v>0</v>
      </c>
      <c r="AN898" s="17">
        <v>0</v>
      </c>
      <c r="AO898" s="17">
        <v>0</v>
      </c>
      <c r="AP898" s="17">
        <v>0</v>
      </c>
      <c r="AQ898" s="17">
        <v>0</v>
      </c>
      <c r="AR898" s="17">
        <v>0</v>
      </c>
      <c r="AS898" s="17">
        <v>0</v>
      </c>
      <c r="AT898" s="17">
        <v>0</v>
      </c>
      <c r="AU898" s="17">
        <v>0</v>
      </c>
      <c r="AV898" s="17">
        <v>0</v>
      </c>
      <c r="AW898" s="17">
        <v>0</v>
      </c>
      <c r="AX898" s="17">
        <v>0</v>
      </c>
      <c r="AY898" s="17">
        <v>0</v>
      </c>
      <c r="AZ898" s="17">
        <v>0</v>
      </c>
      <c r="BA898" s="17">
        <v>0</v>
      </c>
      <c r="BB898" s="17">
        <v>0</v>
      </c>
      <c r="BC898" s="17">
        <v>0</v>
      </c>
      <c r="BD898" s="17">
        <v>0</v>
      </c>
      <c r="BE898" s="17">
        <v>0</v>
      </c>
      <c r="BF898" s="17">
        <v>0</v>
      </c>
      <c r="BG898" s="17">
        <v>0</v>
      </c>
      <c r="BH898" s="17">
        <v>0</v>
      </c>
      <c r="BI898" s="22">
        <f t="shared" ref="BI898:BI917" si="278">SUM(K898+L898+M898+P898+R898+T898+V898+W898+Y898+Z898+AB898+AC898+AE898+AG898+AH898+AI898+AJ898+AK898+AL898+AN898+AO898+AR898+AS898+AU898+AV898+AW898+AZ898+BA898+BB898+BC898+BE898+BG898)</f>
        <v>0</v>
      </c>
      <c r="BJ898" s="22">
        <f t="shared" ref="BJ898:BJ917" si="279">SUM(N898+O898+Q898+S898+U898+X898+AA898+AD898+AF898+AM898+AP898+AQ898+AT898+AX898+AY898+BD898+BF898+BH898)</f>
        <v>0</v>
      </c>
      <c r="BK898" s="28">
        <f t="shared" ref="BK898:BK917" si="280">SUM(I898:BH898)</f>
        <v>3</v>
      </c>
      <c r="BL898" s="22">
        <f t="shared" ref="BL898:BL917" si="281">SUM(I898+K898+L898+M898+P898+R898+T898+V898+W898+Y898+Z898+AB898+AC898+AE898+AG898+AH898+AI898+AJ898+AK898+AL898+AN898+AO898+AR898+AS898+AU898+AV898+AW898+AZ898+BA898+BB898+BC898+BG898+BE898)</f>
        <v>3</v>
      </c>
      <c r="BM898" s="22">
        <f t="shared" si="277"/>
        <v>0</v>
      </c>
      <c r="BN898" s="23">
        <f t="shared" si="276"/>
        <v>1</v>
      </c>
      <c r="BO898" s="23" t="e">
        <f t="shared" si="276"/>
        <v>#DIV/0!</v>
      </c>
      <c r="BP898" s="7">
        <f>VLOOKUP(A898,[1]Sheet15!B:E,4,0)</f>
        <v>3</v>
      </c>
      <c r="BQ898" s="7">
        <f>VLOOKUP(A898,[1]Sheet15!B:E,3,0)</f>
        <v>0</v>
      </c>
    </row>
    <row r="899" spans="1:69" ht="22.5" customHeight="1" x14ac:dyDescent="0.25">
      <c r="A899" s="38" t="s">
        <v>2137</v>
      </c>
      <c r="B899" s="15">
        <f>VLOOKUP(A899,'[1]Master clients'!F878:W4425,17,0)</f>
        <v>0</v>
      </c>
      <c r="C899" s="15" t="str">
        <f>VLOOKUP(A899,'[1]Master clients'!F878:P4425,11,0)</f>
        <v>SI-GS</v>
      </c>
      <c r="D899" s="15" t="str">
        <f>VLOOKUP(A899,'[1]Master clients'!F:M,8,0)</f>
        <v>End User</v>
      </c>
      <c r="E899" s="39" t="s">
        <v>2138</v>
      </c>
      <c r="F899" s="39" t="s">
        <v>2133</v>
      </c>
      <c r="G899" s="17"/>
      <c r="H899" s="17">
        <v>1</v>
      </c>
      <c r="I899" s="26">
        <v>7</v>
      </c>
      <c r="J899" s="31">
        <v>1</v>
      </c>
      <c r="K899" s="17">
        <v>0</v>
      </c>
      <c r="L899" s="17">
        <v>0</v>
      </c>
      <c r="M899" s="17">
        <v>0</v>
      </c>
      <c r="N899" s="17">
        <v>0</v>
      </c>
      <c r="O899" s="17">
        <v>0</v>
      </c>
      <c r="P899" s="17">
        <v>0</v>
      </c>
      <c r="Q899" s="17">
        <v>0</v>
      </c>
      <c r="R899" s="17">
        <v>0</v>
      </c>
      <c r="S899" s="17">
        <v>0</v>
      </c>
      <c r="T899" s="17">
        <v>0</v>
      </c>
      <c r="U899" s="17">
        <v>0</v>
      </c>
      <c r="V899" s="17">
        <v>0</v>
      </c>
      <c r="W899" s="17">
        <v>0</v>
      </c>
      <c r="X899" s="17">
        <v>0</v>
      </c>
      <c r="Y899" s="17">
        <v>0</v>
      </c>
      <c r="Z899" s="17">
        <v>0</v>
      </c>
      <c r="AA899" s="17">
        <v>0</v>
      </c>
      <c r="AB899" s="17">
        <v>0</v>
      </c>
      <c r="AC899" s="17">
        <v>0</v>
      </c>
      <c r="AD899" s="17">
        <v>0</v>
      </c>
      <c r="AE899" s="17">
        <v>0</v>
      </c>
      <c r="AF899" s="17">
        <v>0</v>
      </c>
      <c r="AG899" s="17">
        <v>0</v>
      </c>
      <c r="AH899" s="17">
        <v>0</v>
      </c>
      <c r="AI899" s="17">
        <v>0</v>
      </c>
      <c r="AJ899" s="17">
        <v>0</v>
      </c>
      <c r="AK899" s="17">
        <v>0</v>
      </c>
      <c r="AL899" s="17">
        <v>0</v>
      </c>
      <c r="AM899" s="17">
        <v>0</v>
      </c>
      <c r="AN899" s="17">
        <v>0</v>
      </c>
      <c r="AO899" s="17">
        <v>0</v>
      </c>
      <c r="AP899" s="17">
        <v>0</v>
      </c>
      <c r="AQ899" s="17">
        <v>0</v>
      </c>
      <c r="AR899" s="17">
        <v>0</v>
      </c>
      <c r="AS899" s="17">
        <v>0</v>
      </c>
      <c r="AT899" s="17">
        <v>0</v>
      </c>
      <c r="AU899" s="17">
        <v>0</v>
      </c>
      <c r="AV899" s="17">
        <v>0</v>
      </c>
      <c r="AW899" s="17">
        <v>0</v>
      </c>
      <c r="AX899" s="17">
        <v>0</v>
      </c>
      <c r="AY899" s="17">
        <v>0</v>
      </c>
      <c r="AZ899" s="17">
        <v>0</v>
      </c>
      <c r="BA899" s="17">
        <v>0</v>
      </c>
      <c r="BB899" s="17">
        <v>0</v>
      </c>
      <c r="BC899" s="17">
        <v>0</v>
      </c>
      <c r="BD899" s="17">
        <v>0</v>
      </c>
      <c r="BE899" s="17">
        <v>0</v>
      </c>
      <c r="BF899" s="17">
        <v>0</v>
      </c>
      <c r="BG899" s="17">
        <v>0</v>
      </c>
      <c r="BH899" s="17">
        <v>0</v>
      </c>
      <c r="BI899" s="22">
        <f t="shared" si="278"/>
        <v>0</v>
      </c>
      <c r="BJ899" s="22">
        <f t="shared" si="279"/>
        <v>0</v>
      </c>
      <c r="BK899" s="28">
        <f t="shared" si="280"/>
        <v>8</v>
      </c>
      <c r="BL899" s="22">
        <f t="shared" si="281"/>
        <v>7</v>
      </c>
      <c r="BM899" s="22">
        <f t="shared" si="277"/>
        <v>1</v>
      </c>
      <c r="BN899" s="23">
        <f t="shared" si="276"/>
        <v>1</v>
      </c>
      <c r="BO899" s="23">
        <f t="shared" si="276"/>
        <v>1</v>
      </c>
      <c r="BP899" s="7">
        <f>VLOOKUP(A899,[1]Sheet15!B:E,4,0)</f>
        <v>7</v>
      </c>
      <c r="BQ899" s="7">
        <f>VLOOKUP(A899,[1]Sheet15!B:E,3,0)</f>
        <v>1</v>
      </c>
    </row>
    <row r="900" spans="1:69" ht="22.5" customHeight="1" x14ac:dyDescent="0.25">
      <c r="A900" s="38" t="s">
        <v>2139</v>
      </c>
      <c r="B900" s="15">
        <f>VLOOKUP(A900,'[1]Master clients'!F879:W4426,17,0)</f>
        <v>0</v>
      </c>
      <c r="C900" s="15" t="str">
        <f>VLOOKUP(A900,'[1]Master clients'!F879:P4426,11,0)</f>
        <v>SI-GS</v>
      </c>
      <c r="D900" s="15" t="str">
        <f>VLOOKUP(A900,'[1]Master clients'!F:M,8,0)</f>
        <v>End User</v>
      </c>
      <c r="E900" s="39" t="s">
        <v>2140</v>
      </c>
      <c r="F900" s="39" t="s">
        <v>2133</v>
      </c>
      <c r="G900" s="17"/>
      <c r="H900" s="17">
        <v>1</v>
      </c>
      <c r="I900" s="26">
        <v>7</v>
      </c>
      <c r="J900" s="31">
        <v>1</v>
      </c>
      <c r="K900" s="17">
        <v>0</v>
      </c>
      <c r="L900" s="17">
        <v>0</v>
      </c>
      <c r="M900" s="17">
        <v>0</v>
      </c>
      <c r="N900" s="17">
        <v>0</v>
      </c>
      <c r="O900" s="17">
        <v>0</v>
      </c>
      <c r="P900" s="17">
        <v>0</v>
      </c>
      <c r="Q900" s="17">
        <v>0</v>
      </c>
      <c r="R900" s="17">
        <v>0</v>
      </c>
      <c r="S900" s="17">
        <v>0</v>
      </c>
      <c r="T900" s="17">
        <v>0</v>
      </c>
      <c r="U900" s="17">
        <v>0</v>
      </c>
      <c r="V900" s="17">
        <v>0</v>
      </c>
      <c r="W900" s="17">
        <v>0</v>
      </c>
      <c r="X900" s="17">
        <v>0</v>
      </c>
      <c r="Y900" s="17">
        <v>0</v>
      </c>
      <c r="Z900" s="17">
        <v>0</v>
      </c>
      <c r="AA900" s="17">
        <v>0</v>
      </c>
      <c r="AB900" s="17">
        <v>0</v>
      </c>
      <c r="AC900" s="17">
        <v>0</v>
      </c>
      <c r="AD900" s="17">
        <v>0</v>
      </c>
      <c r="AE900" s="17">
        <v>0</v>
      </c>
      <c r="AF900" s="17">
        <v>0</v>
      </c>
      <c r="AG900" s="17">
        <v>0</v>
      </c>
      <c r="AH900" s="17">
        <v>0</v>
      </c>
      <c r="AI900" s="17">
        <v>0</v>
      </c>
      <c r="AJ900" s="17">
        <v>0</v>
      </c>
      <c r="AK900" s="17">
        <v>0</v>
      </c>
      <c r="AL900" s="17">
        <v>0</v>
      </c>
      <c r="AM900" s="17">
        <v>0</v>
      </c>
      <c r="AN900" s="17">
        <v>0</v>
      </c>
      <c r="AO900" s="17">
        <v>0</v>
      </c>
      <c r="AP900" s="17">
        <v>0</v>
      </c>
      <c r="AQ900" s="17">
        <v>0</v>
      </c>
      <c r="AR900" s="17">
        <v>0</v>
      </c>
      <c r="AS900" s="17">
        <v>0</v>
      </c>
      <c r="AT900" s="17">
        <v>0</v>
      </c>
      <c r="AU900" s="17">
        <v>0</v>
      </c>
      <c r="AV900" s="17">
        <v>0</v>
      </c>
      <c r="AW900" s="17">
        <v>0</v>
      </c>
      <c r="AX900" s="17">
        <v>0</v>
      </c>
      <c r="AY900" s="17">
        <v>0</v>
      </c>
      <c r="AZ900" s="17">
        <v>0</v>
      </c>
      <c r="BA900" s="17">
        <v>0</v>
      </c>
      <c r="BB900" s="17">
        <v>0</v>
      </c>
      <c r="BC900" s="17">
        <v>0</v>
      </c>
      <c r="BD900" s="17">
        <v>0</v>
      </c>
      <c r="BE900" s="17">
        <v>0</v>
      </c>
      <c r="BF900" s="17">
        <v>0</v>
      </c>
      <c r="BG900" s="17">
        <v>0</v>
      </c>
      <c r="BH900" s="17">
        <v>0</v>
      </c>
      <c r="BI900" s="22">
        <f t="shared" si="278"/>
        <v>0</v>
      </c>
      <c r="BJ900" s="22">
        <f t="shared" si="279"/>
        <v>0</v>
      </c>
      <c r="BK900" s="28">
        <f t="shared" si="280"/>
        <v>8</v>
      </c>
      <c r="BL900" s="22">
        <f t="shared" si="281"/>
        <v>7</v>
      </c>
      <c r="BM900" s="22">
        <f t="shared" si="277"/>
        <v>1</v>
      </c>
      <c r="BN900" s="23">
        <f t="shared" si="276"/>
        <v>1</v>
      </c>
      <c r="BO900" s="23">
        <f t="shared" si="276"/>
        <v>1</v>
      </c>
      <c r="BP900" s="7">
        <f>VLOOKUP(A900,[1]Sheet15!B:E,4,0)</f>
        <v>7</v>
      </c>
      <c r="BQ900" s="7">
        <f>VLOOKUP(A900,[1]Sheet15!B:E,3,0)</f>
        <v>1</v>
      </c>
    </row>
    <row r="901" spans="1:69" ht="22.5" customHeight="1" x14ac:dyDescent="0.25">
      <c r="A901" s="38" t="s">
        <v>2141</v>
      </c>
      <c r="B901" s="15">
        <f>VLOOKUP(A901,'[1]Master clients'!F880:W4427,17,0)</f>
        <v>0</v>
      </c>
      <c r="C901" s="15" t="str">
        <f>VLOOKUP(A901,'[1]Master clients'!F880:P4427,11,0)</f>
        <v>SI-GS</v>
      </c>
      <c r="D901" s="15" t="str">
        <f>VLOOKUP(A901,'[1]Master clients'!F:M,8,0)</f>
        <v>End User</v>
      </c>
      <c r="E901" s="39" t="s">
        <v>2142</v>
      </c>
      <c r="F901" s="39" t="s">
        <v>2143</v>
      </c>
      <c r="G901" s="17"/>
      <c r="H901" s="17"/>
      <c r="I901" s="31">
        <v>0</v>
      </c>
      <c r="J901" s="31">
        <v>0</v>
      </c>
      <c r="K901" s="17">
        <v>0</v>
      </c>
      <c r="L901" s="17">
        <v>0</v>
      </c>
      <c r="M901" s="17">
        <v>0</v>
      </c>
      <c r="N901" s="17">
        <v>0</v>
      </c>
      <c r="O901" s="17">
        <v>0</v>
      </c>
      <c r="P901" s="17">
        <v>0</v>
      </c>
      <c r="Q901" s="17">
        <v>0</v>
      </c>
      <c r="R901" s="17">
        <v>0</v>
      </c>
      <c r="S901" s="17">
        <v>0</v>
      </c>
      <c r="T901" s="17">
        <v>0</v>
      </c>
      <c r="U901" s="17">
        <v>0</v>
      </c>
      <c r="V901" s="17">
        <v>0</v>
      </c>
      <c r="W901" s="17">
        <v>0</v>
      </c>
      <c r="X901" s="17">
        <v>0</v>
      </c>
      <c r="Y901" s="17">
        <v>0</v>
      </c>
      <c r="Z901" s="17">
        <v>0</v>
      </c>
      <c r="AA901" s="17">
        <v>0</v>
      </c>
      <c r="AB901" s="17">
        <v>0</v>
      </c>
      <c r="AC901" s="17">
        <v>0</v>
      </c>
      <c r="AD901" s="17">
        <v>0</v>
      </c>
      <c r="AE901" s="17">
        <v>0</v>
      </c>
      <c r="AF901" s="17">
        <v>0</v>
      </c>
      <c r="AG901" s="17">
        <v>0</v>
      </c>
      <c r="AH901" s="17">
        <v>0</v>
      </c>
      <c r="AI901" s="17">
        <v>0</v>
      </c>
      <c r="AJ901" s="17">
        <v>0</v>
      </c>
      <c r="AK901" s="17">
        <v>0</v>
      </c>
      <c r="AL901" s="17">
        <v>0</v>
      </c>
      <c r="AM901" s="17">
        <v>0</v>
      </c>
      <c r="AN901" s="17">
        <v>0</v>
      </c>
      <c r="AO901" s="17">
        <v>0</v>
      </c>
      <c r="AP901" s="17">
        <v>0</v>
      </c>
      <c r="AQ901" s="17">
        <v>0</v>
      </c>
      <c r="AR901" s="17">
        <v>0</v>
      </c>
      <c r="AS901" s="17">
        <v>0</v>
      </c>
      <c r="AT901" s="17">
        <v>0</v>
      </c>
      <c r="AU901" s="17">
        <v>0</v>
      </c>
      <c r="AV901" s="17">
        <v>0</v>
      </c>
      <c r="AW901" s="17">
        <v>0</v>
      </c>
      <c r="AX901" s="17">
        <v>0</v>
      </c>
      <c r="AY901" s="17">
        <v>0</v>
      </c>
      <c r="AZ901" s="17">
        <v>0</v>
      </c>
      <c r="BA901" s="17">
        <v>0</v>
      </c>
      <c r="BB901" s="17">
        <v>0</v>
      </c>
      <c r="BC901" s="17">
        <v>0</v>
      </c>
      <c r="BD901" s="17">
        <v>0</v>
      </c>
      <c r="BE901" s="17">
        <v>0</v>
      </c>
      <c r="BF901" s="17">
        <v>0</v>
      </c>
      <c r="BG901" s="17">
        <v>0</v>
      </c>
      <c r="BH901" s="17">
        <v>0</v>
      </c>
      <c r="BI901" s="22">
        <f t="shared" si="278"/>
        <v>0</v>
      </c>
      <c r="BJ901" s="22">
        <f t="shared" si="279"/>
        <v>0</v>
      </c>
      <c r="BK901" s="22">
        <f t="shared" si="280"/>
        <v>0</v>
      </c>
      <c r="BL901" s="22">
        <f t="shared" si="281"/>
        <v>0</v>
      </c>
      <c r="BM901" s="22">
        <f t="shared" si="277"/>
        <v>0</v>
      </c>
      <c r="BN901" s="23" t="e">
        <f t="shared" si="276"/>
        <v>#DIV/0!</v>
      </c>
      <c r="BO901" s="23" t="e">
        <f t="shared" si="276"/>
        <v>#DIV/0!</v>
      </c>
      <c r="BP901" s="7" t="e">
        <f>VLOOKUP(A901,[1]Sheet15!B:E,4,0)</f>
        <v>#N/A</v>
      </c>
      <c r="BQ901" s="7" t="e">
        <f>VLOOKUP(A901,[1]Sheet15!B:E,3,0)</f>
        <v>#N/A</v>
      </c>
    </row>
    <row r="902" spans="1:69" ht="22.5" customHeight="1" x14ac:dyDescent="0.25">
      <c r="A902" s="38" t="s">
        <v>2144</v>
      </c>
      <c r="B902" s="15">
        <f>VLOOKUP(A902,'[1]Master clients'!F881:W4428,17,0)</f>
        <v>0</v>
      </c>
      <c r="C902" s="15" t="str">
        <f>VLOOKUP(A902,'[1]Master clients'!F881:P4428,11,0)</f>
        <v>SI-GS</v>
      </c>
      <c r="D902" s="15" t="str">
        <f>VLOOKUP(A902,'[1]Master clients'!F:M,8,0)</f>
        <v>End User</v>
      </c>
      <c r="E902" s="39" t="s">
        <v>2145</v>
      </c>
      <c r="F902" s="39" t="s">
        <v>2146</v>
      </c>
      <c r="G902" s="17"/>
      <c r="H902" s="17"/>
      <c r="I902" s="26">
        <v>8</v>
      </c>
      <c r="J902" s="31">
        <v>0</v>
      </c>
      <c r="K902" s="17">
        <v>0</v>
      </c>
      <c r="L902" s="17">
        <v>0</v>
      </c>
      <c r="M902" s="17">
        <v>0</v>
      </c>
      <c r="N902" s="17">
        <v>0</v>
      </c>
      <c r="O902" s="17">
        <v>0</v>
      </c>
      <c r="P902" s="17">
        <v>0</v>
      </c>
      <c r="Q902" s="17">
        <v>0</v>
      </c>
      <c r="R902" s="17">
        <v>0</v>
      </c>
      <c r="S902" s="17">
        <v>0</v>
      </c>
      <c r="T902" s="17">
        <v>0</v>
      </c>
      <c r="U902" s="17">
        <v>0</v>
      </c>
      <c r="V902" s="17">
        <v>0</v>
      </c>
      <c r="W902" s="17">
        <v>0</v>
      </c>
      <c r="X902" s="17">
        <v>0</v>
      </c>
      <c r="Y902" s="17">
        <v>0</v>
      </c>
      <c r="Z902" s="17">
        <v>0</v>
      </c>
      <c r="AA902" s="17">
        <v>0</v>
      </c>
      <c r="AB902" s="17">
        <v>0</v>
      </c>
      <c r="AC902" s="17">
        <v>0</v>
      </c>
      <c r="AD902" s="17">
        <v>0</v>
      </c>
      <c r="AE902" s="17">
        <v>0</v>
      </c>
      <c r="AF902" s="17">
        <v>0</v>
      </c>
      <c r="AG902" s="17">
        <v>0</v>
      </c>
      <c r="AH902" s="17">
        <v>0</v>
      </c>
      <c r="AI902" s="17">
        <v>0</v>
      </c>
      <c r="AJ902" s="17">
        <v>0</v>
      </c>
      <c r="AK902" s="17">
        <v>0</v>
      </c>
      <c r="AL902" s="17">
        <v>0</v>
      </c>
      <c r="AM902" s="17">
        <v>0</v>
      </c>
      <c r="AN902" s="17">
        <v>0</v>
      </c>
      <c r="AO902" s="17">
        <v>0</v>
      </c>
      <c r="AP902" s="17">
        <v>0</v>
      </c>
      <c r="AQ902" s="17">
        <v>0</v>
      </c>
      <c r="AR902" s="17">
        <v>0</v>
      </c>
      <c r="AS902" s="17">
        <v>0</v>
      </c>
      <c r="AT902" s="17">
        <v>0</v>
      </c>
      <c r="AU902" s="17">
        <v>0</v>
      </c>
      <c r="AV902" s="17">
        <v>0</v>
      </c>
      <c r="AW902" s="17">
        <v>0</v>
      </c>
      <c r="AX902" s="17">
        <v>0</v>
      </c>
      <c r="AY902" s="17">
        <v>0</v>
      </c>
      <c r="AZ902" s="17">
        <v>0</v>
      </c>
      <c r="BA902" s="17">
        <v>0</v>
      </c>
      <c r="BB902" s="17">
        <v>0</v>
      </c>
      <c r="BC902" s="17">
        <v>0</v>
      </c>
      <c r="BD902" s="17">
        <v>0</v>
      </c>
      <c r="BE902" s="17">
        <v>0</v>
      </c>
      <c r="BF902" s="17">
        <v>0</v>
      </c>
      <c r="BG902" s="17">
        <v>0</v>
      </c>
      <c r="BH902" s="17">
        <v>0</v>
      </c>
      <c r="BI902" s="22">
        <f t="shared" si="278"/>
        <v>0</v>
      </c>
      <c r="BJ902" s="22">
        <f t="shared" si="279"/>
        <v>0</v>
      </c>
      <c r="BK902" s="28">
        <f t="shared" si="280"/>
        <v>8</v>
      </c>
      <c r="BL902" s="22">
        <f t="shared" si="281"/>
        <v>8</v>
      </c>
      <c r="BM902" s="22">
        <f t="shared" si="277"/>
        <v>0</v>
      </c>
      <c r="BN902" s="23">
        <f t="shared" si="276"/>
        <v>1</v>
      </c>
      <c r="BO902" s="23" t="e">
        <f t="shared" si="276"/>
        <v>#DIV/0!</v>
      </c>
      <c r="BP902" s="7">
        <f>VLOOKUP(A902,[1]Sheet15!B:E,4,0)</f>
        <v>8</v>
      </c>
      <c r="BQ902" s="7">
        <f>VLOOKUP(A902,[1]Sheet15!B:E,3,0)</f>
        <v>0</v>
      </c>
    </row>
    <row r="903" spans="1:69" ht="22.5" customHeight="1" x14ac:dyDescent="0.25">
      <c r="A903" s="38" t="s">
        <v>2147</v>
      </c>
      <c r="B903" s="15">
        <f>VLOOKUP(A903,'[1]Master clients'!F882:W4429,17,0)</f>
        <v>0</v>
      </c>
      <c r="C903" s="15" t="str">
        <f>VLOOKUP(A903,'[1]Master clients'!F882:P4429,11,0)</f>
        <v>SI-GS</v>
      </c>
      <c r="D903" s="15" t="str">
        <f>VLOOKUP(A903,'[1]Master clients'!F:M,8,0)</f>
        <v>End User</v>
      </c>
      <c r="E903" s="39" t="s">
        <v>2148</v>
      </c>
      <c r="F903" s="39" t="s">
        <v>2149</v>
      </c>
      <c r="G903" s="17"/>
      <c r="H903" s="17"/>
      <c r="I903" s="26">
        <v>7</v>
      </c>
      <c r="J903" s="31">
        <v>0</v>
      </c>
      <c r="K903" s="17">
        <v>0</v>
      </c>
      <c r="L903" s="17">
        <v>0</v>
      </c>
      <c r="M903" s="17">
        <v>0</v>
      </c>
      <c r="N903" s="17">
        <v>0</v>
      </c>
      <c r="O903" s="17">
        <v>0</v>
      </c>
      <c r="P903" s="17">
        <v>0</v>
      </c>
      <c r="Q903" s="17">
        <v>0</v>
      </c>
      <c r="R903" s="17">
        <v>0</v>
      </c>
      <c r="S903" s="17">
        <v>0</v>
      </c>
      <c r="T903" s="17">
        <v>0</v>
      </c>
      <c r="U903" s="17">
        <v>0</v>
      </c>
      <c r="V903" s="17">
        <v>0</v>
      </c>
      <c r="W903" s="17">
        <v>0</v>
      </c>
      <c r="X903" s="17">
        <v>0</v>
      </c>
      <c r="Y903" s="17">
        <v>0</v>
      </c>
      <c r="Z903" s="17">
        <v>0</v>
      </c>
      <c r="AA903" s="17">
        <v>0</v>
      </c>
      <c r="AB903" s="17">
        <v>0</v>
      </c>
      <c r="AC903" s="17">
        <v>0</v>
      </c>
      <c r="AD903" s="17">
        <v>0</v>
      </c>
      <c r="AE903" s="17">
        <v>0</v>
      </c>
      <c r="AF903" s="17">
        <v>0</v>
      </c>
      <c r="AG903" s="17">
        <v>0</v>
      </c>
      <c r="AH903" s="17">
        <v>0</v>
      </c>
      <c r="AI903" s="17">
        <v>0</v>
      </c>
      <c r="AJ903" s="17">
        <v>0</v>
      </c>
      <c r="AK903" s="17">
        <v>0</v>
      </c>
      <c r="AL903" s="17">
        <v>0</v>
      </c>
      <c r="AM903" s="17">
        <v>0</v>
      </c>
      <c r="AN903" s="17">
        <v>0</v>
      </c>
      <c r="AO903" s="17">
        <v>0</v>
      </c>
      <c r="AP903" s="17">
        <v>0</v>
      </c>
      <c r="AQ903" s="17">
        <v>0</v>
      </c>
      <c r="AR903" s="17">
        <v>0</v>
      </c>
      <c r="AS903" s="17">
        <v>0</v>
      </c>
      <c r="AT903" s="17">
        <v>0</v>
      </c>
      <c r="AU903" s="17">
        <v>0</v>
      </c>
      <c r="AV903" s="17">
        <v>0</v>
      </c>
      <c r="AW903" s="17">
        <v>0</v>
      </c>
      <c r="AX903" s="17">
        <v>0</v>
      </c>
      <c r="AY903" s="17">
        <v>0</v>
      </c>
      <c r="AZ903" s="17">
        <v>0</v>
      </c>
      <c r="BA903" s="17">
        <v>0</v>
      </c>
      <c r="BB903" s="17">
        <v>0</v>
      </c>
      <c r="BC903" s="17">
        <v>0</v>
      </c>
      <c r="BD903" s="17">
        <v>0</v>
      </c>
      <c r="BE903" s="17">
        <v>0</v>
      </c>
      <c r="BF903" s="17">
        <v>0</v>
      </c>
      <c r="BG903" s="17">
        <v>0</v>
      </c>
      <c r="BH903" s="17">
        <v>0</v>
      </c>
      <c r="BI903" s="22">
        <f t="shared" si="278"/>
        <v>0</v>
      </c>
      <c r="BJ903" s="22">
        <f t="shared" si="279"/>
        <v>0</v>
      </c>
      <c r="BK903" s="28">
        <f t="shared" si="280"/>
        <v>7</v>
      </c>
      <c r="BL903" s="22">
        <f t="shared" si="281"/>
        <v>7</v>
      </c>
      <c r="BM903" s="22">
        <f t="shared" si="277"/>
        <v>0</v>
      </c>
      <c r="BN903" s="23">
        <f t="shared" si="276"/>
        <v>1</v>
      </c>
      <c r="BO903" s="23" t="e">
        <f t="shared" si="276"/>
        <v>#DIV/0!</v>
      </c>
      <c r="BP903" s="7">
        <f>VLOOKUP(A903,[1]Sheet15!B:E,4,0)</f>
        <v>7</v>
      </c>
      <c r="BQ903" s="7">
        <f>VLOOKUP(A903,[1]Sheet15!B:E,3,0)</f>
        <v>0</v>
      </c>
    </row>
    <row r="904" spans="1:69" ht="22.5" customHeight="1" x14ac:dyDescent="0.25">
      <c r="A904" s="38" t="s">
        <v>2150</v>
      </c>
      <c r="B904" s="15" t="e">
        <f>VLOOKUP(A904,'[1]Master clients'!F883:W4430,17,0)</f>
        <v>#N/A</v>
      </c>
      <c r="C904" s="15" t="e">
        <f>VLOOKUP(A904,'[1]Master clients'!F883:P4430,11,0)</f>
        <v>#N/A</v>
      </c>
      <c r="D904" s="15" t="str">
        <f>VLOOKUP(A904,'[1]Master clients'!F:M,8,0)</f>
        <v>Group (Mills)</v>
      </c>
      <c r="E904" s="39" t="s">
        <v>2151</v>
      </c>
      <c r="F904" s="39" t="s">
        <v>2152</v>
      </c>
      <c r="G904" s="17"/>
      <c r="H904" s="17"/>
      <c r="I904" s="31">
        <v>0</v>
      </c>
      <c r="J904" s="31">
        <v>0</v>
      </c>
      <c r="K904" s="17">
        <v>0</v>
      </c>
      <c r="L904" s="17">
        <v>0</v>
      </c>
      <c r="M904" s="17">
        <v>0</v>
      </c>
      <c r="N904" s="17">
        <v>0</v>
      </c>
      <c r="O904" s="17">
        <v>0</v>
      </c>
      <c r="P904" s="17">
        <v>0</v>
      </c>
      <c r="Q904" s="17">
        <v>0</v>
      </c>
      <c r="R904" s="17">
        <v>0</v>
      </c>
      <c r="S904" s="17">
        <v>0</v>
      </c>
      <c r="T904" s="17">
        <v>0</v>
      </c>
      <c r="U904" s="17">
        <v>0</v>
      </c>
      <c r="V904" s="17">
        <v>0</v>
      </c>
      <c r="W904" s="17">
        <v>0</v>
      </c>
      <c r="X904" s="17">
        <v>0</v>
      </c>
      <c r="Y904" s="17">
        <v>0</v>
      </c>
      <c r="Z904" s="17">
        <v>0</v>
      </c>
      <c r="AA904" s="17">
        <v>0</v>
      </c>
      <c r="AB904" s="17">
        <v>0</v>
      </c>
      <c r="AC904" s="17">
        <v>0</v>
      </c>
      <c r="AD904" s="17">
        <v>0</v>
      </c>
      <c r="AE904" s="17">
        <v>0</v>
      </c>
      <c r="AF904" s="17">
        <v>0</v>
      </c>
      <c r="AG904" s="17">
        <v>0</v>
      </c>
      <c r="AH904" s="17">
        <v>0</v>
      </c>
      <c r="AI904" s="17">
        <v>0</v>
      </c>
      <c r="AJ904" s="17">
        <v>0</v>
      </c>
      <c r="AK904" s="17">
        <v>0</v>
      </c>
      <c r="AL904" s="17">
        <v>0</v>
      </c>
      <c r="AM904" s="17">
        <v>0</v>
      </c>
      <c r="AN904" s="17">
        <v>0</v>
      </c>
      <c r="AO904" s="17">
        <v>0</v>
      </c>
      <c r="AP904" s="17">
        <v>0</v>
      </c>
      <c r="AQ904" s="17">
        <v>0</v>
      </c>
      <c r="AR904" s="17">
        <v>0</v>
      </c>
      <c r="AS904" s="17">
        <v>0</v>
      </c>
      <c r="AT904" s="17">
        <v>0</v>
      </c>
      <c r="AU904" s="17">
        <v>0</v>
      </c>
      <c r="AV904" s="17">
        <v>0</v>
      </c>
      <c r="AW904" s="17">
        <v>0</v>
      </c>
      <c r="AX904" s="17">
        <v>0</v>
      </c>
      <c r="AY904" s="17">
        <v>0</v>
      </c>
      <c r="AZ904" s="17">
        <v>0</v>
      </c>
      <c r="BA904" s="17">
        <v>0</v>
      </c>
      <c r="BB904" s="17">
        <v>0</v>
      </c>
      <c r="BC904" s="17">
        <v>0</v>
      </c>
      <c r="BD904" s="17">
        <v>0</v>
      </c>
      <c r="BE904" s="17">
        <v>0</v>
      </c>
      <c r="BF904" s="17">
        <v>0</v>
      </c>
      <c r="BG904" s="17">
        <v>0</v>
      </c>
      <c r="BH904" s="17">
        <v>0</v>
      </c>
      <c r="BI904" s="22">
        <f t="shared" si="278"/>
        <v>0</v>
      </c>
      <c r="BJ904" s="22">
        <f t="shared" si="279"/>
        <v>0</v>
      </c>
      <c r="BK904" s="22">
        <f t="shared" si="280"/>
        <v>0</v>
      </c>
      <c r="BL904" s="22">
        <f t="shared" si="281"/>
        <v>0</v>
      </c>
      <c r="BM904" s="22">
        <f t="shared" si="277"/>
        <v>0</v>
      </c>
      <c r="BN904" s="23" t="e">
        <f t="shared" si="276"/>
        <v>#DIV/0!</v>
      </c>
      <c r="BO904" s="23" t="e">
        <f t="shared" si="276"/>
        <v>#DIV/0!</v>
      </c>
      <c r="BP904" s="7" t="e">
        <f>VLOOKUP(A904,[1]Sheet15!B:E,4,0)</f>
        <v>#N/A</v>
      </c>
      <c r="BQ904" s="7" t="e">
        <f>VLOOKUP(A904,[1]Sheet15!B:E,3,0)</f>
        <v>#N/A</v>
      </c>
    </row>
    <row r="905" spans="1:69" ht="22.5" customHeight="1" x14ac:dyDescent="0.25">
      <c r="A905" s="38" t="s">
        <v>2153</v>
      </c>
      <c r="B905" s="15">
        <f>VLOOKUP(A905,'[1]Master clients'!F884:W4431,17,0)</f>
        <v>0</v>
      </c>
      <c r="C905" s="15" t="str">
        <f>VLOOKUP(A905,'[1]Master clients'!F884:P4431,11,0)</f>
        <v>-</v>
      </c>
      <c r="D905" s="15" t="str">
        <f>VLOOKUP(A905,'[1]Master clients'!F:M,8,0)</f>
        <v>End User</v>
      </c>
      <c r="E905" s="39" t="s">
        <v>2154</v>
      </c>
      <c r="F905" s="39" t="s">
        <v>2155</v>
      </c>
      <c r="G905" s="17">
        <v>17</v>
      </c>
      <c r="H905" s="17">
        <v>0</v>
      </c>
      <c r="I905" s="18">
        <v>11</v>
      </c>
      <c r="J905" s="18">
        <v>0</v>
      </c>
      <c r="K905" s="17">
        <v>0</v>
      </c>
      <c r="L905" s="17">
        <v>0</v>
      </c>
      <c r="M905" s="17">
        <v>0</v>
      </c>
      <c r="N905" s="17">
        <v>2</v>
      </c>
      <c r="O905" s="19">
        <v>0</v>
      </c>
      <c r="P905" s="19">
        <v>2</v>
      </c>
      <c r="Q905" s="19">
        <v>13</v>
      </c>
      <c r="R905" s="19">
        <v>0</v>
      </c>
      <c r="S905" s="19">
        <v>0</v>
      </c>
      <c r="T905" s="19">
        <v>0</v>
      </c>
      <c r="U905" s="19">
        <v>0</v>
      </c>
      <c r="V905" s="19">
        <v>0</v>
      </c>
      <c r="W905" s="20">
        <v>0</v>
      </c>
      <c r="X905" s="20">
        <v>0</v>
      </c>
      <c r="Y905" s="19">
        <v>0</v>
      </c>
      <c r="Z905" s="19">
        <v>1</v>
      </c>
      <c r="AA905" s="19">
        <v>0</v>
      </c>
      <c r="AB905" s="19">
        <v>0</v>
      </c>
      <c r="AC905" s="19">
        <v>0</v>
      </c>
      <c r="AD905" s="19">
        <v>0</v>
      </c>
      <c r="AE905" s="19">
        <v>0</v>
      </c>
      <c r="AF905" s="19">
        <v>0</v>
      </c>
      <c r="AG905" s="19">
        <v>0</v>
      </c>
      <c r="AH905" s="19">
        <v>0</v>
      </c>
      <c r="AI905" s="20">
        <v>0</v>
      </c>
      <c r="AJ905" s="20">
        <v>0</v>
      </c>
      <c r="AK905" s="19">
        <v>0</v>
      </c>
      <c r="AL905" s="20">
        <v>0</v>
      </c>
      <c r="AM905" s="19">
        <v>0</v>
      </c>
      <c r="AN905" s="19">
        <v>0</v>
      </c>
      <c r="AO905" s="19">
        <v>0</v>
      </c>
      <c r="AP905" s="19">
        <v>0</v>
      </c>
      <c r="AQ905" s="19">
        <v>0</v>
      </c>
      <c r="AR905" s="19">
        <v>0</v>
      </c>
      <c r="AS905" s="19">
        <v>0</v>
      </c>
      <c r="AT905" s="19">
        <v>0</v>
      </c>
      <c r="AU905" s="19">
        <v>0</v>
      </c>
      <c r="AV905" s="19">
        <v>0</v>
      </c>
      <c r="AW905" s="20">
        <v>0</v>
      </c>
      <c r="AX905" s="20">
        <v>0</v>
      </c>
      <c r="AY905" s="20">
        <v>0</v>
      </c>
      <c r="AZ905" s="19">
        <v>0</v>
      </c>
      <c r="BA905" s="19">
        <v>0</v>
      </c>
      <c r="BB905" s="19">
        <v>0</v>
      </c>
      <c r="BC905" s="19">
        <v>0</v>
      </c>
      <c r="BD905" s="19">
        <v>0</v>
      </c>
      <c r="BE905" s="21">
        <v>0</v>
      </c>
      <c r="BF905" s="21">
        <v>0</v>
      </c>
      <c r="BG905" s="19">
        <v>0</v>
      </c>
      <c r="BH905" s="19">
        <v>0</v>
      </c>
      <c r="BI905" s="22">
        <f t="shared" si="278"/>
        <v>3</v>
      </c>
      <c r="BJ905" s="22">
        <f t="shared" si="279"/>
        <v>15</v>
      </c>
      <c r="BK905" s="22">
        <f t="shared" si="280"/>
        <v>29</v>
      </c>
      <c r="BL905" s="22">
        <f t="shared" si="281"/>
        <v>14</v>
      </c>
      <c r="BM905" s="22">
        <f t="shared" si="277"/>
        <v>15</v>
      </c>
      <c r="BN905" s="23">
        <f t="shared" si="276"/>
        <v>0.7857142857142857</v>
      </c>
      <c r="BO905" s="23">
        <f t="shared" si="276"/>
        <v>0</v>
      </c>
      <c r="BP905" s="7">
        <f>VLOOKUP(A905,[1]Sheet15!B:E,4,0)</f>
        <v>6</v>
      </c>
      <c r="BQ905" s="7">
        <f>VLOOKUP(A905,[1]Sheet15!B:E,3,0)</f>
        <v>0</v>
      </c>
    </row>
    <row r="906" spans="1:69" ht="22.5" customHeight="1" x14ac:dyDescent="0.25">
      <c r="A906" s="38" t="s">
        <v>2156</v>
      </c>
      <c r="B906" s="15" t="e">
        <f>VLOOKUP(A906,'[1]Master clients'!F885:W4432,17,0)</f>
        <v>#N/A</v>
      </c>
      <c r="C906" s="15" t="e">
        <f>VLOOKUP(A906,'[1]Master clients'!F885:P4432,11,0)</f>
        <v>#N/A</v>
      </c>
      <c r="D906" s="15" t="str">
        <f>VLOOKUP(A906,'[1]Master clients'!F:M,8,0)</f>
        <v>End User</v>
      </c>
      <c r="E906" s="40" t="s">
        <v>2157</v>
      </c>
      <c r="F906" s="41" t="s">
        <v>2158</v>
      </c>
      <c r="G906" s="20">
        <v>0</v>
      </c>
      <c r="H906" s="20">
        <v>0</v>
      </c>
      <c r="I906" s="26">
        <v>11</v>
      </c>
      <c r="J906" s="26">
        <v>0</v>
      </c>
      <c r="K906" s="20">
        <v>4</v>
      </c>
      <c r="L906" s="20">
        <v>0</v>
      </c>
      <c r="M906" s="20">
        <v>0</v>
      </c>
      <c r="N906" s="20">
        <v>9</v>
      </c>
      <c r="O906" s="20">
        <v>0</v>
      </c>
      <c r="P906" s="20">
        <v>0</v>
      </c>
      <c r="Q906" s="20">
        <v>0</v>
      </c>
      <c r="R906" s="20">
        <v>0</v>
      </c>
      <c r="S906" s="20">
        <v>0</v>
      </c>
      <c r="T906" s="20">
        <v>0</v>
      </c>
      <c r="U906" s="20">
        <v>0</v>
      </c>
      <c r="V906" s="20">
        <v>0</v>
      </c>
      <c r="W906" s="20">
        <v>0</v>
      </c>
      <c r="X906" s="20">
        <v>0</v>
      </c>
      <c r="Y906" s="20">
        <v>0</v>
      </c>
      <c r="Z906" s="20">
        <v>0</v>
      </c>
      <c r="AA906" s="20">
        <v>0</v>
      </c>
      <c r="AB906" s="20">
        <v>0</v>
      </c>
      <c r="AC906" s="20">
        <v>0</v>
      </c>
      <c r="AD906" s="20">
        <v>0</v>
      </c>
      <c r="AE906" s="20">
        <v>0</v>
      </c>
      <c r="AF906" s="20">
        <v>0</v>
      </c>
      <c r="AG906" s="20">
        <v>0</v>
      </c>
      <c r="AH906" s="20">
        <v>0</v>
      </c>
      <c r="AI906" s="20">
        <v>0</v>
      </c>
      <c r="AJ906" s="20">
        <v>0</v>
      </c>
      <c r="AK906" s="20">
        <v>0</v>
      </c>
      <c r="AL906" s="20">
        <v>0</v>
      </c>
      <c r="AM906" s="20">
        <v>0</v>
      </c>
      <c r="AN906" s="20">
        <v>0</v>
      </c>
      <c r="AO906" s="20">
        <v>0</v>
      </c>
      <c r="AP906" s="20">
        <v>0</v>
      </c>
      <c r="AQ906" s="20">
        <v>0</v>
      </c>
      <c r="AR906" s="20">
        <v>0</v>
      </c>
      <c r="AS906" s="20">
        <v>0</v>
      </c>
      <c r="AT906" s="20">
        <v>0</v>
      </c>
      <c r="AU906" s="20">
        <v>0</v>
      </c>
      <c r="AV906" s="20">
        <v>0</v>
      </c>
      <c r="AW906" s="20">
        <v>0</v>
      </c>
      <c r="AX906" s="20">
        <v>0</v>
      </c>
      <c r="AY906" s="20">
        <v>0</v>
      </c>
      <c r="AZ906" s="20">
        <v>0</v>
      </c>
      <c r="BA906" s="20">
        <v>0</v>
      </c>
      <c r="BB906" s="27">
        <v>0</v>
      </c>
      <c r="BC906" s="20">
        <v>0</v>
      </c>
      <c r="BD906" s="20">
        <v>0</v>
      </c>
      <c r="BE906" s="21">
        <v>0</v>
      </c>
      <c r="BF906" s="21">
        <v>0</v>
      </c>
      <c r="BG906" s="20">
        <v>0</v>
      </c>
      <c r="BH906" s="20">
        <v>0</v>
      </c>
      <c r="BI906" s="22">
        <f t="shared" si="278"/>
        <v>4</v>
      </c>
      <c r="BJ906" s="22">
        <f t="shared" si="279"/>
        <v>9</v>
      </c>
      <c r="BK906" s="28">
        <f t="shared" si="280"/>
        <v>24</v>
      </c>
      <c r="BL906" s="22">
        <f t="shared" si="281"/>
        <v>15</v>
      </c>
      <c r="BM906" s="22">
        <f t="shared" si="277"/>
        <v>9</v>
      </c>
      <c r="BN906" s="23">
        <f t="shared" si="276"/>
        <v>0.73333333333333328</v>
      </c>
      <c r="BO906" s="23">
        <f t="shared" si="276"/>
        <v>0</v>
      </c>
      <c r="BP906" s="7">
        <f>VLOOKUP(A906,[1]Sheet15!B:E,4,0)</f>
        <v>3</v>
      </c>
      <c r="BQ906" s="7">
        <f>VLOOKUP(A906,[1]Sheet15!B:E,3,0)</f>
        <v>0</v>
      </c>
    </row>
    <row r="907" spans="1:69" ht="22.5" customHeight="1" x14ac:dyDescent="0.25">
      <c r="A907" s="38" t="s">
        <v>2159</v>
      </c>
      <c r="B907" s="15" t="e">
        <f>VLOOKUP(A907,'[1]Master clients'!F886:W4433,17,0)</f>
        <v>#N/A</v>
      </c>
      <c r="C907" s="15" t="e">
        <f>VLOOKUP(A907,'[1]Master clients'!F886:P4433,11,0)</f>
        <v>#N/A</v>
      </c>
      <c r="D907" s="15" t="str">
        <f>VLOOKUP(A907,'[1]Master clients'!F:M,8,0)</f>
        <v>End User</v>
      </c>
      <c r="E907" s="40" t="s">
        <v>2160</v>
      </c>
      <c r="F907" s="41" t="s">
        <v>2161</v>
      </c>
      <c r="G907" s="20">
        <v>0</v>
      </c>
      <c r="H907" s="20">
        <v>0</v>
      </c>
      <c r="I907" s="26">
        <v>45</v>
      </c>
      <c r="J907" s="26">
        <v>0</v>
      </c>
      <c r="K907" s="20">
        <v>0</v>
      </c>
      <c r="L907" s="20">
        <v>0</v>
      </c>
      <c r="M907" s="20">
        <v>0</v>
      </c>
      <c r="N907" s="20">
        <v>0</v>
      </c>
      <c r="O907" s="20">
        <v>0</v>
      </c>
      <c r="P907" s="20">
        <v>0</v>
      </c>
      <c r="Q907" s="20">
        <v>9</v>
      </c>
      <c r="R907" s="20">
        <v>0</v>
      </c>
      <c r="S907" s="20">
        <v>0</v>
      </c>
      <c r="T907" s="20">
        <v>0</v>
      </c>
      <c r="U907" s="20">
        <v>0</v>
      </c>
      <c r="V907" s="20">
        <v>0</v>
      </c>
      <c r="W907" s="20">
        <v>0</v>
      </c>
      <c r="X907" s="20">
        <v>0</v>
      </c>
      <c r="Y907" s="20">
        <v>0</v>
      </c>
      <c r="Z907" s="20">
        <v>0</v>
      </c>
      <c r="AA907" s="20">
        <v>0</v>
      </c>
      <c r="AB907" s="20">
        <v>0</v>
      </c>
      <c r="AC907" s="20">
        <v>0</v>
      </c>
      <c r="AD907" s="20">
        <v>0</v>
      </c>
      <c r="AE907" s="20">
        <v>0</v>
      </c>
      <c r="AF907" s="20">
        <v>0</v>
      </c>
      <c r="AG907" s="20">
        <v>0</v>
      </c>
      <c r="AH907" s="20">
        <v>0</v>
      </c>
      <c r="AI907" s="20">
        <v>0</v>
      </c>
      <c r="AJ907" s="20">
        <v>0</v>
      </c>
      <c r="AK907" s="20">
        <v>0</v>
      </c>
      <c r="AL907" s="20">
        <v>0</v>
      </c>
      <c r="AM907" s="20">
        <v>0</v>
      </c>
      <c r="AN907" s="20">
        <v>0</v>
      </c>
      <c r="AO907" s="20">
        <v>0</v>
      </c>
      <c r="AP907" s="20">
        <v>0</v>
      </c>
      <c r="AQ907" s="20">
        <v>0</v>
      </c>
      <c r="AR907" s="20">
        <v>0</v>
      </c>
      <c r="AS907" s="20">
        <v>0</v>
      </c>
      <c r="AT907" s="20">
        <v>0</v>
      </c>
      <c r="AU907" s="20">
        <v>0</v>
      </c>
      <c r="AV907" s="20">
        <v>0</v>
      </c>
      <c r="AW907" s="20">
        <v>0</v>
      </c>
      <c r="AX907" s="20">
        <v>0</v>
      </c>
      <c r="AY907" s="20">
        <v>0</v>
      </c>
      <c r="AZ907" s="20">
        <v>0</v>
      </c>
      <c r="BA907" s="20">
        <v>0</v>
      </c>
      <c r="BB907" s="27">
        <v>0</v>
      </c>
      <c r="BC907" s="20">
        <v>0</v>
      </c>
      <c r="BD907" s="20">
        <v>0</v>
      </c>
      <c r="BE907" s="21">
        <v>0</v>
      </c>
      <c r="BF907" s="21">
        <v>0</v>
      </c>
      <c r="BG907" s="20">
        <v>0</v>
      </c>
      <c r="BH907" s="20">
        <v>0</v>
      </c>
      <c r="BI907" s="22">
        <f t="shared" si="278"/>
        <v>0</v>
      </c>
      <c r="BJ907" s="22">
        <f t="shared" si="279"/>
        <v>9</v>
      </c>
      <c r="BK907" s="28">
        <f t="shared" si="280"/>
        <v>54</v>
      </c>
      <c r="BL907" s="22">
        <f t="shared" si="281"/>
        <v>45</v>
      </c>
      <c r="BM907" s="22">
        <f t="shared" si="277"/>
        <v>9</v>
      </c>
      <c r="BN907" s="23">
        <f t="shared" si="276"/>
        <v>1</v>
      </c>
      <c r="BO907" s="23">
        <f t="shared" si="276"/>
        <v>0</v>
      </c>
      <c r="BP907" s="7">
        <f>VLOOKUP(A907,[1]Sheet15!B:E,4,0)</f>
        <v>43</v>
      </c>
      <c r="BQ907" s="7">
        <f>VLOOKUP(A907,[1]Sheet15!B:E,3,0)</f>
        <v>0</v>
      </c>
    </row>
    <row r="908" spans="1:69" ht="22.5" customHeight="1" x14ac:dyDescent="0.25">
      <c r="A908" s="38" t="s">
        <v>2162</v>
      </c>
      <c r="B908" s="15" t="e">
        <f>VLOOKUP(A908,'[1]Master clients'!F887:W4434,17,0)</f>
        <v>#N/A</v>
      </c>
      <c r="C908" s="15" t="e">
        <f>VLOOKUP(A908,'[1]Master clients'!F887:P4434,11,0)</f>
        <v>#N/A</v>
      </c>
      <c r="D908" s="15" t="str">
        <f>VLOOKUP(A908,'[1]Master clients'!F:M,8,0)</f>
        <v>End User</v>
      </c>
      <c r="E908" s="40" t="s">
        <v>2163</v>
      </c>
      <c r="F908" s="41" t="s">
        <v>2161</v>
      </c>
      <c r="G908" s="20">
        <v>0</v>
      </c>
      <c r="H908" s="20">
        <v>2</v>
      </c>
      <c r="I908" s="26">
        <v>26</v>
      </c>
      <c r="J908" s="26">
        <v>4</v>
      </c>
      <c r="K908" s="20">
        <v>0</v>
      </c>
      <c r="L908" s="20">
        <v>0</v>
      </c>
      <c r="M908" s="20">
        <v>0</v>
      </c>
      <c r="N908" s="20">
        <v>0</v>
      </c>
      <c r="O908" s="20">
        <v>7</v>
      </c>
      <c r="P908" s="20">
        <v>0</v>
      </c>
      <c r="Q908" s="20">
        <v>0</v>
      </c>
      <c r="R908" s="20">
        <v>0</v>
      </c>
      <c r="S908" s="20">
        <v>0</v>
      </c>
      <c r="T908" s="20">
        <v>0</v>
      </c>
      <c r="U908" s="20">
        <v>0</v>
      </c>
      <c r="V908" s="20">
        <v>0</v>
      </c>
      <c r="W908" s="20">
        <v>0</v>
      </c>
      <c r="X908" s="20">
        <v>0</v>
      </c>
      <c r="Y908" s="20">
        <v>0</v>
      </c>
      <c r="Z908" s="20">
        <v>0</v>
      </c>
      <c r="AA908" s="20">
        <v>0</v>
      </c>
      <c r="AB908" s="20">
        <v>0</v>
      </c>
      <c r="AC908" s="20">
        <v>0</v>
      </c>
      <c r="AD908" s="20">
        <v>0</v>
      </c>
      <c r="AE908" s="20">
        <v>0</v>
      </c>
      <c r="AF908" s="20">
        <v>0</v>
      </c>
      <c r="AG908" s="20">
        <v>0</v>
      </c>
      <c r="AH908" s="20">
        <v>0</v>
      </c>
      <c r="AI908" s="20">
        <v>0</v>
      </c>
      <c r="AJ908" s="20">
        <v>0</v>
      </c>
      <c r="AK908" s="20">
        <v>0</v>
      </c>
      <c r="AL908" s="20">
        <v>0</v>
      </c>
      <c r="AM908" s="20">
        <v>0</v>
      </c>
      <c r="AN908" s="20">
        <v>0</v>
      </c>
      <c r="AO908" s="20">
        <v>0</v>
      </c>
      <c r="AP908" s="20">
        <v>0</v>
      </c>
      <c r="AQ908" s="20">
        <v>0</v>
      </c>
      <c r="AR908" s="20">
        <v>0</v>
      </c>
      <c r="AS908" s="20">
        <v>0</v>
      </c>
      <c r="AT908" s="20">
        <v>0</v>
      </c>
      <c r="AU908" s="20">
        <v>0</v>
      </c>
      <c r="AV908" s="20">
        <v>0</v>
      </c>
      <c r="AW908" s="20">
        <v>0</v>
      </c>
      <c r="AX908" s="20">
        <v>0</v>
      </c>
      <c r="AY908" s="20">
        <v>0</v>
      </c>
      <c r="AZ908" s="20">
        <v>0</v>
      </c>
      <c r="BA908" s="20">
        <v>0</v>
      </c>
      <c r="BB908" s="27">
        <v>0</v>
      </c>
      <c r="BC908" s="20">
        <v>0</v>
      </c>
      <c r="BD908" s="20">
        <v>0</v>
      </c>
      <c r="BE908" s="21">
        <v>0</v>
      </c>
      <c r="BF908" s="21">
        <v>0</v>
      </c>
      <c r="BG908" s="20">
        <v>0</v>
      </c>
      <c r="BH908" s="20">
        <v>0</v>
      </c>
      <c r="BI908" s="22">
        <f t="shared" si="278"/>
        <v>0</v>
      </c>
      <c r="BJ908" s="22">
        <f t="shared" si="279"/>
        <v>7</v>
      </c>
      <c r="BK908" s="28">
        <f t="shared" si="280"/>
        <v>37</v>
      </c>
      <c r="BL908" s="22">
        <f t="shared" si="281"/>
        <v>26</v>
      </c>
      <c r="BM908" s="22">
        <f t="shared" si="277"/>
        <v>11</v>
      </c>
      <c r="BN908" s="23">
        <f t="shared" si="276"/>
        <v>1</v>
      </c>
      <c r="BO908" s="23">
        <f t="shared" si="276"/>
        <v>0.36363636363636365</v>
      </c>
      <c r="BP908" s="7">
        <f>VLOOKUP(A908,[1]Sheet15!B:E,4,0)</f>
        <v>24</v>
      </c>
      <c r="BQ908" s="7">
        <f>VLOOKUP(A908,[1]Sheet15!B:E,3,0)</f>
        <v>2</v>
      </c>
    </row>
    <row r="909" spans="1:69" ht="22.5" customHeight="1" x14ac:dyDescent="0.25">
      <c r="A909" s="38" t="s">
        <v>2164</v>
      </c>
      <c r="B909" s="15" t="e">
        <f>VLOOKUP(A909,'[1]Master clients'!F888:W4435,17,0)</f>
        <v>#N/A</v>
      </c>
      <c r="C909" s="15" t="e">
        <f>VLOOKUP(A909,'[1]Master clients'!F888:P4435,11,0)</f>
        <v>#N/A</v>
      </c>
      <c r="D909" s="15" t="str">
        <f>VLOOKUP(A909,'[1]Master clients'!F:M,8,0)</f>
        <v>Group (Mills)</v>
      </c>
      <c r="E909" s="40" t="s">
        <v>2165</v>
      </c>
      <c r="F909" s="41" t="s">
        <v>2161</v>
      </c>
      <c r="G909" s="20">
        <v>0</v>
      </c>
      <c r="H909" s="20">
        <v>0</v>
      </c>
      <c r="I909" s="26">
        <v>31</v>
      </c>
      <c r="J909" s="26">
        <v>0</v>
      </c>
      <c r="K909" s="20">
        <v>0</v>
      </c>
      <c r="L909" s="20">
        <v>0</v>
      </c>
      <c r="M909" s="20">
        <v>0</v>
      </c>
      <c r="N909" s="20">
        <v>0</v>
      </c>
      <c r="O909" s="20">
        <v>10</v>
      </c>
      <c r="P909" s="20">
        <v>0</v>
      </c>
      <c r="Q909" s="20">
        <v>2</v>
      </c>
      <c r="R909" s="20">
        <v>0</v>
      </c>
      <c r="S909" s="20">
        <v>0</v>
      </c>
      <c r="T909" s="20">
        <v>0</v>
      </c>
      <c r="U909" s="20">
        <v>0</v>
      </c>
      <c r="V909" s="20">
        <v>0</v>
      </c>
      <c r="W909" s="20">
        <v>0</v>
      </c>
      <c r="X909" s="20">
        <v>0</v>
      </c>
      <c r="Y909" s="20">
        <v>0</v>
      </c>
      <c r="Z909" s="20">
        <v>0</v>
      </c>
      <c r="AA909" s="20">
        <v>0</v>
      </c>
      <c r="AB909" s="20">
        <v>0</v>
      </c>
      <c r="AC909" s="20">
        <v>0</v>
      </c>
      <c r="AD909" s="20">
        <v>0</v>
      </c>
      <c r="AE909" s="20">
        <v>0</v>
      </c>
      <c r="AF909" s="20">
        <v>0</v>
      </c>
      <c r="AG909" s="20">
        <v>0</v>
      </c>
      <c r="AH909" s="20">
        <v>0</v>
      </c>
      <c r="AI909" s="20">
        <v>0</v>
      </c>
      <c r="AJ909" s="20">
        <v>0</v>
      </c>
      <c r="AK909" s="20">
        <v>0</v>
      </c>
      <c r="AL909" s="20">
        <v>0</v>
      </c>
      <c r="AM909" s="20">
        <v>0</v>
      </c>
      <c r="AN909" s="20">
        <v>0</v>
      </c>
      <c r="AO909" s="20">
        <v>0</v>
      </c>
      <c r="AP909" s="20">
        <v>0</v>
      </c>
      <c r="AQ909" s="20">
        <v>0</v>
      </c>
      <c r="AR909" s="20">
        <v>0</v>
      </c>
      <c r="AS909" s="20">
        <v>0</v>
      </c>
      <c r="AT909" s="20">
        <v>0</v>
      </c>
      <c r="AU909" s="20">
        <v>0</v>
      </c>
      <c r="AV909" s="20">
        <v>0</v>
      </c>
      <c r="AW909" s="20">
        <v>0</v>
      </c>
      <c r="AX909" s="20">
        <v>0</v>
      </c>
      <c r="AY909" s="20">
        <v>0</v>
      </c>
      <c r="AZ909" s="20">
        <v>0</v>
      </c>
      <c r="BA909" s="20">
        <v>0</v>
      </c>
      <c r="BB909" s="27">
        <v>0</v>
      </c>
      <c r="BC909" s="20">
        <v>0</v>
      </c>
      <c r="BD909" s="20">
        <v>0</v>
      </c>
      <c r="BE909" s="21">
        <v>0</v>
      </c>
      <c r="BF909" s="21">
        <v>0</v>
      </c>
      <c r="BG909" s="20">
        <v>0</v>
      </c>
      <c r="BH909" s="20">
        <v>0</v>
      </c>
      <c r="BI909" s="22">
        <f t="shared" si="278"/>
        <v>0</v>
      </c>
      <c r="BJ909" s="22">
        <f t="shared" si="279"/>
        <v>12</v>
      </c>
      <c r="BK909" s="28">
        <f t="shared" si="280"/>
        <v>43</v>
      </c>
      <c r="BL909" s="22">
        <f t="shared" si="281"/>
        <v>31</v>
      </c>
      <c r="BM909" s="22">
        <f t="shared" si="277"/>
        <v>12</v>
      </c>
      <c r="BN909" s="23">
        <f t="shared" si="276"/>
        <v>1</v>
      </c>
      <c r="BO909" s="23">
        <f t="shared" si="276"/>
        <v>0</v>
      </c>
      <c r="BP909" s="7">
        <f>VLOOKUP(A909,[1]Sheet15!B:E,4,0)</f>
        <v>23</v>
      </c>
      <c r="BQ909" s="7">
        <f>VLOOKUP(A909,[1]Sheet15!B:E,3,0)</f>
        <v>0</v>
      </c>
    </row>
    <row r="910" spans="1:69" ht="22.5" customHeight="1" x14ac:dyDescent="0.25">
      <c r="A910" s="38" t="s">
        <v>2166</v>
      </c>
      <c r="B910" s="15" t="e">
        <f>VLOOKUP(A910,'[1]Master clients'!F889:W4436,17,0)</f>
        <v>#N/A</v>
      </c>
      <c r="C910" s="15" t="e">
        <f>VLOOKUP(A910,'[1]Master clients'!F889:P4436,11,0)</f>
        <v>#N/A</v>
      </c>
      <c r="D910" s="15" t="str">
        <f>VLOOKUP(A910,'[1]Master clients'!F:M,8,0)</f>
        <v>End User</v>
      </c>
      <c r="E910" s="40" t="s">
        <v>2167</v>
      </c>
      <c r="F910" s="41" t="s">
        <v>2161</v>
      </c>
      <c r="G910" s="20">
        <v>0</v>
      </c>
      <c r="H910" s="20">
        <v>0</v>
      </c>
      <c r="I910" s="26">
        <v>11</v>
      </c>
      <c r="J910" s="26">
        <v>0</v>
      </c>
      <c r="K910" s="20">
        <v>4</v>
      </c>
      <c r="L910" s="20">
        <v>0</v>
      </c>
      <c r="M910" s="20">
        <v>0</v>
      </c>
      <c r="N910" s="20">
        <v>0</v>
      </c>
      <c r="O910" s="20">
        <v>0</v>
      </c>
      <c r="P910" s="20">
        <v>0</v>
      </c>
      <c r="Q910" s="20">
        <v>10</v>
      </c>
      <c r="R910" s="20">
        <v>0</v>
      </c>
      <c r="S910" s="20">
        <v>0</v>
      </c>
      <c r="T910" s="20">
        <v>0</v>
      </c>
      <c r="U910" s="20">
        <v>0</v>
      </c>
      <c r="V910" s="20">
        <v>0</v>
      </c>
      <c r="W910" s="20">
        <v>0</v>
      </c>
      <c r="X910" s="20">
        <v>0</v>
      </c>
      <c r="Y910" s="20">
        <v>0</v>
      </c>
      <c r="Z910" s="20">
        <v>0</v>
      </c>
      <c r="AA910" s="20">
        <v>0</v>
      </c>
      <c r="AB910" s="20">
        <v>0</v>
      </c>
      <c r="AC910" s="20">
        <v>0</v>
      </c>
      <c r="AD910" s="20">
        <v>0</v>
      </c>
      <c r="AE910" s="20">
        <v>0</v>
      </c>
      <c r="AF910" s="20">
        <v>0</v>
      </c>
      <c r="AG910" s="20">
        <v>0</v>
      </c>
      <c r="AH910" s="20">
        <v>0</v>
      </c>
      <c r="AI910" s="20">
        <v>0</v>
      </c>
      <c r="AJ910" s="20">
        <v>0</v>
      </c>
      <c r="AK910" s="20">
        <v>0</v>
      </c>
      <c r="AL910" s="20">
        <v>0</v>
      </c>
      <c r="AM910" s="20">
        <v>0</v>
      </c>
      <c r="AN910" s="20">
        <v>0</v>
      </c>
      <c r="AO910" s="20">
        <v>0</v>
      </c>
      <c r="AP910" s="20">
        <v>0</v>
      </c>
      <c r="AQ910" s="20">
        <v>0</v>
      </c>
      <c r="AR910" s="20">
        <v>0</v>
      </c>
      <c r="AS910" s="20">
        <v>0</v>
      </c>
      <c r="AT910" s="20">
        <v>0</v>
      </c>
      <c r="AU910" s="20">
        <v>0</v>
      </c>
      <c r="AV910" s="20">
        <v>0</v>
      </c>
      <c r="AW910" s="20">
        <v>0</v>
      </c>
      <c r="AX910" s="20">
        <v>0</v>
      </c>
      <c r="AY910" s="20">
        <v>0</v>
      </c>
      <c r="AZ910" s="20">
        <v>0</v>
      </c>
      <c r="BA910" s="20">
        <v>0</v>
      </c>
      <c r="BB910" s="27">
        <v>0</v>
      </c>
      <c r="BC910" s="20">
        <v>0</v>
      </c>
      <c r="BD910" s="20">
        <v>0</v>
      </c>
      <c r="BE910" s="21">
        <v>0</v>
      </c>
      <c r="BF910" s="21">
        <v>0</v>
      </c>
      <c r="BG910" s="20">
        <v>0</v>
      </c>
      <c r="BH910" s="20">
        <v>0</v>
      </c>
      <c r="BI910" s="22">
        <f t="shared" si="278"/>
        <v>4</v>
      </c>
      <c r="BJ910" s="22">
        <f t="shared" si="279"/>
        <v>10</v>
      </c>
      <c r="BK910" s="28">
        <f t="shared" si="280"/>
        <v>25</v>
      </c>
      <c r="BL910" s="22">
        <f t="shared" si="281"/>
        <v>15</v>
      </c>
      <c r="BM910" s="22">
        <f t="shared" si="277"/>
        <v>10</v>
      </c>
      <c r="BN910" s="23">
        <f t="shared" si="276"/>
        <v>0.73333333333333328</v>
      </c>
      <c r="BO910" s="23">
        <f t="shared" si="276"/>
        <v>0</v>
      </c>
      <c r="BP910" s="7">
        <f>VLOOKUP(A910,[1]Sheet15!B:E,4,0)</f>
        <v>4</v>
      </c>
      <c r="BQ910" s="7">
        <f>VLOOKUP(A910,[1]Sheet15!B:E,3,0)</f>
        <v>0</v>
      </c>
    </row>
    <row r="911" spans="1:69" ht="22.5" customHeight="1" x14ac:dyDescent="0.25">
      <c r="A911" s="38" t="s">
        <v>2168</v>
      </c>
      <c r="B911" s="15">
        <f>VLOOKUP(A911,'[1]Master clients'!F890:W4437,17,0)</f>
        <v>0</v>
      </c>
      <c r="C911" s="15" t="str">
        <f>VLOOKUP(A911,'[1]Master clients'!F890:P4437,11,0)</f>
        <v>SI-GS</v>
      </c>
      <c r="D911" s="15" t="str">
        <f>VLOOKUP(A911,'[1]Master clients'!F:M,8,0)</f>
        <v>End User</v>
      </c>
      <c r="E911" s="39" t="s">
        <v>2169</v>
      </c>
      <c r="F911" s="39" t="s">
        <v>2170</v>
      </c>
      <c r="G911" s="17"/>
      <c r="H911" s="17"/>
      <c r="I911" s="31">
        <v>0</v>
      </c>
      <c r="J911" s="31">
        <v>0</v>
      </c>
      <c r="K911" s="17">
        <v>0</v>
      </c>
      <c r="L911" s="17">
        <v>0</v>
      </c>
      <c r="M911" s="17">
        <v>0</v>
      </c>
      <c r="N911" s="17">
        <v>0</v>
      </c>
      <c r="O911" s="17">
        <v>0</v>
      </c>
      <c r="P911" s="17">
        <v>0</v>
      </c>
      <c r="Q911" s="17">
        <v>0</v>
      </c>
      <c r="R911" s="17">
        <v>0</v>
      </c>
      <c r="S911" s="17">
        <v>0</v>
      </c>
      <c r="T911" s="17">
        <v>0</v>
      </c>
      <c r="U911" s="17">
        <v>0</v>
      </c>
      <c r="V911" s="17">
        <v>0</v>
      </c>
      <c r="W911" s="17">
        <v>0</v>
      </c>
      <c r="X911" s="17">
        <v>0</v>
      </c>
      <c r="Y911" s="17">
        <v>0</v>
      </c>
      <c r="Z911" s="17">
        <v>0</v>
      </c>
      <c r="AA911" s="17">
        <v>0</v>
      </c>
      <c r="AB911" s="17">
        <v>0</v>
      </c>
      <c r="AC911" s="17">
        <v>0</v>
      </c>
      <c r="AD911" s="17">
        <v>0</v>
      </c>
      <c r="AE911" s="17">
        <v>0</v>
      </c>
      <c r="AF911" s="17">
        <v>0</v>
      </c>
      <c r="AG911" s="17">
        <v>0</v>
      </c>
      <c r="AH911" s="17">
        <v>0</v>
      </c>
      <c r="AI911" s="17">
        <v>0</v>
      </c>
      <c r="AJ911" s="17">
        <v>0</v>
      </c>
      <c r="AK911" s="17">
        <v>0</v>
      </c>
      <c r="AL911" s="17">
        <v>0</v>
      </c>
      <c r="AM911" s="17">
        <v>0</v>
      </c>
      <c r="AN911" s="17">
        <v>0</v>
      </c>
      <c r="AO911" s="17">
        <v>0</v>
      </c>
      <c r="AP911" s="17">
        <v>0</v>
      </c>
      <c r="AQ911" s="17">
        <v>0</v>
      </c>
      <c r="AR911" s="17">
        <v>0</v>
      </c>
      <c r="AS911" s="17">
        <v>0</v>
      </c>
      <c r="AT911" s="17">
        <v>0</v>
      </c>
      <c r="AU911" s="17">
        <v>0</v>
      </c>
      <c r="AV911" s="17">
        <v>0</v>
      </c>
      <c r="AW911" s="17">
        <v>0</v>
      </c>
      <c r="AX911" s="17">
        <v>0</v>
      </c>
      <c r="AY911" s="17">
        <v>0</v>
      </c>
      <c r="AZ911" s="17">
        <v>0</v>
      </c>
      <c r="BA911" s="17">
        <v>0</v>
      </c>
      <c r="BB911" s="17">
        <v>0</v>
      </c>
      <c r="BC911" s="17">
        <v>0</v>
      </c>
      <c r="BD911" s="17">
        <v>0</v>
      </c>
      <c r="BE911" s="17">
        <v>0</v>
      </c>
      <c r="BF911" s="17">
        <v>0</v>
      </c>
      <c r="BG911" s="17">
        <v>0</v>
      </c>
      <c r="BH911" s="17">
        <v>0</v>
      </c>
      <c r="BI911" s="22">
        <f t="shared" si="278"/>
        <v>0</v>
      </c>
      <c r="BJ911" s="22">
        <f t="shared" si="279"/>
        <v>0</v>
      </c>
      <c r="BK911" s="22">
        <f t="shared" si="280"/>
        <v>0</v>
      </c>
      <c r="BL911" s="22">
        <f t="shared" si="281"/>
        <v>0</v>
      </c>
      <c r="BM911" s="22">
        <f t="shared" si="277"/>
        <v>0</v>
      </c>
      <c r="BN911" s="23" t="e">
        <f t="shared" si="276"/>
        <v>#DIV/0!</v>
      </c>
      <c r="BO911" s="23" t="e">
        <f t="shared" si="276"/>
        <v>#DIV/0!</v>
      </c>
      <c r="BP911" s="7" t="e">
        <f>VLOOKUP(A911,[1]Sheet15!B:E,4,0)</f>
        <v>#N/A</v>
      </c>
      <c r="BQ911" s="7" t="e">
        <f>VLOOKUP(A911,[1]Sheet15!B:E,3,0)</f>
        <v>#N/A</v>
      </c>
    </row>
    <row r="912" spans="1:69" ht="22.5" customHeight="1" x14ac:dyDescent="0.25">
      <c r="A912" s="38" t="s">
        <v>2171</v>
      </c>
      <c r="B912" s="15" t="e">
        <f>VLOOKUP(A912,'[1]Master clients'!F891:W4438,17,0)</f>
        <v>#N/A</v>
      </c>
      <c r="C912" s="15" t="e">
        <f>VLOOKUP(A912,'[1]Master clients'!F891:P4438,11,0)</f>
        <v>#N/A</v>
      </c>
      <c r="D912" s="15" t="str">
        <f>VLOOKUP(A912,'[1]Master clients'!F:M,8,0)</f>
        <v>End User</v>
      </c>
      <c r="E912" s="39" t="s">
        <v>2172</v>
      </c>
      <c r="F912" s="39" t="s">
        <v>2173</v>
      </c>
      <c r="G912" s="17">
        <v>22</v>
      </c>
      <c r="H912" s="17">
        <v>0</v>
      </c>
      <c r="I912" s="17">
        <v>22</v>
      </c>
      <c r="J912" s="18">
        <v>0</v>
      </c>
      <c r="K912" s="17">
        <v>0</v>
      </c>
      <c r="L912" s="17">
        <v>0</v>
      </c>
      <c r="M912" s="17">
        <v>0</v>
      </c>
      <c r="N912" s="17">
        <v>0</v>
      </c>
      <c r="O912" s="17">
        <v>0</v>
      </c>
      <c r="P912" s="17">
        <v>0</v>
      </c>
      <c r="Q912" s="17">
        <v>0</v>
      </c>
      <c r="R912" s="17">
        <v>0</v>
      </c>
      <c r="S912" s="17">
        <v>0</v>
      </c>
      <c r="T912" s="17">
        <v>0</v>
      </c>
      <c r="U912" s="17">
        <v>0</v>
      </c>
      <c r="V912" s="17">
        <v>0</v>
      </c>
      <c r="W912" s="17">
        <v>0</v>
      </c>
      <c r="X912" s="17">
        <v>0</v>
      </c>
      <c r="Y912" s="17">
        <v>0</v>
      </c>
      <c r="Z912" s="17">
        <v>0</v>
      </c>
      <c r="AA912" s="17">
        <v>0</v>
      </c>
      <c r="AB912" s="17">
        <v>0</v>
      </c>
      <c r="AC912" s="17">
        <v>0</v>
      </c>
      <c r="AD912" s="17">
        <v>0</v>
      </c>
      <c r="AE912" s="17">
        <v>0</v>
      </c>
      <c r="AF912" s="17">
        <v>0</v>
      </c>
      <c r="AG912" s="17">
        <v>0</v>
      </c>
      <c r="AH912" s="17">
        <v>0</v>
      </c>
      <c r="AI912" s="17">
        <v>0</v>
      </c>
      <c r="AJ912" s="17">
        <v>0</v>
      </c>
      <c r="AK912" s="17">
        <v>0</v>
      </c>
      <c r="AL912" s="17">
        <v>0</v>
      </c>
      <c r="AM912" s="17">
        <v>0</v>
      </c>
      <c r="AN912" s="17">
        <v>0</v>
      </c>
      <c r="AO912" s="17">
        <v>0</v>
      </c>
      <c r="AP912" s="17">
        <v>0</v>
      </c>
      <c r="AQ912" s="17">
        <v>0</v>
      </c>
      <c r="AR912" s="17">
        <v>0</v>
      </c>
      <c r="AS912" s="17">
        <v>0</v>
      </c>
      <c r="AT912" s="17">
        <v>0</v>
      </c>
      <c r="AU912" s="17">
        <v>0</v>
      </c>
      <c r="AV912" s="17">
        <v>0</v>
      </c>
      <c r="AW912" s="17">
        <v>0</v>
      </c>
      <c r="AX912" s="17">
        <v>0</v>
      </c>
      <c r="AY912" s="17">
        <v>0</v>
      </c>
      <c r="AZ912" s="17">
        <v>0</v>
      </c>
      <c r="BA912" s="17">
        <v>0</v>
      </c>
      <c r="BB912" s="17">
        <v>0</v>
      </c>
      <c r="BC912" s="17">
        <v>0</v>
      </c>
      <c r="BD912" s="17">
        <v>0</v>
      </c>
      <c r="BE912" s="17">
        <v>0</v>
      </c>
      <c r="BF912" s="17">
        <v>0</v>
      </c>
      <c r="BG912" s="17">
        <v>0</v>
      </c>
      <c r="BH912" s="17">
        <v>0</v>
      </c>
      <c r="BI912" s="22">
        <f t="shared" si="278"/>
        <v>0</v>
      </c>
      <c r="BJ912" s="22">
        <f t="shared" si="279"/>
        <v>0</v>
      </c>
      <c r="BK912" s="22">
        <f t="shared" si="280"/>
        <v>22</v>
      </c>
      <c r="BL912" s="22">
        <f t="shared" si="281"/>
        <v>22</v>
      </c>
      <c r="BM912" s="22">
        <f t="shared" si="277"/>
        <v>0</v>
      </c>
      <c r="BN912" s="23">
        <f t="shared" ref="BN912:BO917" si="282">I912/BL912</f>
        <v>1</v>
      </c>
      <c r="BO912" s="23" t="e">
        <f t="shared" si="282"/>
        <v>#DIV/0!</v>
      </c>
      <c r="BP912" s="7">
        <f>VLOOKUP(A912,[1]Sheet15!B:E,4,0)</f>
        <v>2</v>
      </c>
      <c r="BQ912" s="7">
        <f>VLOOKUP(A912,[1]Sheet15!B:E,3,0)</f>
        <v>0</v>
      </c>
    </row>
    <row r="913" spans="1:69" ht="22.5" customHeight="1" x14ac:dyDescent="0.25">
      <c r="A913" s="38" t="s">
        <v>2174</v>
      </c>
      <c r="B913" s="15" t="e">
        <f>VLOOKUP(A913,'[1]Master clients'!F892:W4439,17,0)</f>
        <v>#N/A</v>
      </c>
      <c r="C913" s="15" t="e">
        <f>VLOOKUP(A913,'[1]Master clients'!F892:P4439,11,0)</f>
        <v>#N/A</v>
      </c>
      <c r="D913" s="15" t="str">
        <f>VLOOKUP(A913,'[1]Master clients'!F:M,8,0)</f>
        <v>End User</v>
      </c>
      <c r="E913" s="39" t="s">
        <v>2175</v>
      </c>
      <c r="F913" s="39" t="s">
        <v>2176</v>
      </c>
      <c r="G913" s="17"/>
      <c r="H913" s="17"/>
      <c r="I913" s="26">
        <v>3</v>
      </c>
      <c r="J913" s="31">
        <v>0</v>
      </c>
      <c r="K913" s="17">
        <v>0</v>
      </c>
      <c r="L913" s="17">
        <v>0</v>
      </c>
      <c r="M913" s="17">
        <v>0</v>
      </c>
      <c r="N913" s="17">
        <v>0</v>
      </c>
      <c r="O913" s="17">
        <v>0</v>
      </c>
      <c r="P913" s="17">
        <v>0</v>
      </c>
      <c r="Q913" s="17">
        <v>0</v>
      </c>
      <c r="R913" s="17">
        <v>0</v>
      </c>
      <c r="S913" s="17">
        <v>0</v>
      </c>
      <c r="T913" s="17">
        <v>0</v>
      </c>
      <c r="U913" s="17">
        <v>0</v>
      </c>
      <c r="V913" s="17">
        <v>0</v>
      </c>
      <c r="W913" s="17">
        <v>0</v>
      </c>
      <c r="X913" s="17">
        <v>0</v>
      </c>
      <c r="Y913" s="17">
        <v>0</v>
      </c>
      <c r="Z913" s="17">
        <v>0</v>
      </c>
      <c r="AA913" s="17">
        <v>0</v>
      </c>
      <c r="AB913" s="17">
        <v>0</v>
      </c>
      <c r="AC913" s="17">
        <v>0</v>
      </c>
      <c r="AD913" s="17">
        <v>0</v>
      </c>
      <c r="AE913" s="17">
        <v>0</v>
      </c>
      <c r="AF913" s="17">
        <v>0</v>
      </c>
      <c r="AG913" s="17">
        <v>0</v>
      </c>
      <c r="AH913" s="17">
        <v>0</v>
      </c>
      <c r="AI913" s="17">
        <v>0</v>
      </c>
      <c r="AJ913" s="17">
        <v>0</v>
      </c>
      <c r="AK913" s="17">
        <v>0</v>
      </c>
      <c r="AL913" s="17">
        <v>0</v>
      </c>
      <c r="AM913" s="17">
        <v>0</v>
      </c>
      <c r="AN913" s="17">
        <v>0</v>
      </c>
      <c r="AO913" s="17">
        <v>0</v>
      </c>
      <c r="AP913" s="17">
        <v>0</v>
      </c>
      <c r="AQ913" s="17">
        <v>0</v>
      </c>
      <c r="AR913" s="17">
        <v>0</v>
      </c>
      <c r="AS913" s="17">
        <v>0</v>
      </c>
      <c r="AT913" s="17">
        <v>0</v>
      </c>
      <c r="AU913" s="17">
        <v>0</v>
      </c>
      <c r="AV913" s="17">
        <v>0</v>
      </c>
      <c r="AW913" s="17">
        <v>0</v>
      </c>
      <c r="AX913" s="17">
        <v>0</v>
      </c>
      <c r="AY913" s="17">
        <v>0</v>
      </c>
      <c r="AZ913" s="17">
        <v>0</v>
      </c>
      <c r="BA913" s="17">
        <v>0</v>
      </c>
      <c r="BB913" s="17">
        <v>0</v>
      </c>
      <c r="BC913" s="17">
        <v>0</v>
      </c>
      <c r="BD913" s="17">
        <v>0</v>
      </c>
      <c r="BE913" s="17">
        <v>0</v>
      </c>
      <c r="BF913" s="17">
        <v>0</v>
      </c>
      <c r="BG913" s="17">
        <v>0</v>
      </c>
      <c r="BH913" s="17">
        <v>0</v>
      </c>
      <c r="BI913" s="22">
        <f t="shared" si="278"/>
        <v>0</v>
      </c>
      <c r="BJ913" s="22">
        <f t="shared" si="279"/>
        <v>0</v>
      </c>
      <c r="BK913" s="22">
        <f t="shared" si="280"/>
        <v>3</v>
      </c>
      <c r="BL913" s="22">
        <f t="shared" si="281"/>
        <v>3</v>
      </c>
      <c r="BM913" s="22">
        <f t="shared" ref="BM913:BM932" si="283">SUM(J913+N913+O913+Q913+S913+U913+X913+AA913+AD913+AF913+AM913+AP913+AQ913+AT913+AX913+AY913+BD913+BH913)</f>
        <v>0</v>
      </c>
      <c r="BN913" s="23">
        <f t="shared" si="282"/>
        <v>1</v>
      </c>
      <c r="BO913" s="23" t="e">
        <f t="shared" si="282"/>
        <v>#DIV/0!</v>
      </c>
      <c r="BP913" s="7">
        <f>VLOOKUP(A913,[1]Sheet15!B:E,4,0)</f>
        <v>3</v>
      </c>
      <c r="BQ913" s="7">
        <f>VLOOKUP(A913,[1]Sheet15!B:E,3,0)</f>
        <v>0</v>
      </c>
    </row>
    <row r="914" spans="1:69" ht="22.5" customHeight="1" x14ac:dyDescent="0.25">
      <c r="A914" s="38" t="s">
        <v>2177</v>
      </c>
      <c r="B914" s="15">
        <f>VLOOKUP(A914,'[1]Master clients'!F893:W4440,17,0)</f>
        <v>0</v>
      </c>
      <c r="C914" s="15" t="str">
        <f>VLOOKUP(A914,'[1]Master clients'!F893:P4440,11,0)</f>
        <v>NI</v>
      </c>
      <c r="D914" s="15" t="str">
        <f>VLOOKUP(A914,'[1]Master clients'!F:M,8,0)</f>
        <v>End User</v>
      </c>
      <c r="E914" s="39" t="s">
        <v>2178</v>
      </c>
      <c r="F914" s="42" t="s">
        <v>2179</v>
      </c>
      <c r="G914" s="20"/>
      <c r="H914" s="20"/>
      <c r="I914" s="26">
        <v>1</v>
      </c>
      <c r="J914" s="18">
        <v>0</v>
      </c>
      <c r="K914" s="20">
        <v>0</v>
      </c>
      <c r="L914" s="20">
        <v>0</v>
      </c>
      <c r="M914" s="20">
        <v>0</v>
      </c>
      <c r="N914" s="20">
        <v>0</v>
      </c>
      <c r="O914" s="20">
        <v>0</v>
      </c>
      <c r="P914" s="20">
        <v>0</v>
      </c>
      <c r="Q914" s="20">
        <v>0</v>
      </c>
      <c r="R914" s="20">
        <v>0</v>
      </c>
      <c r="S914" s="20">
        <v>0</v>
      </c>
      <c r="T914" s="20">
        <v>0</v>
      </c>
      <c r="U914" s="20">
        <v>0</v>
      </c>
      <c r="V914" s="20">
        <v>0</v>
      </c>
      <c r="W914" s="20">
        <v>0</v>
      </c>
      <c r="X914" s="20">
        <v>0</v>
      </c>
      <c r="Y914" s="20">
        <v>0</v>
      </c>
      <c r="Z914" s="20">
        <v>0</v>
      </c>
      <c r="AA914" s="20">
        <v>0</v>
      </c>
      <c r="AB914" s="20">
        <v>0</v>
      </c>
      <c r="AC914" s="20">
        <v>0</v>
      </c>
      <c r="AD914" s="20">
        <v>0</v>
      </c>
      <c r="AE914" s="20">
        <v>0</v>
      </c>
      <c r="AF914" s="20">
        <v>0</v>
      </c>
      <c r="AG914" s="20">
        <v>0</v>
      </c>
      <c r="AH914" s="20">
        <v>0</v>
      </c>
      <c r="AI914" s="20">
        <v>0</v>
      </c>
      <c r="AJ914" s="20">
        <v>0</v>
      </c>
      <c r="AK914" s="20">
        <v>5</v>
      </c>
      <c r="AL914" s="20">
        <v>0</v>
      </c>
      <c r="AM914" s="20">
        <v>0</v>
      </c>
      <c r="AN914" s="20">
        <v>0</v>
      </c>
      <c r="AO914" s="20">
        <v>0</v>
      </c>
      <c r="AP914" s="20">
        <v>0</v>
      </c>
      <c r="AQ914" s="20">
        <v>0</v>
      </c>
      <c r="AR914" s="20">
        <v>0</v>
      </c>
      <c r="AS914" s="20">
        <v>0</v>
      </c>
      <c r="AT914" s="20">
        <v>0</v>
      </c>
      <c r="AU914" s="20">
        <v>0</v>
      </c>
      <c r="AV914" s="20">
        <v>0</v>
      </c>
      <c r="AW914" s="20">
        <v>0</v>
      </c>
      <c r="AX914" s="20">
        <v>0</v>
      </c>
      <c r="AY914" s="20">
        <v>0</v>
      </c>
      <c r="AZ914" s="20">
        <v>0</v>
      </c>
      <c r="BA914" s="20">
        <v>0</v>
      </c>
      <c r="BB914" s="20">
        <v>0</v>
      </c>
      <c r="BC914" s="20">
        <v>0</v>
      </c>
      <c r="BD914" s="20">
        <v>0</v>
      </c>
      <c r="BE914" s="20">
        <v>0</v>
      </c>
      <c r="BF914" s="20">
        <v>0</v>
      </c>
      <c r="BG914" s="20">
        <v>0</v>
      </c>
      <c r="BH914" s="20">
        <v>0</v>
      </c>
      <c r="BI914" s="22">
        <f t="shared" si="278"/>
        <v>5</v>
      </c>
      <c r="BJ914" s="22">
        <f t="shared" si="279"/>
        <v>0</v>
      </c>
      <c r="BK914" s="28">
        <f t="shared" si="280"/>
        <v>6</v>
      </c>
      <c r="BL914" s="22">
        <f t="shared" si="281"/>
        <v>6</v>
      </c>
      <c r="BM914" s="22">
        <f t="shared" si="283"/>
        <v>0</v>
      </c>
      <c r="BN914" s="23">
        <f t="shared" si="282"/>
        <v>0.16666666666666666</v>
      </c>
      <c r="BO914" s="23" t="e">
        <f t="shared" si="282"/>
        <v>#DIV/0!</v>
      </c>
      <c r="BP914" s="7" t="e">
        <f>VLOOKUP(A914,[1]Sheet15!B:E,4,0)</f>
        <v>#N/A</v>
      </c>
      <c r="BQ914" s="7" t="e">
        <f>VLOOKUP(A914,[1]Sheet15!B:E,3,0)</f>
        <v>#N/A</v>
      </c>
    </row>
    <row r="915" spans="1:69" ht="22.5" customHeight="1" x14ac:dyDescent="0.25">
      <c r="A915" s="38"/>
      <c r="B915" s="35" t="e">
        <f>VLOOKUP(A915,'[1]Master clients'!F894:W4441,17,0)</f>
        <v>#N/A</v>
      </c>
      <c r="C915" s="15" t="e">
        <f>VLOOKUP(A915,'[1]Master clients'!F894:P4441,11,0)</f>
        <v>#N/A</v>
      </c>
      <c r="D915" s="15" t="e">
        <f>VLOOKUP(A915,'[1]Master clients'!F:M,8,0)</f>
        <v>#N/A</v>
      </c>
      <c r="E915" s="39" t="s">
        <v>2180</v>
      </c>
      <c r="F915" s="42" t="s">
        <v>1025</v>
      </c>
      <c r="G915" s="20"/>
      <c r="H915" s="20"/>
      <c r="I915" s="26">
        <v>1</v>
      </c>
      <c r="J915" s="18">
        <v>0</v>
      </c>
      <c r="K915" s="20">
        <v>4</v>
      </c>
      <c r="L915" s="20">
        <v>0</v>
      </c>
      <c r="M915" s="20">
        <v>0</v>
      </c>
      <c r="N915" s="20">
        <v>0</v>
      </c>
      <c r="O915" s="20">
        <v>0</v>
      </c>
      <c r="P915" s="20">
        <v>0</v>
      </c>
      <c r="Q915" s="20">
        <v>0</v>
      </c>
      <c r="R915" s="20">
        <v>0</v>
      </c>
      <c r="S915" s="20">
        <v>0</v>
      </c>
      <c r="T915" s="20">
        <v>0</v>
      </c>
      <c r="U915" s="20">
        <v>0</v>
      </c>
      <c r="V915" s="20">
        <v>0</v>
      </c>
      <c r="W915" s="20">
        <v>0</v>
      </c>
      <c r="X915" s="20">
        <v>0</v>
      </c>
      <c r="Y915" s="20">
        <v>0</v>
      </c>
      <c r="Z915" s="20">
        <v>0</v>
      </c>
      <c r="AA915" s="20">
        <v>0</v>
      </c>
      <c r="AB915" s="20">
        <v>0</v>
      </c>
      <c r="AC915" s="20">
        <v>0</v>
      </c>
      <c r="AD915" s="20">
        <v>0</v>
      </c>
      <c r="AE915" s="20">
        <v>0</v>
      </c>
      <c r="AF915" s="20">
        <v>0</v>
      </c>
      <c r="AG915" s="20">
        <v>0</v>
      </c>
      <c r="AH915" s="20">
        <v>0</v>
      </c>
      <c r="AI915" s="20">
        <v>0</v>
      </c>
      <c r="AJ915" s="20">
        <v>0</v>
      </c>
      <c r="AK915" s="20">
        <v>0</v>
      </c>
      <c r="AL915" s="20">
        <v>0</v>
      </c>
      <c r="AM915" s="20">
        <v>0</v>
      </c>
      <c r="AN915" s="20">
        <v>0</v>
      </c>
      <c r="AO915" s="20">
        <v>0</v>
      </c>
      <c r="AP915" s="20">
        <v>0</v>
      </c>
      <c r="AQ915" s="20">
        <v>0</v>
      </c>
      <c r="AR915" s="20">
        <v>0</v>
      </c>
      <c r="AS915" s="20">
        <v>0</v>
      </c>
      <c r="AT915" s="20">
        <v>0</v>
      </c>
      <c r="AU915" s="20">
        <v>0</v>
      </c>
      <c r="AV915" s="20">
        <v>0</v>
      </c>
      <c r="AW915" s="20">
        <v>0</v>
      </c>
      <c r="AX915" s="20">
        <v>0</v>
      </c>
      <c r="AY915" s="20">
        <v>0</v>
      </c>
      <c r="AZ915" s="20">
        <v>0</v>
      </c>
      <c r="BA915" s="20">
        <v>0</v>
      </c>
      <c r="BB915" s="20">
        <v>0</v>
      </c>
      <c r="BC915" s="20">
        <v>0</v>
      </c>
      <c r="BD915" s="20">
        <v>0</v>
      </c>
      <c r="BE915" s="20">
        <v>0</v>
      </c>
      <c r="BF915" s="20">
        <v>0</v>
      </c>
      <c r="BG915" s="20">
        <v>0</v>
      </c>
      <c r="BH915" s="20">
        <v>0</v>
      </c>
      <c r="BI915" s="22">
        <f t="shared" si="278"/>
        <v>4</v>
      </c>
      <c r="BJ915" s="22">
        <f t="shared" si="279"/>
        <v>0</v>
      </c>
      <c r="BK915" s="28">
        <f t="shared" si="280"/>
        <v>5</v>
      </c>
      <c r="BL915" s="22">
        <f t="shared" si="281"/>
        <v>5</v>
      </c>
      <c r="BM915" s="22">
        <f t="shared" si="283"/>
        <v>0</v>
      </c>
      <c r="BN915" s="23">
        <f t="shared" si="282"/>
        <v>0.2</v>
      </c>
      <c r="BO915" s="23" t="e">
        <f t="shared" si="282"/>
        <v>#DIV/0!</v>
      </c>
      <c r="BP915" s="7" t="e">
        <f>VLOOKUP(A915,[1]Sheet15!B:E,4,0)</f>
        <v>#N/A</v>
      </c>
      <c r="BQ915" s="7" t="e">
        <f>VLOOKUP(A915,[1]Sheet15!B:E,3,0)</f>
        <v>#N/A</v>
      </c>
    </row>
    <row r="916" spans="1:69" ht="22.5" customHeight="1" x14ac:dyDescent="0.25">
      <c r="A916" s="38"/>
      <c r="B916" s="35" t="e">
        <f>VLOOKUP(A916,'[1]Master clients'!F895:W4442,17,0)</f>
        <v>#N/A</v>
      </c>
      <c r="C916" s="15" t="e">
        <f>VLOOKUP(A916,'[1]Master clients'!F895:P4442,11,0)</f>
        <v>#N/A</v>
      </c>
      <c r="D916" s="15" t="e">
        <f>VLOOKUP(A916,'[1]Master clients'!F:M,8,0)</f>
        <v>#N/A</v>
      </c>
      <c r="E916" s="39" t="s">
        <v>2181</v>
      </c>
      <c r="F916" s="42" t="s">
        <v>2182</v>
      </c>
      <c r="G916" s="20"/>
      <c r="H916" s="20"/>
      <c r="I916" s="26">
        <v>3</v>
      </c>
      <c r="J916" s="18">
        <v>0</v>
      </c>
      <c r="K916" s="20">
        <v>4</v>
      </c>
      <c r="L916" s="20">
        <v>0</v>
      </c>
      <c r="M916" s="20">
        <v>0</v>
      </c>
      <c r="N916" s="20">
        <v>0</v>
      </c>
      <c r="O916" s="20">
        <v>0</v>
      </c>
      <c r="P916" s="20">
        <v>0</v>
      </c>
      <c r="Q916" s="20">
        <v>0</v>
      </c>
      <c r="R916" s="20">
        <v>0</v>
      </c>
      <c r="S916" s="20">
        <v>0</v>
      </c>
      <c r="T916" s="20">
        <v>0</v>
      </c>
      <c r="U916" s="20">
        <v>0</v>
      </c>
      <c r="V916" s="20">
        <v>0</v>
      </c>
      <c r="W916" s="20">
        <v>0</v>
      </c>
      <c r="X916" s="20">
        <v>0</v>
      </c>
      <c r="Y916" s="20">
        <v>0</v>
      </c>
      <c r="Z916" s="20">
        <v>0</v>
      </c>
      <c r="AA916" s="20">
        <v>0</v>
      </c>
      <c r="AB916" s="20">
        <v>0</v>
      </c>
      <c r="AC916" s="20">
        <v>0</v>
      </c>
      <c r="AD916" s="20">
        <v>0</v>
      </c>
      <c r="AE916" s="20">
        <v>0</v>
      </c>
      <c r="AF916" s="20">
        <v>0</v>
      </c>
      <c r="AG916" s="20">
        <v>0</v>
      </c>
      <c r="AH916" s="20">
        <v>0</v>
      </c>
      <c r="AI916" s="20">
        <v>0</v>
      </c>
      <c r="AJ916" s="20">
        <v>0</v>
      </c>
      <c r="AK916" s="20">
        <v>16</v>
      </c>
      <c r="AL916" s="20">
        <v>0</v>
      </c>
      <c r="AM916" s="20">
        <v>0</v>
      </c>
      <c r="AN916" s="20">
        <v>0</v>
      </c>
      <c r="AO916" s="20">
        <v>0</v>
      </c>
      <c r="AP916" s="20">
        <v>0</v>
      </c>
      <c r="AQ916" s="20">
        <v>0</v>
      </c>
      <c r="AR916" s="20">
        <v>0</v>
      </c>
      <c r="AS916" s="20">
        <v>0</v>
      </c>
      <c r="AT916" s="20">
        <v>0</v>
      </c>
      <c r="AU916" s="20">
        <v>0</v>
      </c>
      <c r="AV916" s="20">
        <v>0</v>
      </c>
      <c r="AW916" s="20">
        <v>0</v>
      </c>
      <c r="AX916" s="20">
        <v>0</v>
      </c>
      <c r="AY916" s="20">
        <v>0</v>
      </c>
      <c r="AZ916" s="20">
        <v>0</v>
      </c>
      <c r="BA916" s="20">
        <v>0</v>
      </c>
      <c r="BB916" s="20">
        <v>0</v>
      </c>
      <c r="BC916" s="20">
        <v>0</v>
      </c>
      <c r="BD916" s="20">
        <v>0</v>
      </c>
      <c r="BE916" s="20">
        <v>0</v>
      </c>
      <c r="BF916" s="20">
        <v>0</v>
      </c>
      <c r="BG916" s="20">
        <v>0</v>
      </c>
      <c r="BH916" s="20">
        <v>0</v>
      </c>
      <c r="BI916" s="22">
        <f t="shared" si="278"/>
        <v>20</v>
      </c>
      <c r="BJ916" s="22">
        <f t="shared" si="279"/>
        <v>0</v>
      </c>
      <c r="BK916" s="28">
        <f t="shared" si="280"/>
        <v>23</v>
      </c>
      <c r="BL916" s="22">
        <f t="shared" si="281"/>
        <v>23</v>
      </c>
      <c r="BM916" s="22">
        <f t="shared" si="283"/>
        <v>0</v>
      </c>
      <c r="BN916" s="23">
        <f t="shared" si="282"/>
        <v>0.13043478260869565</v>
      </c>
      <c r="BO916" s="23" t="e">
        <f t="shared" si="282"/>
        <v>#DIV/0!</v>
      </c>
      <c r="BP916" s="7" t="e">
        <f>VLOOKUP(A916,[1]Sheet15!B:E,4,0)</f>
        <v>#N/A</v>
      </c>
      <c r="BQ916" s="7" t="e">
        <f>VLOOKUP(A916,[1]Sheet15!B:E,3,0)</f>
        <v>#N/A</v>
      </c>
    </row>
    <row r="917" spans="1:69" ht="22.5" customHeight="1" x14ac:dyDescent="0.25">
      <c r="A917" s="38"/>
      <c r="B917" s="35" t="e">
        <f>VLOOKUP(A917,'[1]Master clients'!F896:W4443,17,0)</f>
        <v>#N/A</v>
      </c>
      <c r="C917" s="15" t="e">
        <f>VLOOKUP(A917,'[1]Master clients'!F896:P4443,11,0)</f>
        <v>#N/A</v>
      </c>
      <c r="D917" s="15" t="e">
        <f>VLOOKUP(A917,'[1]Master clients'!F:M,8,0)</f>
        <v>#N/A</v>
      </c>
      <c r="E917" s="39" t="s">
        <v>2183</v>
      </c>
      <c r="F917" s="42" t="s">
        <v>2184</v>
      </c>
      <c r="G917" s="20"/>
      <c r="H917" s="20"/>
      <c r="I917" s="26">
        <v>1</v>
      </c>
      <c r="J917" s="18">
        <v>0</v>
      </c>
      <c r="K917" s="20">
        <v>0</v>
      </c>
      <c r="L917" s="20">
        <v>0</v>
      </c>
      <c r="M917" s="20">
        <v>0</v>
      </c>
      <c r="N917" s="20">
        <v>0</v>
      </c>
      <c r="O917" s="20">
        <v>0</v>
      </c>
      <c r="P917" s="20">
        <v>0</v>
      </c>
      <c r="Q917" s="20">
        <v>0</v>
      </c>
      <c r="R917" s="20">
        <v>0</v>
      </c>
      <c r="S917" s="20">
        <v>0</v>
      </c>
      <c r="T917" s="20">
        <v>0</v>
      </c>
      <c r="U917" s="20">
        <v>0</v>
      </c>
      <c r="V917" s="20">
        <v>0</v>
      </c>
      <c r="W917" s="20">
        <v>0</v>
      </c>
      <c r="X917" s="20">
        <v>0</v>
      </c>
      <c r="Y917" s="20">
        <v>0</v>
      </c>
      <c r="Z917" s="20">
        <v>0</v>
      </c>
      <c r="AA917" s="20">
        <v>0</v>
      </c>
      <c r="AB917" s="20">
        <v>0</v>
      </c>
      <c r="AC917" s="20">
        <v>0</v>
      </c>
      <c r="AD917" s="20">
        <v>0</v>
      </c>
      <c r="AE917" s="20">
        <v>0</v>
      </c>
      <c r="AF917" s="20">
        <v>0</v>
      </c>
      <c r="AG917" s="20">
        <v>0</v>
      </c>
      <c r="AH917" s="20">
        <v>0</v>
      </c>
      <c r="AI917" s="20">
        <v>0</v>
      </c>
      <c r="AJ917" s="20">
        <v>0</v>
      </c>
      <c r="AK917" s="20">
        <v>0</v>
      </c>
      <c r="AL917" s="20">
        <v>0</v>
      </c>
      <c r="AM917" s="20">
        <v>0</v>
      </c>
      <c r="AN917" s="20">
        <v>0</v>
      </c>
      <c r="AO917" s="20">
        <v>0</v>
      </c>
      <c r="AP917" s="20">
        <v>0</v>
      </c>
      <c r="AQ917" s="20">
        <v>0</v>
      </c>
      <c r="AR917" s="20">
        <v>0</v>
      </c>
      <c r="AS917" s="20">
        <v>0</v>
      </c>
      <c r="AT917" s="20">
        <v>0</v>
      </c>
      <c r="AU917" s="20">
        <v>0</v>
      </c>
      <c r="AV917" s="20">
        <v>0</v>
      </c>
      <c r="AW917" s="20">
        <v>0</v>
      </c>
      <c r="AX917" s="20">
        <v>0</v>
      </c>
      <c r="AY917" s="20">
        <v>0</v>
      </c>
      <c r="AZ917" s="20">
        <v>0</v>
      </c>
      <c r="BA917" s="20">
        <v>0</v>
      </c>
      <c r="BB917" s="20">
        <v>0</v>
      </c>
      <c r="BC917" s="20">
        <v>0</v>
      </c>
      <c r="BD917" s="20">
        <v>0</v>
      </c>
      <c r="BE917" s="20">
        <v>0</v>
      </c>
      <c r="BF917" s="20">
        <v>0</v>
      </c>
      <c r="BG917" s="20">
        <v>0</v>
      </c>
      <c r="BH917" s="20">
        <v>0</v>
      </c>
      <c r="BI917" s="22">
        <f t="shared" si="278"/>
        <v>0</v>
      </c>
      <c r="BJ917" s="22">
        <f t="shared" si="279"/>
        <v>0</v>
      </c>
      <c r="BK917" s="28">
        <f t="shared" si="280"/>
        <v>1</v>
      </c>
      <c r="BL917" s="22">
        <f t="shared" si="281"/>
        <v>1</v>
      </c>
      <c r="BM917" s="22">
        <f t="shared" si="283"/>
        <v>0</v>
      </c>
      <c r="BN917" s="23">
        <f t="shared" si="282"/>
        <v>1</v>
      </c>
      <c r="BO917" s="23" t="e">
        <f t="shared" si="282"/>
        <v>#DIV/0!</v>
      </c>
      <c r="BP917" s="7" t="e">
        <f>VLOOKUP(A917,[1]Sheet15!B:E,4,0)</f>
        <v>#N/A</v>
      </c>
      <c r="BQ917" s="7" t="e">
        <f>VLOOKUP(A917,[1]Sheet15!B:E,3,0)</f>
        <v>#N/A</v>
      </c>
    </row>
    <row r="918" spans="1:69" ht="15.75" customHeight="1" x14ac:dyDescent="0.25">
      <c r="A918" s="12"/>
      <c r="B918" s="15" t="e">
        <f>VLOOKUP(A918,'[1]Master clients'!F916:W4463,17,0)</f>
        <v>#N/A</v>
      </c>
      <c r="C918" s="15" t="e">
        <f>VLOOKUP(A918,'[1]Master clients'!F916:P4463,11,0)</f>
        <v>#N/A</v>
      </c>
      <c r="D918" s="15" t="e">
        <f>VLOOKUP(A918,'[1]Master clients'!F:M,8,0)</f>
        <v>#N/A</v>
      </c>
      <c r="E918" s="12"/>
      <c r="F918" s="6"/>
      <c r="G918" s="6"/>
      <c r="H918" s="6"/>
      <c r="I918" s="43"/>
      <c r="J918" s="43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  <c r="BA918" s="6"/>
      <c r="BB918" s="6"/>
      <c r="BC918" s="6"/>
      <c r="BD918" s="6"/>
      <c r="BE918" s="6"/>
      <c r="BF918" s="6"/>
      <c r="BG918" s="6"/>
      <c r="BH918" s="6"/>
      <c r="BI918" s="6"/>
      <c r="BJ918" s="6"/>
      <c r="BK918" s="6"/>
      <c r="BL918" s="44"/>
      <c r="BM918" s="44"/>
      <c r="BN918" s="45"/>
      <c r="BO918" s="45"/>
      <c r="BP918" s="7"/>
      <c r="BQ918" s="7" t="e">
        <f>VLOOKUP(A918,[1]Sheet15!B:E,3,0)</f>
        <v>#N/A</v>
      </c>
    </row>
    <row r="919" spans="1:69" ht="15.75" customHeight="1" x14ac:dyDescent="0.25">
      <c r="A919" s="12"/>
      <c r="B919" s="15" t="e">
        <f>VLOOKUP(A919,'[1]Master clients'!F917:W4464,17,0)</f>
        <v>#N/A</v>
      </c>
      <c r="C919" s="15" t="e">
        <f>VLOOKUP(A919,'[1]Master clients'!F917:P4464,11,0)</f>
        <v>#N/A</v>
      </c>
      <c r="D919" s="15" t="e">
        <f>VLOOKUP(A919,'[1]Master clients'!F:M,8,0)</f>
        <v>#N/A</v>
      </c>
      <c r="E919" s="12"/>
      <c r="F919" s="6"/>
      <c r="G919" s="6"/>
      <c r="H919" s="6"/>
      <c r="I919" s="43"/>
      <c r="J919" s="43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  <c r="BA919" s="6"/>
      <c r="BB919" s="6"/>
      <c r="BC919" s="6"/>
      <c r="BD919" s="6"/>
      <c r="BE919" s="6"/>
      <c r="BF919" s="6"/>
      <c r="BG919" s="6"/>
      <c r="BH919" s="6"/>
      <c r="BI919" s="6"/>
      <c r="BJ919" s="6"/>
      <c r="BK919" s="6"/>
      <c r="BL919" s="44"/>
      <c r="BM919" s="44"/>
      <c r="BN919" s="45"/>
      <c r="BO919" s="45"/>
      <c r="BP919" s="7"/>
      <c r="BQ919" s="7" t="e">
        <f>VLOOKUP(A919,[1]Sheet15!B:E,3,0)</f>
        <v>#N/A</v>
      </c>
    </row>
    <row r="920" spans="1:69" ht="15.75" customHeight="1" x14ac:dyDescent="0.25">
      <c r="A920" s="12"/>
      <c r="B920" s="15" t="e">
        <f>VLOOKUP(A920,'[1]Master clients'!F918:W4465,17,0)</f>
        <v>#N/A</v>
      </c>
      <c r="C920" s="15" t="e">
        <f>VLOOKUP(A920,'[1]Master clients'!F918:P4465,11,0)</f>
        <v>#N/A</v>
      </c>
      <c r="D920" s="15" t="e">
        <f>VLOOKUP(A920,'[1]Master clients'!F:M,8,0)</f>
        <v>#N/A</v>
      </c>
      <c r="E920" s="12"/>
      <c r="F920" s="6"/>
      <c r="G920" s="6"/>
      <c r="H920" s="6"/>
      <c r="I920" s="43"/>
      <c r="J920" s="43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  <c r="BA920" s="6"/>
      <c r="BB920" s="6"/>
      <c r="BC920" s="6"/>
      <c r="BD920" s="6"/>
      <c r="BE920" s="6"/>
      <c r="BF920" s="6"/>
      <c r="BG920" s="6"/>
      <c r="BH920" s="6"/>
      <c r="BI920" s="6"/>
      <c r="BJ920" s="6"/>
      <c r="BK920" s="6"/>
      <c r="BL920" s="44"/>
      <c r="BM920" s="44"/>
      <c r="BN920" s="45"/>
      <c r="BO920" s="45"/>
      <c r="BP920" s="7"/>
      <c r="BQ920" s="7" t="e">
        <f>VLOOKUP(A920,[1]Sheet15!B:E,3,0)</f>
        <v>#N/A</v>
      </c>
    </row>
    <row r="921" spans="1:69" ht="15.75" customHeight="1" x14ac:dyDescent="0.25">
      <c r="A921" s="12"/>
      <c r="B921" s="15" t="e">
        <f>VLOOKUP(A921,'[1]Master clients'!F919:W4466,17,0)</f>
        <v>#N/A</v>
      </c>
      <c r="C921" s="15" t="e">
        <f>VLOOKUP(A921,'[1]Master clients'!F919:P4466,11,0)</f>
        <v>#N/A</v>
      </c>
      <c r="D921" s="15" t="e">
        <f>VLOOKUP(A921,'[1]Master clients'!F:M,8,0)</f>
        <v>#N/A</v>
      </c>
      <c r="E921" s="12"/>
      <c r="F921" s="6"/>
      <c r="G921" s="6"/>
      <c r="H921" s="6"/>
      <c r="I921" s="43"/>
      <c r="J921" s="43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  <c r="BA921" s="6"/>
      <c r="BB921" s="6"/>
      <c r="BC921" s="6"/>
      <c r="BD921" s="6"/>
      <c r="BE921" s="6"/>
      <c r="BF921" s="6"/>
      <c r="BG921" s="6"/>
      <c r="BH921" s="6"/>
      <c r="BI921" s="6"/>
      <c r="BJ921" s="6"/>
      <c r="BK921" s="6"/>
      <c r="BL921" s="44"/>
      <c r="BM921" s="44"/>
      <c r="BN921" s="45"/>
      <c r="BO921" s="45"/>
      <c r="BP921" s="7"/>
      <c r="BQ921" s="7" t="e">
        <f>VLOOKUP(A921,[1]Sheet15!B:E,3,0)</f>
        <v>#N/A</v>
      </c>
    </row>
    <row r="922" spans="1:69" ht="15.75" customHeight="1" x14ac:dyDescent="0.25">
      <c r="A922" s="12"/>
      <c r="B922" s="15" t="e">
        <f>VLOOKUP(A922,'[1]Master clients'!F920:W4467,17,0)</f>
        <v>#N/A</v>
      </c>
      <c r="C922" s="15" t="e">
        <f>VLOOKUP(A922,'[1]Master clients'!F920:P4467,11,0)</f>
        <v>#N/A</v>
      </c>
      <c r="D922" s="15" t="e">
        <f>VLOOKUP(A922,'[1]Master clients'!F:M,8,0)</f>
        <v>#N/A</v>
      </c>
      <c r="E922" s="12"/>
      <c r="F922" s="6"/>
      <c r="G922" s="6"/>
      <c r="H922" s="6"/>
      <c r="I922" s="43"/>
      <c r="J922" s="43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  <c r="BA922" s="6"/>
      <c r="BB922" s="6"/>
      <c r="BC922" s="6"/>
      <c r="BD922" s="6"/>
      <c r="BE922" s="6"/>
      <c r="BF922" s="6"/>
      <c r="BG922" s="6"/>
      <c r="BH922" s="6"/>
      <c r="BI922" s="6"/>
      <c r="BJ922" s="6"/>
      <c r="BK922" s="6"/>
      <c r="BL922" s="44"/>
      <c r="BM922" s="44"/>
      <c r="BN922" s="45"/>
      <c r="BO922" s="45"/>
      <c r="BP922" s="7"/>
      <c r="BQ922" s="7" t="e">
        <f>VLOOKUP(A922,[1]Sheet15!B:E,3,0)</f>
        <v>#N/A</v>
      </c>
    </row>
    <row r="923" spans="1:69" ht="15.75" customHeight="1" x14ac:dyDescent="0.25">
      <c r="A923" s="12"/>
      <c r="B923" s="15" t="e">
        <f>VLOOKUP(A923,'[1]Master clients'!F921:W4468,17,0)</f>
        <v>#N/A</v>
      </c>
      <c r="C923" s="15" t="e">
        <f>VLOOKUP(A923,'[1]Master clients'!F921:P4468,11,0)</f>
        <v>#N/A</v>
      </c>
      <c r="D923" s="15" t="e">
        <f>VLOOKUP(A923,'[1]Master clients'!F:M,8,0)</f>
        <v>#N/A</v>
      </c>
      <c r="E923" s="12"/>
      <c r="F923" s="6"/>
      <c r="G923" s="6"/>
      <c r="H923" s="6"/>
      <c r="I923" s="43"/>
      <c r="J923" s="43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  <c r="BA923" s="6"/>
      <c r="BB923" s="6"/>
      <c r="BC923" s="6"/>
      <c r="BD923" s="6"/>
      <c r="BE923" s="6"/>
      <c r="BF923" s="6"/>
      <c r="BG923" s="6"/>
      <c r="BH923" s="6"/>
      <c r="BI923" s="6"/>
      <c r="BJ923" s="6"/>
      <c r="BK923" s="6"/>
      <c r="BL923" s="44"/>
      <c r="BM923" s="44"/>
      <c r="BN923" s="45"/>
      <c r="BO923" s="45"/>
      <c r="BP923" s="7"/>
      <c r="BQ923" s="7" t="e">
        <f>VLOOKUP(A923,[1]Sheet15!B:E,3,0)</f>
        <v>#N/A</v>
      </c>
    </row>
    <row r="924" spans="1:69" ht="15.75" customHeight="1" x14ac:dyDescent="0.25">
      <c r="A924" s="12"/>
      <c r="B924" s="15" t="e">
        <f>VLOOKUP(A924,'[1]Master clients'!F922:W4469,17,0)</f>
        <v>#N/A</v>
      </c>
      <c r="C924" s="15" t="e">
        <f>VLOOKUP(A924,'[1]Master clients'!F922:P4469,11,0)</f>
        <v>#N/A</v>
      </c>
      <c r="D924" s="15" t="e">
        <f>VLOOKUP(A924,'[1]Master clients'!F:M,8,0)</f>
        <v>#N/A</v>
      </c>
      <c r="E924" s="12"/>
      <c r="F924" s="6"/>
      <c r="G924" s="6"/>
      <c r="H924" s="6"/>
      <c r="I924" s="43"/>
      <c r="J924" s="43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  <c r="BA924" s="6"/>
      <c r="BB924" s="6"/>
      <c r="BC924" s="6"/>
      <c r="BD924" s="6"/>
      <c r="BE924" s="6"/>
      <c r="BF924" s="6"/>
      <c r="BG924" s="6"/>
      <c r="BH924" s="6"/>
      <c r="BI924" s="6"/>
      <c r="BJ924" s="6"/>
      <c r="BK924" s="6"/>
      <c r="BL924" s="44"/>
      <c r="BM924" s="44"/>
      <c r="BN924" s="45"/>
      <c r="BO924" s="45"/>
      <c r="BP924" s="7"/>
      <c r="BQ924" s="7" t="e">
        <f>VLOOKUP(A924,[1]Sheet15!B:E,3,0)</f>
        <v>#N/A</v>
      </c>
    </row>
    <row r="925" spans="1:69" ht="15.75" customHeight="1" x14ac:dyDescent="0.25">
      <c r="A925" s="12"/>
      <c r="B925" s="15" t="e">
        <f>VLOOKUP(A925,'[1]Master clients'!F923:W4470,17,0)</f>
        <v>#N/A</v>
      </c>
      <c r="C925" s="15" t="e">
        <f>VLOOKUP(A925,'[1]Master clients'!F923:P4470,11,0)</f>
        <v>#N/A</v>
      </c>
      <c r="D925" s="15" t="e">
        <f>VLOOKUP(A925,'[1]Master clients'!F:M,8,0)</f>
        <v>#N/A</v>
      </c>
      <c r="E925" s="12"/>
      <c r="F925" s="6"/>
      <c r="G925" s="6"/>
      <c r="H925" s="6"/>
      <c r="I925" s="43"/>
      <c r="J925" s="43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  <c r="BA925" s="6"/>
      <c r="BB925" s="6"/>
      <c r="BC925" s="6"/>
      <c r="BD925" s="6"/>
      <c r="BE925" s="6"/>
      <c r="BF925" s="6"/>
      <c r="BG925" s="6"/>
      <c r="BH925" s="6"/>
      <c r="BI925" s="6"/>
      <c r="BJ925" s="6"/>
      <c r="BK925" s="6"/>
      <c r="BL925" s="44"/>
      <c r="BM925" s="44"/>
      <c r="BN925" s="45"/>
      <c r="BO925" s="45"/>
      <c r="BP925" s="7"/>
      <c r="BQ925" s="7" t="e">
        <f>VLOOKUP(A925,[1]Sheet15!B:E,3,0)</f>
        <v>#N/A</v>
      </c>
    </row>
    <row r="926" spans="1:69" ht="15.75" customHeight="1" x14ac:dyDescent="0.25">
      <c r="A926" s="12"/>
      <c r="B926" s="15" t="e">
        <f>VLOOKUP(A926,'[1]Master clients'!F924:W4471,17,0)</f>
        <v>#N/A</v>
      </c>
      <c r="C926" s="15" t="e">
        <f>VLOOKUP(A926,'[1]Master clients'!F924:P4471,11,0)</f>
        <v>#N/A</v>
      </c>
      <c r="D926" s="15" t="e">
        <f>VLOOKUP(A926,'[1]Master clients'!F:M,8,0)</f>
        <v>#N/A</v>
      </c>
      <c r="E926" s="12"/>
      <c r="F926" s="6"/>
      <c r="G926" s="6"/>
      <c r="H926" s="6"/>
      <c r="I926" s="43"/>
      <c r="J926" s="43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  <c r="BA926" s="6"/>
      <c r="BB926" s="6"/>
      <c r="BC926" s="6"/>
      <c r="BD926" s="6"/>
      <c r="BE926" s="6"/>
      <c r="BF926" s="6"/>
      <c r="BG926" s="6"/>
      <c r="BH926" s="6"/>
      <c r="BI926" s="6"/>
      <c r="BJ926" s="6"/>
      <c r="BK926" s="6"/>
      <c r="BL926" s="44"/>
      <c r="BM926" s="44"/>
      <c r="BN926" s="45"/>
      <c r="BO926" s="45"/>
      <c r="BP926" s="7"/>
      <c r="BQ926" s="7" t="e">
        <f>VLOOKUP(A926,[1]Sheet15!B:E,3,0)</f>
        <v>#N/A</v>
      </c>
    </row>
    <row r="927" spans="1:69" ht="15.75" customHeight="1" x14ac:dyDescent="0.25">
      <c r="A927" s="12"/>
      <c r="B927" s="15" t="e">
        <f>VLOOKUP(A927,'[1]Master clients'!F925:W4472,17,0)</f>
        <v>#N/A</v>
      </c>
      <c r="C927" s="15" t="e">
        <f>VLOOKUP(A927,'[1]Master clients'!F925:P4472,11,0)</f>
        <v>#N/A</v>
      </c>
      <c r="D927" s="15" t="e">
        <f>VLOOKUP(A927,'[1]Master clients'!F:M,8,0)</f>
        <v>#N/A</v>
      </c>
      <c r="E927" s="12"/>
      <c r="F927" s="6"/>
      <c r="G927" s="6"/>
      <c r="H927" s="6"/>
      <c r="I927" s="43"/>
      <c r="J927" s="43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  <c r="BA927" s="6"/>
      <c r="BB927" s="6"/>
      <c r="BC927" s="6"/>
      <c r="BD927" s="6"/>
      <c r="BE927" s="6"/>
      <c r="BF927" s="6"/>
      <c r="BG927" s="6"/>
      <c r="BH927" s="6"/>
      <c r="BI927" s="6"/>
      <c r="BJ927" s="6"/>
      <c r="BK927" s="6"/>
      <c r="BL927" s="44"/>
      <c r="BM927" s="44"/>
      <c r="BN927" s="45"/>
      <c r="BO927" s="45"/>
      <c r="BP927" s="7"/>
      <c r="BQ927" s="7" t="e">
        <f>VLOOKUP(A927,[1]Sheet15!B:E,3,0)</f>
        <v>#N/A</v>
      </c>
    </row>
    <row r="928" spans="1:69" ht="15.75" customHeight="1" x14ac:dyDescent="0.25">
      <c r="A928" s="12"/>
      <c r="B928" s="15" t="e">
        <f>VLOOKUP(A928,'[1]Master clients'!F926:W4473,17,0)</f>
        <v>#N/A</v>
      </c>
      <c r="C928" s="15" t="e">
        <f>VLOOKUP(A928,'[1]Master clients'!F926:P4473,11,0)</f>
        <v>#N/A</v>
      </c>
      <c r="D928" s="15" t="e">
        <f>VLOOKUP(A928,'[1]Master clients'!F:M,8,0)</f>
        <v>#N/A</v>
      </c>
      <c r="E928" s="12"/>
      <c r="F928" s="6"/>
      <c r="G928" s="6"/>
      <c r="H928" s="6"/>
      <c r="I928" s="43"/>
      <c r="J928" s="43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  <c r="BA928" s="6"/>
      <c r="BB928" s="6"/>
      <c r="BC928" s="6"/>
      <c r="BD928" s="6"/>
      <c r="BE928" s="6"/>
      <c r="BF928" s="6"/>
      <c r="BG928" s="6"/>
      <c r="BH928" s="6"/>
      <c r="BI928" s="6"/>
      <c r="BJ928" s="6"/>
      <c r="BK928" s="6"/>
      <c r="BL928" s="44"/>
      <c r="BM928" s="44"/>
      <c r="BN928" s="45"/>
      <c r="BO928" s="45"/>
      <c r="BP928" s="7"/>
      <c r="BQ928" s="7" t="e">
        <f>VLOOKUP(A928,[1]Sheet15!B:E,3,0)</f>
        <v>#N/A</v>
      </c>
    </row>
    <row r="929" spans="1:69" ht="15.75" customHeight="1" x14ac:dyDescent="0.25">
      <c r="A929" s="12"/>
      <c r="B929" s="15" t="e">
        <f>VLOOKUP(A929,'[1]Master clients'!F927:W4474,17,0)</f>
        <v>#N/A</v>
      </c>
      <c r="C929" s="15" t="e">
        <f>VLOOKUP(A929,'[1]Master clients'!F927:P4474,11,0)</f>
        <v>#N/A</v>
      </c>
      <c r="D929" s="15" t="e">
        <f>VLOOKUP(A929,'[1]Master clients'!F:M,8,0)</f>
        <v>#N/A</v>
      </c>
      <c r="E929" s="12"/>
      <c r="F929" s="6"/>
      <c r="G929" s="6"/>
      <c r="H929" s="6"/>
      <c r="I929" s="43"/>
      <c r="J929" s="43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  <c r="BA929" s="6"/>
      <c r="BB929" s="6"/>
      <c r="BC929" s="6"/>
      <c r="BD929" s="6"/>
      <c r="BE929" s="6"/>
      <c r="BF929" s="6"/>
      <c r="BG929" s="6"/>
      <c r="BH929" s="6"/>
      <c r="BI929" s="6"/>
      <c r="BJ929" s="6"/>
      <c r="BK929" s="6"/>
      <c r="BL929" s="44"/>
      <c r="BM929" s="44"/>
      <c r="BN929" s="45"/>
      <c r="BO929" s="45"/>
      <c r="BP929" s="7"/>
      <c r="BQ929" s="7" t="e">
        <f>VLOOKUP(A929,[1]Sheet15!B:E,3,0)</f>
        <v>#N/A</v>
      </c>
    </row>
    <row r="930" spans="1:69" ht="15.75" customHeight="1" x14ac:dyDescent="0.25">
      <c r="A930" s="12"/>
      <c r="B930" s="15" t="e">
        <f>VLOOKUP(A930,'[1]Master clients'!F928:W4475,17,0)</f>
        <v>#N/A</v>
      </c>
      <c r="C930" s="15" t="e">
        <f>VLOOKUP(A930,'[1]Master clients'!F928:P4475,11,0)</f>
        <v>#N/A</v>
      </c>
      <c r="D930" s="15" t="e">
        <f>VLOOKUP(A930,'[1]Master clients'!F:M,8,0)</f>
        <v>#N/A</v>
      </c>
      <c r="E930" s="12"/>
      <c r="F930" s="6"/>
      <c r="G930" s="6"/>
      <c r="H930" s="6"/>
      <c r="I930" s="43"/>
      <c r="J930" s="43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  <c r="BA930" s="6"/>
      <c r="BB930" s="6"/>
      <c r="BC930" s="6"/>
      <c r="BD930" s="6"/>
      <c r="BE930" s="6"/>
      <c r="BF930" s="6"/>
      <c r="BG930" s="6"/>
      <c r="BH930" s="6"/>
      <c r="BI930" s="6"/>
      <c r="BJ930" s="6"/>
      <c r="BK930" s="6"/>
      <c r="BL930" s="44"/>
      <c r="BM930" s="44"/>
      <c r="BN930" s="45"/>
      <c r="BO930" s="45"/>
      <c r="BP930" s="7"/>
      <c r="BQ930" s="7" t="e">
        <f>VLOOKUP(A930,[1]Sheet15!B:E,3,0)</f>
        <v>#N/A</v>
      </c>
    </row>
    <row r="931" spans="1:69" ht="15.75" customHeight="1" x14ac:dyDescent="0.25">
      <c r="A931" s="12"/>
      <c r="B931" s="15" t="e">
        <f>VLOOKUP(A931,'[1]Master clients'!F929:W4476,17,0)</f>
        <v>#N/A</v>
      </c>
      <c r="C931" s="15" t="e">
        <f>VLOOKUP(A931,'[1]Master clients'!F929:P4476,11,0)</f>
        <v>#N/A</v>
      </c>
      <c r="D931" s="15" t="e">
        <f>VLOOKUP(A931,'[1]Master clients'!F:M,8,0)</f>
        <v>#N/A</v>
      </c>
      <c r="E931" s="12"/>
      <c r="F931" s="6"/>
      <c r="G931" s="6"/>
      <c r="H931" s="6"/>
      <c r="I931" s="43"/>
      <c r="J931" s="43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  <c r="BA931" s="6"/>
      <c r="BB931" s="6"/>
      <c r="BC931" s="6"/>
      <c r="BD931" s="6"/>
      <c r="BE931" s="6"/>
      <c r="BF931" s="6"/>
      <c r="BG931" s="6"/>
      <c r="BH931" s="6"/>
      <c r="BI931" s="6"/>
      <c r="BJ931" s="6"/>
      <c r="BK931" s="6"/>
      <c r="BL931" s="44"/>
      <c r="BM931" s="44"/>
      <c r="BN931" s="45"/>
      <c r="BO931" s="45"/>
      <c r="BP931" s="7"/>
      <c r="BQ931" s="7" t="e">
        <f>VLOOKUP(A931,[1]Sheet15!B:E,3,0)</f>
        <v>#N/A</v>
      </c>
    </row>
    <row r="932" spans="1:69" ht="15.75" customHeight="1" x14ac:dyDescent="0.25">
      <c r="A932" s="12"/>
      <c r="B932" s="15" t="e">
        <f>VLOOKUP(A932,'[1]Master clients'!F930:W4477,17,0)</f>
        <v>#N/A</v>
      </c>
      <c r="C932" s="15" t="e">
        <f>VLOOKUP(A932,'[1]Master clients'!F930:P4477,11,0)</f>
        <v>#N/A</v>
      </c>
      <c r="D932" s="15" t="e">
        <f>VLOOKUP(A932,'[1]Master clients'!F:M,8,0)</f>
        <v>#N/A</v>
      </c>
      <c r="E932" s="12"/>
      <c r="F932" s="6"/>
      <c r="G932" s="6"/>
      <c r="H932" s="6"/>
      <c r="I932" s="43"/>
      <c r="J932" s="43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  <c r="BA932" s="6"/>
      <c r="BB932" s="6"/>
      <c r="BC932" s="6"/>
      <c r="BD932" s="6"/>
      <c r="BE932" s="6"/>
      <c r="BF932" s="6"/>
      <c r="BG932" s="6"/>
      <c r="BH932" s="6"/>
      <c r="BI932" s="6"/>
      <c r="BJ932" s="6"/>
      <c r="BK932" s="6"/>
      <c r="BL932" s="44"/>
      <c r="BM932" s="44"/>
      <c r="BN932" s="45"/>
      <c r="BO932" s="45"/>
      <c r="BP932" s="7"/>
      <c r="BQ932" s="7" t="e">
        <f>VLOOKUP(A932,[1]Sheet15!B:E,3,0)</f>
        <v>#N/A</v>
      </c>
    </row>
    <row r="933" spans="1:69" ht="15.75" customHeight="1" x14ac:dyDescent="0.25">
      <c r="A933" s="12"/>
      <c r="B933" s="15" t="e">
        <f>VLOOKUP(A933,'[1]Master clients'!F931:W4478,17,0)</f>
        <v>#N/A</v>
      </c>
      <c r="C933" s="15" t="e">
        <f>VLOOKUP(A933,'[1]Master clients'!F931:P4478,11,0)</f>
        <v>#N/A</v>
      </c>
      <c r="D933" s="15" t="e">
        <f>VLOOKUP(A933,'[1]Master clients'!F:M,8,0)</f>
        <v>#N/A</v>
      </c>
      <c r="E933" s="12"/>
      <c r="F933" s="6"/>
      <c r="G933" s="6"/>
      <c r="H933" s="6"/>
      <c r="I933" s="43"/>
      <c r="J933" s="43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  <c r="BA933" s="6"/>
      <c r="BB933" s="6"/>
      <c r="BC933" s="6"/>
      <c r="BD933" s="6"/>
      <c r="BE933" s="6"/>
      <c r="BF933" s="6"/>
      <c r="BG933" s="6"/>
      <c r="BH933" s="6"/>
      <c r="BI933" s="6"/>
      <c r="BJ933" s="6"/>
      <c r="BK933" s="6"/>
      <c r="BL933" s="44"/>
      <c r="BM933" s="44"/>
      <c r="BN933" s="45"/>
      <c r="BO933" s="45"/>
      <c r="BP933" s="7"/>
      <c r="BQ933" s="7" t="e">
        <f>VLOOKUP(A933,[1]Sheet15!B:E,3,0)</f>
        <v>#N/A</v>
      </c>
    </row>
    <row r="934" spans="1:69" ht="15.75" customHeight="1" x14ac:dyDescent="0.25">
      <c r="A934" s="12"/>
      <c r="B934" s="15" t="e">
        <f>VLOOKUP(A934,'[1]Master clients'!F932:W4479,17,0)</f>
        <v>#N/A</v>
      </c>
      <c r="C934" s="15" t="e">
        <f>VLOOKUP(A934,'[1]Master clients'!F932:P4479,11,0)</f>
        <v>#N/A</v>
      </c>
      <c r="D934" s="15" t="e">
        <f>VLOOKUP(A934,'[1]Master clients'!F:M,8,0)</f>
        <v>#N/A</v>
      </c>
      <c r="E934" s="12"/>
      <c r="F934" s="6"/>
      <c r="G934" s="6"/>
      <c r="H934" s="6"/>
      <c r="I934" s="43"/>
      <c r="J934" s="43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  <c r="BA934" s="6"/>
      <c r="BB934" s="6"/>
      <c r="BC934" s="6"/>
      <c r="BD934" s="6"/>
      <c r="BE934" s="6"/>
      <c r="BF934" s="6"/>
      <c r="BG934" s="6"/>
      <c r="BH934" s="6"/>
      <c r="BI934" s="6"/>
      <c r="BJ934" s="6"/>
      <c r="BK934" s="6"/>
      <c r="BL934" s="44"/>
      <c r="BM934" s="44"/>
      <c r="BN934" s="45"/>
      <c r="BO934" s="45"/>
      <c r="BP934" s="7"/>
      <c r="BQ934" s="7" t="e">
        <f>VLOOKUP(A934,[1]Sheet15!B:E,3,0)</f>
        <v>#N/A</v>
      </c>
    </row>
    <row r="935" spans="1:69" ht="15.75" customHeight="1" x14ac:dyDescent="0.25">
      <c r="A935" s="12"/>
      <c r="B935" s="15" t="e">
        <f>VLOOKUP(A935,'[1]Master clients'!F933:W4480,17,0)</f>
        <v>#N/A</v>
      </c>
      <c r="C935" s="15" t="e">
        <f>VLOOKUP(A935,'[1]Master clients'!F933:P4480,11,0)</f>
        <v>#N/A</v>
      </c>
      <c r="D935" s="15" t="e">
        <f>VLOOKUP(A935,'[1]Master clients'!F:M,8,0)</f>
        <v>#N/A</v>
      </c>
      <c r="E935" s="12"/>
      <c r="F935" s="6"/>
      <c r="G935" s="6"/>
      <c r="H935" s="6"/>
      <c r="I935" s="43"/>
      <c r="J935" s="43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  <c r="BA935" s="6"/>
      <c r="BB935" s="6"/>
      <c r="BC935" s="6"/>
      <c r="BD935" s="6"/>
      <c r="BE935" s="6"/>
      <c r="BF935" s="6"/>
      <c r="BG935" s="6"/>
      <c r="BH935" s="6"/>
      <c r="BI935" s="6"/>
      <c r="BJ935" s="6"/>
      <c r="BK935" s="6"/>
      <c r="BL935" s="44"/>
      <c r="BM935" s="44"/>
      <c r="BN935" s="45"/>
      <c r="BO935" s="45"/>
      <c r="BP935" s="7"/>
      <c r="BQ935" s="7" t="e">
        <f>VLOOKUP(A935,[1]Sheet15!B:E,3,0)</f>
        <v>#N/A</v>
      </c>
    </row>
    <row r="936" spans="1:69" ht="15.75" customHeight="1" x14ac:dyDescent="0.25">
      <c r="A936" s="12"/>
      <c r="B936" s="15" t="e">
        <f>VLOOKUP(A936,'[1]Master clients'!F934:W4481,17,0)</f>
        <v>#N/A</v>
      </c>
      <c r="C936" s="15" t="e">
        <f>VLOOKUP(A936,'[1]Master clients'!F934:P4481,11,0)</f>
        <v>#N/A</v>
      </c>
      <c r="D936" s="15" t="e">
        <f>VLOOKUP(A936,'[1]Master clients'!F:M,8,0)</f>
        <v>#N/A</v>
      </c>
      <c r="E936" s="12"/>
      <c r="F936" s="6"/>
      <c r="G936" s="6"/>
      <c r="H936" s="6"/>
      <c r="I936" s="43"/>
      <c r="J936" s="43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  <c r="BA936" s="6"/>
      <c r="BB936" s="6"/>
      <c r="BC936" s="6"/>
      <c r="BD936" s="6"/>
      <c r="BE936" s="6"/>
      <c r="BF936" s="6"/>
      <c r="BG936" s="6"/>
      <c r="BH936" s="6"/>
      <c r="BI936" s="6"/>
      <c r="BJ936" s="6"/>
      <c r="BK936" s="6"/>
      <c r="BL936" s="44"/>
      <c r="BM936" s="44"/>
      <c r="BN936" s="45"/>
      <c r="BO936" s="45"/>
      <c r="BP936" s="7"/>
      <c r="BQ936" s="7" t="e">
        <f>VLOOKUP(A936,[1]Sheet15!B:E,3,0)</f>
        <v>#N/A</v>
      </c>
    </row>
    <row r="937" spans="1:69" ht="15.75" customHeight="1" x14ac:dyDescent="0.25">
      <c r="A937" s="12"/>
      <c r="B937" s="15" t="e">
        <f>VLOOKUP(A937,'[1]Master clients'!F935:W4482,17,0)</f>
        <v>#N/A</v>
      </c>
      <c r="C937" s="15" t="e">
        <f>VLOOKUP(A937,'[1]Master clients'!F935:P4482,11,0)</f>
        <v>#N/A</v>
      </c>
      <c r="D937" s="15" t="e">
        <f>VLOOKUP(A937,'[1]Master clients'!F:M,8,0)</f>
        <v>#N/A</v>
      </c>
      <c r="E937" s="12"/>
      <c r="F937" s="6"/>
      <c r="G937" s="6"/>
      <c r="H937" s="6"/>
      <c r="I937" s="43"/>
      <c r="J937" s="43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  <c r="BA937" s="6"/>
      <c r="BB937" s="6"/>
      <c r="BC937" s="6"/>
      <c r="BD937" s="6"/>
      <c r="BE937" s="6"/>
      <c r="BF937" s="6"/>
      <c r="BG937" s="6"/>
      <c r="BH937" s="6"/>
      <c r="BI937" s="6"/>
      <c r="BJ937" s="6"/>
      <c r="BK937" s="6"/>
      <c r="BL937" s="44"/>
      <c r="BM937" s="44"/>
      <c r="BN937" s="45"/>
      <c r="BO937" s="45"/>
      <c r="BP937" s="7"/>
      <c r="BQ937" s="7" t="e">
        <f>VLOOKUP(A937,[1]Sheet15!B:E,3,0)</f>
        <v>#N/A</v>
      </c>
    </row>
    <row r="938" spans="1:69" ht="15.75" customHeight="1" x14ac:dyDescent="0.25">
      <c r="A938" s="12"/>
      <c r="B938" s="15" t="e">
        <f>VLOOKUP(A938,'[1]Master clients'!F936:W4483,17,0)</f>
        <v>#N/A</v>
      </c>
      <c r="C938" s="15" t="e">
        <f>VLOOKUP(A938,'[1]Master clients'!F936:P4483,11,0)</f>
        <v>#N/A</v>
      </c>
      <c r="D938" s="15" t="e">
        <f>VLOOKUP(A938,'[1]Master clients'!F:M,8,0)</f>
        <v>#N/A</v>
      </c>
      <c r="E938" s="12"/>
      <c r="F938" s="6"/>
      <c r="G938" s="6"/>
      <c r="H938" s="6"/>
      <c r="I938" s="43"/>
      <c r="J938" s="43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  <c r="BA938" s="6"/>
      <c r="BB938" s="6"/>
      <c r="BC938" s="6"/>
      <c r="BD938" s="6"/>
      <c r="BE938" s="6"/>
      <c r="BF938" s="6"/>
      <c r="BG938" s="6"/>
      <c r="BH938" s="6"/>
      <c r="BI938" s="6"/>
      <c r="BJ938" s="6"/>
      <c r="BK938" s="6"/>
      <c r="BL938" s="44"/>
      <c r="BM938" s="44"/>
      <c r="BN938" s="45"/>
      <c r="BO938" s="45"/>
      <c r="BP938" s="7"/>
      <c r="BQ938" s="7" t="e">
        <f>VLOOKUP(A938,[1]Sheet15!B:E,3,0)</f>
        <v>#N/A</v>
      </c>
    </row>
    <row r="939" spans="1:69" ht="15.75" customHeight="1" x14ac:dyDescent="0.25">
      <c r="A939" s="12"/>
      <c r="B939" s="15" t="e">
        <f>VLOOKUP(A939,'[1]Master clients'!F937:W4484,17,0)</f>
        <v>#N/A</v>
      </c>
      <c r="C939" s="15" t="e">
        <f>VLOOKUP(A939,'[1]Master clients'!F937:P4484,11,0)</f>
        <v>#N/A</v>
      </c>
      <c r="D939" s="15" t="e">
        <f>VLOOKUP(A939,'[1]Master clients'!F:M,8,0)</f>
        <v>#N/A</v>
      </c>
      <c r="E939" s="12"/>
      <c r="F939" s="6"/>
      <c r="G939" s="6"/>
      <c r="H939" s="6"/>
      <c r="I939" s="43"/>
      <c r="J939" s="43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  <c r="BA939" s="6"/>
      <c r="BB939" s="6"/>
      <c r="BC939" s="6"/>
      <c r="BD939" s="6"/>
      <c r="BE939" s="6"/>
      <c r="BF939" s="6"/>
      <c r="BG939" s="6"/>
      <c r="BH939" s="6"/>
      <c r="BI939" s="6"/>
      <c r="BJ939" s="6"/>
      <c r="BK939" s="6"/>
      <c r="BL939" s="44"/>
      <c r="BM939" s="44"/>
      <c r="BN939" s="45"/>
      <c r="BO939" s="45"/>
      <c r="BP939" s="7"/>
      <c r="BQ939" s="7" t="e">
        <f>VLOOKUP(A939,[1]Sheet15!B:E,3,0)</f>
        <v>#N/A</v>
      </c>
    </row>
    <row r="940" spans="1:69" ht="15.75" customHeight="1" x14ac:dyDescent="0.25">
      <c r="A940" s="12"/>
      <c r="B940" s="15" t="e">
        <f>VLOOKUP(A940,'[1]Master clients'!F938:W4485,17,0)</f>
        <v>#N/A</v>
      </c>
      <c r="C940" s="15" t="e">
        <f>VLOOKUP(A940,'[1]Master clients'!F938:P4485,11,0)</f>
        <v>#N/A</v>
      </c>
      <c r="D940" s="15" t="e">
        <f>VLOOKUP(A940,'[1]Master clients'!F:M,8,0)</f>
        <v>#N/A</v>
      </c>
      <c r="E940" s="12"/>
      <c r="F940" s="6"/>
      <c r="G940" s="6"/>
      <c r="H940" s="6"/>
      <c r="I940" s="43"/>
      <c r="J940" s="43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  <c r="BA940" s="6"/>
      <c r="BB940" s="6"/>
      <c r="BC940" s="6"/>
      <c r="BD940" s="6"/>
      <c r="BE940" s="6"/>
      <c r="BF940" s="6"/>
      <c r="BG940" s="6"/>
      <c r="BH940" s="6"/>
      <c r="BI940" s="6"/>
      <c r="BJ940" s="6"/>
      <c r="BK940" s="6"/>
      <c r="BL940" s="44"/>
      <c r="BM940" s="44"/>
      <c r="BN940" s="45"/>
      <c r="BO940" s="45"/>
      <c r="BP940" s="7"/>
      <c r="BQ940" s="7" t="e">
        <f>VLOOKUP(A940,[1]Sheet15!B:E,3,0)</f>
        <v>#N/A</v>
      </c>
    </row>
    <row r="941" spans="1:69" ht="15.75" customHeight="1" x14ac:dyDescent="0.25">
      <c r="A941" s="12"/>
      <c r="B941" s="15" t="e">
        <f>VLOOKUP(A941,'[1]Master clients'!F939:W4486,17,0)</f>
        <v>#N/A</v>
      </c>
      <c r="C941" s="15" t="e">
        <f>VLOOKUP(A941,'[1]Master clients'!F939:P4486,11,0)</f>
        <v>#N/A</v>
      </c>
      <c r="D941" s="15" t="e">
        <f>VLOOKUP(A941,'[1]Master clients'!F:M,8,0)</f>
        <v>#N/A</v>
      </c>
      <c r="E941" s="12"/>
      <c r="F941" s="6"/>
      <c r="G941" s="6"/>
      <c r="H941" s="6"/>
      <c r="I941" s="43"/>
      <c r="J941" s="43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  <c r="BA941" s="6"/>
      <c r="BB941" s="6"/>
      <c r="BC941" s="6"/>
      <c r="BD941" s="6"/>
      <c r="BE941" s="6"/>
      <c r="BF941" s="6"/>
      <c r="BG941" s="6"/>
      <c r="BH941" s="6"/>
      <c r="BI941" s="6"/>
      <c r="BJ941" s="6"/>
      <c r="BK941" s="6"/>
      <c r="BL941" s="44"/>
      <c r="BM941" s="44"/>
      <c r="BN941" s="45"/>
      <c r="BO941" s="45"/>
      <c r="BP941" s="7"/>
      <c r="BQ941" s="7" t="e">
        <f>VLOOKUP(A941,[1]Sheet15!B:E,3,0)</f>
        <v>#N/A</v>
      </c>
    </row>
    <row r="942" spans="1:69" ht="15.75" customHeight="1" x14ac:dyDescent="0.25">
      <c r="A942" s="12"/>
      <c r="B942" s="15" t="e">
        <f>VLOOKUP(A942,'[1]Master clients'!F940:W4487,17,0)</f>
        <v>#N/A</v>
      </c>
      <c r="C942" s="15" t="e">
        <f>VLOOKUP(A942,'[1]Master clients'!F940:P4487,11,0)</f>
        <v>#N/A</v>
      </c>
      <c r="D942" s="15" t="e">
        <f>VLOOKUP(A942,'[1]Master clients'!F:M,8,0)</f>
        <v>#N/A</v>
      </c>
      <c r="E942" s="12"/>
      <c r="F942" s="6"/>
      <c r="G942" s="6"/>
      <c r="H942" s="6"/>
      <c r="I942" s="43"/>
      <c r="J942" s="43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  <c r="BA942" s="6"/>
      <c r="BB942" s="6"/>
      <c r="BC942" s="6"/>
      <c r="BD942" s="6"/>
      <c r="BE942" s="6"/>
      <c r="BF942" s="6"/>
      <c r="BG942" s="6"/>
      <c r="BH942" s="6"/>
      <c r="BI942" s="6"/>
      <c r="BJ942" s="6"/>
      <c r="BK942" s="6"/>
      <c r="BL942" s="44"/>
      <c r="BM942" s="44"/>
      <c r="BN942" s="45"/>
      <c r="BO942" s="45"/>
      <c r="BP942" s="7"/>
      <c r="BQ942" s="7" t="e">
        <f>VLOOKUP(A942,[1]Sheet15!B:E,3,0)</f>
        <v>#N/A</v>
      </c>
    </row>
    <row r="943" spans="1:69" ht="15.75" customHeight="1" x14ac:dyDescent="0.25">
      <c r="A943" s="12"/>
      <c r="B943" s="15" t="e">
        <f>VLOOKUP(A943,'[1]Master clients'!F941:W4488,17,0)</f>
        <v>#N/A</v>
      </c>
      <c r="C943" s="15" t="e">
        <f>VLOOKUP(A943,'[1]Master clients'!F941:P4488,11,0)</f>
        <v>#N/A</v>
      </c>
      <c r="D943" s="15" t="e">
        <f>VLOOKUP(A943,'[1]Master clients'!F:M,8,0)</f>
        <v>#N/A</v>
      </c>
      <c r="E943" s="12"/>
      <c r="F943" s="6"/>
      <c r="G943" s="6"/>
      <c r="H943" s="6"/>
      <c r="I943" s="43"/>
      <c r="J943" s="43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  <c r="BA943" s="6"/>
      <c r="BB943" s="6"/>
      <c r="BC943" s="6"/>
      <c r="BD943" s="6"/>
      <c r="BE943" s="6"/>
      <c r="BF943" s="6"/>
      <c r="BG943" s="6"/>
      <c r="BH943" s="6"/>
      <c r="BI943" s="6"/>
      <c r="BJ943" s="6"/>
      <c r="BK943" s="6"/>
      <c r="BL943" s="44"/>
      <c r="BM943" s="44"/>
      <c r="BN943" s="45"/>
      <c r="BO943" s="45"/>
      <c r="BP943" s="7"/>
      <c r="BQ943" s="7" t="e">
        <f>VLOOKUP(A943,[1]Sheet15!B:E,3,0)</f>
        <v>#N/A</v>
      </c>
    </row>
    <row r="944" spans="1:69" ht="15.75" customHeight="1" x14ac:dyDescent="0.25">
      <c r="A944" s="12"/>
      <c r="B944" s="15" t="e">
        <f>VLOOKUP(A944,'[1]Master clients'!F942:W4489,17,0)</f>
        <v>#N/A</v>
      </c>
      <c r="C944" s="15" t="e">
        <f>VLOOKUP(A944,'[1]Master clients'!F942:P4489,11,0)</f>
        <v>#N/A</v>
      </c>
      <c r="D944" s="15" t="e">
        <f>VLOOKUP(A944,'[1]Master clients'!F:M,8,0)</f>
        <v>#N/A</v>
      </c>
      <c r="E944" s="12"/>
      <c r="F944" s="6"/>
      <c r="G944" s="6"/>
      <c r="H944" s="6"/>
      <c r="I944" s="43"/>
      <c r="J944" s="43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  <c r="BA944" s="6"/>
      <c r="BB944" s="6"/>
      <c r="BC944" s="6"/>
      <c r="BD944" s="6"/>
      <c r="BE944" s="6"/>
      <c r="BF944" s="6"/>
      <c r="BG944" s="6"/>
      <c r="BH944" s="6"/>
      <c r="BI944" s="6"/>
      <c r="BJ944" s="6"/>
      <c r="BK944" s="6"/>
      <c r="BL944" s="44"/>
      <c r="BM944" s="44"/>
      <c r="BN944" s="45"/>
      <c r="BO944" s="45"/>
      <c r="BP944" s="7"/>
      <c r="BQ944" s="7" t="e">
        <f>VLOOKUP(A944,[1]Sheet15!B:E,3,0)</f>
        <v>#N/A</v>
      </c>
    </row>
    <row r="945" spans="1:69" ht="15.75" customHeight="1" x14ac:dyDescent="0.25">
      <c r="A945" s="12"/>
      <c r="B945" s="15" t="e">
        <f>VLOOKUP(A945,'[1]Master clients'!F943:W4490,17,0)</f>
        <v>#N/A</v>
      </c>
      <c r="C945" s="15" t="e">
        <f>VLOOKUP(A945,'[1]Master clients'!F943:P4490,11,0)</f>
        <v>#N/A</v>
      </c>
      <c r="D945" s="15" t="e">
        <f>VLOOKUP(A945,'[1]Master clients'!F:M,8,0)</f>
        <v>#N/A</v>
      </c>
      <c r="E945" s="12"/>
      <c r="F945" s="6"/>
      <c r="G945" s="6"/>
      <c r="H945" s="6"/>
      <c r="I945" s="43"/>
      <c r="J945" s="43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  <c r="BA945" s="6"/>
      <c r="BB945" s="6"/>
      <c r="BC945" s="6"/>
      <c r="BD945" s="6"/>
      <c r="BE945" s="6"/>
      <c r="BF945" s="6"/>
      <c r="BG945" s="6"/>
      <c r="BH945" s="6"/>
      <c r="BI945" s="6"/>
      <c r="BJ945" s="6"/>
      <c r="BK945" s="6"/>
      <c r="BL945" s="44"/>
      <c r="BM945" s="44"/>
      <c r="BN945" s="45"/>
      <c r="BO945" s="45"/>
      <c r="BP945" s="7"/>
      <c r="BQ945" s="7" t="e">
        <f>VLOOKUP(A945,[1]Sheet15!B:E,3,0)</f>
        <v>#N/A</v>
      </c>
    </row>
    <row r="946" spans="1:69" ht="15.75" customHeight="1" x14ac:dyDescent="0.25">
      <c r="A946" s="12"/>
      <c r="B946" s="15" t="e">
        <f>VLOOKUP(A946,'[1]Master clients'!F944:W4491,17,0)</f>
        <v>#N/A</v>
      </c>
      <c r="C946" s="15" t="e">
        <f>VLOOKUP(A946,'[1]Master clients'!F944:P4491,11,0)</f>
        <v>#N/A</v>
      </c>
      <c r="D946" s="15" t="e">
        <f>VLOOKUP(A946,'[1]Master clients'!F:M,8,0)</f>
        <v>#N/A</v>
      </c>
      <c r="E946" s="12"/>
      <c r="F946" s="6"/>
      <c r="G946" s="6"/>
      <c r="H946" s="6"/>
      <c r="I946" s="43"/>
      <c r="J946" s="43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  <c r="BA946" s="6"/>
      <c r="BB946" s="6"/>
      <c r="BC946" s="6"/>
      <c r="BD946" s="6"/>
      <c r="BE946" s="6"/>
      <c r="BF946" s="6"/>
      <c r="BG946" s="6"/>
      <c r="BH946" s="6"/>
      <c r="BI946" s="6"/>
      <c r="BJ946" s="6"/>
      <c r="BK946" s="6"/>
      <c r="BL946" s="44"/>
      <c r="BM946" s="44"/>
      <c r="BN946" s="45"/>
      <c r="BO946" s="45"/>
      <c r="BP946" s="7"/>
      <c r="BQ946" s="7" t="e">
        <f>VLOOKUP(A946,[1]Sheet15!B:E,3,0)</f>
        <v>#N/A</v>
      </c>
    </row>
    <row r="947" spans="1:69" ht="15.75" customHeight="1" x14ac:dyDescent="0.25">
      <c r="A947" s="12"/>
      <c r="B947" s="15" t="e">
        <f>VLOOKUP(A947,'[1]Master clients'!F945:W4492,17,0)</f>
        <v>#N/A</v>
      </c>
      <c r="C947" s="15" t="e">
        <f>VLOOKUP(A947,'[1]Master clients'!F945:P4492,11,0)</f>
        <v>#N/A</v>
      </c>
      <c r="D947" s="15" t="e">
        <f>VLOOKUP(A947,'[1]Master clients'!F:M,8,0)</f>
        <v>#N/A</v>
      </c>
      <c r="E947" s="12"/>
      <c r="F947" s="6"/>
      <c r="G947" s="6"/>
      <c r="H947" s="6"/>
      <c r="I947" s="43"/>
      <c r="J947" s="43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  <c r="BA947" s="6"/>
      <c r="BB947" s="6"/>
      <c r="BC947" s="6"/>
      <c r="BD947" s="6"/>
      <c r="BE947" s="6"/>
      <c r="BF947" s="6"/>
      <c r="BG947" s="6"/>
      <c r="BH947" s="6"/>
      <c r="BI947" s="6"/>
      <c r="BJ947" s="6"/>
      <c r="BK947" s="6"/>
      <c r="BL947" s="44"/>
      <c r="BM947" s="44"/>
      <c r="BN947" s="45"/>
      <c r="BO947" s="45"/>
      <c r="BP947" s="7"/>
      <c r="BQ947" s="7" t="e">
        <f>VLOOKUP(A947,[1]Sheet15!B:E,3,0)</f>
        <v>#N/A</v>
      </c>
    </row>
    <row r="948" spans="1:69" ht="15.75" customHeight="1" x14ac:dyDescent="0.25">
      <c r="A948" s="12"/>
      <c r="B948" s="15" t="e">
        <f>VLOOKUP(A948,'[1]Master clients'!F946:W4493,17,0)</f>
        <v>#N/A</v>
      </c>
      <c r="C948" s="15" t="e">
        <f>VLOOKUP(A948,'[1]Master clients'!F946:P4493,11,0)</f>
        <v>#N/A</v>
      </c>
      <c r="D948" s="15" t="e">
        <f>VLOOKUP(A948,'[1]Master clients'!F:M,8,0)</f>
        <v>#N/A</v>
      </c>
      <c r="E948" s="12"/>
      <c r="F948" s="6"/>
      <c r="G948" s="6"/>
      <c r="H948" s="6"/>
      <c r="I948" s="43"/>
      <c r="J948" s="43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  <c r="BA948" s="6"/>
      <c r="BB948" s="6"/>
      <c r="BC948" s="6"/>
      <c r="BD948" s="6"/>
      <c r="BE948" s="6"/>
      <c r="BF948" s="6"/>
      <c r="BG948" s="6"/>
      <c r="BH948" s="6"/>
      <c r="BI948" s="6"/>
      <c r="BJ948" s="6"/>
      <c r="BK948" s="6"/>
      <c r="BL948" s="44"/>
      <c r="BM948" s="44"/>
      <c r="BN948" s="45"/>
      <c r="BO948" s="45"/>
      <c r="BP948" s="7"/>
      <c r="BQ948" s="7" t="e">
        <f>VLOOKUP(A948,[1]Sheet15!B:E,3,0)</f>
        <v>#N/A</v>
      </c>
    </row>
    <row r="949" spans="1:69" ht="15.75" customHeight="1" x14ac:dyDescent="0.25">
      <c r="A949" s="12"/>
      <c r="B949" s="15" t="e">
        <f>VLOOKUP(A949,'[1]Master clients'!F947:W4494,17,0)</f>
        <v>#N/A</v>
      </c>
      <c r="C949" s="15" t="e">
        <f>VLOOKUP(A949,'[1]Master clients'!F947:P4494,11,0)</f>
        <v>#N/A</v>
      </c>
      <c r="D949" s="15" t="e">
        <f>VLOOKUP(A949,'[1]Master clients'!F:M,8,0)</f>
        <v>#N/A</v>
      </c>
      <c r="E949" s="12"/>
      <c r="F949" s="6"/>
      <c r="G949" s="6"/>
      <c r="H949" s="6"/>
      <c r="I949" s="43"/>
      <c r="J949" s="43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  <c r="BA949" s="6"/>
      <c r="BB949" s="6"/>
      <c r="BC949" s="6"/>
      <c r="BD949" s="6"/>
      <c r="BE949" s="6"/>
      <c r="BF949" s="6"/>
      <c r="BG949" s="6"/>
      <c r="BH949" s="6"/>
      <c r="BI949" s="6"/>
      <c r="BJ949" s="6"/>
      <c r="BK949" s="6"/>
      <c r="BL949" s="44"/>
      <c r="BM949" s="44"/>
      <c r="BN949" s="45"/>
      <c r="BO949" s="45"/>
      <c r="BP949" s="7"/>
      <c r="BQ949" s="7" t="e">
        <f>VLOOKUP(A949,[1]Sheet15!B:E,3,0)</f>
        <v>#N/A</v>
      </c>
    </row>
    <row r="950" spans="1:69" ht="15.75" customHeight="1" x14ac:dyDescent="0.25">
      <c r="A950" s="12"/>
      <c r="B950" s="15" t="e">
        <f>VLOOKUP(A950,'[1]Master clients'!F948:W4495,17,0)</f>
        <v>#N/A</v>
      </c>
      <c r="C950" s="15" t="e">
        <f>VLOOKUP(A950,'[1]Master clients'!F948:P4495,11,0)</f>
        <v>#N/A</v>
      </c>
      <c r="D950" s="15" t="e">
        <f>VLOOKUP(A950,'[1]Master clients'!F:M,8,0)</f>
        <v>#N/A</v>
      </c>
      <c r="E950" s="12"/>
      <c r="F950" s="6"/>
      <c r="G950" s="6"/>
      <c r="H950" s="6"/>
      <c r="I950" s="43"/>
      <c r="J950" s="43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  <c r="BA950" s="6"/>
      <c r="BB950" s="6"/>
      <c r="BC950" s="6"/>
      <c r="BD950" s="6"/>
      <c r="BE950" s="6"/>
      <c r="BF950" s="6"/>
      <c r="BG950" s="6"/>
      <c r="BH950" s="6"/>
      <c r="BI950" s="6"/>
      <c r="BJ950" s="6"/>
      <c r="BK950" s="6"/>
      <c r="BL950" s="44"/>
      <c r="BM950" s="44"/>
      <c r="BN950" s="45"/>
      <c r="BO950" s="45"/>
      <c r="BP950" s="7"/>
      <c r="BQ950" s="7" t="e">
        <f>VLOOKUP(A950,[1]Sheet15!B:E,3,0)</f>
        <v>#N/A</v>
      </c>
    </row>
    <row r="951" spans="1:69" ht="15.75" customHeight="1" x14ac:dyDescent="0.25">
      <c r="A951" s="12"/>
      <c r="B951" s="15" t="e">
        <f>VLOOKUP(A951,'[1]Master clients'!F949:W4496,17,0)</f>
        <v>#N/A</v>
      </c>
      <c r="C951" s="15" t="e">
        <f>VLOOKUP(A951,'[1]Master clients'!F949:P4496,11,0)</f>
        <v>#N/A</v>
      </c>
      <c r="D951" s="15" t="e">
        <f>VLOOKUP(A951,'[1]Master clients'!F:M,8,0)</f>
        <v>#N/A</v>
      </c>
      <c r="E951" s="12"/>
      <c r="F951" s="6"/>
      <c r="G951" s="6"/>
      <c r="H951" s="6"/>
      <c r="I951" s="43"/>
      <c r="J951" s="43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A951" s="6"/>
      <c r="BB951" s="6"/>
      <c r="BC951" s="6"/>
      <c r="BD951" s="6"/>
      <c r="BE951" s="6"/>
      <c r="BF951" s="6"/>
      <c r="BG951" s="6"/>
      <c r="BH951" s="6"/>
      <c r="BI951" s="6"/>
      <c r="BJ951" s="6"/>
      <c r="BK951" s="6"/>
      <c r="BL951" s="44"/>
      <c r="BM951" s="44"/>
      <c r="BN951" s="45"/>
      <c r="BO951" s="45"/>
      <c r="BP951" s="7"/>
      <c r="BQ951" s="7" t="e">
        <f>VLOOKUP(A951,[1]Sheet15!B:E,3,0)</f>
        <v>#N/A</v>
      </c>
    </row>
    <row r="952" spans="1:69" ht="15.75" customHeight="1" x14ac:dyDescent="0.25">
      <c r="A952" s="12"/>
      <c r="B952" s="15" t="e">
        <f>VLOOKUP(A952,'[1]Master clients'!F950:W4497,17,0)</f>
        <v>#N/A</v>
      </c>
      <c r="C952" s="15" t="e">
        <f>VLOOKUP(A952,'[1]Master clients'!F950:P4497,11,0)</f>
        <v>#N/A</v>
      </c>
      <c r="D952" s="15" t="e">
        <f>VLOOKUP(A952,'[1]Master clients'!F:M,8,0)</f>
        <v>#N/A</v>
      </c>
      <c r="E952" s="12"/>
      <c r="F952" s="6"/>
      <c r="G952" s="6"/>
      <c r="H952" s="6"/>
      <c r="I952" s="43"/>
      <c r="J952" s="43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  <c r="BA952" s="6"/>
      <c r="BB952" s="6"/>
      <c r="BC952" s="6"/>
      <c r="BD952" s="6"/>
      <c r="BE952" s="6"/>
      <c r="BF952" s="6"/>
      <c r="BG952" s="6"/>
      <c r="BH952" s="6"/>
      <c r="BI952" s="6"/>
      <c r="BJ952" s="6"/>
      <c r="BK952" s="6"/>
      <c r="BL952" s="44"/>
      <c r="BM952" s="44"/>
      <c r="BN952" s="45"/>
      <c r="BO952" s="45"/>
      <c r="BP952" s="7"/>
      <c r="BQ952" s="7" t="e">
        <f>VLOOKUP(A952,[1]Sheet15!B:E,3,0)</f>
        <v>#N/A</v>
      </c>
    </row>
    <row r="953" spans="1:69" ht="15.75" customHeight="1" x14ac:dyDescent="0.25">
      <c r="A953" s="12"/>
      <c r="B953" s="15" t="e">
        <f>VLOOKUP(A953,'[1]Master clients'!F951:W4498,17,0)</f>
        <v>#N/A</v>
      </c>
      <c r="C953" s="15" t="e">
        <f>VLOOKUP(A953,'[1]Master clients'!F951:P4498,11,0)</f>
        <v>#N/A</v>
      </c>
      <c r="D953" s="15" t="e">
        <f>VLOOKUP(A953,'[1]Master clients'!F:M,8,0)</f>
        <v>#N/A</v>
      </c>
      <c r="E953" s="12"/>
      <c r="F953" s="6"/>
      <c r="G953" s="6"/>
      <c r="H953" s="6"/>
      <c r="I953" s="43"/>
      <c r="J953" s="43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  <c r="BA953" s="6"/>
      <c r="BB953" s="6"/>
      <c r="BC953" s="6"/>
      <c r="BD953" s="6"/>
      <c r="BE953" s="6"/>
      <c r="BF953" s="6"/>
      <c r="BG953" s="6"/>
      <c r="BH953" s="6"/>
      <c r="BI953" s="6"/>
      <c r="BJ953" s="6"/>
      <c r="BK953" s="6"/>
      <c r="BL953" s="44"/>
      <c r="BM953" s="44"/>
      <c r="BN953" s="45"/>
      <c r="BO953" s="45"/>
      <c r="BP953" s="7"/>
      <c r="BQ953" s="7" t="e">
        <f>VLOOKUP(A953,[1]Sheet15!B:E,3,0)</f>
        <v>#N/A</v>
      </c>
    </row>
    <row r="954" spans="1:69" ht="15.75" customHeight="1" x14ac:dyDescent="0.25">
      <c r="A954" s="12"/>
      <c r="B954" s="15" t="e">
        <f>VLOOKUP(A954,'[1]Master clients'!F952:W4499,17,0)</f>
        <v>#N/A</v>
      </c>
      <c r="C954" s="15" t="e">
        <f>VLOOKUP(A954,'[1]Master clients'!F952:P4499,11,0)</f>
        <v>#N/A</v>
      </c>
      <c r="D954" s="15" t="e">
        <f>VLOOKUP(A954,'[1]Master clients'!F:M,8,0)</f>
        <v>#N/A</v>
      </c>
      <c r="E954" s="12"/>
      <c r="F954" s="6"/>
      <c r="G954" s="6"/>
      <c r="H954" s="6"/>
      <c r="I954" s="43"/>
      <c r="J954" s="43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  <c r="BA954" s="6"/>
      <c r="BB954" s="6"/>
      <c r="BC954" s="6"/>
      <c r="BD954" s="6"/>
      <c r="BE954" s="6"/>
      <c r="BF954" s="6"/>
      <c r="BG954" s="6"/>
      <c r="BH954" s="6"/>
      <c r="BI954" s="6"/>
      <c r="BJ954" s="6"/>
      <c r="BK954" s="6"/>
      <c r="BL954" s="44"/>
      <c r="BM954" s="44"/>
      <c r="BN954" s="45"/>
      <c r="BO954" s="45"/>
      <c r="BP954" s="7"/>
      <c r="BQ954" s="7" t="e">
        <f>VLOOKUP(A954,[1]Sheet15!B:E,3,0)</f>
        <v>#N/A</v>
      </c>
    </row>
    <row r="955" spans="1:69" ht="15.75" customHeight="1" x14ac:dyDescent="0.25">
      <c r="A955" s="12"/>
      <c r="B955" s="15" t="e">
        <f>VLOOKUP(A955,'[1]Master clients'!F953:W4500,17,0)</f>
        <v>#N/A</v>
      </c>
      <c r="C955" s="15" t="e">
        <f>VLOOKUP(A955,'[1]Master clients'!F953:P4500,11,0)</f>
        <v>#N/A</v>
      </c>
      <c r="D955" s="15" t="e">
        <f>VLOOKUP(A955,'[1]Master clients'!F:M,8,0)</f>
        <v>#N/A</v>
      </c>
      <c r="E955" s="12"/>
      <c r="F955" s="6"/>
      <c r="G955" s="6"/>
      <c r="H955" s="6"/>
      <c r="I955" s="43"/>
      <c r="J955" s="43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  <c r="BA955" s="6"/>
      <c r="BB955" s="6"/>
      <c r="BC955" s="6"/>
      <c r="BD955" s="6"/>
      <c r="BE955" s="6"/>
      <c r="BF955" s="6"/>
      <c r="BG955" s="6"/>
      <c r="BH955" s="6"/>
      <c r="BI955" s="6"/>
      <c r="BJ955" s="6"/>
      <c r="BK955" s="6"/>
      <c r="BL955" s="44"/>
      <c r="BM955" s="44"/>
      <c r="BN955" s="45"/>
      <c r="BO955" s="45"/>
      <c r="BP955" s="7"/>
      <c r="BQ955" s="7" t="e">
        <f>VLOOKUP(A955,[1]Sheet15!B:E,3,0)</f>
        <v>#N/A</v>
      </c>
    </row>
    <row r="956" spans="1:69" ht="15.75" customHeight="1" x14ac:dyDescent="0.25">
      <c r="A956" s="12"/>
      <c r="B956" s="15" t="e">
        <f>VLOOKUP(A956,'[1]Master clients'!F954:W4501,17,0)</f>
        <v>#N/A</v>
      </c>
      <c r="C956" s="15" t="e">
        <f>VLOOKUP(A956,'[1]Master clients'!F954:P4501,11,0)</f>
        <v>#N/A</v>
      </c>
      <c r="D956" s="15" t="e">
        <f>VLOOKUP(A956,'[1]Master clients'!F:M,8,0)</f>
        <v>#N/A</v>
      </c>
      <c r="E956" s="12"/>
      <c r="F956" s="6"/>
      <c r="G956" s="6"/>
      <c r="H956" s="6"/>
      <c r="I956" s="43"/>
      <c r="J956" s="43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  <c r="BA956" s="6"/>
      <c r="BB956" s="6"/>
      <c r="BC956" s="6"/>
      <c r="BD956" s="6"/>
      <c r="BE956" s="6"/>
      <c r="BF956" s="6"/>
      <c r="BG956" s="6"/>
      <c r="BH956" s="6"/>
      <c r="BI956" s="6"/>
      <c r="BJ956" s="6"/>
      <c r="BK956" s="6"/>
      <c r="BL956" s="44"/>
      <c r="BM956" s="44"/>
      <c r="BN956" s="45"/>
      <c r="BO956" s="45"/>
      <c r="BP956" s="7"/>
      <c r="BQ956" s="7" t="e">
        <f>VLOOKUP(A956,[1]Sheet15!B:E,3,0)</f>
        <v>#N/A</v>
      </c>
    </row>
    <row r="957" spans="1:69" ht="15.75" customHeight="1" x14ac:dyDescent="0.25">
      <c r="A957" s="12"/>
      <c r="B957" s="15" t="e">
        <f>VLOOKUP(A957,'[1]Master clients'!F955:W4502,17,0)</f>
        <v>#N/A</v>
      </c>
      <c r="C957" s="15" t="e">
        <f>VLOOKUP(A957,'[1]Master clients'!F955:P4502,11,0)</f>
        <v>#N/A</v>
      </c>
      <c r="D957" s="15" t="e">
        <f>VLOOKUP(A957,'[1]Master clients'!F:M,8,0)</f>
        <v>#N/A</v>
      </c>
      <c r="E957" s="12"/>
      <c r="F957" s="6"/>
      <c r="G957" s="6"/>
      <c r="H957" s="6"/>
      <c r="I957" s="43"/>
      <c r="J957" s="43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  <c r="BA957" s="6"/>
      <c r="BB957" s="6"/>
      <c r="BC957" s="6"/>
      <c r="BD957" s="6"/>
      <c r="BE957" s="6"/>
      <c r="BF957" s="6"/>
      <c r="BG957" s="6"/>
      <c r="BH957" s="6"/>
      <c r="BI957" s="6"/>
      <c r="BJ957" s="6"/>
      <c r="BK957" s="6"/>
      <c r="BL957" s="44"/>
      <c r="BM957" s="44"/>
      <c r="BN957" s="45"/>
      <c r="BO957" s="45"/>
      <c r="BP957" s="7"/>
      <c r="BQ957" s="7" t="e">
        <f>VLOOKUP(A957,[1]Sheet15!B:E,3,0)</f>
        <v>#N/A</v>
      </c>
    </row>
    <row r="958" spans="1:69" ht="15.75" customHeight="1" x14ac:dyDescent="0.25">
      <c r="A958" s="12"/>
      <c r="B958" s="15" t="e">
        <f>VLOOKUP(A958,'[1]Master clients'!F956:W4503,17,0)</f>
        <v>#N/A</v>
      </c>
      <c r="C958" s="15" t="e">
        <f>VLOOKUP(A958,'[1]Master clients'!F956:P4503,11,0)</f>
        <v>#N/A</v>
      </c>
      <c r="D958" s="15" t="e">
        <f>VLOOKUP(A958,'[1]Master clients'!F:M,8,0)</f>
        <v>#N/A</v>
      </c>
      <c r="E958" s="12"/>
      <c r="F958" s="6"/>
      <c r="G958" s="6"/>
      <c r="H958" s="6"/>
      <c r="I958" s="43"/>
      <c r="J958" s="43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  <c r="BA958" s="6"/>
      <c r="BB958" s="6"/>
      <c r="BC958" s="6"/>
      <c r="BD958" s="6"/>
      <c r="BE958" s="6"/>
      <c r="BF958" s="6"/>
      <c r="BG958" s="6"/>
      <c r="BH958" s="6"/>
      <c r="BI958" s="6"/>
      <c r="BJ958" s="6"/>
      <c r="BK958" s="6"/>
      <c r="BL958" s="44"/>
      <c r="BM958" s="44"/>
      <c r="BN958" s="45"/>
      <c r="BO958" s="45"/>
      <c r="BP958" s="7"/>
      <c r="BQ958" s="7" t="e">
        <f>VLOOKUP(A958,[1]Sheet15!B:E,3,0)</f>
        <v>#N/A</v>
      </c>
    </row>
    <row r="959" spans="1:69" ht="15.75" customHeight="1" x14ac:dyDescent="0.25">
      <c r="A959" s="12"/>
      <c r="B959" s="15" t="e">
        <f>VLOOKUP(A959,'[1]Master clients'!F957:W4504,17,0)</f>
        <v>#N/A</v>
      </c>
      <c r="C959" s="15" t="e">
        <f>VLOOKUP(A959,'[1]Master clients'!F957:P4504,11,0)</f>
        <v>#N/A</v>
      </c>
      <c r="D959" s="15" t="e">
        <f>VLOOKUP(A959,'[1]Master clients'!F:M,8,0)</f>
        <v>#N/A</v>
      </c>
      <c r="E959" s="12"/>
      <c r="F959" s="6"/>
      <c r="G959" s="6"/>
      <c r="H959" s="6"/>
      <c r="I959" s="43"/>
      <c r="J959" s="43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  <c r="BA959" s="6"/>
      <c r="BB959" s="6"/>
      <c r="BC959" s="6"/>
      <c r="BD959" s="6"/>
      <c r="BE959" s="6"/>
      <c r="BF959" s="6"/>
      <c r="BG959" s="6"/>
      <c r="BH959" s="6"/>
      <c r="BI959" s="6"/>
      <c r="BJ959" s="6"/>
      <c r="BK959" s="6"/>
      <c r="BL959" s="44"/>
      <c r="BM959" s="44"/>
      <c r="BN959" s="45"/>
      <c r="BO959" s="45"/>
      <c r="BP959" s="7"/>
      <c r="BQ959" s="7" t="e">
        <f>VLOOKUP(A959,[1]Sheet15!B:E,3,0)</f>
        <v>#N/A</v>
      </c>
    </row>
    <row r="960" spans="1:69" ht="15.75" customHeight="1" x14ac:dyDescent="0.25">
      <c r="A960" s="12"/>
      <c r="B960" s="15" t="e">
        <f>VLOOKUP(A960,'[1]Master clients'!F958:W4505,17,0)</f>
        <v>#N/A</v>
      </c>
      <c r="C960" s="15" t="e">
        <f>VLOOKUP(A960,'[1]Master clients'!F958:P4505,11,0)</f>
        <v>#N/A</v>
      </c>
      <c r="D960" s="15" t="e">
        <f>VLOOKUP(A960,'[1]Master clients'!F:M,8,0)</f>
        <v>#N/A</v>
      </c>
      <c r="E960" s="12"/>
      <c r="F960" s="6"/>
      <c r="G960" s="6"/>
      <c r="H960" s="6"/>
      <c r="I960" s="43"/>
      <c r="J960" s="43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  <c r="BA960" s="6"/>
      <c r="BB960" s="6"/>
      <c r="BC960" s="6"/>
      <c r="BD960" s="6"/>
      <c r="BE960" s="6"/>
      <c r="BF960" s="6"/>
      <c r="BG960" s="6"/>
      <c r="BH960" s="6"/>
      <c r="BI960" s="6"/>
      <c r="BJ960" s="6"/>
      <c r="BK960" s="6"/>
      <c r="BL960" s="44"/>
      <c r="BM960" s="44"/>
      <c r="BN960" s="45"/>
      <c r="BO960" s="45"/>
      <c r="BP960" s="7"/>
      <c r="BQ960" s="7" t="e">
        <f>VLOOKUP(A960,[1]Sheet15!B:E,3,0)</f>
        <v>#N/A</v>
      </c>
    </row>
    <row r="961" spans="1:69" ht="15.75" customHeight="1" x14ac:dyDescent="0.25">
      <c r="A961" s="12"/>
      <c r="B961" s="15" t="e">
        <f>VLOOKUP(A961,'[1]Master clients'!F959:W4506,17,0)</f>
        <v>#N/A</v>
      </c>
      <c r="C961" s="15" t="e">
        <f>VLOOKUP(A961,'[1]Master clients'!F959:P4506,11,0)</f>
        <v>#N/A</v>
      </c>
      <c r="D961" s="15" t="e">
        <f>VLOOKUP(A961,'[1]Master clients'!F:M,8,0)</f>
        <v>#N/A</v>
      </c>
      <c r="E961" s="12"/>
      <c r="F961" s="6"/>
      <c r="G961" s="6"/>
      <c r="H961" s="6"/>
      <c r="I961" s="43"/>
      <c r="J961" s="43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  <c r="BA961" s="6"/>
      <c r="BB961" s="6"/>
      <c r="BC961" s="6"/>
      <c r="BD961" s="6"/>
      <c r="BE961" s="6"/>
      <c r="BF961" s="6"/>
      <c r="BG961" s="6"/>
      <c r="BH961" s="6"/>
      <c r="BI961" s="6"/>
      <c r="BJ961" s="6"/>
      <c r="BK961" s="6"/>
      <c r="BL961" s="44"/>
      <c r="BM961" s="44"/>
      <c r="BN961" s="45"/>
      <c r="BO961" s="45"/>
      <c r="BP961" s="7"/>
      <c r="BQ961" s="7" t="e">
        <f>VLOOKUP(A961,[1]Sheet15!B:E,3,0)</f>
        <v>#N/A</v>
      </c>
    </row>
    <row r="962" spans="1:69" ht="15.75" customHeight="1" x14ac:dyDescent="0.25">
      <c r="A962" s="12"/>
      <c r="B962" s="15" t="e">
        <f>VLOOKUP(A962,'[1]Master clients'!F960:W4507,17,0)</f>
        <v>#N/A</v>
      </c>
      <c r="C962" s="15" t="e">
        <f>VLOOKUP(A962,'[1]Master clients'!F960:P4507,11,0)</f>
        <v>#N/A</v>
      </c>
      <c r="D962" s="15" t="e">
        <f>VLOOKUP(A962,'[1]Master clients'!F:M,8,0)</f>
        <v>#N/A</v>
      </c>
      <c r="E962" s="12"/>
      <c r="F962" s="6"/>
      <c r="G962" s="6"/>
      <c r="H962" s="6"/>
      <c r="I962" s="43"/>
      <c r="J962" s="43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  <c r="BA962" s="6"/>
      <c r="BB962" s="6"/>
      <c r="BC962" s="6"/>
      <c r="BD962" s="6"/>
      <c r="BE962" s="6"/>
      <c r="BF962" s="6"/>
      <c r="BG962" s="6"/>
      <c r="BH962" s="6"/>
      <c r="BI962" s="6"/>
      <c r="BJ962" s="6"/>
      <c r="BK962" s="6"/>
      <c r="BL962" s="44"/>
      <c r="BM962" s="44"/>
      <c r="BN962" s="45"/>
      <c r="BO962" s="45"/>
      <c r="BP962" s="7"/>
      <c r="BQ962" s="7" t="e">
        <f>VLOOKUP(A962,[1]Sheet15!B:E,3,0)</f>
        <v>#N/A</v>
      </c>
    </row>
    <row r="963" spans="1:69" ht="15.75" customHeight="1" x14ac:dyDescent="0.25">
      <c r="A963" s="12"/>
      <c r="B963" s="15" t="e">
        <f>VLOOKUP(A963,'[1]Master clients'!F961:W4508,17,0)</f>
        <v>#N/A</v>
      </c>
      <c r="C963" s="15" t="e">
        <f>VLOOKUP(A963,'[1]Master clients'!F961:P4508,11,0)</f>
        <v>#N/A</v>
      </c>
      <c r="D963" s="15" t="e">
        <f>VLOOKUP(A963,'[1]Master clients'!F:M,8,0)</f>
        <v>#N/A</v>
      </c>
      <c r="E963" s="12"/>
      <c r="F963" s="6"/>
      <c r="G963" s="6"/>
      <c r="H963" s="6"/>
      <c r="I963" s="43"/>
      <c r="J963" s="43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  <c r="BA963" s="6"/>
      <c r="BB963" s="6"/>
      <c r="BC963" s="6"/>
      <c r="BD963" s="6"/>
      <c r="BE963" s="6"/>
      <c r="BF963" s="6"/>
      <c r="BG963" s="6"/>
      <c r="BH963" s="6"/>
      <c r="BI963" s="6"/>
      <c r="BJ963" s="6"/>
      <c r="BK963" s="6"/>
      <c r="BL963" s="44"/>
      <c r="BM963" s="44"/>
      <c r="BN963" s="45"/>
      <c r="BO963" s="45"/>
      <c r="BP963" s="7"/>
      <c r="BQ963" s="7" t="e">
        <f>VLOOKUP(A963,[1]Sheet15!B:E,3,0)</f>
        <v>#N/A</v>
      </c>
    </row>
    <row r="964" spans="1:69" ht="15.75" customHeight="1" x14ac:dyDescent="0.25">
      <c r="A964" s="12"/>
      <c r="B964" s="15" t="e">
        <f>VLOOKUP(A964,'[1]Master clients'!F962:W4509,17,0)</f>
        <v>#N/A</v>
      </c>
      <c r="C964" s="15" t="e">
        <f>VLOOKUP(A964,'[1]Master clients'!F962:P4509,11,0)</f>
        <v>#N/A</v>
      </c>
      <c r="D964" s="15" t="e">
        <f>VLOOKUP(A964,'[1]Master clients'!F:M,8,0)</f>
        <v>#N/A</v>
      </c>
      <c r="E964" s="12"/>
      <c r="F964" s="6"/>
      <c r="G964" s="6"/>
      <c r="H964" s="6"/>
      <c r="I964" s="43"/>
      <c r="J964" s="43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  <c r="BA964" s="6"/>
      <c r="BB964" s="6"/>
      <c r="BC964" s="6"/>
      <c r="BD964" s="6"/>
      <c r="BE964" s="6"/>
      <c r="BF964" s="6"/>
      <c r="BG964" s="6"/>
      <c r="BH964" s="6"/>
      <c r="BI964" s="6"/>
      <c r="BJ964" s="6"/>
      <c r="BK964" s="6"/>
      <c r="BL964" s="44"/>
      <c r="BM964" s="44"/>
      <c r="BN964" s="45"/>
      <c r="BO964" s="45"/>
      <c r="BP964" s="7"/>
      <c r="BQ964" s="7" t="e">
        <f>VLOOKUP(A964,[1]Sheet15!B:E,3,0)</f>
        <v>#N/A</v>
      </c>
    </row>
    <row r="965" spans="1:69" ht="15.75" customHeight="1" x14ac:dyDescent="0.25">
      <c r="A965" s="12"/>
      <c r="B965" s="15" t="e">
        <f>VLOOKUP(A965,'[1]Master clients'!F963:W4510,17,0)</f>
        <v>#N/A</v>
      </c>
      <c r="C965" s="15" t="e">
        <f>VLOOKUP(A965,'[1]Master clients'!F963:P4510,11,0)</f>
        <v>#N/A</v>
      </c>
      <c r="D965" s="15" t="e">
        <f>VLOOKUP(A965,'[1]Master clients'!F:M,8,0)</f>
        <v>#N/A</v>
      </c>
      <c r="E965" s="12"/>
      <c r="F965" s="6"/>
      <c r="G965" s="6"/>
      <c r="H965" s="6"/>
      <c r="I965" s="43"/>
      <c r="J965" s="43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  <c r="BA965" s="6"/>
      <c r="BB965" s="6"/>
      <c r="BC965" s="6"/>
      <c r="BD965" s="6"/>
      <c r="BE965" s="6"/>
      <c r="BF965" s="6"/>
      <c r="BG965" s="6"/>
      <c r="BH965" s="6"/>
      <c r="BI965" s="6"/>
      <c r="BJ965" s="6"/>
      <c r="BK965" s="6"/>
      <c r="BL965" s="44"/>
      <c r="BM965" s="44"/>
      <c r="BN965" s="45"/>
      <c r="BO965" s="45"/>
      <c r="BP965" s="7"/>
      <c r="BQ965" s="7" t="e">
        <f>VLOOKUP(A965,[1]Sheet15!B:E,3,0)</f>
        <v>#N/A</v>
      </c>
    </row>
    <row r="966" spans="1:69" ht="15.75" customHeight="1" x14ac:dyDescent="0.25">
      <c r="A966" s="12"/>
      <c r="B966" s="15" t="e">
        <f>VLOOKUP(A966,'[1]Master clients'!F964:W4511,17,0)</f>
        <v>#N/A</v>
      </c>
      <c r="C966" s="15" t="e">
        <f>VLOOKUP(A966,'[1]Master clients'!F964:P4511,11,0)</f>
        <v>#N/A</v>
      </c>
      <c r="D966" s="15" t="e">
        <f>VLOOKUP(A966,'[1]Master clients'!F:M,8,0)</f>
        <v>#N/A</v>
      </c>
      <c r="E966" s="12"/>
      <c r="F966" s="6"/>
      <c r="G966" s="6"/>
      <c r="H966" s="6"/>
      <c r="I966" s="43"/>
      <c r="J966" s="43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  <c r="BA966" s="6"/>
      <c r="BB966" s="6"/>
      <c r="BC966" s="6"/>
      <c r="BD966" s="6"/>
      <c r="BE966" s="6"/>
      <c r="BF966" s="6"/>
      <c r="BG966" s="6"/>
      <c r="BH966" s="6"/>
      <c r="BI966" s="6"/>
      <c r="BJ966" s="6"/>
      <c r="BK966" s="6"/>
      <c r="BL966" s="44"/>
      <c r="BM966" s="44"/>
      <c r="BN966" s="45"/>
      <c r="BO966" s="45"/>
      <c r="BP966" s="7"/>
      <c r="BQ966" s="7" t="e">
        <f>VLOOKUP(A966,[1]Sheet15!B:E,3,0)</f>
        <v>#N/A</v>
      </c>
    </row>
    <row r="967" spans="1:69" ht="15.75" customHeight="1" x14ac:dyDescent="0.25">
      <c r="A967" s="12"/>
      <c r="B967" s="15" t="e">
        <f>VLOOKUP(A967,'[1]Master clients'!F965:W4512,17,0)</f>
        <v>#N/A</v>
      </c>
      <c r="C967" s="15" t="e">
        <f>VLOOKUP(A967,'[1]Master clients'!F965:P4512,11,0)</f>
        <v>#N/A</v>
      </c>
      <c r="D967" s="15" t="e">
        <f>VLOOKUP(A967,'[1]Master clients'!F:M,8,0)</f>
        <v>#N/A</v>
      </c>
      <c r="E967" s="12"/>
      <c r="F967" s="6"/>
      <c r="G967" s="6"/>
      <c r="H967" s="6"/>
      <c r="I967" s="43"/>
      <c r="J967" s="43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  <c r="BA967" s="6"/>
      <c r="BB967" s="6"/>
      <c r="BC967" s="6"/>
      <c r="BD967" s="6"/>
      <c r="BE967" s="6"/>
      <c r="BF967" s="6"/>
      <c r="BG967" s="6"/>
      <c r="BH967" s="6"/>
      <c r="BI967" s="6"/>
      <c r="BJ967" s="6"/>
      <c r="BK967" s="6"/>
      <c r="BL967" s="44"/>
      <c r="BM967" s="44"/>
      <c r="BN967" s="45"/>
      <c r="BO967" s="45"/>
      <c r="BP967" s="7"/>
      <c r="BQ967" s="7" t="e">
        <f>VLOOKUP(A967,[1]Sheet15!B:E,3,0)</f>
        <v>#N/A</v>
      </c>
    </row>
    <row r="968" spans="1:69" ht="15.75" customHeight="1" x14ac:dyDescent="0.25">
      <c r="A968" s="12"/>
      <c r="B968" s="15" t="e">
        <f>VLOOKUP(A968,'[1]Master clients'!F966:W4513,17,0)</f>
        <v>#N/A</v>
      </c>
      <c r="C968" s="15" t="e">
        <f>VLOOKUP(A968,'[1]Master clients'!F966:P4513,11,0)</f>
        <v>#N/A</v>
      </c>
      <c r="D968" s="15" t="e">
        <f>VLOOKUP(A968,'[1]Master clients'!F:M,8,0)</f>
        <v>#N/A</v>
      </c>
      <c r="E968" s="12"/>
      <c r="F968" s="6"/>
      <c r="G968" s="6"/>
      <c r="H968" s="6"/>
      <c r="I968" s="43"/>
      <c r="J968" s="43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  <c r="BA968" s="6"/>
      <c r="BB968" s="6"/>
      <c r="BC968" s="6"/>
      <c r="BD968" s="6"/>
      <c r="BE968" s="6"/>
      <c r="BF968" s="6"/>
      <c r="BG968" s="6"/>
      <c r="BH968" s="6"/>
      <c r="BI968" s="6"/>
      <c r="BJ968" s="6"/>
      <c r="BK968" s="6"/>
      <c r="BL968" s="44"/>
      <c r="BM968" s="44"/>
      <c r="BN968" s="45"/>
      <c r="BO968" s="45"/>
      <c r="BP968" s="7"/>
      <c r="BQ968" s="7" t="e">
        <f>VLOOKUP(A968,[1]Sheet15!B:E,3,0)</f>
        <v>#N/A</v>
      </c>
    </row>
    <row r="969" spans="1:69" ht="15.75" customHeight="1" x14ac:dyDescent="0.25">
      <c r="A969" s="12"/>
      <c r="B969" s="15" t="e">
        <f>VLOOKUP(A969,'[1]Master clients'!F967:W4514,17,0)</f>
        <v>#N/A</v>
      </c>
      <c r="C969" s="15" t="e">
        <f>VLOOKUP(A969,'[1]Master clients'!F967:P4514,11,0)</f>
        <v>#N/A</v>
      </c>
      <c r="D969" s="15" t="e">
        <f>VLOOKUP(A969,'[1]Master clients'!F:M,8,0)</f>
        <v>#N/A</v>
      </c>
      <c r="E969" s="12"/>
      <c r="F969" s="6"/>
      <c r="G969" s="6"/>
      <c r="H969" s="6"/>
      <c r="I969" s="43"/>
      <c r="J969" s="43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  <c r="BA969" s="6"/>
      <c r="BB969" s="6"/>
      <c r="BC969" s="6"/>
      <c r="BD969" s="6"/>
      <c r="BE969" s="6"/>
      <c r="BF969" s="6"/>
      <c r="BG969" s="6"/>
      <c r="BH969" s="6"/>
      <c r="BI969" s="6"/>
      <c r="BJ969" s="6"/>
      <c r="BK969" s="6"/>
      <c r="BL969" s="44"/>
      <c r="BM969" s="44"/>
      <c r="BN969" s="45"/>
      <c r="BO969" s="45"/>
      <c r="BP969" s="7"/>
      <c r="BQ969" s="7" t="e">
        <f>VLOOKUP(A969,[1]Sheet15!B:E,3,0)</f>
        <v>#N/A</v>
      </c>
    </row>
    <row r="970" spans="1:69" ht="15.75" customHeight="1" x14ac:dyDescent="0.25">
      <c r="A970" s="12"/>
      <c r="B970" s="15" t="e">
        <f>VLOOKUP(A970,'[1]Master clients'!F968:W4515,17,0)</f>
        <v>#N/A</v>
      </c>
      <c r="C970" s="15" t="e">
        <f>VLOOKUP(A970,'[1]Master clients'!F968:P4515,11,0)</f>
        <v>#N/A</v>
      </c>
      <c r="D970" s="15" t="e">
        <f>VLOOKUP(A970,'[1]Master clients'!F:M,8,0)</f>
        <v>#N/A</v>
      </c>
      <c r="E970" s="12"/>
      <c r="F970" s="6"/>
      <c r="G970" s="6"/>
      <c r="H970" s="6"/>
      <c r="I970" s="43"/>
      <c r="J970" s="43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  <c r="BA970" s="6"/>
      <c r="BB970" s="6"/>
      <c r="BC970" s="6"/>
      <c r="BD970" s="6"/>
      <c r="BE970" s="6"/>
      <c r="BF970" s="6"/>
      <c r="BG970" s="6"/>
      <c r="BH970" s="6"/>
      <c r="BI970" s="6"/>
      <c r="BJ970" s="6"/>
      <c r="BK970" s="6"/>
      <c r="BL970" s="44"/>
      <c r="BM970" s="44"/>
      <c r="BN970" s="45"/>
      <c r="BO970" s="45"/>
      <c r="BP970" s="7"/>
      <c r="BQ970" s="7" t="e">
        <f>VLOOKUP(A970,[1]Sheet15!B:E,3,0)</f>
        <v>#N/A</v>
      </c>
    </row>
    <row r="971" spans="1:69" ht="15.75" customHeight="1" x14ac:dyDescent="0.25">
      <c r="A971" s="12"/>
      <c r="B971" s="15" t="e">
        <f>VLOOKUP(A971,'[1]Master clients'!F969:W4516,17,0)</f>
        <v>#N/A</v>
      </c>
      <c r="C971" s="15" t="e">
        <f>VLOOKUP(A971,'[1]Master clients'!F969:P4516,11,0)</f>
        <v>#N/A</v>
      </c>
      <c r="D971" s="15" t="e">
        <f>VLOOKUP(A971,'[1]Master clients'!F:M,8,0)</f>
        <v>#N/A</v>
      </c>
      <c r="E971" s="12"/>
      <c r="F971" s="6"/>
      <c r="G971" s="6"/>
      <c r="H971" s="6"/>
      <c r="I971" s="43"/>
      <c r="J971" s="43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  <c r="BA971" s="6"/>
      <c r="BB971" s="6"/>
      <c r="BC971" s="6"/>
      <c r="BD971" s="6"/>
      <c r="BE971" s="6"/>
      <c r="BF971" s="6"/>
      <c r="BG971" s="6"/>
      <c r="BH971" s="6"/>
      <c r="BI971" s="6"/>
      <c r="BJ971" s="6"/>
      <c r="BK971" s="6"/>
      <c r="BL971" s="44"/>
      <c r="BM971" s="44"/>
      <c r="BN971" s="45"/>
      <c r="BO971" s="45"/>
      <c r="BP971" s="7"/>
      <c r="BQ971" s="7" t="e">
        <f>VLOOKUP(A971,[1]Sheet15!B:E,3,0)</f>
        <v>#N/A</v>
      </c>
    </row>
    <row r="972" spans="1:69" ht="15.75" customHeight="1" x14ac:dyDescent="0.25">
      <c r="A972" s="12"/>
      <c r="B972" s="15" t="e">
        <f>VLOOKUP(A972,'[1]Master clients'!F970:W4517,17,0)</f>
        <v>#N/A</v>
      </c>
      <c r="C972" s="15" t="e">
        <f>VLOOKUP(A972,'[1]Master clients'!F970:P4517,11,0)</f>
        <v>#N/A</v>
      </c>
      <c r="D972" s="15" t="e">
        <f>VLOOKUP(A972,'[1]Master clients'!F:M,8,0)</f>
        <v>#N/A</v>
      </c>
      <c r="E972" s="12"/>
      <c r="F972" s="6"/>
      <c r="G972" s="6"/>
      <c r="H972" s="6"/>
      <c r="I972" s="43"/>
      <c r="J972" s="43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  <c r="BA972" s="6"/>
      <c r="BB972" s="6"/>
      <c r="BC972" s="6"/>
      <c r="BD972" s="6"/>
      <c r="BE972" s="6"/>
      <c r="BF972" s="6"/>
      <c r="BG972" s="6"/>
      <c r="BH972" s="6"/>
      <c r="BI972" s="6"/>
      <c r="BJ972" s="6"/>
      <c r="BK972" s="6"/>
      <c r="BL972" s="44"/>
      <c r="BM972" s="44"/>
      <c r="BN972" s="45"/>
      <c r="BO972" s="45"/>
      <c r="BP972" s="7"/>
      <c r="BQ972" s="7" t="e">
        <f>VLOOKUP(A972,[1]Sheet15!B:E,3,0)</f>
        <v>#N/A</v>
      </c>
    </row>
    <row r="973" spans="1:69" ht="15.75" customHeight="1" x14ac:dyDescent="0.25">
      <c r="A973" s="12"/>
      <c r="B973" s="15" t="e">
        <f>VLOOKUP(A973,'[1]Master clients'!F971:W4518,17,0)</f>
        <v>#N/A</v>
      </c>
      <c r="C973" s="15" t="e">
        <f>VLOOKUP(A973,'[1]Master clients'!F971:P4518,11,0)</f>
        <v>#N/A</v>
      </c>
      <c r="D973" s="15" t="e">
        <f>VLOOKUP(A973,'[1]Master clients'!F:M,8,0)</f>
        <v>#N/A</v>
      </c>
      <c r="E973" s="12"/>
      <c r="F973" s="6"/>
      <c r="G973" s="6"/>
      <c r="H973" s="6"/>
      <c r="I973" s="43"/>
      <c r="J973" s="43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  <c r="BA973" s="6"/>
      <c r="BB973" s="6"/>
      <c r="BC973" s="6"/>
      <c r="BD973" s="6"/>
      <c r="BE973" s="6"/>
      <c r="BF973" s="6"/>
      <c r="BG973" s="6"/>
      <c r="BH973" s="6"/>
      <c r="BI973" s="6"/>
      <c r="BJ973" s="6"/>
      <c r="BK973" s="6"/>
      <c r="BL973" s="44"/>
      <c r="BM973" s="44"/>
      <c r="BN973" s="45"/>
      <c r="BO973" s="45"/>
      <c r="BP973" s="7"/>
      <c r="BQ973" s="7" t="e">
        <f>VLOOKUP(A973,[1]Sheet15!B:E,3,0)</f>
        <v>#N/A</v>
      </c>
    </row>
    <row r="974" spans="1:69" ht="15.75" customHeight="1" x14ac:dyDescent="0.25">
      <c r="A974" s="12"/>
      <c r="B974" s="15" t="e">
        <f>VLOOKUP(A974,'[1]Master clients'!F972:W4519,17,0)</f>
        <v>#N/A</v>
      </c>
      <c r="C974" s="15" t="e">
        <f>VLOOKUP(A974,'[1]Master clients'!F972:P4519,11,0)</f>
        <v>#N/A</v>
      </c>
      <c r="D974" s="15" t="e">
        <f>VLOOKUP(A974,'[1]Master clients'!F:M,8,0)</f>
        <v>#N/A</v>
      </c>
      <c r="E974" s="12"/>
      <c r="F974" s="6"/>
      <c r="G974" s="6"/>
      <c r="H974" s="6"/>
      <c r="I974" s="43"/>
      <c r="J974" s="43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  <c r="BA974" s="6"/>
      <c r="BB974" s="6"/>
      <c r="BC974" s="6"/>
      <c r="BD974" s="6"/>
      <c r="BE974" s="6"/>
      <c r="BF974" s="6"/>
      <c r="BG974" s="6"/>
      <c r="BH974" s="6"/>
      <c r="BI974" s="6"/>
      <c r="BJ974" s="6"/>
      <c r="BK974" s="6"/>
      <c r="BL974" s="44"/>
      <c r="BM974" s="44"/>
      <c r="BN974" s="45"/>
      <c r="BO974" s="45"/>
      <c r="BP974" s="7"/>
      <c r="BQ974" s="7" t="e">
        <f>VLOOKUP(A974,[1]Sheet15!B:E,3,0)</f>
        <v>#N/A</v>
      </c>
    </row>
    <row r="975" spans="1:69" ht="15.75" customHeight="1" x14ac:dyDescent="0.25">
      <c r="A975" s="12"/>
      <c r="B975" s="15" t="e">
        <f>VLOOKUP(A975,'[1]Master clients'!F973:W4520,17,0)</f>
        <v>#N/A</v>
      </c>
      <c r="C975" s="15" t="e">
        <f>VLOOKUP(A975,'[1]Master clients'!F973:P4520,11,0)</f>
        <v>#N/A</v>
      </c>
      <c r="D975" s="15" t="e">
        <f>VLOOKUP(A975,'[1]Master clients'!F:M,8,0)</f>
        <v>#N/A</v>
      </c>
      <c r="E975" s="12"/>
      <c r="F975" s="6"/>
      <c r="G975" s="6"/>
      <c r="H975" s="6"/>
      <c r="I975" s="43"/>
      <c r="J975" s="43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  <c r="BA975" s="6"/>
      <c r="BB975" s="6"/>
      <c r="BC975" s="6"/>
      <c r="BD975" s="6"/>
      <c r="BE975" s="6"/>
      <c r="BF975" s="6"/>
      <c r="BG975" s="6"/>
      <c r="BH975" s="6"/>
      <c r="BI975" s="6"/>
      <c r="BJ975" s="6"/>
      <c r="BK975" s="6"/>
      <c r="BL975" s="44"/>
      <c r="BM975" s="44"/>
      <c r="BN975" s="45"/>
      <c r="BO975" s="45"/>
      <c r="BP975" s="7"/>
      <c r="BQ975" s="7" t="e">
        <f>VLOOKUP(A975,[1]Sheet15!B:E,3,0)</f>
        <v>#N/A</v>
      </c>
    </row>
    <row r="976" spans="1:69" ht="15.75" customHeight="1" x14ac:dyDescent="0.25">
      <c r="A976" s="12"/>
      <c r="B976" s="15" t="e">
        <f>VLOOKUP(A976,'[1]Master clients'!F974:W4521,17,0)</f>
        <v>#N/A</v>
      </c>
      <c r="C976" s="15" t="e">
        <f>VLOOKUP(A976,'[1]Master clients'!F974:P4521,11,0)</f>
        <v>#N/A</v>
      </c>
      <c r="D976" s="15" t="e">
        <f>VLOOKUP(A976,'[1]Master clients'!F:M,8,0)</f>
        <v>#N/A</v>
      </c>
      <c r="E976" s="12"/>
      <c r="F976" s="6"/>
      <c r="G976" s="6"/>
      <c r="H976" s="6"/>
      <c r="I976" s="43"/>
      <c r="J976" s="43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  <c r="BA976" s="6"/>
      <c r="BB976" s="6"/>
      <c r="BC976" s="6"/>
      <c r="BD976" s="6"/>
      <c r="BE976" s="6"/>
      <c r="BF976" s="6"/>
      <c r="BG976" s="6"/>
      <c r="BH976" s="6"/>
      <c r="BI976" s="6"/>
      <c r="BJ976" s="6"/>
      <c r="BK976" s="6"/>
      <c r="BL976" s="44"/>
      <c r="BM976" s="44"/>
      <c r="BN976" s="45"/>
      <c r="BO976" s="45"/>
      <c r="BP976" s="7"/>
      <c r="BQ976" s="7" t="e">
        <f>VLOOKUP(A976,[1]Sheet15!B:E,3,0)</f>
        <v>#N/A</v>
      </c>
    </row>
    <row r="977" spans="1:69" ht="15.75" customHeight="1" x14ac:dyDescent="0.25">
      <c r="A977" s="12"/>
      <c r="B977" s="15" t="e">
        <f>VLOOKUP(A977,'[1]Master clients'!F975:W4522,17,0)</f>
        <v>#N/A</v>
      </c>
      <c r="C977" s="15" t="e">
        <f>VLOOKUP(A977,'[1]Master clients'!F975:P4522,11,0)</f>
        <v>#N/A</v>
      </c>
      <c r="D977" s="15" t="e">
        <f>VLOOKUP(A977,'[1]Master clients'!F:M,8,0)</f>
        <v>#N/A</v>
      </c>
      <c r="E977" s="12"/>
      <c r="F977" s="6"/>
      <c r="G977" s="6"/>
      <c r="H977" s="6"/>
      <c r="I977" s="43"/>
      <c r="J977" s="43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  <c r="BA977" s="6"/>
      <c r="BB977" s="6"/>
      <c r="BC977" s="6"/>
      <c r="BD977" s="6"/>
      <c r="BE977" s="6"/>
      <c r="BF977" s="6"/>
      <c r="BG977" s="6"/>
      <c r="BH977" s="6"/>
      <c r="BI977" s="6"/>
      <c r="BJ977" s="6"/>
      <c r="BK977" s="6"/>
      <c r="BL977" s="44"/>
      <c r="BM977" s="44"/>
      <c r="BN977" s="45"/>
      <c r="BO977" s="45"/>
      <c r="BP977" s="7"/>
      <c r="BQ977" s="7" t="e">
        <f>VLOOKUP(A977,[1]Sheet15!B:E,3,0)</f>
        <v>#N/A</v>
      </c>
    </row>
    <row r="978" spans="1:69" ht="15.75" customHeight="1" x14ac:dyDescent="0.25">
      <c r="A978" s="12"/>
      <c r="B978" s="15" t="e">
        <f>VLOOKUP(A978,'[1]Master clients'!F976:W4523,17,0)</f>
        <v>#N/A</v>
      </c>
      <c r="C978" s="15" t="e">
        <f>VLOOKUP(A978,'[1]Master clients'!F976:P4523,11,0)</f>
        <v>#N/A</v>
      </c>
      <c r="D978" s="15" t="e">
        <f>VLOOKUP(A978,'[1]Master clients'!F:M,8,0)</f>
        <v>#N/A</v>
      </c>
      <c r="E978" s="12"/>
      <c r="F978" s="6"/>
      <c r="G978" s="6"/>
      <c r="H978" s="6"/>
      <c r="I978" s="43"/>
      <c r="J978" s="43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  <c r="AZ978" s="6"/>
      <c r="BA978" s="6"/>
      <c r="BB978" s="6"/>
      <c r="BC978" s="6"/>
      <c r="BD978" s="6"/>
      <c r="BE978" s="6"/>
      <c r="BF978" s="6"/>
      <c r="BG978" s="6"/>
      <c r="BH978" s="6"/>
      <c r="BI978" s="6"/>
      <c r="BJ978" s="6"/>
      <c r="BK978" s="6"/>
      <c r="BL978" s="44"/>
      <c r="BM978" s="44"/>
      <c r="BN978" s="45"/>
      <c r="BO978" s="45"/>
      <c r="BP978" s="7"/>
      <c r="BQ978" s="7" t="e">
        <f>VLOOKUP(A978,[1]Sheet15!B:E,3,0)</f>
        <v>#N/A</v>
      </c>
    </row>
    <row r="979" spans="1:69" ht="15.75" customHeight="1" x14ac:dyDescent="0.25">
      <c r="A979" s="12"/>
      <c r="B979" s="15" t="e">
        <f>VLOOKUP(A979,'[1]Master clients'!F977:W4524,17,0)</f>
        <v>#N/A</v>
      </c>
      <c r="C979" s="15" t="e">
        <f>VLOOKUP(A979,'[1]Master clients'!F977:P4524,11,0)</f>
        <v>#N/A</v>
      </c>
      <c r="D979" s="15" t="e">
        <f>VLOOKUP(A979,'[1]Master clients'!F:M,8,0)</f>
        <v>#N/A</v>
      </c>
      <c r="E979" s="12"/>
      <c r="F979" s="6"/>
      <c r="G979" s="6"/>
      <c r="H979" s="6"/>
      <c r="I979" s="43"/>
      <c r="J979" s="43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  <c r="BA979" s="6"/>
      <c r="BB979" s="6"/>
      <c r="BC979" s="6"/>
      <c r="BD979" s="6"/>
      <c r="BE979" s="6"/>
      <c r="BF979" s="6"/>
      <c r="BG979" s="6"/>
      <c r="BH979" s="6"/>
      <c r="BI979" s="6"/>
      <c r="BJ979" s="6"/>
      <c r="BK979" s="6"/>
      <c r="BL979" s="44"/>
      <c r="BM979" s="44"/>
      <c r="BN979" s="45"/>
      <c r="BO979" s="45"/>
      <c r="BP979" s="7"/>
      <c r="BQ979" s="7" t="e">
        <f>VLOOKUP(A979,[1]Sheet15!B:E,3,0)</f>
        <v>#N/A</v>
      </c>
    </row>
    <row r="980" spans="1:69" ht="15.75" customHeight="1" x14ac:dyDescent="0.25">
      <c r="A980" s="12"/>
      <c r="B980" s="15" t="e">
        <f>VLOOKUP(A980,'[1]Master clients'!F978:W4525,17,0)</f>
        <v>#N/A</v>
      </c>
      <c r="C980" s="15" t="e">
        <f>VLOOKUP(A980,'[1]Master clients'!F978:P4525,11,0)</f>
        <v>#N/A</v>
      </c>
      <c r="D980" s="15" t="e">
        <f>VLOOKUP(A980,'[1]Master clients'!F:M,8,0)</f>
        <v>#N/A</v>
      </c>
      <c r="E980" s="12"/>
      <c r="F980" s="6"/>
      <c r="G980" s="6"/>
      <c r="H980" s="6"/>
      <c r="I980" s="43"/>
      <c r="J980" s="43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  <c r="AZ980" s="6"/>
      <c r="BA980" s="6"/>
      <c r="BB980" s="6"/>
      <c r="BC980" s="6"/>
      <c r="BD980" s="6"/>
      <c r="BE980" s="6"/>
      <c r="BF980" s="6"/>
      <c r="BG980" s="6"/>
      <c r="BH980" s="6"/>
      <c r="BI980" s="6"/>
      <c r="BJ980" s="6"/>
      <c r="BK980" s="6"/>
      <c r="BL980" s="44"/>
      <c r="BM980" s="44"/>
      <c r="BN980" s="45"/>
      <c r="BO980" s="45"/>
      <c r="BP980" s="7"/>
      <c r="BQ980" s="7" t="e">
        <f>VLOOKUP(A980,[1]Sheet15!B:E,3,0)</f>
        <v>#N/A</v>
      </c>
    </row>
    <row r="981" spans="1:69" ht="15.75" customHeight="1" x14ac:dyDescent="0.25">
      <c r="A981" s="12"/>
      <c r="B981" s="15" t="e">
        <f>VLOOKUP(A981,'[1]Master clients'!F979:W4526,17,0)</f>
        <v>#N/A</v>
      </c>
      <c r="C981" s="15" t="e">
        <f>VLOOKUP(A981,'[1]Master clients'!F979:P4526,11,0)</f>
        <v>#N/A</v>
      </c>
      <c r="D981" s="15" t="e">
        <f>VLOOKUP(A981,'[1]Master clients'!F:M,8,0)</f>
        <v>#N/A</v>
      </c>
      <c r="E981" s="12"/>
      <c r="F981" s="6"/>
      <c r="G981" s="6"/>
      <c r="H981" s="6"/>
      <c r="I981" s="43"/>
      <c r="J981" s="43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  <c r="AZ981" s="6"/>
      <c r="BA981" s="6"/>
      <c r="BB981" s="6"/>
      <c r="BC981" s="6"/>
      <c r="BD981" s="6"/>
      <c r="BE981" s="6"/>
      <c r="BF981" s="6"/>
      <c r="BG981" s="6"/>
      <c r="BH981" s="6"/>
      <c r="BI981" s="6"/>
      <c r="BJ981" s="6"/>
      <c r="BK981" s="6"/>
      <c r="BL981" s="44"/>
      <c r="BM981" s="44"/>
      <c r="BN981" s="45"/>
      <c r="BO981" s="45"/>
      <c r="BP981" s="7"/>
      <c r="BQ981" s="7" t="e">
        <f>VLOOKUP(A981,[1]Sheet15!B:E,3,0)</f>
        <v>#N/A</v>
      </c>
    </row>
    <row r="982" spans="1:69" ht="15.75" customHeight="1" x14ac:dyDescent="0.25">
      <c r="A982" s="12"/>
      <c r="B982" s="15" t="e">
        <f>VLOOKUP(A982,'[1]Master clients'!F980:W4527,17,0)</f>
        <v>#N/A</v>
      </c>
      <c r="C982" s="15" t="e">
        <f>VLOOKUP(A982,'[1]Master clients'!F980:P4527,11,0)</f>
        <v>#N/A</v>
      </c>
      <c r="D982" s="15" t="e">
        <f>VLOOKUP(A982,'[1]Master clients'!F:M,8,0)</f>
        <v>#N/A</v>
      </c>
      <c r="E982" s="12"/>
      <c r="F982" s="6"/>
      <c r="G982" s="6"/>
      <c r="H982" s="6"/>
      <c r="I982" s="43"/>
      <c r="J982" s="43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6"/>
      <c r="BA982" s="6"/>
      <c r="BB982" s="6"/>
      <c r="BC982" s="6"/>
      <c r="BD982" s="6"/>
      <c r="BE982" s="6"/>
      <c r="BF982" s="6"/>
      <c r="BG982" s="6"/>
      <c r="BH982" s="6"/>
      <c r="BI982" s="6"/>
      <c r="BJ982" s="6"/>
      <c r="BK982" s="6"/>
      <c r="BL982" s="44"/>
      <c r="BM982" s="44"/>
      <c r="BN982" s="45"/>
      <c r="BO982" s="45"/>
      <c r="BP982" s="7"/>
      <c r="BQ982" s="7" t="e">
        <f>VLOOKUP(A982,[1]Sheet15!B:E,3,0)</f>
        <v>#N/A</v>
      </c>
    </row>
    <row r="983" spans="1:69" ht="15.75" customHeight="1" x14ac:dyDescent="0.25">
      <c r="A983" s="12"/>
      <c r="B983" s="15" t="e">
        <f>VLOOKUP(A983,'[1]Master clients'!F981:W4528,17,0)</f>
        <v>#N/A</v>
      </c>
      <c r="C983" s="15" t="e">
        <f>VLOOKUP(A983,'[1]Master clients'!F981:P4528,11,0)</f>
        <v>#N/A</v>
      </c>
      <c r="D983" s="15" t="e">
        <f>VLOOKUP(A983,'[1]Master clients'!F:M,8,0)</f>
        <v>#N/A</v>
      </c>
      <c r="E983" s="12"/>
      <c r="F983" s="6"/>
      <c r="G983" s="6"/>
      <c r="H983" s="6"/>
      <c r="I983" s="43"/>
      <c r="J983" s="43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  <c r="BA983" s="6"/>
      <c r="BB983" s="6"/>
      <c r="BC983" s="6"/>
      <c r="BD983" s="6"/>
      <c r="BE983" s="6"/>
      <c r="BF983" s="6"/>
      <c r="BG983" s="6"/>
      <c r="BH983" s="6"/>
      <c r="BI983" s="6"/>
      <c r="BJ983" s="6"/>
      <c r="BK983" s="6"/>
      <c r="BL983" s="44"/>
      <c r="BM983" s="44"/>
      <c r="BN983" s="45"/>
      <c r="BO983" s="45"/>
      <c r="BP983" s="7"/>
      <c r="BQ983" s="7" t="e">
        <f>VLOOKUP(A983,[1]Sheet15!B:E,3,0)</f>
        <v>#N/A</v>
      </c>
    </row>
    <row r="984" spans="1:69" ht="15.75" customHeight="1" x14ac:dyDescent="0.25">
      <c r="A984" s="12"/>
      <c r="B984" s="15" t="e">
        <f>VLOOKUP(A984,'[1]Master clients'!F982:W4529,17,0)</f>
        <v>#N/A</v>
      </c>
      <c r="C984" s="15" t="e">
        <f>VLOOKUP(A984,'[1]Master clients'!F982:P4529,11,0)</f>
        <v>#N/A</v>
      </c>
      <c r="D984" s="15" t="e">
        <f>VLOOKUP(A984,'[1]Master clients'!F:M,8,0)</f>
        <v>#N/A</v>
      </c>
      <c r="E984" s="12"/>
      <c r="F984" s="6"/>
      <c r="G984" s="6"/>
      <c r="H984" s="6"/>
      <c r="I984" s="43"/>
      <c r="J984" s="43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  <c r="AZ984" s="6"/>
      <c r="BA984" s="6"/>
      <c r="BB984" s="6"/>
      <c r="BC984" s="6"/>
      <c r="BD984" s="6"/>
      <c r="BE984" s="6"/>
      <c r="BF984" s="6"/>
      <c r="BG984" s="6"/>
      <c r="BH984" s="6"/>
      <c r="BI984" s="6"/>
      <c r="BJ984" s="6"/>
      <c r="BK984" s="6"/>
      <c r="BL984" s="44"/>
      <c r="BM984" s="44"/>
      <c r="BN984" s="45"/>
      <c r="BO984" s="45"/>
      <c r="BP984" s="7"/>
      <c r="BQ984" s="7" t="e">
        <f>VLOOKUP(A984,[1]Sheet15!B:E,3,0)</f>
        <v>#N/A</v>
      </c>
    </row>
    <row r="985" spans="1:69" ht="15.75" customHeight="1" x14ac:dyDescent="0.25">
      <c r="A985" s="12"/>
      <c r="B985" s="15" t="e">
        <f>VLOOKUP(A985,'[1]Master clients'!F983:W4530,17,0)</f>
        <v>#N/A</v>
      </c>
      <c r="C985" s="15" t="e">
        <f>VLOOKUP(A985,'[1]Master clients'!F983:P4530,11,0)</f>
        <v>#N/A</v>
      </c>
      <c r="D985" s="15" t="e">
        <f>VLOOKUP(A985,'[1]Master clients'!F:M,8,0)</f>
        <v>#N/A</v>
      </c>
      <c r="E985" s="12"/>
      <c r="F985" s="6"/>
      <c r="G985" s="6"/>
      <c r="H985" s="6"/>
      <c r="I985" s="43"/>
      <c r="J985" s="43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  <c r="BA985" s="6"/>
      <c r="BB985" s="6"/>
      <c r="BC985" s="6"/>
      <c r="BD985" s="6"/>
      <c r="BE985" s="6"/>
      <c r="BF985" s="6"/>
      <c r="BG985" s="6"/>
      <c r="BH985" s="6"/>
      <c r="BI985" s="6"/>
      <c r="BJ985" s="6"/>
      <c r="BK985" s="6"/>
      <c r="BL985" s="44"/>
      <c r="BM985" s="44"/>
      <c r="BN985" s="45"/>
      <c r="BO985" s="45"/>
      <c r="BP985" s="7"/>
      <c r="BQ985" s="7" t="e">
        <f>VLOOKUP(A985,[1]Sheet15!B:E,3,0)</f>
        <v>#N/A</v>
      </c>
    </row>
    <row r="986" spans="1:69" ht="15.75" customHeight="1" x14ac:dyDescent="0.25">
      <c r="A986" s="12"/>
      <c r="B986" s="15" t="e">
        <f>VLOOKUP(A986,'[1]Master clients'!F984:W4531,17,0)</f>
        <v>#N/A</v>
      </c>
      <c r="C986" s="15" t="e">
        <f>VLOOKUP(A986,'[1]Master clients'!F984:P4531,11,0)</f>
        <v>#N/A</v>
      </c>
      <c r="D986" s="15" t="e">
        <f>VLOOKUP(A986,'[1]Master clients'!F:M,8,0)</f>
        <v>#N/A</v>
      </c>
      <c r="E986" s="12"/>
      <c r="F986" s="6"/>
      <c r="G986" s="6"/>
      <c r="H986" s="6"/>
      <c r="I986" s="43"/>
      <c r="J986" s="43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6"/>
      <c r="BA986" s="6"/>
      <c r="BB986" s="6"/>
      <c r="BC986" s="6"/>
      <c r="BD986" s="6"/>
      <c r="BE986" s="6"/>
      <c r="BF986" s="6"/>
      <c r="BG986" s="6"/>
      <c r="BH986" s="6"/>
      <c r="BI986" s="6"/>
      <c r="BJ986" s="6"/>
      <c r="BK986" s="6"/>
      <c r="BL986" s="44"/>
      <c r="BM986" s="44"/>
      <c r="BN986" s="45"/>
      <c r="BO986" s="45"/>
      <c r="BP986" s="7"/>
      <c r="BQ986" s="7" t="e">
        <f>VLOOKUP(A986,[1]Sheet15!B:E,3,0)</f>
        <v>#N/A</v>
      </c>
    </row>
    <row r="987" spans="1:69" ht="15.75" customHeight="1" x14ac:dyDescent="0.25">
      <c r="A987" s="12"/>
      <c r="B987" s="15" t="e">
        <f>VLOOKUP(A987,'[1]Master clients'!F985:W4532,17,0)</f>
        <v>#N/A</v>
      </c>
      <c r="C987" s="15" t="e">
        <f>VLOOKUP(A987,'[1]Master clients'!F985:P4532,11,0)</f>
        <v>#N/A</v>
      </c>
      <c r="D987" s="15" t="e">
        <f>VLOOKUP(A987,'[1]Master clients'!F:M,8,0)</f>
        <v>#N/A</v>
      </c>
      <c r="E987" s="12"/>
      <c r="F987" s="6"/>
      <c r="G987" s="6"/>
      <c r="H987" s="6"/>
      <c r="I987" s="43"/>
      <c r="J987" s="43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  <c r="AZ987" s="6"/>
      <c r="BA987" s="6"/>
      <c r="BB987" s="6"/>
      <c r="BC987" s="6"/>
      <c r="BD987" s="6"/>
      <c r="BE987" s="6"/>
      <c r="BF987" s="6"/>
      <c r="BG987" s="6"/>
      <c r="BH987" s="6"/>
      <c r="BI987" s="6"/>
      <c r="BJ987" s="6"/>
      <c r="BK987" s="6"/>
      <c r="BL987" s="44"/>
      <c r="BM987" s="44"/>
      <c r="BN987" s="45"/>
      <c r="BO987" s="45"/>
      <c r="BP987" s="7"/>
      <c r="BQ987" s="7" t="e">
        <f>VLOOKUP(A987,[1]Sheet15!B:E,3,0)</f>
        <v>#N/A</v>
      </c>
    </row>
    <row r="988" spans="1:69" ht="15.75" customHeight="1" x14ac:dyDescent="0.25">
      <c r="A988" s="12"/>
      <c r="B988" s="15" t="e">
        <f>VLOOKUP(A988,'[1]Master clients'!F986:W4533,17,0)</f>
        <v>#N/A</v>
      </c>
      <c r="C988" s="15" t="e">
        <f>VLOOKUP(A988,'[1]Master clients'!F986:P4533,11,0)</f>
        <v>#N/A</v>
      </c>
      <c r="D988" s="15" t="e">
        <f>VLOOKUP(A988,'[1]Master clients'!F:M,8,0)</f>
        <v>#N/A</v>
      </c>
      <c r="E988" s="12"/>
      <c r="F988" s="6"/>
      <c r="G988" s="6"/>
      <c r="H988" s="6"/>
      <c r="I988" s="43"/>
      <c r="J988" s="43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6"/>
      <c r="BA988" s="6"/>
      <c r="BB988" s="6"/>
      <c r="BC988" s="6"/>
      <c r="BD988" s="6"/>
      <c r="BE988" s="6"/>
      <c r="BF988" s="6"/>
      <c r="BG988" s="6"/>
      <c r="BH988" s="6"/>
      <c r="BI988" s="6"/>
      <c r="BJ988" s="6"/>
      <c r="BK988" s="6"/>
      <c r="BL988" s="44"/>
      <c r="BM988" s="44"/>
      <c r="BN988" s="45"/>
      <c r="BO988" s="45"/>
      <c r="BP988" s="7"/>
      <c r="BQ988" s="7" t="e">
        <f>VLOOKUP(A988,[1]Sheet15!B:E,3,0)</f>
        <v>#N/A</v>
      </c>
    </row>
    <row r="989" spans="1:69" ht="15.75" customHeight="1" x14ac:dyDescent="0.25">
      <c r="A989" s="12"/>
      <c r="B989" s="15" t="e">
        <f>VLOOKUP(A989,'[1]Master clients'!F987:W4534,17,0)</f>
        <v>#N/A</v>
      </c>
      <c r="C989" s="15" t="e">
        <f>VLOOKUP(A989,'[1]Master clients'!F987:P4534,11,0)</f>
        <v>#N/A</v>
      </c>
      <c r="D989" s="15" t="e">
        <f>VLOOKUP(A989,'[1]Master clients'!F:M,8,0)</f>
        <v>#N/A</v>
      </c>
      <c r="E989" s="12"/>
      <c r="F989" s="6"/>
      <c r="G989" s="6"/>
      <c r="H989" s="6"/>
      <c r="I989" s="43"/>
      <c r="J989" s="43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  <c r="BA989" s="6"/>
      <c r="BB989" s="6"/>
      <c r="BC989" s="6"/>
      <c r="BD989" s="6"/>
      <c r="BE989" s="6"/>
      <c r="BF989" s="6"/>
      <c r="BG989" s="6"/>
      <c r="BH989" s="6"/>
      <c r="BI989" s="6"/>
      <c r="BJ989" s="6"/>
      <c r="BK989" s="6"/>
      <c r="BL989" s="44"/>
      <c r="BM989" s="44"/>
      <c r="BN989" s="45"/>
      <c r="BO989" s="45"/>
      <c r="BP989" s="7"/>
      <c r="BQ989" s="7" t="e">
        <f>VLOOKUP(A989,[1]Sheet15!B:E,3,0)</f>
        <v>#N/A</v>
      </c>
    </row>
    <row r="990" spans="1:69" ht="15.75" customHeight="1" x14ac:dyDescent="0.25">
      <c r="A990" s="12"/>
      <c r="B990" s="15" t="e">
        <f>VLOOKUP(A990,'[1]Master clients'!F988:W4535,17,0)</f>
        <v>#N/A</v>
      </c>
      <c r="C990" s="15" t="e">
        <f>VLOOKUP(A990,'[1]Master clients'!F988:P4535,11,0)</f>
        <v>#N/A</v>
      </c>
      <c r="D990" s="15" t="e">
        <f>VLOOKUP(A990,'[1]Master clients'!F:M,8,0)</f>
        <v>#N/A</v>
      </c>
      <c r="E990" s="12"/>
      <c r="F990" s="6"/>
      <c r="G990" s="6"/>
      <c r="H990" s="6"/>
      <c r="I990" s="43"/>
      <c r="J990" s="43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  <c r="BA990" s="6"/>
      <c r="BB990" s="6"/>
      <c r="BC990" s="6"/>
      <c r="BD990" s="6"/>
      <c r="BE990" s="6"/>
      <c r="BF990" s="6"/>
      <c r="BG990" s="6"/>
      <c r="BH990" s="6"/>
      <c r="BI990" s="6"/>
      <c r="BJ990" s="6"/>
      <c r="BK990" s="6"/>
      <c r="BL990" s="44"/>
      <c r="BM990" s="44"/>
      <c r="BN990" s="45"/>
      <c r="BO990" s="45"/>
      <c r="BP990" s="7"/>
      <c r="BQ990" s="7" t="e">
        <f>VLOOKUP(A990,[1]Sheet15!B:E,3,0)</f>
        <v>#N/A</v>
      </c>
    </row>
    <row r="991" spans="1:69" ht="15.75" customHeight="1" x14ac:dyDescent="0.25">
      <c r="A991" s="12"/>
      <c r="B991" s="15" t="e">
        <f>VLOOKUP(A991,'[1]Master clients'!F989:W4536,17,0)</f>
        <v>#N/A</v>
      </c>
      <c r="C991" s="15" t="e">
        <f>VLOOKUP(A991,'[1]Master clients'!F989:P4536,11,0)</f>
        <v>#N/A</v>
      </c>
      <c r="D991" s="15" t="e">
        <f>VLOOKUP(A991,'[1]Master clients'!F:M,8,0)</f>
        <v>#N/A</v>
      </c>
      <c r="E991" s="12"/>
      <c r="F991" s="6"/>
      <c r="G991" s="6"/>
      <c r="H991" s="6"/>
      <c r="I991" s="43"/>
      <c r="J991" s="43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  <c r="BA991" s="6"/>
      <c r="BB991" s="6"/>
      <c r="BC991" s="6"/>
      <c r="BD991" s="6"/>
      <c r="BE991" s="6"/>
      <c r="BF991" s="6"/>
      <c r="BG991" s="6"/>
      <c r="BH991" s="6"/>
      <c r="BI991" s="6"/>
      <c r="BJ991" s="6"/>
      <c r="BK991" s="6"/>
      <c r="BL991" s="44"/>
      <c r="BM991" s="44"/>
      <c r="BN991" s="45"/>
      <c r="BO991" s="45"/>
      <c r="BP991" s="7"/>
      <c r="BQ991" s="7" t="e">
        <f>VLOOKUP(A991,[1]Sheet15!B:E,3,0)</f>
        <v>#N/A</v>
      </c>
    </row>
    <row r="992" spans="1:69" ht="15.75" customHeight="1" x14ac:dyDescent="0.25">
      <c r="A992" s="12"/>
      <c r="B992" s="15" t="e">
        <f>VLOOKUP(A992,'[1]Master clients'!F990:W4537,17,0)</f>
        <v>#N/A</v>
      </c>
      <c r="C992" s="15" t="e">
        <f>VLOOKUP(A992,'[1]Master clients'!F990:P4537,11,0)</f>
        <v>#N/A</v>
      </c>
      <c r="D992" s="15" t="e">
        <f>VLOOKUP(A992,'[1]Master clients'!F:M,8,0)</f>
        <v>#N/A</v>
      </c>
      <c r="E992" s="12"/>
      <c r="F992" s="6"/>
      <c r="G992" s="6"/>
      <c r="H992" s="6"/>
      <c r="I992" s="43"/>
      <c r="J992" s="43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  <c r="BA992" s="6"/>
      <c r="BB992" s="6"/>
      <c r="BC992" s="6"/>
      <c r="BD992" s="6"/>
      <c r="BE992" s="6"/>
      <c r="BF992" s="6"/>
      <c r="BG992" s="6"/>
      <c r="BH992" s="6"/>
      <c r="BI992" s="6"/>
      <c r="BJ992" s="6"/>
      <c r="BK992" s="6"/>
      <c r="BL992" s="44"/>
      <c r="BM992" s="44"/>
      <c r="BN992" s="45"/>
      <c r="BO992" s="45"/>
      <c r="BP992" s="7"/>
      <c r="BQ992" s="7" t="e">
        <f>VLOOKUP(A992,[1]Sheet15!B:E,3,0)</f>
        <v>#N/A</v>
      </c>
    </row>
    <row r="993" spans="1:69" ht="15.75" customHeight="1" x14ac:dyDescent="0.25">
      <c r="A993" s="12"/>
      <c r="B993" s="15" t="e">
        <f>VLOOKUP(A993,'[1]Master clients'!F991:W4538,17,0)</f>
        <v>#N/A</v>
      </c>
      <c r="C993" s="15" t="e">
        <f>VLOOKUP(A993,'[1]Master clients'!F991:P4538,11,0)</f>
        <v>#N/A</v>
      </c>
      <c r="D993" s="15" t="e">
        <f>VLOOKUP(A993,'[1]Master clients'!F:M,8,0)</f>
        <v>#N/A</v>
      </c>
      <c r="E993" s="12"/>
      <c r="F993" s="6"/>
      <c r="G993" s="6"/>
      <c r="H993" s="6"/>
      <c r="I993" s="43"/>
      <c r="J993" s="43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  <c r="BA993" s="6"/>
      <c r="BB993" s="6"/>
      <c r="BC993" s="6"/>
      <c r="BD993" s="6"/>
      <c r="BE993" s="6"/>
      <c r="BF993" s="6"/>
      <c r="BG993" s="6"/>
      <c r="BH993" s="6"/>
      <c r="BI993" s="6"/>
      <c r="BJ993" s="6"/>
      <c r="BK993" s="6"/>
      <c r="BL993" s="44"/>
      <c r="BM993" s="44"/>
      <c r="BN993" s="45"/>
      <c r="BO993" s="45"/>
      <c r="BP993" s="7"/>
      <c r="BQ993" s="7" t="e">
        <f>VLOOKUP(A993,[1]Sheet15!B:E,3,0)</f>
        <v>#N/A</v>
      </c>
    </row>
    <row r="994" spans="1:69" ht="15.75" customHeight="1" x14ac:dyDescent="0.25">
      <c r="A994" s="12"/>
      <c r="B994" s="15" t="e">
        <f>VLOOKUP(A994,'[1]Master clients'!F992:W4539,17,0)</f>
        <v>#N/A</v>
      </c>
      <c r="C994" s="15" t="e">
        <f>VLOOKUP(A994,'[1]Master clients'!F992:P4539,11,0)</f>
        <v>#N/A</v>
      </c>
      <c r="D994" s="15" t="e">
        <f>VLOOKUP(A994,'[1]Master clients'!F:M,8,0)</f>
        <v>#N/A</v>
      </c>
      <c r="E994" s="12"/>
      <c r="F994" s="6"/>
      <c r="G994" s="6"/>
      <c r="H994" s="6"/>
      <c r="I994" s="43"/>
      <c r="J994" s="43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  <c r="BA994" s="6"/>
      <c r="BB994" s="6"/>
      <c r="BC994" s="6"/>
      <c r="BD994" s="6"/>
      <c r="BE994" s="6"/>
      <c r="BF994" s="6"/>
      <c r="BG994" s="6"/>
      <c r="BH994" s="6"/>
      <c r="BI994" s="6"/>
      <c r="BJ994" s="6"/>
      <c r="BK994" s="6"/>
      <c r="BL994" s="44"/>
      <c r="BM994" s="44"/>
      <c r="BN994" s="45"/>
      <c r="BO994" s="45"/>
      <c r="BP994" s="7"/>
      <c r="BQ994" s="7" t="e">
        <f>VLOOKUP(A994,[1]Sheet15!B:E,3,0)</f>
        <v>#N/A</v>
      </c>
    </row>
    <row r="995" spans="1:69" ht="15.75" customHeight="1" x14ac:dyDescent="0.25">
      <c r="A995" s="12"/>
      <c r="B995" s="15" t="e">
        <f>VLOOKUP(A995,'[1]Master clients'!F993:W4540,17,0)</f>
        <v>#N/A</v>
      </c>
      <c r="C995" s="15" t="e">
        <f>VLOOKUP(A995,'[1]Master clients'!F993:P4540,11,0)</f>
        <v>#N/A</v>
      </c>
      <c r="D995" s="15" t="e">
        <f>VLOOKUP(A995,'[1]Master clients'!F:M,8,0)</f>
        <v>#N/A</v>
      </c>
      <c r="E995" s="12"/>
      <c r="F995" s="6"/>
      <c r="G995" s="6"/>
      <c r="H995" s="6"/>
      <c r="I995" s="43"/>
      <c r="J995" s="43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  <c r="BA995" s="6"/>
      <c r="BB995" s="6"/>
      <c r="BC995" s="6"/>
      <c r="BD995" s="6"/>
      <c r="BE995" s="6"/>
      <c r="BF995" s="6"/>
      <c r="BG995" s="6"/>
      <c r="BH995" s="6"/>
      <c r="BI995" s="6"/>
      <c r="BJ995" s="6"/>
      <c r="BK995" s="6"/>
      <c r="BL995" s="44"/>
      <c r="BM995" s="44"/>
      <c r="BN995" s="45"/>
      <c r="BO995" s="45"/>
      <c r="BP995" s="7"/>
      <c r="BQ995" s="7" t="e">
        <f>VLOOKUP(A995,[1]Sheet15!B:E,3,0)</f>
        <v>#N/A</v>
      </c>
    </row>
    <row r="996" spans="1:69" ht="15.75" customHeight="1" x14ac:dyDescent="0.25">
      <c r="A996" s="12"/>
      <c r="B996" s="15" t="e">
        <f>VLOOKUP(A996,'[1]Master clients'!F994:W4541,17,0)</f>
        <v>#N/A</v>
      </c>
      <c r="C996" s="15" t="e">
        <f>VLOOKUP(A996,'[1]Master clients'!F994:P4541,11,0)</f>
        <v>#N/A</v>
      </c>
      <c r="D996" s="15" t="e">
        <f>VLOOKUP(A996,'[1]Master clients'!F:M,8,0)</f>
        <v>#N/A</v>
      </c>
      <c r="E996" s="12"/>
      <c r="F996" s="6"/>
      <c r="G996" s="6"/>
      <c r="H996" s="6"/>
      <c r="I996" s="43"/>
      <c r="J996" s="43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  <c r="BA996" s="6"/>
      <c r="BB996" s="6"/>
      <c r="BC996" s="6"/>
      <c r="BD996" s="6"/>
      <c r="BE996" s="6"/>
      <c r="BF996" s="6"/>
      <c r="BG996" s="6"/>
      <c r="BH996" s="6"/>
      <c r="BI996" s="6"/>
      <c r="BJ996" s="6"/>
      <c r="BK996" s="6"/>
      <c r="BL996" s="44"/>
      <c r="BM996" s="44"/>
      <c r="BN996" s="45"/>
      <c r="BO996" s="45"/>
      <c r="BP996" s="7"/>
      <c r="BQ996" s="7" t="e">
        <f>VLOOKUP(A996,[1]Sheet15!B:E,3,0)</f>
        <v>#N/A</v>
      </c>
    </row>
    <row r="997" spans="1:69" ht="15.75" customHeight="1" x14ac:dyDescent="0.25">
      <c r="A997" s="12"/>
      <c r="B997" s="15" t="e">
        <f>VLOOKUP(A997,'[1]Master clients'!F995:W4542,17,0)</f>
        <v>#N/A</v>
      </c>
      <c r="C997" s="15" t="e">
        <f>VLOOKUP(A997,'[1]Master clients'!F995:P4542,11,0)</f>
        <v>#N/A</v>
      </c>
      <c r="D997" s="15" t="e">
        <f>VLOOKUP(A997,'[1]Master clients'!F:M,8,0)</f>
        <v>#N/A</v>
      </c>
      <c r="E997" s="12"/>
      <c r="F997" s="6"/>
      <c r="G997" s="6"/>
      <c r="H997" s="6"/>
      <c r="I997" s="43"/>
      <c r="J997" s="43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  <c r="BA997" s="6"/>
      <c r="BB997" s="6"/>
      <c r="BC997" s="6"/>
      <c r="BD997" s="6"/>
      <c r="BE997" s="6"/>
      <c r="BF997" s="6"/>
      <c r="BG997" s="6"/>
      <c r="BH997" s="6"/>
      <c r="BI997" s="6"/>
      <c r="BJ997" s="6"/>
      <c r="BK997" s="6"/>
      <c r="BL997" s="44"/>
      <c r="BM997" s="44"/>
      <c r="BN997" s="45"/>
      <c r="BO997" s="45"/>
      <c r="BP997" s="7"/>
      <c r="BQ997" s="7" t="e">
        <f>VLOOKUP(A997,[1]Sheet15!B:E,3,0)</f>
        <v>#N/A</v>
      </c>
    </row>
    <row r="998" spans="1:69" ht="15.75" customHeight="1" x14ac:dyDescent="0.25">
      <c r="A998" s="12"/>
      <c r="B998" s="15" t="e">
        <f>VLOOKUP(A998,'[1]Master clients'!F996:W4543,17,0)</f>
        <v>#N/A</v>
      </c>
      <c r="C998" s="15" t="e">
        <f>VLOOKUP(A998,'[1]Master clients'!F996:P4543,11,0)</f>
        <v>#N/A</v>
      </c>
      <c r="D998" s="15" t="e">
        <f>VLOOKUP(A998,'[1]Master clients'!F:M,8,0)</f>
        <v>#N/A</v>
      </c>
      <c r="E998" s="12"/>
      <c r="F998" s="6"/>
      <c r="G998" s="6"/>
      <c r="H998" s="6"/>
      <c r="I998" s="43"/>
      <c r="J998" s="43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  <c r="BA998" s="6"/>
      <c r="BB998" s="6"/>
      <c r="BC998" s="6"/>
      <c r="BD998" s="6"/>
      <c r="BE998" s="6"/>
      <c r="BF998" s="6"/>
      <c r="BG998" s="6"/>
      <c r="BH998" s="6"/>
      <c r="BI998" s="6"/>
      <c r="BJ998" s="6"/>
      <c r="BK998" s="6"/>
      <c r="BL998" s="44"/>
      <c r="BM998" s="44"/>
      <c r="BN998" s="45"/>
      <c r="BO998" s="45"/>
      <c r="BP998" s="7"/>
      <c r="BQ998" s="7" t="e">
        <f>VLOOKUP(A998,[1]Sheet15!B:E,3,0)</f>
        <v>#N/A</v>
      </c>
    </row>
    <row r="999" spans="1:69" ht="15.75" customHeight="1" x14ac:dyDescent="0.25">
      <c r="A999" s="12"/>
      <c r="B999" s="15" t="e">
        <f>VLOOKUP(A999,'[1]Master clients'!F997:W4544,17,0)</f>
        <v>#N/A</v>
      </c>
      <c r="C999" s="15" t="e">
        <f>VLOOKUP(A999,'[1]Master clients'!F997:P4544,11,0)</f>
        <v>#N/A</v>
      </c>
      <c r="D999" s="15" t="e">
        <f>VLOOKUP(A999,'[1]Master clients'!F:M,8,0)</f>
        <v>#N/A</v>
      </c>
      <c r="E999" s="12"/>
      <c r="F999" s="6"/>
      <c r="G999" s="6"/>
      <c r="H999" s="6"/>
      <c r="I999" s="43"/>
      <c r="J999" s="43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  <c r="BA999" s="6"/>
      <c r="BB999" s="6"/>
      <c r="BC999" s="6"/>
      <c r="BD999" s="6"/>
      <c r="BE999" s="6"/>
      <c r="BF999" s="6"/>
      <c r="BG999" s="6"/>
      <c r="BH999" s="6"/>
      <c r="BI999" s="6"/>
      <c r="BJ999" s="6"/>
      <c r="BK999" s="6"/>
      <c r="BL999" s="44"/>
      <c r="BM999" s="44"/>
      <c r="BN999" s="45"/>
      <c r="BO999" s="45"/>
      <c r="BP999" s="7"/>
      <c r="BQ999" s="7" t="e">
        <f>VLOOKUP(A999,[1]Sheet15!B:E,3,0)</f>
        <v>#N/A</v>
      </c>
    </row>
    <row r="1000" spans="1:69" ht="15.75" customHeight="1" x14ac:dyDescent="0.25">
      <c r="A1000" s="12"/>
      <c r="B1000" s="15" t="e">
        <f>VLOOKUP(A1000,'[1]Master clients'!F998:W4545,17,0)</f>
        <v>#N/A</v>
      </c>
      <c r="C1000" s="15" t="e">
        <f>VLOOKUP(A1000,'[1]Master clients'!F998:P4545,11,0)</f>
        <v>#N/A</v>
      </c>
      <c r="D1000" s="15" t="e">
        <f>VLOOKUP(A1000,'[1]Master clients'!F:M,8,0)</f>
        <v>#N/A</v>
      </c>
      <c r="E1000" s="12"/>
      <c r="F1000" s="6"/>
      <c r="G1000" s="6"/>
      <c r="H1000" s="6"/>
      <c r="I1000" s="43"/>
      <c r="J1000" s="43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  <c r="BA1000" s="6"/>
      <c r="BB1000" s="6"/>
      <c r="BC1000" s="6"/>
      <c r="BD1000" s="6"/>
      <c r="BE1000" s="6"/>
      <c r="BF1000" s="6"/>
      <c r="BG1000" s="6"/>
      <c r="BH1000" s="6"/>
      <c r="BI1000" s="6"/>
      <c r="BJ1000" s="6"/>
      <c r="BK1000" s="6"/>
      <c r="BL1000" s="44"/>
      <c r="BM1000" s="44"/>
      <c r="BN1000" s="45"/>
      <c r="BO1000" s="45"/>
      <c r="BP1000" s="7"/>
      <c r="BQ1000" s="7" t="e">
        <f>VLOOKUP(A1000,[1]Sheet15!B:E,3,0)</f>
        <v>#N/A</v>
      </c>
    </row>
    <row r="1001" spans="1:69" ht="15.75" customHeight="1" x14ac:dyDescent="0.25">
      <c r="A1001" s="12"/>
      <c r="B1001" s="15" t="e">
        <f>VLOOKUP(A1001,'[1]Master clients'!F999:W4546,17,0)</f>
        <v>#N/A</v>
      </c>
      <c r="C1001" s="15" t="e">
        <f>VLOOKUP(A1001,'[1]Master clients'!F999:P4546,11,0)</f>
        <v>#N/A</v>
      </c>
      <c r="D1001" s="15" t="e">
        <f>VLOOKUP(A1001,'[1]Master clients'!F:M,8,0)</f>
        <v>#N/A</v>
      </c>
      <c r="E1001" s="12"/>
      <c r="F1001" s="6"/>
      <c r="G1001" s="6"/>
      <c r="H1001" s="6"/>
      <c r="I1001" s="43"/>
      <c r="J1001" s="43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  <c r="AH1001" s="6"/>
      <c r="AI1001" s="6"/>
      <c r="AJ1001" s="6"/>
      <c r="AK1001" s="6"/>
      <c r="AL1001" s="6"/>
      <c r="AM1001" s="6"/>
      <c r="AN1001" s="6"/>
      <c r="AO1001" s="6"/>
      <c r="AP1001" s="6"/>
      <c r="AQ1001" s="6"/>
      <c r="AR1001" s="6"/>
      <c r="AS1001" s="6"/>
      <c r="AT1001" s="6"/>
      <c r="AU1001" s="6"/>
      <c r="AV1001" s="6"/>
      <c r="AW1001" s="6"/>
      <c r="AX1001" s="6"/>
      <c r="AY1001" s="6"/>
      <c r="AZ1001" s="6"/>
      <c r="BA1001" s="6"/>
      <c r="BB1001" s="6"/>
      <c r="BC1001" s="6"/>
      <c r="BD1001" s="6"/>
      <c r="BE1001" s="6"/>
      <c r="BF1001" s="6"/>
      <c r="BG1001" s="6"/>
      <c r="BH1001" s="6"/>
      <c r="BI1001" s="6"/>
      <c r="BJ1001" s="6"/>
      <c r="BK1001" s="6"/>
      <c r="BL1001" s="44"/>
      <c r="BM1001" s="44"/>
      <c r="BN1001" s="45"/>
      <c r="BO1001" s="45"/>
      <c r="BP1001" s="7"/>
      <c r="BQ1001" s="7" t="e">
        <f>VLOOKUP(A1001,[1]Sheet15!B:E,3,0)</f>
        <v>#N/A</v>
      </c>
    </row>
    <row r="1002" spans="1:69" ht="15.75" customHeight="1" x14ac:dyDescent="0.25">
      <c r="A1002" s="12"/>
      <c r="B1002" s="15" t="e">
        <f>VLOOKUP(A1002,'[1]Master clients'!F1000:W4547,17,0)</f>
        <v>#N/A</v>
      </c>
      <c r="C1002" s="15" t="e">
        <f>VLOOKUP(A1002,'[1]Master clients'!F1000:P4547,11,0)</f>
        <v>#N/A</v>
      </c>
      <c r="D1002" s="15" t="e">
        <f>VLOOKUP(A1002,'[1]Master clients'!F:M,8,0)</f>
        <v>#N/A</v>
      </c>
      <c r="E1002" s="12"/>
      <c r="F1002" s="6"/>
      <c r="G1002" s="6"/>
      <c r="H1002" s="6"/>
      <c r="I1002" s="43"/>
      <c r="J1002" s="43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  <c r="AH1002" s="6"/>
      <c r="AI1002" s="6"/>
      <c r="AJ1002" s="6"/>
      <c r="AK1002" s="6"/>
      <c r="AL1002" s="6"/>
      <c r="AM1002" s="6"/>
      <c r="AN1002" s="6"/>
      <c r="AO1002" s="6"/>
      <c r="AP1002" s="6"/>
      <c r="AQ1002" s="6"/>
      <c r="AR1002" s="6"/>
      <c r="AS1002" s="6"/>
      <c r="AT1002" s="6"/>
      <c r="AU1002" s="6"/>
      <c r="AV1002" s="6"/>
      <c r="AW1002" s="6"/>
      <c r="AX1002" s="6"/>
      <c r="AY1002" s="6"/>
      <c r="AZ1002" s="6"/>
      <c r="BA1002" s="6"/>
      <c r="BB1002" s="6"/>
      <c r="BC1002" s="6"/>
      <c r="BD1002" s="6"/>
      <c r="BE1002" s="6"/>
      <c r="BF1002" s="6"/>
      <c r="BG1002" s="6"/>
      <c r="BH1002" s="6"/>
      <c r="BI1002" s="6"/>
      <c r="BJ1002" s="6"/>
      <c r="BK1002" s="6"/>
      <c r="BL1002" s="44"/>
      <c r="BM1002" s="44"/>
      <c r="BN1002" s="45"/>
      <c r="BO1002" s="45"/>
      <c r="BP1002" s="7"/>
      <c r="BQ1002" s="7" t="e">
        <f>VLOOKUP(A1002,[1]Sheet15!B:E,3,0)</f>
        <v>#N/A</v>
      </c>
    </row>
    <row r="1003" spans="1:69" ht="15.75" customHeight="1" x14ac:dyDescent="0.25">
      <c r="A1003" s="12"/>
      <c r="B1003" s="15" t="e">
        <f>VLOOKUP(A1003,'[1]Master clients'!F1001:W4548,17,0)</f>
        <v>#N/A</v>
      </c>
      <c r="C1003" s="15" t="e">
        <f>VLOOKUP(A1003,'[1]Master clients'!F1001:P4548,11,0)</f>
        <v>#N/A</v>
      </c>
      <c r="D1003" s="15" t="e">
        <f>VLOOKUP(A1003,'[1]Master clients'!F:M,8,0)</f>
        <v>#N/A</v>
      </c>
      <c r="E1003" s="12"/>
      <c r="F1003" s="6"/>
      <c r="G1003" s="6"/>
      <c r="H1003" s="6"/>
      <c r="I1003" s="43"/>
      <c r="J1003" s="43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  <c r="AG1003" s="6"/>
      <c r="AH1003" s="6"/>
      <c r="AI1003" s="6"/>
      <c r="AJ1003" s="6"/>
      <c r="AK1003" s="6"/>
      <c r="AL1003" s="6"/>
      <c r="AM1003" s="6"/>
      <c r="AN1003" s="6"/>
      <c r="AO1003" s="6"/>
      <c r="AP1003" s="6"/>
      <c r="AQ1003" s="6"/>
      <c r="AR1003" s="6"/>
      <c r="AS1003" s="6"/>
      <c r="AT1003" s="6"/>
      <c r="AU1003" s="6"/>
      <c r="AV1003" s="6"/>
      <c r="AW1003" s="6"/>
      <c r="AX1003" s="6"/>
      <c r="AY1003" s="6"/>
      <c r="AZ1003" s="6"/>
      <c r="BA1003" s="6"/>
      <c r="BB1003" s="6"/>
      <c r="BC1003" s="6"/>
      <c r="BD1003" s="6"/>
      <c r="BE1003" s="6"/>
      <c r="BF1003" s="6"/>
      <c r="BG1003" s="6"/>
      <c r="BH1003" s="6"/>
      <c r="BI1003" s="6"/>
      <c r="BJ1003" s="6"/>
      <c r="BK1003" s="6"/>
      <c r="BL1003" s="44"/>
      <c r="BM1003" s="44"/>
      <c r="BN1003" s="45"/>
      <c r="BO1003" s="45"/>
      <c r="BP1003" s="7"/>
      <c r="BQ1003" s="7" t="e">
        <f>VLOOKUP(A1003,[1]Sheet15!B:E,3,0)</f>
        <v>#N/A</v>
      </c>
    </row>
    <row r="1004" spans="1:69" ht="15.75" customHeight="1" x14ac:dyDescent="0.25">
      <c r="A1004" s="12"/>
      <c r="B1004" s="15" t="e">
        <f>VLOOKUP(A1004,'[1]Master clients'!F1002:W4549,17,0)</f>
        <v>#N/A</v>
      </c>
      <c r="C1004" s="15" t="e">
        <f>VLOOKUP(A1004,'[1]Master clients'!F1002:P4549,11,0)</f>
        <v>#N/A</v>
      </c>
      <c r="D1004" s="15" t="e">
        <f>VLOOKUP(A1004,'[1]Master clients'!F:M,8,0)</f>
        <v>#N/A</v>
      </c>
      <c r="E1004" s="12"/>
      <c r="F1004" s="6"/>
      <c r="G1004" s="6"/>
      <c r="H1004" s="6"/>
      <c r="I1004" s="43"/>
      <c r="J1004" s="43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  <c r="AG1004" s="6"/>
      <c r="AH1004" s="6"/>
      <c r="AI1004" s="6"/>
      <c r="AJ1004" s="6"/>
      <c r="AK1004" s="6"/>
      <c r="AL1004" s="6"/>
      <c r="AM1004" s="6"/>
      <c r="AN1004" s="6"/>
      <c r="AO1004" s="6"/>
      <c r="AP1004" s="6"/>
      <c r="AQ1004" s="6"/>
      <c r="AR1004" s="6"/>
      <c r="AS1004" s="6"/>
      <c r="AT1004" s="6"/>
      <c r="AU1004" s="6"/>
      <c r="AV1004" s="6"/>
      <c r="AW1004" s="6"/>
      <c r="AX1004" s="6"/>
      <c r="AY1004" s="6"/>
      <c r="AZ1004" s="6"/>
      <c r="BA1004" s="6"/>
      <c r="BB1004" s="6"/>
      <c r="BC1004" s="6"/>
      <c r="BD1004" s="6"/>
      <c r="BE1004" s="6"/>
      <c r="BF1004" s="6"/>
      <c r="BG1004" s="6"/>
      <c r="BH1004" s="6"/>
      <c r="BI1004" s="6"/>
      <c r="BJ1004" s="6"/>
      <c r="BK1004" s="6"/>
      <c r="BL1004" s="44"/>
      <c r="BM1004" s="44"/>
      <c r="BN1004" s="45"/>
      <c r="BO1004" s="45"/>
      <c r="BP1004" s="7"/>
      <c r="BQ1004" s="7" t="e">
        <f>VLOOKUP(A1004,[1]Sheet15!B:E,3,0)</f>
        <v>#N/A</v>
      </c>
    </row>
    <row r="1005" spans="1:69" ht="15.75" customHeight="1" x14ac:dyDescent="0.25">
      <c r="A1005" s="12"/>
      <c r="B1005" s="15" t="e">
        <f>VLOOKUP(A1005,'[1]Master clients'!F1003:W4550,17,0)</f>
        <v>#N/A</v>
      </c>
      <c r="C1005" s="15" t="e">
        <f>VLOOKUP(A1005,'[1]Master clients'!F1003:P4550,11,0)</f>
        <v>#N/A</v>
      </c>
      <c r="D1005" s="15" t="e">
        <f>VLOOKUP(A1005,'[1]Master clients'!F:M,8,0)</f>
        <v>#N/A</v>
      </c>
      <c r="E1005" s="12"/>
      <c r="F1005" s="6"/>
      <c r="G1005" s="6"/>
      <c r="H1005" s="6"/>
      <c r="I1005" s="43"/>
      <c r="J1005" s="43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  <c r="AF1005" s="6"/>
      <c r="AG1005" s="6"/>
      <c r="AH1005" s="6"/>
      <c r="AI1005" s="6"/>
      <c r="AJ1005" s="6"/>
      <c r="AK1005" s="6"/>
      <c r="AL1005" s="6"/>
      <c r="AM1005" s="6"/>
      <c r="AN1005" s="6"/>
      <c r="AO1005" s="6"/>
      <c r="AP1005" s="6"/>
      <c r="AQ1005" s="6"/>
      <c r="AR1005" s="6"/>
      <c r="AS1005" s="6"/>
      <c r="AT1005" s="6"/>
      <c r="AU1005" s="6"/>
      <c r="AV1005" s="6"/>
      <c r="AW1005" s="6"/>
      <c r="AX1005" s="6"/>
      <c r="AY1005" s="6"/>
      <c r="AZ1005" s="6"/>
      <c r="BA1005" s="6"/>
      <c r="BB1005" s="6"/>
      <c r="BC1005" s="6"/>
      <c r="BD1005" s="6"/>
      <c r="BE1005" s="6"/>
      <c r="BF1005" s="6"/>
      <c r="BG1005" s="6"/>
      <c r="BH1005" s="6"/>
      <c r="BI1005" s="6"/>
      <c r="BJ1005" s="6"/>
      <c r="BK1005" s="6"/>
      <c r="BL1005" s="44"/>
      <c r="BM1005" s="44"/>
      <c r="BN1005" s="45"/>
      <c r="BO1005" s="45"/>
      <c r="BP1005" s="7"/>
      <c r="BQ1005" s="7" t="e">
        <f>VLOOKUP(A1005,[1]Sheet15!B:E,3,0)</f>
        <v>#N/A</v>
      </c>
    </row>
    <row r="1006" spans="1:69" ht="15.75" customHeight="1" x14ac:dyDescent="0.25">
      <c r="A1006" s="12"/>
      <c r="B1006" s="15" t="e">
        <f>VLOOKUP(A1006,'[1]Master clients'!F1004:W4551,17,0)</f>
        <v>#N/A</v>
      </c>
      <c r="C1006" s="15" t="e">
        <f>VLOOKUP(A1006,'[1]Master clients'!F1004:P4551,11,0)</f>
        <v>#N/A</v>
      </c>
      <c r="D1006" s="15" t="e">
        <f>VLOOKUP(A1006,'[1]Master clients'!F:M,8,0)</f>
        <v>#N/A</v>
      </c>
      <c r="E1006" s="12"/>
      <c r="F1006" s="6"/>
      <c r="G1006" s="6"/>
      <c r="H1006" s="6"/>
      <c r="I1006" s="43"/>
      <c r="J1006" s="43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  <c r="AF1006" s="6"/>
      <c r="AG1006" s="6"/>
      <c r="AH1006" s="6"/>
      <c r="AI1006" s="6"/>
      <c r="AJ1006" s="6"/>
      <c r="AK1006" s="6"/>
      <c r="AL1006" s="6"/>
      <c r="AM1006" s="6"/>
      <c r="AN1006" s="6"/>
      <c r="AO1006" s="6"/>
      <c r="AP1006" s="6"/>
      <c r="AQ1006" s="6"/>
      <c r="AR1006" s="6"/>
      <c r="AS1006" s="6"/>
      <c r="AT1006" s="6"/>
      <c r="AU1006" s="6"/>
      <c r="AV1006" s="6"/>
      <c r="AW1006" s="6"/>
      <c r="AX1006" s="6"/>
      <c r="AY1006" s="6"/>
      <c r="AZ1006" s="6"/>
      <c r="BA1006" s="6"/>
      <c r="BB1006" s="6"/>
      <c r="BC1006" s="6"/>
      <c r="BD1006" s="6"/>
      <c r="BE1006" s="6"/>
      <c r="BF1006" s="6"/>
      <c r="BG1006" s="6"/>
      <c r="BH1006" s="6"/>
      <c r="BI1006" s="6"/>
      <c r="BJ1006" s="6"/>
      <c r="BK1006" s="6"/>
      <c r="BL1006" s="44"/>
      <c r="BM1006" s="44"/>
      <c r="BN1006" s="45"/>
      <c r="BO1006" s="45"/>
      <c r="BP1006" s="7"/>
      <c r="BQ1006" s="7" t="e">
        <f>VLOOKUP(A1006,[1]Sheet15!B:E,3,0)</f>
        <v>#N/A</v>
      </c>
    </row>
    <row r="1007" spans="1:69" ht="15.75" customHeight="1" x14ac:dyDescent="0.25">
      <c r="A1007" s="12"/>
      <c r="B1007" s="15" t="e">
        <f>VLOOKUP(A1007,'[1]Master clients'!F1005:W4552,17,0)</f>
        <v>#N/A</v>
      </c>
      <c r="C1007" s="15" t="e">
        <f>VLOOKUP(A1007,'[1]Master clients'!F1005:P4552,11,0)</f>
        <v>#N/A</v>
      </c>
      <c r="D1007" s="15" t="e">
        <f>VLOOKUP(A1007,'[1]Master clients'!F:M,8,0)</f>
        <v>#N/A</v>
      </c>
      <c r="E1007" s="12"/>
      <c r="F1007" s="6"/>
      <c r="G1007" s="6"/>
      <c r="H1007" s="6"/>
      <c r="I1007" s="43"/>
      <c r="J1007" s="43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  <c r="AE1007" s="6"/>
      <c r="AF1007" s="6"/>
      <c r="AG1007" s="6"/>
      <c r="AH1007" s="6"/>
      <c r="AI1007" s="6"/>
      <c r="AJ1007" s="6"/>
      <c r="AK1007" s="6"/>
      <c r="AL1007" s="6"/>
      <c r="AM1007" s="6"/>
      <c r="AN1007" s="6"/>
      <c r="AO1007" s="6"/>
      <c r="AP1007" s="6"/>
      <c r="AQ1007" s="6"/>
      <c r="AR1007" s="6"/>
      <c r="AS1007" s="6"/>
      <c r="AT1007" s="6"/>
      <c r="AU1007" s="6"/>
      <c r="AV1007" s="6"/>
      <c r="AW1007" s="6"/>
      <c r="AX1007" s="6"/>
      <c r="AY1007" s="6"/>
      <c r="AZ1007" s="6"/>
      <c r="BA1007" s="6"/>
      <c r="BB1007" s="6"/>
      <c r="BC1007" s="6"/>
      <c r="BD1007" s="6"/>
      <c r="BE1007" s="6"/>
      <c r="BF1007" s="6"/>
      <c r="BG1007" s="6"/>
      <c r="BH1007" s="6"/>
      <c r="BI1007" s="6"/>
      <c r="BJ1007" s="6"/>
      <c r="BK1007" s="6"/>
      <c r="BL1007" s="44"/>
      <c r="BM1007" s="44"/>
      <c r="BN1007" s="45"/>
      <c r="BO1007" s="45"/>
      <c r="BP1007" s="7"/>
      <c r="BQ1007" s="7" t="e">
        <f>VLOOKUP(A1007,[1]Sheet15!B:E,3,0)</f>
        <v>#N/A</v>
      </c>
    </row>
    <row r="1008" spans="1:69" ht="15.75" customHeight="1" x14ac:dyDescent="0.25">
      <c r="A1008" s="12"/>
      <c r="B1008" s="15" t="e">
        <f>VLOOKUP(A1008,'[1]Master clients'!F1006:W4553,17,0)</f>
        <v>#N/A</v>
      </c>
      <c r="C1008" s="15" t="e">
        <f>VLOOKUP(A1008,'[1]Master clients'!F1006:P4553,11,0)</f>
        <v>#N/A</v>
      </c>
      <c r="D1008" s="15" t="e">
        <f>VLOOKUP(A1008,'[1]Master clients'!F:M,8,0)</f>
        <v>#N/A</v>
      </c>
      <c r="E1008" s="12"/>
      <c r="F1008" s="6"/>
      <c r="G1008" s="6"/>
      <c r="H1008" s="6"/>
      <c r="I1008" s="43"/>
      <c r="J1008" s="43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  <c r="AE1008" s="6"/>
      <c r="AF1008" s="6"/>
      <c r="AG1008" s="6"/>
      <c r="AH1008" s="6"/>
      <c r="AI1008" s="6"/>
      <c r="AJ1008" s="6"/>
      <c r="AK1008" s="6"/>
      <c r="AL1008" s="6"/>
      <c r="AM1008" s="6"/>
      <c r="AN1008" s="6"/>
      <c r="AO1008" s="6"/>
      <c r="AP1008" s="6"/>
      <c r="AQ1008" s="6"/>
      <c r="AR1008" s="6"/>
      <c r="AS1008" s="6"/>
      <c r="AT1008" s="6"/>
      <c r="AU1008" s="6"/>
      <c r="AV1008" s="6"/>
      <c r="AW1008" s="6"/>
      <c r="AX1008" s="6"/>
      <c r="AY1008" s="6"/>
      <c r="AZ1008" s="6"/>
      <c r="BA1008" s="6"/>
      <c r="BB1008" s="6"/>
      <c r="BC1008" s="6"/>
      <c r="BD1008" s="6"/>
      <c r="BE1008" s="6"/>
      <c r="BF1008" s="6"/>
      <c r="BG1008" s="6"/>
      <c r="BH1008" s="6"/>
      <c r="BI1008" s="6"/>
      <c r="BJ1008" s="6"/>
      <c r="BK1008" s="6"/>
      <c r="BL1008" s="44"/>
      <c r="BM1008" s="44"/>
      <c r="BN1008" s="45"/>
      <c r="BO1008" s="45"/>
      <c r="BP1008" s="7"/>
      <c r="BQ1008" s="7" t="e">
        <f>VLOOKUP(A1008,[1]Sheet15!B:E,3,0)</f>
        <v>#N/A</v>
      </c>
    </row>
    <row r="1009" spans="1:69" ht="15.75" customHeight="1" x14ac:dyDescent="0.25">
      <c r="A1009" s="12"/>
      <c r="B1009" s="15" t="e">
        <f>VLOOKUP(A1009,'[1]Master clients'!F1007:W4554,17,0)</f>
        <v>#N/A</v>
      </c>
      <c r="C1009" s="15" t="e">
        <f>VLOOKUP(A1009,'[1]Master clients'!F1007:P4554,11,0)</f>
        <v>#N/A</v>
      </c>
      <c r="D1009" s="15" t="e">
        <f>VLOOKUP(A1009,'[1]Master clients'!F:M,8,0)</f>
        <v>#N/A</v>
      </c>
      <c r="E1009" s="12"/>
      <c r="F1009" s="6"/>
      <c r="G1009" s="6"/>
      <c r="H1009" s="6"/>
      <c r="I1009" s="43"/>
      <c r="J1009" s="43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  <c r="AD1009" s="6"/>
      <c r="AE1009" s="6"/>
      <c r="AF1009" s="6"/>
      <c r="AG1009" s="6"/>
      <c r="AH1009" s="6"/>
      <c r="AI1009" s="6"/>
      <c r="AJ1009" s="6"/>
      <c r="AK1009" s="6"/>
      <c r="AL1009" s="6"/>
      <c r="AM1009" s="6"/>
      <c r="AN1009" s="6"/>
      <c r="AO1009" s="6"/>
      <c r="AP1009" s="6"/>
      <c r="AQ1009" s="6"/>
      <c r="AR1009" s="6"/>
      <c r="AS1009" s="6"/>
      <c r="AT1009" s="6"/>
      <c r="AU1009" s="6"/>
      <c r="AV1009" s="6"/>
      <c r="AW1009" s="6"/>
      <c r="AX1009" s="6"/>
      <c r="AY1009" s="6"/>
      <c r="AZ1009" s="6"/>
      <c r="BA1009" s="6"/>
      <c r="BB1009" s="6"/>
      <c r="BC1009" s="6"/>
      <c r="BD1009" s="6"/>
      <c r="BE1009" s="6"/>
      <c r="BF1009" s="6"/>
      <c r="BG1009" s="6"/>
      <c r="BH1009" s="6"/>
      <c r="BI1009" s="6"/>
      <c r="BJ1009" s="6"/>
      <c r="BK1009" s="6"/>
      <c r="BL1009" s="44"/>
      <c r="BM1009" s="44"/>
      <c r="BN1009" s="45"/>
      <c r="BO1009" s="45"/>
      <c r="BP1009" s="7"/>
      <c r="BQ1009" s="7" t="e">
        <f>VLOOKUP(A1009,[1]Sheet15!B:E,3,0)</f>
        <v>#N/A</v>
      </c>
    </row>
    <row r="1010" spans="1:69" ht="15.75" customHeight="1" x14ac:dyDescent="0.25">
      <c r="A1010" s="12"/>
      <c r="B1010" s="15" t="e">
        <f>VLOOKUP(A1010,'[1]Master clients'!F1008:W4555,17,0)</f>
        <v>#N/A</v>
      </c>
      <c r="C1010" s="15" t="e">
        <f>VLOOKUP(A1010,'[1]Master clients'!F1008:P4555,11,0)</f>
        <v>#N/A</v>
      </c>
      <c r="D1010" s="15" t="e">
        <f>VLOOKUP(A1010,'[1]Master clients'!F:M,8,0)</f>
        <v>#N/A</v>
      </c>
      <c r="E1010" s="12"/>
      <c r="F1010" s="6"/>
      <c r="G1010" s="6"/>
      <c r="H1010" s="6"/>
      <c r="I1010" s="43"/>
      <c r="J1010" s="43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  <c r="AD1010" s="6"/>
      <c r="AE1010" s="6"/>
      <c r="AF1010" s="6"/>
      <c r="AG1010" s="6"/>
      <c r="AH1010" s="6"/>
      <c r="AI1010" s="6"/>
      <c r="AJ1010" s="6"/>
      <c r="AK1010" s="6"/>
      <c r="AL1010" s="6"/>
      <c r="AM1010" s="6"/>
      <c r="AN1010" s="6"/>
      <c r="AO1010" s="6"/>
      <c r="AP1010" s="6"/>
      <c r="AQ1010" s="6"/>
      <c r="AR1010" s="6"/>
      <c r="AS1010" s="6"/>
      <c r="AT1010" s="6"/>
      <c r="AU1010" s="6"/>
      <c r="AV1010" s="6"/>
      <c r="AW1010" s="6"/>
      <c r="AX1010" s="6"/>
      <c r="AY1010" s="6"/>
      <c r="AZ1010" s="6"/>
      <c r="BA1010" s="6"/>
      <c r="BB1010" s="6"/>
      <c r="BC1010" s="6"/>
      <c r="BD1010" s="6"/>
      <c r="BE1010" s="6"/>
      <c r="BF1010" s="6"/>
      <c r="BG1010" s="6"/>
      <c r="BH1010" s="6"/>
      <c r="BI1010" s="6"/>
      <c r="BJ1010" s="6"/>
      <c r="BK1010" s="6"/>
      <c r="BL1010" s="44"/>
      <c r="BM1010" s="44"/>
      <c r="BN1010" s="45"/>
      <c r="BO1010" s="45"/>
      <c r="BP1010" s="7"/>
      <c r="BQ1010" s="7" t="e">
        <f>VLOOKUP(A1010,[1]Sheet15!B:E,3,0)</f>
        <v>#N/A</v>
      </c>
    </row>
    <row r="1011" spans="1:69" ht="15.75" customHeight="1" x14ac:dyDescent="0.25">
      <c r="A1011" s="12"/>
      <c r="B1011" s="15" t="e">
        <f>VLOOKUP(A1011,'[1]Master clients'!F1009:W4556,17,0)</f>
        <v>#N/A</v>
      </c>
      <c r="C1011" s="15" t="e">
        <f>VLOOKUP(A1011,'[1]Master clients'!F1009:P4556,11,0)</f>
        <v>#N/A</v>
      </c>
      <c r="D1011" s="15" t="e">
        <f>VLOOKUP(A1011,'[1]Master clients'!F:M,8,0)</f>
        <v>#N/A</v>
      </c>
      <c r="E1011" s="12"/>
      <c r="F1011" s="6"/>
      <c r="G1011" s="6"/>
      <c r="H1011" s="6"/>
      <c r="I1011" s="43"/>
      <c r="J1011" s="43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  <c r="AD1011" s="6"/>
      <c r="AE1011" s="6"/>
      <c r="AF1011" s="6"/>
      <c r="AG1011" s="6"/>
      <c r="AH1011" s="6"/>
      <c r="AI1011" s="6"/>
      <c r="AJ1011" s="6"/>
      <c r="AK1011" s="6"/>
      <c r="AL1011" s="6"/>
      <c r="AM1011" s="6"/>
      <c r="AN1011" s="6"/>
      <c r="AO1011" s="6"/>
      <c r="AP1011" s="6"/>
      <c r="AQ1011" s="6"/>
      <c r="AR1011" s="6"/>
      <c r="AS1011" s="6"/>
      <c r="AT1011" s="6"/>
      <c r="AU1011" s="6"/>
      <c r="AV1011" s="6"/>
      <c r="AW1011" s="6"/>
      <c r="AX1011" s="6"/>
      <c r="AY1011" s="6"/>
      <c r="AZ1011" s="6"/>
      <c r="BA1011" s="6"/>
      <c r="BB1011" s="6"/>
      <c r="BC1011" s="6"/>
      <c r="BD1011" s="6"/>
      <c r="BE1011" s="6"/>
      <c r="BF1011" s="6"/>
      <c r="BG1011" s="6"/>
      <c r="BH1011" s="6"/>
      <c r="BI1011" s="6"/>
      <c r="BJ1011" s="6"/>
      <c r="BK1011" s="6"/>
      <c r="BL1011" s="44"/>
      <c r="BM1011" s="44"/>
      <c r="BN1011" s="45"/>
      <c r="BO1011" s="45"/>
      <c r="BP1011" s="7"/>
      <c r="BQ1011" s="7" t="e">
        <f>VLOOKUP(A1011,[1]Sheet15!B:E,3,0)</f>
        <v>#N/A</v>
      </c>
    </row>
    <row r="1012" spans="1:69" ht="15.75" customHeight="1" x14ac:dyDescent="0.25">
      <c r="A1012" s="12"/>
      <c r="B1012" s="15" t="e">
        <f>VLOOKUP(A1012,'[1]Master clients'!F1010:W4557,17,0)</f>
        <v>#N/A</v>
      </c>
      <c r="C1012" s="15" t="e">
        <f>VLOOKUP(A1012,'[1]Master clients'!F1010:P4557,11,0)</f>
        <v>#N/A</v>
      </c>
      <c r="D1012" s="15" t="e">
        <f>VLOOKUP(A1012,'[1]Master clients'!F:M,8,0)</f>
        <v>#N/A</v>
      </c>
      <c r="E1012" s="12"/>
      <c r="F1012" s="6"/>
      <c r="G1012" s="6"/>
      <c r="H1012" s="6"/>
      <c r="I1012" s="43"/>
      <c r="J1012" s="43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  <c r="AD1012" s="6"/>
      <c r="AE1012" s="6"/>
      <c r="AF1012" s="6"/>
      <c r="AG1012" s="6"/>
      <c r="AH1012" s="6"/>
      <c r="AI1012" s="6"/>
      <c r="AJ1012" s="6"/>
      <c r="AK1012" s="6"/>
      <c r="AL1012" s="6"/>
      <c r="AM1012" s="6"/>
      <c r="AN1012" s="6"/>
      <c r="AO1012" s="6"/>
      <c r="AP1012" s="6"/>
      <c r="AQ1012" s="6"/>
      <c r="AR1012" s="6"/>
      <c r="AS1012" s="6"/>
      <c r="AT1012" s="6"/>
      <c r="AU1012" s="6"/>
      <c r="AV1012" s="6"/>
      <c r="AW1012" s="6"/>
      <c r="AX1012" s="6"/>
      <c r="AY1012" s="6"/>
      <c r="AZ1012" s="6"/>
      <c r="BA1012" s="6"/>
      <c r="BB1012" s="6"/>
      <c r="BC1012" s="6"/>
      <c r="BD1012" s="6"/>
      <c r="BE1012" s="6"/>
      <c r="BF1012" s="6"/>
      <c r="BG1012" s="6"/>
      <c r="BH1012" s="6"/>
      <c r="BI1012" s="6"/>
      <c r="BJ1012" s="6"/>
      <c r="BK1012" s="6"/>
      <c r="BL1012" s="44"/>
      <c r="BM1012" s="44"/>
      <c r="BN1012" s="45"/>
      <c r="BO1012" s="45"/>
      <c r="BP1012" s="7"/>
      <c r="BQ1012" s="7" t="e">
        <f>VLOOKUP(A1012,[1]Sheet15!B:E,3,0)</f>
        <v>#N/A</v>
      </c>
    </row>
    <row r="1013" spans="1:69" ht="15.75" customHeight="1" x14ac:dyDescent="0.25">
      <c r="A1013" s="12"/>
      <c r="B1013" s="15" t="e">
        <f>VLOOKUP(A1013,'[1]Master clients'!F1011:W4558,17,0)</f>
        <v>#N/A</v>
      </c>
      <c r="C1013" s="15" t="e">
        <f>VLOOKUP(A1013,'[1]Master clients'!F1011:P4558,11,0)</f>
        <v>#N/A</v>
      </c>
      <c r="D1013" s="15" t="e">
        <f>VLOOKUP(A1013,'[1]Master clients'!F:M,8,0)</f>
        <v>#N/A</v>
      </c>
      <c r="E1013" s="12"/>
      <c r="F1013" s="6"/>
      <c r="G1013" s="6"/>
      <c r="H1013" s="6"/>
      <c r="I1013" s="43"/>
      <c r="J1013" s="43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  <c r="AD1013" s="6"/>
      <c r="AE1013" s="6"/>
      <c r="AF1013" s="6"/>
      <c r="AG1013" s="6"/>
      <c r="AH1013" s="6"/>
      <c r="AI1013" s="6"/>
      <c r="AJ1013" s="6"/>
      <c r="AK1013" s="6"/>
      <c r="AL1013" s="6"/>
      <c r="AM1013" s="6"/>
      <c r="AN1013" s="6"/>
      <c r="AO1013" s="6"/>
      <c r="AP1013" s="6"/>
      <c r="AQ1013" s="6"/>
      <c r="AR1013" s="6"/>
      <c r="AS1013" s="6"/>
      <c r="AT1013" s="6"/>
      <c r="AU1013" s="6"/>
      <c r="AV1013" s="6"/>
      <c r="AW1013" s="6"/>
      <c r="AX1013" s="6"/>
      <c r="AY1013" s="6"/>
      <c r="AZ1013" s="6"/>
      <c r="BA1013" s="6"/>
      <c r="BB1013" s="6"/>
      <c r="BC1013" s="6"/>
      <c r="BD1013" s="6"/>
      <c r="BE1013" s="6"/>
      <c r="BF1013" s="6"/>
      <c r="BG1013" s="6"/>
      <c r="BH1013" s="6"/>
      <c r="BI1013" s="6"/>
      <c r="BJ1013" s="6"/>
      <c r="BK1013" s="6"/>
      <c r="BL1013" s="44"/>
      <c r="BM1013" s="44"/>
      <c r="BN1013" s="45"/>
      <c r="BO1013" s="45"/>
      <c r="BP1013" s="7"/>
      <c r="BQ1013" s="7" t="e">
        <f>VLOOKUP(A1013,[1]Sheet15!B:E,3,0)</f>
        <v>#N/A</v>
      </c>
    </row>
    <row r="1014" spans="1:69" ht="15.75" customHeight="1" x14ac:dyDescent="0.25">
      <c r="A1014" s="12"/>
      <c r="B1014" s="15" t="e">
        <f>VLOOKUP(A1014,'[1]Master clients'!F1012:W4559,17,0)</f>
        <v>#N/A</v>
      </c>
      <c r="C1014" s="15" t="e">
        <f>VLOOKUP(A1014,'[1]Master clients'!F1012:P4559,11,0)</f>
        <v>#N/A</v>
      </c>
      <c r="D1014" s="15" t="e">
        <f>VLOOKUP(A1014,'[1]Master clients'!F:M,8,0)</f>
        <v>#N/A</v>
      </c>
      <c r="E1014" s="12"/>
      <c r="F1014" s="6"/>
      <c r="G1014" s="6"/>
      <c r="H1014" s="6"/>
      <c r="I1014" s="43"/>
      <c r="J1014" s="43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  <c r="AD1014" s="6"/>
      <c r="AE1014" s="6"/>
      <c r="AF1014" s="6"/>
      <c r="AG1014" s="6"/>
      <c r="AH1014" s="6"/>
      <c r="AI1014" s="6"/>
      <c r="AJ1014" s="6"/>
      <c r="AK1014" s="6"/>
      <c r="AL1014" s="6"/>
      <c r="AM1014" s="6"/>
      <c r="AN1014" s="6"/>
      <c r="AO1014" s="6"/>
      <c r="AP1014" s="6"/>
      <c r="AQ1014" s="6"/>
      <c r="AR1014" s="6"/>
      <c r="AS1014" s="6"/>
      <c r="AT1014" s="6"/>
      <c r="AU1014" s="6"/>
      <c r="AV1014" s="6"/>
      <c r="AW1014" s="6"/>
      <c r="AX1014" s="6"/>
      <c r="AY1014" s="6"/>
      <c r="AZ1014" s="6"/>
      <c r="BA1014" s="6"/>
      <c r="BB1014" s="6"/>
      <c r="BC1014" s="6"/>
      <c r="BD1014" s="6"/>
      <c r="BE1014" s="6"/>
      <c r="BF1014" s="6"/>
      <c r="BG1014" s="6"/>
      <c r="BH1014" s="6"/>
      <c r="BI1014" s="6"/>
      <c r="BJ1014" s="6"/>
      <c r="BK1014" s="6"/>
      <c r="BL1014" s="44"/>
      <c r="BM1014" s="44"/>
      <c r="BN1014" s="45"/>
      <c r="BO1014" s="45"/>
      <c r="BP1014" s="7"/>
      <c r="BQ1014" s="7" t="e">
        <f>VLOOKUP(A1014,[1]Sheet15!B:E,3,0)</f>
        <v>#N/A</v>
      </c>
    </row>
    <row r="1015" spans="1:69" ht="15.75" customHeight="1" x14ac:dyDescent="0.25">
      <c r="A1015" s="12"/>
      <c r="B1015" s="15" t="e">
        <f>VLOOKUP(A1015,'[1]Master clients'!F1013:W4560,17,0)</f>
        <v>#N/A</v>
      </c>
      <c r="C1015" s="15" t="e">
        <f>VLOOKUP(A1015,'[1]Master clients'!F1013:P4560,11,0)</f>
        <v>#N/A</v>
      </c>
      <c r="D1015" s="15" t="e">
        <f>VLOOKUP(A1015,'[1]Master clients'!F:M,8,0)</f>
        <v>#N/A</v>
      </c>
      <c r="E1015" s="12"/>
      <c r="F1015" s="6"/>
      <c r="G1015" s="6"/>
      <c r="H1015" s="6"/>
      <c r="I1015" s="43"/>
      <c r="J1015" s="43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  <c r="AD1015" s="6"/>
      <c r="AE1015" s="6"/>
      <c r="AF1015" s="6"/>
      <c r="AG1015" s="6"/>
      <c r="AH1015" s="6"/>
      <c r="AI1015" s="6"/>
      <c r="AJ1015" s="6"/>
      <c r="AK1015" s="6"/>
      <c r="AL1015" s="6"/>
      <c r="AM1015" s="6"/>
      <c r="AN1015" s="6"/>
      <c r="AO1015" s="6"/>
      <c r="AP1015" s="6"/>
      <c r="AQ1015" s="6"/>
      <c r="AR1015" s="6"/>
      <c r="AS1015" s="6"/>
      <c r="AT1015" s="6"/>
      <c r="AU1015" s="6"/>
      <c r="AV1015" s="6"/>
      <c r="AW1015" s="6"/>
      <c r="AX1015" s="6"/>
      <c r="AY1015" s="6"/>
      <c r="AZ1015" s="6"/>
      <c r="BA1015" s="6"/>
      <c r="BB1015" s="6"/>
      <c r="BC1015" s="6"/>
      <c r="BD1015" s="6"/>
      <c r="BE1015" s="6"/>
      <c r="BF1015" s="6"/>
      <c r="BG1015" s="6"/>
      <c r="BH1015" s="6"/>
      <c r="BI1015" s="6"/>
      <c r="BJ1015" s="6"/>
      <c r="BK1015" s="6"/>
      <c r="BL1015" s="44"/>
      <c r="BM1015" s="44"/>
      <c r="BN1015" s="45"/>
      <c r="BO1015" s="45"/>
      <c r="BP1015" s="7"/>
      <c r="BQ1015" s="7" t="e">
        <f>VLOOKUP(A1015,[1]Sheet15!B:E,3,0)</f>
        <v>#N/A</v>
      </c>
    </row>
    <row r="1016" spans="1:69" ht="15.75" customHeight="1" x14ac:dyDescent="0.25">
      <c r="A1016" s="12"/>
      <c r="B1016" s="15" t="e">
        <f>VLOOKUP(A1016,'[1]Master clients'!F1014:W4561,17,0)</f>
        <v>#N/A</v>
      </c>
      <c r="C1016" s="15" t="e">
        <f>VLOOKUP(A1016,'[1]Master clients'!F1014:P4561,11,0)</f>
        <v>#N/A</v>
      </c>
      <c r="D1016" s="15" t="e">
        <f>VLOOKUP(A1016,'[1]Master clients'!F:M,8,0)</f>
        <v>#N/A</v>
      </c>
      <c r="E1016" s="12"/>
      <c r="F1016" s="6"/>
      <c r="G1016" s="6"/>
      <c r="H1016" s="6"/>
      <c r="I1016" s="43"/>
      <c r="J1016" s="43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  <c r="AD1016" s="6"/>
      <c r="AE1016" s="6"/>
      <c r="AF1016" s="6"/>
      <c r="AG1016" s="6"/>
      <c r="AH1016" s="6"/>
      <c r="AI1016" s="6"/>
      <c r="AJ1016" s="6"/>
      <c r="AK1016" s="6"/>
      <c r="AL1016" s="6"/>
      <c r="AM1016" s="6"/>
      <c r="AN1016" s="6"/>
      <c r="AO1016" s="6"/>
      <c r="AP1016" s="6"/>
      <c r="AQ1016" s="6"/>
      <c r="AR1016" s="6"/>
      <c r="AS1016" s="6"/>
      <c r="AT1016" s="6"/>
      <c r="AU1016" s="6"/>
      <c r="AV1016" s="6"/>
      <c r="AW1016" s="6"/>
      <c r="AX1016" s="6"/>
      <c r="AY1016" s="6"/>
      <c r="AZ1016" s="6"/>
      <c r="BA1016" s="6"/>
      <c r="BB1016" s="6"/>
      <c r="BC1016" s="6"/>
      <c r="BD1016" s="6"/>
      <c r="BE1016" s="6"/>
      <c r="BF1016" s="6"/>
      <c r="BG1016" s="6"/>
      <c r="BH1016" s="6"/>
      <c r="BI1016" s="6"/>
      <c r="BJ1016" s="6"/>
      <c r="BK1016" s="6"/>
      <c r="BL1016" s="44"/>
      <c r="BM1016" s="44"/>
      <c r="BN1016" s="45"/>
      <c r="BO1016" s="45"/>
      <c r="BP1016" s="7"/>
      <c r="BQ1016" s="7" t="e">
        <f>VLOOKUP(A1016,[1]Sheet15!B:E,3,0)</f>
        <v>#N/A</v>
      </c>
    </row>
    <row r="1017" spans="1:69" ht="15.75" customHeight="1" x14ac:dyDescent="0.25">
      <c r="A1017" s="12"/>
      <c r="B1017" s="15" t="e">
        <f>VLOOKUP(A1017,'[1]Master clients'!F1015:W4562,17,0)</f>
        <v>#N/A</v>
      </c>
      <c r="C1017" s="15" t="e">
        <f>VLOOKUP(A1017,'[1]Master clients'!F1015:P4562,11,0)</f>
        <v>#N/A</v>
      </c>
      <c r="D1017" s="15" t="e">
        <f>VLOOKUP(A1017,'[1]Master clients'!F:M,8,0)</f>
        <v>#N/A</v>
      </c>
      <c r="E1017" s="12"/>
      <c r="F1017" s="6"/>
      <c r="G1017" s="6"/>
      <c r="H1017" s="6"/>
      <c r="I1017" s="43"/>
      <c r="J1017" s="43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  <c r="AD1017" s="6"/>
      <c r="AE1017" s="6"/>
      <c r="AF1017" s="6"/>
      <c r="AG1017" s="6"/>
      <c r="AH1017" s="6"/>
      <c r="AI1017" s="6"/>
      <c r="AJ1017" s="6"/>
      <c r="AK1017" s="6"/>
      <c r="AL1017" s="6"/>
      <c r="AM1017" s="6"/>
      <c r="AN1017" s="6"/>
      <c r="AO1017" s="6"/>
      <c r="AP1017" s="6"/>
      <c r="AQ1017" s="6"/>
      <c r="AR1017" s="6"/>
      <c r="AS1017" s="6"/>
      <c r="AT1017" s="6"/>
      <c r="AU1017" s="6"/>
      <c r="AV1017" s="6"/>
      <c r="AW1017" s="6"/>
      <c r="AX1017" s="6"/>
      <c r="AY1017" s="6"/>
      <c r="AZ1017" s="6"/>
      <c r="BA1017" s="6"/>
      <c r="BB1017" s="6"/>
      <c r="BC1017" s="6"/>
      <c r="BD1017" s="6"/>
      <c r="BE1017" s="6"/>
      <c r="BF1017" s="6"/>
      <c r="BG1017" s="6"/>
      <c r="BH1017" s="6"/>
      <c r="BI1017" s="6"/>
      <c r="BJ1017" s="6"/>
      <c r="BK1017" s="6"/>
      <c r="BL1017" s="44"/>
      <c r="BM1017" s="44"/>
      <c r="BN1017" s="45"/>
      <c r="BO1017" s="45"/>
      <c r="BP1017" s="7"/>
      <c r="BQ1017" s="7" t="e">
        <f>VLOOKUP(A1017,[1]Sheet15!B:E,3,0)</f>
        <v>#N/A</v>
      </c>
    </row>
    <row r="1018" spans="1:69" ht="15.75" customHeight="1" x14ac:dyDescent="0.25">
      <c r="A1018" s="12"/>
      <c r="B1018" s="15" t="e">
        <f>VLOOKUP(A1018,'[1]Master clients'!F1016:W4563,17,0)</f>
        <v>#N/A</v>
      </c>
      <c r="C1018" s="15" t="e">
        <f>VLOOKUP(A1018,'[1]Master clients'!F1016:P4563,11,0)</f>
        <v>#N/A</v>
      </c>
      <c r="D1018" s="15" t="e">
        <f>VLOOKUP(A1018,'[1]Master clients'!F:M,8,0)</f>
        <v>#N/A</v>
      </c>
      <c r="E1018" s="12"/>
      <c r="F1018" s="6"/>
      <c r="G1018" s="6"/>
      <c r="H1018" s="6"/>
      <c r="I1018" s="43"/>
      <c r="J1018" s="43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  <c r="AD1018" s="6"/>
      <c r="AE1018" s="6"/>
      <c r="AF1018" s="6"/>
      <c r="AG1018" s="6"/>
      <c r="AH1018" s="6"/>
      <c r="AI1018" s="6"/>
      <c r="AJ1018" s="6"/>
      <c r="AK1018" s="6"/>
      <c r="AL1018" s="6"/>
      <c r="AM1018" s="6"/>
      <c r="AN1018" s="6"/>
      <c r="AO1018" s="6"/>
      <c r="AP1018" s="6"/>
      <c r="AQ1018" s="6"/>
      <c r="AR1018" s="6"/>
      <c r="AS1018" s="6"/>
      <c r="AT1018" s="6"/>
      <c r="AU1018" s="6"/>
      <c r="AV1018" s="6"/>
      <c r="AW1018" s="6"/>
      <c r="AX1018" s="6"/>
      <c r="AY1018" s="6"/>
      <c r="AZ1018" s="6"/>
      <c r="BA1018" s="6"/>
      <c r="BB1018" s="6"/>
      <c r="BC1018" s="6"/>
      <c r="BD1018" s="6"/>
      <c r="BE1018" s="6"/>
      <c r="BF1018" s="6"/>
      <c r="BG1018" s="6"/>
      <c r="BH1018" s="6"/>
      <c r="BI1018" s="6"/>
      <c r="BJ1018" s="6"/>
      <c r="BK1018" s="6"/>
      <c r="BL1018" s="44"/>
      <c r="BM1018" s="44"/>
      <c r="BN1018" s="45"/>
      <c r="BO1018" s="45"/>
      <c r="BP1018" s="7"/>
      <c r="BQ1018" s="7" t="e">
        <f>VLOOKUP(A1018,[1]Sheet15!B:E,3,0)</f>
        <v>#N/A</v>
      </c>
    </row>
    <row r="1019" spans="1:69" ht="15.75" customHeight="1" x14ac:dyDescent="0.25">
      <c r="A1019" s="12"/>
      <c r="B1019" s="15" t="e">
        <f>VLOOKUP(A1019,'[1]Master clients'!F1017:W4564,17,0)</f>
        <v>#N/A</v>
      </c>
      <c r="C1019" s="15" t="e">
        <f>VLOOKUP(A1019,'[1]Master clients'!F1017:P4564,11,0)</f>
        <v>#N/A</v>
      </c>
      <c r="D1019" s="15" t="e">
        <f>VLOOKUP(A1019,'[1]Master clients'!F:M,8,0)</f>
        <v>#N/A</v>
      </c>
      <c r="E1019" s="12"/>
      <c r="F1019" s="6"/>
      <c r="G1019" s="6"/>
      <c r="H1019" s="6"/>
      <c r="I1019" s="43"/>
      <c r="J1019" s="43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  <c r="AE1019" s="6"/>
      <c r="AF1019" s="6"/>
      <c r="AG1019" s="6"/>
      <c r="AH1019" s="6"/>
      <c r="AI1019" s="6"/>
      <c r="AJ1019" s="6"/>
      <c r="AK1019" s="6"/>
      <c r="AL1019" s="6"/>
      <c r="AM1019" s="6"/>
      <c r="AN1019" s="6"/>
      <c r="AO1019" s="6"/>
      <c r="AP1019" s="6"/>
      <c r="AQ1019" s="6"/>
      <c r="AR1019" s="6"/>
      <c r="AS1019" s="6"/>
      <c r="AT1019" s="6"/>
      <c r="AU1019" s="6"/>
      <c r="AV1019" s="6"/>
      <c r="AW1019" s="6"/>
      <c r="AX1019" s="6"/>
      <c r="AY1019" s="6"/>
      <c r="AZ1019" s="6"/>
      <c r="BA1019" s="6"/>
      <c r="BB1019" s="6"/>
      <c r="BC1019" s="6"/>
      <c r="BD1019" s="6"/>
      <c r="BE1019" s="6"/>
      <c r="BF1019" s="6"/>
      <c r="BG1019" s="6"/>
      <c r="BH1019" s="6"/>
      <c r="BI1019" s="6"/>
      <c r="BJ1019" s="6"/>
      <c r="BK1019" s="6"/>
      <c r="BL1019" s="44"/>
      <c r="BM1019" s="44"/>
      <c r="BN1019" s="45"/>
      <c r="BO1019" s="45"/>
      <c r="BP1019" s="7"/>
      <c r="BQ1019" s="7" t="e">
        <f>VLOOKUP(A1019,[1]Sheet15!B:E,3,0)</f>
        <v>#N/A</v>
      </c>
    </row>
    <row r="1020" spans="1:69" ht="15.75" customHeight="1" x14ac:dyDescent="0.25">
      <c r="A1020" s="12"/>
      <c r="B1020" s="15" t="e">
        <f>VLOOKUP(A1020,'[1]Master clients'!F1018:W4565,17,0)</f>
        <v>#N/A</v>
      </c>
      <c r="C1020" s="15" t="e">
        <f>VLOOKUP(A1020,'[1]Master clients'!F1018:P4565,11,0)</f>
        <v>#N/A</v>
      </c>
      <c r="D1020" s="15" t="e">
        <f>VLOOKUP(A1020,'[1]Master clients'!F:M,8,0)</f>
        <v>#N/A</v>
      </c>
      <c r="E1020" s="12"/>
      <c r="F1020" s="6"/>
      <c r="G1020" s="6"/>
      <c r="H1020" s="6"/>
      <c r="I1020" s="43"/>
      <c r="J1020" s="43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  <c r="AD1020" s="6"/>
      <c r="AE1020" s="6"/>
      <c r="AF1020" s="6"/>
      <c r="AG1020" s="6"/>
      <c r="AH1020" s="6"/>
      <c r="AI1020" s="6"/>
      <c r="AJ1020" s="6"/>
      <c r="AK1020" s="6"/>
      <c r="AL1020" s="6"/>
      <c r="AM1020" s="6"/>
      <c r="AN1020" s="6"/>
      <c r="AO1020" s="6"/>
      <c r="AP1020" s="6"/>
      <c r="AQ1020" s="6"/>
      <c r="AR1020" s="6"/>
      <c r="AS1020" s="6"/>
      <c r="AT1020" s="6"/>
      <c r="AU1020" s="6"/>
      <c r="AV1020" s="6"/>
      <c r="AW1020" s="6"/>
      <c r="AX1020" s="6"/>
      <c r="AY1020" s="6"/>
      <c r="AZ1020" s="6"/>
      <c r="BA1020" s="6"/>
      <c r="BB1020" s="6"/>
      <c r="BC1020" s="6"/>
      <c r="BD1020" s="6"/>
      <c r="BE1020" s="6"/>
      <c r="BF1020" s="6"/>
      <c r="BG1020" s="6"/>
      <c r="BH1020" s="6"/>
      <c r="BI1020" s="6"/>
      <c r="BJ1020" s="6"/>
      <c r="BK1020" s="6"/>
      <c r="BL1020" s="44"/>
      <c r="BM1020" s="44"/>
      <c r="BN1020" s="45"/>
      <c r="BO1020" s="45"/>
      <c r="BP1020" s="7"/>
      <c r="BQ1020" s="7" t="e">
        <f>VLOOKUP(A1020,[1]Sheet15!B:E,3,0)</f>
        <v>#N/A</v>
      </c>
    </row>
    <row r="1021" spans="1:69" ht="15.75" customHeight="1" x14ac:dyDescent="0.25">
      <c r="A1021" s="12"/>
      <c r="B1021" s="15" t="e">
        <f>VLOOKUP(A1021,'[1]Master clients'!F1019:W4566,17,0)</f>
        <v>#N/A</v>
      </c>
      <c r="C1021" s="15" t="e">
        <f>VLOOKUP(A1021,'[1]Master clients'!F1019:P4566,11,0)</f>
        <v>#N/A</v>
      </c>
      <c r="D1021" s="15" t="e">
        <f>VLOOKUP(A1021,'[1]Master clients'!F:M,8,0)</f>
        <v>#N/A</v>
      </c>
      <c r="E1021" s="12"/>
      <c r="F1021" s="6"/>
      <c r="G1021" s="6"/>
      <c r="H1021" s="6"/>
      <c r="I1021" s="43"/>
      <c r="J1021" s="43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  <c r="AD1021" s="6"/>
      <c r="AE1021" s="6"/>
      <c r="AF1021" s="6"/>
      <c r="AG1021" s="6"/>
      <c r="AH1021" s="6"/>
      <c r="AI1021" s="6"/>
      <c r="AJ1021" s="6"/>
      <c r="AK1021" s="6"/>
      <c r="AL1021" s="6"/>
      <c r="AM1021" s="6"/>
      <c r="AN1021" s="6"/>
      <c r="AO1021" s="6"/>
      <c r="AP1021" s="6"/>
      <c r="AQ1021" s="6"/>
      <c r="AR1021" s="6"/>
      <c r="AS1021" s="6"/>
      <c r="AT1021" s="6"/>
      <c r="AU1021" s="6"/>
      <c r="AV1021" s="6"/>
      <c r="AW1021" s="6"/>
      <c r="AX1021" s="6"/>
      <c r="AY1021" s="6"/>
      <c r="AZ1021" s="6"/>
      <c r="BA1021" s="6"/>
      <c r="BB1021" s="6"/>
      <c r="BC1021" s="6"/>
      <c r="BD1021" s="6"/>
      <c r="BE1021" s="6"/>
      <c r="BF1021" s="6"/>
      <c r="BG1021" s="6"/>
      <c r="BH1021" s="6"/>
      <c r="BI1021" s="6"/>
      <c r="BJ1021" s="6"/>
      <c r="BK1021" s="6"/>
      <c r="BL1021" s="44"/>
      <c r="BM1021" s="44"/>
      <c r="BN1021" s="45"/>
      <c r="BO1021" s="45"/>
      <c r="BP1021" s="7"/>
      <c r="BQ1021" s="7" t="e">
        <f>VLOOKUP(A1021,[1]Sheet15!B:E,3,0)</f>
        <v>#N/A</v>
      </c>
    </row>
    <row r="1022" spans="1:69" ht="15.75" customHeight="1" x14ac:dyDescent="0.25">
      <c r="A1022" s="12"/>
      <c r="B1022" s="15" t="e">
        <f>VLOOKUP(A1022,'[1]Master clients'!F1020:W4567,17,0)</f>
        <v>#N/A</v>
      </c>
      <c r="C1022" s="15" t="e">
        <f>VLOOKUP(A1022,'[1]Master clients'!F1020:P4567,11,0)</f>
        <v>#N/A</v>
      </c>
      <c r="D1022" s="15" t="e">
        <f>VLOOKUP(A1022,'[1]Master clients'!F:M,8,0)</f>
        <v>#N/A</v>
      </c>
      <c r="E1022" s="12"/>
      <c r="F1022" s="6"/>
      <c r="G1022" s="6"/>
      <c r="H1022" s="6"/>
      <c r="I1022" s="43"/>
      <c r="J1022" s="43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  <c r="AD1022" s="6"/>
      <c r="AE1022" s="6"/>
      <c r="AF1022" s="6"/>
      <c r="AG1022" s="6"/>
      <c r="AH1022" s="6"/>
      <c r="AI1022" s="6"/>
      <c r="AJ1022" s="6"/>
      <c r="AK1022" s="6"/>
      <c r="AL1022" s="6"/>
      <c r="AM1022" s="6"/>
      <c r="AN1022" s="6"/>
      <c r="AO1022" s="6"/>
      <c r="AP1022" s="6"/>
      <c r="AQ1022" s="6"/>
      <c r="AR1022" s="6"/>
      <c r="AS1022" s="6"/>
      <c r="AT1022" s="6"/>
      <c r="AU1022" s="6"/>
      <c r="AV1022" s="6"/>
      <c r="AW1022" s="6"/>
      <c r="AX1022" s="6"/>
      <c r="AY1022" s="6"/>
      <c r="AZ1022" s="6"/>
      <c r="BA1022" s="6"/>
      <c r="BB1022" s="6"/>
      <c r="BC1022" s="6"/>
      <c r="BD1022" s="6"/>
      <c r="BE1022" s="6"/>
      <c r="BF1022" s="6"/>
      <c r="BG1022" s="6"/>
      <c r="BH1022" s="6"/>
      <c r="BI1022" s="6"/>
      <c r="BJ1022" s="6"/>
      <c r="BK1022" s="6"/>
      <c r="BL1022" s="44"/>
      <c r="BM1022" s="44"/>
      <c r="BN1022" s="45"/>
      <c r="BO1022" s="45"/>
      <c r="BP1022" s="7"/>
      <c r="BQ1022" s="7" t="e">
        <f>VLOOKUP(A1022,[1]Sheet15!B:E,3,0)</f>
        <v>#N/A</v>
      </c>
    </row>
    <row r="1023" spans="1:69" ht="15.75" customHeight="1" x14ac:dyDescent="0.25">
      <c r="A1023" s="12"/>
      <c r="B1023" s="15" t="e">
        <f>VLOOKUP(A1023,'[1]Master clients'!F1021:W4568,17,0)</f>
        <v>#N/A</v>
      </c>
      <c r="C1023" s="15" t="e">
        <f>VLOOKUP(A1023,'[1]Master clients'!F1021:P4568,11,0)</f>
        <v>#N/A</v>
      </c>
      <c r="D1023" s="15" t="e">
        <f>VLOOKUP(A1023,'[1]Master clients'!F:M,8,0)</f>
        <v>#N/A</v>
      </c>
      <c r="E1023" s="12"/>
      <c r="F1023" s="6"/>
      <c r="G1023" s="6"/>
      <c r="H1023" s="6"/>
      <c r="I1023" s="43"/>
      <c r="J1023" s="43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  <c r="AD1023" s="6"/>
      <c r="AE1023" s="6"/>
      <c r="AF1023" s="6"/>
      <c r="AG1023" s="6"/>
      <c r="AH1023" s="6"/>
      <c r="AI1023" s="6"/>
      <c r="AJ1023" s="6"/>
      <c r="AK1023" s="6"/>
      <c r="AL1023" s="6"/>
      <c r="AM1023" s="6"/>
      <c r="AN1023" s="6"/>
      <c r="AO1023" s="6"/>
      <c r="AP1023" s="6"/>
      <c r="AQ1023" s="6"/>
      <c r="AR1023" s="6"/>
      <c r="AS1023" s="6"/>
      <c r="AT1023" s="6"/>
      <c r="AU1023" s="6"/>
      <c r="AV1023" s="6"/>
      <c r="AW1023" s="6"/>
      <c r="AX1023" s="6"/>
      <c r="AY1023" s="6"/>
      <c r="AZ1023" s="6"/>
      <c r="BA1023" s="6"/>
      <c r="BB1023" s="6"/>
      <c r="BC1023" s="6"/>
      <c r="BD1023" s="6"/>
      <c r="BE1023" s="6"/>
      <c r="BF1023" s="6"/>
      <c r="BG1023" s="6"/>
      <c r="BH1023" s="6"/>
      <c r="BI1023" s="6"/>
      <c r="BJ1023" s="6"/>
      <c r="BK1023" s="6"/>
      <c r="BL1023" s="44"/>
      <c r="BM1023" s="44"/>
      <c r="BN1023" s="45"/>
      <c r="BO1023" s="45"/>
      <c r="BP1023" s="7"/>
      <c r="BQ1023" s="7" t="e">
        <f>VLOOKUP(A1023,[1]Sheet15!B:E,3,0)</f>
        <v>#N/A</v>
      </c>
    </row>
    <row r="1024" spans="1:69" ht="15.75" customHeight="1" x14ac:dyDescent="0.25">
      <c r="A1024" s="12"/>
      <c r="B1024" s="15" t="e">
        <f>VLOOKUP(A1024,'[1]Master clients'!F1022:W4569,17,0)</f>
        <v>#N/A</v>
      </c>
      <c r="C1024" s="15" t="e">
        <f>VLOOKUP(A1024,'[1]Master clients'!F1022:P4569,11,0)</f>
        <v>#N/A</v>
      </c>
      <c r="D1024" s="15" t="e">
        <f>VLOOKUP(A1024,'[1]Master clients'!F:M,8,0)</f>
        <v>#N/A</v>
      </c>
      <c r="E1024" s="12"/>
      <c r="F1024" s="6"/>
      <c r="G1024" s="6"/>
      <c r="H1024" s="6"/>
      <c r="I1024" s="43"/>
      <c r="J1024" s="43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  <c r="AD1024" s="6"/>
      <c r="AE1024" s="6"/>
      <c r="AF1024" s="6"/>
      <c r="AG1024" s="6"/>
      <c r="AH1024" s="6"/>
      <c r="AI1024" s="6"/>
      <c r="AJ1024" s="6"/>
      <c r="AK1024" s="6"/>
      <c r="AL1024" s="6"/>
      <c r="AM1024" s="6"/>
      <c r="AN1024" s="6"/>
      <c r="AO1024" s="6"/>
      <c r="AP1024" s="6"/>
      <c r="AQ1024" s="6"/>
      <c r="AR1024" s="6"/>
      <c r="AS1024" s="6"/>
      <c r="AT1024" s="6"/>
      <c r="AU1024" s="6"/>
      <c r="AV1024" s="6"/>
      <c r="AW1024" s="6"/>
      <c r="AX1024" s="6"/>
      <c r="AY1024" s="6"/>
      <c r="AZ1024" s="6"/>
      <c r="BA1024" s="6"/>
      <c r="BB1024" s="6"/>
      <c r="BC1024" s="6"/>
      <c r="BD1024" s="6"/>
      <c r="BE1024" s="6"/>
      <c r="BF1024" s="6"/>
      <c r="BG1024" s="6"/>
      <c r="BH1024" s="6"/>
      <c r="BI1024" s="6"/>
      <c r="BJ1024" s="6"/>
      <c r="BK1024" s="6"/>
      <c r="BL1024" s="44"/>
      <c r="BM1024" s="44"/>
      <c r="BN1024" s="45"/>
      <c r="BO1024" s="45"/>
      <c r="BP1024" s="7"/>
      <c r="BQ1024" s="7" t="e">
        <f>VLOOKUP(A1024,[1]Sheet15!B:E,3,0)</f>
        <v>#N/A</v>
      </c>
    </row>
    <row r="1025" spans="1:69" ht="15.75" customHeight="1" x14ac:dyDescent="0.25">
      <c r="A1025" s="12"/>
      <c r="B1025" s="15" t="e">
        <f>VLOOKUP(A1025,'[1]Master clients'!F1023:W4570,17,0)</f>
        <v>#N/A</v>
      </c>
      <c r="C1025" s="15" t="e">
        <f>VLOOKUP(A1025,'[1]Master clients'!F1023:P4570,11,0)</f>
        <v>#N/A</v>
      </c>
      <c r="D1025" s="15" t="e">
        <f>VLOOKUP(A1025,'[1]Master clients'!F:M,8,0)</f>
        <v>#N/A</v>
      </c>
      <c r="E1025" s="12"/>
      <c r="F1025" s="6"/>
      <c r="G1025" s="6"/>
      <c r="H1025" s="6"/>
      <c r="I1025" s="43"/>
      <c r="J1025" s="43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  <c r="AD1025" s="6"/>
      <c r="AE1025" s="6"/>
      <c r="AF1025" s="6"/>
      <c r="AG1025" s="6"/>
      <c r="AH1025" s="6"/>
      <c r="AI1025" s="6"/>
      <c r="AJ1025" s="6"/>
      <c r="AK1025" s="6"/>
      <c r="AL1025" s="6"/>
      <c r="AM1025" s="6"/>
      <c r="AN1025" s="6"/>
      <c r="AO1025" s="6"/>
      <c r="AP1025" s="6"/>
      <c r="AQ1025" s="6"/>
      <c r="AR1025" s="6"/>
      <c r="AS1025" s="6"/>
      <c r="AT1025" s="6"/>
      <c r="AU1025" s="6"/>
      <c r="AV1025" s="6"/>
      <c r="AW1025" s="6"/>
      <c r="AX1025" s="6"/>
      <c r="AY1025" s="6"/>
      <c r="AZ1025" s="6"/>
      <c r="BA1025" s="6"/>
      <c r="BB1025" s="6"/>
      <c r="BC1025" s="6"/>
      <c r="BD1025" s="6"/>
      <c r="BE1025" s="6"/>
      <c r="BF1025" s="6"/>
      <c r="BG1025" s="6"/>
      <c r="BH1025" s="6"/>
      <c r="BI1025" s="6"/>
      <c r="BJ1025" s="6"/>
      <c r="BK1025" s="6"/>
      <c r="BL1025" s="44"/>
      <c r="BM1025" s="44"/>
      <c r="BN1025" s="45"/>
      <c r="BO1025" s="45"/>
      <c r="BP1025" s="7"/>
      <c r="BQ1025" s="7" t="e">
        <f>VLOOKUP(A1025,[1]Sheet15!B:E,3,0)</f>
        <v>#N/A</v>
      </c>
    </row>
    <row r="1026" spans="1:69" ht="15.75" customHeight="1" x14ac:dyDescent="0.25">
      <c r="A1026" s="12"/>
      <c r="B1026" s="15" t="e">
        <f>VLOOKUP(A1026,'[1]Master clients'!F1024:W4571,17,0)</f>
        <v>#N/A</v>
      </c>
      <c r="C1026" s="15" t="e">
        <f>VLOOKUP(A1026,'[1]Master clients'!F1024:P4571,11,0)</f>
        <v>#N/A</v>
      </c>
      <c r="D1026" s="15" t="e">
        <f>VLOOKUP(A1026,'[1]Master clients'!F:M,8,0)</f>
        <v>#N/A</v>
      </c>
      <c r="E1026" s="12"/>
      <c r="F1026" s="6"/>
      <c r="G1026" s="6"/>
      <c r="H1026" s="6"/>
      <c r="I1026" s="43"/>
      <c r="J1026" s="43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  <c r="AC1026" s="6"/>
      <c r="AD1026" s="6"/>
      <c r="AE1026" s="6"/>
      <c r="AF1026" s="6"/>
      <c r="AG1026" s="6"/>
      <c r="AH1026" s="6"/>
      <c r="AI1026" s="6"/>
      <c r="AJ1026" s="6"/>
      <c r="AK1026" s="6"/>
      <c r="AL1026" s="6"/>
      <c r="AM1026" s="6"/>
      <c r="AN1026" s="6"/>
      <c r="AO1026" s="6"/>
      <c r="AP1026" s="6"/>
      <c r="AQ1026" s="6"/>
      <c r="AR1026" s="6"/>
      <c r="AS1026" s="6"/>
      <c r="AT1026" s="6"/>
      <c r="AU1026" s="6"/>
      <c r="AV1026" s="6"/>
      <c r="AW1026" s="6"/>
      <c r="AX1026" s="6"/>
      <c r="AY1026" s="6"/>
      <c r="AZ1026" s="6"/>
      <c r="BA1026" s="6"/>
      <c r="BB1026" s="6"/>
      <c r="BC1026" s="6"/>
      <c r="BD1026" s="6"/>
      <c r="BE1026" s="6"/>
      <c r="BF1026" s="6"/>
      <c r="BG1026" s="6"/>
      <c r="BH1026" s="6"/>
      <c r="BI1026" s="6"/>
      <c r="BJ1026" s="6"/>
      <c r="BK1026" s="6"/>
      <c r="BL1026" s="44"/>
      <c r="BM1026" s="44"/>
      <c r="BN1026" s="45"/>
      <c r="BO1026" s="45"/>
      <c r="BP1026" s="7"/>
      <c r="BQ1026" s="7" t="e">
        <f>VLOOKUP(A1026,[1]Sheet15!B:E,3,0)</f>
        <v>#N/A</v>
      </c>
    </row>
    <row r="1027" spans="1:69" ht="15.75" customHeight="1" x14ac:dyDescent="0.25">
      <c r="A1027" s="12"/>
      <c r="B1027" s="15" t="e">
        <f>VLOOKUP(A1027,'[1]Master clients'!F1025:W4572,17,0)</f>
        <v>#N/A</v>
      </c>
      <c r="C1027" s="15" t="e">
        <f>VLOOKUP(A1027,'[1]Master clients'!F1025:P4572,11,0)</f>
        <v>#N/A</v>
      </c>
      <c r="D1027" s="15" t="e">
        <f>VLOOKUP(A1027,'[1]Master clients'!F:M,8,0)</f>
        <v>#N/A</v>
      </c>
      <c r="E1027" s="12"/>
      <c r="F1027" s="6"/>
      <c r="G1027" s="6"/>
      <c r="H1027" s="6"/>
      <c r="I1027" s="43"/>
      <c r="J1027" s="43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  <c r="AC1027" s="6"/>
      <c r="AD1027" s="6"/>
      <c r="AE1027" s="6"/>
      <c r="AF1027" s="6"/>
      <c r="AG1027" s="6"/>
      <c r="AH1027" s="6"/>
      <c r="AI1027" s="6"/>
      <c r="AJ1027" s="6"/>
      <c r="AK1027" s="6"/>
      <c r="AL1027" s="6"/>
      <c r="AM1027" s="6"/>
      <c r="AN1027" s="6"/>
      <c r="AO1027" s="6"/>
      <c r="AP1027" s="6"/>
      <c r="AQ1027" s="6"/>
      <c r="AR1027" s="6"/>
      <c r="AS1027" s="6"/>
      <c r="AT1027" s="6"/>
      <c r="AU1027" s="6"/>
      <c r="AV1027" s="6"/>
      <c r="AW1027" s="6"/>
      <c r="AX1027" s="6"/>
      <c r="AY1027" s="6"/>
      <c r="AZ1027" s="6"/>
      <c r="BA1027" s="6"/>
      <c r="BB1027" s="6"/>
      <c r="BC1027" s="6"/>
      <c r="BD1027" s="6"/>
      <c r="BE1027" s="6"/>
      <c r="BF1027" s="6"/>
      <c r="BG1027" s="6"/>
      <c r="BH1027" s="6"/>
      <c r="BI1027" s="6"/>
      <c r="BJ1027" s="6"/>
      <c r="BK1027" s="6"/>
      <c r="BL1027" s="44"/>
      <c r="BM1027" s="44"/>
      <c r="BN1027" s="45"/>
      <c r="BO1027" s="45"/>
      <c r="BP1027" s="7"/>
      <c r="BQ1027" s="7" t="e">
        <f>VLOOKUP(A1027,[1]Sheet15!B:E,3,0)</f>
        <v>#N/A</v>
      </c>
    </row>
    <row r="1028" spans="1:69" ht="15.75" customHeight="1" x14ac:dyDescent="0.25">
      <c r="A1028" s="12"/>
      <c r="B1028" s="15" t="e">
        <f>VLOOKUP(A1028,'[1]Master clients'!F1026:W4573,17,0)</f>
        <v>#N/A</v>
      </c>
      <c r="C1028" s="15" t="e">
        <f>VLOOKUP(A1028,'[1]Master clients'!F1026:P4573,11,0)</f>
        <v>#N/A</v>
      </c>
      <c r="D1028" s="15" t="e">
        <f>VLOOKUP(A1028,'[1]Master clients'!F:M,8,0)</f>
        <v>#N/A</v>
      </c>
      <c r="E1028" s="12"/>
      <c r="F1028" s="6"/>
      <c r="G1028" s="6"/>
      <c r="H1028" s="6"/>
      <c r="I1028" s="43"/>
      <c r="J1028" s="43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  <c r="AC1028" s="6"/>
      <c r="AD1028" s="6"/>
      <c r="AE1028" s="6"/>
      <c r="AF1028" s="6"/>
      <c r="AG1028" s="6"/>
      <c r="AH1028" s="6"/>
      <c r="AI1028" s="6"/>
      <c r="AJ1028" s="6"/>
      <c r="AK1028" s="6"/>
      <c r="AL1028" s="6"/>
      <c r="AM1028" s="6"/>
      <c r="AN1028" s="6"/>
      <c r="AO1028" s="6"/>
      <c r="AP1028" s="6"/>
      <c r="AQ1028" s="6"/>
      <c r="AR1028" s="6"/>
      <c r="AS1028" s="6"/>
      <c r="AT1028" s="6"/>
      <c r="AU1028" s="6"/>
      <c r="AV1028" s="6"/>
      <c r="AW1028" s="6"/>
      <c r="AX1028" s="6"/>
      <c r="AY1028" s="6"/>
      <c r="AZ1028" s="6"/>
      <c r="BA1028" s="6"/>
      <c r="BB1028" s="6"/>
      <c r="BC1028" s="6"/>
      <c r="BD1028" s="6"/>
      <c r="BE1028" s="6"/>
      <c r="BF1028" s="6"/>
      <c r="BG1028" s="6"/>
      <c r="BH1028" s="6"/>
      <c r="BI1028" s="6"/>
      <c r="BJ1028" s="6"/>
      <c r="BK1028" s="6"/>
      <c r="BL1028" s="44"/>
      <c r="BM1028" s="44"/>
      <c r="BN1028" s="45"/>
      <c r="BO1028" s="45"/>
      <c r="BP1028" s="7"/>
      <c r="BQ1028" s="7" t="e">
        <f>VLOOKUP(A1028,[1]Sheet15!B:E,3,0)</f>
        <v>#N/A</v>
      </c>
    </row>
    <row r="1029" spans="1:69" ht="15.75" customHeight="1" x14ac:dyDescent="0.25">
      <c r="A1029" s="12"/>
      <c r="B1029" s="15" t="e">
        <f>VLOOKUP(A1029,'[1]Master clients'!F1027:W4574,17,0)</f>
        <v>#N/A</v>
      </c>
      <c r="C1029" s="15" t="e">
        <f>VLOOKUP(A1029,'[1]Master clients'!F1027:P4574,11,0)</f>
        <v>#N/A</v>
      </c>
      <c r="D1029" s="15" t="e">
        <f>VLOOKUP(A1029,'[1]Master clients'!F:M,8,0)</f>
        <v>#N/A</v>
      </c>
      <c r="E1029" s="12"/>
      <c r="F1029" s="6"/>
      <c r="G1029" s="6"/>
      <c r="H1029" s="6"/>
      <c r="I1029" s="43"/>
      <c r="J1029" s="43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  <c r="AC1029" s="6"/>
      <c r="AD1029" s="6"/>
      <c r="AE1029" s="6"/>
      <c r="AF1029" s="6"/>
      <c r="AG1029" s="6"/>
      <c r="AH1029" s="6"/>
      <c r="AI1029" s="6"/>
      <c r="AJ1029" s="6"/>
      <c r="AK1029" s="6"/>
      <c r="AL1029" s="6"/>
      <c r="AM1029" s="6"/>
      <c r="AN1029" s="6"/>
      <c r="AO1029" s="6"/>
      <c r="AP1029" s="6"/>
      <c r="AQ1029" s="6"/>
      <c r="AR1029" s="6"/>
      <c r="AS1029" s="6"/>
      <c r="AT1029" s="6"/>
      <c r="AU1029" s="6"/>
      <c r="AV1029" s="6"/>
      <c r="AW1029" s="6"/>
      <c r="AX1029" s="6"/>
      <c r="AY1029" s="6"/>
      <c r="AZ1029" s="6"/>
      <c r="BA1029" s="6"/>
      <c r="BB1029" s="6"/>
      <c r="BC1029" s="6"/>
      <c r="BD1029" s="6"/>
      <c r="BE1029" s="6"/>
      <c r="BF1029" s="6"/>
      <c r="BG1029" s="6"/>
      <c r="BH1029" s="6"/>
      <c r="BI1029" s="6"/>
      <c r="BJ1029" s="6"/>
      <c r="BK1029" s="6"/>
      <c r="BL1029" s="44"/>
      <c r="BM1029" s="44"/>
      <c r="BN1029" s="45"/>
      <c r="BO1029" s="45"/>
      <c r="BP1029" s="7"/>
      <c r="BQ1029" s="7" t="e">
        <f>VLOOKUP(A1029,[1]Sheet15!B:E,3,0)</f>
        <v>#N/A</v>
      </c>
    </row>
    <row r="1030" spans="1:69" ht="15.75" customHeight="1" x14ac:dyDescent="0.25">
      <c r="A1030" s="12"/>
      <c r="B1030" s="15" t="e">
        <f>VLOOKUP(A1030,'[1]Master clients'!F1028:W4575,17,0)</f>
        <v>#N/A</v>
      </c>
      <c r="C1030" s="15" t="e">
        <f>VLOOKUP(A1030,'[1]Master clients'!F1028:P4575,11,0)</f>
        <v>#N/A</v>
      </c>
      <c r="D1030" s="15" t="e">
        <f>VLOOKUP(A1030,'[1]Master clients'!F:M,8,0)</f>
        <v>#N/A</v>
      </c>
      <c r="E1030" s="12"/>
      <c r="F1030" s="6"/>
      <c r="G1030" s="6"/>
      <c r="H1030" s="6"/>
      <c r="I1030" s="43"/>
      <c r="J1030" s="43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  <c r="AA1030" s="6"/>
      <c r="AB1030" s="6"/>
      <c r="AC1030" s="6"/>
      <c r="AD1030" s="6"/>
      <c r="AE1030" s="6"/>
      <c r="AF1030" s="6"/>
      <c r="AG1030" s="6"/>
      <c r="AH1030" s="6"/>
      <c r="AI1030" s="6"/>
      <c r="AJ1030" s="6"/>
      <c r="AK1030" s="6"/>
      <c r="AL1030" s="6"/>
      <c r="AM1030" s="6"/>
      <c r="AN1030" s="6"/>
      <c r="AO1030" s="6"/>
      <c r="AP1030" s="6"/>
      <c r="AQ1030" s="6"/>
      <c r="AR1030" s="6"/>
      <c r="AS1030" s="6"/>
      <c r="AT1030" s="6"/>
      <c r="AU1030" s="6"/>
      <c r="AV1030" s="6"/>
      <c r="AW1030" s="6"/>
      <c r="AX1030" s="6"/>
      <c r="AY1030" s="6"/>
      <c r="AZ1030" s="6"/>
      <c r="BA1030" s="6"/>
      <c r="BB1030" s="6"/>
      <c r="BC1030" s="6"/>
      <c r="BD1030" s="6"/>
      <c r="BE1030" s="6"/>
      <c r="BF1030" s="6"/>
      <c r="BG1030" s="6"/>
      <c r="BH1030" s="6"/>
      <c r="BI1030" s="6"/>
      <c r="BJ1030" s="6"/>
      <c r="BK1030" s="6"/>
      <c r="BL1030" s="44"/>
      <c r="BM1030" s="44"/>
      <c r="BN1030" s="45"/>
      <c r="BO1030" s="45"/>
      <c r="BP1030" s="7"/>
      <c r="BQ1030" s="7" t="e">
        <f>VLOOKUP(A1030,[1]Sheet15!B:E,3,0)</f>
        <v>#N/A</v>
      </c>
    </row>
    <row r="1031" spans="1:69" ht="15.75" customHeight="1" x14ac:dyDescent="0.25">
      <c r="A1031" s="12"/>
      <c r="B1031" s="15" t="e">
        <f>VLOOKUP(A1031,'[1]Master clients'!F1029:W4576,17,0)</f>
        <v>#N/A</v>
      </c>
      <c r="C1031" s="15" t="e">
        <f>VLOOKUP(A1031,'[1]Master clients'!F1029:P4576,11,0)</f>
        <v>#N/A</v>
      </c>
      <c r="D1031" s="15" t="e">
        <f>VLOOKUP(A1031,'[1]Master clients'!F:M,8,0)</f>
        <v>#N/A</v>
      </c>
      <c r="E1031" s="12"/>
      <c r="F1031" s="6"/>
      <c r="G1031" s="6"/>
      <c r="H1031" s="6"/>
      <c r="I1031" s="43"/>
      <c r="J1031" s="43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  <c r="AC1031" s="6"/>
      <c r="AD1031" s="6"/>
      <c r="AE1031" s="6"/>
      <c r="AF1031" s="6"/>
      <c r="AG1031" s="6"/>
      <c r="AH1031" s="6"/>
      <c r="AI1031" s="6"/>
      <c r="AJ1031" s="6"/>
      <c r="AK1031" s="6"/>
      <c r="AL1031" s="6"/>
      <c r="AM1031" s="6"/>
      <c r="AN1031" s="6"/>
      <c r="AO1031" s="6"/>
      <c r="AP1031" s="6"/>
      <c r="AQ1031" s="6"/>
      <c r="AR1031" s="6"/>
      <c r="AS1031" s="6"/>
      <c r="AT1031" s="6"/>
      <c r="AU1031" s="6"/>
      <c r="AV1031" s="6"/>
      <c r="AW1031" s="6"/>
      <c r="AX1031" s="6"/>
      <c r="AY1031" s="6"/>
      <c r="AZ1031" s="6"/>
      <c r="BA1031" s="6"/>
      <c r="BB1031" s="6"/>
      <c r="BC1031" s="6"/>
      <c r="BD1031" s="6"/>
      <c r="BE1031" s="6"/>
      <c r="BF1031" s="6"/>
      <c r="BG1031" s="6"/>
      <c r="BH1031" s="6"/>
      <c r="BI1031" s="6"/>
      <c r="BJ1031" s="6"/>
      <c r="BK1031" s="6"/>
      <c r="BL1031" s="44"/>
      <c r="BM1031" s="44"/>
      <c r="BN1031" s="45"/>
      <c r="BO1031" s="45"/>
      <c r="BP1031" s="7"/>
      <c r="BQ1031" s="7" t="e">
        <f>VLOOKUP(A1031,[1]Sheet15!B:E,3,0)</f>
        <v>#N/A</v>
      </c>
    </row>
    <row r="1032" spans="1:69" ht="15.75" customHeight="1" x14ac:dyDescent="0.25">
      <c r="A1032" s="12"/>
      <c r="B1032" s="15" t="e">
        <f>VLOOKUP(A1032,'[1]Master clients'!F1030:W4577,17,0)</f>
        <v>#N/A</v>
      </c>
      <c r="C1032" s="15" t="e">
        <f>VLOOKUP(A1032,'[1]Master clients'!F1030:P4577,11,0)</f>
        <v>#N/A</v>
      </c>
      <c r="D1032" s="15" t="e">
        <f>VLOOKUP(A1032,'[1]Master clients'!F:M,8,0)</f>
        <v>#N/A</v>
      </c>
      <c r="E1032" s="12"/>
      <c r="F1032" s="6"/>
      <c r="G1032" s="6"/>
      <c r="H1032" s="6"/>
      <c r="I1032" s="43"/>
      <c r="J1032" s="43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  <c r="AC1032" s="6"/>
      <c r="AD1032" s="6"/>
      <c r="AE1032" s="6"/>
      <c r="AF1032" s="6"/>
      <c r="AG1032" s="6"/>
      <c r="AH1032" s="6"/>
      <c r="AI1032" s="6"/>
      <c r="AJ1032" s="6"/>
      <c r="AK1032" s="6"/>
      <c r="AL1032" s="6"/>
      <c r="AM1032" s="6"/>
      <c r="AN1032" s="6"/>
      <c r="AO1032" s="6"/>
      <c r="AP1032" s="6"/>
      <c r="AQ1032" s="6"/>
      <c r="AR1032" s="6"/>
      <c r="AS1032" s="6"/>
      <c r="AT1032" s="6"/>
      <c r="AU1032" s="6"/>
      <c r="AV1032" s="6"/>
      <c r="AW1032" s="6"/>
      <c r="AX1032" s="6"/>
      <c r="AY1032" s="6"/>
      <c r="AZ1032" s="6"/>
      <c r="BA1032" s="6"/>
      <c r="BB1032" s="6"/>
      <c r="BC1032" s="6"/>
      <c r="BD1032" s="6"/>
      <c r="BE1032" s="6"/>
      <c r="BF1032" s="6"/>
      <c r="BG1032" s="6"/>
      <c r="BH1032" s="6"/>
      <c r="BI1032" s="6"/>
      <c r="BJ1032" s="6"/>
      <c r="BK1032" s="6"/>
      <c r="BL1032" s="44"/>
      <c r="BM1032" s="44"/>
      <c r="BN1032" s="45"/>
      <c r="BO1032" s="45"/>
      <c r="BP1032" s="7"/>
      <c r="BQ1032" s="7" t="e">
        <f>VLOOKUP(A1032,[1]Sheet15!B:E,3,0)</f>
        <v>#N/A</v>
      </c>
    </row>
    <row r="1033" spans="1:69" ht="15.75" customHeight="1" x14ac:dyDescent="0.25">
      <c r="A1033" s="12"/>
      <c r="B1033" s="15" t="e">
        <f>VLOOKUP(A1033,'[1]Master clients'!F1031:W4578,17,0)</f>
        <v>#N/A</v>
      </c>
      <c r="C1033" s="15" t="e">
        <f>VLOOKUP(A1033,'[1]Master clients'!F1031:P4578,11,0)</f>
        <v>#N/A</v>
      </c>
      <c r="D1033" s="15" t="e">
        <f>VLOOKUP(A1033,'[1]Master clients'!F:M,8,0)</f>
        <v>#N/A</v>
      </c>
      <c r="E1033" s="12"/>
      <c r="F1033" s="6"/>
      <c r="G1033" s="6"/>
      <c r="H1033" s="6"/>
      <c r="I1033" s="43"/>
      <c r="J1033" s="43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  <c r="AC1033" s="6"/>
      <c r="AD1033" s="6"/>
      <c r="AE1033" s="6"/>
      <c r="AF1033" s="6"/>
      <c r="AG1033" s="6"/>
      <c r="AH1033" s="6"/>
      <c r="AI1033" s="6"/>
      <c r="AJ1033" s="6"/>
      <c r="AK1033" s="6"/>
      <c r="AL1033" s="6"/>
      <c r="AM1033" s="6"/>
      <c r="AN1033" s="6"/>
      <c r="AO1033" s="6"/>
      <c r="AP1033" s="6"/>
      <c r="AQ1033" s="6"/>
      <c r="AR1033" s="6"/>
      <c r="AS1033" s="6"/>
      <c r="AT1033" s="6"/>
      <c r="AU1033" s="6"/>
      <c r="AV1033" s="6"/>
      <c r="AW1033" s="6"/>
      <c r="AX1033" s="6"/>
      <c r="AY1033" s="6"/>
      <c r="AZ1033" s="6"/>
      <c r="BA1033" s="6"/>
      <c r="BB1033" s="6"/>
      <c r="BC1033" s="6"/>
      <c r="BD1033" s="6"/>
      <c r="BE1033" s="6"/>
      <c r="BF1033" s="6"/>
      <c r="BG1033" s="6"/>
      <c r="BH1033" s="6"/>
      <c r="BI1033" s="6"/>
      <c r="BJ1033" s="6"/>
      <c r="BK1033" s="6"/>
      <c r="BL1033" s="44"/>
      <c r="BM1033" s="44"/>
      <c r="BN1033" s="45"/>
      <c r="BO1033" s="45"/>
      <c r="BP1033" s="7"/>
      <c r="BQ1033" s="7" t="e">
        <f>VLOOKUP(A1033,[1]Sheet15!B:E,3,0)</f>
        <v>#N/A</v>
      </c>
    </row>
    <row r="1034" spans="1:69" ht="15.75" customHeight="1" x14ac:dyDescent="0.25">
      <c r="A1034" s="12"/>
      <c r="B1034" s="15" t="e">
        <f>VLOOKUP(A1034,'[1]Master clients'!F1032:W4579,17,0)</f>
        <v>#N/A</v>
      </c>
      <c r="C1034" s="15" t="e">
        <f>VLOOKUP(A1034,'[1]Master clients'!F1032:P4579,11,0)</f>
        <v>#N/A</v>
      </c>
      <c r="D1034" s="15" t="e">
        <f>VLOOKUP(A1034,'[1]Master clients'!F:M,8,0)</f>
        <v>#N/A</v>
      </c>
      <c r="E1034" s="12"/>
      <c r="F1034" s="6"/>
      <c r="G1034" s="6"/>
      <c r="H1034" s="6"/>
      <c r="I1034" s="43"/>
      <c r="J1034" s="43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  <c r="AC1034" s="6"/>
      <c r="AD1034" s="6"/>
      <c r="AE1034" s="6"/>
      <c r="AF1034" s="6"/>
      <c r="AG1034" s="6"/>
      <c r="AH1034" s="6"/>
      <c r="AI1034" s="6"/>
      <c r="AJ1034" s="6"/>
      <c r="AK1034" s="6"/>
      <c r="AL1034" s="6"/>
      <c r="AM1034" s="6"/>
      <c r="AN1034" s="6"/>
      <c r="AO1034" s="6"/>
      <c r="AP1034" s="6"/>
      <c r="AQ1034" s="6"/>
      <c r="AR1034" s="6"/>
      <c r="AS1034" s="6"/>
      <c r="AT1034" s="6"/>
      <c r="AU1034" s="6"/>
      <c r="AV1034" s="6"/>
      <c r="AW1034" s="6"/>
      <c r="AX1034" s="6"/>
      <c r="AY1034" s="6"/>
      <c r="AZ1034" s="6"/>
      <c r="BA1034" s="6"/>
      <c r="BB1034" s="6"/>
      <c r="BC1034" s="6"/>
      <c r="BD1034" s="6"/>
      <c r="BE1034" s="6"/>
      <c r="BF1034" s="6"/>
      <c r="BG1034" s="6"/>
      <c r="BH1034" s="6"/>
      <c r="BI1034" s="6"/>
      <c r="BJ1034" s="6"/>
      <c r="BK1034" s="6"/>
      <c r="BL1034" s="44"/>
      <c r="BM1034" s="44"/>
      <c r="BN1034" s="45"/>
      <c r="BO1034" s="45"/>
      <c r="BP1034" s="7"/>
      <c r="BQ1034" s="7" t="e">
        <f>VLOOKUP(A1034,[1]Sheet15!B:E,3,0)</f>
        <v>#N/A</v>
      </c>
    </row>
    <row r="1035" spans="1:69" ht="15.75" customHeight="1" x14ac:dyDescent="0.25">
      <c r="A1035" s="12"/>
      <c r="B1035" s="15" t="e">
        <f>VLOOKUP(A1035,'[1]Master clients'!F1033:W4580,17,0)</f>
        <v>#N/A</v>
      </c>
      <c r="C1035" s="15" t="e">
        <f>VLOOKUP(A1035,'[1]Master clients'!F1033:P4580,11,0)</f>
        <v>#N/A</v>
      </c>
      <c r="D1035" s="15" t="e">
        <f>VLOOKUP(A1035,'[1]Master clients'!F:M,8,0)</f>
        <v>#N/A</v>
      </c>
      <c r="E1035" s="12"/>
      <c r="F1035" s="6"/>
      <c r="G1035" s="6"/>
      <c r="H1035" s="6"/>
      <c r="I1035" s="43"/>
      <c r="J1035" s="43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  <c r="AA1035" s="6"/>
      <c r="AB1035" s="6"/>
      <c r="AC1035" s="6"/>
      <c r="AD1035" s="6"/>
      <c r="AE1035" s="6"/>
      <c r="AF1035" s="6"/>
      <c r="AG1035" s="6"/>
      <c r="AH1035" s="6"/>
      <c r="AI1035" s="6"/>
      <c r="AJ1035" s="6"/>
      <c r="AK1035" s="6"/>
      <c r="AL1035" s="6"/>
      <c r="AM1035" s="6"/>
      <c r="AN1035" s="6"/>
      <c r="AO1035" s="6"/>
      <c r="AP1035" s="6"/>
      <c r="AQ1035" s="6"/>
      <c r="AR1035" s="6"/>
      <c r="AS1035" s="6"/>
      <c r="AT1035" s="6"/>
      <c r="AU1035" s="6"/>
      <c r="AV1035" s="6"/>
      <c r="AW1035" s="6"/>
      <c r="AX1035" s="6"/>
      <c r="AY1035" s="6"/>
      <c r="AZ1035" s="6"/>
      <c r="BA1035" s="6"/>
      <c r="BB1035" s="6"/>
      <c r="BC1035" s="6"/>
      <c r="BD1035" s="6"/>
      <c r="BE1035" s="6"/>
      <c r="BF1035" s="6"/>
      <c r="BG1035" s="6"/>
      <c r="BH1035" s="6"/>
      <c r="BI1035" s="6"/>
      <c r="BJ1035" s="6"/>
      <c r="BK1035" s="6"/>
      <c r="BL1035" s="44"/>
      <c r="BM1035" s="44"/>
      <c r="BN1035" s="45"/>
      <c r="BO1035" s="45"/>
      <c r="BP1035" s="7"/>
      <c r="BQ1035" s="7" t="e">
        <f>VLOOKUP(A1035,[1]Sheet15!B:E,3,0)</f>
        <v>#N/A</v>
      </c>
    </row>
    <row r="1036" spans="1:69" ht="15.75" customHeight="1" x14ac:dyDescent="0.25">
      <c r="A1036" s="12"/>
      <c r="B1036" s="15" t="e">
        <f>VLOOKUP(A1036,'[1]Master clients'!F1034:W4581,17,0)</f>
        <v>#N/A</v>
      </c>
      <c r="C1036" s="15" t="e">
        <f>VLOOKUP(A1036,'[1]Master clients'!F1034:P4581,11,0)</f>
        <v>#N/A</v>
      </c>
      <c r="D1036" s="15" t="e">
        <f>VLOOKUP(A1036,'[1]Master clients'!F:M,8,0)</f>
        <v>#N/A</v>
      </c>
      <c r="E1036" s="12"/>
      <c r="F1036" s="6"/>
      <c r="G1036" s="6"/>
      <c r="H1036" s="6"/>
      <c r="I1036" s="43"/>
      <c r="J1036" s="43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  <c r="AC1036" s="6"/>
      <c r="AD1036" s="6"/>
      <c r="AE1036" s="6"/>
      <c r="AF1036" s="6"/>
      <c r="AG1036" s="6"/>
      <c r="AH1036" s="6"/>
      <c r="AI1036" s="6"/>
      <c r="AJ1036" s="6"/>
      <c r="AK1036" s="6"/>
      <c r="AL1036" s="6"/>
      <c r="AM1036" s="6"/>
      <c r="AN1036" s="6"/>
      <c r="AO1036" s="6"/>
      <c r="AP1036" s="6"/>
      <c r="AQ1036" s="6"/>
      <c r="AR1036" s="6"/>
      <c r="AS1036" s="6"/>
      <c r="AT1036" s="6"/>
      <c r="AU1036" s="6"/>
      <c r="AV1036" s="6"/>
      <c r="AW1036" s="6"/>
      <c r="AX1036" s="6"/>
      <c r="AY1036" s="6"/>
      <c r="AZ1036" s="6"/>
      <c r="BA1036" s="6"/>
      <c r="BB1036" s="6"/>
      <c r="BC1036" s="6"/>
      <c r="BD1036" s="6"/>
      <c r="BE1036" s="6"/>
      <c r="BF1036" s="6"/>
      <c r="BG1036" s="6"/>
      <c r="BH1036" s="6"/>
      <c r="BI1036" s="6"/>
      <c r="BJ1036" s="6"/>
      <c r="BK1036" s="6"/>
      <c r="BL1036" s="44"/>
      <c r="BM1036" s="44"/>
      <c r="BN1036" s="45"/>
      <c r="BO1036" s="45"/>
      <c r="BP1036" s="7"/>
      <c r="BQ1036" s="7" t="e">
        <f>VLOOKUP(A1036,[1]Sheet15!B:E,3,0)</f>
        <v>#N/A</v>
      </c>
    </row>
    <row r="1037" spans="1:69" ht="15.75" customHeight="1" x14ac:dyDescent="0.25">
      <c r="A1037" s="12"/>
      <c r="B1037" s="15" t="e">
        <f>VLOOKUP(A1037,'[1]Master clients'!F1035:W4582,17,0)</f>
        <v>#N/A</v>
      </c>
      <c r="C1037" s="15" t="e">
        <f>VLOOKUP(A1037,'[1]Master clients'!F1035:P4582,11,0)</f>
        <v>#N/A</v>
      </c>
      <c r="D1037" s="15" t="e">
        <f>VLOOKUP(A1037,'[1]Master clients'!F:M,8,0)</f>
        <v>#N/A</v>
      </c>
      <c r="E1037" s="12"/>
      <c r="F1037" s="6"/>
      <c r="G1037" s="6"/>
      <c r="H1037" s="6"/>
      <c r="I1037" s="43"/>
      <c r="J1037" s="43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  <c r="AA1037" s="6"/>
      <c r="AB1037" s="6"/>
      <c r="AC1037" s="6"/>
      <c r="AD1037" s="6"/>
      <c r="AE1037" s="6"/>
      <c r="AF1037" s="6"/>
      <c r="AG1037" s="6"/>
      <c r="AH1037" s="6"/>
      <c r="AI1037" s="6"/>
      <c r="AJ1037" s="6"/>
      <c r="AK1037" s="6"/>
      <c r="AL1037" s="6"/>
      <c r="AM1037" s="6"/>
      <c r="AN1037" s="6"/>
      <c r="AO1037" s="6"/>
      <c r="AP1037" s="6"/>
      <c r="AQ1037" s="6"/>
      <c r="AR1037" s="6"/>
      <c r="AS1037" s="6"/>
      <c r="AT1037" s="6"/>
      <c r="AU1037" s="6"/>
      <c r="AV1037" s="6"/>
      <c r="AW1037" s="6"/>
      <c r="AX1037" s="6"/>
      <c r="AY1037" s="6"/>
      <c r="AZ1037" s="6"/>
      <c r="BA1037" s="6"/>
      <c r="BB1037" s="6"/>
      <c r="BC1037" s="6"/>
      <c r="BD1037" s="6"/>
      <c r="BE1037" s="6"/>
      <c r="BF1037" s="6"/>
      <c r="BG1037" s="6"/>
      <c r="BH1037" s="6"/>
      <c r="BI1037" s="6"/>
      <c r="BJ1037" s="6"/>
      <c r="BK1037" s="6"/>
      <c r="BL1037" s="44"/>
      <c r="BM1037" s="44"/>
      <c r="BN1037" s="45"/>
      <c r="BO1037" s="45"/>
      <c r="BP1037" s="7"/>
      <c r="BQ1037" s="7" t="e">
        <f>VLOOKUP(A1037,[1]Sheet15!B:E,3,0)</f>
        <v>#N/A</v>
      </c>
    </row>
    <row r="1038" spans="1:69" ht="15.75" customHeight="1" x14ac:dyDescent="0.25">
      <c r="A1038" s="12"/>
      <c r="B1038" s="15" t="e">
        <f>VLOOKUP(A1038,'[1]Master clients'!F1036:W4583,17,0)</f>
        <v>#N/A</v>
      </c>
      <c r="C1038" s="15" t="e">
        <f>VLOOKUP(A1038,'[1]Master clients'!F1036:P4583,11,0)</f>
        <v>#N/A</v>
      </c>
      <c r="D1038" s="15" t="e">
        <f>VLOOKUP(A1038,'[1]Master clients'!F:M,8,0)</f>
        <v>#N/A</v>
      </c>
      <c r="E1038" s="12"/>
      <c r="F1038" s="6"/>
      <c r="G1038" s="6"/>
      <c r="H1038" s="6"/>
      <c r="I1038" s="43"/>
      <c r="J1038" s="43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  <c r="AA1038" s="6"/>
      <c r="AB1038" s="6"/>
      <c r="AC1038" s="6"/>
      <c r="AD1038" s="6"/>
      <c r="AE1038" s="6"/>
      <c r="AF1038" s="6"/>
      <c r="AG1038" s="6"/>
      <c r="AH1038" s="6"/>
      <c r="AI1038" s="6"/>
      <c r="AJ1038" s="6"/>
      <c r="AK1038" s="6"/>
      <c r="AL1038" s="6"/>
      <c r="AM1038" s="6"/>
      <c r="AN1038" s="6"/>
      <c r="AO1038" s="6"/>
      <c r="AP1038" s="6"/>
      <c r="AQ1038" s="6"/>
      <c r="AR1038" s="6"/>
      <c r="AS1038" s="6"/>
      <c r="AT1038" s="6"/>
      <c r="AU1038" s="6"/>
      <c r="AV1038" s="6"/>
      <c r="AW1038" s="6"/>
      <c r="AX1038" s="6"/>
      <c r="AY1038" s="6"/>
      <c r="AZ1038" s="6"/>
      <c r="BA1038" s="6"/>
      <c r="BB1038" s="6"/>
      <c r="BC1038" s="6"/>
      <c r="BD1038" s="6"/>
      <c r="BE1038" s="6"/>
      <c r="BF1038" s="6"/>
      <c r="BG1038" s="6"/>
      <c r="BH1038" s="6"/>
      <c r="BI1038" s="6"/>
      <c r="BJ1038" s="6"/>
      <c r="BK1038" s="6"/>
      <c r="BL1038" s="44"/>
      <c r="BM1038" s="44"/>
      <c r="BN1038" s="45"/>
      <c r="BO1038" s="45"/>
      <c r="BP1038" s="7"/>
      <c r="BQ1038" s="7" t="e">
        <f>VLOOKUP(A1038,[1]Sheet15!B:E,3,0)</f>
        <v>#N/A</v>
      </c>
    </row>
    <row r="1039" spans="1:69" ht="15.75" customHeight="1" x14ac:dyDescent="0.25">
      <c r="A1039" s="12"/>
      <c r="B1039" s="15" t="e">
        <f>VLOOKUP(A1039,'[1]Master clients'!F1037:W4584,17,0)</f>
        <v>#N/A</v>
      </c>
      <c r="C1039" s="15" t="e">
        <f>VLOOKUP(A1039,'[1]Master clients'!F1037:P4584,11,0)</f>
        <v>#N/A</v>
      </c>
      <c r="D1039" s="15" t="e">
        <f>VLOOKUP(A1039,'[1]Master clients'!F:M,8,0)</f>
        <v>#N/A</v>
      </c>
      <c r="E1039" s="12"/>
      <c r="F1039" s="6"/>
      <c r="G1039" s="6"/>
      <c r="H1039" s="6"/>
      <c r="I1039" s="43"/>
      <c r="J1039" s="43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  <c r="AA1039" s="6"/>
      <c r="AB1039" s="6"/>
      <c r="AC1039" s="6"/>
      <c r="AD1039" s="6"/>
      <c r="AE1039" s="6"/>
      <c r="AF1039" s="6"/>
      <c r="AG1039" s="6"/>
      <c r="AH1039" s="6"/>
      <c r="AI1039" s="6"/>
      <c r="AJ1039" s="6"/>
      <c r="AK1039" s="6"/>
      <c r="AL1039" s="6"/>
      <c r="AM1039" s="6"/>
      <c r="AN1039" s="6"/>
      <c r="AO1039" s="6"/>
      <c r="AP1039" s="6"/>
      <c r="AQ1039" s="6"/>
      <c r="AR1039" s="6"/>
      <c r="AS1039" s="6"/>
      <c r="AT1039" s="6"/>
      <c r="AU1039" s="6"/>
      <c r="AV1039" s="6"/>
      <c r="AW1039" s="6"/>
      <c r="AX1039" s="6"/>
      <c r="AY1039" s="6"/>
      <c r="AZ1039" s="6"/>
      <c r="BA1039" s="6"/>
      <c r="BB1039" s="6"/>
      <c r="BC1039" s="6"/>
      <c r="BD1039" s="6"/>
      <c r="BE1039" s="6"/>
      <c r="BF1039" s="6"/>
      <c r="BG1039" s="6"/>
      <c r="BH1039" s="6"/>
      <c r="BI1039" s="6"/>
      <c r="BJ1039" s="6"/>
      <c r="BK1039" s="6"/>
      <c r="BL1039" s="44"/>
      <c r="BM1039" s="44"/>
      <c r="BN1039" s="45"/>
      <c r="BO1039" s="45"/>
      <c r="BP1039" s="7"/>
      <c r="BQ1039" s="7" t="e">
        <f>VLOOKUP(A1039,[1]Sheet15!B:E,3,0)</f>
        <v>#N/A</v>
      </c>
    </row>
    <row r="1040" spans="1:69" ht="15.75" customHeight="1" x14ac:dyDescent="0.25">
      <c r="A1040" s="12"/>
      <c r="B1040" s="15" t="e">
        <f>VLOOKUP(A1040,'[1]Master clients'!F1038:W4585,17,0)</f>
        <v>#N/A</v>
      </c>
      <c r="C1040" s="15" t="e">
        <f>VLOOKUP(A1040,'[1]Master clients'!F1038:P4585,11,0)</f>
        <v>#N/A</v>
      </c>
      <c r="D1040" s="15" t="e">
        <f>VLOOKUP(A1040,'[1]Master clients'!F:M,8,0)</f>
        <v>#N/A</v>
      </c>
      <c r="E1040" s="12"/>
      <c r="F1040" s="6"/>
      <c r="G1040" s="6"/>
      <c r="H1040" s="6"/>
      <c r="I1040" s="43"/>
      <c r="J1040" s="43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  <c r="AA1040" s="6"/>
      <c r="AB1040" s="6"/>
      <c r="AC1040" s="6"/>
      <c r="AD1040" s="6"/>
      <c r="AE1040" s="6"/>
      <c r="AF1040" s="6"/>
      <c r="AG1040" s="6"/>
      <c r="AH1040" s="6"/>
      <c r="AI1040" s="6"/>
      <c r="AJ1040" s="6"/>
      <c r="AK1040" s="6"/>
      <c r="AL1040" s="6"/>
      <c r="AM1040" s="6"/>
      <c r="AN1040" s="6"/>
      <c r="AO1040" s="6"/>
      <c r="AP1040" s="6"/>
      <c r="AQ1040" s="6"/>
      <c r="AR1040" s="6"/>
      <c r="AS1040" s="6"/>
      <c r="AT1040" s="6"/>
      <c r="AU1040" s="6"/>
      <c r="AV1040" s="6"/>
      <c r="AW1040" s="6"/>
      <c r="AX1040" s="6"/>
      <c r="AY1040" s="6"/>
      <c r="AZ1040" s="6"/>
      <c r="BA1040" s="6"/>
      <c r="BB1040" s="6"/>
      <c r="BC1040" s="6"/>
      <c r="BD1040" s="6"/>
      <c r="BE1040" s="6"/>
      <c r="BF1040" s="6"/>
      <c r="BG1040" s="6"/>
      <c r="BH1040" s="6"/>
      <c r="BI1040" s="6"/>
      <c r="BJ1040" s="6"/>
      <c r="BK1040" s="6"/>
      <c r="BL1040" s="44"/>
      <c r="BM1040" s="44"/>
      <c r="BN1040" s="45"/>
      <c r="BO1040" s="45"/>
      <c r="BP1040" s="7"/>
      <c r="BQ1040" s="7" t="e">
        <f>VLOOKUP(A1040,[1]Sheet15!B:E,3,0)</f>
        <v>#N/A</v>
      </c>
    </row>
    <row r="1041" spans="1:69" ht="15.75" customHeight="1" x14ac:dyDescent="0.25">
      <c r="A1041" s="12"/>
      <c r="B1041" s="15" t="e">
        <f>VLOOKUP(A1041,'[1]Master clients'!F1039:W4586,17,0)</f>
        <v>#N/A</v>
      </c>
      <c r="C1041" s="15" t="e">
        <f>VLOOKUP(A1041,'[1]Master clients'!F1039:P4586,11,0)</f>
        <v>#N/A</v>
      </c>
      <c r="D1041" s="15" t="e">
        <f>VLOOKUP(A1041,'[1]Master clients'!F:M,8,0)</f>
        <v>#N/A</v>
      </c>
      <c r="E1041" s="12"/>
      <c r="F1041" s="6"/>
      <c r="G1041" s="6"/>
      <c r="H1041" s="6"/>
      <c r="I1041" s="43"/>
      <c r="J1041" s="43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  <c r="AA1041" s="6"/>
      <c r="AB1041" s="6"/>
      <c r="AC1041" s="6"/>
      <c r="AD1041" s="6"/>
      <c r="AE1041" s="6"/>
      <c r="AF1041" s="6"/>
      <c r="AG1041" s="6"/>
      <c r="AH1041" s="6"/>
      <c r="AI1041" s="6"/>
      <c r="AJ1041" s="6"/>
      <c r="AK1041" s="6"/>
      <c r="AL1041" s="6"/>
      <c r="AM1041" s="6"/>
      <c r="AN1041" s="6"/>
      <c r="AO1041" s="6"/>
      <c r="AP1041" s="6"/>
      <c r="AQ1041" s="6"/>
      <c r="AR1041" s="6"/>
      <c r="AS1041" s="6"/>
      <c r="AT1041" s="6"/>
      <c r="AU1041" s="6"/>
      <c r="AV1041" s="6"/>
      <c r="AW1041" s="6"/>
      <c r="AX1041" s="6"/>
      <c r="AY1041" s="6"/>
      <c r="AZ1041" s="6"/>
      <c r="BA1041" s="6"/>
      <c r="BB1041" s="6"/>
      <c r="BC1041" s="6"/>
      <c r="BD1041" s="6"/>
      <c r="BE1041" s="6"/>
      <c r="BF1041" s="6"/>
      <c r="BG1041" s="6"/>
      <c r="BH1041" s="6"/>
      <c r="BI1041" s="6"/>
      <c r="BJ1041" s="6"/>
      <c r="BK1041" s="6"/>
      <c r="BL1041" s="44"/>
      <c r="BM1041" s="44"/>
      <c r="BN1041" s="45"/>
      <c r="BO1041" s="45"/>
      <c r="BP1041" s="7"/>
      <c r="BQ1041" s="7" t="e">
        <f>VLOOKUP(A1041,[1]Sheet15!B:E,3,0)</f>
        <v>#N/A</v>
      </c>
    </row>
    <row r="1042" spans="1:69" ht="15.75" customHeight="1" x14ac:dyDescent="0.25">
      <c r="A1042" s="12"/>
      <c r="B1042" s="15" t="e">
        <f>VLOOKUP(A1042,'[1]Master clients'!F1040:W4587,17,0)</f>
        <v>#N/A</v>
      </c>
      <c r="C1042" s="15" t="e">
        <f>VLOOKUP(A1042,'[1]Master clients'!F1040:P4587,11,0)</f>
        <v>#N/A</v>
      </c>
      <c r="D1042" s="15" t="e">
        <f>VLOOKUP(A1042,'[1]Master clients'!F:M,8,0)</f>
        <v>#N/A</v>
      </c>
      <c r="E1042" s="12"/>
      <c r="F1042" s="6"/>
      <c r="G1042" s="6"/>
      <c r="H1042" s="6"/>
      <c r="I1042" s="43"/>
      <c r="J1042" s="43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  <c r="AA1042" s="6"/>
      <c r="AB1042" s="6"/>
      <c r="AC1042" s="6"/>
      <c r="AD1042" s="6"/>
      <c r="AE1042" s="6"/>
      <c r="AF1042" s="6"/>
      <c r="AG1042" s="6"/>
      <c r="AH1042" s="6"/>
      <c r="AI1042" s="6"/>
      <c r="AJ1042" s="6"/>
      <c r="AK1042" s="6"/>
      <c r="AL1042" s="6"/>
      <c r="AM1042" s="6"/>
      <c r="AN1042" s="6"/>
      <c r="AO1042" s="6"/>
      <c r="AP1042" s="6"/>
      <c r="AQ1042" s="6"/>
      <c r="AR1042" s="6"/>
      <c r="AS1042" s="6"/>
      <c r="AT1042" s="6"/>
      <c r="AU1042" s="6"/>
      <c r="AV1042" s="6"/>
      <c r="AW1042" s="6"/>
      <c r="AX1042" s="6"/>
      <c r="AY1042" s="6"/>
      <c r="AZ1042" s="6"/>
      <c r="BA1042" s="6"/>
      <c r="BB1042" s="6"/>
      <c r="BC1042" s="6"/>
      <c r="BD1042" s="6"/>
      <c r="BE1042" s="6"/>
      <c r="BF1042" s="6"/>
      <c r="BG1042" s="6"/>
      <c r="BH1042" s="6"/>
      <c r="BI1042" s="6"/>
      <c r="BJ1042" s="6"/>
      <c r="BK1042" s="6"/>
      <c r="BL1042" s="44"/>
      <c r="BM1042" s="44"/>
      <c r="BN1042" s="45"/>
      <c r="BO1042" s="45"/>
      <c r="BP1042" s="7"/>
      <c r="BQ1042" s="7" t="e">
        <f>VLOOKUP(A1042,[1]Sheet15!B:E,3,0)</f>
        <v>#N/A</v>
      </c>
    </row>
    <row r="1043" spans="1:69" ht="15.75" customHeight="1" x14ac:dyDescent="0.25">
      <c r="A1043" s="12"/>
      <c r="B1043" s="15" t="e">
        <f>VLOOKUP(A1043,'[1]Master clients'!F1041:W4588,17,0)</f>
        <v>#N/A</v>
      </c>
      <c r="C1043" s="15" t="e">
        <f>VLOOKUP(A1043,'[1]Master clients'!F1041:P4588,11,0)</f>
        <v>#N/A</v>
      </c>
      <c r="D1043" s="15" t="e">
        <f>VLOOKUP(A1043,'[1]Master clients'!F:M,8,0)</f>
        <v>#N/A</v>
      </c>
      <c r="E1043" s="12"/>
      <c r="F1043" s="6"/>
      <c r="G1043" s="6"/>
      <c r="H1043" s="6"/>
      <c r="I1043" s="43"/>
      <c r="J1043" s="43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  <c r="AA1043" s="6"/>
      <c r="AB1043" s="6"/>
      <c r="AC1043" s="6"/>
      <c r="AD1043" s="6"/>
      <c r="AE1043" s="6"/>
      <c r="AF1043" s="6"/>
      <c r="AG1043" s="6"/>
      <c r="AH1043" s="6"/>
      <c r="AI1043" s="6"/>
      <c r="AJ1043" s="6"/>
      <c r="AK1043" s="6"/>
      <c r="AL1043" s="6"/>
      <c r="AM1043" s="6"/>
      <c r="AN1043" s="6"/>
      <c r="AO1043" s="6"/>
      <c r="AP1043" s="6"/>
      <c r="AQ1043" s="6"/>
      <c r="AR1043" s="6"/>
      <c r="AS1043" s="6"/>
      <c r="AT1043" s="6"/>
      <c r="AU1043" s="6"/>
      <c r="AV1043" s="6"/>
      <c r="AW1043" s="6"/>
      <c r="AX1043" s="6"/>
      <c r="AY1043" s="6"/>
      <c r="AZ1043" s="6"/>
      <c r="BA1043" s="6"/>
      <c r="BB1043" s="6"/>
      <c r="BC1043" s="6"/>
      <c r="BD1043" s="6"/>
      <c r="BE1043" s="6"/>
      <c r="BF1043" s="6"/>
      <c r="BG1043" s="6"/>
      <c r="BH1043" s="6"/>
      <c r="BI1043" s="6"/>
      <c r="BJ1043" s="6"/>
      <c r="BK1043" s="6"/>
      <c r="BL1043" s="44"/>
      <c r="BM1043" s="44"/>
      <c r="BN1043" s="45"/>
      <c r="BO1043" s="45"/>
      <c r="BP1043" s="7"/>
      <c r="BQ1043" s="7" t="e">
        <f>VLOOKUP(A1043,[1]Sheet15!B:E,3,0)</f>
        <v>#N/A</v>
      </c>
    </row>
    <row r="1044" spans="1:69" ht="15.75" customHeight="1" x14ac:dyDescent="0.25">
      <c r="A1044" s="12"/>
      <c r="B1044" s="15" t="e">
        <f>VLOOKUP(A1044,'[1]Master clients'!F1042:W4589,17,0)</f>
        <v>#N/A</v>
      </c>
      <c r="C1044" s="15" t="e">
        <f>VLOOKUP(A1044,'[1]Master clients'!F1042:P4589,11,0)</f>
        <v>#N/A</v>
      </c>
      <c r="D1044" s="15" t="e">
        <f>VLOOKUP(A1044,'[1]Master clients'!F:M,8,0)</f>
        <v>#N/A</v>
      </c>
      <c r="E1044" s="12"/>
      <c r="F1044" s="6"/>
      <c r="G1044" s="6"/>
      <c r="H1044" s="6"/>
      <c r="I1044" s="43"/>
      <c r="J1044" s="43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  <c r="AA1044" s="6"/>
      <c r="AB1044" s="6"/>
      <c r="AC1044" s="6"/>
      <c r="AD1044" s="6"/>
      <c r="AE1044" s="6"/>
      <c r="AF1044" s="6"/>
      <c r="AG1044" s="6"/>
      <c r="AH1044" s="6"/>
      <c r="AI1044" s="6"/>
      <c r="AJ1044" s="6"/>
      <c r="AK1044" s="6"/>
      <c r="AL1044" s="6"/>
      <c r="AM1044" s="6"/>
      <c r="AN1044" s="6"/>
      <c r="AO1044" s="6"/>
      <c r="AP1044" s="6"/>
      <c r="AQ1044" s="6"/>
      <c r="AR1044" s="6"/>
      <c r="AS1044" s="6"/>
      <c r="AT1044" s="6"/>
      <c r="AU1044" s="6"/>
      <c r="AV1044" s="6"/>
      <c r="AW1044" s="6"/>
      <c r="AX1044" s="6"/>
      <c r="AY1044" s="6"/>
      <c r="AZ1044" s="6"/>
      <c r="BA1044" s="6"/>
      <c r="BB1044" s="6"/>
      <c r="BC1044" s="6"/>
      <c r="BD1044" s="6"/>
      <c r="BE1044" s="6"/>
      <c r="BF1044" s="6"/>
      <c r="BG1044" s="6"/>
      <c r="BH1044" s="6"/>
      <c r="BI1044" s="6"/>
      <c r="BJ1044" s="6"/>
      <c r="BK1044" s="6"/>
      <c r="BL1044" s="44"/>
      <c r="BM1044" s="44"/>
      <c r="BN1044" s="45"/>
      <c r="BO1044" s="45"/>
      <c r="BP1044" s="7"/>
      <c r="BQ1044" s="7" t="e">
        <f>VLOOKUP(A1044,[1]Sheet15!B:E,3,0)</f>
        <v>#N/A</v>
      </c>
    </row>
    <row r="1045" spans="1:69" ht="15.75" customHeight="1" x14ac:dyDescent="0.25">
      <c r="A1045" s="12"/>
      <c r="B1045" s="15" t="e">
        <f>VLOOKUP(A1045,'[1]Master clients'!F1043:W4590,17,0)</f>
        <v>#N/A</v>
      </c>
      <c r="C1045" s="15" t="e">
        <f>VLOOKUP(A1045,'[1]Master clients'!F1043:P4590,11,0)</f>
        <v>#N/A</v>
      </c>
      <c r="D1045" s="15" t="e">
        <f>VLOOKUP(A1045,'[1]Master clients'!F:M,8,0)</f>
        <v>#N/A</v>
      </c>
      <c r="E1045" s="12"/>
      <c r="F1045" s="6"/>
      <c r="G1045" s="6"/>
      <c r="H1045" s="6"/>
      <c r="I1045" s="43"/>
      <c r="J1045" s="43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  <c r="AA1045" s="6"/>
      <c r="AB1045" s="6"/>
      <c r="AC1045" s="6"/>
      <c r="AD1045" s="6"/>
      <c r="AE1045" s="6"/>
      <c r="AF1045" s="6"/>
      <c r="AG1045" s="6"/>
      <c r="AH1045" s="6"/>
      <c r="AI1045" s="6"/>
      <c r="AJ1045" s="6"/>
      <c r="AK1045" s="6"/>
      <c r="AL1045" s="6"/>
      <c r="AM1045" s="6"/>
      <c r="AN1045" s="6"/>
      <c r="AO1045" s="6"/>
      <c r="AP1045" s="6"/>
      <c r="AQ1045" s="6"/>
      <c r="AR1045" s="6"/>
      <c r="AS1045" s="6"/>
      <c r="AT1045" s="6"/>
      <c r="AU1045" s="6"/>
      <c r="AV1045" s="6"/>
      <c r="AW1045" s="6"/>
      <c r="AX1045" s="6"/>
      <c r="AY1045" s="6"/>
      <c r="AZ1045" s="6"/>
      <c r="BA1045" s="6"/>
      <c r="BB1045" s="6"/>
      <c r="BC1045" s="6"/>
      <c r="BD1045" s="6"/>
      <c r="BE1045" s="6"/>
      <c r="BF1045" s="6"/>
      <c r="BG1045" s="6"/>
      <c r="BH1045" s="6"/>
      <c r="BI1045" s="6"/>
      <c r="BJ1045" s="6"/>
      <c r="BK1045" s="6"/>
      <c r="BL1045" s="44"/>
      <c r="BM1045" s="44"/>
      <c r="BN1045" s="45"/>
      <c r="BO1045" s="45"/>
      <c r="BP1045" s="7"/>
      <c r="BQ1045" s="7" t="e">
        <f>VLOOKUP(A1045,[1]Sheet15!B:E,3,0)</f>
        <v>#N/A</v>
      </c>
    </row>
    <row r="1046" spans="1:69" ht="15.75" customHeight="1" x14ac:dyDescent="0.25">
      <c r="A1046" s="12"/>
      <c r="B1046" s="15" t="e">
        <f>VLOOKUP(A1046,'[1]Master clients'!F1044:W4591,17,0)</f>
        <v>#N/A</v>
      </c>
      <c r="C1046" s="15" t="e">
        <f>VLOOKUP(A1046,'[1]Master clients'!F1044:P4591,11,0)</f>
        <v>#N/A</v>
      </c>
      <c r="D1046" s="15" t="e">
        <f>VLOOKUP(A1046,'[1]Master clients'!F:M,8,0)</f>
        <v>#N/A</v>
      </c>
      <c r="E1046" s="12"/>
      <c r="F1046" s="6"/>
      <c r="G1046" s="6"/>
      <c r="H1046" s="6"/>
      <c r="I1046" s="43"/>
      <c r="J1046" s="43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  <c r="AA1046" s="6"/>
      <c r="AB1046" s="6"/>
      <c r="AC1046" s="6"/>
      <c r="AD1046" s="6"/>
      <c r="AE1046" s="6"/>
      <c r="AF1046" s="6"/>
      <c r="AG1046" s="6"/>
      <c r="AH1046" s="6"/>
      <c r="AI1046" s="6"/>
      <c r="AJ1046" s="6"/>
      <c r="AK1046" s="6"/>
      <c r="AL1046" s="6"/>
      <c r="AM1046" s="6"/>
      <c r="AN1046" s="6"/>
      <c r="AO1046" s="6"/>
      <c r="AP1046" s="6"/>
      <c r="AQ1046" s="6"/>
      <c r="AR1046" s="6"/>
      <c r="AS1046" s="6"/>
      <c r="AT1046" s="6"/>
      <c r="AU1046" s="6"/>
      <c r="AV1046" s="6"/>
      <c r="AW1046" s="6"/>
      <c r="AX1046" s="6"/>
      <c r="AY1046" s="6"/>
      <c r="AZ1046" s="6"/>
      <c r="BA1046" s="6"/>
      <c r="BB1046" s="6"/>
      <c r="BC1046" s="6"/>
      <c r="BD1046" s="6"/>
      <c r="BE1046" s="6"/>
      <c r="BF1046" s="6"/>
      <c r="BG1046" s="6"/>
      <c r="BH1046" s="6"/>
      <c r="BI1046" s="6"/>
      <c r="BJ1046" s="6"/>
      <c r="BK1046" s="6"/>
      <c r="BL1046" s="44"/>
      <c r="BM1046" s="44"/>
      <c r="BN1046" s="45"/>
      <c r="BO1046" s="45"/>
      <c r="BP1046" s="7"/>
      <c r="BQ1046" s="7" t="e">
        <f>VLOOKUP(A1046,[1]Sheet15!B:E,3,0)</f>
        <v>#N/A</v>
      </c>
    </row>
    <row r="1047" spans="1:69" ht="15.75" customHeight="1" x14ac:dyDescent="0.25">
      <c r="A1047" s="12"/>
      <c r="B1047" s="15" t="e">
        <f>VLOOKUP(A1047,'[1]Master clients'!F1045:W4592,17,0)</f>
        <v>#N/A</v>
      </c>
      <c r="C1047" s="15" t="e">
        <f>VLOOKUP(A1047,'[1]Master clients'!F1045:P4592,11,0)</f>
        <v>#N/A</v>
      </c>
      <c r="D1047" s="15" t="e">
        <f>VLOOKUP(A1047,'[1]Master clients'!F:M,8,0)</f>
        <v>#N/A</v>
      </c>
      <c r="E1047" s="12"/>
      <c r="F1047" s="6"/>
      <c r="G1047" s="6"/>
      <c r="H1047" s="6"/>
      <c r="I1047" s="43"/>
      <c r="J1047" s="43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  <c r="AA1047" s="6"/>
      <c r="AB1047" s="6"/>
      <c r="AC1047" s="6"/>
      <c r="AD1047" s="6"/>
      <c r="AE1047" s="6"/>
      <c r="AF1047" s="6"/>
      <c r="AG1047" s="6"/>
      <c r="AH1047" s="6"/>
      <c r="AI1047" s="6"/>
      <c r="AJ1047" s="6"/>
      <c r="AK1047" s="6"/>
      <c r="AL1047" s="6"/>
      <c r="AM1047" s="6"/>
      <c r="AN1047" s="6"/>
      <c r="AO1047" s="6"/>
      <c r="AP1047" s="6"/>
      <c r="AQ1047" s="6"/>
      <c r="AR1047" s="6"/>
      <c r="AS1047" s="6"/>
      <c r="AT1047" s="6"/>
      <c r="AU1047" s="6"/>
      <c r="AV1047" s="6"/>
      <c r="AW1047" s="6"/>
      <c r="AX1047" s="6"/>
      <c r="AY1047" s="6"/>
      <c r="AZ1047" s="6"/>
      <c r="BA1047" s="6"/>
      <c r="BB1047" s="6"/>
      <c r="BC1047" s="6"/>
      <c r="BD1047" s="6"/>
      <c r="BE1047" s="6"/>
      <c r="BF1047" s="6"/>
      <c r="BG1047" s="6"/>
      <c r="BH1047" s="6"/>
      <c r="BI1047" s="6"/>
      <c r="BJ1047" s="6"/>
      <c r="BK1047" s="6"/>
      <c r="BL1047" s="44"/>
      <c r="BM1047" s="44"/>
      <c r="BN1047" s="45"/>
      <c r="BO1047" s="45"/>
      <c r="BP1047" s="7"/>
      <c r="BQ1047" s="7" t="e">
        <f>VLOOKUP(A1047,[1]Sheet15!B:E,3,0)</f>
        <v>#N/A</v>
      </c>
    </row>
    <row r="1048" spans="1:69" ht="15.75" customHeight="1" x14ac:dyDescent="0.25">
      <c r="A1048" s="12"/>
      <c r="B1048" s="15" t="e">
        <f>VLOOKUP(A1048,'[1]Master clients'!F1046:W4593,17,0)</f>
        <v>#N/A</v>
      </c>
      <c r="C1048" s="15" t="e">
        <f>VLOOKUP(A1048,'[1]Master clients'!F1046:P4593,11,0)</f>
        <v>#N/A</v>
      </c>
      <c r="D1048" s="15" t="e">
        <f>VLOOKUP(A1048,'[1]Master clients'!F:M,8,0)</f>
        <v>#N/A</v>
      </c>
      <c r="E1048" s="12"/>
      <c r="F1048" s="6"/>
      <c r="G1048" s="6"/>
      <c r="H1048" s="6"/>
      <c r="I1048" s="43"/>
      <c r="J1048" s="43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  <c r="AA1048" s="6"/>
      <c r="AB1048" s="6"/>
      <c r="AC1048" s="6"/>
      <c r="AD1048" s="6"/>
      <c r="AE1048" s="6"/>
      <c r="AF1048" s="6"/>
      <c r="AG1048" s="6"/>
      <c r="AH1048" s="6"/>
      <c r="AI1048" s="6"/>
      <c r="AJ1048" s="6"/>
      <c r="AK1048" s="6"/>
      <c r="AL1048" s="6"/>
      <c r="AM1048" s="6"/>
      <c r="AN1048" s="6"/>
      <c r="AO1048" s="6"/>
      <c r="AP1048" s="6"/>
      <c r="AQ1048" s="6"/>
      <c r="AR1048" s="6"/>
      <c r="AS1048" s="6"/>
      <c r="AT1048" s="6"/>
      <c r="AU1048" s="6"/>
      <c r="AV1048" s="6"/>
      <c r="AW1048" s="6"/>
      <c r="AX1048" s="6"/>
      <c r="AY1048" s="6"/>
      <c r="AZ1048" s="6"/>
      <c r="BA1048" s="6"/>
      <c r="BB1048" s="6"/>
      <c r="BC1048" s="6"/>
      <c r="BD1048" s="6"/>
      <c r="BE1048" s="6"/>
      <c r="BF1048" s="6"/>
      <c r="BG1048" s="6"/>
      <c r="BH1048" s="6"/>
      <c r="BI1048" s="6"/>
      <c r="BJ1048" s="6"/>
      <c r="BK1048" s="6"/>
      <c r="BL1048" s="44"/>
      <c r="BM1048" s="44"/>
      <c r="BN1048" s="45"/>
      <c r="BO1048" s="45"/>
      <c r="BP1048" s="7"/>
      <c r="BQ1048" s="7" t="e">
        <f>VLOOKUP(A1048,[1]Sheet15!B:E,3,0)</f>
        <v>#N/A</v>
      </c>
    </row>
    <row r="1049" spans="1:69" ht="15.75" customHeight="1" x14ac:dyDescent="0.25">
      <c r="A1049" s="12"/>
      <c r="B1049" s="15" t="e">
        <f>VLOOKUP(A1049,'[1]Master clients'!F1047:W4594,17,0)</f>
        <v>#N/A</v>
      </c>
      <c r="C1049" s="15" t="e">
        <f>VLOOKUP(A1049,'[1]Master clients'!F1047:P4594,11,0)</f>
        <v>#N/A</v>
      </c>
      <c r="D1049" s="15" t="e">
        <f>VLOOKUP(A1049,'[1]Master clients'!F:M,8,0)</f>
        <v>#N/A</v>
      </c>
      <c r="E1049" s="12"/>
      <c r="F1049" s="6"/>
      <c r="G1049" s="6"/>
      <c r="H1049" s="6"/>
      <c r="I1049" s="43"/>
      <c r="J1049" s="43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  <c r="AA1049" s="6"/>
      <c r="AB1049" s="6"/>
      <c r="AC1049" s="6"/>
      <c r="AD1049" s="6"/>
      <c r="AE1049" s="6"/>
      <c r="AF1049" s="6"/>
      <c r="AG1049" s="6"/>
      <c r="AH1049" s="6"/>
      <c r="AI1049" s="6"/>
      <c r="AJ1049" s="6"/>
      <c r="AK1049" s="6"/>
      <c r="AL1049" s="6"/>
      <c r="AM1049" s="6"/>
      <c r="AN1049" s="6"/>
      <c r="AO1049" s="6"/>
      <c r="AP1049" s="6"/>
      <c r="AQ1049" s="6"/>
      <c r="AR1049" s="6"/>
      <c r="AS1049" s="6"/>
      <c r="AT1049" s="6"/>
      <c r="AU1049" s="6"/>
      <c r="AV1049" s="6"/>
      <c r="AW1049" s="6"/>
      <c r="AX1049" s="6"/>
      <c r="AY1049" s="6"/>
      <c r="AZ1049" s="6"/>
      <c r="BA1049" s="6"/>
      <c r="BB1049" s="6"/>
      <c r="BC1049" s="6"/>
      <c r="BD1049" s="6"/>
      <c r="BE1049" s="6"/>
      <c r="BF1049" s="6"/>
      <c r="BG1049" s="6"/>
      <c r="BH1049" s="6"/>
      <c r="BI1049" s="6"/>
      <c r="BJ1049" s="6"/>
      <c r="BK1049" s="6"/>
      <c r="BL1049" s="44"/>
      <c r="BM1049" s="44"/>
      <c r="BN1049" s="45"/>
      <c r="BO1049" s="45"/>
      <c r="BP1049" s="7"/>
      <c r="BQ1049" s="7" t="e">
        <f>VLOOKUP(A1049,[1]Sheet15!B:E,3,0)</f>
        <v>#N/A</v>
      </c>
    </row>
    <row r="1050" spans="1:69" ht="15.75" customHeight="1" x14ac:dyDescent="0.25">
      <c r="A1050" s="12"/>
      <c r="B1050" s="15" t="e">
        <f>VLOOKUP(A1050,'[1]Master clients'!F1048:W4595,17,0)</f>
        <v>#N/A</v>
      </c>
      <c r="C1050" s="15" t="e">
        <f>VLOOKUP(A1050,'[1]Master clients'!F1048:P4595,11,0)</f>
        <v>#N/A</v>
      </c>
      <c r="D1050" s="15" t="e">
        <f>VLOOKUP(A1050,'[1]Master clients'!F:M,8,0)</f>
        <v>#N/A</v>
      </c>
      <c r="E1050" s="12"/>
      <c r="F1050" s="6"/>
      <c r="G1050" s="6"/>
      <c r="H1050" s="6"/>
      <c r="I1050" s="43"/>
      <c r="J1050" s="43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  <c r="AA1050" s="6"/>
      <c r="AB1050" s="6"/>
      <c r="AC1050" s="6"/>
      <c r="AD1050" s="6"/>
      <c r="AE1050" s="6"/>
      <c r="AF1050" s="6"/>
      <c r="AG1050" s="6"/>
      <c r="AH1050" s="6"/>
      <c r="AI1050" s="6"/>
      <c r="AJ1050" s="6"/>
      <c r="AK1050" s="6"/>
      <c r="AL1050" s="6"/>
      <c r="AM1050" s="6"/>
      <c r="AN1050" s="6"/>
      <c r="AO1050" s="6"/>
      <c r="AP1050" s="6"/>
      <c r="AQ1050" s="6"/>
      <c r="AR1050" s="6"/>
      <c r="AS1050" s="6"/>
      <c r="AT1050" s="6"/>
      <c r="AU1050" s="6"/>
      <c r="AV1050" s="6"/>
      <c r="AW1050" s="6"/>
      <c r="AX1050" s="6"/>
      <c r="AY1050" s="6"/>
      <c r="AZ1050" s="6"/>
      <c r="BA1050" s="6"/>
      <c r="BB1050" s="6"/>
      <c r="BC1050" s="6"/>
      <c r="BD1050" s="6"/>
      <c r="BE1050" s="6"/>
      <c r="BF1050" s="6"/>
      <c r="BG1050" s="6"/>
      <c r="BH1050" s="6"/>
      <c r="BI1050" s="6"/>
      <c r="BJ1050" s="6"/>
      <c r="BK1050" s="6"/>
      <c r="BL1050" s="44"/>
      <c r="BM1050" s="44"/>
      <c r="BN1050" s="45"/>
      <c r="BO1050" s="45"/>
      <c r="BP1050" s="7"/>
      <c r="BQ1050" s="7" t="e">
        <f>VLOOKUP(A1050,[1]Sheet15!B:E,3,0)</f>
        <v>#N/A</v>
      </c>
    </row>
    <row r="1051" spans="1:69" ht="15.75" customHeight="1" x14ac:dyDescent="0.25">
      <c r="A1051" s="12"/>
      <c r="B1051" s="15" t="e">
        <f>VLOOKUP(A1051,'[1]Master clients'!F1049:W4596,17,0)</f>
        <v>#N/A</v>
      </c>
      <c r="C1051" s="15" t="e">
        <f>VLOOKUP(A1051,'[1]Master clients'!F1049:P4596,11,0)</f>
        <v>#N/A</v>
      </c>
      <c r="D1051" s="15" t="e">
        <f>VLOOKUP(A1051,'[1]Master clients'!F:M,8,0)</f>
        <v>#N/A</v>
      </c>
      <c r="E1051" s="12"/>
      <c r="F1051" s="6"/>
      <c r="G1051" s="6"/>
      <c r="H1051" s="6"/>
      <c r="I1051" s="43"/>
      <c r="J1051" s="43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  <c r="AA1051" s="6"/>
      <c r="AB1051" s="6"/>
      <c r="AC1051" s="6"/>
      <c r="AD1051" s="6"/>
      <c r="AE1051" s="6"/>
      <c r="AF1051" s="6"/>
      <c r="AG1051" s="6"/>
      <c r="AH1051" s="6"/>
      <c r="AI1051" s="6"/>
      <c r="AJ1051" s="6"/>
      <c r="AK1051" s="6"/>
      <c r="AL1051" s="6"/>
      <c r="AM1051" s="6"/>
      <c r="AN1051" s="6"/>
      <c r="AO1051" s="6"/>
      <c r="AP1051" s="6"/>
      <c r="AQ1051" s="6"/>
      <c r="AR1051" s="6"/>
      <c r="AS1051" s="6"/>
      <c r="AT1051" s="6"/>
      <c r="AU1051" s="6"/>
      <c r="AV1051" s="6"/>
      <c r="AW1051" s="6"/>
      <c r="AX1051" s="6"/>
      <c r="AY1051" s="6"/>
      <c r="AZ1051" s="6"/>
      <c r="BA1051" s="6"/>
      <c r="BB1051" s="6"/>
      <c r="BC1051" s="6"/>
      <c r="BD1051" s="6"/>
      <c r="BE1051" s="6"/>
      <c r="BF1051" s="6"/>
      <c r="BG1051" s="6"/>
      <c r="BH1051" s="6"/>
      <c r="BI1051" s="6"/>
      <c r="BJ1051" s="6"/>
      <c r="BK1051" s="6"/>
      <c r="BL1051" s="44"/>
      <c r="BM1051" s="44"/>
      <c r="BN1051" s="45"/>
      <c r="BO1051" s="45"/>
      <c r="BP1051" s="7"/>
      <c r="BQ1051" s="7" t="e">
        <f>VLOOKUP(A1051,[1]Sheet15!B:E,3,0)</f>
        <v>#N/A</v>
      </c>
    </row>
    <row r="1052" spans="1:69" ht="15.75" customHeight="1" x14ac:dyDescent="0.25">
      <c r="A1052" s="12"/>
      <c r="B1052" s="15" t="e">
        <f>VLOOKUP(A1052,'[1]Master clients'!F1050:W4597,17,0)</f>
        <v>#N/A</v>
      </c>
      <c r="C1052" s="15" t="e">
        <f>VLOOKUP(A1052,'[1]Master clients'!F1050:P4597,11,0)</f>
        <v>#N/A</v>
      </c>
      <c r="D1052" s="15" t="e">
        <f>VLOOKUP(A1052,'[1]Master clients'!F:M,8,0)</f>
        <v>#N/A</v>
      </c>
      <c r="E1052" s="12"/>
      <c r="F1052" s="6"/>
      <c r="G1052" s="6"/>
      <c r="H1052" s="6"/>
      <c r="I1052" s="43"/>
      <c r="J1052" s="43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  <c r="AA1052" s="6"/>
      <c r="AB1052" s="6"/>
      <c r="AC1052" s="6"/>
      <c r="AD1052" s="6"/>
      <c r="AE1052" s="6"/>
      <c r="AF1052" s="6"/>
      <c r="AG1052" s="6"/>
      <c r="AH1052" s="6"/>
      <c r="AI1052" s="6"/>
      <c r="AJ1052" s="6"/>
      <c r="AK1052" s="6"/>
      <c r="AL1052" s="6"/>
      <c r="AM1052" s="6"/>
      <c r="AN1052" s="6"/>
      <c r="AO1052" s="6"/>
      <c r="AP1052" s="6"/>
      <c r="AQ1052" s="6"/>
      <c r="AR1052" s="6"/>
      <c r="AS1052" s="6"/>
      <c r="AT1052" s="6"/>
      <c r="AU1052" s="6"/>
      <c r="AV1052" s="6"/>
      <c r="AW1052" s="6"/>
      <c r="AX1052" s="6"/>
      <c r="AY1052" s="6"/>
      <c r="AZ1052" s="6"/>
      <c r="BA1052" s="6"/>
      <c r="BB1052" s="6"/>
      <c r="BC1052" s="6"/>
      <c r="BD1052" s="6"/>
      <c r="BE1052" s="6"/>
      <c r="BF1052" s="6"/>
      <c r="BG1052" s="6"/>
      <c r="BH1052" s="6"/>
      <c r="BI1052" s="6"/>
      <c r="BJ1052" s="6"/>
      <c r="BK1052" s="6"/>
      <c r="BL1052" s="44"/>
      <c r="BM1052" s="44"/>
      <c r="BN1052" s="45"/>
      <c r="BO1052" s="45"/>
      <c r="BP1052" s="7"/>
      <c r="BQ1052" s="7" t="e">
        <f>VLOOKUP(A1052,[1]Sheet15!B:E,3,0)</f>
        <v>#N/A</v>
      </c>
    </row>
    <row r="1053" spans="1:69" ht="15.75" customHeight="1" x14ac:dyDescent="0.25">
      <c r="A1053" s="12"/>
      <c r="B1053" s="15" t="e">
        <f>VLOOKUP(A1053,'[1]Master clients'!F1051:W4598,17,0)</f>
        <v>#N/A</v>
      </c>
      <c r="C1053" s="15" t="e">
        <f>VLOOKUP(A1053,'[1]Master clients'!F1051:P4598,11,0)</f>
        <v>#N/A</v>
      </c>
      <c r="D1053" s="15" t="e">
        <f>VLOOKUP(A1053,'[1]Master clients'!F:M,8,0)</f>
        <v>#N/A</v>
      </c>
      <c r="E1053" s="12"/>
      <c r="F1053" s="6"/>
      <c r="G1053" s="6"/>
      <c r="H1053" s="6"/>
      <c r="I1053" s="43"/>
      <c r="J1053" s="43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  <c r="AA1053" s="6"/>
      <c r="AB1053" s="6"/>
      <c r="AC1053" s="6"/>
      <c r="AD1053" s="6"/>
      <c r="AE1053" s="6"/>
      <c r="AF1053" s="6"/>
      <c r="AG1053" s="6"/>
      <c r="AH1053" s="6"/>
      <c r="AI1053" s="6"/>
      <c r="AJ1053" s="6"/>
      <c r="AK1053" s="6"/>
      <c r="AL1053" s="6"/>
      <c r="AM1053" s="6"/>
      <c r="AN1053" s="6"/>
      <c r="AO1053" s="6"/>
      <c r="AP1053" s="6"/>
      <c r="AQ1053" s="6"/>
      <c r="AR1053" s="6"/>
      <c r="AS1053" s="6"/>
      <c r="AT1053" s="6"/>
      <c r="AU1053" s="6"/>
      <c r="AV1053" s="6"/>
      <c r="AW1053" s="6"/>
      <c r="AX1053" s="6"/>
      <c r="AY1053" s="6"/>
      <c r="AZ1053" s="6"/>
      <c r="BA1053" s="6"/>
      <c r="BB1053" s="6"/>
      <c r="BC1053" s="6"/>
      <c r="BD1053" s="6"/>
      <c r="BE1053" s="6"/>
      <c r="BF1053" s="6"/>
      <c r="BG1053" s="6"/>
      <c r="BH1053" s="6"/>
      <c r="BI1053" s="6"/>
      <c r="BJ1053" s="6"/>
      <c r="BK1053" s="6"/>
      <c r="BL1053" s="44"/>
      <c r="BM1053" s="44"/>
      <c r="BN1053" s="45"/>
      <c r="BO1053" s="45"/>
      <c r="BP1053" s="7"/>
      <c r="BQ1053" s="7" t="e">
        <f>VLOOKUP(A1053,[1]Sheet15!B:E,3,0)</f>
        <v>#N/A</v>
      </c>
    </row>
    <row r="1054" spans="1:69" ht="15.75" customHeight="1" x14ac:dyDescent="0.25">
      <c r="A1054" s="12"/>
      <c r="B1054" s="15" t="e">
        <f>VLOOKUP(A1054,'[1]Master clients'!F1052:W4599,17,0)</f>
        <v>#N/A</v>
      </c>
      <c r="C1054" s="15" t="e">
        <f>VLOOKUP(A1054,'[1]Master clients'!F1052:P4599,11,0)</f>
        <v>#N/A</v>
      </c>
      <c r="D1054" s="15" t="e">
        <f>VLOOKUP(A1054,'[1]Master clients'!F:M,8,0)</f>
        <v>#N/A</v>
      </c>
      <c r="E1054" s="12"/>
      <c r="F1054" s="6"/>
      <c r="G1054" s="6"/>
      <c r="H1054" s="6"/>
      <c r="I1054" s="43"/>
      <c r="J1054" s="43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  <c r="AA1054" s="6"/>
      <c r="AB1054" s="6"/>
      <c r="AC1054" s="6"/>
      <c r="AD1054" s="6"/>
      <c r="AE1054" s="6"/>
      <c r="AF1054" s="6"/>
      <c r="AG1054" s="6"/>
      <c r="AH1054" s="6"/>
      <c r="AI1054" s="6"/>
      <c r="AJ1054" s="6"/>
      <c r="AK1054" s="6"/>
      <c r="AL1054" s="6"/>
      <c r="AM1054" s="6"/>
      <c r="AN1054" s="6"/>
      <c r="AO1054" s="6"/>
      <c r="AP1054" s="6"/>
      <c r="AQ1054" s="6"/>
      <c r="AR1054" s="6"/>
      <c r="AS1054" s="6"/>
      <c r="AT1054" s="6"/>
      <c r="AU1054" s="6"/>
      <c r="AV1054" s="6"/>
      <c r="AW1054" s="6"/>
      <c r="AX1054" s="6"/>
      <c r="AY1054" s="6"/>
      <c r="AZ1054" s="6"/>
      <c r="BA1054" s="6"/>
      <c r="BB1054" s="6"/>
      <c r="BC1054" s="6"/>
      <c r="BD1054" s="6"/>
      <c r="BE1054" s="6"/>
      <c r="BF1054" s="6"/>
      <c r="BG1054" s="6"/>
      <c r="BH1054" s="6"/>
      <c r="BI1054" s="6"/>
      <c r="BJ1054" s="6"/>
      <c r="BK1054" s="6"/>
      <c r="BL1054" s="44"/>
      <c r="BM1054" s="44"/>
      <c r="BN1054" s="45"/>
      <c r="BO1054" s="45"/>
      <c r="BP1054" s="7"/>
      <c r="BQ1054" s="7" t="e">
        <f>VLOOKUP(A1054,[1]Sheet15!B:E,3,0)</f>
        <v>#N/A</v>
      </c>
    </row>
    <row r="1055" spans="1:69" ht="15.75" customHeight="1" x14ac:dyDescent="0.25">
      <c r="A1055" s="12"/>
      <c r="B1055" s="15" t="e">
        <f>VLOOKUP(A1055,'[1]Master clients'!F1053:W4600,17,0)</f>
        <v>#N/A</v>
      </c>
      <c r="C1055" s="15" t="e">
        <f>VLOOKUP(A1055,'[1]Master clients'!F1053:P4600,11,0)</f>
        <v>#N/A</v>
      </c>
      <c r="D1055" s="15" t="e">
        <f>VLOOKUP(A1055,'[1]Master clients'!F:M,8,0)</f>
        <v>#N/A</v>
      </c>
      <c r="E1055" s="12"/>
      <c r="F1055" s="6"/>
      <c r="G1055" s="6"/>
      <c r="H1055" s="6"/>
      <c r="I1055" s="43"/>
      <c r="J1055" s="43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  <c r="AA1055" s="6"/>
      <c r="AB1055" s="6"/>
      <c r="AC1055" s="6"/>
      <c r="AD1055" s="6"/>
      <c r="AE1055" s="6"/>
      <c r="AF1055" s="6"/>
      <c r="AG1055" s="6"/>
      <c r="AH1055" s="6"/>
      <c r="AI1055" s="6"/>
      <c r="AJ1055" s="6"/>
      <c r="AK1055" s="6"/>
      <c r="AL1055" s="6"/>
      <c r="AM1055" s="6"/>
      <c r="AN1055" s="6"/>
      <c r="AO1055" s="6"/>
      <c r="AP1055" s="6"/>
      <c r="AQ1055" s="6"/>
      <c r="AR1055" s="6"/>
      <c r="AS1055" s="6"/>
      <c r="AT1055" s="6"/>
      <c r="AU1055" s="6"/>
      <c r="AV1055" s="6"/>
      <c r="AW1055" s="6"/>
      <c r="AX1055" s="6"/>
      <c r="AY1055" s="6"/>
      <c r="AZ1055" s="6"/>
      <c r="BA1055" s="6"/>
      <c r="BB1055" s="6"/>
      <c r="BC1055" s="6"/>
      <c r="BD1055" s="6"/>
      <c r="BE1055" s="6"/>
      <c r="BF1055" s="6"/>
      <c r="BG1055" s="6"/>
      <c r="BH1055" s="6"/>
      <c r="BI1055" s="6"/>
      <c r="BJ1055" s="6"/>
      <c r="BK1055" s="6"/>
      <c r="BL1055" s="44"/>
      <c r="BM1055" s="44"/>
      <c r="BN1055" s="45"/>
      <c r="BO1055" s="45"/>
      <c r="BP1055" s="7"/>
      <c r="BQ1055" s="7" t="e">
        <f>VLOOKUP(A1055,[1]Sheet15!B:E,3,0)</f>
        <v>#N/A</v>
      </c>
    </row>
    <row r="1056" spans="1:69" ht="15.75" customHeight="1" x14ac:dyDescent="0.25">
      <c r="A1056" s="12"/>
      <c r="B1056" s="15" t="e">
        <f>VLOOKUP(A1056,'[1]Master clients'!F1054:W4601,17,0)</f>
        <v>#N/A</v>
      </c>
      <c r="C1056" s="15" t="e">
        <f>VLOOKUP(A1056,'[1]Master clients'!F1054:P4601,11,0)</f>
        <v>#N/A</v>
      </c>
      <c r="D1056" s="15" t="e">
        <f>VLOOKUP(A1056,'[1]Master clients'!F:M,8,0)</f>
        <v>#N/A</v>
      </c>
      <c r="E1056" s="12"/>
      <c r="F1056" s="6"/>
      <c r="G1056" s="6"/>
      <c r="H1056" s="6"/>
      <c r="I1056" s="43"/>
      <c r="J1056" s="43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  <c r="AA1056" s="6"/>
      <c r="AB1056" s="6"/>
      <c r="AC1056" s="6"/>
      <c r="AD1056" s="6"/>
      <c r="AE1056" s="6"/>
      <c r="AF1056" s="6"/>
      <c r="AG1056" s="6"/>
      <c r="AH1056" s="6"/>
      <c r="AI1056" s="6"/>
      <c r="AJ1056" s="6"/>
      <c r="AK1056" s="6"/>
      <c r="AL1056" s="6"/>
      <c r="AM1056" s="6"/>
      <c r="AN1056" s="6"/>
      <c r="AO1056" s="6"/>
      <c r="AP1056" s="6"/>
      <c r="AQ1056" s="6"/>
      <c r="AR1056" s="6"/>
      <c r="AS1056" s="6"/>
      <c r="AT1056" s="6"/>
      <c r="AU1056" s="6"/>
      <c r="AV1056" s="6"/>
      <c r="AW1056" s="6"/>
      <c r="AX1056" s="6"/>
      <c r="AY1056" s="6"/>
      <c r="AZ1056" s="6"/>
      <c r="BA1056" s="6"/>
      <c r="BB1056" s="6"/>
      <c r="BC1056" s="6"/>
      <c r="BD1056" s="6"/>
      <c r="BE1056" s="6"/>
      <c r="BF1056" s="6"/>
      <c r="BG1056" s="6"/>
      <c r="BH1056" s="6"/>
      <c r="BI1056" s="6"/>
      <c r="BJ1056" s="6"/>
      <c r="BK1056" s="6"/>
      <c r="BL1056" s="44"/>
      <c r="BM1056" s="44"/>
      <c r="BN1056" s="45"/>
      <c r="BO1056" s="45"/>
      <c r="BP1056" s="7"/>
      <c r="BQ1056" s="7" t="e">
        <f>VLOOKUP(A1056,[1]Sheet15!B:E,3,0)</f>
        <v>#N/A</v>
      </c>
    </row>
    <row r="1057" spans="1:69" ht="15.75" customHeight="1" x14ac:dyDescent="0.25">
      <c r="A1057" s="12"/>
      <c r="B1057" s="15" t="e">
        <f>VLOOKUP(A1057,'[1]Master clients'!F1055:W4602,17,0)</f>
        <v>#N/A</v>
      </c>
      <c r="C1057" s="15" t="e">
        <f>VLOOKUP(A1057,'[1]Master clients'!F1055:P4602,11,0)</f>
        <v>#N/A</v>
      </c>
      <c r="D1057" s="15" t="e">
        <f>VLOOKUP(A1057,'[1]Master clients'!F:M,8,0)</f>
        <v>#N/A</v>
      </c>
      <c r="E1057" s="12"/>
      <c r="F1057" s="6"/>
      <c r="G1057" s="6"/>
      <c r="H1057" s="6"/>
      <c r="I1057" s="43"/>
      <c r="J1057" s="43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  <c r="AA1057" s="6"/>
      <c r="AB1057" s="6"/>
      <c r="AC1057" s="6"/>
      <c r="AD1057" s="6"/>
      <c r="AE1057" s="6"/>
      <c r="AF1057" s="6"/>
      <c r="AG1057" s="6"/>
      <c r="AH1057" s="6"/>
      <c r="AI1057" s="6"/>
      <c r="AJ1057" s="6"/>
      <c r="AK1057" s="6"/>
      <c r="AL1057" s="6"/>
      <c r="AM1057" s="6"/>
      <c r="AN1057" s="6"/>
      <c r="AO1057" s="6"/>
      <c r="AP1057" s="6"/>
      <c r="AQ1057" s="6"/>
      <c r="AR1057" s="6"/>
      <c r="AS1057" s="6"/>
      <c r="AT1057" s="6"/>
      <c r="AU1057" s="6"/>
      <c r="AV1057" s="6"/>
      <c r="AW1057" s="6"/>
      <c r="AX1057" s="6"/>
      <c r="AY1057" s="6"/>
      <c r="AZ1057" s="6"/>
      <c r="BA1057" s="6"/>
      <c r="BB1057" s="6"/>
      <c r="BC1057" s="6"/>
      <c r="BD1057" s="6"/>
      <c r="BE1057" s="6"/>
      <c r="BF1057" s="6"/>
      <c r="BG1057" s="6"/>
      <c r="BH1057" s="6"/>
      <c r="BI1057" s="6"/>
      <c r="BJ1057" s="6"/>
      <c r="BK1057" s="6"/>
      <c r="BL1057" s="44"/>
      <c r="BM1057" s="44"/>
      <c r="BN1057" s="45"/>
      <c r="BO1057" s="45"/>
      <c r="BP1057" s="7"/>
      <c r="BQ1057" s="7" t="e">
        <f>VLOOKUP(A1057,[1]Sheet15!B:E,3,0)</f>
        <v>#N/A</v>
      </c>
    </row>
    <row r="1058" spans="1:69" ht="15.75" customHeight="1" x14ac:dyDescent="0.25">
      <c r="A1058" s="12"/>
      <c r="B1058" s="15" t="e">
        <f>VLOOKUP(A1058,'[1]Master clients'!F1056:W4603,17,0)</f>
        <v>#N/A</v>
      </c>
      <c r="C1058" s="15" t="e">
        <f>VLOOKUP(A1058,'[1]Master clients'!F1056:P4603,11,0)</f>
        <v>#N/A</v>
      </c>
      <c r="D1058" s="15" t="e">
        <f>VLOOKUP(A1058,'[1]Master clients'!F:M,8,0)</f>
        <v>#N/A</v>
      </c>
      <c r="E1058" s="12"/>
      <c r="F1058" s="6"/>
      <c r="G1058" s="6"/>
      <c r="H1058" s="6"/>
      <c r="I1058" s="43"/>
      <c r="J1058" s="43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  <c r="AA1058" s="6"/>
      <c r="AB1058" s="6"/>
      <c r="AC1058" s="6"/>
      <c r="AD1058" s="6"/>
      <c r="AE1058" s="6"/>
      <c r="AF1058" s="6"/>
      <c r="AG1058" s="6"/>
      <c r="AH1058" s="6"/>
      <c r="AI1058" s="6"/>
      <c r="AJ1058" s="6"/>
      <c r="AK1058" s="6"/>
      <c r="AL1058" s="6"/>
      <c r="AM1058" s="6"/>
      <c r="AN1058" s="6"/>
      <c r="AO1058" s="6"/>
      <c r="AP1058" s="6"/>
      <c r="AQ1058" s="6"/>
      <c r="AR1058" s="6"/>
      <c r="AS1058" s="6"/>
      <c r="AT1058" s="6"/>
      <c r="AU1058" s="6"/>
      <c r="AV1058" s="6"/>
      <c r="AW1058" s="6"/>
      <c r="AX1058" s="6"/>
      <c r="AY1058" s="6"/>
      <c r="AZ1058" s="6"/>
      <c r="BA1058" s="6"/>
      <c r="BB1058" s="6"/>
      <c r="BC1058" s="6"/>
      <c r="BD1058" s="6"/>
      <c r="BE1058" s="6"/>
      <c r="BF1058" s="6"/>
      <c r="BG1058" s="6"/>
      <c r="BH1058" s="6"/>
      <c r="BI1058" s="6"/>
      <c r="BJ1058" s="6"/>
      <c r="BK1058" s="6"/>
      <c r="BL1058" s="44"/>
      <c r="BM1058" s="44"/>
      <c r="BN1058" s="45"/>
      <c r="BO1058" s="45"/>
      <c r="BP1058" s="7"/>
      <c r="BQ1058" s="7" t="e">
        <f>VLOOKUP(A1058,[1]Sheet15!B:E,3,0)</f>
        <v>#N/A</v>
      </c>
    </row>
    <row r="1059" spans="1:69" ht="15.75" customHeight="1" x14ac:dyDescent="0.25">
      <c r="A1059" s="12"/>
      <c r="B1059" s="15" t="e">
        <f>VLOOKUP(A1059,'[1]Master clients'!F1057:W4604,17,0)</f>
        <v>#N/A</v>
      </c>
      <c r="C1059" s="15" t="e">
        <f>VLOOKUP(A1059,'[1]Master clients'!F1057:P4604,11,0)</f>
        <v>#N/A</v>
      </c>
      <c r="D1059" s="15" t="e">
        <f>VLOOKUP(A1059,'[1]Master clients'!F:M,8,0)</f>
        <v>#N/A</v>
      </c>
      <c r="E1059" s="12"/>
      <c r="F1059" s="6"/>
      <c r="G1059" s="6"/>
      <c r="H1059" s="6"/>
      <c r="I1059" s="43"/>
      <c r="J1059" s="43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  <c r="AA1059" s="6"/>
      <c r="AB1059" s="6"/>
      <c r="AC1059" s="6"/>
      <c r="AD1059" s="6"/>
      <c r="AE1059" s="6"/>
      <c r="AF1059" s="6"/>
      <c r="AG1059" s="6"/>
      <c r="AH1059" s="6"/>
      <c r="AI1059" s="6"/>
      <c r="AJ1059" s="6"/>
      <c r="AK1059" s="6"/>
      <c r="AL1059" s="6"/>
      <c r="AM1059" s="6"/>
      <c r="AN1059" s="6"/>
      <c r="AO1059" s="6"/>
      <c r="AP1059" s="6"/>
      <c r="AQ1059" s="6"/>
      <c r="AR1059" s="6"/>
      <c r="AS1059" s="6"/>
      <c r="AT1059" s="6"/>
      <c r="AU1059" s="6"/>
      <c r="AV1059" s="6"/>
      <c r="AW1059" s="6"/>
      <c r="AX1059" s="6"/>
      <c r="AY1059" s="6"/>
      <c r="AZ1059" s="6"/>
      <c r="BA1059" s="6"/>
      <c r="BB1059" s="6"/>
      <c r="BC1059" s="6"/>
      <c r="BD1059" s="6"/>
      <c r="BE1059" s="6"/>
      <c r="BF1059" s="6"/>
      <c r="BG1059" s="6"/>
      <c r="BH1059" s="6"/>
      <c r="BI1059" s="6"/>
      <c r="BJ1059" s="6"/>
      <c r="BK1059" s="6"/>
      <c r="BL1059" s="44"/>
      <c r="BM1059" s="44"/>
      <c r="BN1059" s="45"/>
      <c r="BO1059" s="45"/>
      <c r="BP1059" s="7"/>
      <c r="BQ1059" s="7" t="e">
        <f>VLOOKUP(A1059,[1]Sheet15!B:E,3,0)</f>
        <v>#N/A</v>
      </c>
    </row>
    <row r="1060" spans="1:69" ht="15.75" customHeight="1" x14ac:dyDescent="0.25">
      <c r="A1060" s="12"/>
      <c r="B1060" s="15" t="e">
        <f>VLOOKUP(A1060,'[1]Master clients'!F1058:W4605,17,0)</f>
        <v>#N/A</v>
      </c>
      <c r="C1060" s="15" t="e">
        <f>VLOOKUP(A1060,'[1]Master clients'!F1058:P4605,11,0)</f>
        <v>#N/A</v>
      </c>
      <c r="D1060" s="15" t="e">
        <f>VLOOKUP(A1060,'[1]Master clients'!F:M,8,0)</f>
        <v>#N/A</v>
      </c>
      <c r="E1060" s="12"/>
      <c r="F1060" s="6"/>
      <c r="G1060" s="6"/>
      <c r="H1060" s="6"/>
      <c r="I1060" s="43"/>
      <c r="J1060" s="43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  <c r="AA1060" s="6"/>
      <c r="AB1060" s="6"/>
      <c r="AC1060" s="6"/>
      <c r="AD1060" s="6"/>
      <c r="AE1060" s="6"/>
      <c r="AF1060" s="6"/>
      <c r="AG1060" s="6"/>
      <c r="AH1060" s="6"/>
      <c r="AI1060" s="6"/>
      <c r="AJ1060" s="6"/>
      <c r="AK1060" s="6"/>
      <c r="AL1060" s="6"/>
      <c r="AM1060" s="6"/>
      <c r="AN1060" s="6"/>
      <c r="AO1060" s="6"/>
      <c r="AP1060" s="6"/>
      <c r="AQ1060" s="6"/>
      <c r="AR1060" s="6"/>
      <c r="AS1060" s="6"/>
      <c r="AT1060" s="6"/>
      <c r="AU1060" s="6"/>
      <c r="AV1060" s="6"/>
      <c r="AW1060" s="6"/>
      <c r="AX1060" s="6"/>
      <c r="AY1060" s="6"/>
      <c r="AZ1060" s="6"/>
      <c r="BA1060" s="6"/>
      <c r="BB1060" s="6"/>
      <c r="BC1060" s="6"/>
      <c r="BD1060" s="6"/>
      <c r="BE1060" s="6"/>
      <c r="BF1060" s="6"/>
      <c r="BG1060" s="6"/>
      <c r="BH1060" s="6"/>
      <c r="BI1060" s="6"/>
      <c r="BJ1060" s="6"/>
      <c r="BK1060" s="6"/>
      <c r="BL1060" s="44"/>
      <c r="BM1060" s="44"/>
      <c r="BN1060" s="45"/>
      <c r="BO1060" s="45"/>
      <c r="BP1060" s="7"/>
      <c r="BQ1060" s="7" t="e">
        <f>VLOOKUP(A1060,[1]Sheet15!B:E,3,0)</f>
        <v>#N/A</v>
      </c>
    </row>
    <row r="1061" spans="1:69" ht="15.75" customHeight="1" x14ac:dyDescent="0.25">
      <c r="A1061" s="12"/>
      <c r="B1061" s="15" t="e">
        <f>VLOOKUP(A1061,'[1]Master clients'!F1059:W4606,17,0)</f>
        <v>#N/A</v>
      </c>
      <c r="C1061" s="15" t="e">
        <f>VLOOKUP(A1061,'[1]Master clients'!F1059:P4606,11,0)</f>
        <v>#N/A</v>
      </c>
      <c r="D1061" s="15" t="e">
        <f>VLOOKUP(A1061,'[1]Master clients'!F:M,8,0)</f>
        <v>#N/A</v>
      </c>
      <c r="E1061" s="12"/>
      <c r="F1061" s="6"/>
      <c r="G1061" s="6"/>
      <c r="H1061" s="6"/>
      <c r="I1061" s="43"/>
      <c r="J1061" s="43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  <c r="AA1061" s="6"/>
      <c r="AB1061" s="6"/>
      <c r="AC1061" s="6"/>
      <c r="AD1061" s="6"/>
      <c r="AE1061" s="6"/>
      <c r="AF1061" s="6"/>
      <c r="AG1061" s="6"/>
      <c r="AH1061" s="6"/>
      <c r="AI1061" s="6"/>
      <c r="AJ1061" s="6"/>
      <c r="AK1061" s="6"/>
      <c r="AL1061" s="6"/>
      <c r="AM1061" s="6"/>
      <c r="AN1061" s="6"/>
      <c r="AO1061" s="6"/>
      <c r="AP1061" s="6"/>
      <c r="AQ1061" s="6"/>
      <c r="AR1061" s="6"/>
      <c r="AS1061" s="6"/>
      <c r="AT1061" s="6"/>
      <c r="AU1061" s="6"/>
      <c r="AV1061" s="6"/>
      <c r="AW1061" s="6"/>
      <c r="AX1061" s="6"/>
      <c r="AY1061" s="6"/>
      <c r="AZ1061" s="6"/>
      <c r="BA1061" s="6"/>
      <c r="BB1061" s="6"/>
      <c r="BC1061" s="6"/>
      <c r="BD1061" s="6"/>
      <c r="BE1061" s="6"/>
      <c r="BF1061" s="6"/>
      <c r="BG1061" s="6"/>
      <c r="BH1061" s="6"/>
      <c r="BI1061" s="6"/>
      <c r="BJ1061" s="6"/>
      <c r="BK1061" s="6"/>
      <c r="BL1061" s="44"/>
      <c r="BM1061" s="44"/>
      <c r="BN1061" s="45"/>
      <c r="BO1061" s="45"/>
      <c r="BP1061" s="7"/>
      <c r="BQ1061" s="7" t="e">
        <f>VLOOKUP(A1061,[1]Sheet15!B:E,3,0)</f>
        <v>#N/A</v>
      </c>
    </row>
    <row r="1062" spans="1:69" ht="15.75" customHeight="1" x14ac:dyDescent="0.25">
      <c r="A1062" s="12"/>
      <c r="B1062" s="15" t="e">
        <f>VLOOKUP(A1062,'[1]Master clients'!F1060:W4607,17,0)</f>
        <v>#N/A</v>
      </c>
      <c r="C1062" s="15" t="e">
        <f>VLOOKUP(A1062,'[1]Master clients'!F1060:P4607,11,0)</f>
        <v>#N/A</v>
      </c>
      <c r="D1062" s="15" t="e">
        <f>VLOOKUP(A1062,'[1]Master clients'!F:M,8,0)</f>
        <v>#N/A</v>
      </c>
      <c r="E1062" s="12"/>
      <c r="F1062" s="6"/>
      <c r="G1062" s="6"/>
      <c r="H1062" s="6"/>
      <c r="I1062" s="43"/>
      <c r="J1062" s="43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  <c r="AA1062" s="6"/>
      <c r="AB1062" s="6"/>
      <c r="AC1062" s="6"/>
      <c r="AD1062" s="6"/>
      <c r="AE1062" s="6"/>
      <c r="AF1062" s="6"/>
      <c r="AG1062" s="6"/>
      <c r="AH1062" s="6"/>
      <c r="AI1062" s="6"/>
      <c r="AJ1062" s="6"/>
      <c r="AK1062" s="6"/>
      <c r="AL1062" s="6"/>
      <c r="AM1062" s="6"/>
      <c r="AN1062" s="6"/>
      <c r="AO1062" s="6"/>
      <c r="AP1062" s="6"/>
      <c r="AQ1062" s="6"/>
      <c r="AR1062" s="6"/>
      <c r="AS1062" s="6"/>
      <c r="AT1062" s="6"/>
      <c r="AU1062" s="6"/>
      <c r="AV1062" s="6"/>
      <c r="AW1062" s="6"/>
      <c r="AX1062" s="6"/>
      <c r="AY1062" s="6"/>
      <c r="AZ1062" s="6"/>
      <c r="BA1062" s="6"/>
      <c r="BB1062" s="6"/>
      <c r="BC1062" s="6"/>
      <c r="BD1062" s="6"/>
      <c r="BE1062" s="6"/>
      <c r="BF1062" s="6"/>
      <c r="BG1062" s="6"/>
      <c r="BH1062" s="6"/>
      <c r="BI1062" s="6"/>
      <c r="BJ1062" s="6"/>
      <c r="BK1062" s="6"/>
      <c r="BL1062" s="44"/>
      <c r="BM1062" s="44"/>
      <c r="BN1062" s="45"/>
      <c r="BO1062" s="45"/>
      <c r="BP1062" s="7"/>
      <c r="BQ1062" s="7" t="e">
        <f>VLOOKUP(A1062,[1]Sheet15!B:E,3,0)</f>
        <v>#N/A</v>
      </c>
    </row>
    <row r="1063" spans="1:69" ht="15.75" customHeight="1" x14ac:dyDescent="0.25">
      <c r="A1063" s="12"/>
      <c r="B1063" s="15" t="e">
        <f>VLOOKUP(A1063,'[1]Master clients'!F1061:W4608,17,0)</f>
        <v>#N/A</v>
      </c>
      <c r="C1063" s="15" t="e">
        <f>VLOOKUP(A1063,'[1]Master clients'!F1061:P4608,11,0)</f>
        <v>#N/A</v>
      </c>
      <c r="D1063" s="15" t="e">
        <f>VLOOKUP(A1063,'[1]Master clients'!F:M,8,0)</f>
        <v>#N/A</v>
      </c>
      <c r="E1063" s="12"/>
      <c r="F1063" s="6"/>
      <c r="G1063" s="6"/>
      <c r="H1063" s="6"/>
      <c r="I1063" s="43"/>
      <c r="J1063" s="43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  <c r="AA1063" s="6"/>
      <c r="AB1063" s="6"/>
      <c r="AC1063" s="6"/>
      <c r="AD1063" s="6"/>
      <c r="AE1063" s="6"/>
      <c r="AF1063" s="6"/>
      <c r="AG1063" s="6"/>
      <c r="AH1063" s="6"/>
      <c r="AI1063" s="6"/>
      <c r="AJ1063" s="6"/>
      <c r="AK1063" s="6"/>
      <c r="AL1063" s="6"/>
      <c r="AM1063" s="6"/>
      <c r="AN1063" s="6"/>
      <c r="AO1063" s="6"/>
      <c r="AP1063" s="6"/>
      <c r="AQ1063" s="6"/>
      <c r="AR1063" s="6"/>
      <c r="AS1063" s="6"/>
      <c r="AT1063" s="6"/>
      <c r="AU1063" s="6"/>
      <c r="AV1063" s="6"/>
      <c r="AW1063" s="6"/>
      <c r="AX1063" s="6"/>
      <c r="AY1063" s="6"/>
      <c r="AZ1063" s="6"/>
      <c r="BA1063" s="6"/>
      <c r="BB1063" s="6"/>
      <c r="BC1063" s="6"/>
      <c r="BD1063" s="6"/>
      <c r="BE1063" s="6"/>
      <c r="BF1063" s="6"/>
      <c r="BG1063" s="6"/>
      <c r="BH1063" s="6"/>
      <c r="BI1063" s="6"/>
      <c r="BJ1063" s="6"/>
      <c r="BK1063" s="6"/>
      <c r="BL1063" s="44"/>
      <c r="BM1063" s="44"/>
      <c r="BN1063" s="45"/>
      <c r="BO1063" s="45"/>
      <c r="BP1063" s="7"/>
      <c r="BQ1063" s="7" t="e">
        <f>VLOOKUP(A1063,[1]Sheet15!B:E,3,0)</f>
        <v>#N/A</v>
      </c>
    </row>
    <row r="1064" spans="1:69" ht="15.75" customHeight="1" x14ac:dyDescent="0.25">
      <c r="A1064" s="12"/>
      <c r="B1064" s="15" t="e">
        <f>VLOOKUP(A1064,'[1]Master clients'!F1062:W4609,17,0)</f>
        <v>#N/A</v>
      </c>
      <c r="C1064" s="15" t="e">
        <f>VLOOKUP(A1064,'[1]Master clients'!F1062:P4609,11,0)</f>
        <v>#N/A</v>
      </c>
      <c r="D1064" s="15" t="e">
        <f>VLOOKUP(A1064,'[1]Master clients'!F:M,8,0)</f>
        <v>#N/A</v>
      </c>
      <c r="E1064" s="12"/>
      <c r="F1064" s="6"/>
      <c r="G1064" s="6"/>
      <c r="H1064" s="6"/>
      <c r="I1064" s="43"/>
      <c r="J1064" s="43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  <c r="AA1064" s="6"/>
      <c r="AB1064" s="6"/>
      <c r="AC1064" s="6"/>
      <c r="AD1064" s="6"/>
      <c r="AE1064" s="6"/>
      <c r="AF1064" s="6"/>
      <c r="AG1064" s="6"/>
      <c r="AH1064" s="6"/>
      <c r="AI1064" s="6"/>
      <c r="AJ1064" s="6"/>
      <c r="AK1064" s="6"/>
      <c r="AL1064" s="6"/>
      <c r="AM1064" s="6"/>
      <c r="AN1064" s="6"/>
      <c r="AO1064" s="6"/>
      <c r="AP1064" s="6"/>
      <c r="AQ1064" s="6"/>
      <c r="AR1064" s="6"/>
      <c r="AS1064" s="6"/>
      <c r="AT1064" s="6"/>
      <c r="AU1064" s="6"/>
      <c r="AV1064" s="6"/>
      <c r="AW1064" s="6"/>
      <c r="AX1064" s="6"/>
      <c r="AY1064" s="6"/>
      <c r="AZ1064" s="6"/>
      <c r="BA1064" s="6"/>
      <c r="BB1064" s="6"/>
      <c r="BC1064" s="6"/>
      <c r="BD1064" s="6"/>
      <c r="BE1064" s="6"/>
      <c r="BF1064" s="6"/>
      <c r="BG1064" s="6"/>
      <c r="BH1064" s="6"/>
      <c r="BI1064" s="6"/>
      <c r="BJ1064" s="6"/>
      <c r="BK1064" s="6"/>
      <c r="BL1064" s="44"/>
      <c r="BM1064" s="44"/>
      <c r="BN1064" s="45"/>
      <c r="BO1064" s="45"/>
      <c r="BP1064" s="7"/>
      <c r="BQ1064" s="7" t="e">
        <f>VLOOKUP(A1064,[1]Sheet15!B:E,3,0)</f>
        <v>#N/A</v>
      </c>
    </row>
    <row r="1065" spans="1:69" ht="15.75" customHeight="1" x14ac:dyDescent="0.25">
      <c r="A1065" s="12"/>
      <c r="B1065" s="15" t="e">
        <f>VLOOKUP(A1065,'[1]Master clients'!F1063:W4610,17,0)</f>
        <v>#N/A</v>
      </c>
      <c r="C1065" s="15" t="e">
        <f>VLOOKUP(A1065,'[1]Master clients'!F1063:P4610,11,0)</f>
        <v>#N/A</v>
      </c>
      <c r="D1065" s="15" t="e">
        <f>VLOOKUP(A1065,'[1]Master clients'!F:M,8,0)</f>
        <v>#N/A</v>
      </c>
      <c r="E1065" s="12"/>
      <c r="F1065" s="6"/>
      <c r="G1065" s="6"/>
      <c r="H1065" s="6"/>
      <c r="I1065" s="43"/>
      <c r="J1065" s="43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  <c r="AA1065" s="6"/>
      <c r="AB1065" s="6"/>
      <c r="AC1065" s="6"/>
      <c r="AD1065" s="6"/>
      <c r="AE1065" s="6"/>
      <c r="AF1065" s="6"/>
      <c r="AG1065" s="6"/>
      <c r="AH1065" s="6"/>
      <c r="AI1065" s="6"/>
      <c r="AJ1065" s="6"/>
      <c r="AK1065" s="6"/>
      <c r="AL1065" s="6"/>
      <c r="AM1065" s="6"/>
      <c r="AN1065" s="6"/>
      <c r="AO1065" s="6"/>
      <c r="AP1065" s="6"/>
      <c r="AQ1065" s="6"/>
      <c r="AR1065" s="6"/>
      <c r="AS1065" s="6"/>
      <c r="AT1065" s="6"/>
      <c r="AU1065" s="6"/>
      <c r="AV1065" s="6"/>
      <c r="AW1065" s="6"/>
      <c r="AX1065" s="6"/>
      <c r="AY1065" s="6"/>
      <c r="AZ1065" s="6"/>
      <c r="BA1065" s="6"/>
      <c r="BB1065" s="6"/>
      <c r="BC1065" s="6"/>
      <c r="BD1065" s="6"/>
      <c r="BE1065" s="6"/>
      <c r="BF1065" s="6"/>
      <c r="BG1065" s="6"/>
      <c r="BH1065" s="6"/>
      <c r="BI1065" s="6"/>
      <c r="BJ1065" s="6"/>
      <c r="BK1065" s="6"/>
      <c r="BL1065" s="44"/>
      <c r="BM1065" s="44"/>
      <c r="BN1065" s="45"/>
      <c r="BO1065" s="45"/>
      <c r="BP1065" s="7"/>
      <c r="BQ1065" s="7" t="e">
        <f>VLOOKUP(A1065,[1]Sheet15!B:E,3,0)</f>
        <v>#N/A</v>
      </c>
    </row>
    <row r="1066" spans="1:69" ht="15.75" customHeight="1" x14ac:dyDescent="0.25">
      <c r="A1066" s="12"/>
      <c r="B1066" s="15" t="e">
        <f>VLOOKUP(A1066,'[1]Master clients'!F1064:W4611,17,0)</f>
        <v>#N/A</v>
      </c>
      <c r="C1066" s="15" t="e">
        <f>VLOOKUP(A1066,'[1]Master clients'!F1064:P4611,11,0)</f>
        <v>#N/A</v>
      </c>
      <c r="D1066" s="15" t="e">
        <f>VLOOKUP(A1066,'[1]Master clients'!F:M,8,0)</f>
        <v>#N/A</v>
      </c>
      <c r="E1066" s="12"/>
      <c r="F1066" s="6"/>
      <c r="G1066" s="6"/>
      <c r="H1066" s="6"/>
      <c r="I1066" s="43"/>
      <c r="J1066" s="43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  <c r="AA1066" s="6"/>
      <c r="AB1066" s="6"/>
      <c r="AC1066" s="6"/>
      <c r="AD1066" s="6"/>
      <c r="AE1066" s="6"/>
      <c r="AF1066" s="6"/>
      <c r="AG1066" s="6"/>
      <c r="AH1066" s="6"/>
      <c r="AI1066" s="6"/>
      <c r="AJ1066" s="6"/>
      <c r="AK1066" s="6"/>
      <c r="AL1066" s="6"/>
      <c r="AM1066" s="6"/>
      <c r="AN1066" s="6"/>
      <c r="AO1066" s="6"/>
      <c r="AP1066" s="6"/>
      <c r="AQ1066" s="6"/>
      <c r="AR1066" s="6"/>
      <c r="AS1066" s="6"/>
      <c r="AT1066" s="6"/>
      <c r="AU1066" s="6"/>
      <c r="AV1066" s="6"/>
      <c r="AW1066" s="6"/>
      <c r="AX1066" s="6"/>
      <c r="AY1066" s="6"/>
      <c r="AZ1066" s="6"/>
      <c r="BA1066" s="6"/>
      <c r="BB1066" s="6"/>
      <c r="BC1066" s="6"/>
      <c r="BD1066" s="6"/>
      <c r="BE1066" s="6"/>
      <c r="BF1066" s="6"/>
      <c r="BG1066" s="6"/>
      <c r="BH1066" s="6"/>
      <c r="BI1066" s="6"/>
      <c r="BJ1066" s="6"/>
      <c r="BK1066" s="6"/>
      <c r="BL1066" s="44"/>
      <c r="BM1066" s="44"/>
      <c r="BN1066" s="45"/>
      <c r="BO1066" s="45"/>
      <c r="BP1066" s="7"/>
      <c r="BQ1066" s="7" t="e">
        <f>VLOOKUP(A1066,[1]Sheet15!B:E,3,0)</f>
        <v>#N/A</v>
      </c>
    </row>
    <row r="1067" spans="1:69" ht="15.75" customHeight="1" x14ac:dyDescent="0.25">
      <c r="A1067" s="12"/>
      <c r="B1067" s="15" t="e">
        <f>VLOOKUP(A1067,'[1]Master clients'!F1065:W4612,17,0)</f>
        <v>#N/A</v>
      </c>
      <c r="C1067" s="15" t="e">
        <f>VLOOKUP(A1067,'[1]Master clients'!F1065:P4612,11,0)</f>
        <v>#N/A</v>
      </c>
      <c r="D1067" s="15" t="e">
        <f>VLOOKUP(A1067,'[1]Master clients'!F:M,8,0)</f>
        <v>#N/A</v>
      </c>
      <c r="E1067" s="12"/>
      <c r="F1067" s="6"/>
      <c r="G1067" s="6"/>
      <c r="H1067" s="6"/>
      <c r="I1067" s="43"/>
      <c r="J1067" s="43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  <c r="AA1067" s="6"/>
      <c r="AB1067" s="6"/>
      <c r="AC1067" s="6"/>
      <c r="AD1067" s="6"/>
      <c r="AE1067" s="6"/>
      <c r="AF1067" s="6"/>
      <c r="AG1067" s="6"/>
      <c r="AH1067" s="6"/>
      <c r="AI1067" s="6"/>
      <c r="AJ1067" s="6"/>
      <c r="AK1067" s="6"/>
      <c r="AL1067" s="6"/>
      <c r="AM1067" s="6"/>
      <c r="AN1067" s="6"/>
      <c r="AO1067" s="6"/>
      <c r="AP1067" s="6"/>
      <c r="AQ1067" s="6"/>
      <c r="AR1067" s="6"/>
      <c r="AS1067" s="6"/>
      <c r="AT1067" s="6"/>
      <c r="AU1067" s="6"/>
      <c r="AV1067" s="6"/>
      <c r="AW1067" s="6"/>
      <c r="AX1067" s="6"/>
      <c r="AY1067" s="6"/>
      <c r="AZ1067" s="6"/>
      <c r="BA1067" s="6"/>
      <c r="BB1067" s="6"/>
      <c r="BC1067" s="6"/>
      <c r="BD1067" s="6"/>
      <c r="BE1067" s="6"/>
      <c r="BF1067" s="6"/>
      <c r="BG1067" s="6"/>
      <c r="BH1067" s="6"/>
      <c r="BI1067" s="6"/>
      <c r="BJ1067" s="6"/>
      <c r="BK1067" s="6"/>
      <c r="BL1067" s="44"/>
      <c r="BM1067" s="44"/>
      <c r="BN1067" s="45"/>
      <c r="BO1067" s="45"/>
      <c r="BP1067" s="7"/>
      <c r="BQ1067" s="7" t="e">
        <f>VLOOKUP(A1067,[1]Sheet15!B:E,3,0)</f>
        <v>#N/A</v>
      </c>
    </row>
    <row r="1068" spans="1:69" ht="15.75" customHeight="1" x14ac:dyDescent="0.25">
      <c r="A1068" s="12"/>
      <c r="B1068" s="15" t="e">
        <f>VLOOKUP(A1068,'[1]Master clients'!F1066:W4613,17,0)</f>
        <v>#N/A</v>
      </c>
      <c r="C1068" s="15" t="e">
        <f>VLOOKUP(A1068,'[1]Master clients'!F1066:P4613,11,0)</f>
        <v>#N/A</v>
      </c>
      <c r="D1068" s="15" t="e">
        <f>VLOOKUP(A1068,'[1]Master clients'!F:M,8,0)</f>
        <v>#N/A</v>
      </c>
      <c r="E1068" s="12"/>
      <c r="F1068" s="6"/>
      <c r="G1068" s="6"/>
      <c r="H1068" s="6"/>
      <c r="I1068" s="43"/>
      <c r="J1068" s="43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  <c r="AA1068" s="6"/>
      <c r="AB1068" s="6"/>
      <c r="AC1068" s="6"/>
      <c r="AD1068" s="6"/>
      <c r="AE1068" s="6"/>
      <c r="AF1068" s="6"/>
      <c r="AG1068" s="6"/>
      <c r="AH1068" s="6"/>
      <c r="AI1068" s="6"/>
      <c r="AJ1068" s="6"/>
      <c r="AK1068" s="6"/>
      <c r="AL1068" s="6"/>
      <c r="AM1068" s="6"/>
      <c r="AN1068" s="6"/>
      <c r="AO1068" s="6"/>
      <c r="AP1068" s="6"/>
      <c r="AQ1068" s="6"/>
      <c r="AR1068" s="6"/>
      <c r="AS1068" s="6"/>
      <c r="AT1068" s="6"/>
      <c r="AU1068" s="6"/>
      <c r="AV1068" s="6"/>
      <c r="AW1068" s="6"/>
      <c r="AX1068" s="6"/>
      <c r="AY1068" s="6"/>
      <c r="AZ1068" s="6"/>
      <c r="BA1068" s="6"/>
      <c r="BB1068" s="6"/>
      <c r="BC1068" s="6"/>
      <c r="BD1068" s="6"/>
      <c r="BE1068" s="6"/>
      <c r="BF1068" s="6"/>
      <c r="BG1068" s="6"/>
      <c r="BH1068" s="6"/>
      <c r="BI1068" s="6"/>
      <c r="BJ1068" s="6"/>
      <c r="BK1068" s="6"/>
      <c r="BL1068" s="44"/>
      <c r="BM1068" s="44"/>
      <c r="BN1068" s="45"/>
      <c r="BO1068" s="45"/>
      <c r="BP1068" s="7"/>
      <c r="BQ1068" s="7" t="e">
        <f>VLOOKUP(A1068,[1]Sheet15!B:E,3,0)</f>
        <v>#N/A</v>
      </c>
    </row>
    <row r="1069" spans="1:69" ht="15.75" customHeight="1" x14ac:dyDescent="0.25">
      <c r="A1069" s="12"/>
      <c r="B1069" s="15" t="e">
        <f>VLOOKUP(A1069,'[1]Master clients'!F1067:W4614,17,0)</f>
        <v>#N/A</v>
      </c>
      <c r="C1069" s="15" t="e">
        <f>VLOOKUP(A1069,'[1]Master clients'!F1067:P4614,11,0)</f>
        <v>#N/A</v>
      </c>
      <c r="D1069" s="15" t="e">
        <f>VLOOKUP(A1069,'[1]Master clients'!F:M,8,0)</f>
        <v>#N/A</v>
      </c>
      <c r="E1069" s="12"/>
      <c r="F1069" s="6"/>
      <c r="G1069" s="6"/>
      <c r="H1069" s="6"/>
      <c r="I1069" s="43"/>
      <c r="J1069" s="43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  <c r="AA1069" s="6"/>
      <c r="AB1069" s="6"/>
      <c r="AC1069" s="6"/>
      <c r="AD1069" s="6"/>
      <c r="AE1069" s="6"/>
      <c r="AF1069" s="6"/>
      <c r="AG1069" s="6"/>
      <c r="AH1069" s="6"/>
      <c r="AI1069" s="6"/>
      <c r="AJ1069" s="6"/>
      <c r="AK1069" s="6"/>
      <c r="AL1069" s="6"/>
      <c r="AM1069" s="6"/>
      <c r="AN1069" s="6"/>
      <c r="AO1069" s="6"/>
      <c r="AP1069" s="6"/>
      <c r="AQ1069" s="6"/>
      <c r="AR1069" s="6"/>
      <c r="AS1069" s="6"/>
      <c r="AT1069" s="6"/>
      <c r="AU1069" s="6"/>
      <c r="AV1069" s="6"/>
      <c r="AW1069" s="6"/>
      <c r="AX1069" s="6"/>
      <c r="AY1069" s="6"/>
      <c r="AZ1069" s="6"/>
      <c r="BA1069" s="6"/>
      <c r="BB1069" s="6"/>
      <c r="BC1069" s="6"/>
      <c r="BD1069" s="6"/>
      <c r="BE1069" s="6"/>
      <c r="BF1069" s="6"/>
      <c r="BG1069" s="6"/>
      <c r="BH1069" s="6"/>
      <c r="BI1069" s="6"/>
      <c r="BJ1069" s="6"/>
      <c r="BK1069" s="6"/>
      <c r="BL1069" s="44"/>
      <c r="BM1069" s="44"/>
      <c r="BN1069" s="45"/>
      <c r="BO1069" s="45"/>
      <c r="BP1069" s="7"/>
      <c r="BQ1069" s="7" t="e">
        <f>VLOOKUP(A1069,[1]Sheet15!B:E,3,0)</f>
        <v>#N/A</v>
      </c>
    </row>
    <row r="1070" spans="1:69" ht="15.75" customHeight="1" x14ac:dyDescent="0.25">
      <c r="A1070" s="12"/>
      <c r="B1070" s="15" t="e">
        <f>VLOOKUP(A1070,'[1]Master clients'!F1068:W4615,17,0)</f>
        <v>#N/A</v>
      </c>
      <c r="C1070" s="15" t="e">
        <f>VLOOKUP(A1070,'[1]Master clients'!F1068:P4615,11,0)</f>
        <v>#N/A</v>
      </c>
      <c r="D1070" s="15" t="e">
        <f>VLOOKUP(A1070,'[1]Master clients'!F:M,8,0)</f>
        <v>#N/A</v>
      </c>
      <c r="E1070" s="12"/>
      <c r="F1070" s="6"/>
      <c r="G1070" s="6"/>
      <c r="H1070" s="6"/>
      <c r="I1070" s="43"/>
      <c r="J1070" s="43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  <c r="AA1070" s="6"/>
      <c r="AB1070" s="6"/>
      <c r="AC1070" s="6"/>
      <c r="AD1070" s="6"/>
      <c r="AE1070" s="6"/>
      <c r="AF1070" s="6"/>
      <c r="AG1070" s="6"/>
      <c r="AH1070" s="6"/>
      <c r="AI1070" s="6"/>
      <c r="AJ1070" s="6"/>
      <c r="AK1070" s="6"/>
      <c r="AL1070" s="6"/>
      <c r="AM1070" s="6"/>
      <c r="AN1070" s="6"/>
      <c r="AO1070" s="6"/>
      <c r="AP1070" s="6"/>
      <c r="AQ1070" s="6"/>
      <c r="AR1070" s="6"/>
      <c r="AS1070" s="6"/>
      <c r="AT1070" s="6"/>
      <c r="AU1070" s="6"/>
      <c r="AV1070" s="6"/>
      <c r="AW1070" s="6"/>
      <c r="AX1070" s="6"/>
      <c r="AY1070" s="6"/>
      <c r="AZ1070" s="6"/>
      <c r="BA1070" s="6"/>
      <c r="BB1070" s="6"/>
      <c r="BC1070" s="6"/>
      <c r="BD1070" s="6"/>
      <c r="BE1070" s="6"/>
      <c r="BF1070" s="6"/>
      <c r="BG1070" s="6"/>
      <c r="BH1070" s="6"/>
      <c r="BI1070" s="6"/>
      <c r="BJ1070" s="6"/>
      <c r="BK1070" s="6"/>
      <c r="BL1070" s="44"/>
      <c r="BM1070" s="44"/>
      <c r="BN1070" s="45"/>
      <c r="BO1070" s="45"/>
      <c r="BP1070" s="7"/>
      <c r="BQ1070" s="7" t="e">
        <f>VLOOKUP(A1070,[1]Sheet15!B:E,3,0)</f>
        <v>#N/A</v>
      </c>
    </row>
    <row r="1071" spans="1:69" ht="15.75" customHeight="1" x14ac:dyDescent="0.25">
      <c r="A1071" s="12"/>
      <c r="B1071" s="15" t="e">
        <f>VLOOKUP(A1071,'[1]Master clients'!F1069:W4616,17,0)</f>
        <v>#N/A</v>
      </c>
      <c r="C1071" s="15" t="e">
        <f>VLOOKUP(A1071,'[1]Master clients'!F1069:P4616,11,0)</f>
        <v>#N/A</v>
      </c>
      <c r="D1071" s="15" t="e">
        <f>VLOOKUP(A1071,'[1]Master clients'!F:M,8,0)</f>
        <v>#N/A</v>
      </c>
      <c r="E1071" s="12"/>
      <c r="F1071" s="6"/>
      <c r="G1071" s="6"/>
      <c r="H1071" s="6"/>
      <c r="I1071" s="43"/>
      <c r="J1071" s="43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  <c r="AA1071" s="6"/>
      <c r="AB1071" s="6"/>
      <c r="AC1071" s="6"/>
      <c r="AD1071" s="6"/>
      <c r="AE1071" s="6"/>
      <c r="AF1071" s="6"/>
      <c r="AG1071" s="6"/>
      <c r="AH1071" s="6"/>
      <c r="AI1071" s="6"/>
      <c r="AJ1071" s="6"/>
      <c r="AK1071" s="6"/>
      <c r="AL1071" s="6"/>
      <c r="AM1071" s="6"/>
      <c r="AN1071" s="6"/>
      <c r="AO1071" s="6"/>
      <c r="AP1071" s="6"/>
      <c r="AQ1071" s="6"/>
      <c r="AR1071" s="6"/>
      <c r="AS1071" s="6"/>
      <c r="AT1071" s="6"/>
      <c r="AU1071" s="6"/>
      <c r="AV1071" s="6"/>
      <c r="AW1071" s="6"/>
      <c r="AX1071" s="6"/>
      <c r="AY1071" s="6"/>
      <c r="AZ1071" s="6"/>
      <c r="BA1071" s="6"/>
      <c r="BB1071" s="6"/>
      <c r="BC1071" s="6"/>
      <c r="BD1071" s="6"/>
      <c r="BE1071" s="6"/>
      <c r="BF1071" s="6"/>
      <c r="BG1071" s="6"/>
      <c r="BH1071" s="6"/>
      <c r="BI1071" s="6"/>
      <c r="BJ1071" s="6"/>
      <c r="BK1071" s="6"/>
      <c r="BL1071" s="44"/>
      <c r="BM1071" s="44"/>
      <c r="BN1071" s="45"/>
      <c r="BO1071" s="45"/>
      <c r="BP1071" s="7"/>
      <c r="BQ1071" s="7" t="e">
        <f>VLOOKUP(A1071,[1]Sheet15!B:E,3,0)</f>
        <v>#N/A</v>
      </c>
    </row>
    <row r="1072" spans="1:69" ht="15.75" customHeight="1" x14ac:dyDescent="0.25">
      <c r="A1072" s="12"/>
      <c r="B1072" s="15" t="e">
        <f>VLOOKUP(A1072,'[1]Master clients'!F1070:W4617,17,0)</f>
        <v>#N/A</v>
      </c>
      <c r="C1072" s="15" t="e">
        <f>VLOOKUP(A1072,'[1]Master clients'!F1070:P4617,11,0)</f>
        <v>#N/A</v>
      </c>
      <c r="D1072" s="15" t="e">
        <f>VLOOKUP(A1072,'[1]Master clients'!F:M,8,0)</f>
        <v>#N/A</v>
      </c>
      <c r="E1072" s="12"/>
      <c r="F1072" s="6"/>
      <c r="G1072" s="6"/>
      <c r="H1072" s="6"/>
      <c r="I1072" s="43"/>
      <c r="J1072" s="43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  <c r="AA1072" s="6"/>
      <c r="AB1072" s="6"/>
      <c r="AC1072" s="6"/>
      <c r="AD1072" s="6"/>
      <c r="AE1072" s="6"/>
      <c r="AF1072" s="6"/>
      <c r="AG1072" s="6"/>
      <c r="AH1072" s="6"/>
      <c r="AI1072" s="6"/>
      <c r="AJ1072" s="6"/>
      <c r="AK1072" s="6"/>
      <c r="AL1072" s="6"/>
      <c r="AM1072" s="6"/>
      <c r="AN1072" s="6"/>
      <c r="AO1072" s="6"/>
      <c r="AP1072" s="6"/>
      <c r="AQ1072" s="6"/>
      <c r="AR1072" s="6"/>
      <c r="AS1072" s="6"/>
      <c r="AT1072" s="6"/>
      <c r="AU1072" s="6"/>
      <c r="AV1072" s="6"/>
      <c r="AW1072" s="6"/>
      <c r="AX1072" s="6"/>
      <c r="AY1072" s="6"/>
      <c r="AZ1072" s="6"/>
      <c r="BA1072" s="6"/>
      <c r="BB1072" s="6"/>
      <c r="BC1072" s="6"/>
      <c r="BD1072" s="6"/>
      <c r="BE1072" s="6"/>
      <c r="BF1072" s="6"/>
      <c r="BG1072" s="6"/>
      <c r="BH1072" s="6"/>
      <c r="BI1072" s="6"/>
      <c r="BJ1072" s="6"/>
      <c r="BK1072" s="6"/>
      <c r="BL1072" s="44"/>
      <c r="BM1072" s="44"/>
      <c r="BN1072" s="45"/>
      <c r="BO1072" s="45"/>
      <c r="BP1072" s="7"/>
      <c r="BQ1072" s="7" t="e">
        <f>VLOOKUP(A1072,[1]Sheet15!B:E,3,0)</f>
        <v>#N/A</v>
      </c>
    </row>
    <row r="1073" spans="1:69" ht="15.75" customHeight="1" x14ac:dyDescent="0.25">
      <c r="A1073" s="12"/>
      <c r="B1073" s="15" t="e">
        <f>VLOOKUP(A1073,'[1]Master clients'!F1071:W4618,17,0)</f>
        <v>#N/A</v>
      </c>
      <c r="C1073" s="15" t="e">
        <f>VLOOKUP(A1073,'[1]Master clients'!F1071:P4618,11,0)</f>
        <v>#N/A</v>
      </c>
      <c r="D1073" s="15" t="e">
        <f>VLOOKUP(A1073,'[1]Master clients'!F:M,8,0)</f>
        <v>#N/A</v>
      </c>
      <c r="E1073" s="12"/>
      <c r="F1073" s="6"/>
      <c r="G1073" s="6"/>
      <c r="H1073" s="6"/>
      <c r="I1073" s="43"/>
      <c r="J1073" s="43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  <c r="AA1073" s="6"/>
      <c r="AB1073" s="6"/>
      <c r="AC1073" s="6"/>
      <c r="AD1073" s="6"/>
      <c r="AE1073" s="6"/>
      <c r="AF1073" s="6"/>
      <c r="AG1073" s="6"/>
      <c r="AH1073" s="6"/>
      <c r="AI1073" s="6"/>
      <c r="AJ1073" s="6"/>
      <c r="AK1073" s="6"/>
      <c r="AL1073" s="6"/>
      <c r="AM1073" s="6"/>
      <c r="AN1073" s="6"/>
      <c r="AO1073" s="6"/>
      <c r="AP1073" s="6"/>
      <c r="AQ1073" s="6"/>
      <c r="AR1073" s="6"/>
      <c r="AS1073" s="6"/>
      <c r="AT1073" s="6"/>
      <c r="AU1073" s="6"/>
      <c r="AV1073" s="6"/>
      <c r="AW1073" s="6"/>
      <c r="AX1073" s="6"/>
      <c r="AY1073" s="6"/>
      <c r="AZ1073" s="6"/>
      <c r="BA1073" s="6"/>
      <c r="BB1073" s="6"/>
      <c r="BC1073" s="6"/>
      <c r="BD1073" s="6"/>
      <c r="BE1073" s="6"/>
      <c r="BF1073" s="6"/>
      <c r="BG1073" s="6"/>
      <c r="BH1073" s="6"/>
      <c r="BI1073" s="6"/>
      <c r="BJ1073" s="6"/>
      <c r="BK1073" s="6"/>
      <c r="BL1073" s="44"/>
      <c r="BM1073" s="44"/>
      <c r="BN1073" s="45"/>
      <c r="BO1073" s="45"/>
      <c r="BP1073" s="7"/>
      <c r="BQ1073" s="7" t="e">
        <f>VLOOKUP(A1073,[1]Sheet15!B:E,3,0)</f>
        <v>#N/A</v>
      </c>
    </row>
    <row r="1074" spans="1:69" ht="15.75" customHeight="1" x14ac:dyDescent="0.25">
      <c r="A1074" s="12"/>
      <c r="B1074" s="15" t="e">
        <f>VLOOKUP(A1074,'[1]Master clients'!F1072:W4619,17,0)</f>
        <v>#N/A</v>
      </c>
      <c r="C1074" s="15" t="e">
        <f>VLOOKUP(A1074,'[1]Master clients'!F1072:P4619,11,0)</f>
        <v>#N/A</v>
      </c>
      <c r="D1074" s="15" t="e">
        <f>VLOOKUP(A1074,'[1]Master clients'!F:M,8,0)</f>
        <v>#N/A</v>
      </c>
      <c r="E1074" s="12"/>
      <c r="F1074" s="6"/>
      <c r="G1074" s="6"/>
      <c r="H1074" s="6"/>
      <c r="I1074" s="43"/>
      <c r="J1074" s="43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  <c r="AA1074" s="6"/>
      <c r="AB1074" s="6"/>
      <c r="AC1074" s="6"/>
      <c r="AD1074" s="6"/>
      <c r="AE1074" s="6"/>
      <c r="AF1074" s="6"/>
      <c r="AG1074" s="6"/>
      <c r="AH1074" s="6"/>
      <c r="AI1074" s="6"/>
      <c r="AJ1074" s="6"/>
      <c r="AK1074" s="6"/>
      <c r="AL1074" s="6"/>
      <c r="AM1074" s="6"/>
      <c r="AN1074" s="6"/>
      <c r="AO1074" s="6"/>
      <c r="AP1074" s="6"/>
      <c r="AQ1074" s="6"/>
      <c r="AR1074" s="6"/>
      <c r="AS1074" s="6"/>
      <c r="AT1074" s="6"/>
      <c r="AU1074" s="6"/>
      <c r="AV1074" s="6"/>
      <c r="AW1074" s="6"/>
      <c r="AX1074" s="6"/>
      <c r="AY1074" s="6"/>
      <c r="AZ1074" s="6"/>
      <c r="BA1074" s="6"/>
      <c r="BB1074" s="6"/>
      <c r="BC1074" s="6"/>
      <c r="BD1074" s="6"/>
      <c r="BE1074" s="6"/>
      <c r="BF1074" s="6"/>
      <c r="BG1074" s="6"/>
      <c r="BH1074" s="6"/>
      <c r="BI1074" s="6"/>
      <c r="BJ1074" s="6"/>
      <c r="BK1074" s="6"/>
      <c r="BL1074" s="44"/>
      <c r="BM1074" s="44"/>
      <c r="BN1074" s="45"/>
      <c r="BO1074" s="45"/>
      <c r="BP1074" s="7"/>
      <c r="BQ1074" s="7" t="e">
        <f>VLOOKUP(A1074,[1]Sheet15!B:E,3,0)</f>
        <v>#N/A</v>
      </c>
    </row>
    <row r="1075" spans="1:69" ht="15.75" customHeight="1" x14ac:dyDescent="0.25">
      <c r="A1075" s="12"/>
      <c r="B1075" s="15" t="e">
        <f>VLOOKUP(A1075,'[1]Master clients'!F1073:W4620,17,0)</f>
        <v>#N/A</v>
      </c>
      <c r="C1075" s="15" t="e">
        <f>VLOOKUP(A1075,'[1]Master clients'!F1073:P4620,11,0)</f>
        <v>#N/A</v>
      </c>
      <c r="D1075" s="15" t="e">
        <f>VLOOKUP(A1075,'[1]Master clients'!F:M,8,0)</f>
        <v>#N/A</v>
      </c>
      <c r="E1075" s="12"/>
      <c r="F1075" s="6"/>
      <c r="G1075" s="6"/>
      <c r="H1075" s="6"/>
      <c r="I1075" s="43"/>
      <c r="J1075" s="43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  <c r="AA1075" s="6"/>
      <c r="AB1075" s="6"/>
      <c r="AC1075" s="6"/>
      <c r="AD1075" s="6"/>
      <c r="AE1075" s="6"/>
      <c r="AF1075" s="6"/>
      <c r="AG1075" s="6"/>
      <c r="AH1075" s="6"/>
      <c r="AI1075" s="6"/>
      <c r="AJ1075" s="6"/>
      <c r="AK1075" s="6"/>
      <c r="AL1075" s="6"/>
      <c r="AM1075" s="6"/>
      <c r="AN1075" s="6"/>
      <c r="AO1075" s="6"/>
      <c r="AP1075" s="6"/>
      <c r="AQ1075" s="6"/>
      <c r="AR1075" s="6"/>
      <c r="AS1075" s="6"/>
      <c r="AT1075" s="6"/>
      <c r="AU1075" s="6"/>
      <c r="AV1075" s="6"/>
      <c r="AW1075" s="6"/>
      <c r="AX1075" s="6"/>
      <c r="AY1075" s="6"/>
      <c r="AZ1075" s="6"/>
      <c r="BA1075" s="6"/>
      <c r="BB1075" s="6"/>
      <c r="BC1075" s="6"/>
      <c r="BD1075" s="6"/>
      <c r="BE1075" s="6"/>
      <c r="BF1075" s="6"/>
      <c r="BG1075" s="6"/>
      <c r="BH1075" s="6"/>
      <c r="BI1075" s="6"/>
      <c r="BJ1075" s="6"/>
      <c r="BK1075" s="6"/>
      <c r="BL1075" s="44"/>
      <c r="BM1075" s="44"/>
      <c r="BN1075" s="45"/>
      <c r="BO1075" s="45"/>
      <c r="BP1075" s="7"/>
      <c r="BQ1075" s="7" t="e">
        <f>VLOOKUP(A1075,[1]Sheet15!B:E,3,0)</f>
        <v>#N/A</v>
      </c>
    </row>
    <row r="1076" spans="1:69" ht="15.75" customHeight="1" x14ac:dyDescent="0.25">
      <c r="A1076" s="12"/>
      <c r="B1076" s="15" t="e">
        <f>VLOOKUP(A1076,'[1]Master clients'!F1074:W4621,17,0)</f>
        <v>#N/A</v>
      </c>
      <c r="C1076" s="15" t="e">
        <f>VLOOKUP(A1076,'[1]Master clients'!F1074:P4621,11,0)</f>
        <v>#N/A</v>
      </c>
      <c r="D1076" s="15" t="e">
        <f>VLOOKUP(A1076,'[1]Master clients'!F:M,8,0)</f>
        <v>#N/A</v>
      </c>
      <c r="E1076" s="12"/>
      <c r="F1076" s="6"/>
      <c r="G1076" s="6"/>
      <c r="H1076" s="6"/>
      <c r="I1076" s="43"/>
      <c r="J1076" s="43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  <c r="AA1076" s="6"/>
      <c r="AB1076" s="6"/>
      <c r="AC1076" s="6"/>
      <c r="AD1076" s="6"/>
      <c r="AE1076" s="6"/>
      <c r="AF1076" s="6"/>
      <c r="AG1076" s="6"/>
      <c r="AH1076" s="6"/>
      <c r="AI1076" s="6"/>
      <c r="AJ1076" s="6"/>
      <c r="AK1076" s="6"/>
      <c r="AL1076" s="6"/>
      <c r="AM1076" s="6"/>
      <c r="AN1076" s="6"/>
      <c r="AO1076" s="6"/>
      <c r="AP1076" s="6"/>
      <c r="AQ1076" s="6"/>
      <c r="AR1076" s="6"/>
      <c r="AS1076" s="6"/>
      <c r="AT1076" s="6"/>
      <c r="AU1076" s="6"/>
      <c r="AV1076" s="6"/>
      <c r="AW1076" s="6"/>
      <c r="AX1076" s="6"/>
      <c r="AY1076" s="6"/>
      <c r="AZ1076" s="6"/>
      <c r="BA1076" s="6"/>
      <c r="BB1076" s="6"/>
      <c r="BC1076" s="6"/>
      <c r="BD1076" s="6"/>
      <c r="BE1076" s="6"/>
      <c r="BF1076" s="6"/>
      <c r="BG1076" s="6"/>
      <c r="BH1076" s="6"/>
      <c r="BI1076" s="6"/>
      <c r="BJ1076" s="6"/>
      <c r="BK1076" s="6"/>
      <c r="BL1076" s="44"/>
      <c r="BM1076" s="44"/>
      <c r="BN1076" s="45"/>
      <c r="BO1076" s="45"/>
      <c r="BP1076" s="7"/>
      <c r="BQ1076" s="7" t="e">
        <f>VLOOKUP(A1076,[1]Sheet15!B:E,3,0)</f>
        <v>#N/A</v>
      </c>
    </row>
    <row r="1077" spans="1:69" ht="15.75" customHeight="1" x14ac:dyDescent="0.25">
      <c r="A1077" s="12"/>
      <c r="B1077" s="15" t="e">
        <f>VLOOKUP(A1077,'[1]Master clients'!F1075:W4622,17,0)</f>
        <v>#N/A</v>
      </c>
      <c r="C1077" s="15" t="e">
        <f>VLOOKUP(A1077,'[1]Master clients'!F1075:P4622,11,0)</f>
        <v>#N/A</v>
      </c>
      <c r="D1077" s="15" t="e">
        <f>VLOOKUP(A1077,'[1]Master clients'!F:M,8,0)</f>
        <v>#N/A</v>
      </c>
      <c r="E1077" s="12"/>
      <c r="F1077" s="6"/>
      <c r="G1077" s="6"/>
      <c r="H1077" s="6"/>
      <c r="I1077" s="43"/>
      <c r="J1077" s="43"/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  <c r="AA1077" s="6"/>
      <c r="AB1077" s="6"/>
      <c r="AC1077" s="6"/>
      <c r="AD1077" s="6"/>
      <c r="AE1077" s="6"/>
      <c r="AF1077" s="6"/>
      <c r="AG1077" s="6"/>
      <c r="AH1077" s="6"/>
      <c r="AI1077" s="6"/>
      <c r="AJ1077" s="6"/>
      <c r="AK1077" s="6"/>
      <c r="AL1077" s="6"/>
      <c r="AM1077" s="6"/>
      <c r="AN1077" s="6"/>
      <c r="AO1077" s="6"/>
      <c r="AP1077" s="6"/>
      <c r="AQ1077" s="6"/>
      <c r="AR1077" s="6"/>
      <c r="AS1077" s="6"/>
      <c r="AT1077" s="6"/>
      <c r="AU1077" s="6"/>
      <c r="AV1077" s="6"/>
      <c r="AW1077" s="6"/>
      <c r="AX1077" s="6"/>
      <c r="AY1077" s="6"/>
      <c r="AZ1077" s="6"/>
      <c r="BA1077" s="6"/>
      <c r="BB1077" s="6"/>
      <c r="BC1077" s="6"/>
      <c r="BD1077" s="6"/>
      <c r="BE1077" s="6"/>
      <c r="BF1077" s="6"/>
      <c r="BG1077" s="6"/>
      <c r="BH1077" s="6"/>
      <c r="BI1077" s="6"/>
      <c r="BJ1077" s="6"/>
      <c r="BK1077" s="6"/>
      <c r="BL1077" s="44"/>
      <c r="BM1077" s="44"/>
      <c r="BN1077" s="45"/>
      <c r="BO1077" s="45"/>
      <c r="BP1077" s="7"/>
      <c r="BQ1077" s="7" t="e">
        <f>VLOOKUP(A1077,[1]Sheet15!B:E,3,0)</f>
        <v>#N/A</v>
      </c>
    </row>
    <row r="1078" spans="1:69" ht="15.75" customHeight="1" x14ac:dyDescent="0.25">
      <c r="A1078" s="12"/>
      <c r="B1078" s="15" t="e">
        <f>VLOOKUP(A1078,'[1]Master clients'!F1076:W4623,17,0)</f>
        <v>#N/A</v>
      </c>
      <c r="C1078" s="15" t="e">
        <f>VLOOKUP(A1078,'[1]Master clients'!F1076:P4623,11,0)</f>
        <v>#N/A</v>
      </c>
      <c r="D1078" s="15" t="e">
        <f>VLOOKUP(A1078,'[1]Master clients'!F:M,8,0)</f>
        <v>#N/A</v>
      </c>
      <c r="E1078" s="12"/>
      <c r="F1078" s="6"/>
      <c r="G1078" s="6"/>
      <c r="H1078" s="6"/>
      <c r="I1078" s="43"/>
      <c r="J1078" s="43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  <c r="AA1078" s="6"/>
      <c r="AB1078" s="6"/>
      <c r="AC1078" s="6"/>
      <c r="AD1078" s="6"/>
      <c r="AE1078" s="6"/>
      <c r="AF1078" s="6"/>
      <c r="AG1078" s="6"/>
      <c r="AH1078" s="6"/>
      <c r="AI1078" s="6"/>
      <c r="AJ1078" s="6"/>
      <c r="AK1078" s="6"/>
      <c r="AL1078" s="6"/>
      <c r="AM1078" s="6"/>
      <c r="AN1078" s="6"/>
      <c r="AO1078" s="6"/>
      <c r="AP1078" s="6"/>
      <c r="AQ1078" s="6"/>
      <c r="AR1078" s="6"/>
      <c r="AS1078" s="6"/>
      <c r="AT1078" s="6"/>
      <c r="AU1078" s="6"/>
      <c r="AV1078" s="6"/>
      <c r="AW1078" s="6"/>
      <c r="AX1078" s="6"/>
      <c r="AY1078" s="6"/>
      <c r="AZ1078" s="6"/>
      <c r="BA1078" s="6"/>
      <c r="BB1078" s="6"/>
      <c r="BC1078" s="6"/>
      <c r="BD1078" s="6"/>
      <c r="BE1078" s="6"/>
      <c r="BF1078" s="6"/>
      <c r="BG1078" s="6"/>
      <c r="BH1078" s="6"/>
      <c r="BI1078" s="6"/>
      <c r="BJ1078" s="6"/>
      <c r="BK1078" s="6"/>
      <c r="BL1078" s="44"/>
      <c r="BM1078" s="44"/>
      <c r="BN1078" s="45"/>
      <c r="BO1078" s="45"/>
      <c r="BP1078" s="7"/>
      <c r="BQ1078" s="7" t="e">
        <f>VLOOKUP(A1078,[1]Sheet15!B:E,3,0)</f>
        <v>#N/A</v>
      </c>
    </row>
    <row r="1079" spans="1:69" ht="15.75" customHeight="1" x14ac:dyDescent="0.25">
      <c r="A1079" s="12"/>
      <c r="B1079" s="15" t="e">
        <f>VLOOKUP(A1079,'[1]Master clients'!F1077:W4624,17,0)</f>
        <v>#N/A</v>
      </c>
      <c r="C1079" s="15" t="e">
        <f>VLOOKUP(A1079,'[1]Master clients'!F1077:P4624,11,0)</f>
        <v>#N/A</v>
      </c>
      <c r="D1079" s="15" t="e">
        <f>VLOOKUP(A1079,'[1]Master clients'!F:M,8,0)</f>
        <v>#N/A</v>
      </c>
      <c r="E1079" s="12"/>
      <c r="F1079" s="6"/>
      <c r="G1079" s="6"/>
      <c r="H1079" s="6"/>
      <c r="I1079" s="43"/>
      <c r="J1079" s="43"/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  <c r="AA1079" s="6"/>
      <c r="AB1079" s="6"/>
      <c r="AC1079" s="6"/>
      <c r="AD1079" s="6"/>
      <c r="AE1079" s="6"/>
      <c r="AF1079" s="6"/>
      <c r="AG1079" s="6"/>
      <c r="AH1079" s="6"/>
      <c r="AI1079" s="6"/>
      <c r="AJ1079" s="6"/>
      <c r="AK1079" s="6"/>
      <c r="AL1079" s="6"/>
      <c r="AM1079" s="6"/>
      <c r="AN1079" s="6"/>
      <c r="AO1079" s="6"/>
      <c r="AP1079" s="6"/>
      <c r="AQ1079" s="6"/>
      <c r="AR1079" s="6"/>
      <c r="AS1079" s="6"/>
      <c r="AT1079" s="6"/>
      <c r="AU1079" s="6"/>
      <c r="AV1079" s="6"/>
      <c r="AW1079" s="6"/>
      <c r="AX1079" s="6"/>
      <c r="AY1079" s="6"/>
      <c r="AZ1079" s="6"/>
      <c r="BA1079" s="6"/>
      <c r="BB1079" s="6"/>
      <c r="BC1079" s="6"/>
      <c r="BD1079" s="6"/>
      <c r="BE1079" s="6"/>
      <c r="BF1079" s="6"/>
      <c r="BG1079" s="6"/>
      <c r="BH1079" s="6"/>
      <c r="BI1079" s="6"/>
      <c r="BJ1079" s="6"/>
      <c r="BK1079" s="6"/>
      <c r="BL1079" s="44"/>
      <c r="BM1079" s="44"/>
      <c r="BN1079" s="45"/>
      <c r="BO1079" s="45"/>
      <c r="BP1079" s="7"/>
      <c r="BQ1079" s="7" t="e">
        <f>VLOOKUP(A1079,[1]Sheet15!B:E,3,0)</f>
        <v>#N/A</v>
      </c>
    </row>
    <row r="1080" spans="1:69" ht="15.75" customHeight="1" x14ac:dyDescent="0.25">
      <c r="A1080" s="12"/>
      <c r="B1080" s="15" t="e">
        <f>VLOOKUP(A1080,'[1]Master clients'!F1078:W4625,17,0)</f>
        <v>#N/A</v>
      </c>
      <c r="C1080" s="15" t="e">
        <f>VLOOKUP(A1080,'[1]Master clients'!F1078:P4625,11,0)</f>
        <v>#N/A</v>
      </c>
      <c r="D1080" s="15" t="e">
        <f>VLOOKUP(A1080,'[1]Master clients'!F:M,8,0)</f>
        <v>#N/A</v>
      </c>
      <c r="E1080" s="12"/>
      <c r="F1080" s="6"/>
      <c r="G1080" s="6"/>
      <c r="H1080" s="6"/>
      <c r="I1080" s="43"/>
      <c r="J1080" s="43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  <c r="AA1080" s="6"/>
      <c r="AB1080" s="6"/>
      <c r="AC1080" s="6"/>
      <c r="AD1080" s="6"/>
      <c r="AE1080" s="6"/>
      <c r="AF1080" s="6"/>
      <c r="AG1080" s="6"/>
      <c r="AH1080" s="6"/>
      <c r="AI1080" s="6"/>
      <c r="AJ1080" s="6"/>
      <c r="AK1080" s="6"/>
      <c r="AL1080" s="6"/>
      <c r="AM1080" s="6"/>
      <c r="AN1080" s="6"/>
      <c r="AO1080" s="6"/>
      <c r="AP1080" s="6"/>
      <c r="AQ1080" s="6"/>
      <c r="AR1080" s="6"/>
      <c r="AS1080" s="6"/>
      <c r="AT1080" s="6"/>
      <c r="AU1080" s="6"/>
      <c r="AV1080" s="6"/>
      <c r="AW1080" s="6"/>
      <c r="AX1080" s="6"/>
      <c r="AY1080" s="6"/>
      <c r="AZ1080" s="6"/>
      <c r="BA1080" s="6"/>
      <c r="BB1080" s="6"/>
      <c r="BC1080" s="6"/>
      <c r="BD1080" s="6"/>
      <c r="BE1080" s="6"/>
      <c r="BF1080" s="6"/>
      <c r="BG1080" s="6"/>
      <c r="BH1080" s="6"/>
      <c r="BI1080" s="6"/>
      <c r="BJ1080" s="6"/>
      <c r="BK1080" s="6"/>
      <c r="BL1080" s="44"/>
      <c r="BM1080" s="44"/>
      <c r="BN1080" s="45"/>
      <c r="BO1080" s="45"/>
      <c r="BP1080" s="7"/>
      <c r="BQ1080" s="7" t="e">
        <f>VLOOKUP(A1080,[1]Sheet15!B:E,3,0)</f>
        <v>#N/A</v>
      </c>
    </row>
    <row r="1081" spans="1:69" ht="15.75" customHeight="1" x14ac:dyDescent="0.25">
      <c r="A1081" s="12"/>
      <c r="B1081" s="15" t="e">
        <f>VLOOKUP(A1081,'[1]Master clients'!F1079:W4626,17,0)</f>
        <v>#N/A</v>
      </c>
      <c r="C1081" s="15" t="e">
        <f>VLOOKUP(A1081,'[1]Master clients'!F1079:P4626,11,0)</f>
        <v>#N/A</v>
      </c>
      <c r="D1081" s="15" t="e">
        <f>VLOOKUP(A1081,'[1]Master clients'!F:M,8,0)</f>
        <v>#N/A</v>
      </c>
      <c r="E1081" s="12"/>
      <c r="F1081" s="6"/>
      <c r="G1081" s="6"/>
      <c r="H1081" s="6"/>
      <c r="I1081" s="43"/>
      <c r="J1081" s="43"/>
      <c r="K1081" s="6"/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  <c r="AA1081" s="6"/>
      <c r="AB1081" s="6"/>
      <c r="AC1081" s="6"/>
      <c r="AD1081" s="6"/>
      <c r="AE1081" s="6"/>
      <c r="AF1081" s="6"/>
      <c r="AG1081" s="6"/>
      <c r="AH1081" s="6"/>
      <c r="AI1081" s="6"/>
      <c r="AJ1081" s="6"/>
      <c r="AK1081" s="6"/>
      <c r="AL1081" s="6"/>
      <c r="AM1081" s="6"/>
      <c r="AN1081" s="6"/>
      <c r="AO1081" s="6"/>
      <c r="AP1081" s="6"/>
      <c r="AQ1081" s="6"/>
      <c r="AR1081" s="6"/>
      <c r="AS1081" s="6"/>
      <c r="AT1081" s="6"/>
      <c r="AU1081" s="6"/>
      <c r="AV1081" s="6"/>
      <c r="AW1081" s="6"/>
      <c r="AX1081" s="6"/>
      <c r="AY1081" s="6"/>
      <c r="AZ1081" s="6"/>
      <c r="BA1081" s="6"/>
      <c r="BB1081" s="6"/>
      <c r="BC1081" s="6"/>
      <c r="BD1081" s="6"/>
      <c r="BE1081" s="6"/>
      <c r="BF1081" s="6"/>
      <c r="BG1081" s="6"/>
      <c r="BH1081" s="6"/>
      <c r="BI1081" s="6"/>
      <c r="BJ1081" s="6"/>
      <c r="BK1081" s="6"/>
      <c r="BL1081" s="44"/>
      <c r="BM1081" s="44"/>
      <c r="BN1081" s="45"/>
      <c r="BO1081" s="45"/>
      <c r="BP1081" s="7"/>
      <c r="BQ1081" s="7" t="e">
        <f>VLOOKUP(A1081,[1]Sheet15!B:E,3,0)</f>
        <v>#N/A</v>
      </c>
    </row>
    <row r="1082" spans="1:69" ht="15.75" customHeight="1" x14ac:dyDescent="0.25">
      <c r="A1082" s="12"/>
      <c r="B1082" s="15" t="e">
        <f>VLOOKUP(A1082,'[1]Master clients'!F1080:W4627,17,0)</f>
        <v>#N/A</v>
      </c>
      <c r="C1082" s="15" t="e">
        <f>VLOOKUP(A1082,'[1]Master clients'!F1080:P4627,11,0)</f>
        <v>#N/A</v>
      </c>
      <c r="D1082" s="15" t="e">
        <f>VLOOKUP(A1082,'[1]Master clients'!F:M,8,0)</f>
        <v>#N/A</v>
      </c>
      <c r="E1082" s="12"/>
      <c r="F1082" s="6"/>
      <c r="G1082" s="6"/>
      <c r="H1082" s="6"/>
      <c r="I1082" s="43"/>
      <c r="J1082" s="43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  <c r="AA1082" s="6"/>
      <c r="AB1082" s="6"/>
      <c r="AC1082" s="6"/>
      <c r="AD1082" s="6"/>
      <c r="AE1082" s="6"/>
      <c r="AF1082" s="6"/>
      <c r="AG1082" s="6"/>
      <c r="AH1082" s="6"/>
      <c r="AI1082" s="6"/>
      <c r="AJ1082" s="6"/>
      <c r="AK1082" s="6"/>
      <c r="AL1082" s="6"/>
      <c r="AM1082" s="6"/>
      <c r="AN1082" s="6"/>
      <c r="AO1082" s="6"/>
      <c r="AP1082" s="6"/>
      <c r="AQ1082" s="6"/>
      <c r="AR1082" s="6"/>
      <c r="AS1082" s="6"/>
      <c r="AT1082" s="6"/>
      <c r="AU1082" s="6"/>
      <c r="AV1082" s="6"/>
      <c r="AW1082" s="6"/>
      <c r="AX1082" s="6"/>
      <c r="AY1082" s="6"/>
      <c r="AZ1082" s="6"/>
      <c r="BA1082" s="6"/>
      <c r="BB1082" s="6"/>
      <c r="BC1082" s="6"/>
      <c r="BD1082" s="6"/>
      <c r="BE1082" s="6"/>
      <c r="BF1082" s="6"/>
      <c r="BG1082" s="6"/>
      <c r="BH1082" s="6"/>
      <c r="BI1082" s="6"/>
      <c r="BJ1082" s="6"/>
      <c r="BK1082" s="6"/>
      <c r="BL1082" s="44"/>
      <c r="BM1082" s="44"/>
      <c r="BN1082" s="45"/>
      <c r="BO1082" s="45"/>
      <c r="BP1082" s="7"/>
      <c r="BQ1082" s="7" t="e">
        <f>VLOOKUP(A1082,[1]Sheet15!B:E,3,0)</f>
        <v>#N/A</v>
      </c>
    </row>
    <row r="1083" spans="1:69" ht="15.75" customHeight="1" x14ac:dyDescent="0.25">
      <c r="A1083" s="12"/>
      <c r="B1083" s="15" t="e">
        <f>VLOOKUP(A1083,'[1]Master clients'!F1081:W4628,17,0)</f>
        <v>#N/A</v>
      </c>
      <c r="C1083" s="15" t="e">
        <f>VLOOKUP(A1083,'[1]Master clients'!F1081:P4628,11,0)</f>
        <v>#N/A</v>
      </c>
      <c r="D1083" s="15" t="e">
        <f>VLOOKUP(A1083,'[1]Master clients'!F:M,8,0)</f>
        <v>#N/A</v>
      </c>
      <c r="E1083" s="12"/>
      <c r="F1083" s="6"/>
      <c r="G1083" s="6"/>
      <c r="H1083" s="6"/>
      <c r="I1083" s="43"/>
      <c r="J1083" s="43"/>
      <c r="K1083" s="6"/>
      <c r="L1083" s="6"/>
      <c r="M1083" s="6"/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  <c r="AA1083" s="6"/>
      <c r="AB1083" s="6"/>
      <c r="AC1083" s="6"/>
      <c r="AD1083" s="6"/>
      <c r="AE1083" s="6"/>
      <c r="AF1083" s="6"/>
      <c r="AG1083" s="6"/>
      <c r="AH1083" s="6"/>
      <c r="AI1083" s="6"/>
      <c r="AJ1083" s="6"/>
      <c r="AK1083" s="6"/>
      <c r="AL1083" s="6"/>
      <c r="AM1083" s="6"/>
      <c r="AN1083" s="6"/>
      <c r="AO1083" s="6"/>
      <c r="AP1083" s="6"/>
      <c r="AQ1083" s="6"/>
      <c r="AR1083" s="6"/>
      <c r="AS1083" s="6"/>
      <c r="AT1083" s="6"/>
      <c r="AU1083" s="6"/>
      <c r="AV1083" s="6"/>
      <c r="AW1083" s="6"/>
      <c r="AX1083" s="6"/>
      <c r="AY1083" s="6"/>
      <c r="AZ1083" s="6"/>
      <c r="BA1083" s="6"/>
      <c r="BB1083" s="6"/>
      <c r="BC1083" s="6"/>
      <c r="BD1083" s="6"/>
      <c r="BE1083" s="6"/>
      <c r="BF1083" s="6"/>
      <c r="BG1083" s="6"/>
      <c r="BH1083" s="6"/>
      <c r="BI1083" s="6"/>
      <c r="BJ1083" s="6"/>
      <c r="BK1083" s="6"/>
      <c r="BL1083" s="44"/>
      <c r="BM1083" s="44"/>
      <c r="BN1083" s="45"/>
      <c r="BO1083" s="45"/>
      <c r="BP1083" s="7"/>
      <c r="BQ1083" s="7" t="e">
        <f>VLOOKUP(A1083,[1]Sheet15!B:E,3,0)</f>
        <v>#N/A</v>
      </c>
    </row>
    <row r="1084" spans="1:69" ht="15.75" customHeight="1" x14ac:dyDescent="0.25">
      <c r="A1084" s="12"/>
      <c r="B1084" s="15" t="e">
        <f>VLOOKUP(A1084,'[1]Master clients'!F1082:W4629,17,0)</f>
        <v>#N/A</v>
      </c>
      <c r="C1084" s="15" t="e">
        <f>VLOOKUP(A1084,'[1]Master clients'!F1082:P4629,11,0)</f>
        <v>#N/A</v>
      </c>
      <c r="D1084" s="15" t="e">
        <f>VLOOKUP(A1084,'[1]Master clients'!F:M,8,0)</f>
        <v>#N/A</v>
      </c>
      <c r="E1084" s="12"/>
      <c r="F1084" s="6"/>
      <c r="G1084" s="6"/>
      <c r="H1084" s="6"/>
      <c r="I1084" s="43"/>
      <c r="J1084" s="43"/>
      <c r="K1084" s="6"/>
      <c r="L1084" s="6"/>
      <c r="M1084" s="6"/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  <c r="AA1084" s="6"/>
      <c r="AB1084" s="6"/>
      <c r="AC1084" s="6"/>
      <c r="AD1084" s="6"/>
      <c r="AE1084" s="6"/>
      <c r="AF1084" s="6"/>
      <c r="AG1084" s="6"/>
      <c r="AH1084" s="6"/>
      <c r="AI1084" s="6"/>
      <c r="AJ1084" s="6"/>
      <c r="AK1084" s="6"/>
      <c r="AL1084" s="6"/>
      <c r="AM1084" s="6"/>
      <c r="AN1084" s="6"/>
      <c r="AO1084" s="6"/>
      <c r="AP1084" s="6"/>
      <c r="AQ1084" s="6"/>
      <c r="AR1084" s="6"/>
      <c r="AS1084" s="6"/>
      <c r="AT1084" s="6"/>
      <c r="AU1084" s="6"/>
      <c r="AV1084" s="6"/>
      <c r="AW1084" s="6"/>
      <c r="AX1084" s="6"/>
      <c r="AY1084" s="6"/>
      <c r="AZ1084" s="6"/>
      <c r="BA1084" s="6"/>
      <c r="BB1084" s="6"/>
      <c r="BC1084" s="6"/>
      <c r="BD1084" s="6"/>
      <c r="BE1084" s="6"/>
      <c r="BF1084" s="6"/>
      <c r="BG1084" s="6"/>
      <c r="BH1084" s="6"/>
      <c r="BI1084" s="6"/>
      <c r="BJ1084" s="6"/>
      <c r="BK1084" s="6"/>
      <c r="BL1084" s="44"/>
      <c r="BM1084" s="44"/>
      <c r="BN1084" s="45"/>
      <c r="BO1084" s="45"/>
      <c r="BP1084" s="7"/>
      <c r="BQ1084" s="7" t="e">
        <f>VLOOKUP(A1084,[1]Sheet15!B:E,3,0)</f>
        <v>#N/A</v>
      </c>
    </row>
    <row r="1085" spans="1:69" ht="15.75" customHeight="1" x14ac:dyDescent="0.25">
      <c r="A1085" s="12"/>
      <c r="B1085" s="15" t="e">
        <f>VLOOKUP(A1085,'[1]Master clients'!F1083:W4630,17,0)</f>
        <v>#N/A</v>
      </c>
      <c r="C1085" s="15" t="e">
        <f>VLOOKUP(A1085,'[1]Master clients'!F1083:P4630,11,0)</f>
        <v>#N/A</v>
      </c>
      <c r="D1085" s="15" t="e">
        <f>VLOOKUP(A1085,'[1]Master clients'!F:M,8,0)</f>
        <v>#N/A</v>
      </c>
      <c r="E1085" s="12"/>
      <c r="F1085" s="6"/>
      <c r="G1085" s="6"/>
      <c r="H1085" s="6"/>
      <c r="I1085" s="43"/>
      <c r="J1085" s="43"/>
      <c r="K1085" s="6"/>
      <c r="L1085" s="6"/>
      <c r="M1085" s="6"/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  <c r="AA1085" s="6"/>
      <c r="AB1085" s="6"/>
      <c r="AC1085" s="6"/>
      <c r="AD1085" s="6"/>
      <c r="AE1085" s="6"/>
      <c r="AF1085" s="6"/>
      <c r="AG1085" s="6"/>
      <c r="AH1085" s="6"/>
      <c r="AI1085" s="6"/>
      <c r="AJ1085" s="6"/>
      <c r="AK1085" s="6"/>
      <c r="AL1085" s="6"/>
      <c r="AM1085" s="6"/>
      <c r="AN1085" s="6"/>
      <c r="AO1085" s="6"/>
      <c r="AP1085" s="6"/>
      <c r="AQ1085" s="6"/>
      <c r="AR1085" s="6"/>
      <c r="AS1085" s="6"/>
      <c r="AT1085" s="6"/>
      <c r="AU1085" s="6"/>
      <c r="AV1085" s="6"/>
      <c r="AW1085" s="6"/>
      <c r="AX1085" s="6"/>
      <c r="AY1085" s="6"/>
      <c r="AZ1085" s="6"/>
      <c r="BA1085" s="6"/>
      <c r="BB1085" s="6"/>
      <c r="BC1085" s="6"/>
      <c r="BD1085" s="6"/>
      <c r="BE1085" s="6"/>
      <c r="BF1085" s="6"/>
      <c r="BG1085" s="6"/>
      <c r="BH1085" s="6"/>
      <c r="BI1085" s="6"/>
      <c r="BJ1085" s="6"/>
      <c r="BK1085" s="6"/>
      <c r="BL1085" s="44"/>
      <c r="BM1085" s="44"/>
      <c r="BN1085" s="45"/>
      <c r="BO1085" s="45"/>
      <c r="BP1085" s="7"/>
      <c r="BQ1085" s="7" t="e">
        <f>VLOOKUP(A1085,[1]Sheet15!B:E,3,0)</f>
        <v>#N/A</v>
      </c>
    </row>
    <row r="1086" spans="1:69" ht="15.75" customHeight="1" x14ac:dyDescent="0.25">
      <c r="A1086" s="12"/>
      <c r="B1086" s="15" t="e">
        <f>VLOOKUP(A1086,'[1]Master clients'!F1084:W4631,17,0)</f>
        <v>#N/A</v>
      </c>
      <c r="C1086" s="15" t="e">
        <f>VLOOKUP(A1086,'[1]Master clients'!F1084:P4631,11,0)</f>
        <v>#N/A</v>
      </c>
      <c r="D1086" s="15" t="e">
        <f>VLOOKUP(A1086,'[1]Master clients'!F:M,8,0)</f>
        <v>#N/A</v>
      </c>
      <c r="E1086" s="12"/>
      <c r="F1086" s="6"/>
      <c r="G1086" s="6"/>
      <c r="H1086" s="6"/>
      <c r="I1086" s="43"/>
      <c r="J1086" s="43"/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  <c r="AA1086" s="6"/>
      <c r="AB1086" s="6"/>
      <c r="AC1086" s="6"/>
      <c r="AD1086" s="6"/>
      <c r="AE1086" s="6"/>
      <c r="AF1086" s="6"/>
      <c r="AG1086" s="6"/>
      <c r="AH1086" s="6"/>
      <c r="AI1086" s="6"/>
      <c r="AJ1086" s="6"/>
      <c r="AK1086" s="6"/>
      <c r="AL1086" s="6"/>
      <c r="AM1086" s="6"/>
      <c r="AN1086" s="6"/>
      <c r="AO1086" s="6"/>
      <c r="AP1086" s="6"/>
      <c r="AQ1086" s="6"/>
      <c r="AR1086" s="6"/>
      <c r="AS1086" s="6"/>
      <c r="AT1086" s="6"/>
      <c r="AU1086" s="6"/>
      <c r="AV1086" s="6"/>
      <c r="AW1086" s="6"/>
      <c r="AX1086" s="6"/>
      <c r="AY1086" s="6"/>
      <c r="AZ1086" s="6"/>
      <c r="BA1086" s="6"/>
      <c r="BB1086" s="6"/>
      <c r="BC1086" s="6"/>
      <c r="BD1086" s="6"/>
      <c r="BE1086" s="6"/>
      <c r="BF1086" s="6"/>
      <c r="BG1086" s="6"/>
      <c r="BH1086" s="6"/>
      <c r="BI1086" s="6"/>
      <c r="BJ1086" s="6"/>
      <c r="BK1086" s="6"/>
      <c r="BL1086" s="44"/>
      <c r="BM1086" s="44"/>
      <c r="BN1086" s="45"/>
      <c r="BO1086" s="45"/>
      <c r="BP1086" s="7"/>
      <c r="BQ1086" s="7" t="e">
        <f>VLOOKUP(A1086,[1]Sheet15!B:E,3,0)</f>
        <v>#N/A</v>
      </c>
    </row>
    <row r="1087" spans="1:69" ht="15.75" customHeight="1" x14ac:dyDescent="0.25">
      <c r="A1087" s="12"/>
      <c r="B1087" s="15" t="e">
        <f>VLOOKUP(A1087,'[1]Master clients'!F1085:W4632,17,0)</f>
        <v>#N/A</v>
      </c>
      <c r="C1087" s="15" t="e">
        <f>VLOOKUP(A1087,'[1]Master clients'!F1085:P4632,11,0)</f>
        <v>#N/A</v>
      </c>
      <c r="D1087" s="15" t="e">
        <f>VLOOKUP(A1087,'[1]Master clients'!F:M,8,0)</f>
        <v>#N/A</v>
      </c>
      <c r="E1087" s="12"/>
      <c r="F1087" s="6"/>
      <c r="G1087" s="6"/>
      <c r="H1087" s="6"/>
      <c r="I1087" s="43"/>
      <c r="J1087" s="43"/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  <c r="AA1087" s="6"/>
      <c r="AB1087" s="6"/>
      <c r="AC1087" s="6"/>
      <c r="AD1087" s="6"/>
      <c r="AE1087" s="6"/>
      <c r="AF1087" s="6"/>
      <c r="AG1087" s="6"/>
      <c r="AH1087" s="6"/>
      <c r="AI1087" s="6"/>
      <c r="AJ1087" s="6"/>
      <c r="AK1087" s="6"/>
      <c r="AL1087" s="6"/>
      <c r="AM1087" s="6"/>
      <c r="AN1087" s="6"/>
      <c r="AO1087" s="6"/>
      <c r="AP1087" s="6"/>
      <c r="AQ1087" s="6"/>
      <c r="AR1087" s="6"/>
      <c r="AS1087" s="6"/>
      <c r="AT1087" s="6"/>
      <c r="AU1087" s="6"/>
      <c r="AV1087" s="6"/>
      <c r="AW1087" s="6"/>
      <c r="AX1087" s="6"/>
      <c r="AY1087" s="6"/>
      <c r="AZ1087" s="6"/>
      <c r="BA1087" s="6"/>
      <c r="BB1087" s="6"/>
      <c r="BC1087" s="6"/>
      <c r="BD1087" s="6"/>
      <c r="BE1087" s="6"/>
      <c r="BF1087" s="6"/>
      <c r="BG1087" s="6"/>
      <c r="BH1087" s="6"/>
      <c r="BI1087" s="6"/>
      <c r="BJ1087" s="6"/>
      <c r="BK1087" s="6"/>
      <c r="BL1087" s="44"/>
      <c r="BM1087" s="44"/>
      <c r="BN1087" s="45"/>
      <c r="BO1087" s="45"/>
      <c r="BP1087" s="7"/>
      <c r="BQ1087" s="7" t="e">
        <f>VLOOKUP(A1087,[1]Sheet15!B:E,3,0)</f>
        <v>#N/A</v>
      </c>
    </row>
    <row r="1088" spans="1:69" ht="15.75" customHeight="1" x14ac:dyDescent="0.25">
      <c r="A1088" s="12"/>
      <c r="B1088" s="15" t="e">
        <f>VLOOKUP(A1088,'[1]Master clients'!F1086:W4633,17,0)</f>
        <v>#N/A</v>
      </c>
      <c r="C1088" s="15" t="e">
        <f>VLOOKUP(A1088,'[1]Master clients'!F1086:P4633,11,0)</f>
        <v>#N/A</v>
      </c>
      <c r="D1088" s="15" t="e">
        <f>VLOOKUP(A1088,'[1]Master clients'!F:M,8,0)</f>
        <v>#N/A</v>
      </c>
      <c r="E1088" s="12"/>
      <c r="F1088" s="6"/>
      <c r="G1088" s="6"/>
      <c r="H1088" s="6"/>
      <c r="I1088" s="43"/>
      <c r="J1088" s="43"/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  <c r="AA1088" s="6"/>
      <c r="AB1088" s="6"/>
      <c r="AC1088" s="6"/>
      <c r="AD1088" s="6"/>
      <c r="AE1088" s="6"/>
      <c r="AF1088" s="6"/>
      <c r="AG1088" s="6"/>
      <c r="AH1088" s="6"/>
      <c r="AI1088" s="6"/>
      <c r="AJ1088" s="6"/>
      <c r="AK1088" s="6"/>
      <c r="AL1088" s="6"/>
      <c r="AM1088" s="6"/>
      <c r="AN1088" s="6"/>
      <c r="AO1088" s="6"/>
      <c r="AP1088" s="6"/>
      <c r="AQ1088" s="6"/>
      <c r="AR1088" s="6"/>
      <c r="AS1088" s="6"/>
      <c r="AT1088" s="6"/>
      <c r="AU1088" s="6"/>
      <c r="AV1088" s="6"/>
      <c r="AW1088" s="6"/>
      <c r="AX1088" s="6"/>
      <c r="AY1088" s="6"/>
      <c r="AZ1088" s="6"/>
      <c r="BA1088" s="6"/>
      <c r="BB1088" s="6"/>
      <c r="BC1088" s="6"/>
      <c r="BD1088" s="6"/>
      <c r="BE1088" s="6"/>
      <c r="BF1088" s="6"/>
      <c r="BG1088" s="6"/>
      <c r="BH1088" s="6"/>
      <c r="BI1088" s="6"/>
      <c r="BJ1088" s="6"/>
      <c r="BK1088" s="6"/>
      <c r="BL1088" s="44"/>
      <c r="BM1088" s="44"/>
      <c r="BN1088" s="45"/>
      <c r="BO1088" s="45"/>
      <c r="BP1088" s="7"/>
      <c r="BQ1088" s="7" t="e">
        <f>VLOOKUP(A1088,[1]Sheet15!B:E,3,0)</f>
        <v>#N/A</v>
      </c>
    </row>
    <row r="1089" spans="1:69" ht="15.75" customHeight="1" x14ac:dyDescent="0.25">
      <c r="A1089" s="12"/>
      <c r="B1089" s="15" t="e">
        <f>VLOOKUP(A1089,'[1]Master clients'!F1087:W4634,17,0)</f>
        <v>#N/A</v>
      </c>
      <c r="C1089" s="15" t="e">
        <f>VLOOKUP(A1089,'[1]Master clients'!F1087:P4634,11,0)</f>
        <v>#N/A</v>
      </c>
      <c r="D1089" s="15" t="e">
        <f>VLOOKUP(A1089,'[1]Master clients'!F:M,8,0)</f>
        <v>#N/A</v>
      </c>
      <c r="E1089" s="12"/>
      <c r="F1089" s="6"/>
      <c r="G1089" s="6"/>
      <c r="H1089" s="6"/>
      <c r="I1089" s="43"/>
      <c r="J1089" s="43"/>
      <c r="K1089" s="6"/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  <c r="AA1089" s="6"/>
      <c r="AB1089" s="6"/>
      <c r="AC1089" s="6"/>
      <c r="AD1089" s="6"/>
      <c r="AE1089" s="6"/>
      <c r="AF1089" s="6"/>
      <c r="AG1089" s="6"/>
      <c r="AH1089" s="6"/>
      <c r="AI1089" s="6"/>
      <c r="AJ1089" s="6"/>
      <c r="AK1089" s="6"/>
      <c r="AL1089" s="6"/>
      <c r="AM1089" s="6"/>
      <c r="AN1089" s="6"/>
      <c r="AO1089" s="6"/>
      <c r="AP1089" s="6"/>
      <c r="AQ1089" s="6"/>
      <c r="AR1089" s="6"/>
      <c r="AS1089" s="6"/>
      <c r="AT1089" s="6"/>
      <c r="AU1089" s="6"/>
      <c r="AV1089" s="6"/>
      <c r="AW1089" s="6"/>
      <c r="AX1089" s="6"/>
      <c r="AY1089" s="6"/>
      <c r="AZ1089" s="6"/>
      <c r="BA1089" s="6"/>
      <c r="BB1089" s="6"/>
      <c r="BC1089" s="6"/>
      <c r="BD1089" s="6"/>
      <c r="BE1089" s="6"/>
      <c r="BF1089" s="6"/>
      <c r="BG1089" s="6"/>
      <c r="BH1089" s="6"/>
      <c r="BI1089" s="6"/>
      <c r="BJ1089" s="6"/>
      <c r="BK1089" s="6"/>
      <c r="BL1089" s="44"/>
      <c r="BM1089" s="44"/>
      <c r="BN1089" s="45"/>
      <c r="BO1089" s="45"/>
      <c r="BP1089" s="7"/>
      <c r="BQ1089" s="7" t="e">
        <f>VLOOKUP(A1089,[1]Sheet15!B:E,3,0)</f>
        <v>#N/A</v>
      </c>
    </row>
    <row r="1090" spans="1:69" ht="15.75" customHeight="1" x14ac:dyDescent="0.25">
      <c r="A1090" s="12"/>
      <c r="B1090" s="15" t="e">
        <f>VLOOKUP(A1090,'[1]Master clients'!F1088:W4635,17,0)</f>
        <v>#N/A</v>
      </c>
      <c r="C1090" s="15" t="e">
        <f>VLOOKUP(A1090,'[1]Master clients'!F1088:P4635,11,0)</f>
        <v>#N/A</v>
      </c>
      <c r="D1090" s="15" t="e">
        <f>VLOOKUP(A1090,'[1]Master clients'!F:M,8,0)</f>
        <v>#N/A</v>
      </c>
      <c r="E1090" s="12"/>
      <c r="F1090" s="6"/>
      <c r="G1090" s="6"/>
      <c r="H1090" s="6"/>
      <c r="I1090" s="43"/>
      <c r="J1090" s="43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  <c r="AA1090" s="6"/>
      <c r="AB1090" s="6"/>
      <c r="AC1090" s="6"/>
      <c r="AD1090" s="6"/>
      <c r="AE1090" s="6"/>
      <c r="AF1090" s="6"/>
      <c r="AG1090" s="6"/>
      <c r="AH1090" s="6"/>
      <c r="AI1090" s="6"/>
      <c r="AJ1090" s="6"/>
      <c r="AK1090" s="6"/>
      <c r="AL1090" s="6"/>
      <c r="AM1090" s="6"/>
      <c r="AN1090" s="6"/>
      <c r="AO1090" s="6"/>
      <c r="AP1090" s="6"/>
      <c r="AQ1090" s="6"/>
      <c r="AR1090" s="6"/>
      <c r="AS1090" s="6"/>
      <c r="AT1090" s="6"/>
      <c r="AU1090" s="6"/>
      <c r="AV1090" s="6"/>
      <c r="AW1090" s="6"/>
      <c r="AX1090" s="6"/>
      <c r="AY1090" s="6"/>
      <c r="AZ1090" s="6"/>
      <c r="BA1090" s="6"/>
      <c r="BB1090" s="6"/>
      <c r="BC1090" s="6"/>
      <c r="BD1090" s="6"/>
      <c r="BE1090" s="6"/>
      <c r="BF1090" s="6"/>
      <c r="BG1090" s="6"/>
      <c r="BH1090" s="6"/>
      <c r="BI1090" s="6"/>
      <c r="BJ1090" s="6"/>
      <c r="BK1090" s="6"/>
      <c r="BL1090" s="44"/>
      <c r="BM1090" s="44"/>
      <c r="BN1090" s="45"/>
      <c r="BO1090" s="45"/>
      <c r="BP1090" s="7"/>
      <c r="BQ1090" s="7" t="e">
        <f>VLOOKUP(A1090,[1]Sheet15!B:E,3,0)</f>
        <v>#N/A</v>
      </c>
    </row>
    <row r="1091" spans="1:69" ht="15.75" customHeight="1" x14ac:dyDescent="0.25">
      <c r="A1091" s="12"/>
      <c r="B1091" s="15" t="e">
        <f>VLOOKUP(A1091,'[1]Master clients'!F1089:W4636,17,0)</f>
        <v>#N/A</v>
      </c>
      <c r="C1091" s="15" t="e">
        <f>VLOOKUP(A1091,'[1]Master clients'!F1089:P4636,11,0)</f>
        <v>#N/A</v>
      </c>
      <c r="D1091" s="15" t="e">
        <f>VLOOKUP(A1091,'[1]Master clients'!F:M,8,0)</f>
        <v>#N/A</v>
      </c>
      <c r="E1091" s="12"/>
      <c r="F1091" s="6"/>
      <c r="G1091" s="6"/>
      <c r="H1091" s="6"/>
      <c r="I1091" s="43"/>
      <c r="J1091" s="43"/>
      <c r="K1091" s="6"/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  <c r="AA1091" s="6"/>
      <c r="AB1091" s="6"/>
      <c r="AC1091" s="6"/>
      <c r="AD1091" s="6"/>
      <c r="AE1091" s="6"/>
      <c r="AF1091" s="6"/>
      <c r="AG1091" s="6"/>
      <c r="AH1091" s="6"/>
      <c r="AI1091" s="6"/>
      <c r="AJ1091" s="6"/>
      <c r="AK1091" s="6"/>
      <c r="AL1091" s="6"/>
      <c r="AM1091" s="6"/>
      <c r="AN1091" s="6"/>
      <c r="AO1091" s="6"/>
      <c r="AP1091" s="6"/>
      <c r="AQ1091" s="6"/>
      <c r="AR1091" s="6"/>
      <c r="AS1091" s="6"/>
      <c r="AT1091" s="6"/>
      <c r="AU1091" s="6"/>
      <c r="AV1091" s="6"/>
      <c r="AW1091" s="6"/>
      <c r="AX1091" s="6"/>
      <c r="AY1091" s="6"/>
      <c r="AZ1091" s="6"/>
      <c r="BA1091" s="6"/>
      <c r="BB1091" s="6"/>
      <c r="BC1091" s="6"/>
      <c r="BD1091" s="6"/>
      <c r="BE1091" s="6"/>
      <c r="BF1091" s="6"/>
      <c r="BG1091" s="6"/>
      <c r="BH1091" s="6"/>
      <c r="BI1091" s="6"/>
      <c r="BJ1091" s="6"/>
      <c r="BK1091" s="6"/>
      <c r="BL1091" s="44"/>
      <c r="BM1091" s="44"/>
      <c r="BN1091" s="45"/>
      <c r="BO1091" s="45"/>
      <c r="BP1091" s="7"/>
      <c r="BQ1091" s="7" t="e">
        <f>VLOOKUP(A1091,[1]Sheet15!B:E,3,0)</f>
        <v>#N/A</v>
      </c>
    </row>
    <row r="1092" spans="1:69" ht="15.75" customHeight="1" x14ac:dyDescent="0.25">
      <c r="A1092" s="12"/>
      <c r="B1092" s="15" t="e">
        <f>VLOOKUP(A1092,'[1]Master clients'!F1090:W4637,17,0)</f>
        <v>#N/A</v>
      </c>
      <c r="C1092" s="15" t="e">
        <f>VLOOKUP(A1092,'[1]Master clients'!F1090:P4637,11,0)</f>
        <v>#N/A</v>
      </c>
      <c r="D1092" s="15" t="e">
        <f>VLOOKUP(A1092,'[1]Master clients'!F:M,8,0)</f>
        <v>#N/A</v>
      </c>
      <c r="E1092" s="12"/>
      <c r="F1092" s="6"/>
      <c r="G1092" s="6"/>
      <c r="H1092" s="6"/>
      <c r="I1092" s="43"/>
      <c r="J1092" s="43"/>
      <c r="K1092" s="6"/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  <c r="AA1092" s="6"/>
      <c r="AB1092" s="6"/>
      <c r="AC1092" s="6"/>
      <c r="AD1092" s="6"/>
      <c r="AE1092" s="6"/>
      <c r="AF1092" s="6"/>
      <c r="AG1092" s="6"/>
      <c r="AH1092" s="6"/>
      <c r="AI1092" s="6"/>
      <c r="AJ1092" s="6"/>
      <c r="AK1092" s="6"/>
      <c r="AL1092" s="6"/>
      <c r="AM1092" s="6"/>
      <c r="AN1092" s="6"/>
      <c r="AO1092" s="6"/>
      <c r="AP1092" s="6"/>
      <c r="AQ1092" s="6"/>
      <c r="AR1092" s="6"/>
      <c r="AS1092" s="6"/>
      <c r="AT1092" s="6"/>
      <c r="AU1092" s="6"/>
      <c r="AV1092" s="6"/>
      <c r="AW1092" s="6"/>
      <c r="AX1092" s="6"/>
      <c r="AY1092" s="6"/>
      <c r="AZ1092" s="6"/>
      <c r="BA1092" s="6"/>
      <c r="BB1092" s="6"/>
      <c r="BC1092" s="6"/>
      <c r="BD1092" s="6"/>
      <c r="BE1092" s="6"/>
      <c r="BF1092" s="6"/>
      <c r="BG1092" s="6"/>
      <c r="BH1092" s="6"/>
      <c r="BI1092" s="6"/>
      <c r="BJ1092" s="6"/>
      <c r="BK1092" s="6"/>
      <c r="BL1092" s="44"/>
      <c r="BM1092" s="44"/>
      <c r="BN1092" s="45"/>
      <c r="BO1092" s="45"/>
      <c r="BP1092" s="7"/>
      <c r="BQ1092" s="7" t="e">
        <f>VLOOKUP(A1092,[1]Sheet15!B:E,3,0)</f>
        <v>#N/A</v>
      </c>
    </row>
    <row r="1093" spans="1:69" ht="15.75" customHeight="1" x14ac:dyDescent="0.25">
      <c r="A1093" s="12"/>
      <c r="B1093" s="15" t="e">
        <f>VLOOKUP(A1093,'[1]Master clients'!F1091:W4638,17,0)</f>
        <v>#N/A</v>
      </c>
      <c r="C1093" s="15" t="e">
        <f>VLOOKUP(A1093,'[1]Master clients'!F1091:P4638,11,0)</f>
        <v>#N/A</v>
      </c>
      <c r="D1093" s="15" t="e">
        <f>VLOOKUP(A1093,'[1]Master clients'!F:M,8,0)</f>
        <v>#N/A</v>
      </c>
      <c r="E1093" s="12"/>
      <c r="F1093" s="6"/>
      <c r="G1093" s="6"/>
      <c r="H1093" s="6"/>
      <c r="I1093" s="43"/>
      <c r="J1093" s="43"/>
      <c r="K1093" s="6"/>
      <c r="L1093" s="6"/>
      <c r="M1093" s="6"/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/>
      <c r="AA1093" s="6"/>
      <c r="AB1093" s="6"/>
      <c r="AC1093" s="6"/>
      <c r="AD1093" s="6"/>
      <c r="AE1093" s="6"/>
      <c r="AF1093" s="6"/>
      <c r="AG1093" s="6"/>
      <c r="AH1093" s="6"/>
      <c r="AI1093" s="6"/>
      <c r="AJ1093" s="6"/>
      <c r="AK1093" s="6"/>
      <c r="AL1093" s="6"/>
      <c r="AM1093" s="6"/>
      <c r="AN1093" s="6"/>
      <c r="AO1093" s="6"/>
      <c r="AP1093" s="6"/>
      <c r="AQ1093" s="6"/>
      <c r="AR1093" s="6"/>
      <c r="AS1093" s="6"/>
      <c r="AT1093" s="6"/>
      <c r="AU1093" s="6"/>
      <c r="AV1093" s="6"/>
      <c r="AW1093" s="6"/>
      <c r="AX1093" s="6"/>
      <c r="AY1093" s="6"/>
      <c r="AZ1093" s="6"/>
      <c r="BA1093" s="6"/>
      <c r="BB1093" s="6"/>
      <c r="BC1093" s="6"/>
      <c r="BD1093" s="6"/>
      <c r="BE1093" s="6"/>
      <c r="BF1093" s="6"/>
      <c r="BG1093" s="6"/>
      <c r="BH1093" s="6"/>
      <c r="BI1093" s="6"/>
      <c r="BJ1093" s="6"/>
      <c r="BK1093" s="6"/>
      <c r="BL1093" s="44"/>
      <c r="BM1093" s="44"/>
      <c r="BN1093" s="45"/>
      <c r="BO1093" s="45"/>
      <c r="BP1093" s="7"/>
      <c r="BQ1093" s="7" t="e">
        <f>VLOOKUP(A1093,[1]Sheet15!B:E,3,0)</f>
        <v>#N/A</v>
      </c>
    </row>
    <row r="1094" spans="1:69" ht="15.75" customHeight="1" x14ac:dyDescent="0.25">
      <c r="A1094" s="12"/>
      <c r="B1094" s="15" t="e">
        <f>VLOOKUP(A1094,'[1]Master clients'!F1092:W4639,17,0)</f>
        <v>#N/A</v>
      </c>
      <c r="C1094" s="15" t="e">
        <f>VLOOKUP(A1094,'[1]Master clients'!F1092:P4639,11,0)</f>
        <v>#N/A</v>
      </c>
      <c r="D1094" s="15" t="e">
        <f>VLOOKUP(A1094,'[1]Master clients'!F:M,8,0)</f>
        <v>#N/A</v>
      </c>
      <c r="E1094" s="12"/>
      <c r="F1094" s="6"/>
      <c r="G1094" s="6"/>
      <c r="H1094" s="6"/>
      <c r="I1094" s="43"/>
      <c r="J1094" s="43"/>
      <c r="K1094" s="6"/>
      <c r="L1094" s="6"/>
      <c r="M1094" s="6"/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  <c r="Z1094" s="6"/>
      <c r="AA1094" s="6"/>
      <c r="AB1094" s="6"/>
      <c r="AC1094" s="6"/>
      <c r="AD1094" s="6"/>
      <c r="AE1094" s="6"/>
      <c r="AF1094" s="6"/>
      <c r="AG1094" s="6"/>
      <c r="AH1094" s="6"/>
      <c r="AI1094" s="6"/>
      <c r="AJ1094" s="6"/>
      <c r="AK1094" s="6"/>
      <c r="AL1094" s="6"/>
      <c r="AM1094" s="6"/>
      <c r="AN1094" s="6"/>
      <c r="AO1094" s="6"/>
      <c r="AP1094" s="6"/>
      <c r="AQ1094" s="6"/>
      <c r="AR1094" s="6"/>
      <c r="AS1094" s="6"/>
      <c r="AT1094" s="6"/>
      <c r="AU1094" s="6"/>
      <c r="AV1094" s="6"/>
      <c r="AW1094" s="6"/>
      <c r="AX1094" s="6"/>
      <c r="AY1094" s="6"/>
      <c r="AZ1094" s="6"/>
      <c r="BA1094" s="6"/>
      <c r="BB1094" s="6"/>
      <c r="BC1094" s="6"/>
      <c r="BD1094" s="6"/>
      <c r="BE1094" s="6"/>
      <c r="BF1094" s="6"/>
      <c r="BG1094" s="6"/>
      <c r="BH1094" s="6"/>
      <c r="BI1094" s="6"/>
      <c r="BJ1094" s="6"/>
      <c r="BK1094" s="6"/>
      <c r="BL1094" s="44"/>
      <c r="BM1094" s="44"/>
      <c r="BN1094" s="45"/>
      <c r="BO1094" s="45"/>
      <c r="BP1094" s="7"/>
      <c r="BQ1094" s="7" t="e">
        <f>VLOOKUP(A1094,[1]Sheet15!B:E,3,0)</f>
        <v>#N/A</v>
      </c>
    </row>
    <row r="1095" spans="1:69" ht="15.75" customHeight="1" x14ac:dyDescent="0.25">
      <c r="A1095" s="12"/>
      <c r="B1095" s="15" t="e">
        <f>VLOOKUP(A1095,'[1]Master clients'!F1093:W4640,17,0)</f>
        <v>#N/A</v>
      </c>
      <c r="C1095" s="15" t="e">
        <f>VLOOKUP(A1095,'[1]Master clients'!F1093:P4640,11,0)</f>
        <v>#N/A</v>
      </c>
      <c r="D1095" s="15" t="e">
        <f>VLOOKUP(A1095,'[1]Master clients'!F:M,8,0)</f>
        <v>#N/A</v>
      </c>
      <c r="E1095" s="12"/>
      <c r="F1095" s="6"/>
      <c r="G1095" s="6"/>
      <c r="H1095" s="6"/>
      <c r="I1095" s="43"/>
      <c r="J1095" s="43"/>
      <c r="K1095" s="6"/>
      <c r="L1095" s="6"/>
      <c r="M1095" s="6"/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  <c r="Z1095" s="6"/>
      <c r="AA1095" s="6"/>
      <c r="AB1095" s="6"/>
      <c r="AC1095" s="6"/>
      <c r="AD1095" s="6"/>
      <c r="AE1095" s="6"/>
      <c r="AF1095" s="6"/>
      <c r="AG1095" s="6"/>
      <c r="AH1095" s="6"/>
      <c r="AI1095" s="6"/>
      <c r="AJ1095" s="6"/>
      <c r="AK1095" s="6"/>
      <c r="AL1095" s="6"/>
      <c r="AM1095" s="6"/>
      <c r="AN1095" s="6"/>
      <c r="AO1095" s="6"/>
      <c r="AP1095" s="6"/>
      <c r="AQ1095" s="6"/>
      <c r="AR1095" s="6"/>
      <c r="AS1095" s="6"/>
      <c r="AT1095" s="6"/>
      <c r="AU1095" s="6"/>
      <c r="AV1095" s="6"/>
      <c r="AW1095" s="6"/>
      <c r="AX1095" s="6"/>
      <c r="AY1095" s="6"/>
      <c r="AZ1095" s="6"/>
      <c r="BA1095" s="6"/>
      <c r="BB1095" s="6"/>
      <c r="BC1095" s="6"/>
      <c r="BD1095" s="6"/>
      <c r="BE1095" s="6"/>
      <c r="BF1095" s="6"/>
      <c r="BG1095" s="6"/>
      <c r="BH1095" s="6"/>
      <c r="BI1095" s="6"/>
      <c r="BJ1095" s="6"/>
      <c r="BK1095" s="6"/>
      <c r="BL1095" s="44"/>
      <c r="BM1095" s="44"/>
      <c r="BN1095" s="45"/>
      <c r="BO1095" s="45"/>
      <c r="BP1095" s="7"/>
      <c r="BQ1095" s="7" t="e">
        <f>VLOOKUP(A1095,[1]Sheet15!B:E,3,0)</f>
        <v>#N/A</v>
      </c>
    </row>
    <row r="1096" spans="1:69" ht="15.75" customHeight="1" x14ac:dyDescent="0.25">
      <c r="A1096" s="12"/>
      <c r="B1096" s="15" t="e">
        <f>VLOOKUP(A1096,'[1]Master clients'!F1094:W4641,17,0)</f>
        <v>#N/A</v>
      </c>
      <c r="C1096" s="15" t="e">
        <f>VLOOKUP(A1096,'[1]Master clients'!F1094:P4641,11,0)</f>
        <v>#N/A</v>
      </c>
      <c r="D1096" s="15" t="e">
        <f>VLOOKUP(A1096,'[1]Master clients'!F:M,8,0)</f>
        <v>#N/A</v>
      </c>
      <c r="E1096" s="12"/>
      <c r="F1096" s="6"/>
      <c r="G1096" s="6"/>
      <c r="H1096" s="6"/>
      <c r="I1096" s="43"/>
      <c r="J1096" s="43"/>
      <c r="K1096" s="6"/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/>
      <c r="AA1096" s="6"/>
      <c r="AB1096" s="6"/>
      <c r="AC1096" s="6"/>
      <c r="AD1096" s="6"/>
      <c r="AE1096" s="6"/>
      <c r="AF1096" s="6"/>
      <c r="AG1096" s="6"/>
      <c r="AH1096" s="6"/>
      <c r="AI1096" s="6"/>
      <c r="AJ1096" s="6"/>
      <c r="AK1096" s="6"/>
      <c r="AL1096" s="6"/>
      <c r="AM1096" s="6"/>
      <c r="AN1096" s="6"/>
      <c r="AO1096" s="6"/>
      <c r="AP1096" s="6"/>
      <c r="AQ1096" s="6"/>
      <c r="AR1096" s="6"/>
      <c r="AS1096" s="6"/>
      <c r="AT1096" s="6"/>
      <c r="AU1096" s="6"/>
      <c r="AV1096" s="6"/>
      <c r="AW1096" s="6"/>
      <c r="AX1096" s="6"/>
      <c r="AY1096" s="6"/>
      <c r="AZ1096" s="6"/>
      <c r="BA1096" s="6"/>
      <c r="BB1096" s="6"/>
      <c r="BC1096" s="6"/>
      <c r="BD1096" s="6"/>
      <c r="BE1096" s="6"/>
      <c r="BF1096" s="6"/>
      <c r="BG1096" s="6"/>
      <c r="BH1096" s="6"/>
      <c r="BI1096" s="6"/>
      <c r="BJ1096" s="6"/>
      <c r="BK1096" s="6"/>
      <c r="BL1096" s="44"/>
      <c r="BM1096" s="44"/>
      <c r="BN1096" s="45"/>
      <c r="BO1096" s="45"/>
      <c r="BP1096" s="7"/>
      <c r="BQ1096" s="7" t="e">
        <f>VLOOKUP(A1096,[1]Sheet15!B:E,3,0)</f>
        <v>#N/A</v>
      </c>
    </row>
    <row r="1097" spans="1:69" ht="15.75" customHeight="1" x14ac:dyDescent="0.25">
      <c r="A1097" s="12"/>
      <c r="B1097" s="15" t="e">
        <f>VLOOKUP(A1097,'[1]Master clients'!F1095:W4642,17,0)</f>
        <v>#N/A</v>
      </c>
      <c r="C1097" s="15" t="e">
        <f>VLOOKUP(A1097,'[1]Master clients'!F1095:P4642,11,0)</f>
        <v>#N/A</v>
      </c>
      <c r="D1097" s="15" t="e">
        <f>VLOOKUP(A1097,'[1]Master clients'!F:M,8,0)</f>
        <v>#N/A</v>
      </c>
      <c r="E1097" s="12"/>
      <c r="F1097" s="6"/>
      <c r="G1097" s="6"/>
      <c r="H1097" s="6"/>
      <c r="I1097" s="43"/>
      <c r="J1097" s="43"/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  <c r="AA1097" s="6"/>
      <c r="AB1097" s="6"/>
      <c r="AC1097" s="6"/>
      <c r="AD1097" s="6"/>
      <c r="AE1097" s="6"/>
      <c r="AF1097" s="6"/>
      <c r="AG1097" s="6"/>
      <c r="AH1097" s="6"/>
      <c r="AI1097" s="6"/>
      <c r="AJ1097" s="6"/>
      <c r="AK1097" s="6"/>
      <c r="AL1097" s="6"/>
      <c r="AM1097" s="6"/>
      <c r="AN1097" s="6"/>
      <c r="AO1097" s="6"/>
      <c r="AP1097" s="6"/>
      <c r="AQ1097" s="6"/>
      <c r="AR1097" s="6"/>
      <c r="AS1097" s="6"/>
      <c r="AT1097" s="6"/>
      <c r="AU1097" s="6"/>
      <c r="AV1097" s="6"/>
      <c r="AW1097" s="6"/>
      <c r="AX1097" s="6"/>
      <c r="AY1097" s="6"/>
      <c r="AZ1097" s="6"/>
      <c r="BA1097" s="6"/>
      <c r="BB1097" s="6"/>
      <c r="BC1097" s="6"/>
      <c r="BD1097" s="6"/>
      <c r="BE1097" s="6"/>
      <c r="BF1097" s="6"/>
      <c r="BG1097" s="6"/>
      <c r="BH1097" s="6"/>
      <c r="BI1097" s="6"/>
      <c r="BJ1097" s="6"/>
      <c r="BK1097" s="6"/>
      <c r="BL1097" s="44"/>
      <c r="BM1097" s="44"/>
      <c r="BN1097" s="45"/>
      <c r="BO1097" s="45"/>
      <c r="BP1097" s="7"/>
      <c r="BQ1097" s="7" t="e">
        <f>VLOOKUP(A1097,[1]Sheet15!B:E,3,0)</f>
        <v>#N/A</v>
      </c>
    </row>
    <row r="1098" spans="1:69" ht="15.75" customHeight="1" x14ac:dyDescent="0.25">
      <c r="A1098" s="12"/>
      <c r="B1098" s="15" t="e">
        <f>VLOOKUP(A1098,'[1]Master clients'!F1096:W4643,17,0)</f>
        <v>#N/A</v>
      </c>
      <c r="C1098" s="15" t="e">
        <f>VLOOKUP(A1098,'[1]Master clients'!F1096:P4643,11,0)</f>
        <v>#N/A</v>
      </c>
      <c r="D1098" s="15" t="e">
        <f>VLOOKUP(A1098,'[1]Master clients'!F:M,8,0)</f>
        <v>#N/A</v>
      </c>
      <c r="E1098" s="12"/>
      <c r="F1098" s="6"/>
      <c r="G1098" s="6"/>
      <c r="H1098" s="6"/>
      <c r="I1098" s="43"/>
      <c r="J1098" s="43"/>
      <c r="K1098" s="6"/>
      <c r="L1098" s="6"/>
      <c r="M1098" s="6"/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/>
      <c r="AA1098" s="6"/>
      <c r="AB1098" s="6"/>
      <c r="AC1098" s="6"/>
      <c r="AD1098" s="6"/>
      <c r="AE1098" s="6"/>
      <c r="AF1098" s="6"/>
      <c r="AG1098" s="6"/>
      <c r="AH1098" s="6"/>
      <c r="AI1098" s="6"/>
      <c r="AJ1098" s="6"/>
      <c r="AK1098" s="6"/>
      <c r="AL1098" s="6"/>
      <c r="AM1098" s="6"/>
      <c r="AN1098" s="6"/>
      <c r="AO1098" s="6"/>
      <c r="AP1098" s="6"/>
      <c r="AQ1098" s="6"/>
      <c r="AR1098" s="6"/>
      <c r="AS1098" s="6"/>
      <c r="AT1098" s="6"/>
      <c r="AU1098" s="6"/>
      <c r="AV1098" s="6"/>
      <c r="AW1098" s="6"/>
      <c r="AX1098" s="6"/>
      <c r="AY1098" s="6"/>
      <c r="AZ1098" s="6"/>
      <c r="BA1098" s="6"/>
      <c r="BB1098" s="6"/>
      <c r="BC1098" s="6"/>
      <c r="BD1098" s="6"/>
      <c r="BE1098" s="6"/>
      <c r="BF1098" s="6"/>
      <c r="BG1098" s="6"/>
      <c r="BH1098" s="6"/>
      <c r="BI1098" s="6"/>
      <c r="BJ1098" s="6"/>
      <c r="BK1098" s="6"/>
      <c r="BL1098" s="44"/>
      <c r="BM1098" s="44"/>
      <c r="BN1098" s="45"/>
      <c r="BO1098" s="45"/>
      <c r="BP1098" s="7"/>
      <c r="BQ1098" s="7" t="e">
        <f>VLOOKUP(A1098,[1]Sheet15!B:E,3,0)</f>
        <v>#N/A</v>
      </c>
    </row>
    <row r="1099" spans="1:69" ht="15.75" customHeight="1" x14ac:dyDescent="0.25">
      <c r="A1099" s="12"/>
      <c r="B1099" s="15" t="e">
        <f>VLOOKUP(A1099,'[1]Master clients'!F1097:W4644,17,0)</f>
        <v>#N/A</v>
      </c>
      <c r="C1099" s="15" t="e">
        <f>VLOOKUP(A1099,'[1]Master clients'!F1097:P4644,11,0)</f>
        <v>#N/A</v>
      </c>
      <c r="D1099" s="15" t="e">
        <f>VLOOKUP(A1099,'[1]Master clients'!F:M,8,0)</f>
        <v>#N/A</v>
      </c>
      <c r="E1099" s="12"/>
      <c r="F1099" s="6"/>
      <c r="G1099" s="6"/>
      <c r="H1099" s="6"/>
      <c r="I1099" s="43"/>
      <c r="J1099" s="43"/>
      <c r="K1099" s="6"/>
      <c r="L1099" s="6"/>
      <c r="M1099" s="6"/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  <c r="Z1099" s="6"/>
      <c r="AA1099" s="6"/>
      <c r="AB1099" s="6"/>
      <c r="AC1099" s="6"/>
      <c r="AD1099" s="6"/>
      <c r="AE1099" s="6"/>
      <c r="AF1099" s="6"/>
      <c r="AG1099" s="6"/>
      <c r="AH1099" s="6"/>
      <c r="AI1099" s="6"/>
      <c r="AJ1099" s="6"/>
      <c r="AK1099" s="6"/>
      <c r="AL1099" s="6"/>
      <c r="AM1099" s="6"/>
      <c r="AN1099" s="6"/>
      <c r="AO1099" s="6"/>
      <c r="AP1099" s="6"/>
      <c r="AQ1099" s="6"/>
      <c r="AR1099" s="6"/>
      <c r="AS1099" s="6"/>
      <c r="AT1099" s="6"/>
      <c r="AU1099" s="6"/>
      <c r="AV1099" s="6"/>
      <c r="AW1099" s="6"/>
      <c r="AX1099" s="6"/>
      <c r="AY1099" s="6"/>
      <c r="AZ1099" s="6"/>
      <c r="BA1099" s="6"/>
      <c r="BB1099" s="6"/>
      <c r="BC1099" s="6"/>
      <c r="BD1099" s="6"/>
      <c r="BE1099" s="6"/>
      <c r="BF1099" s="6"/>
      <c r="BG1099" s="6"/>
      <c r="BH1099" s="6"/>
      <c r="BI1099" s="6"/>
      <c r="BJ1099" s="6"/>
      <c r="BK1099" s="6"/>
      <c r="BL1099" s="44"/>
      <c r="BM1099" s="44"/>
      <c r="BN1099" s="45"/>
      <c r="BO1099" s="45"/>
      <c r="BP1099" s="7"/>
      <c r="BQ1099" s="7" t="e">
        <f>VLOOKUP(A1099,[1]Sheet15!B:E,3,0)</f>
        <v>#N/A</v>
      </c>
    </row>
    <row r="1100" spans="1:69" ht="15.75" customHeight="1" x14ac:dyDescent="0.25">
      <c r="A1100" s="12"/>
      <c r="B1100" s="15" t="e">
        <f>VLOOKUP(A1100,'[1]Master clients'!F1098:W4645,17,0)</f>
        <v>#N/A</v>
      </c>
      <c r="C1100" s="15" t="e">
        <f>VLOOKUP(A1100,'[1]Master clients'!F1098:P4645,11,0)</f>
        <v>#N/A</v>
      </c>
      <c r="D1100" s="15" t="e">
        <f>VLOOKUP(A1100,'[1]Master clients'!F:M,8,0)</f>
        <v>#N/A</v>
      </c>
      <c r="E1100" s="12"/>
      <c r="F1100" s="6"/>
      <c r="G1100" s="6"/>
      <c r="H1100" s="6"/>
      <c r="I1100" s="43"/>
      <c r="J1100" s="43"/>
      <c r="K1100" s="6"/>
      <c r="L1100" s="6"/>
      <c r="M1100" s="6"/>
      <c r="N1100" s="6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  <c r="Z1100" s="6"/>
      <c r="AA1100" s="6"/>
      <c r="AB1100" s="6"/>
      <c r="AC1100" s="6"/>
      <c r="AD1100" s="6"/>
      <c r="AE1100" s="6"/>
      <c r="AF1100" s="6"/>
      <c r="AG1100" s="6"/>
      <c r="AH1100" s="6"/>
      <c r="AI1100" s="6"/>
      <c r="AJ1100" s="6"/>
      <c r="AK1100" s="6"/>
      <c r="AL1100" s="6"/>
      <c r="AM1100" s="6"/>
      <c r="AN1100" s="6"/>
      <c r="AO1100" s="6"/>
      <c r="AP1100" s="6"/>
      <c r="AQ1100" s="6"/>
      <c r="AR1100" s="6"/>
      <c r="AS1100" s="6"/>
      <c r="AT1100" s="6"/>
      <c r="AU1100" s="6"/>
      <c r="AV1100" s="6"/>
      <c r="AW1100" s="6"/>
      <c r="AX1100" s="6"/>
      <c r="AY1100" s="6"/>
      <c r="AZ1100" s="6"/>
      <c r="BA1100" s="6"/>
      <c r="BB1100" s="6"/>
      <c r="BC1100" s="6"/>
      <c r="BD1100" s="6"/>
      <c r="BE1100" s="6"/>
      <c r="BF1100" s="6"/>
      <c r="BG1100" s="6"/>
      <c r="BH1100" s="6"/>
      <c r="BI1100" s="6"/>
      <c r="BJ1100" s="6"/>
      <c r="BK1100" s="6"/>
      <c r="BL1100" s="44"/>
      <c r="BM1100" s="44"/>
      <c r="BN1100" s="45"/>
      <c r="BO1100" s="45"/>
      <c r="BP1100" s="7"/>
      <c r="BQ1100" s="7" t="e">
        <f>VLOOKUP(A1100,[1]Sheet15!B:E,3,0)</f>
        <v>#N/A</v>
      </c>
    </row>
    <row r="1101" spans="1:69" ht="15.75" customHeight="1" x14ac:dyDescent="0.25">
      <c r="A1101" s="12"/>
      <c r="B1101" s="15" t="e">
        <f>VLOOKUP(A1101,'[1]Master clients'!F1099:W4646,17,0)</f>
        <v>#N/A</v>
      </c>
      <c r="C1101" s="15" t="e">
        <f>VLOOKUP(A1101,'[1]Master clients'!F1099:P4646,11,0)</f>
        <v>#N/A</v>
      </c>
      <c r="D1101" s="15" t="e">
        <f>VLOOKUP(A1101,'[1]Master clients'!F:M,8,0)</f>
        <v>#N/A</v>
      </c>
      <c r="E1101" s="12"/>
      <c r="F1101" s="6"/>
      <c r="G1101" s="6"/>
      <c r="H1101" s="6"/>
      <c r="I1101" s="43"/>
      <c r="J1101" s="43"/>
      <c r="K1101" s="6"/>
      <c r="L1101" s="6"/>
      <c r="M1101" s="6"/>
      <c r="N1101" s="6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  <c r="Z1101" s="6"/>
      <c r="AA1101" s="6"/>
      <c r="AB1101" s="6"/>
      <c r="AC1101" s="6"/>
      <c r="AD1101" s="6"/>
      <c r="AE1101" s="6"/>
      <c r="AF1101" s="6"/>
      <c r="AG1101" s="6"/>
      <c r="AH1101" s="6"/>
      <c r="AI1101" s="6"/>
      <c r="AJ1101" s="6"/>
      <c r="AK1101" s="6"/>
      <c r="AL1101" s="6"/>
      <c r="AM1101" s="6"/>
      <c r="AN1101" s="6"/>
      <c r="AO1101" s="6"/>
      <c r="AP1101" s="6"/>
      <c r="AQ1101" s="6"/>
      <c r="AR1101" s="6"/>
      <c r="AS1101" s="6"/>
      <c r="AT1101" s="6"/>
      <c r="AU1101" s="6"/>
      <c r="AV1101" s="6"/>
      <c r="AW1101" s="6"/>
      <c r="AX1101" s="6"/>
      <c r="AY1101" s="6"/>
      <c r="AZ1101" s="6"/>
      <c r="BA1101" s="6"/>
      <c r="BB1101" s="6"/>
      <c r="BC1101" s="6"/>
      <c r="BD1101" s="6"/>
      <c r="BE1101" s="6"/>
      <c r="BF1101" s="6"/>
      <c r="BG1101" s="6"/>
      <c r="BH1101" s="6"/>
      <c r="BI1101" s="6"/>
      <c r="BJ1101" s="6"/>
      <c r="BK1101" s="6"/>
      <c r="BL1101" s="44"/>
      <c r="BM1101" s="44"/>
      <c r="BN1101" s="45"/>
      <c r="BO1101" s="45"/>
      <c r="BP1101" s="7"/>
      <c r="BQ1101" s="7" t="e">
        <f>VLOOKUP(A1101,[1]Sheet15!B:E,3,0)</f>
        <v>#N/A</v>
      </c>
    </row>
    <row r="1102" spans="1:69" ht="15.75" customHeight="1" x14ac:dyDescent="0.25">
      <c r="A1102" s="12"/>
      <c r="B1102" s="15" t="e">
        <f>VLOOKUP(A1102,'[1]Master clients'!F1100:W4647,17,0)</f>
        <v>#N/A</v>
      </c>
      <c r="C1102" s="15" t="e">
        <f>VLOOKUP(A1102,'[1]Master clients'!F1100:P4647,11,0)</f>
        <v>#N/A</v>
      </c>
      <c r="D1102" s="15" t="e">
        <f>VLOOKUP(A1102,'[1]Master clients'!F:M,8,0)</f>
        <v>#N/A</v>
      </c>
      <c r="E1102" s="12"/>
      <c r="F1102" s="6"/>
      <c r="G1102" s="6"/>
      <c r="H1102" s="6"/>
      <c r="I1102" s="43"/>
      <c r="J1102" s="43"/>
      <c r="K1102" s="6"/>
      <c r="L1102" s="6"/>
      <c r="M1102" s="6"/>
      <c r="N1102" s="6"/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  <c r="Z1102" s="6"/>
      <c r="AA1102" s="6"/>
      <c r="AB1102" s="6"/>
      <c r="AC1102" s="6"/>
      <c r="AD1102" s="6"/>
      <c r="AE1102" s="6"/>
      <c r="AF1102" s="6"/>
      <c r="AG1102" s="6"/>
      <c r="AH1102" s="6"/>
      <c r="AI1102" s="6"/>
      <c r="AJ1102" s="6"/>
      <c r="AK1102" s="6"/>
      <c r="AL1102" s="6"/>
      <c r="AM1102" s="6"/>
      <c r="AN1102" s="6"/>
      <c r="AO1102" s="6"/>
      <c r="AP1102" s="6"/>
      <c r="AQ1102" s="6"/>
      <c r="AR1102" s="6"/>
      <c r="AS1102" s="6"/>
      <c r="AT1102" s="6"/>
      <c r="AU1102" s="6"/>
      <c r="AV1102" s="6"/>
      <c r="AW1102" s="6"/>
      <c r="AX1102" s="6"/>
      <c r="AY1102" s="6"/>
      <c r="AZ1102" s="6"/>
      <c r="BA1102" s="6"/>
      <c r="BB1102" s="6"/>
      <c r="BC1102" s="6"/>
      <c r="BD1102" s="6"/>
      <c r="BE1102" s="6"/>
      <c r="BF1102" s="6"/>
      <c r="BG1102" s="6"/>
      <c r="BH1102" s="6"/>
      <c r="BI1102" s="6"/>
      <c r="BJ1102" s="6"/>
      <c r="BK1102" s="6"/>
      <c r="BL1102" s="44"/>
      <c r="BM1102" s="44"/>
      <c r="BN1102" s="45"/>
      <c r="BO1102" s="45"/>
      <c r="BP1102" s="7"/>
      <c r="BQ1102" s="7" t="e">
        <f>VLOOKUP(A1102,[1]Sheet15!B:E,3,0)</f>
        <v>#N/A</v>
      </c>
    </row>
    <row r="1103" spans="1:69" ht="15.75" customHeight="1" x14ac:dyDescent="0.25">
      <c r="A1103" s="12"/>
      <c r="B1103" s="15" t="e">
        <f>VLOOKUP(A1103,'[1]Master clients'!F1101:W4648,17,0)</f>
        <v>#N/A</v>
      </c>
      <c r="C1103" s="15" t="e">
        <f>VLOOKUP(A1103,'[1]Master clients'!F1101:P4648,11,0)</f>
        <v>#N/A</v>
      </c>
      <c r="D1103" s="15" t="e">
        <f>VLOOKUP(A1103,'[1]Master clients'!F:M,8,0)</f>
        <v>#N/A</v>
      </c>
      <c r="E1103" s="12"/>
      <c r="F1103" s="6"/>
      <c r="G1103" s="6"/>
      <c r="H1103" s="6"/>
      <c r="I1103" s="43"/>
      <c r="J1103" s="43"/>
      <c r="K1103" s="6"/>
      <c r="L1103" s="6"/>
      <c r="M1103" s="6"/>
      <c r="N1103" s="6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  <c r="Z1103" s="6"/>
      <c r="AA1103" s="6"/>
      <c r="AB1103" s="6"/>
      <c r="AC1103" s="6"/>
      <c r="AD1103" s="6"/>
      <c r="AE1103" s="6"/>
      <c r="AF1103" s="6"/>
      <c r="AG1103" s="6"/>
      <c r="AH1103" s="6"/>
      <c r="AI1103" s="6"/>
      <c r="AJ1103" s="6"/>
      <c r="AK1103" s="6"/>
      <c r="AL1103" s="6"/>
      <c r="AM1103" s="6"/>
      <c r="AN1103" s="6"/>
      <c r="AO1103" s="6"/>
      <c r="AP1103" s="6"/>
      <c r="AQ1103" s="6"/>
      <c r="AR1103" s="6"/>
      <c r="AS1103" s="6"/>
      <c r="AT1103" s="6"/>
      <c r="AU1103" s="6"/>
      <c r="AV1103" s="6"/>
      <c r="AW1103" s="6"/>
      <c r="AX1103" s="6"/>
      <c r="AY1103" s="6"/>
      <c r="AZ1103" s="6"/>
      <c r="BA1103" s="6"/>
      <c r="BB1103" s="6"/>
      <c r="BC1103" s="6"/>
      <c r="BD1103" s="6"/>
      <c r="BE1103" s="6"/>
      <c r="BF1103" s="6"/>
      <c r="BG1103" s="6"/>
      <c r="BH1103" s="6"/>
      <c r="BI1103" s="6"/>
      <c r="BJ1103" s="6"/>
      <c r="BK1103" s="6"/>
      <c r="BL1103" s="44"/>
      <c r="BM1103" s="44"/>
      <c r="BN1103" s="45"/>
      <c r="BO1103" s="45"/>
      <c r="BP1103" s="7"/>
      <c r="BQ1103" s="7" t="e">
        <f>VLOOKUP(A1103,[1]Sheet15!B:E,3,0)</f>
        <v>#N/A</v>
      </c>
    </row>
    <row r="1104" spans="1:69" ht="15.75" customHeight="1" x14ac:dyDescent="0.25">
      <c r="A1104" s="12"/>
      <c r="B1104" s="15" t="e">
        <f>VLOOKUP(A1104,'[1]Master clients'!F1102:W4649,17,0)</f>
        <v>#N/A</v>
      </c>
      <c r="C1104" s="15" t="e">
        <f>VLOOKUP(A1104,'[1]Master clients'!F1102:P4649,11,0)</f>
        <v>#N/A</v>
      </c>
      <c r="D1104" s="15" t="e">
        <f>VLOOKUP(A1104,'[1]Master clients'!F:M,8,0)</f>
        <v>#N/A</v>
      </c>
      <c r="E1104" s="12"/>
      <c r="F1104" s="6"/>
      <c r="G1104" s="6"/>
      <c r="H1104" s="6"/>
      <c r="I1104" s="43"/>
      <c r="J1104" s="43"/>
      <c r="K1104" s="6"/>
      <c r="L1104" s="6"/>
      <c r="M1104" s="6"/>
      <c r="N1104" s="6"/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  <c r="Z1104" s="6"/>
      <c r="AA1104" s="6"/>
      <c r="AB1104" s="6"/>
      <c r="AC1104" s="6"/>
      <c r="AD1104" s="6"/>
      <c r="AE1104" s="6"/>
      <c r="AF1104" s="6"/>
      <c r="AG1104" s="6"/>
      <c r="AH1104" s="6"/>
      <c r="AI1104" s="6"/>
      <c r="AJ1104" s="6"/>
      <c r="AK1104" s="6"/>
      <c r="AL1104" s="6"/>
      <c r="AM1104" s="6"/>
      <c r="AN1104" s="6"/>
      <c r="AO1104" s="6"/>
      <c r="AP1104" s="6"/>
      <c r="AQ1104" s="6"/>
      <c r="AR1104" s="6"/>
      <c r="AS1104" s="6"/>
      <c r="AT1104" s="6"/>
      <c r="AU1104" s="6"/>
      <c r="AV1104" s="6"/>
      <c r="AW1104" s="6"/>
      <c r="AX1104" s="6"/>
      <c r="AY1104" s="6"/>
      <c r="AZ1104" s="6"/>
      <c r="BA1104" s="6"/>
      <c r="BB1104" s="6"/>
      <c r="BC1104" s="6"/>
      <c r="BD1104" s="6"/>
      <c r="BE1104" s="6"/>
      <c r="BF1104" s="6"/>
      <c r="BG1104" s="6"/>
      <c r="BH1104" s="6"/>
      <c r="BI1104" s="6"/>
      <c r="BJ1104" s="6"/>
      <c r="BK1104" s="6"/>
      <c r="BL1104" s="44"/>
      <c r="BM1104" s="44"/>
      <c r="BN1104" s="45"/>
      <c r="BO1104" s="45"/>
      <c r="BP1104" s="7"/>
      <c r="BQ1104" s="7" t="e">
        <f>VLOOKUP(A1104,[1]Sheet15!B:E,3,0)</f>
        <v>#N/A</v>
      </c>
    </row>
    <row r="1105" spans="1:69" ht="15.75" customHeight="1" x14ac:dyDescent="0.25">
      <c r="A1105" s="12"/>
      <c r="B1105" s="15" t="e">
        <f>VLOOKUP(A1105,'[1]Master clients'!F1103:W4650,17,0)</f>
        <v>#N/A</v>
      </c>
      <c r="C1105" s="15" t="e">
        <f>VLOOKUP(A1105,'[1]Master clients'!F1103:P4650,11,0)</f>
        <v>#N/A</v>
      </c>
      <c r="D1105" s="15" t="e">
        <f>VLOOKUP(A1105,'[1]Master clients'!F:M,8,0)</f>
        <v>#N/A</v>
      </c>
      <c r="E1105" s="12"/>
      <c r="F1105" s="6"/>
      <c r="G1105" s="6"/>
      <c r="H1105" s="6"/>
      <c r="I1105" s="43"/>
      <c r="J1105" s="43"/>
      <c r="K1105" s="6"/>
      <c r="L1105" s="6"/>
      <c r="M1105" s="6"/>
      <c r="N1105" s="6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  <c r="Z1105" s="6"/>
      <c r="AA1105" s="6"/>
      <c r="AB1105" s="6"/>
      <c r="AC1105" s="6"/>
      <c r="AD1105" s="6"/>
      <c r="AE1105" s="6"/>
      <c r="AF1105" s="6"/>
      <c r="AG1105" s="6"/>
      <c r="AH1105" s="6"/>
      <c r="AI1105" s="6"/>
      <c r="AJ1105" s="6"/>
      <c r="AK1105" s="6"/>
      <c r="AL1105" s="6"/>
      <c r="AM1105" s="6"/>
      <c r="AN1105" s="6"/>
      <c r="AO1105" s="6"/>
      <c r="AP1105" s="6"/>
      <c r="AQ1105" s="6"/>
      <c r="AR1105" s="6"/>
      <c r="AS1105" s="6"/>
      <c r="AT1105" s="6"/>
      <c r="AU1105" s="6"/>
      <c r="AV1105" s="6"/>
      <c r="AW1105" s="6"/>
      <c r="AX1105" s="6"/>
      <c r="AY1105" s="6"/>
      <c r="AZ1105" s="6"/>
      <c r="BA1105" s="6"/>
      <c r="BB1105" s="6"/>
      <c r="BC1105" s="6"/>
      <c r="BD1105" s="6"/>
      <c r="BE1105" s="6"/>
      <c r="BF1105" s="6"/>
      <c r="BG1105" s="6"/>
      <c r="BH1105" s="6"/>
      <c r="BI1105" s="6"/>
      <c r="BJ1105" s="6"/>
      <c r="BK1105" s="6"/>
      <c r="BL1105" s="44"/>
      <c r="BM1105" s="44"/>
      <c r="BN1105" s="45"/>
      <c r="BO1105" s="45"/>
      <c r="BP1105" s="7"/>
      <c r="BQ1105" s="7" t="e">
        <f>VLOOKUP(A1105,[1]Sheet15!B:E,3,0)</f>
        <v>#N/A</v>
      </c>
    </row>
    <row r="1106" spans="1:69" ht="15.75" customHeight="1" x14ac:dyDescent="0.25">
      <c r="A1106" s="12"/>
      <c r="B1106" s="15" t="e">
        <f>VLOOKUP(A1106,'[1]Master clients'!F1104:W4651,17,0)</f>
        <v>#N/A</v>
      </c>
      <c r="C1106" s="15" t="e">
        <f>VLOOKUP(A1106,'[1]Master clients'!F1104:P4651,11,0)</f>
        <v>#N/A</v>
      </c>
      <c r="D1106" s="15" t="e">
        <f>VLOOKUP(A1106,'[1]Master clients'!F:M,8,0)</f>
        <v>#N/A</v>
      </c>
      <c r="E1106" s="12"/>
      <c r="F1106" s="6"/>
      <c r="G1106" s="6"/>
      <c r="H1106" s="6"/>
      <c r="I1106" s="43"/>
      <c r="J1106" s="43"/>
      <c r="K1106" s="6"/>
      <c r="L1106" s="6"/>
      <c r="M1106" s="6"/>
      <c r="N1106" s="6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  <c r="Z1106" s="6"/>
      <c r="AA1106" s="6"/>
      <c r="AB1106" s="6"/>
      <c r="AC1106" s="6"/>
      <c r="AD1106" s="6"/>
      <c r="AE1106" s="6"/>
      <c r="AF1106" s="6"/>
      <c r="AG1106" s="6"/>
      <c r="AH1106" s="6"/>
      <c r="AI1106" s="6"/>
      <c r="AJ1106" s="6"/>
      <c r="AK1106" s="6"/>
      <c r="AL1106" s="6"/>
      <c r="AM1106" s="6"/>
      <c r="AN1106" s="6"/>
      <c r="AO1106" s="6"/>
      <c r="AP1106" s="6"/>
      <c r="AQ1106" s="6"/>
      <c r="AR1106" s="6"/>
      <c r="AS1106" s="6"/>
      <c r="AT1106" s="6"/>
      <c r="AU1106" s="6"/>
      <c r="AV1106" s="6"/>
      <c r="AW1106" s="6"/>
      <c r="AX1106" s="6"/>
      <c r="AY1106" s="6"/>
      <c r="AZ1106" s="6"/>
      <c r="BA1106" s="6"/>
      <c r="BB1106" s="6"/>
      <c r="BC1106" s="6"/>
      <c r="BD1106" s="6"/>
      <c r="BE1106" s="6"/>
      <c r="BF1106" s="6"/>
      <c r="BG1106" s="6"/>
      <c r="BH1106" s="6"/>
      <c r="BI1106" s="6"/>
      <c r="BJ1106" s="6"/>
      <c r="BK1106" s="6"/>
      <c r="BL1106" s="44"/>
      <c r="BM1106" s="44"/>
      <c r="BN1106" s="45"/>
      <c r="BO1106" s="45"/>
      <c r="BP1106" s="7"/>
      <c r="BQ1106" s="7" t="e">
        <f>VLOOKUP(A1106,[1]Sheet15!B:E,3,0)</f>
        <v>#N/A</v>
      </c>
    </row>
    <row r="1107" spans="1:69" ht="15.75" customHeight="1" x14ac:dyDescent="0.25">
      <c r="A1107" s="12"/>
      <c r="B1107" s="15" t="e">
        <f>VLOOKUP(A1107,'[1]Master clients'!F1105:W4652,17,0)</f>
        <v>#N/A</v>
      </c>
      <c r="C1107" s="15" t="e">
        <f>VLOOKUP(A1107,'[1]Master clients'!F1105:P4652,11,0)</f>
        <v>#N/A</v>
      </c>
      <c r="D1107" s="15" t="e">
        <f>VLOOKUP(A1107,'[1]Master clients'!F:M,8,0)</f>
        <v>#N/A</v>
      </c>
      <c r="E1107" s="12"/>
      <c r="F1107" s="6"/>
      <c r="G1107" s="6"/>
      <c r="H1107" s="6"/>
      <c r="I1107" s="43"/>
      <c r="J1107" s="43"/>
      <c r="K1107" s="6"/>
      <c r="L1107" s="6"/>
      <c r="M1107" s="6"/>
      <c r="N1107" s="6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  <c r="Z1107" s="6"/>
      <c r="AA1107" s="6"/>
      <c r="AB1107" s="6"/>
      <c r="AC1107" s="6"/>
      <c r="AD1107" s="6"/>
      <c r="AE1107" s="6"/>
      <c r="AF1107" s="6"/>
      <c r="AG1107" s="6"/>
      <c r="AH1107" s="6"/>
      <c r="AI1107" s="6"/>
      <c r="AJ1107" s="6"/>
      <c r="AK1107" s="6"/>
      <c r="AL1107" s="6"/>
      <c r="AM1107" s="6"/>
      <c r="AN1107" s="6"/>
      <c r="AO1107" s="6"/>
      <c r="AP1107" s="6"/>
      <c r="AQ1107" s="6"/>
      <c r="AR1107" s="6"/>
      <c r="AS1107" s="6"/>
      <c r="AT1107" s="6"/>
      <c r="AU1107" s="6"/>
      <c r="AV1107" s="6"/>
      <c r="AW1107" s="6"/>
      <c r="AX1107" s="6"/>
      <c r="AY1107" s="6"/>
      <c r="AZ1107" s="6"/>
      <c r="BA1107" s="6"/>
      <c r="BB1107" s="6"/>
      <c r="BC1107" s="6"/>
      <c r="BD1107" s="6"/>
      <c r="BE1107" s="6"/>
      <c r="BF1107" s="6"/>
      <c r="BG1107" s="6"/>
      <c r="BH1107" s="6"/>
      <c r="BI1107" s="6"/>
      <c r="BJ1107" s="6"/>
      <c r="BK1107" s="6"/>
      <c r="BL1107" s="44"/>
      <c r="BM1107" s="44"/>
      <c r="BN1107" s="45"/>
      <c r="BO1107" s="45"/>
      <c r="BP1107" s="7"/>
      <c r="BQ1107" s="7" t="e">
        <f>VLOOKUP(A1107,[1]Sheet15!B:E,3,0)</f>
        <v>#N/A</v>
      </c>
    </row>
    <row r="1108" spans="1:69" ht="15.75" customHeight="1" x14ac:dyDescent="0.25">
      <c r="A1108" s="12"/>
      <c r="B1108" s="15" t="e">
        <f>VLOOKUP(A1108,'[1]Master clients'!F1106:W4653,17,0)</f>
        <v>#N/A</v>
      </c>
      <c r="C1108" s="15" t="e">
        <f>VLOOKUP(A1108,'[1]Master clients'!F1106:P4653,11,0)</f>
        <v>#N/A</v>
      </c>
      <c r="D1108" s="15" t="e">
        <f>VLOOKUP(A1108,'[1]Master clients'!F:M,8,0)</f>
        <v>#N/A</v>
      </c>
      <c r="E1108" s="12"/>
      <c r="F1108" s="6"/>
      <c r="G1108" s="6"/>
      <c r="H1108" s="6"/>
      <c r="I1108" s="43"/>
      <c r="J1108" s="43"/>
      <c r="K1108" s="6"/>
      <c r="L1108" s="6"/>
      <c r="M1108" s="6"/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  <c r="Z1108" s="6"/>
      <c r="AA1108" s="6"/>
      <c r="AB1108" s="6"/>
      <c r="AC1108" s="6"/>
      <c r="AD1108" s="6"/>
      <c r="AE1108" s="6"/>
      <c r="AF1108" s="6"/>
      <c r="AG1108" s="6"/>
      <c r="AH1108" s="6"/>
      <c r="AI1108" s="6"/>
      <c r="AJ1108" s="6"/>
      <c r="AK1108" s="6"/>
      <c r="AL1108" s="6"/>
      <c r="AM1108" s="6"/>
      <c r="AN1108" s="6"/>
      <c r="AO1108" s="6"/>
      <c r="AP1108" s="6"/>
      <c r="AQ1108" s="6"/>
      <c r="AR1108" s="6"/>
      <c r="AS1108" s="6"/>
      <c r="AT1108" s="6"/>
      <c r="AU1108" s="6"/>
      <c r="AV1108" s="6"/>
      <c r="AW1108" s="6"/>
      <c r="AX1108" s="6"/>
      <c r="AY1108" s="6"/>
      <c r="AZ1108" s="6"/>
      <c r="BA1108" s="6"/>
      <c r="BB1108" s="6"/>
      <c r="BC1108" s="6"/>
      <c r="BD1108" s="6"/>
      <c r="BE1108" s="6"/>
      <c r="BF1108" s="6"/>
      <c r="BG1108" s="6"/>
      <c r="BH1108" s="6"/>
      <c r="BI1108" s="6"/>
      <c r="BJ1108" s="6"/>
      <c r="BK1108" s="6"/>
      <c r="BL1108" s="44"/>
      <c r="BM1108" s="44"/>
      <c r="BN1108" s="45"/>
      <c r="BO1108" s="45"/>
      <c r="BP1108" s="7"/>
      <c r="BQ1108" s="7" t="e">
        <f>VLOOKUP(A1108,[1]Sheet15!B:E,3,0)</f>
        <v>#N/A</v>
      </c>
    </row>
    <row r="1109" spans="1:69" ht="15.75" customHeight="1" x14ac:dyDescent="0.25">
      <c r="A1109" s="12"/>
      <c r="B1109" s="15" t="e">
        <f>VLOOKUP(A1109,'[1]Master clients'!F1107:W4654,17,0)</f>
        <v>#N/A</v>
      </c>
      <c r="C1109" s="15" t="e">
        <f>VLOOKUP(A1109,'[1]Master clients'!F1107:P4654,11,0)</f>
        <v>#N/A</v>
      </c>
      <c r="D1109" s="15" t="e">
        <f>VLOOKUP(A1109,'[1]Master clients'!F:M,8,0)</f>
        <v>#N/A</v>
      </c>
      <c r="E1109" s="12"/>
      <c r="F1109" s="6"/>
      <c r="G1109" s="6"/>
      <c r="H1109" s="6"/>
      <c r="I1109" s="43"/>
      <c r="J1109" s="43"/>
      <c r="K1109" s="6"/>
      <c r="L1109" s="6"/>
      <c r="M1109" s="6"/>
      <c r="N1109" s="6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  <c r="Z1109" s="6"/>
      <c r="AA1109" s="6"/>
      <c r="AB1109" s="6"/>
      <c r="AC1109" s="6"/>
      <c r="AD1109" s="6"/>
      <c r="AE1109" s="6"/>
      <c r="AF1109" s="6"/>
      <c r="AG1109" s="6"/>
      <c r="AH1109" s="6"/>
      <c r="AI1109" s="6"/>
      <c r="AJ1109" s="6"/>
      <c r="AK1109" s="6"/>
      <c r="AL1109" s="6"/>
      <c r="AM1109" s="6"/>
      <c r="AN1109" s="6"/>
      <c r="AO1109" s="6"/>
      <c r="AP1109" s="6"/>
      <c r="AQ1109" s="6"/>
      <c r="AR1109" s="6"/>
      <c r="AS1109" s="6"/>
      <c r="AT1109" s="6"/>
      <c r="AU1109" s="6"/>
      <c r="AV1109" s="6"/>
      <c r="AW1109" s="6"/>
      <c r="AX1109" s="6"/>
      <c r="AY1109" s="6"/>
      <c r="AZ1109" s="6"/>
      <c r="BA1109" s="6"/>
      <c r="BB1109" s="6"/>
      <c r="BC1109" s="6"/>
      <c r="BD1109" s="6"/>
      <c r="BE1109" s="6"/>
      <c r="BF1109" s="6"/>
      <c r="BG1109" s="6"/>
      <c r="BH1109" s="6"/>
      <c r="BI1109" s="6"/>
      <c r="BJ1109" s="6"/>
      <c r="BK1109" s="6"/>
      <c r="BL1109" s="44"/>
      <c r="BM1109" s="44"/>
      <c r="BN1109" s="45"/>
      <c r="BO1109" s="45"/>
      <c r="BP1109" s="7"/>
      <c r="BQ1109" s="7" t="e">
        <f>VLOOKUP(A1109,[1]Sheet15!B:E,3,0)</f>
        <v>#N/A</v>
      </c>
    </row>
    <row r="1110" spans="1:69" ht="15.75" customHeight="1" x14ac:dyDescent="0.25">
      <c r="A1110" s="12"/>
      <c r="B1110" s="15" t="e">
        <f>VLOOKUP(A1110,'[1]Master clients'!F1108:W4655,17,0)</f>
        <v>#N/A</v>
      </c>
      <c r="C1110" s="15" t="e">
        <f>VLOOKUP(A1110,'[1]Master clients'!F1108:P4655,11,0)</f>
        <v>#N/A</v>
      </c>
      <c r="D1110" s="15" t="e">
        <f>VLOOKUP(A1110,'[1]Master clients'!F:M,8,0)</f>
        <v>#N/A</v>
      </c>
      <c r="E1110" s="12"/>
      <c r="F1110" s="6"/>
      <c r="G1110" s="6"/>
      <c r="H1110" s="6"/>
      <c r="I1110" s="43"/>
      <c r="J1110" s="43"/>
      <c r="K1110" s="6"/>
      <c r="L1110" s="6"/>
      <c r="M1110" s="6"/>
      <c r="N1110" s="6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  <c r="Z1110" s="6"/>
      <c r="AA1110" s="6"/>
      <c r="AB1110" s="6"/>
      <c r="AC1110" s="6"/>
      <c r="AD1110" s="6"/>
      <c r="AE1110" s="6"/>
      <c r="AF1110" s="6"/>
      <c r="AG1110" s="6"/>
      <c r="AH1110" s="6"/>
      <c r="AI1110" s="6"/>
      <c r="AJ1110" s="6"/>
      <c r="AK1110" s="6"/>
      <c r="AL1110" s="6"/>
      <c r="AM1110" s="6"/>
      <c r="AN1110" s="6"/>
      <c r="AO1110" s="6"/>
      <c r="AP1110" s="6"/>
      <c r="AQ1110" s="6"/>
      <c r="AR1110" s="6"/>
      <c r="AS1110" s="6"/>
      <c r="AT1110" s="6"/>
      <c r="AU1110" s="6"/>
      <c r="AV1110" s="6"/>
      <c r="AW1110" s="6"/>
      <c r="AX1110" s="6"/>
      <c r="AY1110" s="6"/>
      <c r="AZ1110" s="6"/>
      <c r="BA1110" s="6"/>
      <c r="BB1110" s="6"/>
      <c r="BC1110" s="6"/>
      <c r="BD1110" s="6"/>
      <c r="BE1110" s="6"/>
      <c r="BF1110" s="6"/>
      <c r="BG1110" s="6"/>
      <c r="BH1110" s="6"/>
      <c r="BI1110" s="6"/>
      <c r="BJ1110" s="6"/>
      <c r="BK1110" s="6"/>
      <c r="BL1110" s="44"/>
      <c r="BM1110" s="44"/>
      <c r="BN1110" s="45"/>
      <c r="BO1110" s="45"/>
      <c r="BP1110" s="7"/>
      <c r="BQ1110" s="7" t="e">
        <f>VLOOKUP(A1110,[1]Sheet15!B:E,3,0)</f>
        <v>#N/A</v>
      </c>
    </row>
    <row r="1111" spans="1:69" ht="15.75" customHeight="1" x14ac:dyDescent="0.25">
      <c r="A1111" s="12"/>
      <c r="B1111" s="15" t="e">
        <f>VLOOKUP(A1111,'[1]Master clients'!F1109:W4656,17,0)</f>
        <v>#N/A</v>
      </c>
      <c r="C1111" s="15" t="e">
        <f>VLOOKUP(A1111,'[1]Master clients'!F1109:P4656,11,0)</f>
        <v>#N/A</v>
      </c>
      <c r="D1111" s="15" t="e">
        <f>VLOOKUP(A1111,'[1]Master clients'!F:M,8,0)</f>
        <v>#N/A</v>
      </c>
      <c r="E1111" s="12"/>
      <c r="F1111" s="6"/>
      <c r="G1111" s="6"/>
      <c r="H1111" s="6"/>
      <c r="I1111" s="43"/>
      <c r="J1111" s="43"/>
      <c r="K1111" s="6"/>
      <c r="L1111" s="6"/>
      <c r="M1111" s="6"/>
      <c r="N1111" s="6"/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  <c r="Z1111" s="6"/>
      <c r="AA1111" s="6"/>
      <c r="AB1111" s="6"/>
      <c r="AC1111" s="6"/>
      <c r="AD1111" s="6"/>
      <c r="AE1111" s="6"/>
      <c r="AF1111" s="6"/>
      <c r="AG1111" s="6"/>
      <c r="AH1111" s="6"/>
      <c r="AI1111" s="6"/>
      <c r="AJ1111" s="6"/>
      <c r="AK1111" s="6"/>
      <c r="AL1111" s="6"/>
      <c r="AM1111" s="6"/>
      <c r="AN1111" s="6"/>
      <c r="AO1111" s="6"/>
      <c r="AP1111" s="6"/>
      <c r="AQ1111" s="6"/>
      <c r="AR1111" s="6"/>
      <c r="AS1111" s="6"/>
      <c r="AT1111" s="6"/>
      <c r="AU1111" s="6"/>
      <c r="AV1111" s="6"/>
      <c r="AW1111" s="6"/>
      <c r="AX1111" s="6"/>
      <c r="AY1111" s="6"/>
      <c r="AZ1111" s="6"/>
      <c r="BA1111" s="6"/>
      <c r="BB1111" s="6"/>
      <c r="BC1111" s="6"/>
      <c r="BD1111" s="6"/>
      <c r="BE1111" s="6"/>
      <c r="BF1111" s="6"/>
      <c r="BG1111" s="6"/>
      <c r="BH1111" s="6"/>
      <c r="BI1111" s="6"/>
      <c r="BJ1111" s="6"/>
      <c r="BK1111" s="6"/>
      <c r="BL1111" s="44"/>
      <c r="BM1111" s="44"/>
      <c r="BN1111" s="45"/>
      <c r="BO1111" s="45"/>
      <c r="BP1111" s="7"/>
      <c r="BQ1111" s="7" t="e">
        <f>VLOOKUP(A1111,[1]Sheet15!B:E,3,0)</f>
        <v>#N/A</v>
      </c>
    </row>
    <row r="1112" spans="1:69" ht="15.75" customHeight="1" x14ac:dyDescent="0.25">
      <c r="A1112" s="12"/>
      <c r="B1112" s="15" t="e">
        <f>VLOOKUP(A1112,'[1]Master clients'!F1110:W4657,17,0)</f>
        <v>#N/A</v>
      </c>
      <c r="C1112" s="15" t="e">
        <f>VLOOKUP(A1112,'[1]Master clients'!F1110:P4657,11,0)</f>
        <v>#N/A</v>
      </c>
      <c r="D1112" s="15" t="e">
        <f>VLOOKUP(A1112,'[1]Master clients'!F:M,8,0)</f>
        <v>#N/A</v>
      </c>
      <c r="E1112" s="12"/>
      <c r="F1112" s="6"/>
      <c r="G1112" s="6"/>
      <c r="H1112" s="6"/>
      <c r="I1112" s="43"/>
      <c r="J1112" s="43"/>
      <c r="K1112" s="6"/>
      <c r="L1112" s="6"/>
      <c r="M1112" s="6"/>
      <c r="N1112" s="6"/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  <c r="Z1112" s="6"/>
      <c r="AA1112" s="6"/>
      <c r="AB1112" s="6"/>
      <c r="AC1112" s="6"/>
      <c r="AD1112" s="6"/>
      <c r="AE1112" s="6"/>
      <c r="AF1112" s="6"/>
      <c r="AG1112" s="6"/>
      <c r="AH1112" s="6"/>
      <c r="AI1112" s="6"/>
      <c r="AJ1112" s="6"/>
      <c r="AK1112" s="6"/>
      <c r="AL1112" s="6"/>
      <c r="AM1112" s="6"/>
      <c r="AN1112" s="6"/>
      <c r="AO1112" s="6"/>
      <c r="AP1112" s="6"/>
      <c r="AQ1112" s="6"/>
      <c r="AR1112" s="6"/>
      <c r="AS1112" s="6"/>
      <c r="AT1112" s="6"/>
      <c r="AU1112" s="6"/>
      <c r="AV1112" s="6"/>
      <c r="AW1112" s="6"/>
      <c r="AX1112" s="6"/>
      <c r="AY1112" s="6"/>
      <c r="AZ1112" s="6"/>
      <c r="BA1112" s="6"/>
      <c r="BB1112" s="6"/>
      <c r="BC1112" s="6"/>
      <c r="BD1112" s="6"/>
      <c r="BE1112" s="6"/>
      <c r="BF1112" s="6"/>
      <c r="BG1112" s="6"/>
      <c r="BH1112" s="6"/>
      <c r="BI1112" s="6"/>
      <c r="BJ1112" s="6"/>
      <c r="BK1112" s="6"/>
      <c r="BL1112" s="44"/>
      <c r="BM1112" s="44"/>
      <c r="BN1112" s="45"/>
      <c r="BO1112" s="45"/>
      <c r="BP1112" s="7"/>
      <c r="BQ1112" s="7" t="e">
        <f>VLOOKUP(A1112,[1]Sheet15!B:E,3,0)</f>
        <v>#N/A</v>
      </c>
    </row>
    <row r="1113" spans="1:69" ht="15.75" customHeight="1" x14ac:dyDescent="0.25">
      <c r="A1113" s="12"/>
      <c r="B1113" s="15" t="e">
        <f>VLOOKUP(A1113,'[1]Master clients'!F1111:W4658,17,0)</f>
        <v>#N/A</v>
      </c>
      <c r="C1113" s="15" t="e">
        <f>VLOOKUP(A1113,'[1]Master clients'!F1111:P4658,11,0)</f>
        <v>#N/A</v>
      </c>
      <c r="D1113" s="15" t="e">
        <f>VLOOKUP(A1113,'[1]Master clients'!F:M,8,0)</f>
        <v>#N/A</v>
      </c>
      <c r="E1113" s="12"/>
      <c r="F1113" s="6"/>
      <c r="G1113" s="6"/>
      <c r="H1113" s="6"/>
      <c r="I1113" s="43"/>
      <c r="J1113" s="43"/>
      <c r="K1113" s="6"/>
      <c r="L1113" s="6"/>
      <c r="M1113" s="6"/>
      <c r="N1113" s="6"/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6"/>
      <c r="Z1113" s="6"/>
      <c r="AA1113" s="6"/>
      <c r="AB1113" s="6"/>
      <c r="AC1113" s="6"/>
      <c r="AD1113" s="6"/>
      <c r="AE1113" s="6"/>
      <c r="AF1113" s="6"/>
      <c r="AG1113" s="6"/>
      <c r="AH1113" s="6"/>
      <c r="AI1113" s="6"/>
      <c r="AJ1113" s="6"/>
      <c r="AK1113" s="6"/>
      <c r="AL1113" s="6"/>
      <c r="AM1113" s="6"/>
      <c r="AN1113" s="6"/>
      <c r="AO1113" s="6"/>
      <c r="AP1113" s="6"/>
      <c r="AQ1113" s="6"/>
      <c r="AR1113" s="6"/>
      <c r="AS1113" s="6"/>
      <c r="AT1113" s="6"/>
      <c r="AU1113" s="6"/>
      <c r="AV1113" s="6"/>
      <c r="AW1113" s="6"/>
      <c r="AX1113" s="6"/>
      <c r="AY1113" s="6"/>
      <c r="AZ1113" s="6"/>
      <c r="BA1113" s="6"/>
      <c r="BB1113" s="6"/>
      <c r="BC1113" s="6"/>
      <c r="BD1113" s="6"/>
      <c r="BE1113" s="6"/>
      <c r="BF1113" s="6"/>
      <c r="BG1113" s="6"/>
      <c r="BH1113" s="6"/>
      <c r="BI1113" s="6"/>
      <c r="BJ1113" s="6"/>
      <c r="BK1113" s="6"/>
      <c r="BL1113" s="44"/>
      <c r="BM1113" s="44"/>
      <c r="BN1113" s="45"/>
      <c r="BO1113" s="45"/>
      <c r="BP1113" s="7"/>
      <c r="BQ1113" s="7" t="e">
        <f>VLOOKUP(A1113,[1]Sheet15!B:E,3,0)</f>
        <v>#N/A</v>
      </c>
    </row>
    <row r="1114" spans="1:69" ht="15.75" customHeight="1" x14ac:dyDescent="0.25">
      <c r="A1114" s="12"/>
      <c r="B1114" s="15" t="e">
        <f>VLOOKUP(A1114,'[1]Master clients'!F1112:W4659,17,0)</f>
        <v>#N/A</v>
      </c>
      <c r="C1114" s="15" t="e">
        <f>VLOOKUP(A1114,'[1]Master clients'!F1112:P4659,11,0)</f>
        <v>#N/A</v>
      </c>
      <c r="D1114" s="15" t="e">
        <f>VLOOKUP(A1114,'[1]Master clients'!F:M,8,0)</f>
        <v>#N/A</v>
      </c>
      <c r="E1114" s="12"/>
      <c r="F1114" s="6"/>
      <c r="G1114" s="6"/>
      <c r="H1114" s="6"/>
      <c r="I1114" s="43"/>
      <c r="J1114" s="43"/>
      <c r="K1114" s="6"/>
      <c r="L1114" s="6"/>
      <c r="M1114" s="6"/>
      <c r="N1114" s="6"/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6"/>
      <c r="Z1114" s="6"/>
      <c r="AA1114" s="6"/>
      <c r="AB1114" s="6"/>
      <c r="AC1114" s="6"/>
      <c r="AD1114" s="6"/>
      <c r="AE1114" s="6"/>
      <c r="AF1114" s="6"/>
      <c r="AG1114" s="6"/>
      <c r="AH1114" s="6"/>
      <c r="AI1114" s="6"/>
      <c r="AJ1114" s="6"/>
      <c r="AK1114" s="6"/>
      <c r="AL1114" s="6"/>
      <c r="AM1114" s="6"/>
      <c r="AN1114" s="6"/>
      <c r="AO1114" s="6"/>
      <c r="AP1114" s="6"/>
      <c r="AQ1114" s="6"/>
      <c r="AR1114" s="6"/>
      <c r="AS1114" s="6"/>
      <c r="AT1114" s="6"/>
      <c r="AU1114" s="6"/>
      <c r="AV1114" s="6"/>
      <c r="AW1114" s="6"/>
      <c r="AX1114" s="6"/>
      <c r="AY1114" s="6"/>
      <c r="AZ1114" s="6"/>
      <c r="BA1114" s="6"/>
      <c r="BB1114" s="6"/>
      <c r="BC1114" s="6"/>
      <c r="BD1114" s="6"/>
      <c r="BE1114" s="6"/>
      <c r="BF1114" s="6"/>
      <c r="BG1114" s="6"/>
      <c r="BH1114" s="6"/>
      <c r="BI1114" s="6"/>
      <c r="BJ1114" s="6"/>
      <c r="BK1114" s="6"/>
      <c r="BL1114" s="44"/>
      <c r="BM1114" s="44"/>
      <c r="BN1114" s="45"/>
      <c r="BO1114" s="45"/>
      <c r="BP1114" s="7"/>
      <c r="BQ1114" s="7" t="e">
        <f>VLOOKUP(A1114,[1]Sheet15!B:E,3,0)</f>
        <v>#N/A</v>
      </c>
    </row>
    <row r="1115" spans="1:69" ht="15.75" customHeight="1" x14ac:dyDescent="0.25">
      <c r="A1115" s="12"/>
      <c r="B1115" s="15" t="e">
        <f>VLOOKUP(A1115,'[1]Master clients'!F1113:W4660,17,0)</f>
        <v>#N/A</v>
      </c>
      <c r="C1115" s="15" t="e">
        <f>VLOOKUP(A1115,'[1]Master clients'!F1113:P4660,11,0)</f>
        <v>#N/A</v>
      </c>
      <c r="D1115" s="15" t="e">
        <f>VLOOKUP(A1115,'[1]Master clients'!F:M,8,0)</f>
        <v>#N/A</v>
      </c>
      <c r="E1115" s="12"/>
      <c r="F1115" s="6"/>
      <c r="G1115" s="6"/>
      <c r="H1115" s="6"/>
      <c r="I1115" s="43"/>
      <c r="J1115" s="43"/>
      <c r="K1115" s="6"/>
      <c r="L1115" s="6"/>
      <c r="M1115" s="6"/>
      <c r="N1115" s="6"/>
      <c r="O1115" s="6"/>
      <c r="P1115" s="6"/>
      <c r="Q1115" s="6"/>
      <c r="R1115" s="6"/>
      <c r="S1115" s="6"/>
      <c r="T1115" s="6"/>
      <c r="U1115" s="6"/>
      <c r="V1115" s="6"/>
      <c r="W1115" s="6"/>
      <c r="X1115" s="6"/>
      <c r="Y1115" s="6"/>
      <c r="Z1115" s="6"/>
      <c r="AA1115" s="6"/>
      <c r="AB1115" s="6"/>
      <c r="AC1115" s="6"/>
      <c r="AD1115" s="6"/>
      <c r="AE1115" s="6"/>
      <c r="AF1115" s="6"/>
      <c r="AG1115" s="6"/>
      <c r="AH1115" s="6"/>
      <c r="AI1115" s="6"/>
      <c r="AJ1115" s="6"/>
      <c r="AK1115" s="6"/>
      <c r="AL1115" s="6"/>
      <c r="AM1115" s="6"/>
      <c r="AN1115" s="6"/>
      <c r="AO1115" s="6"/>
      <c r="AP1115" s="6"/>
      <c r="AQ1115" s="6"/>
      <c r="AR1115" s="6"/>
      <c r="AS1115" s="6"/>
      <c r="AT1115" s="6"/>
      <c r="AU1115" s="6"/>
      <c r="AV1115" s="6"/>
      <c r="AW1115" s="6"/>
      <c r="AX1115" s="6"/>
      <c r="AY1115" s="6"/>
      <c r="AZ1115" s="6"/>
      <c r="BA1115" s="6"/>
      <c r="BB1115" s="6"/>
      <c r="BC1115" s="6"/>
      <c r="BD1115" s="6"/>
      <c r="BE1115" s="6"/>
      <c r="BF1115" s="6"/>
      <c r="BG1115" s="6"/>
      <c r="BH1115" s="6"/>
      <c r="BI1115" s="6"/>
      <c r="BJ1115" s="6"/>
      <c r="BK1115" s="6"/>
      <c r="BL1115" s="44"/>
      <c r="BM1115" s="44"/>
      <c r="BN1115" s="45"/>
      <c r="BO1115" s="45"/>
      <c r="BP1115" s="7"/>
      <c r="BQ1115" s="7" t="e">
        <f>VLOOKUP(A1115,[1]Sheet15!B:E,3,0)</f>
        <v>#N/A</v>
      </c>
    </row>
    <row r="1116" spans="1:69" ht="15.75" customHeight="1" x14ac:dyDescent="0.25">
      <c r="A1116" s="12"/>
      <c r="B1116" s="15" t="e">
        <f>VLOOKUP(A1116,'[1]Master clients'!F1114:W4661,17,0)</f>
        <v>#N/A</v>
      </c>
      <c r="C1116" s="15" t="e">
        <f>VLOOKUP(A1116,'[1]Master clients'!F1114:P4661,11,0)</f>
        <v>#N/A</v>
      </c>
      <c r="D1116" s="15" t="e">
        <f>VLOOKUP(A1116,'[1]Master clients'!F:M,8,0)</f>
        <v>#N/A</v>
      </c>
      <c r="E1116" s="12"/>
      <c r="F1116" s="6"/>
      <c r="G1116" s="6"/>
      <c r="H1116" s="6"/>
      <c r="I1116" s="43"/>
      <c r="J1116" s="43"/>
      <c r="K1116" s="6"/>
      <c r="L1116" s="6"/>
      <c r="M1116" s="6"/>
      <c r="N1116" s="6"/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6"/>
      <c r="Z1116" s="6"/>
      <c r="AA1116" s="6"/>
      <c r="AB1116" s="6"/>
      <c r="AC1116" s="6"/>
      <c r="AD1116" s="6"/>
      <c r="AE1116" s="6"/>
      <c r="AF1116" s="6"/>
      <c r="AG1116" s="6"/>
      <c r="AH1116" s="6"/>
      <c r="AI1116" s="6"/>
      <c r="AJ1116" s="6"/>
      <c r="AK1116" s="6"/>
      <c r="AL1116" s="6"/>
      <c r="AM1116" s="6"/>
      <c r="AN1116" s="6"/>
      <c r="AO1116" s="6"/>
      <c r="AP1116" s="6"/>
      <c r="AQ1116" s="6"/>
      <c r="AR1116" s="6"/>
      <c r="AS1116" s="6"/>
      <c r="AT1116" s="6"/>
      <c r="AU1116" s="6"/>
      <c r="AV1116" s="6"/>
      <c r="AW1116" s="6"/>
      <c r="AX1116" s="6"/>
      <c r="AY1116" s="6"/>
      <c r="AZ1116" s="6"/>
      <c r="BA1116" s="6"/>
      <c r="BB1116" s="6"/>
      <c r="BC1116" s="6"/>
      <c r="BD1116" s="6"/>
      <c r="BE1116" s="6"/>
      <c r="BF1116" s="6"/>
      <c r="BG1116" s="6"/>
      <c r="BH1116" s="6"/>
      <c r="BI1116" s="6"/>
      <c r="BJ1116" s="6"/>
      <c r="BK1116" s="6"/>
      <c r="BL1116" s="44"/>
      <c r="BM1116" s="44"/>
      <c r="BN1116" s="45"/>
      <c r="BO1116" s="45"/>
      <c r="BP1116" s="7"/>
      <c r="BQ1116" s="7" t="e">
        <f>VLOOKUP(A1116,[1]Sheet15!B:E,3,0)</f>
        <v>#N/A</v>
      </c>
    </row>
    <row r="1117" spans="1:69" ht="15.75" customHeight="1" x14ac:dyDescent="0.25">
      <c r="A1117" s="12"/>
      <c r="B1117" s="15" t="e">
        <f>VLOOKUP(A1117,'[1]Master clients'!F1115:W4662,17,0)</f>
        <v>#N/A</v>
      </c>
      <c r="C1117" s="15" t="e">
        <f>VLOOKUP(A1117,'[1]Master clients'!F1115:P4662,11,0)</f>
        <v>#N/A</v>
      </c>
      <c r="D1117" s="15" t="e">
        <f>VLOOKUP(A1117,'[1]Master clients'!F:M,8,0)</f>
        <v>#N/A</v>
      </c>
      <c r="E1117" s="12"/>
      <c r="F1117" s="6"/>
      <c r="G1117" s="6"/>
      <c r="H1117" s="6"/>
      <c r="I1117" s="43"/>
      <c r="J1117" s="43"/>
      <c r="K1117" s="6"/>
      <c r="L1117" s="6"/>
      <c r="M1117" s="6"/>
      <c r="N1117" s="6"/>
      <c r="O1117" s="6"/>
      <c r="P1117" s="6"/>
      <c r="Q1117" s="6"/>
      <c r="R1117" s="6"/>
      <c r="S1117" s="6"/>
      <c r="T1117" s="6"/>
      <c r="U1117" s="6"/>
      <c r="V1117" s="6"/>
      <c r="W1117" s="6"/>
      <c r="X1117" s="6"/>
      <c r="Y1117" s="6"/>
      <c r="Z1117" s="6"/>
      <c r="AA1117" s="6"/>
      <c r="AB1117" s="6"/>
      <c r="AC1117" s="6"/>
      <c r="AD1117" s="6"/>
      <c r="AE1117" s="6"/>
      <c r="AF1117" s="6"/>
      <c r="AG1117" s="6"/>
      <c r="AH1117" s="6"/>
      <c r="AI1117" s="6"/>
      <c r="AJ1117" s="6"/>
      <c r="AK1117" s="6"/>
      <c r="AL1117" s="6"/>
      <c r="AM1117" s="6"/>
      <c r="AN1117" s="6"/>
      <c r="AO1117" s="6"/>
      <c r="AP1117" s="6"/>
      <c r="AQ1117" s="6"/>
      <c r="AR1117" s="6"/>
      <c r="AS1117" s="6"/>
      <c r="AT1117" s="6"/>
      <c r="AU1117" s="6"/>
      <c r="AV1117" s="6"/>
      <c r="AW1117" s="6"/>
      <c r="AX1117" s="6"/>
      <c r="AY1117" s="6"/>
      <c r="AZ1117" s="6"/>
      <c r="BA1117" s="6"/>
      <c r="BB1117" s="6"/>
      <c r="BC1117" s="6"/>
      <c r="BD1117" s="6"/>
      <c r="BE1117" s="6"/>
      <c r="BF1117" s="6"/>
      <c r="BG1117" s="6"/>
      <c r="BH1117" s="6"/>
      <c r="BI1117" s="6"/>
      <c r="BJ1117" s="6"/>
      <c r="BK1117" s="6"/>
      <c r="BL1117" s="44"/>
      <c r="BM1117" s="44"/>
      <c r="BN1117" s="45"/>
      <c r="BO1117" s="45"/>
      <c r="BP1117" s="7"/>
      <c r="BQ1117" s="7" t="e">
        <f>VLOOKUP(A1117,[1]Sheet15!B:E,3,0)</f>
        <v>#N/A</v>
      </c>
    </row>
    <row r="1118" spans="1:69" ht="15.75" customHeight="1" x14ac:dyDescent="0.25">
      <c r="A1118" s="12"/>
      <c r="B1118" s="15" t="e">
        <f>VLOOKUP(A1118,'[1]Master clients'!F1116:W4663,17,0)</f>
        <v>#N/A</v>
      </c>
      <c r="C1118" s="15" t="e">
        <f>VLOOKUP(A1118,'[1]Master clients'!F1116:P4663,11,0)</f>
        <v>#N/A</v>
      </c>
      <c r="D1118" s="15" t="e">
        <f>VLOOKUP(A1118,'[1]Master clients'!F:M,8,0)</f>
        <v>#N/A</v>
      </c>
      <c r="E1118" s="12"/>
      <c r="F1118" s="6"/>
      <c r="G1118" s="6"/>
      <c r="H1118" s="6"/>
      <c r="I1118" s="43"/>
      <c r="J1118" s="43"/>
      <c r="K1118" s="6"/>
      <c r="L1118" s="6"/>
      <c r="M1118" s="6"/>
      <c r="N1118" s="6"/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6"/>
      <c r="Z1118" s="6"/>
      <c r="AA1118" s="6"/>
      <c r="AB1118" s="6"/>
      <c r="AC1118" s="6"/>
      <c r="AD1118" s="6"/>
      <c r="AE1118" s="6"/>
      <c r="AF1118" s="6"/>
      <c r="AG1118" s="6"/>
      <c r="AH1118" s="6"/>
      <c r="AI1118" s="6"/>
      <c r="AJ1118" s="6"/>
      <c r="AK1118" s="6"/>
      <c r="AL1118" s="6"/>
      <c r="AM1118" s="6"/>
      <c r="AN1118" s="6"/>
      <c r="AO1118" s="6"/>
      <c r="AP1118" s="6"/>
      <c r="AQ1118" s="6"/>
      <c r="AR1118" s="6"/>
      <c r="AS1118" s="6"/>
      <c r="AT1118" s="6"/>
      <c r="AU1118" s="6"/>
      <c r="AV1118" s="6"/>
      <c r="AW1118" s="6"/>
      <c r="AX1118" s="6"/>
      <c r="AY1118" s="6"/>
      <c r="AZ1118" s="6"/>
      <c r="BA1118" s="6"/>
      <c r="BB1118" s="6"/>
      <c r="BC1118" s="6"/>
      <c r="BD1118" s="6"/>
      <c r="BE1118" s="6"/>
      <c r="BF1118" s="6"/>
      <c r="BG1118" s="6"/>
      <c r="BH1118" s="6"/>
      <c r="BI1118" s="6"/>
      <c r="BJ1118" s="6"/>
      <c r="BK1118" s="6"/>
      <c r="BL1118" s="44"/>
      <c r="BM1118" s="44"/>
      <c r="BN1118" s="45"/>
      <c r="BO1118" s="45"/>
      <c r="BP1118" s="7"/>
      <c r="BQ1118" s="7" t="e">
        <f>VLOOKUP(A1118,[1]Sheet15!B:E,3,0)</f>
        <v>#N/A</v>
      </c>
    </row>
    <row r="1119" spans="1:69" ht="15.75" customHeight="1" x14ac:dyDescent="0.25">
      <c r="A1119" s="12"/>
      <c r="B1119" s="15" t="e">
        <f>VLOOKUP(A1119,'[1]Master clients'!F1117:W4664,17,0)</f>
        <v>#N/A</v>
      </c>
      <c r="C1119" s="15" t="e">
        <f>VLOOKUP(A1119,'[1]Master clients'!F1117:P4664,11,0)</f>
        <v>#N/A</v>
      </c>
      <c r="D1119" s="15" t="e">
        <f>VLOOKUP(A1119,'[1]Master clients'!F:M,8,0)</f>
        <v>#N/A</v>
      </c>
      <c r="E1119" s="12"/>
      <c r="F1119" s="6"/>
      <c r="G1119" s="6"/>
      <c r="H1119" s="6"/>
      <c r="I1119" s="43"/>
      <c r="J1119" s="43"/>
      <c r="K1119" s="6"/>
      <c r="L1119" s="6"/>
      <c r="M1119" s="6"/>
      <c r="N1119" s="6"/>
      <c r="O1119" s="6"/>
      <c r="P1119" s="6"/>
      <c r="Q1119" s="6"/>
      <c r="R1119" s="6"/>
      <c r="S1119" s="6"/>
      <c r="T1119" s="6"/>
      <c r="U1119" s="6"/>
      <c r="V1119" s="6"/>
      <c r="W1119" s="6"/>
      <c r="X1119" s="6"/>
      <c r="Y1119" s="6"/>
      <c r="Z1119" s="6"/>
      <c r="AA1119" s="6"/>
      <c r="AB1119" s="6"/>
      <c r="AC1119" s="6"/>
      <c r="AD1119" s="6"/>
      <c r="AE1119" s="6"/>
      <c r="AF1119" s="6"/>
      <c r="AG1119" s="6"/>
      <c r="AH1119" s="6"/>
      <c r="AI1119" s="6"/>
      <c r="AJ1119" s="6"/>
      <c r="AK1119" s="6"/>
      <c r="AL1119" s="6"/>
      <c r="AM1119" s="6"/>
      <c r="AN1119" s="6"/>
      <c r="AO1119" s="6"/>
      <c r="AP1119" s="6"/>
      <c r="AQ1119" s="6"/>
      <c r="AR1119" s="6"/>
      <c r="AS1119" s="6"/>
      <c r="AT1119" s="6"/>
      <c r="AU1119" s="6"/>
      <c r="AV1119" s="6"/>
      <c r="AW1119" s="6"/>
      <c r="AX1119" s="6"/>
      <c r="AY1119" s="6"/>
      <c r="AZ1119" s="6"/>
      <c r="BA1119" s="6"/>
      <c r="BB1119" s="6"/>
      <c r="BC1119" s="6"/>
      <c r="BD1119" s="6"/>
      <c r="BE1119" s="6"/>
      <c r="BF1119" s="6"/>
      <c r="BG1119" s="6"/>
      <c r="BH1119" s="6"/>
      <c r="BI1119" s="6"/>
      <c r="BJ1119" s="6"/>
      <c r="BK1119" s="6"/>
      <c r="BL1119" s="44"/>
      <c r="BM1119" s="44"/>
      <c r="BN1119" s="45"/>
      <c r="BO1119" s="45"/>
      <c r="BP1119" s="7"/>
      <c r="BQ1119" s="7" t="e">
        <f>VLOOKUP(A1119,[1]Sheet15!B:E,3,0)</f>
        <v>#N/A</v>
      </c>
    </row>
    <row r="1120" spans="1:69" ht="15.75" customHeight="1" x14ac:dyDescent="0.25">
      <c r="A1120" s="12"/>
      <c r="B1120" s="15" t="e">
        <f>VLOOKUP(A1120,'[1]Master clients'!F1118:W4665,17,0)</f>
        <v>#N/A</v>
      </c>
      <c r="C1120" s="15" t="e">
        <f>VLOOKUP(A1120,'[1]Master clients'!F1118:P4665,11,0)</f>
        <v>#N/A</v>
      </c>
      <c r="D1120" s="15" t="e">
        <f>VLOOKUP(A1120,'[1]Master clients'!F:M,8,0)</f>
        <v>#N/A</v>
      </c>
      <c r="E1120" s="12"/>
      <c r="F1120" s="6"/>
      <c r="G1120" s="6"/>
      <c r="H1120" s="6"/>
      <c r="I1120" s="43"/>
      <c r="J1120" s="43"/>
      <c r="K1120" s="6"/>
      <c r="L1120" s="6"/>
      <c r="M1120" s="6"/>
      <c r="N1120" s="6"/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6"/>
      <c r="Z1120" s="6"/>
      <c r="AA1120" s="6"/>
      <c r="AB1120" s="6"/>
      <c r="AC1120" s="6"/>
      <c r="AD1120" s="6"/>
      <c r="AE1120" s="6"/>
      <c r="AF1120" s="6"/>
      <c r="AG1120" s="6"/>
      <c r="AH1120" s="6"/>
      <c r="AI1120" s="6"/>
      <c r="AJ1120" s="6"/>
      <c r="AK1120" s="6"/>
      <c r="AL1120" s="6"/>
      <c r="AM1120" s="6"/>
      <c r="AN1120" s="6"/>
      <c r="AO1120" s="6"/>
      <c r="AP1120" s="6"/>
      <c r="AQ1120" s="6"/>
      <c r="AR1120" s="6"/>
      <c r="AS1120" s="6"/>
      <c r="AT1120" s="6"/>
      <c r="AU1120" s="6"/>
      <c r="AV1120" s="6"/>
      <c r="AW1120" s="6"/>
      <c r="AX1120" s="6"/>
      <c r="AY1120" s="6"/>
      <c r="AZ1120" s="6"/>
      <c r="BA1120" s="6"/>
      <c r="BB1120" s="6"/>
      <c r="BC1120" s="6"/>
      <c r="BD1120" s="6"/>
      <c r="BE1120" s="6"/>
      <c r="BF1120" s="6"/>
      <c r="BG1120" s="6"/>
      <c r="BH1120" s="6"/>
      <c r="BI1120" s="6"/>
      <c r="BJ1120" s="6"/>
      <c r="BK1120" s="6"/>
      <c r="BL1120" s="44"/>
      <c r="BM1120" s="44"/>
      <c r="BN1120" s="45"/>
      <c r="BO1120" s="45"/>
      <c r="BP1120" s="7"/>
      <c r="BQ1120" s="7" t="e">
        <f>VLOOKUP(A1120,[1]Sheet15!B:E,3,0)</f>
        <v>#N/A</v>
      </c>
    </row>
    <row r="1121" spans="1:69" ht="15.75" customHeight="1" x14ac:dyDescent="0.25">
      <c r="A1121" s="12"/>
      <c r="B1121" s="15" t="e">
        <f>VLOOKUP(A1121,'[1]Master clients'!F1119:W4666,17,0)</f>
        <v>#N/A</v>
      </c>
      <c r="C1121" s="15" t="e">
        <f>VLOOKUP(A1121,'[1]Master clients'!F1119:P4666,11,0)</f>
        <v>#N/A</v>
      </c>
      <c r="D1121" s="15" t="e">
        <f>VLOOKUP(A1121,'[1]Master clients'!F:M,8,0)</f>
        <v>#N/A</v>
      </c>
      <c r="E1121" s="12"/>
      <c r="F1121" s="6"/>
      <c r="G1121" s="6"/>
      <c r="H1121" s="6"/>
      <c r="I1121" s="43"/>
      <c r="J1121" s="43"/>
      <c r="K1121" s="6"/>
      <c r="L1121" s="6"/>
      <c r="M1121" s="6"/>
      <c r="N1121" s="6"/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6"/>
      <c r="Z1121" s="6"/>
      <c r="AA1121" s="6"/>
      <c r="AB1121" s="6"/>
      <c r="AC1121" s="6"/>
      <c r="AD1121" s="6"/>
      <c r="AE1121" s="6"/>
      <c r="AF1121" s="6"/>
      <c r="AG1121" s="6"/>
      <c r="AH1121" s="6"/>
      <c r="AI1121" s="6"/>
      <c r="AJ1121" s="6"/>
      <c r="AK1121" s="6"/>
      <c r="AL1121" s="6"/>
      <c r="AM1121" s="6"/>
      <c r="AN1121" s="6"/>
      <c r="AO1121" s="6"/>
      <c r="AP1121" s="6"/>
      <c r="AQ1121" s="6"/>
      <c r="AR1121" s="6"/>
      <c r="AS1121" s="6"/>
      <c r="AT1121" s="6"/>
      <c r="AU1121" s="6"/>
      <c r="AV1121" s="6"/>
      <c r="AW1121" s="6"/>
      <c r="AX1121" s="6"/>
      <c r="AY1121" s="6"/>
      <c r="AZ1121" s="6"/>
      <c r="BA1121" s="6"/>
      <c r="BB1121" s="6"/>
      <c r="BC1121" s="6"/>
      <c r="BD1121" s="6"/>
      <c r="BE1121" s="6"/>
      <c r="BF1121" s="6"/>
      <c r="BG1121" s="6"/>
      <c r="BH1121" s="6"/>
      <c r="BI1121" s="6"/>
      <c r="BJ1121" s="6"/>
      <c r="BK1121" s="6"/>
      <c r="BL1121" s="44"/>
      <c r="BM1121" s="44"/>
      <c r="BN1121" s="45"/>
      <c r="BO1121" s="45"/>
      <c r="BP1121" s="7"/>
      <c r="BQ1121" s="7" t="e">
        <f>VLOOKUP(A1121,[1]Sheet15!B:E,3,0)</f>
        <v>#N/A</v>
      </c>
    </row>
    <row r="1122" spans="1:69" ht="15.75" customHeight="1" x14ac:dyDescent="0.25">
      <c r="A1122" s="12"/>
      <c r="B1122" s="15" t="e">
        <f>VLOOKUP(A1122,'[1]Master clients'!F1120:W4667,17,0)</f>
        <v>#N/A</v>
      </c>
      <c r="C1122" s="15" t="e">
        <f>VLOOKUP(A1122,'[1]Master clients'!F1120:P4667,11,0)</f>
        <v>#N/A</v>
      </c>
      <c r="D1122" s="15" t="e">
        <f>VLOOKUP(A1122,'[1]Master clients'!F:M,8,0)</f>
        <v>#N/A</v>
      </c>
      <c r="E1122" s="12"/>
      <c r="F1122" s="6"/>
      <c r="G1122" s="6"/>
      <c r="H1122" s="6"/>
      <c r="I1122" s="43"/>
      <c r="J1122" s="43"/>
      <c r="K1122" s="6"/>
      <c r="L1122" s="6"/>
      <c r="M1122" s="6"/>
      <c r="N1122" s="6"/>
      <c r="O1122" s="6"/>
      <c r="P1122" s="6"/>
      <c r="Q1122" s="6"/>
      <c r="R1122" s="6"/>
      <c r="S1122" s="6"/>
      <c r="T1122" s="6"/>
      <c r="U1122" s="6"/>
      <c r="V1122" s="6"/>
      <c r="W1122" s="6"/>
      <c r="X1122" s="6"/>
      <c r="Y1122" s="6"/>
      <c r="Z1122" s="6"/>
      <c r="AA1122" s="6"/>
      <c r="AB1122" s="6"/>
      <c r="AC1122" s="6"/>
      <c r="AD1122" s="6"/>
      <c r="AE1122" s="6"/>
      <c r="AF1122" s="6"/>
      <c r="AG1122" s="6"/>
      <c r="AH1122" s="6"/>
      <c r="AI1122" s="6"/>
      <c r="AJ1122" s="6"/>
      <c r="AK1122" s="6"/>
      <c r="AL1122" s="6"/>
      <c r="AM1122" s="6"/>
      <c r="AN1122" s="6"/>
      <c r="AO1122" s="6"/>
      <c r="AP1122" s="6"/>
      <c r="AQ1122" s="6"/>
      <c r="AR1122" s="6"/>
      <c r="AS1122" s="6"/>
      <c r="AT1122" s="6"/>
      <c r="AU1122" s="6"/>
      <c r="AV1122" s="6"/>
      <c r="AW1122" s="6"/>
      <c r="AX1122" s="6"/>
      <c r="AY1122" s="6"/>
      <c r="AZ1122" s="6"/>
      <c r="BA1122" s="6"/>
      <c r="BB1122" s="6"/>
      <c r="BC1122" s="6"/>
      <c r="BD1122" s="6"/>
      <c r="BE1122" s="6"/>
      <c r="BF1122" s="6"/>
      <c r="BG1122" s="6"/>
      <c r="BH1122" s="6"/>
      <c r="BI1122" s="6"/>
      <c r="BJ1122" s="6"/>
      <c r="BK1122" s="6"/>
      <c r="BL1122" s="44"/>
      <c r="BM1122" s="44"/>
      <c r="BN1122" s="45"/>
      <c r="BO1122" s="45"/>
      <c r="BP1122" s="7"/>
      <c r="BQ1122" s="7" t="e">
        <f>VLOOKUP(A1122,[1]Sheet15!B:E,3,0)</f>
        <v>#N/A</v>
      </c>
    </row>
    <row r="1123" spans="1:69" ht="15.75" customHeight="1" x14ac:dyDescent="0.25">
      <c r="A1123" s="12"/>
      <c r="B1123" s="15" t="e">
        <f>VLOOKUP(A1123,'[1]Master clients'!F1121:W4668,17,0)</f>
        <v>#N/A</v>
      </c>
      <c r="C1123" s="15" t="e">
        <f>VLOOKUP(A1123,'[1]Master clients'!F1121:P4668,11,0)</f>
        <v>#N/A</v>
      </c>
      <c r="D1123" s="15" t="e">
        <f>VLOOKUP(A1123,'[1]Master clients'!F:M,8,0)</f>
        <v>#N/A</v>
      </c>
      <c r="E1123" s="12"/>
      <c r="F1123" s="6"/>
      <c r="G1123" s="6"/>
      <c r="H1123" s="6"/>
      <c r="I1123" s="43"/>
      <c r="J1123" s="43"/>
      <c r="K1123" s="6"/>
      <c r="L1123" s="6"/>
      <c r="M1123" s="6"/>
      <c r="N1123" s="6"/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6"/>
      <c r="Z1123" s="6"/>
      <c r="AA1123" s="6"/>
      <c r="AB1123" s="6"/>
      <c r="AC1123" s="6"/>
      <c r="AD1123" s="6"/>
      <c r="AE1123" s="6"/>
      <c r="AF1123" s="6"/>
      <c r="AG1123" s="6"/>
      <c r="AH1123" s="6"/>
      <c r="AI1123" s="6"/>
      <c r="AJ1123" s="6"/>
      <c r="AK1123" s="6"/>
      <c r="AL1123" s="6"/>
      <c r="AM1123" s="6"/>
      <c r="AN1123" s="6"/>
      <c r="AO1123" s="6"/>
      <c r="AP1123" s="6"/>
      <c r="AQ1123" s="6"/>
      <c r="AR1123" s="6"/>
      <c r="AS1123" s="6"/>
      <c r="AT1123" s="6"/>
      <c r="AU1123" s="6"/>
      <c r="AV1123" s="6"/>
      <c r="AW1123" s="6"/>
      <c r="AX1123" s="6"/>
      <c r="AY1123" s="6"/>
      <c r="AZ1123" s="6"/>
      <c r="BA1123" s="6"/>
      <c r="BB1123" s="6"/>
      <c r="BC1123" s="6"/>
      <c r="BD1123" s="6"/>
      <c r="BE1123" s="6"/>
      <c r="BF1123" s="6"/>
      <c r="BG1123" s="6"/>
      <c r="BH1123" s="6"/>
      <c r="BI1123" s="6"/>
      <c r="BJ1123" s="6"/>
      <c r="BK1123" s="6"/>
      <c r="BL1123" s="44"/>
      <c r="BM1123" s="44"/>
      <c r="BN1123" s="45"/>
      <c r="BO1123" s="45"/>
      <c r="BP1123" s="7"/>
      <c r="BQ1123" s="7" t="e">
        <f>VLOOKUP(A1123,[1]Sheet15!B:E,3,0)</f>
        <v>#N/A</v>
      </c>
    </row>
    <row r="1124" spans="1:69" ht="15.75" customHeight="1" x14ac:dyDescent="0.25">
      <c r="A1124" s="12"/>
      <c r="B1124" s="15" t="e">
        <f>VLOOKUP(A1124,'[1]Master clients'!F1122:W4669,17,0)</f>
        <v>#N/A</v>
      </c>
      <c r="C1124" s="15" t="e">
        <f>VLOOKUP(A1124,'[1]Master clients'!F1122:P4669,11,0)</f>
        <v>#N/A</v>
      </c>
      <c r="D1124" s="15" t="e">
        <f>VLOOKUP(A1124,'[1]Master clients'!F:M,8,0)</f>
        <v>#N/A</v>
      </c>
      <c r="E1124" s="12"/>
      <c r="F1124" s="6"/>
      <c r="G1124" s="6"/>
      <c r="H1124" s="6"/>
      <c r="I1124" s="43"/>
      <c r="J1124" s="43"/>
      <c r="K1124" s="6"/>
      <c r="L1124" s="6"/>
      <c r="M1124" s="6"/>
      <c r="N1124" s="6"/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6"/>
      <c r="Z1124" s="6"/>
      <c r="AA1124" s="6"/>
      <c r="AB1124" s="6"/>
      <c r="AC1124" s="6"/>
      <c r="AD1124" s="6"/>
      <c r="AE1124" s="6"/>
      <c r="AF1124" s="6"/>
      <c r="AG1124" s="6"/>
      <c r="AH1124" s="6"/>
      <c r="AI1124" s="6"/>
      <c r="AJ1124" s="6"/>
      <c r="AK1124" s="6"/>
      <c r="AL1124" s="6"/>
      <c r="AM1124" s="6"/>
      <c r="AN1124" s="6"/>
      <c r="AO1124" s="6"/>
      <c r="AP1124" s="6"/>
      <c r="AQ1124" s="6"/>
      <c r="AR1124" s="6"/>
      <c r="AS1124" s="6"/>
      <c r="AT1124" s="6"/>
      <c r="AU1124" s="6"/>
      <c r="AV1124" s="6"/>
      <c r="AW1124" s="6"/>
      <c r="AX1124" s="6"/>
      <c r="AY1124" s="6"/>
      <c r="AZ1124" s="6"/>
      <c r="BA1124" s="6"/>
      <c r="BB1124" s="6"/>
      <c r="BC1124" s="6"/>
      <c r="BD1124" s="6"/>
      <c r="BE1124" s="6"/>
      <c r="BF1124" s="6"/>
      <c r="BG1124" s="6"/>
      <c r="BH1124" s="6"/>
      <c r="BI1124" s="6"/>
      <c r="BJ1124" s="6"/>
      <c r="BK1124" s="6"/>
      <c r="BL1124" s="44"/>
      <c r="BM1124" s="44"/>
      <c r="BN1124" s="45"/>
      <c r="BO1124" s="45"/>
      <c r="BP1124" s="7"/>
      <c r="BQ1124" s="7" t="e">
        <f>VLOOKUP(A1124,[1]Sheet15!B:E,3,0)</f>
        <v>#N/A</v>
      </c>
    </row>
    <row r="1125" spans="1:69" ht="15.75" customHeight="1" x14ac:dyDescent="0.25">
      <c r="A1125" s="12"/>
      <c r="B1125" s="15" t="e">
        <f>VLOOKUP(A1125,'[1]Master clients'!F1123:W4670,17,0)</f>
        <v>#N/A</v>
      </c>
      <c r="C1125" s="15" t="e">
        <f>VLOOKUP(A1125,'[1]Master clients'!F1123:P4670,11,0)</f>
        <v>#N/A</v>
      </c>
      <c r="D1125" s="15" t="e">
        <f>VLOOKUP(A1125,'[1]Master clients'!F:M,8,0)</f>
        <v>#N/A</v>
      </c>
      <c r="E1125" s="12"/>
      <c r="F1125" s="6"/>
      <c r="G1125" s="6"/>
      <c r="H1125" s="6"/>
      <c r="I1125" s="43"/>
      <c r="J1125" s="43"/>
      <c r="K1125" s="6"/>
      <c r="L1125" s="6"/>
      <c r="M1125" s="6"/>
      <c r="N1125" s="6"/>
      <c r="O1125" s="6"/>
      <c r="P1125" s="6"/>
      <c r="Q1125" s="6"/>
      <c r="R1125" s="6"/>
      <c r="S1125" s="6"/>
      <c r="T1125" s="6"/>
      <c r="U1125" s="6"/>
      <c r="V1125" s="6"/>
      <c r="W1125" s="6"/>
      <c r="X1125" s="6"/>
      <c r="Y1125" s="6"/>
      <c r="Z1125" s="6"/>
      <c r="AA1125" s="6"/>
      <c r="AB1125" s="6"/>
      <c r="AC1125" s="6"/>
      <c r="AD1125" s="6"/>
      <c r="AE1125" s="6"/>
      <c r="AF1125" s="6"/>
      <c r="AG1125" s="6"/>
      <c r="AH1125" s="6"/>
      <c r="AI1125" s="6"/>
      <c r="AJ1125" s="6"/>
      <c r="AK1125" s="6"/>
      <c r="AL1125" s="6"/>
      <c r="AM1125" s="6"/>
      <c r="AN1125" s="6"/>
      <c r="AO1125" s="6"/>
      <c r="AP1125" s="6"/>
      <c r="AQ1125" s="6"/>
      <c r="AR1125" s="6"/>
      <c r="AS1125" s="6"/>
      <c r="AT1125" s="6"/>
      <c r="AU1125" s="6"/>
      <c r="AV1125" s="6"/>
      <c r="AW1125" s="6"/>
      <c r="AX1125" s="6"/>
      <c r="AY1125" s="6"/>
      <c r="AZ1125" s="6"/>
      <c r="BA1125" s="6"/>
      <c r="BB1125" s="6"/>
      <c r="BC1125" s="6"/>
      <c r="BD1125" s="6"/>
      <c r="BE1125" s="6"/>
      <c r="BF1125" s="6"/>
      <c r="BG1125" s="6"/>
      <c r="BH1125" s="6"/>
      <c r="BI1125" s="6"/>
      <c r="BJ1125" s="6"/>
      <c r="BK1125" s="6"/>
      <c r="BL1125" s="44"/>
      <c r="BM1125" s="44"/>
      <c r="BN1125" s="45"/>
      <c r="BO1125" s="45"/>
      <c r="BP1125" s="7"/>
      <c r="BQ1125" s="7" t="e">
        <f>VLOOKUP(A1125,[1]Sheet15!B:E,3,0)</f>
        <v>#N/A</v>
      </c>
    </row>
    <row r="1126" spans="1:69" ht="15.75" customHeight="1" x14ac:dyDescent="0.25">
      <c r="A1126" s="12"/>
      <c r="B1126" s="15" t="e">
        <f>VLOOKUP(A1126,'[1]Master clients'!F1124:W4671,17,0)</f>
        <v>#N/A</v>
      </c>
      <c r="C1126" s="15" t="e">
        <f>VLOOKUP(A1126,'[1]Master clients'!F1124:P4671,11,0)</f>
        <v>#N/A</v>
      </c>
      <c r="D1126" s="15" t="e">
        <f>VLOOKUP(A1126,'[1]Master clients'!F:M,8,0)</f>
        <v>#N/A</v>
      </c>
      <c r="E1126" s="12"/>
      <c r="F1126" s="6"/>
      <c r="G1126" s="6"/>
      <c r="H1126" s="6"/>
      <c r="I1126" s="43"/>
      <c r="J1126" s="43"/>
      <c r="K1126" s="6"/>
      <c r="L1126" s="6"/>
      <c r="M1126" s="6"/>
      <c r="N1126" s="6"/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6"/>
      <c r="Z1126" s="6"/>
      <c r="AA1126" s="6"/>
      <c r="AB1126" s="6"/>
      <c r="AC1126" s="6"/>
      <c r="AD1126" s="6"/>
      <c r="AE1126" s="6"/>
      <c r="AF1126" s="6"/>
      <c r="AG1126" s="6"/>
      <c r="AH1126" s="6"/>
      <c r="AI1126" s="6"/>
      <c r="AJ1126" s="6"/>
      <c r="AK1126" s="6"/>
      <c r="AL1126" s="6"/>
      <c r="AM1126" s="6"/>
      <c r="AN1126" s="6"/>
      <c r="AO1126" s="6"/>
      <c r="AP1126" s="6"/>
      <c r="AQ1126" s="6"/>
      <c r="AR1126" s="6"/>
      <c r="AS1126" s="6"/>
      <c r="AT1126" s="6"/>
      <c r="AU1126" s="6"/>
      <c r="AV1126" s="6"/>
      <c r="AW1126" s="6"/>
      <c r="AX1126" s="6"/>
      <c r="AY1126" s="6"/>
      <c r="AZ1126" s="6"/>
      <c r="BA1126" s="6"/>
      <c r="BB1126" s="6"/>
      <c r="BC1126" s="6"/>
      <c r="BD1126" s="6"/>
      <c r="BE1126" s="6"/>
      <c r="BF1126" s="6"/>
      <c r="BG1126" s="6"/>
      <c r="BH1126" s="6"/>
      <c r="BI1126" s="6"/>
      <c r="BJ1126" s="6"/>
      <c r="BK1126" s="6"/>
      <c r="BL1126" s="44"/>
      <c r="BM1126" s="44"/>
      <c r="BN1126" s="45"/>
      <c r="BO1126" s="45"/>
      <c r="BP1126" s="7"/>
      <c r="BQ1126" s="7" t="e">
        <f>VLOOKUP(A1126,[1]Sheet15!B:E,3,0)</f>
        <v>#N/A</v>
      </c>
    </row>
    <row r="1127" spans="1:69" ht="15.75" customHeight="1" x14ac:dyDescent="0.25">
      <c r="A1127" s="12"/>
      <c r="B1127" s="15" t="e">
        <f>VLOOKUP(A1127,'[1]Master clients'!F1125:W4672,17,0)</f>
        <v>#N/A</v>
      </c>
      <c r="C1127" s="15" t="e">
        <f>VLOOKUP(A1127,'[1]Master clients'!F1125:P4672,11,0)</f>
        <v>#N/A</v>
      </c>
      <c r="D1127" s="15" t="e">
        <f>VLOOKUP(A1127,'[1]Master clients'!F:M,8,0)</f>
        <v>#N/A</v>
      </c>
      <c r="E1127" s="12"/>
      <c r="F1127" s="6"/>
      <c r="G1127" s="6"/>
      <c r="H1127" s="6"/>
      <c r="I1127" s="43"/>
      <c r="J1127" s="43"/>
      <c r="K1127" s="6"/>
      <c r="L1127" s="6"/>
      <c r="M1127" s="6"/>
      <c r="N1127" s="6"/>
      <c r="O1127" s="6"/>
      <c r="P1127" s="6"/>
      <c r="Q1127" s="6"/>
      <c r="R1127" s="6"/>
      <c r="S1127" s="6"/>
      <c r="T1127" s="6"/>
      <c r="U1127" s="6"/>
      <c r="V1127" s="6"/>
      <c r="W1127" s="6"/>
      <c r="X1127" s="6"/>
      <c r="Y1127" s="6"/>
      <c r="Z1127" s="6"/>
      <c r="AA1127" s="6"/>
      <c r="AB1127" s="6"/>
      <c r="AC1127" s="6"/>
      <c r="AD1127" s="6"/>
      <c r="AE1127" s="6"/>
      <c r="AF1127" s="6"/>
      <c r="AG1127" s="6"/>
      <c r="AH1127" s="6"/>
      <c r="AI1127" s="6"/>
      <c r="AJ1127" s="6"/>
      <c r="AK1127" s="6"/>
      <c r="AL1127" s="6"/>
      <c r="AM1127" s="6"/>
      <c r="AN1127" s="6"/>
      <c r="AO1127" s="6"/>
      <c r="AP1127" s="6"/>
      <c r="AQ1127" s="6"/>
      <c r="AR1127" s="6"/>
      <c r="AS1127" s="6"/>
      <c r="AT1127" s="6"/>
      <c r="AU1127" s="6"/>
      <c r="AV1127" s="6"/>
      <c r="AW1127" s="6"/>
      <c r="AX1127" s="6"/>
      <c r="AY1127" s="6"/>
      <c r="AZ1127" s="6"/>
      <c r="BA1127" s="6"/>
      <c r="BB1127" s="6"/>
      <c r="BC1127" s="6"/>
      <c r="BD1127" s="6"/>
      <c r="BE1127" s="6"/>
      <c r="BF1127" s="6"/>
      <c r="BG1127" s="6"/>
      <c r="BH1127" s="6"/>
      <c r="BI1127" s="6"/>
      <c r="BJ1127" s="6"/>
      <c r="BK1127" s="6"/>
      <c r="BL1127" s="44"/>
      <c r="BM1127" s="44"/>
      <c r="BN1127" s="45"/>
      <c r="BO1127" s="45"/>
      <c r="BP1127" s="7"/>
      <c r="BQ1127" s="7" t="e">
        <f>VLOOKUP(A1127,[1]Sheet15!B:E,3,0)</f>
        <v>#N/A</v>
      </c>
    </row>
    <row r="1128" spans="1:69" ht="15.75" customHeight="1" x14ac:dyDescent="0.25">
      <c r="A1128" s="12"/>
      <c r="B1128" s="15" t="e">
        <f>VLOOKUP(A1128,'[1]Master clients'!F1126:W4673,17,0)</f>
        <v>#N/A</v>
      </c>
      <c r="C1128" s="15" t="e">
        <f>VLOOKUP(A1128,'[1]Master clients'!F1126:P4673,11,0)</f>
        <v>#N/A</v>
      </c>
      <c r="D1128" s="15" t="e">
        <f>VLOOKUP(A1128,'[1]Master clients'!F:M,8,0)</f>
        <v>#N/A</v>
      </c>
      <c r="E1128" s="12"/>
      <c r="F1128" s="6"/>
      <c r="G1128" s="6"/>
      <c r="H1128" s="6"/>
      <c r="I1128" s="43"/>
      <c r="J1128" s="43"/>
      <c r="K1128" s="6"/>
      <c r="L1128" s="6"/>
      <c r="M1128" s="6"/>
      <c r="N1128" s="6"/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  <c r="Z1128" s="6"/>
      <c r="AA1128" s="6"/>
      <c r="AB1128" s="6"/>
      <c r="AC1128" s="6"/>
      <c r="AD1128" s="6"/>
      <c r="AE1128" s="6"/>
      <c r="AF1128" s="6"/>
      <c r="AG1128" s="6"/>
      <c r="AH1128" s="6"/>
      <c r="AI1128" s="6"/>
      <c r="AJ1128" s="6"/>
      <c r="AK1128" s="6"/>
      <c r="AL1128" s="6"/>
      <c r="AM1128" s="6"/>
      <c r="AN1128" s="6"/>
      <c r="AO1128" s="6"/>
      <c r="AP1128" s="6"/>
      <c r="AQ1128" s="6"/>
      <c r="AR1128" s="6"/>
      <c r="AS1128" s="6"/>
      <c r="AT1128" s="6"/>
      <c r="AU1128" s="6"/>
      <c r="AV1128" s="6"/>
      <c r="AW1128" s="6"/>
      <c r="AX1128" s="6"/>
      <c r="AY1128" s="6"/>
      <c r="AZ1128" s="6"/>
      <c r="BA1128" s="6"/>
      <c r="BB1128" s="6"/>
      <c r="BC1128" s="6"/>
      <c r="BD1128" s="6"/>
      <c r="BE1128" s="6"/>
      <c r="BF1128" s="6"/>
      <c r="BG1128" s="6"/>
      <c r="BH1128" s="6"/>
      <c r="BI1128" s="6"/>
      <c r="BJ1128" s="6"/>
      <c r="BK1128" s="6"/>
      <c r="BL1128" s="44"/>
      <c r="BM1128" s="44"/>
      <c r="BN1128" s="45"/>
      <c r="BO1128" s="45"/>
      <c r="BP1128" s="7"/>
      <c r="BQ1128" s="7" t="e">
        <f>VLOOKUP(A1128,[1]Sheet15!B:E,3,0)</f>
        <v>#N/A</v>
      </c>
    </row>
    <row r="1129" spans="1:69" ht="15.75" customHeight="1" x14ac:dyDescent="0.25">
      <c r="A1129" s="12"/>
      <c r="B1129" s="15" t="e">
        <f>VLOOKUP(A1129,'[1]Master clients'!F1127:W4674,17,0)</f>
        <v>#N/A</v>
      </c>
      <c r="C1129" s="15" t="e">
        <f>VLOOKUP(A1129,'[1]Master clients'!F1127:P4674,11,0)</f>
        <v>#N/A</v>
      </c>
      <c r="D1129" s="15" t="e">
        <f>VLOOKUP(A1129,'[1]Master clients'!F:M,8,0)</f>
        <v>#N/A</v>
      </c>
      <c r="E1129" s="12"/>
      <c r="F1129" s="6"/>
      <c r="G1129" s="6"/>
      <c r="H1129" s="6"/>
      <c r="I1129" s="43"/>
      <c r="J1129" s="43"/>
      <c r="K1129" s="6"/>
      <c r="L1129" s="6"/>
      <c r="M1129" s="6"/>
      <c r="N1129" s="6"/>
      <c r="O1129" s="6"/>
      <c r="P1129" s="6"/>
      <c r="Q1129" s="6"/>
      <c r="R1129" s="6"/>
      <c r="S1129" s="6"/>
      <c r="T1129" s="6"/>
      <c r="U1129" s="6"/>
      <c r="V1129" s="6"/>
      <c r="W1129" s="6"/>
      <c r="X1129" s="6"/>
      <c r="Y1129" s="6"/>
      <c r="Z1129" s="6"/>
      <c r="AA1129" s="6"/>
      <c r="AB1129" s="6"/>
      <c r="AC1129" s="6"/>
      <c r="AD1129" s="6"/>
      <c r="AE1129" s="6"/>
      <c r="AF1129" s="6"/>
      <c r="AG1129" s="6"/>
      <c r="AH1129" s="6"/>
      <c r="AI1129" s="6"/>
      <c r="AJ1129" s="6"/>
      <c r="AK1129" s="6"/>
      <c r="AL1129" s="6"/>
      <c r="AM1129" s="6"/>
      <c r="AN1129" s="6"/>
      <c r="AO1129" s="6"/>
      <c r="AP1129" s="6"/>
      <c r="AQ1129" s="6"/>
      <c r="AR1129" s="6"/>
      <c r="AS1129" s="6"/>
      <c r="AT1129" s="6"/>
      <c r="AU1129" s="6"/>
      <c r="AV1129" s="6"/>
      <c r="AW1129" s="6"/>
      <c r="AX1129" s="6"/>
      <c r="AY1129" s="6"/>
      <c r="AZ1129" s="6"/>
      <c r="BA1129" s="6"/>
      <c r="BB1129" s="6"/>
      <c r="BC1129" s="6"/>
      <c r="BD1129" s="6"/>
      <c r="BE1129" s="6"/>
      <c r="BF1129" s="6"/>
      <c r="BG1129" s="6"/>
      <c r="BH1129" s="6"/>
      <c r="BI1129" s="6"/>
      <c r="BJ1129" s="6"/>
      <c r="BK1129" s="6"/>
      <c r="BL1129" s="44"/>
      <c r="BM1129" s="44"/>
      <c r="BN1129" s="45"/>
      <c r="BO1129" s="45"/>
      <c r="BP1129" s="7"/>
      <c r="BQ1129" s="7" t="e">
        <f>VLOOKUP(A1129,[1]Sheet15!B:E,3,0)</f>
        <v>#N/A</v>
      </c>
    </row>
    <row r="1130" spans="1:69" ht="15.75" customHeight="1" x14ac:dyDescent="0.25">
      <c r="A1130" s="12"/>
      <c r="B1130" s="15" t="e">
        <f>VLOOKUP(A1130,'[1]Master clients'!F1128:W4675,17,0)</f>
        <v>#N/A</v>
      </c>
      <c r="C1130" s="15" t="e">
        <f>VLOOKUP(A1130,'[1]Master clients'!F1128:P4675,11,0)</f>
        <v>#N/A</v>
      </c>
      <c r="D1130" s="15" t="e">
        <f>VLOOKUP(A1130,'[1]Master clients'!F:M,8,0)</f>
        <v>#N/A</v>
      </c>
      <c r="E1130" s="12"/>
      <c r="F1130" s="6"/>
      <c r="G1130" s="6"/>
      <c r="H1130" s="6"/>
      <c r="I1130" s="43"/>
      <c r="J1130" s="43"/>
      <c r="K1130" s="6"/>
      <c r="L1130" s="6"/>
      <c r="M1130" s="6"/>
      <c r="N1130" s="6"/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  <c r="Z1130" s="6"/>
      <c r="AA1130" s="6"/>
      <c r="AB1130" s="6"/>
      <c r="AC1130" s="6"/>
      <c r="AD1130" s="6"/>
      <c r="AE1130" s="6"/>
      <c r="AF1130" s="6"/>
      <c r="AG1130" s="6"/>
      <c r="AH1130" s="6"/>
      <c r="AI1130" s="6"/>
      <c r="AJ1130" s="6"/>
      <c r="AK1130" s="6"/>
      <c r="AL1130" s="6"/>
      <c r="AM1130" s="6"/>
      <c r="AN1130" s="6"/>
      <c r="AO1130" s="6"/>
      <c r="AP1130" s="6"/>
      <c r="AQ1130" s="6"/>
      <c r="AR1130" s="6"/>
      <c r="AS1130" s="6"/>
      <c r="AT1130" s="6"/>
      <c r="AU1130" s="6"/>
      <c r="AV1130" s="6"/>
      <c r="AW1130" s="6"/>
      <c r="AX1130" s="6"/>
      <c r="AY1130" s="6"/>
      <c r="AZ1130" s="6"/>
      <c r="BA1130" s="6"/>
      <c r="BB1130" s="6"/>
      <c r="BC1130" s="6"/>
      <c r="BD1130" s="6"/>
      <c r="BE1130" s="6"/>
      <c r="BF1130" s="6"/>
      <c r="BG1130" s="6"/>
      <c r="BH1130" s="6"/>
      <c r="BI1130" s="6"/>
      <c r="BJ1130" s="6"/>
      <c r="BK1130" s="6"/>
      <c r="BL1130" s="44"/>
      <c r="BM1130" s="44"/>
      <c r="BN1130" s="45"/>
      <c r="BO1130" s="45"/>
      <c r="BP1130" s="7"/>
      <c r="BQ1130" s="7" t="e">
        <f>VLOOKUP(A1130,[1]Sheet15!B:E,3,0)</f>
        <v>#N/A</v>
      </c>
    </row>
    <row r="1131" spans="1:69" ht="15.75" customHeight="1" x14ac:dyDescent="0.25">
      <c r="A1131" s="12"/>
      <c r="B1131" s="15" t="e">
        <f>VLOOKUP(A1131,'[1]Master clients'!F1129:W4676,17,0)</f>
        <v>#N/A</v>
      </c>
      <c r="C1131" s="15" t="e">
        <f>VLOOKUP(A1131,'[1]Master clients'!F1129:P4676,11,0)</f>
        <v>#N/A</v>
      </c>
      <c r="D1131" s="15" t="e">
        <f>VLOOKUP(A1131,'[1]Master clients'!F:M,8,0)</f>
        <v>#N/A</v>
      </c>
      <c r="E1131" s="12"/>
      <c r="F1131" s="6"/>
      <c r="G1131" s="6"/>
      <c r="H1131" s="6"/>
      <c r="I1131" s="43"/>
      <c r="J1131" s="43"/>
      <c r="K1131" s="6"/>
      <c r="L1131" s="6"/>
      <c r="M1131" s="6"/>
      <c r="N1131" s="6"/>
      <c r="O1131" s="6"/>
      <c r="P1131" s="6"/>
      <c r="Q1131" s="6"/>
      <c r="R1131" s="6"/>
      <c r="S1131" s="6"/>
      <c r="T1131" s="6"/>
      <c r="U1131" s="6"/>
      <c r="V1131" s="6"/>
      <c r="W1131" s="6"/>
      <c r="X1131" s="6"/>
      <c r="Y1131" s="6"/>
      <c r="Z1131" s="6"/>
      <c r="AA1131" s="6"/>
      <c r="AB1131" s="6"/>
      <c r="AC1131" s="6"/>
      <c r="AD1131" s="6"/>
      <c r="AE1131" s="6"/>
      <c r="AF1131" s="6"/>
      <c r="AG1131" s="6"/>
      <c r="AH1131" s="6"/>
      <c r="AI1131" s="6"/>
      <c r="AJ1131" s="6"/>
      <c r="AK1131" s="6"/>
      <c r="AL1131" s="6"/>
      <c r="AM1131" s="6"/>
      <c r="AN1131" s="6"/>
      <c r="AO1131" s="6"/>
      <c r="AP1131" s="6"/>
      <c r="AQ1131" s="6"/>
      <c r="AR1131" s="6"/>
      <c r="AS1131" s="6"/>
      <c r="AT1131" s="6"/>
      <c r="AU1131" s="6"/>
      <c r="AV1131" s="6"/>
      <c r="AW1131" s="6"/>
      <c r="AX1131" s="6"/>
      <c r="AY1131" s="6"/>
      <c r="AZ1131" s="6"/>
      <c r="BA1131" s="6"/>
      <c r="BB1131" s="6"/>
      <c r="BC1131" s="6"/>
      <c r="BD1131" s="6"/>
      <c r="BE1131" s="6"/>
      <c r="BF1131" s="6"/>
      <c r="BG1131" s="6"/>
      <c r="BH1131" s="6"/>
      <c r="BI1131" s="6"/>
      <c r="BJ1131" s="6"/>
      <c r="BK1131" s="6"/>
      <c r="BL1131" s="44"/>
      <c r="BM1131" s="44"/>
      <c r="BN1131" s="45"/>
      <c r="BO1131" s="45"/>
      <c r="BP1131" s="7"/>
      <c r="BQ1131" s="7" t="e">
        <f>VLOOKUP(A1131,[1]Sheet15!B:E,3,0)</f>
        <v>#N/A</v>
      </c>
    </row>
    <row r="1132" spans="1:69" ht="15.75" customHeight="1" x14ac:dyDescent="0.25">
      <c r="A1132" s="12"/>
      <c r="B1132" s="15" t="e">
        <f>VLOOKUP(A1132,'[1]Master clients'!F1130:W4677,17,0)</f>
        <v>#N/A</v>
      </c>
      <c r="C1132" s="15" t="e">
        <f>VLOOKUP(A1132,'[1]Master clients'!F1130:P4677,11,0)</f>
        <v>#N/A</v>
      </c>
      <c r="D1132" s="15" t="e">
        <f>VLOOKUP(A1132,'[1]Master clients'!F:M,8,0)</f>
        <v>#N/A</v>
      </c>
      <c r="E1132" s="12"/>
      <c r="F1132" s="6"/>
      <c r="G1132" s="6"/>
      <c r="H1132" s="6"/>
      <c r="I1132" s="43"/>
      <c r="J1132" s="43"/>
      <c r="K1132" s="6"/>
      <c r="L1132" s="6"/>
      <c r="M1132" s="6"/>
      <c r="N1132" s="6"/>
      <c r="O1132" s="6"/>
      <c r="P1132" s="6"/>
      <c r="Q1132" s="6"/>
      <c r="R1132" s="6"/>
      <c r="S1132" s="6"/>
      <c r="T1132" s="6"/>
      <c r="U1132" s="6"/>
      <c r="V1132" s="6"/>
      <c r="W1132" s="6"/>
      <c r="X1132" s="6"/>
      <c r="Y1132" s="6"/>
      <c r="Z1132" s="6"/>
      <c r="AA1132" s="6"/>
      <c r="AB1132" s="6"/>
      <c r="AC1132" s="6"/>
      <c r="AD1132" s="6"/>
      <c r="AE1132" s="6"/>
      <c r="AF1132" s="6"/>
      <c r="AG1132" s="6"/>
      <c r="AH1132" s="6"/>
      <c r="AI1132" s="6"/>
      <c r="AJ1132" s="6"/>
      <c r="AK1132" s="6"/>
      <c r="AL1132" s="6"/>
      <c r="AM1132" s="6"/>
      <c r="AN1132" s="6"/>
      <c r="AO1132" s="6"/>
      <c r="AP1132" s="6"/>
      <c r="AQ1132" s="6"/>
      <c r="AR1132" s="6"/>
      <c r="AS1132" s="6"/>
      <c r="AT1132" s="6"/>
      <c r="AU1132" s="6"/>
      <c r="AV1132" s="6"/>
      <c r="AW1132" s="6"/>
      <c r="AX1132" s="6"/>
      <c r="AY1132" s="6"/>
      <c r="AZ1132" s="6"/>
      <c r="BA1132" s="6"/>
      <c r="BB1132" s="6"/>
      <c r="BC1132" s="6"/>
      <c r="BD1132" s="6"/>
      <c r="BE1132" s="6"/>
      <c r="BF1132" s="6"/>
      <c r="BG1132" s="6"/>
      <c r="BH1132" s="6"/>
      <c r="BI1132" s="6"/>
      <c r="BJ1132" s="6"/>
      <c r="BK1132" s="6"/>
      <c r="BL1132" s="44"/>
      <c r="BM1132" s="44"/>
      <c r="BN1132" s="45"/>
      <c r="BO1132" s="45"/>
      <c r="BP1132" s="7"/>
      <c r="BQ1132" s="7" t="e">
        <f>VLOOKUP(A1132,[1]Sheet15!B:E,3,0)</f>
        <v>#N/A</v>
      </c>
    </row>
    <row r="1133" spans="1:69" ht="15.75" customHeight="1" x14ac:dyDescent="0.25">
      <c r="A1133" s="12"/>
      <c r="B1133" s="15" t="e">
        <f>VLOOKUP(A1133,'[1]Master clients'!F1131:W4678,17,0)</f>
        <v>#N/A</v>
      </c>
      <c r="C1133" s="15" t="e">
        <f>VLOOKUP(A1133,'[1]Master clients'!F1131:P4678,11,0)</f>
        <v>#N/A</v>
      </c>
      <c r="D1133" s="15" t="e">
        <f>VLOOKUP(A1133,'[1]Master clients'!F:M,8,0)</f>
        <v>#N/A</v>
      </c>
      <c r="E1133" s="12"/>
      <c r="F1133" s="6"/>
      <c r="G1133" s="6"/>
      <c r="H1133" s="6"/>
      <c r="I1133" s="43"/>
      <c r="J1133" s="43"/>
      <c r="K1133" s="6"/>
      <c r="L1133" s="6"/>
      <c r="M1133" s="6"/>
      <c r="N1133" s="6"/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6"/>
      <c r="Z1133" s="6"/>
      <c r="AA1133" s="6"/>
      <c r="AB1133" s="6"/>
      <c r="AC1133" s="6"/>
      <c r="AD1133" s="6"/>
      <c r="AE1133" s="6"/>
      <c r="AF1133" s="6"/>
      <c r="AG1133" s="6"/>
      <c r="AH1133" s="6"/>
      <c r="AI1133" s="6"/>
      <c r="AJ1133" s="6"/>
      <c r="AK1133" s="6"/>
      <c r="AL1133" s="6"/>
      <c r="AM1133" s="6"/>
      <c r="AN1133" s="6"/>
      <c r="AO1133" s="6"/>
      <c r="AP1133" s="6"/>
      <c r="AQ1133" s="6"/>
      <c r="AR1133" s="6"/>
      <c r="AS1133" s="6"/>
      <c r="AT1133" s="6"/>
      <c r="AU1133" s="6"/>
      <c r="AV1133" s="6"/>
      <c r="AW1133" s="6"/>
      <c r="AX1133" s="6"/>
      <c r="AY1133" s="6"/>
      <c r="AZ1133" s="6"/>
      <c r="BA1133" s="6"/>
      <c r="BB1133" s="6"/>
      <c r="BC1133" s="6"/>
      <c r="BD1133" s="6"/>
      <c r="BE1133" s="6"/>
      <c r="BF1133" s="6"/>
      <c r="BG1133" s="6"/>
      <c r="BH1133" s="6"/>
      <c r="BI1133" s="6"/>
      <c r="BJ1133" s="6"/>
      <c r="BK1133" s="6"/>
      <c r="BL1133" s="44"/>
      <c r="BM1133" s="44"/>
      <c r="BN1133" s="45"/>
      <c r="BO1133" s="45"/>
      <c r="BP1133" s="7"/>
      <c r="BQ1133" s="7" t="e">
        <f>VLOOKUP(A1133,[1]Sheet15!B:E,3,0)</f>
        <v>#N/A</v>
      </c>
    </row>
    <row r="1134" spans="1:69" ht="15.75" customHeight="1" x14ac:dyDescent="0.25">
      <c r="A1134" s="12"/>
      <c r="B1134" s="15" t="e">
        <f>VLOOKUP(A1134,'[1]Master clients'!F1132:W4679,17,0)</f>
        <v>#N/A</v>
      </c>
      <c r="C1134" s="15" t="e">
        <f>VLOOKUP(A1134,'[1]Master clients'!F1132:P4679,11,0)</f>
        <v>#N/A</v>
      </c>
      <c r="D1134" s="15" t="e">
        <f>VLOOKUP(A1134,'[1]Master clients'!F:M,8,0)</f>
        <v>#N/A</v>
      </c>
      <c r="E1134" s="12"/>
      <c r="F1134" s="6"/>
      <c r="G1134" s="6"/>
      <c r="H1134" s="6"/>
      <c r="I1134" s="43"/>
      <c r="J1134" s="43"/>
      <c r="K1134" s="6"/>
      <c r="L1134" s="6"/>
      <c r="M1134" s="6"/>
      <c r="N1134" s="6"/>
      <c r="O1134" s="6"/>
      <c r="P1134" s="6"/>
      <c r="Q1134" s="6"/>
      <c r="R1134" s="6"/>
      <c r="S1134" s="6"/>
      <c r="T1134" s="6"/>
      <c r="U1134" s="6"/>
      <c r="V1134" s="6"/>
      <c r="W1134" s="6"/>
      <c r="X1134" s="6"/>
      <c r="Y1134" s="6"/>
      <c r="Z1134" s="6"/>
      <c r="AA1134" s="6"/>
      <c r="AB1134" s="6"/>
      <c r="AC1134" s="6"/>
      <c r="AD1134" s="6"/>
      <c r="AE1134" s="6"/>
      <c r="AF1134" s="6"/>
      <c r="AG1134" s="6"/>
      <c r="AH1134" s="6"/>
      <c r="AI1134" s="6"/>
      <c r="AJ1134" s="6"/>
      <c r="AK1134" s="6"/>
      <c r="AL1134" s="6"/>
      <c r="AM1134" s="6"/>
      <c r="AN1134" s="6"/>
      <c r="AO1134" s="6"/>
      <c r="AP1134" s="6"/>
      <c r="AQ1134" s="6"/>
      <c r="AR1134" s="6"/>
      <c r="AS1134" s="6"/>
      <c r="AT1134" s="6"/>
      <c r="AU1134" s="6"/>
      <c r="AV1134" s="6"/>
      <c r="AW1134" s="6"/>
      <c r="AX1134" s="6"/>
      <c r="AY1134" s="6"/>
      <c r="AZ1134" s="6"/>
      <c r="BA1134" s="6"/>
      <c r="BB1134" s="6"/>
      <c r="BC1134" s="6"/>
      <c r="BD1134" s="6"/>
      <c r="BE1134" s="6"/>
      <c r="BF1134" s="6"/>
      <c r="BG1134" s="6"/>
      <c r="BH1134" s="6"/>
      <c r="BI1134" s="6"/>
      <c r="BJ1134" s="6"/>
      <c r="BK1134" s="6"/>
      <c r="BL1134" s="44"/>
      <c r="BM1134" s="44"/>
      <c r="BN1134" s="45"/>
      <c r="BO1134" s="45"/>
      <c r="BP1134" s="7"/>
      <c r="BQ1134" s="7" t="e">
        <f>VLOOKUP(A1134,[1]Sheet15!B:E,3,0)</f>
        <v>#N/A</v>
      </c>
    </row>
    <row r="1135" spans="1:69" ht="15.75" customHeight="1" x14ac:dyDescent="0.25">
      <c r="A1135" s="12"/>
      <c r="B1135" s="15" t="e">
        <f>VLOOKUP(A1135,'[1]Master clients'!F1133:W4680,17,0)</f>
        <v>#N/A</v>
      </c>
      <c r="C1135" s="15" t="e">
        <f>VLOOKUP(A1135,'[1]Master clients'!F1133:P4680,11,0)</f>
        <v>#N/A</v>
      </c>
      <c r="D1135" s="15" t="e">
        <f>VLOOKUP(A1135,'[1]Master clients'!F:M,8,0)</f>
        <v>#N/A</v>
      </c>
      <c r="E1135" s="12"/>
      <c r="F1135" s="6"/>
      <c r="G1135" s="6"/>
      <c r="H1135" s="6"/>
      <c r="I1135" s="43"/>
      <c r="J1135" s="43"/>
      <c r="K1135" s="6"/>
      <c r="L1135" s="6"/>
      <c r="M1135" s="6"/>
      <c r="N1135" s="6"/>
      <c r="O1135" s="6"/>
      <c r="P1135" s="6"/>
      <c r="Q1135" s="6"/>
      <c r="R1135" s="6"/>
      <c r="S1135" s="6"/>
      <c r="T1135" s="6"/>
      <c r="U1135" s="6"/>
      <c r="V1135" s="6"/>
      <c r="W1135" s="6"/>
      <c r="X1135" s="6"/>
      <c r="Y1135" s="6"/>
      <c r="Z1135" s="6"/>
      <c r="AA1135" s="6"/>
      <c r="AB1135" s="6"/>
      <c r="AC1135" s="6"/>
      <c r="AD1135" s="6"/>
      <c r="AE1135" s="6"/>
      <c r="AF1135" s="6"/>
      <c r="AG1135" s="6"/>
      <c r="AH1135" s="6"/>
      <c r="AI1135" s="6"/>
      <c r="AJ1135" s="6"/>
      <c r="AK1135" s="6"/>
      <c r="AL1135" s="6"/>
      <c r="AM1135" s="6"/>
      <c r="AN1135" s="6"/>
      <c r="AO1135" s="6"/>
      <c r="AP1135" s="6"/>
      <c r="AQ1135" s="6"/>
      <c r="AR1135" s="6"/>
      <c r="AS1135" s="6"/>
      <c r="AT1135" s="6"/>
      <c r="AU1135" s="6"/>
      <c r="AV1135" s="6"/>
      <c r="AW1135" s="6"/>
      <c r="AX1135" s="6"/>
      <c r="AY1135" s="6"/>
      <c r="AZ1135" s="6"/>
      <c r="BA1135" s="6"/>
      <c r="BB1135" s="6"/>
      <c r="BC1135" s="6"/>
      <c r="BD1135" s="6"/>
      <c r="BE1135" s="6"/>
      <c r="BF1135" s="6"/>
      <c r="BG1135" s="6"/>
      <c r="BH1135" s="6"/>
      <c r="BI1135" s="6"/>
      <c r="BJ1135" s="6"/>
      <c r="BK1135" s="6"/>
      <c r="BL1135" s="44"/>
      <c r="BM1135" s="44"/>
      <c r="BN1135" s="45"/>
      <c r="BO1135" s="45"/>
      <c r="BP1135" s="7"/>
      <c r="BQ1135" s="7" t="e">
        <f>VLOOKUP(A1135,[1]Sheet15!B:E,3,0)</f>
        <v>#N/A</v>
      </c>
    </row>
    <row r="1136" spans="1:69" ht="15.75" customHeight="1" x14ac:dyDescent="0.25">
      <c r="A1136" s="12"/>
      <c r="B1136" s="15" t="e">
        <f>VLOOKUP(A1136,'[1]Master clients'!F1134:W4681,17,0)</f>
        <v>#N/A</v>
      </c>
      <c r="C1136" s="15" t="e">
        <f>VLOOKUP(A1136,'[1]Master clients'!F1134:P4681,11,0)</f>
        <v>#N/A</v>
      </c>
      <c r="D1136" s="15" t="e">
        <f>VLOOKUP(A1136,'[1]Master clients'!F:M,8,0)</f>
        <v>#N/A</v>
      </c>
      <c r="E1136" s="12"/>
      <c r="F1136" s="6"/>
      <c r="G1136" s="6"/>
      <c r="H1136" s="6"/>
      <c r="I1136" s="43"/>
      <c r="J1136" s="43"/>
      <c r="K1136" s="6"/>
      <c r="L1136" s="6"/>
      <c r="M1136" s="6"/>
      <c r="N1136" s="6"/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6"/>
      <c r="Z1136" s="6"/>
      <c r="AA1136" s="6"/>
      <c r="AB1136" s="6"/>
      <c r="AC1136" s="6"/>
      <c r="AD1136" s="6"/>
      <c r="AE1136" s="6"/>
      <c r="AF1136" s="6"/>
      <c r="AG1136" s="6"/>
      <c r="AH1136" s="6"/>
      <c r="AI1136" s="6"/>
      <c r="AJ1136" s="6"/>
      <c r="AK1136" s="6"/>
      <c r="AL1136" s="6"/>
      <c r="AM1136" s="6"/>
      <c r="AN1136" s="6"/>
      <c r="AO1136" s="6"/>
      <c r="AP1136" s="6"/>
      <c r="AQ1136" s="6"/>
      <c r="AR1136" s="6"/>
      <c r="AS1136" s="6"/>
      <c r="AT1136" s="6"/>
      <c r="AU1136" s="6"/>
      <c r="AV1136" s="6"/>
      <c r="AW1136" s="6"/>
      <c r="AX1136" s="6"/>
      <c r="AY1136" s="6"/>
      <c r="AZ1136" s="6"/>
      <c r="BA1136" s="6"/>
      <c r="BB1136" s="6"/>
      <c r="BC1136" s="6"/>
      <c r="BD1136" s="6"/>
      <c r="BE1136" s="6"/>
      <c r="BF1136" s="6"/>
      <c r="BG1136" s="6"/>
      <c r="BH1136" s="6"/>
      <c r="BI1136" s="6"/>
      <c r="BJ1136" s="6"/>
      <c r="BK1136" s="6"/>
      <c r="BL1136" s="44"/>
      <c r="BM1136" s="44"/>
      <c r="BN1136" s="45"/>
      <c r="BO1136" s="45"/>
      <c r="BP1136" s="7"/>
      <c r="BQ1136" s="7" t="e">
        <f>VLOOKUP(A1136,[1]Sheet15!B:E,3,0)</f>
        <v>#N/A</v>
      </c>
    </row>
    <row r="1137" spans="1:69" ht="15.75" customHeight="1" x14ac:dyDescent="0.25">
      <c r="A1137" s="12"/>
      <c r="B1137" s="15" t="e">
        <f>VLOOKUP(A1137,'[1]Master clients'!F1135:W4682,17,0)</f>
        <v>#N/A</v>
      </c>
      <c r="C1137" s="15" t="e">
        <f>VLOOKUP(A1137,'[1]Master clients'!F1135:P4682,11,0)</f>
        <v>#N/A</v>
      </c>
      <c r="D1137" s="15" t="e">
        <f>VLOOKUP(A1137,'[1]Master clients'!F:M,8,0)</f>
        <v>#N/A</v>
      </c>
      <c r="E1137" s="12"/>
      <c r="F1137" s="6"/>
      <c r="G1137" s="6"/>
      <c r="H1137" s="6"/>
      <c r="I1137" s="43"/>
      <c r="J1137" s="43"/>
      <c r="K1137" s="6"/>
      <c r="L1137" s="6"/>
      <c r="M1137" s="6"/>
      <c r="N1137" s="6"/>
      <c r="O1137" s="6"/>
      <c r="P1137" s="6"/>
      <c r="Q1137" s="6"/>
      <c r="R1137" s="6"/>
      <c r="S1137" s="6"/>
      <c r="T1137" s="6"/>
      <c r="U1137" s="6"/>
      <c r="V1137" s="6"/>
      <c r="W1137" s="6"/>
      <c r="X1137" s="6"/>
      <c r="Y1137" s="6"/>
      <c r="Z1137" s="6"/>
      <c r="AA1137" s="6"/>
      <c r="AB1137" s="6"/>
      <c r="AC1137" s="6"/>
      <c r="AD1137" s="6"/>
      <c r="AE1137" s="6"/>
      <c r="AF1137" s="6"/>
      <c r="AG1137" s="6"/>
      <c r="AH1137" s="6"/>
      <c r="AI1137" s="6"/>
      <c r="AJ1137" s="6"/>
      <c r="AK1137" s="6"/>
      <c r="AL1137" s="6"/>
      <c r="AM1137" s="6"/>
      <c r="AN1137" s="6"/>
      <c r="AO1137" s="6"/>
      <c r="AP1137" s="6"/>
      <c r="AQ1137" s="6"/>
      <c r="AR1137" s="6"/>
      <c r="AS1137" s="6"/>
      <c r="AT1137" s="6"/>
      <c r="AU1137" s="6"/>
      <c r="AV1137" s="6"/>
      <c r="AW1137" s="6"/>
      <c r="AX1137" s="6"/>
      <c r="AY1137" s="6"/>
      <c r="AZ1137" s="6"/>
      <c r="BA1137" s="6"/>
      <c r="BB1137" s="6"/>
      <c r="BC1137" s="6"/>
      <c r="BD1137" s="6"/>
      <c r="BE1137" s="6"/>
      <c r="BF1137" s="6"/>
      <c r="BG1137" s="6"/>
      <c r="BH1137" s="6"/>
      <c r="BI1137" s="6"/>
      <c r="BJ1137" s="6"/>
      <c r="BK1137" s="6"/>
      <c r="BL1137" s="44"/>
      <c r="BM1137" s="44"/>
      <c r="BN1137" s="45"/>
      <c r="BO1137" s="45"/>
      <c r="BP1137" s="7"/>
      <c r="BQ1137" s="7" t="e">
        <f>VLOOKUP(A1137,[1]Sheet15!B:E,3,0)</f>
        <v>#N/A</v>
      </c>
    </row>
    <row r="1138" spans="1:69" ht="15.75" customHeight="1" x14ac:dyDescent="0.25">
      <c r="A1138" s="12"/>
      <c r="B1138" s="15" t="e">
        <f>VLOOKUP(A1138,'[1]Master clients'!F1136:W4683,17,0)</f>
        <v>#N/A</v>
      </c>
      <c r="C1138" s="15" t="e">
        <f>VLOOKUP(A1138,'[1]Master clients'!F1136:P4683,11,0)</f>
        <v>#N/A</v>
      </c>
      <c r="D1138" s="15" t="e">
        <f>VLOOKUP(A1138,'[1]Master clients'!F:M,8,0)</f>
        <v>#N/A</v>
      </c>
      <c r="E1138" s="12"/>
      <c r="F1138" s="6"/>
      <c r="G1138" s="6"/>
      <c r="H1138" s="6"/>
      <c r="I1138" s="43"/>
      <c r="J1138" s="43"/>
      <c r="K1138" s="6"/>
      <c r="L1138" s="6"/>
      <c r="M1138" s="6"/>
      <c r="N1138" s="6"/>
      <c r="O1138" s="6"/>
      <c r="P1138" s="6"/>
      <c r="Q1138" s="6"/>
      <c r="R1138" s="6"/>
      <c r="S1138" s="6"/>
      <c r="T1138" s="6"/>
      <c r="U1138" s="6"/>
      <c r="V1138" s="6"/>
      <c r="W1138" s="6"/>
      <c r="X1138" s="6"/>
      <c r="Y1138" s="6"/>
      <c r="Z1138" s="6"/>
      <c r="AA1138" s="6"/>
      <c r="AB1138" s="6"/>
      <c r="AC1138" s="6"/>
      <c r="AD1138" s="6"/>
      <c r="AE1138" s="6"/>
      <c r="AF1138" s="6"/>
      <c r="AG1138" s="6"/>
      <c r="AH1138" s="6"/>
      <c r="AI1138" s="6"/>
      <c r="AJ1138" s="6"/>
      <c r="AK1138" s="6"/>
      <c r="AL1138" s="6"/>
      <c r="AM1138" s="6"/>
      <c r="AN1138" s="6"/>
      <c r="AO1138" s="6"/>
      <c r="AP1138" s="6"/>
      <c r="AQ1138" s="6"/>
      <c r="AR1138" s="6"/>
      <c r="AS1138" s="6"/>
      <c r="AT1138" s="6"/>
      <c r="AU1138" s="6"/>
      <c r="AV1138" s="6"/>
      <c r="AW1138" s="6"/>
      <c r="AX1138" s="6"/>
      <c r="AY1138" s="6"/>
      <c r="AZ1138" s="6"/>
      <c r="BA1138" s="6"/>
      <c r="BB1138" s="6"/>
      <c r="BC1138" s="6"/>
      <c r="BD1138" s="6"/>
      <c r="BE1138" s="6"/>
      <c r="BF1138" s="6"/>
      <c r="BG1138" s="6"/>
      <c r="BH1138" s="6"/>
      <c r="BI1138" s="6"/>
      <c r="BJ1138" s="6"/>
      <c r="BK1138" s="6"/>
      <c r="BL1138" s="44"/>
      <c r="BM1138" s="44"/>
      <c r="BN1138" s="45"/>
      <c r="BO1138" s="45"/>
      <c r="BP1138" s="7"/>
      <c r="BQ1138" s="7" t="e">
        <f>VLOOKUP(A1138,[1]Sheet15!B:E,3,0)</f>
        <v>#N/A</v>
      </c>
    </row>
    <row r="1139" spans="1:69" ht="15.75" customHeight="1" x14ac:dyDescent="0.25">
      <c r="A1139" s="12"/>
      <c r="B1139" s="15" t="e">
        <f>VLOOKUP(A1139,'[1]Master clients'!F1137:W4684,17,0)</f>
        <v>#N/A</v>
      </c>
      <c r="C1139" s="15" t="e">
        <f>VLOOKUP(A1139,'[1]Master clients'!F1137:P4684,11,0)</f>
        <v>#N/A</v>
      </c>
      <c r="D1139" s="15" t="e">
        <f>VLOOKUP(A1139,'[1]Master clients'!F:M,8,0)</f>
        <v>#N/A</v>
      </c>
      <c r="E1139" s="12"/>
      <c r="F1139" s="6"/>
      <c r="G1139" s="6"/>
      <c r="H1139" s="6"/>
      <c r="I1139" s="43"/>
      <c r="J1139" s="43"/>
      <c r="K1139" s="6"/>
      <c r="L1139" s="6"/>
      <c r="M1139" s="6"/>
      <c r="N1139" s="6"/>
      <c r="O1139" s="6"/>
      <c r="P1139" s="6"/>
      <c r="Q1139" s="6"/>
      <c r="R1139" s="6"/>
      <c r="S1139" s="6"/>
      <c r="T1139" s="6"/>
      <c r="U1139" s="6"/>
      <c r="V1139" s="6"/>
      <c r="W1139" s="6"/>
      <c r="X1139" s="6"/>
      <c r="Y1139" s="6"/>
      <c r="Z1139" s="6"/>
      <c r="AA1139" s="6"/>
      <c r="AB1139" s="6"/>
      <c r="AC1139" s="6"/>
      <c r="AD1139" s="6"/>
      <c r="AE1139" s="6"/>
      <c r="AF1139" s="6"/>
      <c r="AG1139" s="6"/>
      <c r="AH1139" s="6"/>
      <c r="AI1139" s="6"/>
      <c r="AJ1139" s="6"/>
      <c r="AK1139" s="6"/>
      <c r="AL1139" s="6"/>
      <c r="AM1139" s="6"/>
      <c r="AN1139" s="6"/>
      <c r="AO1139" s="6"/>
      <c r="AP1139" s="6"/>
      <c r="AQ1139" s="6"/>
      <c r="AR1139" s="6"/>
      <c r="AS1139" s="6"/>
      <c r="AT1139" s="6"/>
      <c r="AU1139" s="6"/>
      <c r="AV1139" s="6"/>
      <c r="AW1139" s="6"/>
      <c r="AX1139" s="6"/>
      <c r="AY1139" s="6"/>
      <c r="AZ1139" s="6"/>
      <c r="BA1139" s="6"/>
      <c r="BB1139" s="6"/>
      <c r="BC1139" s="6"/>
      <c r="BD1139" s="6"/>
      <c r="BE1139" s="6"/>
      <c r="BF1139" s="6"/>
      <c r="BG1139" s="6"/>
      <c r="BH1139" s="6"/>
      <c r="BI1139" s="6"/>
      <c r="BJ1139" s="6"/>
      <c r="BK1139" s="6"/>
      <c r="BL1139" s="44"/>
      <c r="BM1139" s="44"/>
      <c r="BN1139" s="45"/>
      <c r="BO1139" s="45"/>
      <c r="BP1139" s="7"/>
      <c r="BQ1139" s="7" t="e">
        <f>VLOOKUP(A1139,[1]Sheet15!B:E,3,0)</f>
        <v>#N/A</v>
      </c>
    </row>
    <row r="1140" spans="1:69" ht="15.75" customHeight="1" x14ac:dyDescent="0.25">
      <c r="A1140" s="12"/>
      <c r="B1140" s="15" t="e">
        <f>VLOOKUP(A1140,'[1]Master clients'!F1138:W4685,17,0)</f>
        <v>#N/A</v>
      </c>
      <c r="C1140" s="15" t="e">
        <f>VLOOKUP(A1140,'[1]Master clients'!F1138:P4685,11,0)</f>
        <v>#N/A</v>
      </c>
      <c r="D1140" s="15" t="e">
        <f>VLOOKUP(A1140,'[1]Master clients'!F:M,8,0)</f>
        <v>#N/A</v>
      </c>
      <c r="E1140" s="12"/>
      <c r="F1140" s="6"/>
      <c r="G1140" s="6"/>
      <c r="H1140" s="6"/>
      <c r="I1140" s="43"/>
      <c r="J1140" s="43"/>
      <c r="K1140" s="6"/>
      <c r="L1140" s="6"/>
      <c r="M1140" s="6"/>
      <c r="N1140" s="6"/>
      <c r="O1140" s="6"/>
      <c r="P1140" s="6"/>
      <c r="Q1140" s="6"/>
      <c r="R1140" s="6"/>
      <c r="S1140" s="6"/>
      <c r="T1140" s="6"/>
      <c r="U1140" s="6"/>
      <c r="V1140" s="6"/>
      <c r="W1140" s="6"/>
      <c r="X1140" s="6"/>
      <c r="Y1140" s="6"/>
      <c r="Z1140" s="6"/>
      <c r="AA1140" s="6"/>
      <c r="AB1140" s="6"/>
      <c r="AC1140" s="6"/>
      <c r="AD1140" s="6"/>
      <c r="AE1140" s="6"/>
      <c r="AF1140" s="6"/>
      <c r="AG1140" s="6"/>
      <c r="AH1140" s="6"/>
      <c r="AI1140" s="6"/>
      <c r="AJ1140" s="6"/>
      <c r="AK1140" s="6"/>
      <c r="AL1140" s="6"/>
      <c r="AM1140" s="6"/>
      <c r="AN1140" s="6"/>
      <c r="AO1140" s="6"/>
      <c r="AP1140" s="6"/>
      <c r="AQ1140" s="6"/>
      <c r="AR1140" s="6"/>
      <c r="AS1140" s="6"/>
      <c r="AT1140" s="6"/>
      <c r="AU1140" s="6"/>
      <c r="AV1140" s="6"/>
      <c r="AW1140" s="6"/>
      <c r="AX1140" s="6"/>
      <c r="AY1140" s="6"/>
      <c r="AZ1140" s="6"/>
      <c r="BA1140" s="6"/>
      <c r="BB1140" s="6"/>
      <c r="BC1140" s="6"/>
      <c r="BD1140" s="6"/>
      <c r="BE1140" s="6"/>
      <c r="BF1140" s="6"/>
      <c r="BG1140" s="6"/>
      <c r="BH1140" s="6"/>
      <c r="BI1140" s="6"/>
      <c r="BJ1140" s="6"/>
      <c r="BK1140" s="6"/>
      <c r="BL1140" s="44"/>
      <c r="BM1140" s="44"/>
      <c r="BN1140" s="45"/>
      <c r="BO1140" s="45"/>
      <c r="BP1140" s="7"/>
      <c r="BQ1140" s="7" t="e">
        <f>VLOOKUP(A1140,[1]Sheet15!B:E,3,0)</f>
        <v>#N/A</v>
      </c>
    </row>
    <row r="1141" spans="1:69" ht="15.75" customHeight="1" x14ac:dyDescent="0.25">
      <c r="A1141" s="12"/>
      <c r="B1141" s="15" t="e">
        <f>VLOOKUP(A1141,'[1]Master clients'!F1139:W4686,17,0)</f>
        <v>#N/A</v>
      </c>
      <c r="C1141" s="15" t="e">
        <f>VLOOKUP(A1141,'[1]Master clients'!F1139:P4686,11,0)</f>
        <v>#N/A</v>
      </c>
      <c r="D1141" s="15" t="e">
        <f>VLOOKUP(A1141,'[1]Master clients'!F:M,8,0)</f>
        <v>#N/A</v>
      </c>
      <c r="E1141" s="12"/>
      <c r="F1141" s="6"/>
      <c r="G1141" s="6"/>
      <c r="H1141" s="6"/>
      <c r="I1141" s="43"/>
      <c r="J1141" s="43"/>
      <c r="K1141" s="6"/>
      <c r="L1141" s="6"/>
      <c r="M1141" s="6"/>
      <c r="N1141" s="6"/>
      <c r="O1141" s="6"/>
      <c r="P1141" s="6"/>
      <c r="Q1141" s="6"/>
      <c r="R1141" s="6"/>
      <c r="S1141" s="6"/>
      <c r="T1141" s="6"/>
      <c r="U1141" s="6"/>
      <c r="V1141" s="6"/>
      <c r="W1141" s="6"/>
      <c r="X1141" s="6"/>
      <c r="Y1141" s="6"/>
      <c r="Z1141" s="6"/>
      <c r="AA1141" s="6"/>
      <c r="AB1141" s="6"/>
      <c r="AC1141" s="6"/>
      <c r="AD1141" s="6"/>
      <c r="AE1141" s="6"/>
      <c r="AF1141" s="6"/>
      <c r="AG1141" s="6"/>
      <c r="AH1141" s="6"/>
      <c r="AI1141" s="6"/>
      <c r="AJ1141" s="6"/>
      <c r="AK1141" s="6"/>
      <c r="AL1141" s="6"/>
      <c r="AM1141" s="6"/>
      <c r="AN1141" s="6"/>
      <c r="AO1141" s="6"/>
      <c r="AP1141" s="6"/>
      <c r="AQ1141" s="6"/>
      <c r="AR1141" s="6"/>
      <c r="AS1141" s="6"/>
      <c r="AT1141" s="6"/>
      <c r="AU1141" s="6"/>
      <c r="AV1141" s="6"/>
      <c r="AW1141" s="6"/>
      <c r="AX1141" s="6"/>
      <c r="AY1141" s="6"/>
      <c r="AZ1141" s="6"/>
      <c r="BA1141" s="6"/>
      <c r="BB1141" s="6"/>
      <c r="BC1141" s="6"/>
      <c r="BD1141" s="6"/>
      <c r="BE1141" s="6"/>
      <c r="BF1141" s="6"/>
      <c r="BG1141" s="6"/>
      <c r="BH1141" s="6"/>
      <c r="BI1141" s="6"/>
      <c r="BJ1141" s="6"/>
      <c r="BK1141" s="6"/>
      <c r="BL1141" s="44"/>
      <c r="BM1141" s="44"/>
      <c r="BN1141" s="45"/>
      <c r="BO1141" s="45"/>
      <c r="BP1141" s="7"/>
      <c r="BQ1141" s="7" t="e">
        <f>VLOOKUP(A1141,[1]Sheet15!B:E,3,0)</f>
        <v>#N/A</v>
      </c>
    </row>
    <row r="1142" spans="1:69" ht="15.75" customHeight="1" x14ac:dyDescent="0.25">
      <c r="A1142" s="12"/>
      <c r="B1142" s="15" t="e">
        <f>VLOOKUP(A1142,'[1]Master clients'!F1140:W4687,17,0)</f>
        <v>#N/A</v>
      </c>
      <c r="C1142" s="15" t="e">
        <f>VLOOKUP(A1142,'[1]Master clients'!F1140:P4687,11,0)</f>
        <v>#N/A</v>
      </c>
      <c r="D1142" s="15" t="e">
        <f>VLOOKUP(A1142,'[1]Master clients'!F:M,8,0)</f>
        <v>#N/A</v>
      </c>
      <c r="E1142" s="12"/>
      <c r="F1142" s="6"/>
      <c r="G1142" s="6"/>
      <c r="H1142" s="6"/>
      <c r="I1142" s="43"/>
      <c r="J1142" s="43"/>
      <c r="K1142" s="6"/>
      <c r="L1142" s="6"/>
      <c r="M1142" s="6"/>
      <c r="N1142" s="6"/>
      <c r="O1142" s="6"/>
      <c r="P1142" s="6"/>
      <c r="Q1142" s="6"/>
      <c r="R1142" s="6"/>
      <c r="S1142" s="6"/>
      <c r="T1142" s="6"/>
      <c r="U1142" s="6"/>
      <c r="V1142" s="6"/>
      <c r="W1142" s="6"/>
      <c r="X1142" s="6"/>
      <c r="Y1142" s="6"/>
      <c r="Z1142" s="6"/>
      <c r="AA1142" s="6"/>
      <c r="AB1142" s="6"/>
      <c r="AC1142" s="6"/>
      <c r="AD1142" s="6"/>
      <c r="AE1142" s="6"/>
      <c r="AF1142" s="6"/>
      <c r="AG1142" s="6"/>
      <c r="AH1142" s="6"/>
      <c r="AI1142" s="6"/>
      <c r="AJ1142" s="6"/>
      <c r="AK1142" s="6"/>
      <c r="AL1142" s="6"/>
      <c r="AM1142" s="6"/>
      <c r="AN1142" s="6"/>
      <c r="AO1142" s="6"/>
      <c r="AP1142" s="6"/>
      <c r="AQ1142" s="6"/>
      <c r="AR1142" s="6"/>
      <c r="AS1142" s="6"/>
      <c r="AT1142" s="6"/>
      <c r="AU1142" s="6"/>
      <c r="AV1142" s="6"/>
      <c r="AW1142" s="6"/>
      <c r="AX1142" s="6"/>
      <c r="AY1142" s="6"/>
      <c r="AZ1142" s="6"/>
      <c r="BA1142" s="6"/>
      <c r="BB1142" s="6"/>
      <c r="BC1142" s="6"/>
      <c r="BD1142" s="6"/>
      <c r="BE1142" s="6"/>
      <c r="BF1142" s="6"/>
      <c r="BG1142" s="6"/>
      <c r="BH1142" s="6"/>
      <c r="BI1142" s="6"/>
      <c r="BJ1142" s="6"/>
      <c r="BK1142" s="6"/>
      <c r="BL1142" s="44"/>
      <c r="BM1142" s="44"/>
      <c r="BN1142" s="45"/>
      <c r="BO1142" s="45"/>
      <c r="BP1142" s="7"/>
      <c r="BQ1142" s="7" t="e">
        <f>VLOOKUP(A1142,[1]Sheet15!B:E,3,0)</f>
        <v>#N/A</v>
      </c>
    </row>
    <row r="1143" spans="1:69" ht="15.75" customHeight="1" x14ac:dyDescent="0.25">
      <c r="A1143" s="12"/>
      <c r="B1143" s="15" t="e">
        <f>VLOOKUP(A1143,'[1]Master clients'!F1141:W4688,17,0)</f>
        <v>#N/A</v>
      </c>
      <c r="C1143" s="15" t="e">
        <f>VLOOKUP(A1143,'[1]Master clients'!F1141:P4688,11,0)</f>
        <v>#N/A</v>
      </c>
      <c r="D1143" s="15" t="e">
        <f>VLOOKUP(A1143,'[1]Master clients'!F:M,8,0)</f>
        <v>#N/A</v>
      </c>
      <c r="E1143" s="12"/>
      <c r="F1143" s="6"/>
      <c r="G1143" s="6"/>
      <c r="H1143" s="6"/>
      <c r="I1143" s="43"/>
      <c r="J1143" s="43"/>
      <c r="K1143" s="6"/>
      <c r="L1143" s="6"/>
      <c r="M1143" s="6"/>
      <c r="N1143" s="6"/>
      <c r="O1143" s="6"/>
      <c r="P1143" s="6"/>
      <c r="Q1143" s="6"/>
      <c r="R1143" s="6"/>
      <c r="S1143" s="6"/>
      <c r="T1143" s="6"/>
      <c r="U1143" s="6"/>
      <c r="V1143" s="6"/>
      <c r="W1143" s="6"/>
      <c r="X1143" s="6"/>
      <c r="Y1143" s="6"/>
      <c r="Z1143" s="6"/>
      <c r="AA1143" s="6"/>
      <c r="AB1143" s="6"/>
      <c r="AC1143" s="6"/>
      <c r="AD1143" s="6"/>
      <c r="AE1143" s="6"/>
      <c r="AF1143" s="6"/>
      <c r="AG1143" s="6"/>
      <c r="AH1143" s="6"/>
      <c r="AI1143" s="6"/>
      <c r="AJ1143" s="6"/>
      <c r="AK1143" s="6"/>
      <c r="AL1143" s="6"/>
      <c r="AM1143" s="6"/>
      <c r="AN1143" s="6"/>
      <c r="AO1143" s="6"/>
      <c r="AP1143" s="6"/>
      <c r="AQ1143" s="6"/>
      <c r="AR1143" s="6"/>
      <c r="AS1143" s="6"/>
      <c r="AT1143" s="6"/>
      <c r="AU1143" s="6"/>
      <c r="AV1143" s="6"/>
      <c r="AW1143" s="6"/>
      <c r="AX1143" s="6"/>
      <c r="AY1143" s="6"/>
      <c r="AZ1143" s="6"/>
      <c r="BA1143" s="6"/>
      <c r="BB1143" s="6"/>
      <c r="BC1143" s="6"/>
      <c r="BD1143" s="6"/>
      <c r="BE1143" s="6"/>
      <c r="BF1143" s="6"/>
      <c r="BG1143" s="6"/>
      <c r="BH1143" s="6"/>
      <c r="BI1143" s="6"/>
      <c r="BJ1143" s="6"/>
      <c r="BK1143" s="6"/>
      <c r="BL1143" s="44"/>
      <c r="BM1143" s="44"/>
      <c r="BN1143" s="45"/>
      <c r="BO1143" s="45"/>
      <c r="BP1143" s="7"/>
      <c r="BQ1143" s="7" t="e">
        <f>VLOOKUP(A1143,[1]Sheet15!B:E,3,0)</f>
        <v>#N/A</v>
      </c>
    </row>
    <row r="1144" spans="1:69" ht="15.75" customHeight="1" x14ac:dyDescent="0.25">
      <c r="A1144" s="12"/>
      <c r="B1144" s="15" t="e">
        <f>VLOOKUP(A1144,'[1]Master clients'!F1142:W4689,17,0)</f>
        <v>#N/A</v>
      </c>
      <c r="C1144" s="15" t="e">
        <f>VLOOKUP(A1144,'[1]Master clients'!F1142:P4689,11,0)</f>
        <v>#N/A</v>
      </c>
      <c r="D1144" s="15" t="e">
        <f>VLOOKUP(A1144,'[1]Master clients'!F:M,8,0)</f>
        <v>#N/A</v>
      </c>
      <c r="E1144" s="12"/>
      <c r="F1144" s="6"/>
      <c r="G1144" s="6"/>
      <c r="H1144" s="6"/>
      <c r="I1144" s="43"/>
      <c r="J1144" s="43"/>
      <c r="K1144" s="6"/>
      <c r="L1144" s="6"/>
      <c r="M1144" s="6"/>
      <c r="N1144" s="6"/>
      <c r="O1144" s="6"/>
      <c r="P1144" s="6"/>
      <c r="Q1144" s="6"/>
      <c r="R1144" s="6"/>
      <c r="S1144" s="6"/>
      <c r="T1144" s="6"/>
      <c r="U1144" s="6"/>
      <c r="V1144" s="6"/>
      <c r="W1144" s="6"/>
      <c r="X1144" s="6"/>
      <c r="Y1144" s="6"/>
      <c r="Z1144" s="6"/>
      <c r="AA1144" s="6"/>
      <c r="AB1144" s="6"/>
      <c r="AC1144" s="6"/>
      <c r="AD1144" s="6"/>
      <c r="AE1144" s="6"/>
      <c r="AF1144" s="6"/>
      <c r="AG1144" s="6"/>
      <c r="AH1144" s="6"/>
      <c r="AI1144" s="6"/>
      <c r="AJ1144" s="6"/>
      <c r="AK1144" s="6"/>
      <c r="AL1144" s="6"/>
      <c r="AM1144" s="6"/>
      <c r="AN1144" s="6"/>
      <c r="AO1144" s="6"/>
      <c r="AP1144" s="6"/>
      <c r="AQ1144" s="6"/>
      <c r="AR1144" s="6"/>
      <c r="AS1144" s="6"/>
      <c r="AT1144" s="6"/>
      <c r="AU1144" s="6"/>
      <c r="AV1144" s="6"/>
      <c r="AW1144" s="6"/>
      <c r="AX1144" s="6"/>
      <c r="AY1144" s="6"/>
      <c r="AZ1144" s="6"/>
      <c r="BA1144" s="6"/>
      <c r="BB1144" s="6"/>
      <c r="BC1144" s="6"/>
      <c r="BD1144" s="6"/>
      <c r="BE1144" s="6"/>
      <c r="BF1144" s="6"/>
      <c r="BG1144" s="6"/>
      <c r="BH1144" s="6"/>
      <c r="BI1144" s="6"/>
      <c r="BJ1144" s="6"/>
      <c r="BK1144" s="6"/>
      <c r="BL1144" s="44"/>
      <c r="BM1144" s="44"/>
      <c r="BN1144" s="45"/>
      <c r="BO1144" s="45"/>
      <c r="BP1144" s="7"/>
      <c r="BQ1144" s="7" t="e">
        <f>VLOOKUP(A1144,[1]Sheet15!B:E,3,0)</f>
        <v>#N/A</v>
      </c>
    </row>
    <row r="1145" spans="1:69" ht="15.75" customHeight="1" x14ac:dyDescent="0.25">
      <c r="A1145" s="12"/>
      <c r="B1145" s="15" t="e">
        <f>VLOOKUP(A1145,'[1]Master clients'!F1143:W4690,17,0)</f>
        <v>#N/A</v>
      </c>
      <c r="C1145" s="15" t="e">
        <f>VLOOKUP(A1145,'[1]Master clients'!F1143:P4690,11,0)</f>
        <v>#N/A</v>
      </c>
      <c r="D1145" s="15" t="e">
        <f>VLOOKUP(A1145,'[1]Master clients'!F:M,8,0)</f>
        <v>#N/A</v>
      </c>
      <c r="E1145" s="12"/>
      <c r="F1145" s="6"/>
      <c r="G1145" s="6"/>
      <c r="H1145" s="6"/>
      <c r="I1145" s="43"/>
      <c r="J1145" s="43"/>
      <c r="K1145" s="6"/>
      <c r="L1145" s="6"/>
      <c r="M1145" s="6"/>
      <c r="N1145" s="6"/>
      <c r="O1145" s="6"/>
      <c r="P1145" s="6"/>
      <c r="Q1145" s="6"/>
      <c r="R1145" s="6"/>
      <c r="S1145" s="6"/>
      <c r="T1145" s="6"/>
      <c r="U1145" s="6"/>
      <c r="V1145" s="6"/>
      <c r="W1145" s="6"/>
      <c r="X1145" s="6"/>
      <c r="Y1145" s="6"/>
      <c r="Z1145" s="6"/>
      <c r="AA1145" s="6"/>
      <c r="AB1145" s="6"/>
      <c r="AC1145" s="6"/>
      <c r="AD1145" s="6"/>
      <c r="AE1145" s="6"/>
      <c r="AF1145" s="6"/>
      <c r="AG1145" s="6"/>
      <c r="AH1145" s="6"/>
      <c r="AI1145" s="6"/>
      <c r="AJ1145" s="6"/>
      <c r="AK1145" s="6"/>
      <c r="AL1145" s="6"/>
      <c r="AM1145" s="6"/>
      <c r="AN1145" s="6"/>
      <c r="AO1145" s="6"/>
      <c r="AP1145" s="6"/>
      <c r="AQ1145" s="6"/>
      <c r="AR1145" s="6"/>
      <c r="AS1145" s="6"/>
      <c r="AT1145" s="6"/>
      <c r="AU1145" s="6"/>
      <c r="AV1145" s="6"/>
      <c r="AW1145" s="6"/>
      <c r="AX1145" s="6"/>
      <c r="AY1145" s="6"/>
      <c r="AZ1145" s="6"/>
      <c r="BA1145" s="6"/>
      <c r="BB1145" s="6"/>
      <c r="BC1145" s="6"/>
      <c r="BD1145" s="6"/>
      <c r="BE1145" s="6"/>
      <c r="BF1145" s="6"/>
      <c r="BG1145" s="6"/>
      <c r="BH1145" s="6"/>
      <c r="BI1145" s="6"/>
      <c r="BJ1145" s="6"/>
      <c r="BK1145" s="6"/>
      <c r="BL1145" s="44"/>
      <c r="BM1145" s="44"/>
      <c r="BN1145" s="45"/>
      <c r="BO1145" s="45"/>
      <c r="BP1145" s="7"/>
      <c r="BQ1145" s="7" t="e">
        <f>VLOOKUP(A1145,[1]Sheet15!B:E,3,0)</f>
        <v>#N/A</v>
      </c>
    </row>
    <row r="1146" spans="1:69" ht="15.75" customHeight="1" x14ac:dyDescent="0.25">
      <c r="A1146" s="12"/>
      <c r="B1146" s="15" t="e">
        <f>VLOOKUP(A1146,'[1]Master clients'!F1144:W4691,17,0)</f>
        <v>#N/A</v>
      </c>
      <c r="C1146" s="15" t="e">
        <f>VLOOKUP(A1146,'[1]Master clients'!F1144:P4691,11,0)</f>
        <v>#N/A</v>
      </c>
      <c r="D1146" s="15" t="e">
        <f>VLOOKUP(A1146,'[1]Master clients'!F:M,8,0)</f>
        <v>#N/A</v>
      </c>
      <c r="E1146" s="12"/>
      <c r="F1146" s="6"/>
      <c r="G1146" s="6"/>
      <c r="H1146" s="6"/>
      <c r="I1146" s="43"/>
      <c r="J1146" s="43"/>
      <c r="K1146" s="6"/>
      <c r="L1146" s="6"/>
      <c r="M1146" s="6"/>
      <c r="N1146" s="6"/>
      <c r="O1146" s="6"/>
      <c r="P1146" s="6"/>
      <c r="Q1146" s="6"/>
      <c r="R1146" s="6"/>
      <c r="S1146" s="6"/>
      <c r="T1146" s="6"/>
      <c r="U1146" s="6"/>
      <c r="V1146" s="6"/>
      <c r="W1146" s="6"/>
      <c r="X1146" s="6"/>
      <c r="Y1146" s="6"/>
      <c r="Z1146" s="6"/>
      <c r="AA1146" s="6"/>
      <c r="AB1146" s="6"/>
      <c r="AC1146" s="6"/>
      <c r="AD1146" s="6"/>
      <c r="AE1146" s="6"/>
      <c r="AF1146" s="6"/>
      <c r="AG1146" s="6"/>
      <c r="AH1146" s="6"/>
      <c r="AI1146" s="6"/>
      <c r="AJ1146" s="6"/>
      <c r="AK1146" s="6"/>
      <c r="AL1146" s="6"/>
      <c r="AM1146" s="6"/>
      <c r="AN1146" s="6"/>
      <c r="AO1146" s="6"/>
      <c r="AP1146" s="6"/>
      <c r="AQ1146" s="6"/>
      <c r="AR1146" s="6"/>
      <c r="AS1146" s="6"/>
      <c r="AT1146" s="6"/>
      <c r="AU1146" s="6"/>
      <c r="AV1146" s="6"/>
      <c r="AW1146" s="6"/>
      <c r="AX1146" s="6"/>
      <c r="AY1146" s="6"/>
      <c r="AZ1146" s="6"/>
      <c r="BA1146" s="6"/>
      <c r="BB1146" s="6"/>
      <c r="BC1146" s="6"/>
      <c r="BD1146" s="6"/>
      <c r="BE1146" s="6"/>
      <c r="BF1146" s="6"/>
      <c r="BG1146" s="6"/>
      <c r="BH1146" s="6"/>
      <c r="BI1146" s="6"/>
      <c r="BJ1146" s="6"/>
      <c r="BK1146" s="6"/>
      <c r="BL1146" s="44"/>
      <c r="BM1146" s="44"/>
      <c r="BN1146" s="45"/>
      <c r="BO1146" s="45"/>
      <c r="BP1146" s="7"/>
      <c r="BQ1146" s="7" t="e">
        <f>VLOOKUP(A1146,[1]Sheet15!B:E,3,0)</f>
        <v>#N/A</v>
      </c>
    </row>
    <row r="1147" spans="1:69" ht="15.75" customHeight="1" x14ac:dyDescent="0.25">
      <c r="A1147" s="12"/>
      <c r="B1147" s="15" t="e">
        <f>VLOOKUP(A1147,'[1]Master clients'!F1145:W4692,17,0)</f>
        <v>#N/A</v>
      </c>
      <c r="C1147" s="15" t="e">
        <f>VLOOKUP(A1147,'[1]Master clients'!F1145:P4692,11,0)</f>
        <v>#N/A</v>
      </c>
      <c r="D1147" s="15" t="e">
        <f>VLOOKUP(A1147,'[1]Master clients'!F:M,8,0)</f>
        <v>#N/A</v>
      </c>
      <c r="E1147" s="12"/>
      <c r="F1147" s="6"/>
      <c r="G1147" s="6"/>
      <c r="H1147" s="6"/>
      <c r="I1147" s="43"/>
      <c r="J1147" s="43"/>
      <c r="K1147" s="6"/>
      <c r="L1147" s="6"/>
      <c r="M1147" s="6"/>
      <c r="N1147" s="6"/>
      <c r="O1147" s="6"/>
      <c r="P1147" s="6"/>
      <c r="Q1147" s="6"/>
      <c r="R1147" s="6"/>
      <c r="S1147" s="6"/>
      <c r="T1147" s="6"/>
      <c r="U1147" s="6"/>
      <c r="V1147" s="6"/>
      <c r="W1147" s="6"/>
      <c r="X1147" s="6"/>
      <c r="Y1147" s="6"/>
      <c r="Z1147" s="6"/>
      <c r="AA1147" s="6"/>
      <c r="AB1147" s="6"/>
      <c r="AC1147" s="6"/>
      <c r="AD1147" s="6"/>
      <c r="AE1147" s="6"/>
      <c r="AF1147" s="6"/>
      <c r="AG1147" s="6"/>
      <c r="AH1147" s="6"/>
      <c r="AI1147" s="6"/>
      <c r="AJ1147" s="6"/>
      <c r="AK1147" s="6"/>
      <c r="AL1147" s="6"/>
      <c r="AM1147" s="6"/>
      <c r="AN1147" s="6"/>
      <c r="AO1147" s="6"/>
      <c r="AP1147" s="6"/>
      <c r="AQ1147" s="6"/>
      <c r="AR1147" s="6"/>
      <c r="AS1147" s="6"/>
      <c r="AT1147" s="6"/>
      <c r="AU1147" s="6"/>
      <c r="AV1147" s="6"/>
      <c r="AW1147" s="6"/>
      <c r="AX1147" s="6"/>
      <c r="AY1147" s="6"/>
      <c r="AZ1147" s="6"/>
      <c r="BA1147" s="6"/>
      <c r="BB1147" s="6"/>
      <c r="BC1147" s="6"/>
      <c r="BD1147" s="6"/>
      <c r="BE1147" s="6"/>
      <c r="BF1147" s="6"/>
      <c r="BG1147" s="6"/>
      <c r="BH1147" s="6"/>
      <c r="BI1147" s="6"/>
      <c r="BJ1147" s="6"/>
      <c r="BK1147" s="6"/>
      <c r="BL1147" s="44"/>
      <c r="BM1147" s="44"/>
      <c r="BN1147" s="45"/>
      <c r="BO1147" s="45"/>
      <c r="BP1147" s="7"/>
      <c r="BQ1147" s="7" t="e">
        <f>VLOOKUP(A1147,[1]Sheet15!B:E,3,0)</f>
        <v>#N/A</v>
      </c>
    </row>
    <row r="1148" spans="1:69" ht="15.75" customHeight="1" x14ac:dyDescent="0.25">
      <c r="A1148" s="12"/>
      <c r="B1148" s="15" t="e">
        <f>VLOOKUP(A1148,'[1]Master clients'!F1146:W4693,17,0)</f>
        <v>#N/A</v>
      </c>
      <c r="C1148" s="15" t="e">
        <f>VLOOKUP(A1148,'[1]Master clients'!F1146:P4693,11,0)</f>
        <v>#N/A</v>
      </c>
      <c r="D1148" s="15" t="e">
        <f>VLOOKUP(A1148,'[1]Master clients'!F:M,8,0)</f>
        <v>#N/A</v>
      </c>
      <c r="E1148" s="12"/>
      <c r="F1148" s="6"/>
      <c r="G1148" s="6"/>
      <c r="H1148" s="6"/>
      <c r="I1148" s="43"/>
      <c r="J1148" s="43"/>
      <c r="K1148" s="6"/>
      <c r="L1148" s="6"/>
      <c r="M1148" s="6"/>
      <c r="N1148" s="6"/>
      <c r="O1148" s="6"/>
      <c r="P1148" s="6"/>
      <c r="Q1148" s="6"/>
      <c r="R1148" s="6"/>
      <c r="S1148" s="6"/>
      <c r="T1148" s="6"/>
      <c r="U1148" s="6"/>
      <c r="V1148" s="6"/>
      <c r="W1148" s="6"/>
      <c r="X1148" s="6"/>
      <c r="Y1148" s="6"/>
      <c r="Z1148" s="6"/>
      <c r="AA1148" s="6"/>
      <c r="AB1148" s="6"/>
      <c r="AC1148" s="6"/>
      <c r="AD1148" s="6"/>
      <c r="AE1148" s="6"/>
      <c r="AF1148" s="6"/>
      <c r="AG1148" s="6"/>
      <c r="AH1148" s="6"/>
      <c r="AI1148" s="6"/>
      <c r="AJ1148" s="6"/>
      <c r="AK1148" s="6"/>
      <c r="AL1148" s="6"/>
      <c r="AM1148" s="6"/>
      <c r="AN1148" s="6"/>
      <c r="AO1148" s="6"/>
      <c r="AP1148" s="6"/>
      <c r="AQ1148" s="6"/>
      <c r="AR1148" s="6"/>
      <c r="AS1148" s="6"/>
      <c r="AT1148" s="6"/>
      <c r="AU1148" s="6"/>
      <c r="AV1148" s="6"/>
      <c r="AW1148" s="6"/>
      <c r="AX1148" s="6"/>
      <c r="AY1148" s="6"/>
      <c r="AZ1148" s="6"/>
      <c r="BA1148" s="6"/>
      <c r="BB1148" s="6"/>
      <c r="BC1148" s="6"/>
      <c r="BD1148" s="6"/>
      <c r="BE1148" s="6"/>
      <c r="BF1148" s="6"/>
      <c r="BG1148" s="6"/>
      <c r="BH1148" s="6"/>
      <c r="BI1148" s="6"/>
      <c r="BJ1148" s="6"/>
      <c r="BK1148" s="6"/>
      <c r="BL1148" s="44"/>
      <c r="BM1148" s="44"/>
      <c r="BN1148" s="45"/>
      <c r="BO1148" s="45"/>
      <c r="BP1148" s="7"/>
      <c r="BQ1148" s="7" t="e">
        <f>VLOOKUP(A1148,[1]Sheet15!B:E,3,0)</f>
        <v>#N/A</v>
      </c>
    </row>
    <row r="1149" spans="1:69" ht="15.75" customHeight="1" x14ac:dyDescent="0.25">
      <c r="A1149" s="12"/>
      <c r="B1149" s="15" t="e">
        <f>VLOOKUP(A1149,'[1]Master clients'!F1147:W4694,17,0)</f>
        <v>#N/A</v>
      </c>
      <c r="C1149" s="15" t="e">
        <f>VLOOKUP(A1149,'[1]Master clients'!F1147:P4694,11,0)</f>
        <v>#N/A</v>
      </c>
      <c r="D1149" s="15" t="e">
        <f>VLOOKUP(A1149,'[1]Master clients'!F:M,8,0)</f>
        <v>#N/A</v>
      </c>
      <c r="E1149" s="12"/>
      <c r="F1149" s="6"/>
      <c r="G1149" s="6"/>
      <c r="H1149" s="6"/>
      <c r="I1149" s="43"/>
      <c r="J1149" s="43"/>
      <c r="K1149" s="6"/>
      <c r="L1149" s="6"/>
      <c r="M1149" s="6"/>
      <c r="N1149" s="6"/>
      <c r="O1149" s="6"/>
      <c r="P1149" s="6"/>
      <c r="Q1149" s="6"/>
      <c r="R1149" s="6"/>
      <c r="S1149" s="6"/>
      <c r="T1149" s="6"/>
      <c r="U1149" s="6"/>
      <c r="V1149" s="6"/>
      <c r="W1149" s="6"/>
      <c r="X1149" s="6"/>
      <c r="Y1149" s="6"/>
      <c r="Z1149" s="6"/>
      <c r="AA1149" s="6"/>
      <c r="AB1149" s="6"/>
      <c r="AC1149" s="6"/>
      <c r="AD1149" s="6"/>
      <c r="AE1149" s="6"/>
      <c r="AF1149" s="6"/>
      <c r="AG1149" s="6"/>
      <c r="AH1149" s="6"/>
      <c r="AI1149" s="6"/>
      <c r="AJ1149" s="6"/>
      <c r="AK1149" s="6"/>
      <c r="AL1149" s="6"/>
      <c r="AM1149" s="6"/>
      <c r="AN1149" s="6"/>
      <c r="AO1149" s="6"/>
      <c r="AP1149" s="6"/>
      <c r="AQ1149" s="6"/>
      <c r="AR1149" s="6"/>
      <c r="AS1149" s="6"/>
      <c r="AT1149" s="6"/>
      <c r="AU1149" s="6"/>
      <c r="AV1149" s="6"/>
      <c r="AW1149" s="6"/>
      <c r="AX1149" s="6"/>
      <c r="AY1149" s="6"/>
      <c r="AZ1149" s="6"/>
      <c r="BA1149" s="6"/>
      <c r="BB1149" s="6"/>
      <c r="BC1149" s="6"/>
      <c r="BD1149" s="6"/>
      <c r="BE1149" s="6"/>
      <c r="BF1149" s="6"/>
      <c r="BG1149" s="6"/>
      <c r="BH1149" s="6"/>
      <c r="BI1149" s="6"/>
      <c r="BJ1149" s="6"/>
      <c r="BK1149" s="6"/>
      <c r="BL1149" s="44"/>
      <c r="BM1149" s="44"/>
      <c r="BN1149" s="45"/>
      <c r="BO1149" s="45"/>
      <c r="BP1149" s="7"/>
      <c r="BQ1149" s="7" t="e">
        <f>VLOOKUP(A1149,[1]Sheet15!B:E,3,0)</f>
        <v>#N/A</v>
      </c>
    </row>
    <row r="1150" spans="1:69" ht="15.75" customHeight="1" x14ac:dyDescent="0.25">
      <c r="A1150" s="12"/>
      <c r="B1150" s="15" t="e">
        <f>VLOOKUP(A1150,'[1]Master clients'!F1148:W4695,17,0)</f>
        <v>#N/A</v>
      </c>
      <c r="C1150" s="15" t="e">
        <f>VLOOKUP(A1150,'[1]Master clients'!F1148:P4695,11,0)</f>
        <v>#N/A</v>
      </c>
      <c r="D1150" s="15" t="e">
        <f>VLOOKUP(A1150,'[1]Master clients'!F:M,8,0)</f>
        <v>#N/A</v>
      </c>
      <c r="E1150" s="12"/>
      <c r="F1150" s="6"/>
      <c r="G1150" s="6"/>
      <c r="H1150" s="6"/>
      <c r="I1150" s="43"/>
      <c r="J1150" s="43"/>
      <c r="K1150" s="6"/>
      <c r="L1150" s="6"/>
      <c r="M1150" s="6"/>
      <c r="N1150" s="6"/>
      <c r="O1150" s="6"/>
      <c r="P1150" s="6"/>
      <c r="Q1150" s="6"/>
      <c r="R1150" s="6"/>
      <c r="S1150" s="6"/>
      <c r="T1150" s="6"/>
      <c r="U1150" s="6"/>
      <c r="V1150" s="6"/>
      <c r="W1150" s="6"/>
      <c r="X1150" s="6"/>
      <c r="Y1150" s="6"/>
      <c r="Z1150" s="6"/>
      <c r="AA1150" s="6"/>
      <c r="AB1150" s="6"/>
      <c r="AC1150" s="6"/>
      <c r="AD1150" s="6"/>
      <c r="AE1150" s="6"/>
      <c r="AF1150" s="6"/>
      <c r="AG1150" s="6"/>
      <c r="AH1150" s="6"/>
      <c r="AI1150" s="6"/>
      <c r="AJ1150" s="6"/>
      <c r="AK1150" s="6"/>
      <c r="AL1150" s="6"/>
      <c r="AM1150" s="6"/>
      <c r="AN1150" s="6"/>
      <c r="AO1150" s="6"/>
      <c r="AP1150" s="6"/>
      <c r="AQ1150" s="6"/>
      <c r="AR1150" s="6"/>
      <c r="AS1150" s="6"/>
      <c r="AT1150" s="6"/>
      <c r="AU1150" s="6"/>
      <c r="AV1150" s="6"/>
      <c r="AW1150" s="6"/>
      <c r="AX1150" s="6"/>
      <c r="AY1150" s="6"/>
      <c r="AZ1150" s="6"/>
      <c r="BA1150" s="6"/>
      <c r="BB1150" s="6"/>
      <c r="BC1150" s="6"/>
      <c r="BD1150" s="6"/>
      <c r="BE1150" s="6"/>
      <c r="BF1150" s="6"/>
      <c r="BG1150" s="6"/>
      <c r="BH1150" s="6"/>
      <c r="BI1150" s="6"/>
      <c r="BJ1150" s="6"/>
      <c r="BK1150" s="6"/>
      <c r="BL1150" s="44"/>
      <c r="BM1150" s="44"/>
      <c r="BN1150" s="45"/>
      <c r="BO1150" s="45"/>
      <c r="BP1150" s="7"/>
      <c r="BQ1150" s="7" t="e">
        <f>VLOOKUP(A1150,[1]Sheet15!B:E,3,0)</f>
        <v>#N/A</v>
      </c>
    </row>
    <row r="1151" spans="1:69" ht="15.75" customHeight="1" x14ac:dyDescent="0.25">
      <c r="A1151" s="12"/>
      <c r="B1151" s="15" t="e">
        <f>VLOOKUP(A1151,'[1]Master clients'!F1149:W4696,17,0)</f>
        <v>#N/A</v>
      </c>
      <c r="C1151" s="15" t="e">
        <f>VLOOKUP(A1151,'[1]Master clients'!F1149:P4696,11,0)</f>
        <v>#N/A</v>
      </c>
      <c r="D1151" s="15" t="e">
        <f>VLOOKUP(A1151,'[1]Master clients'!F:M,8,0)</f>
        <v>#N/A</v>
      </c>
      <c r="E1151" s="12"/>
      <c r="F1151" s="6"/>
      <c r="G1151" s="6"/>
      <c r="H1151" s="6"/>
      <c r="I1151" s="43"/>
      <c r="J1151" s="43"/>
      <c r="K1151" s="6"/>
      <c r="L1151" s="6"/>
      <c r="M1151" s="6"/>
      <c r="N1151" s="6"/>
      <c r="O1151" s="6"/>
      <c r="P1151" s="6"/>
      <c r="Q1151" s="6"/>
      <c r="R1151" s="6"/>
      <c r="S1151" s="6"/>
      <c r="T1151" s="6"/>
      <c r="U1151" s="6"/>
      <c r="V1151" s="6"/>
      <c r="W1151" s="6"/>
      <c r="X1151" s="6"/>
      <c r="Y1151" s="6"/>
      <c r="Z1151" s="6"/>
      <c r="AA1151" s="6"/>
      <c r="AB1151" s="6"/>
      <c r="AC1151" s="6"/>
      <c r="AD1151" s="6"/>
      <c r="AE1151" s="6"/>
      <c r="AF1151" s="6"/>
      <c r="AG1151" s="6"/>
      <c r="AH1151" s="6"/>
      <c r="AI1151" s="6"/>
      <c r="AJ1151" s="6"/>
      <c r="AK1151" s="6"/>
      <c r="AL1151" s="6"/>
      <c r="AM1151" s="6"/>
      <c r="AN1151" s="6"/>
      <c r="AO1151" s="6"/>
      <c r="AP1151" s="6"/>
      <c r="AQ1151" s="6"/>
      <c r="AR1151" s="6"/>
      <c r="AS1151" s="6"/>
      <c r="AT1151" s="6"/>
      <c r="AU1151" s="6"/>
      <c r="AV1151" s="6"/>
      <c r="AW1151" s="6"/>
      <c r="AX1151" s="6"/>
      <c r="AY1151" s="6"/>
      <c r="AZ1151" s="6"/>
      <c r="BA1151" s="6"/>
      <c r="BB1151" s="6"/>
      <c r="BC1151" s="6"/>
      <c r="BD1151" s="6"/>
      <c r="BE1151" s="6"/>
      <c r="BF1151" s="6"/>
      <c r="BG1151" s="6"/>
      <c r="BH1151" s="6"/>
      <c r="BI1151" s="6"/>
      <c r="BJ1151" s="6"/>
      <c r="BK1151" s="6"/>
      <c r="BL1151" s="44"/>
      <c r="BM1151" s="44"/>
      <c r="BN1151" s="45"/>
      <c r="BO1151" s="45"/>
      <c r="BP1151" s="7"/>
      <c r="BQ1151" s="7" t="e">
        <f>VLOOKUP(A1151,[1]Sheet15!B:E,3,0)</f>
        <v>#N/A</v>
      </c>
    </row>
    <row r="1152" spans="1:69" ht="15.75" customHeight="1" x14ac:dyDescent="0.25">
      <c r="A1152" s="12"/>
      <c r="B1152" s="15" t="e">
        <f>VLOOKUP(A1152,'[1]Master clients'!F1150:W4697,17,0)</f>
        <v>#N/A</v>
      </c>
      <c r="C1152" s="15" t="e">
        <f>VLOOKUP(A1152,'[1]Master clients'!F1150:P4697,11,0)</f>
        <v>#N/A</v>
      </c>
      <c r="D1152" s="15" t="e">
        <f>VLOOKUP(A1152,'[1]Master clients'!F:M,8,0)</f>
        <v>#N/A</v>
      </c>
      <c r="E1152" s="12"/>
      <c r="F1152" s="6"/>
      <c r="G1152" s="6"/>
      <c r="H1152" s="6"/>
      <c r="I1152" s="43"/>
      <c r="J1152" s="43"/>
      <c r="K1152" s="6"/>
      <c r="L1152" s="6"/>
      <c r="M1152" s="6"/>
      <c r="N1152" s="6"/>
      <c r="O1152" s="6"/>
      <c r="P1152" s="6"/>
      <c r="Q1152" s="6"/>
      <c r="R1152" s="6"/>
      <c r="S1152" s="6"/>
      <c r="T1152" s="6"/>
      <c r="U1152" s="6"/>
      <c r="V1152" s="6"/>
      <c r="W1152" s="6"/>
      <c r="X1152" s="6"/>
      <c r="Y1152" s="6"/>
      <c r="Z1152" s="6"/>
      <c r="AA1152" s="6"/>
      <c r="AB1152" s="6"/>
      <c r="AC1152" s="6"/>
      <c r="AD1152" s="6"/>
      <c r="AE1152" s="6"/>
      <c r="AF1152" s="6"/>
      <c r="AG1152" s="6"/>
      <c r="AH1152" s="6"/>
      <c r="AI1152" s="6"/>
      <c r="AJ1152" s="6"/>
      <c r="AK1152" s="6"/>
      <c r="AL1152" s="6"/>
      <c r="AM1152" s="6"/>
      <c r="AN1152" s="6"/>
      <c r="AO1152" s="6"/>
      <c r="AP1152" s="6"/>
      <c r="AQ1152" s="6"/>
      <c r="AR1152" s="6"/>
      <c r="AS1152" s="6"/>
      <c r="AT1152" s="6"/>
      <c r="AU1152" s="6"/>
      <c r="AV1152" s="6"/>
      <c r="AW1152" s="6"/>
      <c r="AX1152" s="6"/>
      <c r="AY1152" s="6"/>
      <c r="AZ1152" s="6"/>
      <c r="BA1152" s="6"/>
      <c r="BB1152" s="6"/>
      <c r="BC1152" s="6"/>
      <c r="BD1152" s="6"/>
      <c r="BE1152" s="6"/>
      <c r="BF1152" s="6"/>
      <c r="BG1152" s="6"/>
      <c r="BH1152" s="6"/>
      <c r="BI1152" s="6"/>
      <c r="BJ1152" s="6"/>
      <c r="BK1152" s="6"/>
      <c r="BL1152" s="44"/>
      <c r="BM1152" s="44"/>
      <c r="BN1152" s="45"/>
      <c r="BO1152" s="45"/>
      <c r="BP1152" s="7"/>
      <c r="BQ1152" s="7" t="e">
        <f>VLOOKUP(A1152,[1]Sheet15!B:E,3,0)</f>
        <v>#N/A</v>
      </c>
    </row>
    <row r="1153" spans="1:69" ht="15.75" customHeight="1" x14ac:dyDescent="0.25">
      <c r="A1153" s="12"/>
      <c r="B1153" s="15" t="e">
        <f>VLOOKUP(A1153,'[1]Master clients'!F1151:W4698,17,0)</f>
        <v>#N/A</v>
      </c>
      <c r="C1153" s="15" t="e">
        <f>VLOOKUP(A1153,'[1]Master clients'!F1151:P4698,11,0)</f>
        <v>#N/A</v>
      </c>
      <c r="D1153" s="15" t="e">
        <f>VLOOKUP(A1153,'[1]Master clients'!F:M,8,0)</f>
        <v>#N/A</v>
      </c>
      <c r="E1153" s="12"/>
      <c r="F1153" s="6"/>
      <c r="G1153" s="6"/>
      <c r="H1153" s="6"/>
      <c r="I1153" s="43"/>
      <c r="J1153" s="43"/>
      <c r="K1153" s="6"/>
      <c r="L1153" s="6"/>
      <c r="M1153" s="6"/>
      <c r="N1153" s="6"/>
      <c r="O1153" s="6"/>
      <c r="P1153" s="6"/>
      <c r="Q1153" s="6"/>
      <c r="R1153" s="6"/>
      <c r="S1153" s="6"/>
      <c r="T1153" s="6"/>
      <c r="U1153" s="6"/>
      <c r="V1153" s="6"/>
      <c r="W1153" s="6"/>
      <c r="X1153" s="6"/>
      <c r="Y1153" s="6"/>
      <c r="Z1153" s="6"/>
      <c r="AA1153" s="6"/>
      <c r="AB1153" s="6"/>
      <c r="AC1153" s="6"/>
      <c r="AD1153" s="6"/>
      <c r="AE1153" s="6"/>
      <c r="AF1153" s="6"/>
      <c r="AG1153" s="6"/>
      <c r="AH1153" s="6"/>
      <c r="AI1153" s="6"/>
      <c r="AJ1153" s="6"/>
      <c r="AK1153" s="6"/>
      <c r="AL1153" s="6"/>
      <c r="AM1153" s="6"/>
      <c r="AN1153" s="6"/>
      <c r="AO1153" s="6"/>
      <c r="AP1153" s="6"/>
      <c r="AQ1153" s="6"/>
      <c r="AR1153" s="6"/>
      <c r="AS1153" s="6"/>
      <c r="AT1153" s="6"/>
      <c r="AU1153" s="6"/>
      <c r="AV1153" s="6"/>
      <c r="AW1153" s="6"/>
      <c r="AX1153" s="6"/>
      <c r="AY1153" s="6"/>
      <c r="AZ1153" s="6"/>
      <c r="BA1153" s="6"/>
      <c r="BB1153" s="6"/>
      <c r="BC1153" s="6"/>
      <c r="BD1153" s="6"/>
      <c r="BE1153" s="6"/>
      <c r="BF1153" s="6"/>
      <c r="BG1153" s="6"/>
      <c r="BH1153" s="6"/>
      <c r="BI1153" s="6"/>
      <c r="BJ1153" s="6"/>
      <c r="BK1153" s="6"/>
      <c r="BL1153" s="44"/>
      <c r="BM1153" s="44"/>
      <c r="BN1153" s="45"/>
      <c r="BO1153" s="45"/>
      <c r="BP1153" s="7"/>
      <c r="BQ1153" s="7" t="e">
        <f>VLOOKUP(A1153,[1]Sheet15!B:E,3,0)</f>
        <v>#N/A</v>
      </c>
    </row>
    <row r="1154" spans="1:69" ht="15.75" customHeight="1" x14ac:dyDescent="0.25">
      <c r="A1154" s="12"/>
      <c r="B1154" s="15" t="e">
        <f>VLOOKUP(A1154,'[1]Master clients'!F1152:W4699,17,0)</f>
        <v>#N/A</v>
      </c>
      <c r="C1154" s="15" t="e">
        <f>VLOOKUP(A1154,'[1]Master clients'!F1152:P4699,11,0)</f>
        <v>#N/A</v>
      </c>
      <c r="D1154" s="15" t="e">
        <f>VLOOKUP(A1154,'[1]Master clients'!F:M,8,0)</f>
        <v>#N/A</v>
      </c>
      <c r="E1154" s="12"/>
      <c r="F1154" s="6"/>
      <c r="G1154" s="6"/>
      <c r="H1154" s="6"/>
      <c r="I1154" s="43"/>
      <c r="J1154" s="43"/>
      <c r="K1154" s="6"/>
      <c r="L1154" s="6"/>
      <c r="M1154" s="6"/>
      <c r="N1154" s="6"/>
      <c r="O1154" s="6"/>
      <c r="P1154" s="6"/>
      <c r="Q1154" s="6"/>
      <c r="R1154" s="6"/>
      <c r="S1154" s="6"/>
      <c r="T1154" s="6"/>
      <c r="U1154" s="6"/>
      <c r="V1154" s="6"/>
      <c r="W1154" s="6"/>
      <c r="X1154" s="6"/>
      <c r="Y1154" s="6"/>
      <c r="Z1154" s="6"/>
      <c r="AA1154" s="6"/>
      <c r="AB1154" s="6"/>
      <c r="AC1154" s="6"/>
      <c r="AD1154" s="6"/>
      <c r="AE1154" s="6"/>
      <c r="AF1154" s="6"/>
      <c r="AG1154" s="6"/>
      <c r="AH1154" s="6"/>
      <c r="AI1154" s="6"/>
      <c r="AJ1154" s="6"/>
      <c r="AK1154" s="6"/>
      <c r="AL1154" s="6"/>
      <c r="AM1154" s="6"/>
      <c r="AN1154" s="6"/>
      <c r="AO1154" s="6"/>
      <c r="AP1154" s="6"/>
      <c r="AQ1154" s="6"/>
      <c r="AR1154" s="6"/>
      <c r="AS1154" s="6"/>
      <c r="AT1154" s="6"/>
      <c r="AU1154" s="6"/>
      <c r="AV1154" s="6"/>
      <c r="AW1154" s="6"/>
      <c r="AX1154" s="6"/>
      <c r="AY1154" s="6"/>
      <c r="AZ1154" s="6"/>
      <c r="BA1154" s="6"/>
      <c r="BB1154" s="6"/>
      <c r="BC1154" s="6"/>
      <c r="BD1154" s="6"/>
      <c r="BE1154" s="6"/>
      <c r="BF1154" s="6"/>
      <c r="BG1154" s="6"/>
      <c r="BH1154" s="6"/>
      <c r="BI1154" s="6"/>
      <c r="BJ1154" s="6"/>
      <c r="BK1154" s="6"/>
      <c r="BL1154" s="44"/>
      <c r="BM1154" s="44"/>
      <c r="BN1154" s="45"/>
      <c r="BO1154" s="45"/>
      <c r="BP1154" s="7"/>
      <c r="BQ1154" s="7" t="e">
        <f>VLOOKUP(A1154,[1]Sheet15!B:E,3,0)</f>
        <v>#N/A</v>
      </c>
    </row>
    <row r="1155" spans="1:69" ht="15.75" customHeight="1" x14ac:dyDescent="0.25">
      <c r="A1155" s="12"/>
      <c r="B1155" s="15" t="e">
        <f>VLOOKUP(A1155,'[1]Master clients'!F1153:W4700,17,0)</f>
        <v>#N/A</v>
      </c>
      <c r="C1155" s="15" t="e">
        <f>VLOOKUP(A1155,'[1]Master clients'!F1153:P4700,11,0)</f>
        <v>#N/A</v>
      </c>
      <c r="D1155" s="15" t="e">
        <f>VLOOKUP(A1155,'[1]Master clients'!F:M,8,0)</f>
        <v>#N/A</v>
      </c>
      <c r="E1155" s="12"/>
      <c r="F1155" s="6"/>
      <c r="G1155" s="6"/>
      <c r="H1155" s="6"/>
      <c r="I1155" s="43"/>
      <c r="J1155" s="43"/>
      <c r="K1155" s="6"/>
      <c r="L1155" s="6"/>
      <c r="M1155" s="6"/>
      <c r="N1155" s="6"/>
      <c r="O1155" s="6"/>
      <c r="P1155" s="6"/>
      <c r="Q1155" s="6"/>
      <c r="R1155" s="6"/>
      <c r="S1155" s="6"/>
      <c r="T1155" s="6"/>
      <c r="U1155" s="6"/>
      <c r="V1155" s="6"/>
      <c r="W1155" s="6"/>
      <c r="X1155" s="6"/>
      <c r="Y1155" s="6"/>
      <c r="Z1155" s="6"/>
      <c r="AA1155" s="6"/>
      <c r="AB1155" s="6"/>
      <c r="AC1155" s="6"/>
      <c r="AD1155" s="6"/>
      <c r="AE1155" s="6"/>
      <c r="AF1155" s="6"/>
      <c r="AG1155" s="6"/>
      <c r="AH1155" s="6"/>
      <c r="AI1155" s="6"/>
      <c r="AJ1155" s="6"/>
      <c r="AK1155" s="6"/>
      <c r="AL1155" s="6"/>
      <c r="AM1155" s="6"/>
      <c r="AN1155" s="6"/>
      <c r="AO1155" s="6"/>
      <c r="AP1155" s="6"/>
      <c r="AQ1155" s="6"/>
      <c r="AR1155" s="6"/>
      <c r="AS1155" s="6"/>
      <c r="AT1155" s="6"/>
      <c r="AU1155" s="6"/>
      <c r="AV1155" s="6"/>
      <c r="AW1155" s="6"/>
      <c r="AX1155" s="6"/>
      <c r="AY1155" s="6"/>
      <c r="AZ1155" s="6"/>
      <c r="BA1155" s="6"/>
      <c r="BB1155" s="6"/>
      <c r="BC1155" s="6"/>
      <c r="BD1155" s="6"/>
      <c r="BE1155" s="6"/>
      <c r="BF1155" s="6"/>
      <c r="BG1155" s="6"/>
      <c r="BH1155" s="6"/>
      <c r="BI1155" s="6"/>
      <c r="BJ1155" s="6"/>
      <c r="BK1155" s="6"/>
      <c r="BL1155" s="44"/>
      <c r="BM1155" s="44"/>
      <c r="BN1155" s="45"/>
      <c r="BO1155" s="45"/>
      <c r="BP1155" s="7"/>
      <c r="BQ1155" s="7" t="e">
        <f>VLOOKUP(A1155,[1]Sheet15!B:E,3,0)</f>
        <v>#N/A</v>
      </c>
    </row>
    <row r="1156" spans="1:69" ht="15.75" customHeight="1" x14ac:dyDescent="0.25">
      <c r="A1156" s="12"/>
      <c r="B1156" s="15" t="e">
        <f>VLOOKUP(A1156,'[1]Master clients'!F1154:W4701,17,0)</f>
        <v>#N/A</v>
      </c>
      <c r="C1156" s="15" t="e">
        <f>VLOOKUP(A1156,'[1]Master clients'!F1154:P4701,11,0)</f>
        <v>#N/A</v>
      </c>
      <c r="D1156" s="15" t="e">
        <f>VLOOKUP(A1156,'[1]Master clients'!F:M,8,0)</f>
        <v>#N/A</v>
      </c>
      <c r="E1156" s="12"/>
      <c r="F1156" s="6"/>
      <c r="G1156" s="6"/>
      <c r="H1156" s="6"/>
      <c r="I1156" s="43"/>
      <c r="J1156" s="43"/>
      <c r="K1156" s="6"/>
      <c r="L1156" s="6"/>
      <c r="M1156" s="6"/>
      <c r="N1156" s="6"/>
      <c r="O1156" s="6"/>
      <c r="P1156" s="6"/>
      <c r="Q1156" s="6"/>
      <c r="R1156" s="6"/>
      <c r="S1156" s="6"/>
      <c r="T1156" s="6"/>
      <c r="U1156" s="6"/>
      <c r="V1156" s="6"/>
      <c r="W1156" s="6"/>
      <c r="X1156" s="6"/>
      <c r="Y1156" s="6"/>
      <c r="Z1156" s="6"/>
      <c r="AA1156" s="6"/>
      <c r="AB1156" s="6"/>
      <c r="AC1156" s="6"/>
      <c r="AD1156" s="6"/>
      <c r="AE1156" s="6"/>
      <c r="AF1156" s="6"/>
      <c r="AG1156" s="6"/>
      <c r="AH1156" s="6"/>
      <c r="AI1156" s="6"/>
      <c r="AJ1156" s="6"/>
      <c r="AK1156" s="6"/>
      <c r="AL1156" s="6"/>
      <c r="AM1156" s="6"/>
      <c r="AN1156" s="6"/>
      <c r="AO1156" s="6"/>
      <c r="AP1156" s="6"/>
      <c r="AQ1156" s="6"/>
      <c r="AR1156" s="6"/>
      <c r="AS1156" s="6"/>
      <c r="AT1156" s="6"/>
      <c r="AU1156" s="6"/>
      <c r="AV1156" s="6"/>
      <c r="AW1156" s="6"/>
      <c r="AX1156" s="6"/>
      <c r="AY1156" s="6"/>
      <c r="AZ1156" s="6"/>
      <c r="BA1156" s="6"/>
      <c r="BB1156" s="6"/>
      <c r="BC1156" s="6"/>
      <c r="BD1156" s="6"/>
      <c r="BE1156" s="6"/>
      <c r="BF1156" s="6"/>
      <c r="BG1156" s="6"/>
      <c r="BH1156" s="6"/>
      <c r="BI1156" s="6"/>
      <c r="BJ1156" s="6"/>
      <c r="BK1156" s="6"/>
      <c r="BL1156" s="44"/>
      <c r="BM1156" s="44"/>
      <c r="BN1156" s="45"/>
      <c r="BO1156" s="45"/>
      <c r="BP1156" s="7"/>
      <c r="BQ1156" s="7" t="e">
        <f>VLOOKUP(A1156,[1]Sheet15!B:E,3,0)</f>
        <v>#N/A</v>
      </c>
    </row>
    <row r="1157" spans="1:69" ht="15.75" customHeight="1" x14ac:dyDescent="0.25">
      <c r="A1157" s="12"/>
      <c r="B1157" s="15" t="e">
        <f>VLOOKUP(A1157,'[1]Master clients'!F1155:W4702,17,0)</f>
        <v>#N/A</v>
      </c>
      <c r="C1157" s="15" t="e">
        <f>VLOOKUP(A1157,'[1]Master clients'!F1155:P4702,11,0)</f>
        <v>#N/A</v>
      </c>
      <c r="D1157" s="15" t="e">
        <f>VLOOKUP(A1157,'[1]Master clients'!F:M,8,0)</f>
        <v>#N/A</v>
      </c>
      <c r="E1157" s="12"/>
      <c r="F1157" s="6"/>
      <c r="G1157" s="6"/>
      <c r="H1157" s="6"/>
      <c r="I1157" s="43"/>
      <c r="J1157" s="43"/>
      <c r="K1157" s="6"/>
      <c r="L1157" s="6"/>
      <c r="M1157" s="6"/>
      <c r="N1157" s="6"/>
      <c r="O1157" s="6"/>
      <c r="P1157" s="6"/>
      <c r="Q1157" s="6"/>
      <c r="R1157" s="6"/>
      <c r="S1157" s="6"/>
      <c r="T1157" s="6"/>
      <c r="U1157" s="6"/>
      <c r="V1157" s="6"/>
      <c r="W1157" s="6"/>
      <c r="X1157" s="6"/>
      <c r="Y1157" s="6"/>
      <c r="Z1157" s="6"/>
      <c r="AA1157" s="6"/>
      <c r="AB1157" s="6"/>
      <c r="AC1157" s="6"/>
      <c r="AD1157" s="6"/>
      <c r="AE1157" s="6"/>
      <c r="AF1157" s="6"/>
      <c r="AG1157" s="6"/>
      <c r="AH1157" s="6"/>
      <c r="AI1157" s="6"/>
      <c r="AJ1157" s="6"/>
      <c r="AK1157" s="6"/>
      <c r="AL1157" s="6"/>
      <c r="AM1157" s="6"/>
      <c r="AN1157" s="6"/>
      <c r="AO1157" s="6"/>
      <c r="AP1157" s="6"/>
      <c r="AQ1157" s="6"/>
      <c r="AR1157" s="6"/>
      <c r="AS1157" s="6"/>
      <c r="AT1157" s="6"/>
      <c r="AU1157" s="6"/>
      <c r="AV1157" s="6"/>
      <c r="AW1157" s="6"/>
      <c r="AX1157" s="6"/>
      <c r="AY1157" s="6"/>
      <c r="AZ1157" s="6"/>
      <c r="BA1157" s="6"/>
      <c r="BB1157" s="6"/>
      <c r="BC1157" s="6"/>
      <c r="BD1157" s="6"/>
      <c r="BE1157" s="6"/>
      <c r="BF1157" s="6"/>
      <c r="BG1157" s="6"/>
      <c r="BH1157" s="6"/>
      <c r="BI1157" s="6"/>
      <c r="BJ1157" s="6"/>
      <c r="BK1157" s="6"/>
      <c r="BL1157" s="44"/>
      <c r="BM1157" s="44"/>
      <c r="BN1157" s="45"/>
      <c r="BO1157" s="45"/>
      <c r="BP1157" s="7"/>
      <c r="BQ1157" s="7" t="e">
        <f>VLOOKUP(A1157,[1]Sheet15!B:E,3,0)</f>
        <v>#N/A</v>
      </c>
    </row>
    <row r="1158" spans="1:69" ht="15.75" customHeight="1" x14ac:dyDescent="0.25">
      <c r="A1158" s="12"/>
      <c r="B1158" s="15" t="e">
        <f>VLOOKUP(A1158,'[1]Master clients'!F1156:W4703,17,0)</f>
        <v>#N/A</v>
      </c>
      <c r="C1158" s="15" t="e">
        <f>VLOOKUP(A1158,'[1]Master clients'!F1156:P4703,11,0)</f>
        <v>#N/A</v>
      </c>
      <c r="D1158" s="15" t="e">
        <f>VLOOKUP(A1158,'[1]Master clients'!F:M,8,0)</f>
        <v>#N/A</v>
      </c>
      <c r="E1158" s="12"/>
      <c r="F1158" s="6"/>
      <c r="G1158" s="6"/>
      <c r="H1158" s="6"/>
      <c r="I1158" s="43"/>
      <c r="J1158" s="43"/>
      <c r="K1158" s="6"/>
      <c r="L1158" s="6"/>
      <c r="M1158" s="6"/>
      <c r="N1158" s="6"/>
      <c r="O1158" s="6"/>
      <c r="P1158" s="6"/>
      <c r="Q1158" s="6"/>
      <c r="R1158" s="6"/>
      <c r="S1158" s="6"/>
      <c r="T1158" s="6"/>
      <c r="U1158" s="6"/>
      <c r="V1158" s="6"/>
      <c r="W1158" s="6"/>
      <c r="X1158" s="6"/>
      <c r="Y1158" s="6"/>
      <c r="Z1158" s="6"/>
      <c r="AA1158" s="6"/>
      <c r="AB1158" s="6"/>
      <c r="AC1158" s="6"/>
      <c r="AD1158" s="6"/>
      <c r="AE1158" s="6"/>
      <c r="AF1158" s="6"/>
      <c r="AG1158" s="6"/>
      <c r="AH1158" s="6"/>
      <c r="AI1158" s="6"/>
      <c r="AJ1158" s="6"/>
      <c r="AK1158" s="6"/>
      <c r="AL1158" s="6"/>
      <c r="AM1158" s="6"/>
      <c r="AN1158" s="6"/>
      <c r="AO1158" s="6"/>
      <c r="AP1158" s="6"/>
      <c r="AQ1158" s="6"/>
      <c r="AR1158" s="6"/>
      <c r="AS1158" s="6"/>
      <c r="AT1158" s="6"/>
      <c r="AU1158" s="6"/>
      <c r="AV1158" s="6"/>
      <c r="AW1158" s="6"/>
      <c r="AX1158" s="6"/>
      <c r="AY1158" s="6"/>
      <c r="AZ1158" s="6"/>
      <c r="BA1158" s="6"/>
      <c r="BB1158" s="6"/>
      <c r="BC1158" s="6"/>
      <c r="BD1158" s="6"/>
      <c r="BE1158" s="6"/>
      <c r="BF1158" s="6"/>
      <c r="BG1158" s="6"/>
      <c r="BH1158" s="6"/>
      <c r="BI1158" s="6"/>
      <c r="BJ1158" s="6"/>
      <c r="BK1158" s="6"/>
      <c r="BL1158" s="44"/>
      <c r="BM1158" s="44"/>
      <c r="BN1158" s="45"/>
      <c r="BO1158" s="45"/>
      <c r="BP1158" s="7"/>
      <c r="BQ1158" s="7" t="e">
        <f>VLOOKUP(A1158,[1]Sheet15!B:E,3,0)</f>
        <v>#N/A</v>
      </c>
    </row>
    <row r="1159" spans="1:69" ht="15.75" customHeight="1" x14ac:dyDescent="0.25">
      <c r="A1159" s="12"/>
      <c r="B1159" s="15" t="e">
        <f>VLOOKUP(A1159,'[1]Master clients'!F1157:W4704,17,0)</f>
        <v>#N/A</v>
      </c>
      <c r="C1159" s="15" t="e">
        <f>VLOOKUP(A1159,'[1]Master clients'!F1157:P4704,11,0)</f>
        <v>#N/A</v>
      </c>
      <c r="D1159" s="15" t="e">
        <f>VLOOKUP(A1159,'[1]Master clients'!F:M,8,0)</f>
        <v>#N/A</v>
      </c>
      <c r="E1159" s="12"/>
      <c r="F1159" s="6"/>
      <c r="G1159" s="6"/>
      <c r="H1159" s="6"/>
      <c r="I1159" s="43"/>
      <c r="J1159" s="43"/>
      <c r="K1159" s="6"/>
      <c r="L1159" s="6"/>
      <c r="M1159" s="6"/>
      <c r="N1159" s="6"/>
      <c r="O1159" s="6"/>
      <c r="P1159" s="6"/>
      <c r="Q1159" s="6"/>
      <c r="R1159" s="6"/>
      <c r="S1159" s="6"/>
      <c r="T1159" s="6"/>
      <c r="U1159" s="6"/>
      <c r="V1159" s="6"/>
      <c r="W1159" s="6"/>
      <c r="X1159" s="6"/>
      <c r="Y1159" s="6"/>
      <c r="Z1159" s="6"/>
      <c r="AA1159" s="6"/>
      <c r="AB1159" s="6"/>
      <c r="AC1159" s="6"/>
      <c r="AD1159" s="6"/>
      <c r="AE1159" s="6"/>
      <c r="AF1159" s="6"/>
      <c r="AG1159" s="6"/>
      <c r="AH1159" s="6"/>
      <c r="AI1159" s="6"/>
      <c r="AJ1159" s="6"/>
      <c r="AK1159" s="6"/>
      <c r="AL1159" s="6"/>
      <c r="AM1159" s="6"/>
      <c r="AN1159" s="6"/>
      <c r="AO1159" s="6"/>
      <c r="AP1159" s="6"/>
      <c r="AQ1159" s="6"/>
      <c r="AR1159" s="6"/>
      <c r="AS1159" s="6"/>
      <c r="AT1159" s="6"/>
      <c r="AU1159" s="6"/>
      <c r="AV1159" s="6"/>
      <c r="AW1159" s="6"/>
      <c r="AX1159" s="6"/>
      <c r="AY1159" s="6"/>
      <c r="AZ1159" s="6"/>
      <c r="BA1159" s="6"/>
      <c r="BB1159" s="6"/>
      <c r="BC1159" s="6"/>
      <c r="BD1159" s="6"/>
      <c r="BE1159" s="6"/>
      <c r="BF1159" s="6"/>
      <c r="BG1159" s="6"/>
      <c r="BH1159" s="6"/>
      <c r="BI1159" s="6"/>
      <c r="BJ1159" s="6"/>
      <c r="BK1159" s="6"/>
      <c r="BL1159" s="44"/>
      <c r="BM1159" s="44"/>
      <c r="BN1159" s="45"/>
      <c r="BO1159" s="45"/>
      <c r="BP1159" s="7"/>
      <c r="BQ1159" s="7" t="e">
        <f>VLOOKUP(A1159,[1]Sheet15!B:E,3,0)</f>
        <v>#N/A</v>
      </c>
    </row>
    <row r="1160" spans="1:69" ht="15.75" customHeight="1" x14ac:dyDescent="0.25">
      <c r="A1160" s="12"/>
      <c r="B1160" s="15" t="e">
        <f>VLOOKUP(A1160,'[1]Master clients'!F1158:W4705,17,0)</f>
        <v>#N/A</v>
      </c>
      <c r="C1160" s="15" t="e">
        <f>VLOOKUP(A1160,'[1]Master clients'!F1158:P4705,11,0)</f>
        <v>#N/A</v>
      </c>
      <c r="D1160" s="15" t="e">
        <f>VLOOKUP(A1160,'[1]Master clients'!F:M,8,0)</f>
        <v>#N/A</v>
      </c>
      <c r="E1160" s="12"/>
      <c r="F1160" s="6"/>
      <c r="G1160" s="6"/>
      <c r="H1160" s="6"/>
      <c r="I1160" s="43"/>
      <c r="J1160" s="43"/>
      <c r="K1160" s="6"/>
      <c r="L1160" s="6"/>
      <c r="M1160" s="6"/>
      <c r="N1160" s="6"/>
      <c r="O1160" s="6"/>
      <c r="P1160" s="6"/>
      <c r="Q1160" s="6"/>
      <c r="R1160" s="6"/>
      <c r="S1160" s="6"/>
      <c r="T1160" s="6"/>
      <c r="U1160" s="6"/>
      <c r="V1160" s="6"/>
      <c r="W1160" s="6"/>
      <c r="X1160" s="6"/>
      <c r="Y1160" s="6"/>
      <c r="Z1160" s="6"/>
      <c r="AA1160" s="6"/>
      <c r="AB1160" s="6"/>
      <c r="AC1160" s="6"/>
      <c r="AD1160" s="6"/>
      <c r="AE1160" s="6"/>
      <c r="AF1160" s="6"/>
      <c r="AG1160" s="6"/>
      <c r="AH1160" s="6"/>
      <c r="AI1160" s="6"/>
      <c r="AJ1160" s="6"/>
      <c r="AK1160" s="6"/>
      <c r="AL1160" s="6"/>
      <c r="AM1160" s="6"/>
      <c r="AN1160" s="6"/>
      <c r="AO1160" s="6"/>
      <c r="AP1160" s="6"/>
      <c r="AQ1160" s="6"/>
      <c r="AR1160" s="6"/>
      <c r="AS1160" s="6"/>
      <c r="AT1160" s="6"/>
      <c r="AU1160" s="6"/>
      <c r="AV1160" s="6"/>
      <c r="AW1160" s="6"/>
      <c r="AX1160" s="6"/>
      <c r="AY1160" s="6"/>
      <c r="AZ1160" s="6"/>
      <c r="BA1160" s="6"/>
      <c r="BB1160" s="6"/>
      <c r="BC1160" s="6"/>
      <c r="BD1160" s="6"/>
      <c r="BE1160" s="6"/>
      <c r="BF1160" s="6"/>
      <c r="BG1160" s="6"/>
      <c r="BH1160" s="6"/>
      <c r="BI1160" s="6"/>
      <c r="BJ1160" s="6"/>
      <c r="BK1160" s="6"/>
      <c r="BL1160" s="44"/>
      <c r="BM1160" s="44"/>
      <c r="BN1160" s="45"/>
      <c r="BO1160" s="45"/>
      <c r="BP1160" s="7"/>
      <c r="BQ1160" s="7" t="e">
        <f>VLOOKUP(A1160,[1]Sheet15!B:E,3,0)</f>
        <v>#N/A</v>
      </c>
    </row>
    <row r="1161" spans="1:69" ht="15.75" customHeight="1" x14ac:dyDescent="0.25">
      <c r="A1161" s="12"/>
      <c r="B1161" s="15" t="e">
        <f>VLOOKUP(A1161,'[1]Master clients'!F1159:W4706,17,0)</f>
        <v>#N/A</v>
      </c>
      <c r="C1161" s="15" t="e">
        <f>VLOOKUP(A1161,'[1]Master clients'!F1159:P4706,11,0)</f>
        <v>#N/A</v>
      </c>
      <c r="D1161" s="15" t="e">
        <f>VLOOKUP(A1161,'[1]Master clients'!F:M,8,0)</f>
        <v>#N/A</v>
      </c>
      <c r="E1161" s="12"/>
      <c r="F1161" s="6"/>
      <c r="G1161" s="6"/>
      <c r="H1161" s="6"/>
      <c r="I1161" s="43"/>
      <c r="J1161" s="43"/>
      <c r="K1161" s="6"/>
      <c r="L1161" s="6"/>
      <c r="M1161" s="6"/>
      <c r="N1161" s="6"/>
      <c r="O1161" s="6"/>
      <c r="P1161" s="6"/>
      <c r="Q1161" s="6"/>
      <c r="R1161" s="6"/>
      <c r="S1161" s="6"/>
      <c r="T1161" s="6"/>
      <c r="U1161" s="6"/>
      <c r="V1161" s="6"/>
      <c r="W1161" s="6"/>
      <c r="X1161" s="6"/>
      <c r="Y1161" s="6"/>
      <c r="Z1161" s="6"/>
      <c r="AA1161" s="6"/>
      <c r="AB1161" s="6"/>
      <c r="AC1161" s="6"/>
      <c r="AD1161" s="6"/>
      <c r="AE1161" s="6"/>
      <c r="AF1161" s="6"/>
      <c r="AG1161" s="6"/>
      <c r="AH1161" s="6"/>
      <c r="AI1161" s="6"/>
      <c r="AJ1161" s="6"/>
      <c r="AK1161" s="6"/>
      <c r="AL1161" s="6"/>
      <c r="AM1161" s="6"/>
      <c r="AN1161" s="6"/>
      <c r="AO1161" s="6"/>
      <c r="AP1161" s="6"/>
      <c r="AQ1161" s="6"/>
      <c r="AR1161" s="6"/>
      <c r="AS1161" s="6"/>
      <c r="AT1161" s="6"/>
      <c r="AU1161" s="6"/>
      <c r="AV1161" s="6"/>
      <c r="AW1161" s="6"/>
      <c r="AX1161" s="6"/>
      <c r="AY1161" s="6"/>
      <c r="AZ1161" s="6"/>
      <c r="BA1161" s="6"/>
      <c r="BB1161" s="6"/>
      <c r="BC1161" s="6"/>
      <c r="BD1161" s="6"/>
      <c r="BE1161" s="6"/>
      <c r="BF1161" s="6"/>
      <c r="BG1161" s="6"/>
      <c r="BH1161" s="6"/>
      <c r="BI1161" s="6"/>
      <c r="BJ1161" s="6"/>
      <c r="BK1161" s="6"/>
      <c r="BL1161" s="44"/>
      <c r="BM1161" s="44"/>
      <c r="BN1161" s="45"/>
      <c r="BO1161" s="45"/>
      <c r="BP1161" s="7"/>
      <c r="BQ1161" s="7" t="e">
        <f>VLOOKUP(A1161,[1]Sheet15!B:E,3,0)</f>
        <v>#N/A</v>
      </c>
    </row>
    <row r="1162" spans="1:69" ht="15.75" customHeight="1" x14ac:dyDescent="0.25">
      <c r="A1162" s="12"/>
      <c r="B1162" s="15" t="e">
        <f>VLOOKUP(A1162,'[1]Master clients'!F1160:W4707,17,0)</f>
        <v>#N/A</v>
      </c>
      <c r="C1162" s="15" t="e">
        <f>VLOOKUP(A1162,'[1]Master clients'!F1160:P4707,11,0)</f>
        <v>#N/A</v>
      </c>
      <c r="D1162" s="15" t="e">
        <f>VLOOKUP(A1162,'[1]Master clients'!F:M,8,0)</f>
        <v>#N/A</v>
      </c>
      <c r="E1162" s="12"/>
      <c r="F1162" s="6"/>
      <c r="G1162" s="6"/>
      <c r="H1162" s="6"/>
      <c r="I1162" s="43"/>
      <c r="J1162" s="43"/>
      <c r="K1162" s="6"/>
      <c r="L1162" s="6"/>
      <c r="M1162" s="6"/>
      <c r="N1162" s="6"/>
      <c r="O1162" s="6"/>
      <c r="P1162" s="6"/>
      <c r="Q1162" s="6"/>
      <c r="R1162" s="6"/>
      <c r="S1162" s="6"/>
      <c r="T1162" s="6"/>
      <c r="U1162" s="6"/>
      <c r="V1162" s="6"/>
      <c r="W1162" s="6"/>
      <c r="X1162" s="6"/>
      <c r="Y1162" s="6"/>
      <c r="Z1162" s="6"/>
      <c r="AA1162" s="6"/>
      <c r="AB1162" s="6"/>
      <c r="AC1162" s="6"/>
      <c r="AD1162" s="6"/>
      <c r="AE1162" s="6"/>
      <c r="AF1162" s="6"/>
      <c r="AG1162" s="6"/>
      <c r="AH1162" s="6"/>
      <c r="AI1162" s="6"/>
      <c r="AJ1162" s="6"/>
      <c r="AK1162" s="6"/>
      <c r="AL1162" s="6"/>
      <c r="AM1162" s="6"/>
      <c r="AN1162" s="6"/>
      <c r="AO1162" s="6"/>
      <c r="AP1162" s="6"/>
      <c r="AQ1162" s="6"/>
      <c r="AR1162" s="6"/>
      <c r="AS1162" s="6"/>
      <c r="AT1162" s="6"/>
      <c r="AU1162" s="6"/>
      <c r="AV1162" s="6"/>
      <c r="AW1162" s="6"/>
      <c r="AX1162" s="6"/>
      <c r="AY1162" s="6"/>
      <c r="AZ1162" s="6"/>
      <c r="BA1162" s="6"/>
      <c r="BB1162" s="6"/>
      <c r="BC1162" s="6"/>
      <c r="BD1162" s="6"/>
      <c r="BE1162" s="6"/>
      <c r="BF1162" s="6"/>
      <c r="BG1162" s="6"/>
      <c r="BH1162" s="6"/>
      <c r="BI1162" s="6"/>
      <c r="BJ1162" s="6"/>
      <c r="BK1162" s="6"/>
      <c r="BL1162" s="44"/>
      <c r="BM1162" s="44"/>
      <c r="BN1162" s="45"/>
      <c r="BO1162" s="45"/>
      <c r="BP1162" s="7"/>
      <c r="BQ1162" s="7" t="e">
        <f>VLOOKUP(A1162,[1]Sheet15!B:E,3,0)</f>
        <v>#N/A</v>
      </c>
    </row>
    <row r="1163" spans="1:69" ht="15.75" customHeight="1" x14ac:dyDescent="0.25">
      <c r="A1163" s="12"/>
      <c r="B1163" s="15" t="e">
        <f>VLOOKUP(A1163,'[1]Master clients'!F1161:W4708,17,0)</f>
        <v>#N/A</v>
      </c>
      <c r="C1163" s="15" t="e">
        <f>VLOOKUP(A1163,'[1]Master clients'!F1161:P4708,11,0)</f>
        <v>#N/A</v>
      </c>
      <c r="D1163" s="15" t="e">
        <f>VLOOKUP(A1163,'[1]Master clients'!F:M,8,0)</f>
        <v>#N/A</v>
      </c>
      <c r="E1163" s="12"/>
      <c r="F1163" s="6"/>
      <c r="G1163" s="6"/>
      <c r="H1163" s="6"/>
      <c r="I1163" s="43"/>
      <c r="J1163" s="43"/>
      <c r="K1163" s="6"/>
      <c r="L1163" s="6"/>
      <c r="M1163" s="6"/>
      <c r="N1163" s="6"/>
      <c r="O1163" s="6"/>
      <c r="P1163" s="6"/>
      <c r="Q1163" s="6"/>
      <c r="R1163" s="6"/>
      <c r="S1163" s="6"/>
      <c r="T1163" s="6"/>
      <c r="U1163" s="6"/>
      <c r="V1163" s="6"/>
      <c r="W1163" s="6"/>
      <c r="X1163" s="6"/>
      <c r="Y1163" s="6"/>
      <c r="Z1163" s="6"/>
      <c r="AA1163" s="6"/>
      <c r="AB1163" s="6"/>
      <c r="AC1163" s="6"/>
      <c r="AD1163" s="6"/>
      <c r="AE1163" s="6"/>
      <c r="AF1163" s="6"/>
      <c r="AG1163" s="6"/>
      <c r="AH1163" s="6"/>
      <c r="AI1163" s="6"/>
      <c r="AJ1163" s="6"/>
      <c r="AK1163" s="6"/>
      <c r="AL1163" s="6"/>
      <c r="AM1163" s="6"/>
      <c r="AN1163" s="6"/>
      <c r="AO1163" s="6"/>
      <c r="AP1163" s="6"/>
      <c r="AQ1163" s="6"/>
      <c r="AR1163" s="6"/>
      <c r="AS1163" s="6"/>
      <c r="AT1163" s="6"/>
      <c r="AU1163" s="6"/>
      <c r="AV1163" s="6"/>
      <c r="AW1163" s="6"/>
      <c r="AX1163" s="6"/>
      <c r="AY1163" s="6"/>
      <c r="AZ1163" s="6"/>
      <c r="BA1163" s="6"/>
      <c r="BB1163" s="6"/>
      <c r="BC1163" s="6"/>
      <c r="BD1163" s="6"/>
      <c r="BE1163" s="6"/>
      <c r="BF1163" s="6"/>
      <c r="BG1163" s="6"/>
      <c r="BH1163" s="6"/>
      <c r="BI1163" s="6"/>
      <c r="BJ1163" s="6"/>
      <c r="BK1163" s="6"/>
      <c r="BL1163" s="44"/>
      <c r="BM1163" s="44"/>
      <c r="BN1163" s="45"/>
      <c r="BO1163" s="45"/>
      <c r="BP1163" s="7"/>
      <c r="BQ1163" s="7" t="e">
        <f>VLOOKUP(A1163,[1]Sheet15!B:E,3,0)</f>
        <v>#N/A</v>
      </c>
    </row>
    <row r="1164" spans="1:69" ht="15.75" customHeight="1" x14ac:dyDescent="0.25">
      <c r="A1164" s="12"/>
      <c r="B1164" s="15" t="e">
        <f>VLOOKUP(A1164,'[1]Master clients'!F1162:W4709,17,0)</f>
        <v>#N/A</v>
      </c>
      <c r="C1164" s="15" t="e">
        <f>VLOOKUP(A1164,'[1]Master clients'!F1162:P4709,11,0)</f>
        <v>#N/A</v>
      </c>
      <c r="D1164" s="15" t="e">
        <f>VLOOKUP(A1164,'[1]Master clients'!F:M,8,0)</f>
        <v>#N/A</v>
      </c>
      <c r="E1164" s="12"/>
      <c r="F1164" s="6"/>
      <c r="G1164" s="6"/>
      <c r="H1164" s="6"/>
      <c r="I1164" s="43"/>
      <c r="J1164" s="43"/>
      <c r="K1164" s="6"/>
      <c r="L1164" s="6"/>
      <c r="M1164" s="6"/>
      <c r="N1164" s="6"/>
      <c r="O1164" s="6"/>
      <c r="P1164" s="6"/>
      <c r="Q1164" s="6"/>
      <c r="R1164" s="6"/>
      <c r="S1164" s="6"/>
      <c r="T1164" s="6"/>
      <c r="U1164" s="6"/>
      <c r="V1164" s="6"/>
      <c r="W1164" s="6"/>
      <c r="X1164" s="6"/>
      <c r="Y1164" s="6"/>
      <c r="Z1164" s="6"/>
      <c r="AA1164" s="6"/>
      <c r="AB1164" s="6"/>
      <c r="AC1164" s="6"/>
      <c r="AD1164" s="6"/>
      <c r="AE1164" s="6"/>
      <c r="AF1164" s="6"/>
      <c r="AG1164" s="6"/>
      <c r="AH1164" s="6"/>
      <c r="AI1164" s="6"/>
      <c r="AJ1164" s="6"/>
      <c r="AK1164" s="6"/>
      <c r="AL1164" s="6"/>
      <c r="AM1164" s="6"/>
      <c r="AN1164" s="6"/>
      <c r="AO1164" s="6"/>
      <c r="AP1164" s="6"/>
      <c r="AQ1164" s="6"/>
      <c r="AR1164" s="6"/>
      <c r="AS1164" s="6"/>
      <c r="AT1164" s="6"/>
      <c r="AU1164" s="6"/>
      <c r="AV1164" s="6"/>
      <c r="AW1164" s="6"/>
      <c r="AX1164" s="6"/>
      <c r="AY1164" s="6"/>
      <c r="AZ1164" s="6"/>
      <c r="BA1164" s="6"/>
      <c r="BB1164" s="6"/>
      <c r="BC1164" s="6"/>
      <c r="BD1164" s="6"/>
      <c r="BE1164" s="6"/>
      <c r="BF1164" s="6"/>
      <c r="BG1164" s="6"/>
      <c r="BH1164" s="6"/>
      <c r="BI1164" s="6"/>
      <c r="BJ1164" s="6"/>
      <c r="BK1164" s="6"/>
      <c r="BL1164" s="44"/>
      <c r="BM1164" s="44"/>
      <c r="BN1164" s="45"/>
      <c r="BO1164" s="45"/>
      <c r="BP1164" s="7"/>
      <c r="BQ1164" s="7" t="e">
        <f>VLOOKUP(A1164,[1]Sheet15!B:E,3,0)</f>
        <v>#N/A</v>
      </c>
    </row>
    <row r="1165" spans="1:69" ht="15.75" customHeight="1" x14ac:dyDescent="0.25">
      <c r="A1165" s="12"/>
      <c r="B1165" s="15" t="e">
        <f>VLOOKUP(A1165,'[1]Master clients'!F1163:W4710,17,0)</f>
        <v>#N/A</v>
      </c>
      <c r="C1165" s="15" t="e">
        <f>VLOOKUP(A1165,'[1]Master clients'!F1163:P4710,11,0)</f>
        <v>#N/A</v>
      </c>
      <c r="D1165" s="15" t="e">
        <f>VLOOKUP(A1165,'[1]Master clients'!F:M,8,0)</f>
        <v>#N/A</v>
      </c>
      <c r="E1165" s="12"/>
      <c r="F1165" s="6"/>
      <c r="G1165" s="6"/>
      <c r="H1165" s="6"/>
      <c r="I1165" s="43"/>
      <c r="J1165" s="43"/>
      <c r="K1165" s="6"/>
      <c r="L1165" s="6"/>
      <c r="M1165" s="6"/>
      <c r="N1165" s="6"/>
      <c r="O1165" s="6"/>
      <c r="P1165" s="6"/>
      <c r="Q1165" s="6"/>
      <c r="R1165" s="6"/>
      <c r="S1165" s="6"/>
      <c r="T1165" s="6"/>
      <c r="U1165" s="6"/>
      <c r="V1165" s="6"/>
      <c r="W1165" s="6"/>
      <c r="X1165" s="6"/>
      <c r="Y1165" s="6"/>
      <c r="Z1165" s="6"/>
      <c r="AA1165" s="6"/>
      <c r="AB1165" s="6"/>
      <c r="AC1165" s="6"/>
      <c r="AD1165" s="6"/>
      <c r="AE1165" s="6"/>
      <c r="AF1165" s="6"/>
      <c r="AG1165" s="6"/>
      <c r="AH1165" s="6"/>
      <c r="AI1165" s="6"/>
      <c r="AJ1165" s="6"/>
      <c r="AK1165" s="6"/>
      <c r="AL1165" s="6"/>
      <c r="AM1165" s="6"/>
      <c r="AN1165" s="6"/>
      <c r="AO1165" s="6"/>
      <c r="AP1165" s="6"/>
      <c r="AQ1165" s="6"/>
      <c r="AR1165" s="6"/>
      <c r="AS1165" s="6"/>
      <c r="AT1165" s="6"/>
      <c r="AU1165" s="6"/>
      <c r="AV1165" s="6"/>
      <c r="AW1165" s="6"/>
      <c r="AX1165" s="6"/>
      <c r="AY1165" s="6"/>
      <c r="AZ1165" s="6"/>
      <c r="BA1165" s="6"/>
      <c r="BB1165" s="6"/>
      <c r="BC1165" s="6"/>
      <c r="BD1165" s="6"/>
      <c r="BE1165" s="6"/>
      <c r="BF1165" s="6"/>
      <c r="BG1165" s="6"/>
      <c r="BH1165" s="6"/>
      <c r="BI1165" s="6"/>
      <c r="BJ1165" s="6"/>
      <c r="BK1165" s="6"/>
      <c r="BL1165" s="44"/>
      <c r="BM1165" s="44"/>
      <c r="BN1165" s="45"/>
      <c r="BO1165" s="45"/>
      <c r="BP1165" s="7"/>
      <c r="BQ1165" s="7" t="e">
        <f>VLOOKUP(A1165,[1]Sheet15!B:E,3,0)</f>
        <v>#N/A</v>
      </c>
    </row>
    <row r="1166" spans="1:69" ht="15.75" customHeight="1" x14ac:dyDescent="0.25">
      <c r="A1166" s="12"/>
      <c r="B1166" s="15" t="e">
        <f>VLOOKUP(A1166,'[1]Master clients'!F1164:W4711,17,0)</f>
        <v>#N/A</v>
      </c>
      <c r="C1166" s="15" t="e">
        <f>VLOOKUP(A1166,'[1]Master clients'!F1164:P4711,11,0)</f>
        <v>#N/A</v>
      </c>
      <c r="D1166" s="15" t="e">
        <f>VLOOKUP(A1166,'[1]Master clients'!F:M,8,0)</f>
        <v>#N/A</v>
      </c>
      <c r="E1166" s="12"/>
      <c r="F1166" s="6"/>
      <c r="G1166" s="6"/>
      <c r="H1166" s="6"/>
      <c r="I1166" s="43"/>
      <c r="J1166" s="43"/>
      <c r="K1166" s="6"/>
      <c r="L1166" s="6"/>
      <c r="M1166" s="6"/>
      <c r="N1166" s="6"/>
      <c r="O1166" s="6"/>
      <c r="P1166" s="6"/>
      <c r="Q1166" s="6"/>
      <c r="R1166" s="6"/>
      <c r="S1166" s="6"/>
      <c r="T1166" s="6"/>
      <c r="U1166" s="6"/>
      <c r="V1166" s="6"/>
      <c r="W1166" s="6"/>
      <c r="X1166" s="6"/>
      <c r="Y1166" s="6"/>
      <c r="Z1166" s="6"/>
      <c r="AA1166" s="6"/>
      <c r="AB1166" s="6"/>
      <c r="AC1166" s="6"/>
      <c r="AD1166" s="6"/>
      <c r="AE1166" s="6"/>
      <c r="AF1166" s="6"/>
      <c r="AG1166" s="6"/>
      <c r="AH1166" s="6"/>
      <c r="AI1166" s="6"/>
      <c r="AJ1166" s="6"/>
      <c r="AK1166" s="6"/>
      <c r="AL1166" s="6"/>
      <c r="AM1166" s="6"/>
      <c r="AN1166" s="6"/>
      <c r="AO1166" s="6"/>
      <c r="AP1166" s="6"/>
      <c r="AQ1166" s="6"/>
      <c r="AR1166" s="6"/>
      <c r="AS1166" s="6"/>
      <c r="AT1166" s="6"/>
      <c r="AU1166" s="6"/>
      <c r="AV1166" s="6"/>
      <c r="AW1166" s="6"/>
      <c r="AX1166" s="6"/>
      <c r="AY1166" s="6"/>
      <c r="AZ1166" s="6"/>
      <c r="BA1166" s="6"/>
      <c r="BB1166" s="6"/>
      <c r="BC1166" s="6"/>
      <c r="BD1166" s="6"/>
      <c r="BE1166" s="6"/>
      <c r="BF1166" s="6"/>
      <c r="BG1166" s="6"/>
      <c r="BH1166" s="6"/>
      <c r="BI1166" s="6"/>
      <c r="BJ1166" s="6"/>
      <c r="BK1166" s="6"/>
      <c r="BL1166" s="44"/>
      <c r="BM1166" s="44"/>
      <c r="BN1166" s="45"/>
      <c r="BO1166" s="45"/>
      <c r="BP1166" s="7"/>
      <c r="BQ1166" s="7" t="e">
        <f>VLOOKUP(A1166,[1]Sheet15!B:E,3,0)</f>
        <v>#N/A</v>
      </c>
    </row>
    <row r="1167" spans="1:69" ht="15.75" customHeight="1" x14ac:dyDescent="0.25">
      <c r="A1167" s="12"/>
      <c r="B1167" s="15" t="e">
        <f>VLOOKUP(A1167,'[1]Master clients'!F1165:W4712,17,0)</f>
        <v>#N/A</v>
      </c>
      <c r="C1167" s="15" t="e">
        <f>VLOOKUP(A1167,'[1]Master clients'!F1165:P4712,11,0)</f>
        <v>#N/A</v>
      </c>
      <c r="D1167" s="15" t="e">
        <f>VLOOKUP(A1167,'[1]Master clients'!F:M,8,0)</f>
        <v>#N/A</v>
      </c>
      <c r="E1167" s="12"/>
      <c r="F1167" s="6"/>
      <c r="G1167" s="6"/>
      <c r="H1167" s="6"/>
      <c r="I1167" s="43"/>
      <c r="J1167" s="43"/>
      <c r="K1167" s="6"/>
      <c r="L1167" s="6"/>
      <c r="M1167" s="6"/>
      <c r="N1167" s="6"/>
      <c r="O1167" s="6"/>
      <c r="P1167" s="6"/>
      <c r="Q1167" s="6"/>
      <c r="R1167" s="6"/>
      <c r="S1167" s="6"/>
      <c r="T1167" s="6"/>
      <c r="U1167" s="6"/>
      <c r="V1167" s="6"/>
      <c r="W1167" s="6"/>
      <c r="X1167" s="6"/>
      <c r="Y1167" s="6"/>
      <c r="Z1167" s="6"/>
      <c r="AA1167" s="6"/>
      <c r="AB1167" s="6"/>
      <c r="AC1167" s="6"/>
      <c r="AD1167" s="6"/>
      <c r="AE1167" s="6"/>
      <c r="AF1167" s="6"/>
      <c r="AG1167" s="6"/>
      <c r="AH1167" s="6"/>
      <c r="AI1167" s="6"/>
      <c r="AJ1167" s="6"/>
      <c r="AK1167" s="6"/>
      <c r="AL1167" s="6"/>
      <c r="AM1167" s="6"/>
      <c r="AN1167" s="6"/>
      <c r="AO1167" s="6"/>
      <c r="AP1167" s="6"/>
      <c r="AQ1167" s="6"/>
      <c r="AR1167" s="6"/>
      <c r="AS1167" s="6"/>
      <c r="AT1167" s="6"/>
      <c r="AU1167" s="6"/>
      <c r="AV1167" s="6"/>
      <c r="AW1167" s="6"/>
      <c r="AX1167" s="6"/>
      <c r="AY1167" s="6"/>
      <c r="AZ1167" s="6"/>
      <c r="BA1167" s="6"/>
      <c r="BB1167" s="6"/>
      <c r="BC1167" s="6"/>
      <c r="BD1167" s="6"/>
      <c r="BE1167" s="6"/>
      <c r="BF1167" s="6"/>
      <c r="BG1167" s="6"/>
      <c r="BH1167" s="6"/>
      <c r="BI1167" s="6"/>
      <c r="BJ1167" s="6"/>
      <c r="BK1167" s="6"/>
      <c r="BL1167" s="44"/>
      <c r="BM1167" s="44"/>
      <c r="BN1167" s="45"/>
      <c r="BO1167" s="45"/>
      <c r="BP1167" s="7"/>
      <c r="BQ1167" s="7" t="e">
        <f>VLOOKUP(A1167,[1]Sheet15!B:E,3,0)</f>
        <v>#N/A</v>
      </c>
    </row>
    <row r="1168" spans="1:69" ht="15.75" customHeight="1" x14ac:dyDescent="0.25">
      <c r="A1168" s="12"/>
      <c r="B1168" s="15" t="e">
        <f>VLOOKUP(A1168,'[1]Master clients'!F1166:W4713,17,0)</f>
        <v>#N/A</v>
      </c>
      <c r="C1168" s="15" t="e">
        <f>VLOOKUP(A1168,'[1]Master clients'!F1166:P4713,11,0)</f>
        <v>#N/A</v>
      </c>
      <c r="D1168" s="15" t="e">
        <f>VLOOKUP(A1168,'[1]Master clients'!F:M,8,0)</f>
        <v>#N/A</v>
      </c>
      <c r="E1168" s="12"/>
      <c r="F1168" s="6"/>
      <c r="G1168" s="6"/>
      <c r="H1168" s="6"/>
      <c r="I1168" s="43"/>
      <c r="J1168" s="43"/>
      <c r="K1168" s="6"/>
      <c r="L1168" s="6"/>
      <c r="M1168" s="6"/>
      <c r="N1168" s="6"/>
      <c r="O1168" s="6"/>
      <c r="P1168" s="6"/>
      <c r="Q1168" s="6"/>
      <c r="R1168" s="6"/>
      <c r="S1168" s="6"/>
      <c r="T1168" s="6"/>
      <c r="U1168" s="6"/>
      <c r="V1168" s="6"/>
      <c r="W1168" s="6"/>
      <c r="X1168" s="6"/>
      <c r="Y1168" s="6"/>
      <c r="Z1168" s="6"/>
      <c r="AA1168" s="6"/>
      <c r="AB1168" s="6"/>
      <c r="AC1168" s="6"/>
      <c r="AD1168" s="6"/>
      <c r="AE1168" s="6"/>
      <c r="AF1168" s="6"/>
      <c r="AG1168" s="6"/>
      <c r="AH1168" s="6"/>
      <c r="AI1168" s="6"/>
      <c r="AJ1168" s="6"/>
      <c r="AK1168" s="6"/>
      <c r="AL1168" s="6"/>
      <c r="AM1168" s="6"/>
      <c r="AN1168" s="6"/>
      <c r="AO1168" s="6"/>
      <c r="AP1168" s="6"/>
      <c r="AQ1168" s="6"/>
      <c r="AR1168" s="6"/>
      <c r="AS1168" s="6"/>
      <c r="AT1168" s="6"/>
      <c r="AU1168" s="6"/>
      <c r="AV1168" s="6"/>
      <c r="AW1168" s="6"/>
      <c r="AX1168" s="6"/>
      <c r="AY1168" s="6"/>
      <c r="AZ1168" s="6"/>
      <c r="BA1168" s="6"/>
      <c r="BB1168" s="6"/>
      <c r="BC1168" s="6"/>
      <c r="BD1168" s="6"/>
      <c r="BE1168" s="6"/>
      <c r="BF1168" s="6"/>
      <c r="BG1168" s="6"/>
      <c r="BH1168" s="6"/>
      <c r="BI1168" s="6"/>
      <c r="BJ1168" s="6"/>
      <c r="BK1168" s="6"/>
      <c r="BL1168" s="44"/>
      <c r="BM1168" s="44"/>
      <c r="BN1168" s="45"/>
      <c r="BO1168" s="45"/>
      <c r="BP1168" s="7"/>
      <c r="BQ1168" s="7" t="e">
        <f>VLOOKUP(A1168,[1]Sheet15!B:E,3,0)</f>
        <v>#N/A</v>
      </c>
    </row>
    <row r="1169" spans="1:69" ht="15.75" customHeight="1" x14ac:dyDescent="0.25">
      <c r="A1169" s="12"/>
      <c r="B1169" s="15" t="e">
        <f>VLOOKUP(A1169,'[1]Master clients'!F1167:W4714,17,0)</f>
        <v>#N/A</v>
      </c>
      <c r="C1169" s="15" t="e">
        <f>VLOOKUP(A1169,'[1]Master clients'!F1167:P4714,11,0)</f>
        <v>#N/A</v>
      </c>
      <c r="D1169" s="15" t="e">
        <f>VLOOKUP(A1169,'[1]Master clients'!F:M,8,0)</f>
        <v>#N/A</v>
      </c>
      <c r="E1169" s="12"/>
      <c r="F1169" s="6"/>
      <c r="G1169" s="6"/>
      <c r="H1169" s="6"/>
      <c r="I1169" s="43"/>
      <c r="J1169" s="43"/>
      <c r="K1169" s="6"/>
      <c r="L1169" s="6"/>
      <c r="M1169" s="6"/>
      <c r="N1169" s="6"/>
      <c r="O1169" s="6"/>
      <c r="P1169" s="6"/>
      <c r="Q1169" s="6"/>
      <c r="R1169" s="6"/>
      <c r="S1169" s="6"/>
      <c r="T1169" s="6"/>
      <c r="U1169" s="6"/>
      <c r="V1169" s="6"/>
      <c r="W1169" s="6"/>
      <c r="X1169" s="6"/>
      <c r="Y1169" s="6"/>
      <c r="Z1169" s="6"/>
      <c r="AA1169" s="6"/>
      <c r="AB1169" s="6"/>
      <c r="AC1169" s="6"/>
      <c r="AD1169" s="6"/>
      <c r="AE1169" s="6"/>
      <c r="AF1169" s="6"/>
      <c r="AG1169" s="6"/>
      <c r="AH1169" s="6"/>
      <c r="AI1169" s="6"/>
      <c r="AJ1169" s="6"/>
      <c r="AK1169" s="6"/>
      <c r="AL1169" s="6"/>
      <c r="AM1169" s="6"/>
      <c r="AN1169" s="6"/>
      <c r="AO1169" s="6"/>
      <c r="AP1169" s="6"/>
      <c r="AQ1169" s="6"/>
      <c r="AR1169" s="6"/>
      <c r="AS1169" s="6"/>
      <c r="AT1169" s="6"/>
      <c r="AU1169" s="6"/>
      <c r="AV1169" s="6"/>
      <c r="AW1169" s="6"/>
      <c r="AX1169" s="6"/>
      <c r="AY1169" s="6"/>
      <c r="AZ1169" s="6"/>
      <c r="BA1169" s="6"/>
      <c r="BB1169" s="6"/>
      <c r="BC1169" s="6"/>
      <c r="BD1169" s="6"/>
      <c r="BE1169" s="6"/>
      <c r="BF1169" s="6"/>
      <c r="BG1169" s="6"/>
      <c r="BH1169" s="6"/>
      <c r="BI1169" s="6"/>
      <c r="BJ1169" s="6"/>
      <c r="BK1169" s="6"/>
      <c r="BL1169" s="44"/>
      <c r="BM1169" s="44"/>
      <c r="BN1169" s="45"/>
      <c r="BO1169" s="45"/>
      <c r="BP1169" s="7"/>
      <c r="BQ1169" s="7" t="e">
        <f>VLOOKUP(A1169,[1]Sheet15!B:E,3,0)</f>
        <v>#N/A</v>
      </c>
    </row>
    <row r="1170" spans="1:69" ht="15.75" customHeight="1" x14ac:dyDescent="0.25">
      <c r="A1170" s="12"/>
      <c r="B1170" s="15" t="e">
        <f>VLOOKUP(A1170,'[1]Master clients'!F1168:W4715,17,0)</f>
        <v>#N/A</v>
      </c>
      <c r="C1170" s="15" t="e">
        <f>VLOOKUP(A1170,'[1]Master clients'!F1168:P4715,11,0)</f>
        <v>#N/A</v>
      </c>
      <c r="D1170" s="15" t="e">
        <f>VLOOKUP(A1170,'[1]Master clients'!F:M,8,0)</f>
        <v>#N/A</v>
      </c>
      <c r="E1170" s="12"/>
      <c r="F1170" s="6"/>
      <c r="G1170" s="6"/>
      <c r="H1170" s="6"/>
      <c r="I1170" s="43"/>
      <c r="J1170" s="43"/>
      <c r="K1170" s="6"/>
      <c r="L1170" s="6"/>
      <c r="M1170" s="6"/>
      <c r="N1170" s="6"/>
      <c r="O1170" s="6"/>
      <c r="P1170" s="6"/>
      <c r="Q1170" s="6"/>
      <c r="R1170" s="6"/>
      <c r="S1170" s="6"/>
      <c r="T1170" s="6"/>
      <c r="U1170" s="6"/>
      <c r="V1170" s="6"/>
      <c r="W1170" s="6"/>
      <c r="X1170" s="6"/>
      <c r="Y1170" s="6"/>
      <c r="Z1170" s="6"/>
      <c r="AA1170" s="6"/>
      <c r="AB1170" s="6"/>
      <c r="AC1170" s="6"/>
      <c r="AD1170" s="6"/>
      <c r="AE1170" s="6"/>
      <c r="AF1170" s="6"/>
      <c r="AG1170" s="6"/>
      <c r="AH1170" s="6"/>
      <c r="AI1170" s="6"/>
      <c r="AJ1170" s="6"/>
      <c r="AK1170" s="6"/>
      <c r="AL1170" s="6"/>
      <c r="AM1170" s="6"/>
      <c r="AN1170" s="6"/>
      <c r="AO1170" s="6"/>
      <c r="AP1170" s="6"/>
      <c r="AQ1170" s="6"/>
      <c r="AR1170" s="6"/>
      <c r="AS1170" s="6"/>
      <c r="AT1170" s="6"/>
      <c r="AU1170" s="6"/>
      <c r="AV1170" s="6"/>
      <c r="AW1170" s="6"/>
      <c r="AX1170" s="6"/>
      <c r="AY1170" s="6"/>
      <c r="AZ1170" s="6"/>
      <c r="BA1170" s="6"/>
      <c r="BB1170" s="6"/>
      <c r="BC1170" s="6"/>
      <c r="BD1170" s="6"/>
      <c r="BE1170" s="6"/>
      <c r="BF1170" s="6"/>
      <c r="BG1170" s="6"/>
      <c r="BH1170" s="6"/>
      <c r="BI1170" s="6"/>
      <c r="BJ1170" s="6"/>
      <c r="BK1170" s="6"/>
      <c r="BL1170" s="44"/>
      <c r="BM1170" s="44"/>
      <c r="BN1170" s="45"/>
      <c r="BO1170" s="45"/>
      <c r="BP1170" s="7"/>
      <c r="BQ1170" s="7" t="e">
        <f>VLOOKUP(A1170,[1]Sheet15!B:E,3,0)</f>
        <v>#N/A</v>
      </c>
    </row>
    <row r="1171" spans="1:69" ht="15.75" customHeight="1" x14ac:dyDescent="0.25">
      <c r="A1171" s="12"/>
      <c r="B1171" s="15" t="e">
        <f>VLOOKUP(A1171,'[1]Master clients'!F1169:W4716,17,0)</f>
        <v>#N/A</v>
      </c>
      <c r="C1171" s="15" t="e">
        <f>VLOOKUP(A1171,'[1]Master clients'!F1169:P4716,11,0)</f>
        <v>#N/A</v>
      </c>
      <c r="D1171" s="15" t="e">
        <f>VLOOKUP(A1171,'[1]Master clients'!F:M,8,0)</f>
        <v>#N/A</v>
      </c>
      <c r="E1171" s="12"/>
      <c r="F1171" s="6"/>
      <c r="G1171" s="6"/>
      <c r="H1171" s="6"/>
      <c r="I1171" s="43"/>
      <c r="J1171" s="43"/>
      <c r="K1171" s="6"/>
      <c r="L1171" s="6"/>
      <c r="M1171" s="6"/>
      <c r="N1171" s="6"/>
      <c r="O1171" s="6"/>
      <c r="P1171" s="6"/>
      <c r="Q1171" s="6"/>
      <c r="R1171" s="6"/>
      <c r="S1171" s="6"/>
      <c r="T1171" s="6"/>
      <c r="U1171" s="6"/>
      <c r="V1171" s="6"/>
      <c r="W1171" s="6"/>
      <c r="X1171" s="6"/>
      <c r="Y1171" s="6"/>
      <c r="Z1171" s="6"/>
      <c r="AA1171" s="6"/>
      <c r="AB1171" s="6"/>
      <c r="AC1171" s="6"/>
      <c r="AD1171" s="6"/>
      <c r="AE1171" s="6"/>
      <c r="AF1171" s="6"/>
      <c r="AG1171" s="6"/>
      <c r="AH1171" s="6"/>
      <c r="AI1171" s="6"/>
      <c r="AJ1171" s="6"/>
      <c r="AK1171" s="6"/>
      <c r="AL1171" s="6"/>
      <c r="AM1171" s="6"/>
      <c r="AN1171" s="6"/>
      <c r="AO1171" s="6"/>
      <c r="AP1171" s="6"/>
      <c r="AQ1171" s="6"/>
      <c r="AR1171" s="6"/>
      <c r="AS1171" s="6"/>
      <c r="AT1171" s="6"/>
      <c r="AU1171" s="6"/>
      <c r="AV1171" s="6"/>
      <c r="AW1171" s="6"/>
      <c r="AX1171" s="6"/>
      <c r="AY1171" s="6"/>
      <c r="AZ1171" s="6"/>
      <c r="BA1171" s="6"/>
      <c r="BB1171" s="6"/>
      <c r="BC1171" s="6"/>
      <c r="BD1171" s="6"/>
      <c r="BE1171" s="6"/>
      <c r="BF1171" s="6"/>
      <c r="BG1171" s="6"/>
      <c r="BH1171" s="6"/>
      <c r="BI1171" s="6"/>
      <c r="BJ1171" s="6"/>
      <c r="BK1171" s="6"/>
      <c r="BL1171" s="44"/>
      <c r="BM1171" s="44"/>
      <c r="BN1171" s="45"/>
      <c r="BO1171" s="45"/>
      <c r="BP1171" s="7"/>
      <c r="BQ1171" s="7" t="e">
        <f>VLOOKUP(A1171,[1]Sheet15!B:E,3,0)</f>
        <v>#N/A</v>
      </c>
    </row>
    <row r="1172" spans="1:69" ht="15.75" customHeight="1" x14ac:dyDescent="0.25">
      <c r="A1172" s="12"/>
      <c r="B1172" s="15" t="e">
        <f>VLOOKUP(A1172,'[1]Master clients'!F1170:W4717,17,0)</f>
        <v>#N/A</v>
      </c>
      <c r="C1172" s="15" t="e">
        <f>VLOOKUP(A1172,'[1]Master clients'!F1170:P4717,11,0)</f>
        <v>#N/A</v>
      </c>
      <c r="D1172" s="15" t="e">
        <f>VLOOKUP(A1172,'[1]Master clients'!F:M,8,0)</f>
        <v>#N/A</v>
      </c>
      <c r="E1172" s="12"/>
      <c r="F1172" s="6"/>
      <c r="G1172" s="6"/>
      <c r="H1172" s="6"/>
      <c r="I1172" s="43"/>
      <c r="J1172" s="43"/>
      <c r="K1172" s="6"/>
      <c r="L1172" s="6"/>
      <c r="M1172" s="6"/>
      <c r="N1172" s="6"/>
      <c r="O1172" s="6"/>
      <c r="P1172" s="6"/>
      <c r="Q1172" s="6"/>
      <c r="R1172" s="6"/>
      <c r="S1172" s="6"/>
      <c r="T1172" s="6"/>
      <c r="U1172" s="6"/>
      <c r="V1172" s="6"/>
      <c r="W1172" s="6"/>
      <c r="X1172" s="6"/>
      <c r="Y1172" s="6"/>
      <c r="Z1172" s="6"/>
      <c r="AA1172" s="6"/>
      <c r="AB1172" s="6"/>
      <c r="AC1172" s="6"/>
      <c r="AD1172" s="6"/>
      <c r="AE1172" s="6"/>
      <c r="AF1172" s="6"/>
      <c r="AG1172" s="6"/>
      <c r="AH1172" s="6"/>
      <c r="AI1172" s="6"/>
      <c r="AJ1172" s="6"/>
      <c r="AK1172" s="6"/>
      <c r="AL1172" s="6"/>
      <c r="AM1172" s="6"/>
      <c r="AN1172" s="6"/>
      <c r="AO1172" s="6"/>
      <c r="AP1172" s="6"/>
      <c r="AQ1172" s="6"/>
      <c r="AR1172" s="6"/>
      <c r="AS1172" s="6"/>
      <c r="AT1172" s="6"/>
      <c r="AU1172" s="6"/>
      <c r="AV1172" s="6"/>
      <c r="AW1172" s="6"/>
      <c r="AX1172" s="6"/>
      <c r="AY1172" s="6"/>
      <c r="AZ1172" s="6"/>
      <c r="BA1172" s="6"/>
      <c r="BB1172" s="6"/>
      <c r="BC1172" s="6"/>
      <c r="BD1172" s="6"/>
      <c r="BE1172" s="6"/>
      <c r="BF1172" s="6"/>
      <c r="BG1172" s="6"/>
      <c r="BH1172" s="6"/>
      <c r="BI1172" s="6"/>
      <c r="BJ1172" s="6"/>
      <c r="BK1172" s="6"/>
      <c r="BL1172" s="44"/>
      <c r="BM1172" s="44"/>
      <c r="BN1172" s="45"/>
      <c r="BO1172" s="45"/>
      <c r="BP1172" s="7"/>
      <c r="BQ1172" s="7" t="e">
        <f>VLOOKUP(A1172,[1]Sheet15!B:E,3,0)</f>
        <v>#N/A</v>
      </c>
    </row>
    <row r="1173" spans="1:69" ht="15.75" customHeight="1" x14ac:dyDescent="0.25">
      <c r="A1173" s="12"/>
      <c r="B1173" s="15" t="e">
        <f>VLOOKUP(A1173,'[1]Master clients'!F1171:W4718,17,0)</f>
        <v>#N/A</v>
      </c>
      <c r="C1173" s="15" t="e">
        <f>VLOOKUP(A1173,'[1]Master clients'!F1171:P4718,11,0)</f>
        <v>#N/A</v>
      </c>
      <c r="D1173" s="15" t="e">
        <f>VLOOKUP(A1173,'[1]Master clients'!F:M,8,0)</f>
        <v>#N/A</v>
      </c>
      <c r="E1173" s="12"/>
      <c r="F1173" s="6"/>
      <c r="G1173" s="6"/>
      <c r="H1173" s="6"/>
      <c r="I1173" s="43"/>
      <c r="J1173" s="43"/>
      <c r="K1173" s="6"/>
      <c r="L1173" s="6"/>
      <c r="M1173" s="6"/>
      <c r="N1173" s="6"/>
      <c r="O1173" s="6"/>
      <c r="P1173" s="6"/>
      <c r="Q1173" s="6"/>
      <c r="R1173" s="6"/>
      <c r="S1173" s="6"/>
      <c r="T1173" s="6"/>
      <c r="U1173" s="6"/>
      <c r="V1173" s="6"/>
      <c r="W1173" s="6"/>
      <c r="X1173" s="6"/>
      <c r="Y1173" s="6"/>
      <c r="Z1173" s="6"/>
      <c r="AA1173" s="6"/>
      <c r="AB1173" s="6"/>
      <c r="AC1173" s="6"/>
      <c r="AD1173" s="6"/>
      <c r="AE1173" s="6"/>
      <c r="AF1173" s="6"/>
      <c r="AG1173" s="6"/>
      <c r="AH1173" s="6"/>
      <c r="AI1173" s="6"/>
      <c r="AJ1173" s="6"/>
      <c r="AK1173" s="6"/>
      <c r="AL1173" s="6"/>
      <c r="AM1173" s="6"/>
      <c r="AN1173" s="6"/>
      <c r="AO1173" s="6"/>
      <c r="AP1173" s="6"/>
      <c r="AQ1173" s="6"/>
      <c r="AR1173" s="6"/>
      <c r="AS1173" s="6"/>
      <c r="AT1173" s="6"/>
      <c r="AU1173" s="6"/>
      <c r="AV1173" s="6"/>
      <c r="AW1173" s="6"/>
      <c r="AX1173" s="6"/>
      <c r="AY1173" s="6"/>
      <c r="AZ1173" s="6"/>
      <c r="BA1173" s="6"/>
      <c r="BB1173" s="6"/>
      <c r="BC1173" s="6"/>
      <c r="BD1173" s="6"/>
      <c r="BE1173" s="6"/>
      <c r="BF1173" s="6"/>
      <c r="BG1173" s="6"/>
      <c r="BH1173" s="6"/>
      <c r="BI1173" s="6"/>
      <c r="BJ1173" s="6"/>
      <c r="BK1173" s="6"/>
      <c r="BL1173" s="44"/>
      <c r="BM1173" s="44"/>
      <c r="BN1173" s="45"/>
      <c r="BO1173" s="45"/>
      <c r="BP1173" s="7"/>
      <c r="BQ1173" s="7" t="e">
        <f>VLOOKUP(A1173,[1]Sheet15!B:E,3,0)</f>
        <v>#N/A</v>
      </c>
    </row>
    <row r="1174" spans="1:69" ht="15.75" customHeight="1" x14ac:dyDescent="0.25">
      <c r="A1174" s="12"/>
      <c r="B1174" s="15" t="e">
        <f>VLOOKUP(A1174,'[1]Master clients'!F1172:W4719,17,0)</f>
        <v>#N/A</v>
      </c>
      <c r="C1174" s="15" t="e">
        <f>VLOOKUP(A1174,'[1]Master clients'!F1172:P4719,11,0)</f>
        <v>#N/A</v>
      </c>
      <c r="D1174" s="15" t="e">
        <f>VLOOKUP(A1174,'[1]Master clients'!F:M,8,0)</f>
        <v>#N/A</v>
      </c>
      <c r="E1174" s="12"/>
      <c r="F1174" s="6"/>
      <c r="G1174" s="6"/>
      <c r="H1174" s="6"/>
      <c r="I1174" s="43"/>
      <c r="J1174" s="43"/>
      <c r="K1174" s="6"/>
      <c r="L1174" s="6"/>
      <c r="M1174" s="6"/>
      <c r="N1174" s="6"/>
      <c r="O1174" s="6"/>
      <c r="P1174" s="6"/>
      <c r="Q1174" s="6"/>
      <c r="R1174" s="6"/>
      <c r="S1174" s="6"/>
      <c r="T1174" s="6"/>
      <c r="U1174" s="6"/>
      <c r="V1174" s="6"/>
      <c r="W1174" s="6"/>
      <c r="X1174" s="6"/>
      <c r="Y1174" s="6"/>
      <c r="Z1174" s="6"/>
      <c r="AA1174" s="6"/>
      <c r="AB1174" s="6"/>
      <c r="AC1174" s="6"/>
      <c r="AD1174" s="6"/>
      <c r="AE1174" s="6"/>
      <c r="AF1174" s="6"/>
      <c r="AG1174" s="6"/>
      <c r="AH1174" s="6"/>
      <c r="AI1174" s="6"/>
      <c r="AJ1174" s="6"/>
      <c r="AK1174" s="6"/>
      <c r="AL1174" s="6"/>
      <c r="AM1174" s="6"/>
      <c r="AN1174" s="6"/>
      <c r="AO1174" s="6"/>
      <c r="AP1174" s="6"/>
      <c r="AQ1174" s="6"/>
      <c r="AR1174" s="6"/>
      <c r="AS1174" s="6"/>
      <c r="AT1174" s="6"/>
      <c r="AU1174" s="6"/>
      <c r="AV1174" s="6"/>
      <c r="AW1174" s="6"/>
      <c r="AX1174" s="6"/>
      <c r="AY1174" s="6"/>
      <c r="AZ1174" s="6"/>
      <c r="BA1174" s="6"/>
      <c r="BB1174" s="6"/>
      <c r="BC1174" s="6"/>
      <c r="BD1174" s="6"/>
      <c r="BE1174" s="6"/>
      <c r="BF1174" s="6"/>
      <c r="BG1174" s="6"/>
      <c r="BH1174" s="6"/>
      <c r="BI1174" s="6"/>
      <c r="BJ1174" s="6"/>
      <c r="BK1174" s="6"/>
      <c r="BL1174" s="44"/>
      <c r="BM1174" s="44"/>
      <c r="BN1174" s="45"/>
      <c r="BO1174" s="45"/>
      <c r="BP1174" s="7"/>
      <c r="BQ1174" s="7" t="e">
        <f>VLOOKUP(A1174,[1]Sheet15!B:E,3,0)</f>
        <v>#N/A</v>
      </c>
    </row>
    <row r="1175" spans="1:69" ht="15.75" customHeight="1" x14ac:dyDescent="0.25">
      <c r="A1175" s="12"/>
      <c r="B1175" s="15" t="e">
        <f>VLOOKUP(A1175,'[1]Master clients'!F1173:W4720,17,0)</f>
        <v>#N/A</v>
      </c>
      <c r="C1175" s="15" t="e">
        <f>VLOOKUP(A1175,'[1]Master clients'!F1173:P4720,11,0)</f>
        <v>#N/A</v>
      </c>
      <c r="D1175" s="15" t="e">
        <f>VLOOKUP(A1175,'[1]Master clients'!F:M,8,0)</f>
        <v>#N/A</v>
      </c>
      <c r="E1175" s="12"/>
      <c r="F1175" s="6"/>
      <c r="G1175" s="6"/>
      <c r="H1175" s="6"/>
      <c r="I1175" s="43"/>
      <c r="J1175" s="43"/>
      <c r="K1175" s="6"/>
      <c r="L1175" s="6"/>
      <c r="M1175" s="6"/>
      <c r="N1175" s="6"/>
      <c r="O1175" s="6"/>
      <c r="P1175" s="6"/>
      <c r="Q1175" s="6"/>
      <c r="R1175" s="6"/>
      <c r="S1175" s="6"/>
      <c r="T1175" s="6"/>
      <c r="U1175" s="6"/>
      <c r="V1175" s="6"/>
      <c r="W1175" s="6"/>
      <c r="X1175" s="6"/>
      <c r="Y1175" s="6"/>
      <c r="Z1175" s="6"/>
      <c r="AA1175" s="6"/>
      <c r="AB1175" s="6"/>
      <c r="AC1175" s="6"/>
      <c r="AD1175" s="6"/>
      <c r="AE1175" s="6"/>
      <c r="AF1175" s="6"/>
      <c r="AG1175" s="6"/>
      <c r="AH1175" s="6"/>
      <c r="AI1175" s="6"/>
      <c r="AJ1175" s="6"/>
      <c r="AK1175" s="6"/>
      <c r="AL1175" s="6"/>
      <c r="AM1175" s="6"/>
      <c r="AN1175" s="6"/>
      <c r="AO1175" s="6"/>
      <c r="AP1175" s="6"/>
      <c r="AQ1175" s="6"/>
      <c r="AR1175" s="6"/>
      <c r="AS1175" s="6"/>
      <c r="AT1175" s="6"/>
      <c r="AU1175" s="6"/>
      <c r="AV1175" s="6"/>
      <c r="AW1175" s="6"/>
      <c r="AX1175" s="6"/>
      <c r="AY1175" s="6"/>
      <c r="AZ1175" s="6"/>
      <c r="BA1175" s="6"/>
      <c r="BB1175" s="6"/>
      <c r="BC1175" s="6"/>
      <c r="BD1175" s="6"/>
      <c r="BE1175" s="6"/>
      <c r="BF1175" s="6"/>
      <c r="BG1175" s="6"/>
      <c r="BH1175" s="6"/>
      <c r="BI1175" s="6"/>
      <c r="BJ1175" s="6"/>
      <c r="BK1175" s="6"/>
      <c r="BL1175" s="44"/>
      <c r="BM1175" s="44"/>
      <c r="BN1175" s="45"/>
      <c r="BO1175" s="45"/>
      <c r="BP1175" s="7"/>
      <c r="BQ1175" s="7" t="e">
        <f>VLOOKUP(A1175,[1]Sheet15!B:E,3,0)</f>
        <v>#N/A</v>
      </c>
    </row>
    <row r="1176" spans="1:69" ht="15.75" customHeight="1" x14ac:dyDescent="0.25">
      <c r="A1176" s="12"/>
      <c r="B1176" s="15" t="e">
        <f>VLOOKUP(A1176,'[1]Master clients'!F1174:W4721,17,0)</f>
        <v>#N/A</v>
      </c>
      <c r="C1176" s="15" t="e">
        <f>VLOOKUP(A1176,'[1]Master clients'!F1174:P4721,11,0)</f>
        <v>#N/A</v>
      </c>
      <c r="D1176" s="15" t="e">
        <f>VLOOKUP(A1176,'[1]Master clients'!F:M,8,0)</f>
        <v>#N/A</v>
      </c>
      <c r="E1176" s="12"/>
      <c r="F1176" s="6"/>
      <c r="G1176" s="6"/>
      <c r="H1176" s="6"/>
      <c r="I1176" s="43"/>
      <c r="J1176" s="43"/>
      <c r="K1176" s="6"/>
      <c r="L1176" s="6"/>
      <c r="M1176" s="6"/>
      <c r="N1176" s="6"/>
      <c r="O1176" s="6"/>
      <c r="P1176" s="6"/>
      <c r="Q1176" s="6"/>
      <c r="R1176" s="6"/>
      <c r="S1176" s="6"/>
      <c r="T1176" s="6"/>
      <c r="U1176" s="6"/>
      <c r="V1176" s="6"/>
      <c r="W1176" s="6"/>
      <c r="X1176" s="6"/>
      <c r="Y1176" s="6"/>
      <c r="Z1176" s="6"/>
      <c r="AA1176" s="6"/>
      <c r="AB1176" s="6"/>
      <c r="AC1176" s="6"/>
      <c r="AD1176" s="6"/>
      <c r="AE1176" s="6"/>
      <c r="AF1176" s="6"/>
      <c r="AG1176" s="6"/>
      <c r="AH1176" s="6"/>
      <c r="AI1176" s="6"/>
      <c r="AJ1176" s="6"/>
      <c r="AK1176" s="6"/>
      <c r="AL1176" s="6"/>
      <c r="AM1176" s="6"/>
      <c r="AN1176" s="6"/>
      <c r="AO1176" s="6"/>
      <c r="AP1176" s="6"/>
      <c r="AQ1176" s="6"/>
      <c r="AR1176" s="6"/>
      <c r="AS1176" s="6"/>
      <c r="AT1176" s="6"/>
      <c r="AU1176" s="6"/>
      <c r="AV1176" s="6"/>
      <c r="AW1176" s="6"/>
      <c r="AX1176" s="6"/>
      <c r="AY1176" s="6"/>
      <c r="AZ1176" s="6"/>
      <c r="BA1176" s="6"/>
      <c r="BB1176" s="6"/>
      <c r="BC1176" s="6"/>
      <c r="BD1176" s="6"/>
      <c r="BE1176" s="6"/>
      <c r="BF1176" s="6"/>
      <c r="BG1176" s="6"/>
      <c r="BH1176" s="6"/>
      <c r="BI1176" s="6"/>
      <c r="BJ1176" s="6"/>
      <c r="BK1176" s="6"/>
      <c r="BL1176" s="44"/>
      <c r="BM1176" s="44"/>
      <c r="BN1176" s="45"/>
      <c r="BO1176" s="45"/>
      <c r="BP1176" s="7"/>
      <c r="BQ1176" s="7" t="e">
        <f>VLOOKUP(A1176,[1]Sheet15!B:E,3,0)</f>
        <v>#N/A</v>
      </c>
    </row>
    <row r="1177" spans="1:69" ht="15.75" customHeight="1" x14ac:dyDescent="0.25">
      <c r="A1177" s="12"/>
      <c r="B1177" s="15" t="e">
        <f>VLOOKUP(A1177,'[1]Master clients'!F1175:W4722,17,0)</f>
        <v>#N/A</v>
      </c>
      <c r="C1177" s="15" t="e">
        <f>VLOOKUP(A1177,'[1]Master clients'!F1175:P4722,11,0)</f>
        <v>#N/A</v>
      </c>
      <c r="D1177" s="15" t="e">
        <f>VLOOKUP(A1177,'[1]Master clients'!F:M,8,0)</f>
        <v>#N/A</v>
      </c>
      <c r="E1177" s="12"/>
      <c r="F1177" s="6"/>
      <c r="G1177" s="6"/>
      <c r="H1177" s="6"/>
      <c r="I1177" s="43"/>
      <c r="J1177" s="43"/>
      <c r="K1177" s="6"/>
      <c r="L1177" s="6"/>
      <c r="M1177" s="6"/>
      <c r="N1177" s="6"/>
      <c r="O1177" s="6"/>
      <c r="P1177" s="6"/>
      <c r="Q1177" s="6"/>
      <c r="R1177" s="6"/>
      <c r="S1177" s="6"/>
      <c r="T1177" s="6"/>
      <c r="U1177" s="6"/>
      <c r="V1177" s="6"/>
      <c r="W1177" s="6"/>
      <c r="X1177" s="6"/>
      <c r="Y1177" s="6"/>
      <c r="Z1177" s="6"/>
      <c r="AA1177" s="6"/>
      <c r="AB1177" s="6"/>
      <c r="AC1177" s="6"/>
      <c r="AD1177" s="6"/>
      <c r="AE1177" s="6"/>
      <c r="AF1177" s="6"/>
      <c r="AG1177" s="6"/>
      <c r="AH1177" s="6"/>
      <c r="AI1177" s="6"/>
      <c r="AJ1177" s="6"/>
      <c r="AK1177" s="6"/>
      <c r="AL1177" s="6"/>
      <c r="AM1177" s="6"/>
      <c r="AN1177" s="6"/>
      <c r="AO1177" s="6"/>
      <c r="AP1177" s="6"/>
      <c r="AQ1177" s="6"/>
      <c r="AR1177" s="6"/>
      <c r="AS1177" s="6"/>
      <c r="AT1177" s="6"/>
      <c r="AU1177" s="6"/>
      <c r="AV1177" s="6"/>
      <c r="AW1177" s="6"/>
      <c r="AX1177" s="6"/>
      <c r="AY1177" s="6"/>
      <c r="AZ1177" s="6"/>
      <c r="BA1177" s="6"/>
      <c r="BB1177" s="6"/>
      <c r="BC1177" s="6"/>
      <c r="BD1177" s="6"/>
      <c r="BE1177" s="6"/>
      <c r="BF1177" s="6"/>
      <c r="BG1177" s="6"/>
      <c r="BH1177" s="6"/>
      <c r="BI1177" s="6"/>
      <c r="BJ1177" s="6"/>
      <c r="BK1177" s="6"/>
      <c r="BL1177" s="44"/>
      <c r="BM1177" s="44"/>
      <c r="BN1177" s="45"/>
      <c r="BO1177" s="45"/>
      <c r="BP1177" s="7"/>
      <c r="BQ1177" s="7" t="e">
        <f>VLOOKUP(A1177,[1]Sheet15!B:E,3,0)</f>
        <v>#N/A</v>
      </c>
    </row>
    <row r="1178" spans="1:69" ht="15.75" customHeight="1" x14ac:dyDescent="0.25">
      <c r="A1178" s="12"/>
      <c r="B1178" s="15" t="e">
        <f>VLOOKUP(A1178,'[1]Master clients'!F1176:W4723,17,0)</f>
        <v>#N/A</v>
      </c>
      <c r="C1178" s="15" t="e">
        <f>VLOOKUP(A1178,'[1]Master clients'!F1176:P4723,11,0)</f>
        <v>#N/A</v>
      </c>
      <c r="D1178" s="15" t="e">
        <f>VLOOKUP(A1178,'[1]Master clients'!F:M,8,0)</f>
        <v>#N/A</v>
      </c>
      <c r="E1178" s="12"/>
      <c r="F1178" s="6"/>
      <c r="G1178" s="6"/>
      <c r="H1178" s="6"/>
      <c r="I1178" s="43"/>
      <c r="J1178" s="43"/>
      <c r="K1178" s="6"/>
      <c r="L1178" s="6"/>
      <c r="M1178" s="6"/>
      <c r="N1178" s="6"/>
      <c r="O1178" s="6"/>
      <c r="P1178" s="6"/>
      <c r="Q1178" s="6"/>
      <c r="R1178" s="6"/>
      <c r="S1178" s="6"/>
      <c r="T1178" s="6"/>
      <c r="U1178" s="6"/>
      <c r="V1178" s="6"/>
      <c r="W1178" s="6"/>
      <c r="X1178" s="6"/>
      <c r="Y1178" s="6"/>
      <c r="Z1178" s="6"/>
      <c r="AA1178" s="6"/>
      <c r="AB1178" s="6"/>
      <c r="AC1178" s="6"/>
      <c r="AD1178" s="6"/>
      <c r="AE1178" s="6"/>
      <c r="AF1178" s="6"/>
      <c r="AG1178" s="6"/>
      <c r="AH1178" s="6"/>
      <c r="AI1178" s="6"/>
      <c r="AJ1178" s="6"/>
      <c r="AK1178" s="6"/>
      <c r="AL1178" s="6"/>
      <c r="AM1178" s="6"/>
      <c r="AN1178" s="6"/>
      <c r="AO1178" s="6"/>
      <c r="AP1178" s="6"/>
      <c r="AQ1178" s="6"/>
      <c r="AR1178" s="6"/>
      <c r="AS1178" s="6"/>
      <c r="AT1178" s="6"/>
      <c r="AU1178" s="6"/>
      <c r="AV1178" s="6"/>
      <c r="AW1178" s="6"/>
      <c r="AX1178" s="6"/>
      <c r="AY1178" s="6"/>
      <c r="AZ1178" s="6"/>
      <c r="BA1178" s="6"/>
      <c r="BB1178" s="6"/>
      <c r="BC1178" s="6"/>
      <c r="BD1178" s="6"/>
      <c r="BE1178" s="6"/>
      <c r="BF1178" s="6"/>
      <c r="BG1178" s="6"/>
      <c r="BH1178" s="6"/>
      <c r="BI1178" s="6"/>
      <c r="BJ1178" s="6"/>
      <c r="BK1178" s="6"/>
      <c r="BL1178" s="44"/>
      <c r="BM1178" s="44"/>
      <c r="BN1178" s="45"/>
      <c r="BO1178" s="45"/>
      <c r="BP1178" s="7"/>
      <c r="BQ1178" s="7" t="e">
        <f>VLOOKUP(A1178,[1]Sheet15!B:E,3,0)</f>
        <v>#N/A</v>
      </c>
    </row>
    <row r="1179" spans="1:69" ht="15.75" customHeight="1" x14ac:dyDescent="0.25">
      <c r="A1179" s="12"/>
      <c r="B1179" s="15" t="e">
        <f>VLOOKUP(A1179,'[1]Master clients'!F1177:W4724,17,0)</f>
        <v>#N/A</v>
      </c>
      <c r="C1179" s="15" t="e">
        <f>VLOOKUP(A1179,'[1]Master clients'!F1177:P4724,11,0)</f>
        <v>#N/A</v>
      </c>
      <c r="D1179" s="15" t="e">
        <f>VLOOKUP(A1179,'[1]Master clients'!F:M,8,0)</f>
        <v>#N/A</v>
      </c>
      <c r="E1179" s="12"/>
      <c r="F1179" s="6"/>
      <c r="G1179" s="6"/>
      <c r="H1179" s="6"/>
      <c r="I1179" s="43"/>
      <c r="J1179" s="43"/>
      <c r="K1179" s="6"/>
      <c r="L1179" s="6"/>
      <c r="M1179" s="6"/>
      <c r="N1179" s="6"/>
      <c r="O1179" s="6"/>
      <c r="P1179" s="6"/>
      <c r="Q1179" s="6"/>
      <c r="R1179" s="6"/>
      <c r="S1179" s="6"/>
      <c r="T1179" s="6"/>
      <c r="U1179" s="6"/>
      <c r="V1179" s="6"/>
      <c r="W1179" s="6"/>
      <c r="X1179" s="6"/>
      <c r="Y1179" s="6"/>
      <c r="Z1179" s="6"/>
      <c r="AA1179" s="6"/>
      <c r="AB1179" s="6"/>
      <c r="AC1179" s="6"/>
      <c r="AD1179" s="6"/>
      <c r="AE1179" s="6"/>
      <c r="AF1179" s="6"/>
      <c r="AG1179" s="6"/>
      <c r="AH1179" s="6"/>
      <c r="AI1179" s="6"/>
      <c r="AJ1179" s="6"/>
      <c r="AK1179" s="6"/>
      <c r="AL1179" s="6"/>
      <c r="AM1179" s="6"/>
      <c r="AN1179" s="6"/>
      <c r="AO1179" s="6"/>
      <c r="AP1179" s="6"/>
      <c r="AQ1179" s="6"/>
      <c r="AR1179" s="6"/>
      <c r="AS1179" s="6"/>
      <c r="AT1179" s="6"/>
      <c r="AU1179" s="6"/>
      <c r="AV1179" s="6"/>
      <c r="AW1179" s="6"/>
      <c r="AX1179" s="6"/>
      <c r="AY1179" s="6"/>
      <c r="AZ1179" s="6"/>
      <c r="BA1179" s="6"/>
      <c r="BB1179" s="6"/>
      <c r="BC1179" s="6"/>
      <c r="BD1179" s="6"/>
      <c r="BE1179" s="6"/>
      <c r="BF1179" s="6"/>
      <c r="BG1179" s="6"/>
      <c r="BH1179" s="6"/>
      <c r="BI1179" s="6"/>
      <c r="BJ1179" s="6"/>
      <c r="BK1179" s="6"/>
      <c r="BL1179" s="44"/>
      <c r="BM1179" s="44"/>
      <c r="BN1179" s="45"/>
      <c r="BO1179" s="45"/>
      <c r="BP1179" s="7"/>
      <c r="BQ1179" s="7" t="e">
        <f>VLOOKUP(A1179,[1]Sheet15!B:E,3,0)</f>
        <v>#N/A</v>
      </c>
    </row>
    <row r="1180" spans="1:69" ht="15.75" customHeight="1" x14ac:dyDescent="0.25">
      <c r="A1180" s="12"/>
      <c r="B1180" s="15" t="e">
        <f>VLOOKUP(A1180,'[1]Master clients'!F1178:W4725,17,0)</f>
        <v>#N/A</v>
      </c>
      <c r="C1180" s="15" t="e">
        <f>VLOOKUP(A1180,'[1]Master clients'!F1178:P4725,11,0)</f>
        <v>#N/A</v>
      </c>
      <c r="D1180" s="15" t="e">
        <f>VLOOKUP(A1180,'[1]Master clients'!F:M,8,0)</f>
        <v>#N/A</v>
      </c>
      <c r="E1180" s="12"/>
      <c r="F1180" s="6"/>
      <c r="G1180" s="6"/>
      <c r="H1180" s="6"/>
      <c r="I1180" s="43"/>
      <c r="J1180" s="43"/>
      <c r="K1180" s="6"/>
      <c r="L1180" s="6"/>
      <c r="M1180" s="6"/>
      <c r="N1180" s="6"/>
      <c r="O1180" s="6"/>
      <c r="P1180" s="6"/>
      <c r="Q1180" s="6"/>
      <c r="R1180" s="6"/>
      <c r="S1180" s="6"/>
      <c r="T1180" s="6"/>
      <c r="U1180" s="6"/>
      <c r="V1180" s="6"/>
      <c r="W1180" s="6"/>
      <c r="X1180" s="6"/>
      <c r="Y1180" s="6"/>
      <c r="Z1180" s="6"/>
      <c r="AA1180" s="6"/>
      <c r="AB1180" s="6"/>
      <c r="AC1180" s="6"/>
      <c r="AD1180" s="6"/>
      <c r="AE1180" s="6"/>
      <c r="AF1180" s="6"/>
      <c r="AG1180" s="6"/>
      <c r="AH1180" s="6"/>
      <c r="AI1180" s="6"/>
      <c r="AJ1180" s="6"/>
      <c r="AK1180" s="6"/>
      <c r="AL1180" s="6"/>
      <c r="AM1180" s="6"/>
      <c r="AN1180" s="6"/>
      <c r="AO1180" s="6"/>
      <c r="AP1180" s="6"/>
      <c r="AQ1180" s="6"/>
      <c r="AR1180" s="6"/>
      <c r="AS1180" s="6"/>
      <c r="AT1180" s="6"/>
      <c r="AU1180" s="6"/>
      <c r="AV1180" s="6"/>
      <c r="AW1180" s="6"/>
      <c r="AX1180" s="6"/>
      <c r="AY1180" s="6"/>
      <c r="AZ1180" s="6"/>
      <c r="BA1180" s="6"/>
      <c r="BB1180" s="6"/>
      <c r="BC1180" s="6"/>
      <c r="BD1180" s="6"/>
      <c r="BE1180" s="6"/>
      <c r="BF1180" s="6"/>
      <c r="BG1180" s="6"/>
      <c r="BH1180" s="6"/>
      <c r="BI1180" s="6"/>
      <c r="BJ1180" s="6"/>
      <c r="BK1180" s="6"/>
      <c r="BL1180" s="44"/>
      <c r="BM1180" s="44"/>
      <c r="BN1180" s="45"/>
      <c r="BO1180" s="45"/>
      <c r="BP1180" s="7"/>
      <c r="BQ1180" s="7" t="e">
        <f>VLOOKUP(A1180,[1]Sheet15!B:E,3,0)</f>
        <v>#N/A</v>
      </c>
    </row>
    <row r="1181" spans="1:69" ht="15.75" customHeight="1" x14ac:dyDescent="0.25">
      <c r="A1181" s="12"/>
      <c r="B1181" s="15" t="e">
        <f>VLOOKUP(A1181,'[1]Master clients'!F1179:W4726,17,0)</f>
        <v>#N/A</v>
      </c>
      <c r="C1181" s="15" t="e">
        <f>VLOOKUP(A1181,'[1]Master clients'!F1179:P4726,11,0)</f>
        <v>#N/A</v>
      </c>
      <c r="D1181" s="15" t="e">
        <f>VLOOKUP(A1181,'[1]Master clients'!F:M,8,0)</f>
        <v>#N/A</v>
      </c>
      <c r="E1181" s="12"/>
      <c r="F1181" s="6"/>
      <c r="G1181" s="6"/>
      <c r="H1181" s="6"/>
      <c r="I1181" s="43"/>
      <c r="J1181" s="43"/>
      <c r="K1181" s="6"/>
      <c r="L1181" s="6"/>
      <c r="M1181" s="6"/>
      <c r="N1181" s="6"/>
      <c r="O1181" s="6"/>
      <c r="P1181" s="6"/>
      <c r="Q1181" s="6"/>
      <c r="R1181" s="6"/>
      <c r="S1181" s="6"/>
      <c r="T1181" s="6"/>
      <c r="U1181" s="6"/>
      <c r="V1181" s="6"/>
      <c r="W1181" s="6"/>
      <c r="X1181" s="6"/>
      <c r="Y1181" s="6"/>
      <c r="Z1181" s="6"/>
      <c r="AA1181" s="6"/>
      <c r="AB1181" s="6"/>
      <c r="AC1181" s="6"/>
      <c r="AD1181" s="6"/>
      <c r="AE1181" s="6"/>
      <c r="AF1181" s="6"/>
      <c r="AG1181" s="6"/>
      <c r="AH1181" s="6"/>
      <c r="AI1181" s="6"/>
      <c r="AJ1181" s="6"/>
      <c r="AK1181" s="6"/>
      <c r="AL1181" s="6"/>
      <c r="AM1181" s="6"/>
      <c r="AN1181" s="6"/>
      <c r="AO1181" s="6"/>
      <c r="AP1181" s="6"/>
      <c r="AQ1181" s="6"/>
      <c r="AR1181" s="6"/>
      <c r="AS1181" s="6"/>
      <c r="AT1181" s="6"/>
      <c r="AU1181" s="6"/>
      <c r="AV1181" s="6"/>
      <c r="AW1181" s="6"/>
      <c r="AX1181" s="6"/>
      <c r="AY1181" s="6"/>
      <c r="AZ1181" s="6"/>
      <c r="BA1181" s="6"/>
      <c r="BB1181" s="6"/>
      <c r="BC1181" s="6"/>
      <c r="BD1181" s="6"/>
      <c r="BE1181" s="6"/>
      <c r="BF1181" s="6"/>
      <c r="BG1181" s="6"/>
      <c r="BH1181" s="6"/>
      <c r="BI1181" s="6"/>
      <c r="BJ1181" s="6"/>
      <c r="BK1181" s="6"/>
      <c r="BL1181" s="44"/>
      <c r="BM1181" s="44"/>
      <c r="BN1181" s="45"/>
      <c r="BO1181" s="45"/>
      <c r="BP1181" s="7"/>
      <c r="BQ1181" s="7" t="e">
        <f>VLOOKUP(A1181,[1]Sheet15!B:E,3,0)</f>
        <v>#N/A</v>
      </c>
    </row>
    <row r="1182" spans="1:69" ht="15.75" customHeight="1" x14ac:dyDescent="0.25">
      <c r="A1182" s="12"/>
      <c r="B1182" s="15" t="e">
        <f>VLOOKUP(A1182,'[1]Master clients'!F1180:W4727,17,0)</f>
        <v>#N/A</v>
      </c>
      <c r="C1182" s="15" t="e">
        <f>VLOOKUP(A1182,'[1]Master clients'!F1180:P4727,11,0)</f>
        <v>#N/A</v>
      </c>
      <c r="D1182" s="15" t="e">
        <f>VLOOKUP(A1182,'[1]Master clients'!F:M,8,0)</f>
        <v>#N/A</v>
      </c>
      <c r="E1182" s="12"/>
      <c r="F1182" s="6"/>
      <c r="G1182" s="6"/>
      <c r="H1182" s="6"/>
      <c r="I1182" s="43"/>
      <c r="J1182" s="43"/>
      <c r="K1182" s="6"/>
      <c r="L1182" s="6"/>
      <c r="M1182" s="6"/>
      <c r="N1182" s="6"/>
      <c r="O1182" s="6"/>
      <c r="P1182" s="6"/>
      <c r="Q1182" s="6"/>
      <c r="R1182" s="6"/>
      <c r="S1182" s="6"/>
      <c r="T1182" s="6"/>
      <c r="U1182" s="6"/>
      <c r="V1182" s="6"/>
      <c r="W1182" s="6"/>
      <c r="X1182" s="6"/>
      <c r="Y1182" s="6"/>
      <c r="Z1182" s="6"/>
      <c r="AA1182" s="6"/>
      <c r="AB1182" s="6"/>
      <c r="AC1182" s="6"/>
      <c r="AD1182" s="6"/>
      <c r="AE1182" s="6"/>
      <c r="AF1182" s="6"/>
      <c r="AG1182" s="6"/>
      <c r="AH1182" s="6"/>
      <c r="AI1182" s="6"/>
      <c r="AJ1182" s="6"/>
      <c r="AK1182" s="6"/>
      <c r="AL1182" s="6"/>
      <c r="AM1182" s="6"/>
      <c r="AN1182" s="6"/>
      <c r="AO1182" s="6"/>
      <c r="AP1182" s="6"/>
      <c r="AQ1182" s="6"/>
      <c r="AR1182" s="6"/>
      <c r="AS1182" s="6"/>
      <c r="AT1182" s="6"/>
      <c r="AU1182" s="6"/>
      <c r="AV1182" s="6"/>
      <c r="AW1182" s="6"/>
      <c r="AX1182" s="6"/>
      <c r="AY1182" s="6"/>
      <c r="AZ1182" s="6"/>
      <c r="BA1182" s="6"/>
      <c r="BB1182" s="6"/>
      <c r="BC1182" s="6"/>
      <c r="BD1182" s="6"/>
      <c r="BE1182" s="6"/>
      <c r="BF1182" s="6"/>
      <c r="BG1182" s="6"/>
      <c r="BH1182" s="6"/>
      <c r="BI1182" s="6"/>
      <c r="BJ1182" s="6"/>
      <c r="BK1182" s="6"/>
      <c r="BL1182" s="44"/>
      <c r="BM1182" s="44"/>
      <c r="BN1182" s="45"/>
      <c r="BO1182" s="45"/>
      <c r="BP1182" s="7"/>
      <c r="BQ1182" s="7" t="e">
        <f>VLOOKUP(A1182,[1]Sheet15!B:E,3,0)</f>
        <v>#N/A</v>
      </c>
    </row>
    <row r="1183" spans="1:69" ht="15.75" customHeight="1" x14ac:dyDescent="0.25">
      <c r="A1183" s="12"/>
      <c r="B1183" s="15" t="e">
        <f>VLOOKUP(A1183,'[1]Master clients'!F1181:W4728,17,0)</f>
        <v>#N/A</v>
      </c>
      <c r="C1183" s="15" t="e">
        <f>VLOOKUP(A1183,'[1]Master clients'!F1181:P4728,11,0)</f>
        <v>#N/A</v>
      </c>
      <c r="D1183" s="15" t="e">
        <f>VLOOKUP(A1183,'[1]Master clients'!F:M,8,0)</f>
        <v>#N/A</v>
      </c>
      <c r="E1183" s="12"/>
      <c r="F1183" s="6"/>
      <c r="G1183" s="6"/>
      <c r="H1183" s="6"/>
      <c r="I1183" s="43"/>
      <c r="J1183" s="43"/>
      <c r="K1183" s="6"/>
      <c r="L1183" s="6"/>
      <c r="M1183" s="6"/>
      <c r="N1183" s="6"/>
      <c r="O1183" s="6"/>
      <c r="P1183" s="6"/>
      <c r="Q1183" s="6"/>
      <c r="R1183" s="6"/>
      <c r="S1183" s="6"/>
      <c r="T1183" s="6"/>
      <c r="U1183" s="6"/>
      <c r="V1183" s="6"/>
      <c r="W1183" s="6"/>
      <c r="X1183" s="6"/>
      <c r="Y1183" s="6"/>
      <c r="Z1183" s="6"/>
      <c r="AA1183" s="6"/>
      <c r="AB1183" s="6"/>
      <c r="AC1183" s="6"/>
      <c r="AD1183" s="6"/>
      <c r="AE1183" s="6"/>
      <c r="AF1183" s="6"/>
      <c r="AG1183" s="6"/>
      <c r="AH1183" s="6"/>
      <c r="AI1183" s="6"/>
      <c r="AJ1183" s="6"/>
      <c r="AK1183" s="6"/>
      <c r="AL1183" s="6"/>
      <c r="AM1183" s="6"/>
      <c r="AN1183" s="6"/>
      <c r="AO1183" s="6"/>
      <c r="AP1183" s="6"/>
      <c r="AQ1183" s="6"/>
      <c r="AR1183" s="6"/>
      <c r="AS1183" s="6"/>
      <c r="AT1183" s="6"/>
      <c r="AU1183" s="6"/>
      <c r="AV1183" s="6"/>
      <c r="AW1183" s="6"/>
      <c r="AX1183" s="6"/>
      <c r="AY1183" s="6"/>
      <c r="AZ1183" s="6"/>
      <c r="BA1183" s="6"/>
      <c r="BB1183" s="6"/>
      <c r="BC1183" s="6"/>
      <c r="BD1183" s="6"/>
      <c r="BE1183" s="6"/>
      <c r="BF1183" s="6"/>
      <c r="BG1183" s="6"/>
      <c r="BH1183" s="6"/>
      <c r="BI1183" s="6"/>
      <c r="BJ1183" s="6"/>
      <c r="BK1183" s="6"/>
      <c r="BL1183" s="44"/>
      <c r="BM1183" s="44"/>
      <c r="BN1183" s="45"/>
      <c r="BO1183" s="45"/>
      <c r="BP1183" s="7"/>
      <c r="BQ1183" s="7" t="e">
        <f>VLOOKUP(A1183,[1]Sheet15!B:E,3,0)</f>
        <v>#N/A</v>
      </c>
    </row>
    <row r="1184" spans="1:69" ht="15.75" customHeight="1" x14ac:dyDescent="0.25">
      <c r="A1184" s="12"/>
      <c r="B1184" s="15" t="e">
        <f>VLOOKUP(A1184,'[1]Master clients'!F1182:W4729,17,0)</f>
        <v>#N/A</v>
      </c>
      <c r="C1184" s="15" t="e">
        <f>VLOOKUP(A1184,'[1]Master clients'!F1182:P4729,11,0)</f>
        <v>#N/A</v>
      </c>
      <c r="D1184" s="15" t="e">
        <f>VLOOKUP(A1184,'[1]Master clients'!F:M,8,0)</f>
        <v>#N/A</v>
      </c>
      <c r="E1184" s="12"/>
      <c r="F1184" s="6"/>
      <c r="G1184" s="6"/>
      <c r="H1184" s="6"/>
      <c r="I1184" s="43"/>
      <c r="J1184" s="43"/>
      <c r="K1184" s="6"/>
      <c r="L1184" s="6"/>
      <c r="M1184" s="6"/>
      <c r="N1184" s="6"/>
      <c r="O1184" s="6"/>
      <c r="P1184" s="6"/>
      <c r="Q1184" s="6"/>
      <c r="R1184" s="6"/>
      <c r="S1184" s="6"/>
      <c r="T1184" s="6"/>
      <c r="U1184" s="6"/>
      <c r="V1184" s="6"/>
      <c r="W1184" s="6"/>
      <c r="X1184" s="6"/>
      <c r="Y1184" s="6"/>
      <c r="Z1184" s="6"/>
      <c r="AA1184" s="6"/>
      <c r="AB1184" s="6"/>
      <c r="AC1184" s="6"/>
      <c r="AD1184" s="6"/>
      <c r="AE1184" s="6"/>
      <c r="AF1184" s="6"/>
      <c r="AG1184" s="6"/>
      <c r="AH1184" s="6"/>
      <c r="AI1184" s="6"/>
      <c r="AJ1184" s="6"/>
      <c r="AK1184" s="6"/>
      <c r="AL1184" s="6"/>
      <c r="AM1184" s="6"/>
      <c r="AN1184" s="6"/>
      <c r="AO1184" s="6"/>
      <c r="AP1184" s="6"/>
      <c r="AQ1184" s="6"/>
      <c r="AR1184" s="6"/>
      <c r="AS1184" s="6"/>
      <c r="AT1184" s="6"/>
      <c r="AU1184" s="6"/>
      <c r="AV1184" s="6"/>
      <c r="AW1184" s="6"/>
      <c r="AX1184" s="6"/>
      <c r="AY1184" s="6"/>
      <c r="AZ1184" s="6"/>
      <c r="BA1184" s="6"/>
      <c r="BB1184" s="6"/>
      <c r="BC1184" s="6"/>
      <c r="BD1184" s="6"/>
      <c r="BE1184" s="6"/>
      <c r="BF1184" s="6"/>
      <c r="BG1184" s="6"/>
      <c r="BH1184" s="6"/>
      <c r="BI1184" s="6"/>
      <c r="BJ1184" s="6"/>
      <c r="BK1184" s="6"/>
      <c r="BL1184" s="44"/>
      <c r="BM1184" s="44"/>
      <c r="BN1184" s="45"/>
      <c r="BO1184" s="45"/>
      <c r="BP1184" s="7"/>
      <c r="BQ1184" s="7" t="e">
        <f>VLOOKUP(A1184,[1]Sheet15!B:E,3,0)</f>
        <v>#N/A</v>
      </c>
    </row>
    <row r="1185" spans="1:69" ht="15.75" customHeight="1" x14ac:dyDescent="0.25">
      <c r="A1185" s="12"/>
      <c r="B1185" s="15" t="e">
        <f>VLOOKUP(A1185,'[1]Master clients'!F1183:W4730,17,0)</f>
        <v>#N/A</v>
      </c>
      <c r="C1185" s="15" t="e">
        <f>VLOOKUP(A1185,'[1]Master clients'!F1183:P4730,11,0)</f>
        <v>#N/A</v>
      </c>
      <c r="D1185" s="15" t="e">
        <f>VLOOKUP(A1185,'[1]Master clients'!F:M,8,0)</f>
        <v>#N/A</v>
      </c>
      <c r="E1185" s="12"/>
      <c r="F1185" s="6"/>
      <c r="G1185" s="6"/>
      <c r="H1185" s="6"/>
      <c r="I1185" s="43"/>
      <c r="J1185" s="43"/>
      <c r="K1185" s="6"/>
      <c r="L1185" s="6"/>
      <c r="M1185" s="6"/>
      <c r="N1185" s="6"/>
      <c r="O1185" s="6"/>
      <c r="P1185" s="6"/>
      <c r="Q1185" s="6"/>
      <c r="R1185" s="6"/>
      <c r="S1185" s="6"/>
      <c r="T1185" s="6"/>
      <c r="U1185" s="6"/>
      <c r="V1185" s="6"/>
      <c r="W1185" s="6"/>
      <c r="X1185" s="6"/>
      <c r="Y1185" s="6"/>
      <c r="Z1185" s="6"/>
      <c r="AA1185" s="6"/>
      <c r="AB1185" s="6"/>
      <c r="AC1185" s="6"/>
      <c r="AD1185" s="6"/>
      <c r="AE1185" s="6"/>
      <c r="AF1185" s="6"/>
      <c r="AG1185" s="6"/>
      <c r="AH1185" s="6"/>
      <c r="AI1185" s="6"/>
      <c r="AJ1185" s="6"/>
      <c r="AK1185" s="6"/>
      <c r="AL1185" s="6"/>
      <c r="AM1185" s="6"/>
      <c r="AN1185" s="6"/>
      <c r="AO1185" s="6"/>
      <c r="AP1185" s="6"/>
      <c r="AQ1185" s="6"/>
      <c r="AR1185" s="6"/>
      <c r="AS1185" s="6"/>
      <c r="AT1185" s="6"/>
      <c r="AU1185" s="6"/>
      <c r="AV1185" s="6"/>
      <c r="AW1185" s="6"/>
      <c r="AX1185" s="6"/>
      <c r="AY1185" s="6"/>
      <c r="AZ1185" s="6"/>
      <c r="BA1185" s="6"/>
      <c r="BB1185" s="6"/>
      <c r="BC1185" s="6"/>
      <c r="BD1185" s="6"/>
      <c r="BE1185" s="6"/>
      <c r="BF1185" s="6"/>
      <c r="BG1185" s="6"/>
      <c r="BH1185" s="6"/>
      <c r="BI1185" s="6"/>
      <c r="BJ1185" s="6"/>
      <c r="BK1185" s="6"/>
      <c r="BL1185" s="44"/>
      <c r="BM1185" s="44"/>
      <c r="BN1185" s="45"/>
      <c r="BO1185" s="45"/>
      <c r="BP1185" s="7"/>
      <c r="BQ1185" s="7" t="e">
        <f>VLOOKUP(A1185,[1]Sheet15!B:E,3,0)</f>
        <v>#N/A</v>
      </c>
    </row>
    <row r="1186" spans="1:69" ht="15.75" customHeight="1" x14ac:dyDescent="0.25">
      <c r="A1186" s="12"/>
      <c r="B1186" s="15" t="e">
        <f>VLOOKUP(A1186,'[1]Master clients'!F1184:W4731,17,0)</f>
        <v>#N/A</v>
      </c>
      <c r="C1186" s="15" t="e">
        <f>VLOOKUP(A1186,'[1]Master clients'!F1184:P4731,11,0)</f>
        <v>#N/A</v>
      </c>
      <c r="D1186" s="15" t="e">
        <f>VLOOKUP(A1186,'[1]Master clients'!F:M,8,0)</f>
        <v>#N/A</v>
      </c>
      <c r="E1186" s="12"/>
      <c r="F1186" s="6"/>
      <c r="G1186" s="6"/>
      <c r="H1186" s="6"/>
      <c r="I1186" s="43"/>
      <c r="J1186" s="43"/>
      <c r="K1186" s="6"/>
      <c r="L1186" s="6"/>
      <c r="M1186" s="6"/>
      <c r="N1186" s="6"/>
      <c r="O1186" s="6"/>
      <c r="P1186" s="6"/>
      <c r="Q1186" s="6"/>
      <c r="R1186" s="6"/>
      <c r="S1186" s="6"/>
      <c r="T1186" s="6"/>
      <c r="U1186" s="6"/>
      <c r="V1186" s="6"/>
      <c r="W1186" s="6"/>
      <c r="X1186" s="6"/>
      <c r="Y1186" s="6"/>
      <c r="Z1186" s="6"/>
      <c r="AA1186" s="6"/>
      <c r="AB1186" s="6"/>
      <c r="AC1186" s="6"/>
      <c r="AD1186" s="6"/>
      <c r="AE1186" s="6"/>
      <c r="AF1186" s="6"/>
      <c r="AG1186" s="6"/>
      <c r="AH1186" s="6"/>
      <c r="AI1186" s="6"/>
      <c r="AJ1186" s="6"/>
      <c r="AK1186" s="6"/>
      <c r="AL1186" s="6"/>
      <c r="AM1186" s="6"/>
      <c r="AN1186" s="6"/>
      <c r="AO1186" s="6"/>
      <c r="AP1186" s="6"/>
      <c r="AQ1186" s="6"/>
      <c r="AR1186" s="6"/>
      <c r="AS1186" s="6"/>
      <c r="AT1186" s="6"/>
      <c r="AU1186" s="6"/>
      <c r="AV1186" s="6"/>
      <c r="AW1186" s="6"/>
      <c r="AX1186" s="6"/>
      <c r="AY1186" s="6"/>
      <c r="AZ1186" s="6"/>
      <c r="BA1186" s="6"/>
      <c r="BB1186" s="6"/>
      <c r="BC1186" s="6"/>
      <c r="BD1186" s="6"/>
      <c r="BE1186" s="6"/>
      <c r="BF1186" s="6"/>
      <c r="BG1186" s="6"/>
      <c r="BH1186" s="6"/>
      <c r="BI1186" s="6"/>
      <c r="BJ1186" s="6"/>
      <c r="BK1186" s="6"/>
      <c r="BL1186" s="44"/>
      <c r="BM1186" s="44"/>
      <c r="BN1186" s="45"/>
      <c r="BO1186" s="45"/>
      <c r="BP1186" s="7"/>
      <c r="BQ1186" s="7" t="e">
        <f>VLOOKUP(A1186,[1]Sheet15!B:E,3,0)</f>
        <v>#N/A</v>
      </c>
    </row>
    <row r="1187" spans="1:69" ht="15.75" customHeight="1" x14ac:dyDescent="0.25">
      <c r="A1187" s="12"/>
      <c r="B1187" s="15" t="e">
        <f>VLOOKUP(A1187,'[1]Master clients'!F1185:W4732,17,0)</f>
        <v>#N/A</v>
      </c>
      <c r="C1187" s="15" t="e">
        <f>VLOOKUP(A1187,'[1]Master clients'!F1185:P4732,11,0)</f>
        <v>#N/A</v>
      </c>
      <c r="D1187" s="15" t="e">
        <f>VLOOKUP(A1187,'[1]Master clients'!F:M,8,0)</f>
        <v>#N/A</v>
      </c>
      <c r="E1187" s="12"/>
      <c r="F1187" s="6"/>
      <c r="G1187" s="6"/>
      <c r="H1187" s="6"/>
      <c r="I1187" s="43"/>
      <c r="J1187" s="43"/>
      <c r="K1187" s="6"/>
      <c r="L1187" s="6"/>
      <c r="M1187" s="6"/>
      <c r="N1187" s="6"/>
      <c r="O1187" s="6"/>
      <c r="P1187" s="6"/>
      <c r="Q1187" s="6"/>
      <c r="R1187" s="6"/>
      <c r="S1187" s="6"/>
      <c r="T1187" s="6"/>
      <c r="U1187" s="6"/>
      <c r="V1187" s="6"/>
      <c r="W1187" s="6"/>
      <c r="X1187" s="6"/>
      <c r="Y1187" s="6"/>
      <c r="Z1187" s="6"/>
      <c r="AA1187" s="6"/>
      <c r="AB1187" s="6"/>
      <c r="AC1187" s="6"/>
      <c r="AD1187" s="6"/>
      <c r="AE1187" s="6"/>
      <c r="AF1187" s="6"/>
      <c r="AG1187" s="6"/>
      <c r="AH1187" s="6"/>
      <c r="AI1187" s="6"/>
      <c r="AJ1187" s="6"/>
      <c r="AK1187" s="6"/>
      <c r="AL1187" s="6"/>
      <c r="AM1187" s="6"/>
      <c r="AN1187" s="6"/>
      <c r="AO1187" s="6"/>
      <c r="AP1187" s="6"/>
      <c r="AQ1187" s="6"/>
      <c r="AR1187" s="6"/>
      <c r="AS1187" s="6"/>
      <c r="AT1187" s="6"/>
      <c r="AU1187" s="6"/>
      <c r="AV1187" s="6"/>
      <c r="AW1187" s="6"/>
      <c r="AX1187" s="6"/>
      <c r="AY1187" s="6"/>
      <c r="AZ1187" s="6"/>
      <c r="BA1187" s="6"/>
      <c r="BB1187" s="6"/>
      <c r="BC1187" s="6"/>
      <c r="BD1187" s="6"/>
      <c r="BE1187" s="6"/>
      <c r="BF1187" s="6"/>
      <c r="BG1187" s="6"/>
      <c r="BH1187" s="6"/>
      <c r="BI1187" s="6"/>
      <c r="BJ1187" s="6"/>
      <c r="BK1187" s="6"/>
      <c r="BL1187" s="44"/>
      <c r="BM1187" s="44"/>
      <c r="BN1187" s="45"/>
      <c r="BO1187" s="45"/>
      <c r="BP1187" s="7"/>
      <c r="BQ1187" s="7" t="e">
        <f>VLOOKUP(A1187,[1]Sheet15!B:E,3,0)</f>
        <v>#N/A</v>
      </c>
    </row>
    <row r="1188" spans="1:69" ht="15.75" customHeight="1" x14ac:dyDescent="0.25">
      <c r="A1188" s="12"/>
      <c r="B1188" s="15" t="e">
        <f>VLOOKUP(A1188,'[1]Master clients'!F1186:W4733,17,0)</f>
        <v>#N/A</v>
      </c>
      <c r="C1188" s="15" t="e">
        <f>VLOOKUP(A1188,'[1]Master clients'!F1186:P4733,11,0)</f>
        <v>#N/A</v>
      </c>
      <c r="D1188" s="15" t="e">
        <f>VLOOKUP(A1188,'[1]Master clients'!F:M,8,0)</f>
        <v>#N/A</v>
      </c>
      <c r="E1188" s="12"/>
      <c r="F1188" s="6"/>
      <c r="G1188" s="6"/>
      <c r="H1188" s="6"/>
      <c r="I1188" s="43"/>
      <c r="J1188" s="43"/>
      <c r="K1188" s="6"/>
      <c r="L1188" s="6"/>
      <c r="M1188" s="6"/>
      <c r="N1188" s="6"/>
      <c r="O1188" s="6"/>
      <c r="P1188" s="6"/>
      <c r="Q1188" s="6"/>
      <c r="R1188" s="6"/>
      <c r="S1188" s="6"/>
      <c r="T1188" s="6"/>
      <c r="U1188" s="6"/>
      <c r="V1188" s="6"/>
      <c r="W1188" s="6"/>
      <c r="X1188" s="6"/>
      <c r="Y1188" s="6"/>
      <c r="Z1188" s="6"/>
      <c r="AA1188" s="6"/>
      <c r="AB1188" s="6"/>
      <c r="AC1188" s="6"/>
      <c r="AD1188" s="6"/>
      <c r="AE1188" s="6"/>
      <c r="AF1188" s="6"/>
      <c r="AG1188" s="6"/>
      <c r="AH1188" s="6"/>
      <c r="AI1188" s="6"/>
      <c r="AJ1188" s="6"/>
      <c r="AK1188" s="6"/>
      <c r="AL1188" s="6"/>
      <c r="AM1188" s="6"/>
      <c r="AN1188" s="6"/>
      <c r="AO1188" s="6"/>
      <c r="AP1188" s="6"/>
      <c r="AQ1188" s="6"/>
      <c r="AR1188" s="6"/>
      <c r="AS1188" s="6"/>
      <c r="AT1188" s="6"/>
      <c r="AU1188" s="6"/>
      <c r="AV1188" s="6"/>
      <c r="AW1188" s="6"/>
      <c r="AX1188" s="6"/>
      <c r="AY1188" s="6"/>
      <c r="AZ1188" s="6"/>
      <c r="BA1188" s="6"/>
      <c r="BB1188" s="6"/>
      <c r="BC1188" s="6"/>
      <c r="BD1188" s="6"/>
      <c r="BE1188" s="6"/>
      <c r="BF1188" s="6"/>
      <c r="BG1188" s="6"/>
      <c r="BH1188" s="6"/>
      <c r="BI1188" s="6"/>
      <c r="BJ1188" s="6"/>
      <c r="BK1188" s="6"/>
      <c r="BL1188" s="44"/>
      <c r="BM1188" s="44"/>
      <c r="BN1188" s="45"/>
      <c r="BO1188" s="45"/>
      <c r="BP1188" s="7"/>
      <c r="BQ1188" s="7" t="e">
        <f>VLOOKUP(A1188,[1]Sheet15!B:E,3,0)</f>
        <v>#N/A</v>
      </c>
    </row>
    <row r="1189" spans="1:69" ht="15.75" customHeight="1" x14ac:dyDescent="0.25">
      <c r="A1189" s="12"/>
      <c r="B1189" s="15" t="e">
        <f>VLOOKUP(A1189,'[1]Master clients'!F1187:W4734,17,0)</f>
        <v>#N/A</v>
      </c>
      <c r="C1189" s="15" t="e">
        <f>VLOOKUP(A1189,'[1]Master clients'!F1187:P4734,11,0)</f>
        <v>#N/A</v>
      </c>
      <c r="D1189" s="15" t="e">
        <f>VLOOKUP(A1189,'[1]Master clients'!F:M,8,0)</f>
        <v>#N/A</v>
      </c>
      <c r="E1189" s="12"/>
      <c r="F1189" s="6"/>
      <c r="G1189" s="6"/>
      <c r="H1189" s="6"/>
      <c r="I1189" s="43"/>
      <c r="J1189" s="43"/>
      <c r="K1189" s="6"/>
      <c r="L1189" s="6"/>
      <c r="M1189" s="6"/>
      <c r="N1189" s="6"/>
      <c r="O1189" s="6"/>
      <c r="P1189" s="6"/>
      <c r="Q1189" s="6"/>
      <c r="R1189" s="6"/>
      <c r="S1189" s="6"/>
      <c r="T1189" s="6"/>
      <c r="U1189" s="6"/>
      <c r="V1189" s="6"/>
      <c r="W1189" s="6"/>
      <c r="X1189" s="6"/>
      <c r="Y1189" s="6"/>
      <c r="Z1189" s="6"/>
      <c r="AA1189" s="6"/>
      <c r="AB1189" s="6"/>
      <c r="AC1189" s="6"/>
      <c r="AD1189" s="6"/>
      <c r="AE1189" s="6"/>
      <c r="AF1189" s="6"/>
      <c r="AG1189" s="6"/>
      <c r="AH1189" s="6"/>
      <c r="AI1189" s="6"/>
      <c r="AJ1189" s="6"/>
      <c r="AK1189" s="6"/>
      <c r="AL1189" s="6"/>
      <c r="AM1189" s="6"/>
      <c r="AN1189" s="6"/>
      <c r="AO1189" s="6"/>
      <c r="AP1189" s="6"/>
      <c r="AQ1189" s="6"/>
      <c r="AR1189" s="6"/>
      <c r="AS1189" s="6"/>
      <c r="AT1189" s="6"/>
      <c r="AU1189" s="6"/>
      <c r="AV1189" s="6"/>
      <c r="AW1189" s="6"/>
      <c r="AX1189" s="6"/>
      <c r="AY1189" s="6"/>
      <c r="AZ1189" s="6"/>
      <c r="BA1189" s="6"/>
      <c r="BB1189" s="6"/>
      <c r="BC1189" s="6"/>
      <c r="BD1189" s="6"/>
      <c r="BE1189" s="6"/>
      <c r="BF1189" s="6"/>
      <c r="BG1189" s="6"/>
      <c r="BH1189" s="6"/>
      <c r="BI1189" s="6"/>
      <c r="BJ1189" s="6"/>
      <c r="BK1189" s="6"/>
      <c r="BL1189" s="44"/>
      <c r="BM1189" s="44"/>
      <c r="BN1189" s="45"/>
      <c r="BO1189" s="45"/>
      <c r="BP1189" s="7"/>
      <c r="BQ1189" s="7" t="e">
        <f>VLOOKUP(A1189,[1]Sheet15!B:E,3,0)</f>
        <v>#N/A</v>
      </c>
    </row>
    <row r="1190" spans="1:69" ht="15.75" customHeight="1" x14ac:dyDescent="0.25">
      <c r="A1190" s="12"/>
      <c r="B1190" s="15" t="e">
        <f>VLOOKUP(A1190,'[1]Master clients'!F1188:W4735,17,0)</f>
        <v>#N/A</v>
      </c>
      <c r="C1190" s="15" t="e">
        <f>VLOOKUP(A1190,'[1]Master clients'!F1188:P4735,11,0)</f>
        <v>#N/A</v>
      </c>
      <c r="D1190" s="15" t="e">
        <f>VLOOKUP(A1190,'[1]Master clients'!F:M,8,0)</f>
        <v>#N/A</v>
      </c>
      <c r="E1190" s="12"/>
      <c r="F1190" s="6"/>
      <c r="G1190" s="6"/>
      <c r="H1190" s="6"/>
      <c r="I1190" s="43"/>
      <c r="J1190" s="43"/>
      <c r="K1190" s="6"/>
      <c r="L1190" s="6"/>
      <c r="M1190" s="6"/>
      <c r="N1190" s="6"/>
      <c r="O1190" s="6"/>
      <c r="P1190" s="6"/>
      <c r="Q1190" s="6"/>
      <c r="R1190" s="6"/>
      <c r="S1190" s="6"/>
      <c r="T1190" s="6"/>
      <c r="U1190" s="6"/>
      <c r="V1190" s="6"/>
      <c r="W1190" s="6"/>
      <c r="X1190" s="6"/>
      <c r="Y1190" s="6"/>
      <c r="Z1190" s="6"/>
      <c r="AA1190" s="6"/>
      <c r="AB1190" s="6"/>
      <c r="AC1190" s="6"/>
      <c r="AD1190" s="6"/>
      <c r="AE1190" s="6"/>
      <c r="AF1190" s="6"/>
      <c r="AG1190" s="6"/>
      <c r="AH1190" s="6"/>
      <c r="AI1190" s="6"/>
      <c r="AJ1190" s="6"/>
      <c r="AK1190" s="6"/>
      <c r="AL1190" s="6"/>
      <c r="AM1190" s="6"/>
      <c r="AN1190" s="6"/>
      <c r="AO1190" s="6"/>
      <c r="AP1190" s="6"/>
      <c r="AQ1190" s="6"/>
      <c r="AR1190" s="6"/>
      <c r="AS1190" s="6"/>
      <c r="AT1190" s="6"/>
      <c r="AU1190" s="6"/>
      <c r="AV1190" s="6"/>
      <c r="AW1190" s="6"/>
      <c r="AX1190" s="6"/>
      <c r="AY1190" s="6"/>
      <c r="AZ1190" s="6"/>
      <c r="BA1190" s="6"/>
      <c r="BB1190" s="6"/>
      <c r="BC1190" s="6"/>
      <c r="BD1190" s="6"/>
      <c r="BE1190" s="6"/>
      <c r="BF1190" s="6"/>
      <c r="BG1190" s="6"/>
      <c r="BH1190" s="6"/>
      <c r="BI1190" s="6"/>
      <c r="BJ1190" s="6"/>
      <c r="BK1190" s="6"/>
      <c r="BL1190" s="44"/>
      <c r="BM1190" s="44"/>
      <c r="BN1190" s="45"/>
      <c r="BO1190" s="45"/>
      <c r="BP1190" s="7"/>
      <c r="BQ1190" s="7" t="e">
        <f>VLOOKUP(A1190,[1]Sheet15!B:E,3,0)</f>
        <v>#N/A</v>
      </c>
    </row>
    <row r="1191" spans="1:69" ht="15.75" customHeight="1" x14ac:dyDescent="0.25">
      <c r="A1191" s="12"/>
      <c r="B1191" s="15" t="e">
        <f>VLOOKUP(A1191,'[1]Master clients'!F1189:W4736,17,0)</f>
        <v>#N/A</v>
      </c>
      <c r="C1191" s="15" t="e">
        <f>VLOOKUP(A1191,'[1]Master clients'!F1189:P4736,11,0)</f>
        <v>#N/A</v>
      </c>
      <c r="D1191" s="15" t="e">
        <f>VLOOKUP(A1191,'[1]Master clients'!F:M,8,0)</f>
        <v>#N/A</v>
      </c>
      <c r="E1191" s="12"/>
      <c r="F1191" s="6"/>
      <c r="G1191" s="6"/>
      <c r="H1191" s="6"/>
      <c r="I1191" s="43"/>
      <c r="J1191" s="43"/>
      <c r="K1191" s="6"/>
      <c r="L1191" s="6"/>
      <c r="M1191" s="6"/>
      <c r="N1191" s="6"/>
      <c r="O1191" s="6"/>
      <c r="P1191" s="6"/>
      <c r="Q1191" s="6"/>
      <c r="R1191" s="6"/>
      <c r="S1191" s="6"/>
      <c r="T1191" s="6"/>
      <c r="U1191" s="6"/>
      <c r="V1191" s="6"/>
      <c r="W1191" s="6"/>
      <c r="X1191" s="6"/>
      <c r="Y1191" s="6"/>
      <c r="Z1191" s="6"/>
      <c r="AA1191" s="6"/>
      <c r="AB1191" s="6"/>
      <c r="AC1191" s="6"/>
      <c r="AD1191" s="6"/>
      <c r="AE1191" s="6"/>
      <c r="AF1191" s="6"/>
      <c r="AG1191" s="6"/>
      <c r="AH1191" s="6"/>
      <c r="AI1191" s="6"/>
      <c r="AJ1191" s="6"/>
      <c r="AK1191" s="6"/>
      <c r="AL1191" s="6"/>
      <c r="AM1191" s="6"/>
      <c r="AN1191" s="6"/>
      <c r="AO1191" s="6"/>
      <c r="AP1191" s="6"/>
      <c r="AQ1191" s="6"/>
      <c r="AR1191" s="6"/>
      <c r="AS1191" s="6"/>
      <c r="AT1191" s="6"/>
      <c r="AU1191" s="6"/>
      <c r="AV1191" s="6"/>
      <c r="AW1191" s="6"/>
      <c r="AX1191" s="6"/>
      <c r="AY1191" s="6"/>
      <c r="AZ1191" s="6"/>
      <c r="BA1191" s="6"/>
      <c r="BB1191" s="6"/>
      <c r="BC1191" s="6"/>
      <c r="BD1191" s="6"/>
      <c r="BE1191" s="6"/>
      <c r="BF1191" s="6"/>
      <c r="BG1191" s="6"/>
      <c r="BH1191" s="6"/>
      <c r="BI1191" s="6"/>
      <c r="BJ1191" s="6"/>
      <c r="BK1191" s="6"/>
      <c r="BL1191" s="44"/>
      <c r="BM1191" s="44"/>
      <c r="BN1191" s="45"/>
      <c r="BO1191" s="45"/>
      <c r="BP1191" s="7"/>
      <c r="BQ1191" s="7" t="e">
        <f>VLOOKUP(A1191,[1]Sheet15!B:E,3,0)</f>
        <v>#N/A</v>
      </c>
    </row>
    <row r="1192" spans="1:69" ht="15.75" customHeight="1" x14ac:dyDescent="0.25">
      <c r="A1192" s="12"/>
      <c r="B1192" s="15" t="e">
        <f>VLOOKUP(A1192,'[1]Master clients'!F1190:W4737,17,0)</f>
        <v>#N/A</v>
      </c>
      <c r="C1192" s="15" t="e">
        <f>VLOOKUP(A1192,'[1]Master clients'!F1190:P4737,11,0)</f>
        <v>#N/A</v>
      </c>
      <c r="D1192" s="15" t="e">
        <f>VLOOKUP(A1192,'[1]Master clients'!F:M,8,0)</f>
        <v>#N/A</v>
      </c>
      <c r="E1192" s="12"/>
      <c r="F1192" s="6"/>
      <c r="G1192" s="6"/>
      <c r="H1192" s="6"/>
      <c r="I1192" s="43"/>
      <c r="J1192" s="43"/>
      <c r="K1192" s="6"/>
      <c r="L1192" s="6"/>
      <c r="M1192" s="6"/>
      <c r="N1192" s="6"/>
      <c r="O1192" s="6"/>
      <c r="P1192" s="6"/>
      <c r="Q1192" s="6"/>
      <c r="R1192" s="6"/>
      <c r="S1192" s="6"/>
      <c r="T1192" s="6"/>
      <c r="U1192" s="6"/>
      <c r="V1192" s="6"/>
      <c r="W1192" s="6"/>
      <c r="X1192" s="6"/>
      <c r="Y1192" s="6"/>
      <c r="Z1192" s="6"/>
      <c r="AA1192" s="6"/>
      <c r="AB1192" s="6"/>
      <c r="AC1192" s="6"/>
      <c r="AD1192" s="6"/>
      <c r="AE1192" s="6"/>
      <c r="AF1192" s="6"/>
      <c r="AG1192" s="6"/>
      <c r="AH1192" s="6"/>
      <c r="AI1192" s="6"/>
      <c r="AJ1192" s="6"/>
      <c r="AK1192" s="6"/>
      <c r="AL1192" s="6"/>
      <c r="AM1192" s="6"/>
      <c r="AN1192" s="6"/>
      <c r="AO1192" s="6"/>
      <c r="AP1192" s="6"/>
      <c r="AQ1192" s="6"/>
      <c r="AR1192" s="6"/>
      <c r="AS1192" s="6"/>
      <c r="AT1192" s="6"/>
      <c r="AU1192" s="6"/>
      <c r="AV1192" s="6"/>
      <c r="AW1192" s="6"/>
      <c r="AX1192" s="6"/>
      <c r="AY1192" s="6"/>
      <c r="AZ1192" s="6"/>
      <c r="BA1192" s="6"/>
      <c r="BB1192" s="6"/>
      <c r="BC1192" s="6"/>
      <c r="BD1192" s="6"/>
      <c r="BE1192" s="6"/>
      <c r="BF1192" s="6"/>
      <c r="BG1192" s="6"/>
      <c r="BH1192" s="6"/>
      <c r="BI1192" s="6"/>
      <c r="BJ1192" s="6"/>
      <c r="BK1192" s="6"/>
      <c r="BL1192" s="44"/>
      <c r="BM1192" s="44"/>
      <c r="BN1192" s="45"/>
      <c r="BO1192" s="45"/>
      <c r="BP1192" s="7"/>
      <c r="BQ1192" s="7" t="e">
        <f>VLOOKUP(A1192,[1]Sheet15!B:E,3,0)</f>
        <v>#N/A</v>
      </c>
    </row>
    <row r="1193" spans="1:69" ht="15.75" customHeight="1" x14ac:dyDescent="0.25">
      <c r="A1193" s="12"/>
      <c r="B1193" s="15" t="e">
        <f>VLOOKUP(A1193,'[1]Master clients'!F1191:W4738,17,0)</f>
        <v>#N/A</v>
      </c>
      <c r="C1193" s="15" t="e">
        <f>VLOOKUP(A1193,'[1]Master clients'!F1191:P4738,11,0)</f>
        <v>#N/A</v>
      </c>
      <c r="D1193" s="15" t="e">
        <f>VLOOKUP(A1193,'[1]Master clients'!F:M,8,0)</f>
        <v>#N/A</v>
      </c>
      <c r="E1193" s="12"/>
      <c r="F1193" s="6"/>
      <c r="G1193" s="6"/>
      <c r="H1193" s="6"/>
      <c r="I1193" s="43"/>
      <c r="J1193" s="43"/>
      <c r="K1193" s="6"/>
      <c r="L1193" s="6"/>
      <c r="M1193" s="6"/>
      <c r="N1193" s="6"/>
      <c r="O1193" s="6"/>
      <c r="P1193" s="6"/>
      <c r="Q1193" s="6"/>
      <c r="R1193" s="6"/>
      <c r="S1193" s="6"/>
      <c r="T1193" s="6"/>
      <c r="U1193" s="6"/>
      <c r="V1193" s="6"/>
      <c r="W1193" s="6"/>
      <c r="X1193" s="6"/>
      <c r="Y1193" s="6"/>
      <c r="Z1193" s="6"/>
      <c r="AA1193" s="6"/>
      <c r="AB1193" s="6"/>
      <c r="AC1193" s="6"/>
      <c r="AD1193" s="6"/>
      <c r="AE1193" s="6"/>
      <c r="AF1193" s="6"/>
      <c r="AG1193" s="6"/>
      <c r="AH1193" s="6"/>
      <c r="AI1193" s="6"/>
      <c r="AJ1193" s="6"/>
      <c r="AK1193" s="6"/>
      <c r="AL1193" s="6"/>
      <c r="AM1193" s="6"/>
      <c r="AN1193" s="6"/>
      <c r="AO1193" s="6"/>
      <c r="AP1193" s="6"/>
      <c r="AQ1193" s="6"/>
      <c r="AR1193" s="6"/>
      <c r="AS1193" s="6"/>
      <c r="AT1193" s="6"/>
      <c r="AU1193" s="6"/>
      <c r="AV1193" s="6"/>
      <c r="AW1193" s="6"/>
      <c r="AX1193" s="6"/>
      <c r="AY1193" s="6"/>
      <c r="AZ1193" s="6"/>
      <c r="BA1193" s="6"/>
      <c r="BB1193" s="6"/>
      <c r="BC1193" s="6"/>
      <c r="BD1193" s="6"/>
      <c r="BE1193" s="6"/>
      <c r="BF1193" s="6"/>
      <c r="BG1193" s="6"/>
      <c r="BH1193" s="6"/>
      <c r="BI1193" s="6"/>
      <c r="BJ1193" s="6"/>
      <c r="BK1193" s="6"/>
      <c r="BL1193" s="44"/>
      <c r="BM1193" s="44"/>
      <c r="BN1193" s="45"/>
      <c r="BO1193" s="45"/>
      <c r="BP1193" s="7"/>
      <c r="BQ1193" s="7" t="e">
        <f>VLOOKUP(A1193,[1]Sheet15!B:E,3,0)</f>
        <v>#N/A</v>
      </c>
    </row>
    <row r="1194" spans="1:69" ht="15.75" customHeight="1" x14ac:dyDescent="0.25">
      <c r="A1194" s="12"/>
      <c r="B1194" s="15" t="e">
        <f>VLOOKUP(A1194,'[1]Master clients'!F1192:W4739,17,0)</f>
        <v>#N/A</v>
      </c>
      <c r="C1194" s="15" t="e">
        <f>VLOOKUP(A1194,'[1]Master clients'!F1192:P4739,11,0)</f>
        <v>#N/A</v>
      </c>
      <c r="D1194" s="15" t="e">
        <f>VLOOKUP(A1194,'[1]Master clients'!F:M,8,0)</f>
        <v>#N/A</v>
      </c>
      <c r="E1194" s="12"/>
      <c r="F1194" s="6"/>
      <c r="G1194" s="6"/>
      <c r="H1194" s="6"/>
      <c r="I1194" s="43"/>
      <c r="J1194" s="43"/>
      <c r="K1194" s="6"/>
      <c r="L1194" s="6"/>
      <c r="M1194" s="6"/>
      <c r="N1194" s="6"/>
      <c r="O1194" s="6"/>
      <c r="P1194" s="6"/>
      <c r="Q1194" s="6"/>
      <c r="R1194" s="6"/>
      <c r="S1194" s="6"/>
      <c r="T1194" s="6"/>
      <c r="U1194" s="6"/>
      <c r="V1194" s="6"/>
      <c r="W1194" s="6"/>
      <c r="X1194" s="6"/>
      <c r="Y1194" s="6"/>
      <c r="Z1194" s="6"/>
      <c r="AA1194" s="6"/>
      <c r="AB1194" s="6"/>
      <c r="AC1194" s="6"/>
      <c r="AD1194" s="6"/>
      <c r="AE1194" s="6"/>
      <c r="AF1194" s="6"/>
      <c r="AG1194" s="6"/>
      <c r="AH1194" s="6"/>
      <c r="AI1194" s="6"/>
      <c r="AJ1194" s="6"/>
      <c r="AK1194" s="6"/>
      <c r="AL1194" s="6"/>
      <c r="AM1194" s="6"/>
      <c r="AN1194" s="6"/>
      <c r="AO1194" s="6"/>
      <c r="AP1194" s="6"/>
      <c r="AQ1194" s="6"/>
      <c r="AR1194" s="6"/>
      <c r="AS1194" s="6"/>
      <c r="AT1194" s="6"/>
      <c r="AU1194" s="6"/>
      <c r="AV1194" s="6"/>
      <c r="AW1194" s="6"/>
      <c r="AX1194" s="6"/>
      <c r="AY1194" s="6"/>
      <c r="AZ1194" s="6"/>
      <c r="BA1194" s="6"/>
      <c r="BB1194" s="6"/>
      <c r="BC1194" s="6"/>
      <c r="BD1194" s="6"/>
      <c r="BE1194" s="6"/>
      <c r="BF1194" s="6"/>
      <c r="BG1194" s="6"/>
      <c r="BH1194" s="6"/>
      <c r="BI1194" s="6"/>
      <c r="BJ1194" s="6"/>
      <c r="BK1194" s="6"/>
      <c r="BL1194" s="44"/>
      <c r="BM1194" s="44"/>
      <c r="BN1194" s="45"/>
      <c r="BO1194" s="45"/>
      <c r="BP1194" s="7"/>
      <c r="BQ1194" s="7" t="e">
        <f>VLOOKUP(A1194,[1]Sheet15!B:E,3,0)</f>
        <v>#N/A</v>
      </c>
    </row>
    <row r="1195" spans="1:69" ht="15.75" customHeight="1" x14ac:dyDescent="0.25">
      <c r="A1195" s="12"/>
      <c r="B1195" s="15" t="e">
        <f>VLOOKUP(A1195,'[1]Master clients'!F1193:W4740,17,0)</f>
        <v>#N/A</v>
      </c>
      <c r="C1195" s="15" t="e">
        <f>VLOOKUP(A1195,'[1]Master clients'!F1193:P4740,11,0)</f>
        <v>#N/A</v>
      </c>
      <c r="D1195" s="15" t="e">
        <f>VLOOKUP(A1195,'[1]Master clients'!F:M,8,0)</f>
        <v>#N/A</v>
      </c>
      <c r="E1195" s="12"/>
      <c r="F1195" s="6"/>
      <c r="G1195" s="6"/>
      <c r="H1195" s="6"/>
      <c r="I1195" s="43"/>
      <c r="J1195" s="43"/>
      <c r="K1195" s="6"/>
      <c r="L1195" s="6"/>
      <c r="M1195" s="6"/>
      <c r="N1195" s="6"/>
      <c r="O1195" s="6"/>
      <c r="P1195" s="6"/>
      <c r="Q1195" s="6"/>
      <c r="R1195" s="6"/>
      <c r="S1195" s="6"/>
      <c r="T1195" s="6"/>
      <c r="U1195" s="6"/>
      <c r="V1195" s="6"/>
      <c r="W1195" s="6"/>
      <c r="X1195" s="6"/>
      <c r="Y1195" s="6"/>
      <c r="Z1195" s="6"/>
      <c r="AA1195" s="6"/>
      <c r="AB1195" s="6"/>
      <c r="AC1195" s="6"/>
      <c r="AD1195" s="6"/>
      <c r="AE1195" s="6"/>
      <c r="AF1195" s="6"/>
      <c r="AG1195" s="6"/>
      <c r="AH1195" s="6"/>
      <c r="AI1195" s="6"/>
      <c r="AJ1195" s="6"/>
      <c r="AK1195" s="6"/>
      <c r="AL1195" s="6"/>
      <c r="AM1195" s="6"/>
      <c r="AN1195" s="6"/>
      <c r="AO1195" s="6"/>
      <c r="AP1195" s="6"/>
      <c r="AQ1195" s="6"/>
      <c r="AR1195" s="6"/>
      <c r="AS1195" s="6"/>
      <c r="AT1195" s="6"/>
      <c r="AU1195" s="6"/>
      <c r="AV1195" s="6"/>
      <c r="AW1195" s="6"/>
      <c r="AX1195" s="6"/>
      <c r="AY1195" s="6"/>
      <c r="AZ1195" s="6"/>
      <c r="BA1195" s="6"/>
      <c r="BB1195" s="6"/>
      <c r="BC1195" s="6"/>
      <c r="BD1195" s="6"/>
      <c r="BE1195" s="6"/>
      <c r="BF1195" s="6"/>
      <c r="BG1195" s="6"/>
      <c r="BH1195" s="6"/>
      <c r="BI1195" s="6"/>
      <c r="BJ1195" s="6"/>
      <c r="BK1195" s="6"/>
      <c r="BL1195" s="44"/>
      <c r="BM1195" s="44"/>
      <c r="BN1195" s="45"/>
      <c r="BO1195" s="45"/>
      <c r="BP1195" s="7"/>
      <c r="BQ1195" s="7" t="e">
        <f>VLOOKUP(A1195,[1]Sheet15!B:E,3,0)</f>
        <v>#N/A</v>
      </c>
    </row>
    <row r="1196" spans="1:69" ht="15.75" customHeight="1" x14ac:dyDescent="0.25">
      <c r="A1196" s="12"/>
      <c r="B1196" s="15" t="e">
        <f>VLOOKUP(A1196,'[1]Master clients'!F1194:W4741,17,0)</f>
        <v>#N/A</v>
      </c>
      <c r="C1196" s="15" t="e">
        <f>VLOOKUP(A1196,'[1]Master clients'!F1194:P4741,11,0)</f>
        <v>#N/A</v>
      </c>
      <c r="D1196" s="15" t="e">
        <f>VLOOKUP(A1196,'[1]Master clients'!F:M,8,0)</f>
        <v>#N/A</v>
      </c>
      <c r="E1196" s="12"/>
      <c r="F1196" s="6"/>
      <c r="G1196" s="6"/>
      <c r="H1196" s="6"/>
      <c r="I1196" s="43"/>
      <c r="J1196" s="43"/>
      <c r="K1196" s="6"/>
      <c r="L1196" s="6"/>
      <c r="M1196" s="6"/>
      <c r="N1196" s="6"/>
      <c r="O1196" s="6"/>
      <c r="P1196" s="6"/>
      <c r="Q1196" s="6"/>
      <c r="R1196" s="6"/>
      <c r="S1196" s="6"/>
      <c r="T1196" s="6"/>
      <c r="U1196" s="6"/>
      <c r="V1196" s="6"/>
      <c r="W1196" s="6"/>
      <c r="X1196" s="6"/>
      <c r="Y1196" s="6"/>
      <c r="Z1196" s="6"/>
      <c r="AA1196" s="6"/>
      <c r="AB1196" s="6"/>
      <c r="AC1196" s="6"/>
      <c r="AD1196" s="6"/>
      <c r="AE1196" s="6"/>
      <c r="AF1196" s="6"/>
      <c r="AG1196" s="6"/>
      <c r="AH1196" s="6"/>
      <c r="AI1196" s="6"/>
      <c r="AJ1196" s="6"/>
      <c r="AK1196" s="6"/>
      <c r="AL1196" s="6"/>
      <c r="AM1196" s="6"/>
      <c r="AN1196" s="6"/>
      <c r="AO1196" s="6"/>
      <c r="AP1196" s="6"/>
      <c r="AQ1196" s="6"/>
      <c r="AR1196" s="6"/>
      <c r="AS1196" s="6"/>
      <c r="AT1196" s="6"/>
      <c r="AU1196" s="6"/>
      <c r="AV1196" s="6"/>
      <c r="AW1196" s="6"/>
      <c r="AX1196" s="6"/>
      <c r="AY1196" s="6"/>
      <c r="AZ1196" s="6"/>
      <c r="BA1196" s="6"/>
      <c r="BB1196" s="6"/>
      <c r="BC1196" s="6"/>
      <c r="BD1196" s="6"/>
      <c r="BE1196" s="6"/>
      <c r="BF1196" s="6"/>
      <c r="BG1196" s="6"/>
      <c r="BH1196" s="6"/>
      <c r="BI1196" s="6"/>
      <c r="BJ1196" s="6"/>
      <c r="BK1196" s="6"/>
      <c r="BL1196" s="44"/>
      <c r="BM1196" s="44"/>
      <c r="BN1196" s="45"/>
      <c r="BO1196" s="45"/>
      <c r="BP1196" s="7"/>
      <c r="BQ1196" s="7" t="e">
        <f>VLOOKUP(A1196,[1]Sheet15!B:E,3,0)</f>
        <v>#N/A</v>
      </c>
    </row>
    <row r="1197" spans="1:69" ht="15.75" customHeight="1" x14ac:dyDescent="0.25">
      <c r="A1197" s="12"/>
      <c r="B1197" s="15" t="e">
        <f>VLOOKUP(A1197,'[1]Master clients'!F1195:W4742,17,0)</f>
        <v>#N/A</v>
      </c>
      <c r="C1197" s="15" t="e">
        <f>VLOOKUP(A1197,'[1]Master clients'!F1195:P4742,11,0)</f>
        <v>#N/A</v>
      </c>
      <c r="D1197" s="15" t="e">
        <f>VLOOKUP(A1197,'[1]Master clients'!F:M,8,0)</f>
        <v>#N/A</v>
      </c>
      <c r="E1197" s="12"/>
      <c r="F1197" s="6"/>
      <c r="G1197" s="6"/>
      <c r="H1197" s="6"/>
      <c r="I1197" s="43"/>
      <c r="J1197" s="43"/>
      <c r="K1197" s="6"/>
      <c r="L1197" s="6"/>
      <c r="M1197" s="6"/>
      <c r="N1197" s="6"/>
      <c r="O1197" s="6"/>
      <c r="P1197" s="6"/>
      <c r="Q1197" s="6"/>
      <c r="R1197" s="6"/>
      <c r="S1197" s="6"/>
      <c r="T1197" s="6"/>
      <c r="U1197" s="6"/>
      <c r="V1197" s="6"/>
      <c r="W1197" s="6"/>
      <c r="X1197" s="6"/>
      <c r="Y1197" s="6"/>
      <c r="Z1197" s="6"/>
      <c r="AA1197" s="6"/>
      <c r="AB1197" s="6"/>
      <c r="AC1197" s="6"/>
      <c r="AD1197" s="6"/>
      <c r="AE1197" s="6"/>
      <c r="AF1197" s="6"/>
      <c r="AG1197" s="6"/>
      <c r="AH1197" s="6"/>
      <c r="AI1197" s="6"/>
      <c r="AJ1197" s="6"/>
      <c r="AK1197" s="6"/>
      <c r="AL1197" s="6"/>
      <c r="AM1197" s="6"/>
      <c r="AN1197" s="6"/>
      <c r="AO1197" s="6"/>
      <c r="AP1197" s="6"/>
      <c r="AQ1197" s="6"/>
      <c r="AR1197" s="6"/>
      <c r="AS1197" s="6"/>
      <c r="AT1197" s="6"/>
      <c r="AU1197" s="6"/>
      <c r="AV1197" s="6"/>
      <c r="AW1197" s="6"/>
      <c r="AX1197" s="6"/>
      <c r="AY1197" s="6"/>
      <c r="AZ1197" s="6"/>
      <c r="BA1197" s="6"/>
      <c r="BB1197" s="6"/>
      <c r="BC1197" s="6"/>
      <c r="BD1197" s="6"/>
      <c r="BE1197" s="6"/>
      <c r="BF1197" s="6"/>
      <c r="BG1197" s="6"/>
      <c r="BH1197" s="6"/>
      <c r="BI1197" s="6"/>
      <c r="BJ1197" s="6"/>
      <c r="BK1197" s="6"/>
      <c r="BL1197" s="44"/>
      <c r="BM1197" s="44"/>
      <c r="BN1197" s="45"/>
      <c r="BO1197" s="45"/>
      <c r="BP1197" s="7"/>
      <c r="BQ1197" s="7" t="e">
        <f>VLOOKUP(A1197,[1]Sheet15!B:E,3,0)</f>
        <v>#N/A</v>
      </c>
    </row>
    <row r="1198" spans="1:69" ht="15.75" customHeight="1" x14ac:dyDescent="0.25">
      <c r="A1198" s="12"/>
      <c r="B1198" s="15" t="e">
        <f>VLOOKUP(A1198,'[1]Master clients'!F1196:W4743,17,0)</f>
        <v>#N/A</v>
      </c>
      <c r="C1198" s="15" t="e">
        <f>VLOOKUP(A1198,'[1]Master clients'!F1196:P4743,11,0)</f>
        <v>#N/A</v>
      </c>
      <c r="D1198" s="15" t="e">
        <f>VLOOKUP(A1198,'[1]Master clients'!F:M,8,0)</f>
        <v>#N/A</v>
      </c>
      <c r="E1198" s="12"/>
      <c r="F1198" s="6"/>
      <c r="G1198" s="6"/>
      <c r="H1198" s="6"/>
      <c r="I1198" s="43"/>
      <c r="J1198" s="43"/>
      <c r="K1198" s="6"/>
      <c r="L1198" s="6"/>
      <c r="M1198" s="6"/>
      <c r="N1198" s="6"/>
      <c r="O1198" s="6"/>
      <c r="P1198" s="6"/>
      <c r="Q1198" s="6"/>
      <c r="R1198" s="6"/>
      <c r="S1198" s="6"/>
      <c r="T1198" s="6"/>
      <c r="U1198" s="6"/>
      <c r="V1198" s="6"/>
      <c r="W1198" s="6"/>
      <c r="X1198" s="6"/>
      <c r="Y1198" s="6"/>
      <c r="Z1198" s="6"/>
      <c r="AA1198" s="6"/>
      <c r="AB1198" s="6"/>
      <c r="AC1198" s="6"/>
      <c r="AD1198" s="6"/>
      <c r="AE1198" s="6"/>
      <c r="AF1198" s="6"/>
      <c r="AG1198" s="6"/>
      <c r="AH1198" s="6"/>
      <c r="AI1198" s="6"/>
      <c r="AJ1198" s="6"/>
      <c r="AK1198" s="6"/>
      <c r="AL1198" s="6"/>
      <c r="AM1198" s="6"/>
      <c r="AN1198" s="6"/>
      <c r="AO1198" s="6"/>
      <c r="AP1198" s="6"/>
      <c r="AQ1198" s="6"/>
      <c r="AR1198" s="6"/>
      <c r="AS1198" s="6"/>
      <c r="AT1198" s="6"/>
      <c r="AU1198" s="6"/>
      <c r="AV1198" s="6"/>
      <c r="AW1198" s="6"/>
      <c r="AX1198" s="6"/>
      <c r="AY1198" s="6"/>
      <c r="AZ1198" s="6"/>
      <c r="BA1198" s="6"/>
      <c r="BB1198" s="6"/>
      <c r="BC1198" s="6"/>
      <c r="BD1198" s="6"/>
      <c r="BE1198" s="6"/>
      <c r="BF1198" s="6"/>
      <c r="BG1198" s="6"/>
      <c r="BH1198" s="6"/>
      <c r="BI1198" s="6"/>
      <c r="BJ1198" s="6"/>
      <c r="BK1198" s="6"/>
      <c r="BL1198" s="44"/>
      <c r="BM1198" s="44"/>
      <c r="BN1198" s="45"/>
      <c r="BO1198" s="45"/>
      <c r="BP1198" s="7"/>
      <c r="BQ1198" s="7" t="e">
        <f>VLOOKUP(A1198,[1]Sheet15!B:E,3,0)</f>
        <v>#N/A</v>
      </c>
    </row>
    <row r="1199" spans="1:69" ht="15.75" customHeight="1" x14ac:dyDescent="0.25">
      <c r="A1199" s="12"/>
      <c r="B1199" s="15" t="e">
        <f>VLOOKUP(A1199,'[1]Master clients'!F1197:W4744,17,0)</f>
        <v>#N/A</v>
      </c>
      <c r="C1199" s="15" t="e">
        <f>VLOOKUP(A1199,'[1]Master clients'!F1197:P4744,11,0)</f>
        <v>#N/A</v>
      </c>
      <c r="D1199" s="15" t="e">
        <f>VLOOKUP(A1199,'[1]Master clients'!F:M,8,0)</f>
        <v>#N/A</v>
      </c>
      <c r="E1199" s="12"/>
      <c r="F1199" s="6"/>
      <c r="G1199" s="6"/>
      <c r="H1199" s="6"/>
      <c r="I1199" s="43"/>
      <c r="J1199" s="43"/>
      <c r="K1199" s="6"/>
      <c r="L1199" s="6"/>
      <c r="M1199" s="6"/>
      <c r="N1199" s="6"/>
      <c r="O1199" s="6"/>
      <c r="P1199" s="6"/>
      <c r="Q1199" s="6"/>
      <c r="R1199" s="6"/>
      <c r="S1199" s="6"/>
      <c r="T1199" s="6"/>
      <c r="U1199" s="6"/>
      <c r="V1199" s="6"/>
      <c r="W1199" s="6"/>
      <c r="X1199" s="6"/>
      <c r="Y1199" s="6"/>
      <c r="Z1199" s="6"/>
      <c r="AA1199" s="6"/>
      <c r="AB1199" s="6"/>
      <c r="AC1199" s="6"/>
      <c r="AD1199" s="6"/>
      <c r="AE1199" s="6"/>
      <c r="AF1199" s="6"/>
      <c r="AG1199" s="6"/>
      <c r="AH1199" s="6"/>
      <c r="AI1199" s="6"/>
      <c r="AJ1199" s="6"/>
      <c r="AK1199" s="6"/>
      <c r="AL1199" s="6"/>
      <c r="AM1199" s="6"/>
      <c r="AN1199" s="6"/>
      <c r="AO1199" s="6"/>
      <c r="AP1199" s="6"/>
      <c r="AQ1199" s="6"/>
      <c r="AR1199" s="6"/>
      <c r="AS1199" s="6"/>
      <c r="AT1199" s="6"/>
      <c r="AU1199" s="6"/>
      <c r="AV1199" s="6"/>
      <c r="AW1199" s="6"/>
      <c r="AX1199" s="6"/>
      <c r="AY1199" s="6"/>
      <c r="AZ1199" s="6"/>
      <c r="BA1199" s="6"/>
      <c r="BB1199" s="6"/>
      <c r="BC1199" s="6"/>
      <c r="BD1199" s="6"/>
      <c r="BE1199" s="6"/>
      <c r="BF1199" s="6"/>
      <c r="BG1199" s="6"/>
      <c r="BH1199" s="6"/>
      <c r="BI1199" s="6"/>
      <c r="BJ1199" s="6"/>
      <c r="BK1199" s="6"/>
      <c r="BL1199" s="44"/>
      <c r="BM1199" s="44"/>
      <c r="BN1199" s="45"/>
      <c r="BO1199" s="45"/>
      <c r="BP1199" s="7"/>
      <c r="BQ1199" s="7" t="e">
        <f>VLOOKUP(A1199,[1]Sheet15!B:E,3,0)</f>
        <v>#N/A</v>
      </c>
    </row>
    <row r="1200" spans="1:69" ht="15.75" customHeight="1" x14ac:dyDescent="0.25">
      <c r="A1200" s="12"/>
      <c r="B1200" s="15" t="e">
        <f>VLOOKUP(A1200,'[1]Master clients'!F1198:W4745,17,0)</f>
        <v>#N/A</v>
      </c>
      <c r="C1200" s="15" t="e">
        <f>VLOOKUP(A1200,'[1]Master clients'!F1198:P4745,11,0)</f>
        <v>#N/A</v>
      </c>
      <c r="D1200" s="15" t="e">
        <f>VLOOKUP(A1200,'[1]Master clients'!F:M,8,0)</f>
        <v>#N/A</v>
      </c>
      <c r="E1200" s="12"/>
      <c r="F1200" s="6"/>
      <c r="G1200" s="6"/>
      <c r="H1200" s="6"/>
      <c r="I1200" s="43"/>
      <c r="J1200" s="43"/>
      <c r="K1200" s="6"/>
      <c r="L1200" s="6"/>
      <c r="M1200" s="6"/>
      <c r="N1200" s="6"/>
      <c r="O1200" s="6"/>
      <c r="P1200" s="6"/>
      <c r="Q1200" s="6"/>
      <c r="R1200" s="6"/>
      <c r="S1200" s="6"/>
      <c r="T1200" s="6"/>
      <c r="U1200" s="6"/>
      <c r="V1200" s="6"/>
      <c r="W1200" s="6"/>
      <c r="X1200" s="6"/>
      <c r="Y1200" s="6"/>
      <c r="Z1200" s="6"/>
      <c r="AA1200" s="6"/>
      <c r="AB1200" s="6"/>
      <c r="AC1200" s="6"/>
      <c r="AD1200" s="6"/>
      <c r="AE1200" s="6"/>
      <c r="AF1200" s="6"/>
      <c r="AG1200" s="6"/>
      <c r="AH1200" s="6"/>
      <c r="AI1200" s="6"/>
      <c r="AJ1200" s="6"/>
      <c r="AK1200" s="6"/>
      <c r="AL1200" s="6"/>
      <c r="AM1200" s="6"/>
      <c r="AN1200" s="6"/>
      <c r="AO1200" s="6"/>
      <c r="AP1200" s="6"/>
      <c r="AQ1200" s="6"/>
      <c r="AR1200" s="6"/>
      <c r="AS1200" s="6"/>
      <c r="AT1200" s="6"/>
      <c r="AU1200" s="6"/>
      <c r="AV1200" s="6"/>
      <c r="AW1200" s="6"/>
      <c r="AX1200" s="6"/>
      <c r="AY1200" s="6"/>
      <c r="AZ1200" s="6"/>
      <c r="BA1200" s="6"/>
      <c r="BB1200" s="6"/>
      <c r="BC1200" s="6"/>
      <c r="BD1200" s="6"/>
      <c r="BE1200" s="6"/>
      <c r="BF1200" s="6"/>
      <c r="BG1200" s="6"/>
      <c r="BH1200" s="6"/>
      <c r="BI1200" s="6"/>
      <c r="BJ1200" s="6"/>
      <c r="BK1200" s="6"/>
      <c r="BL1200" s="44"/>
      <c r="BM1200" s="44"/>
      <c r="BN1200" s="45"/>
      <c r="BO1200" s="45"/>
      <c r="BP1200" s="7"/>
      <c r="BQ1200" s="7" t="e">
        <f>VLOOKUP(A1200,[1]Sheet15!B:E,3,0)</f>
        <v>#N/A</v>
      </c>
    </row>
    <row r="1201" spans="1:69" ht="15.75" customHeight="1" x14ac:dyDescent="0.25">
      <c r="A1201" s="12"/>
      <c r="B1201" s="15" t="e">
        <f>VLOOKUP(A1201,'[1]Master clients'!F1199:W4746,17,0)</f>
        <v>#N/A</v>
      </c>
      <c r="C1201" s="15" t="e">
        <f>VLOOKUP(A1201,'[1]Master clients'!F1199:P4746,11,0)</f>
        <v>#N/A</v>
      </c>
      <c r="D1201" s="15" t="e">
        <f>VLOOKUP(A1201,'[1]Master clients'!F:M,8,0)</f>
        <v>#N/A</v>
      </c>
      <c r="E1201" s="12"/>
      <c r="F1201" s="6"/>
      <c r="G1201" s="6"/>
      <c r="H1201" s="6"/>
      <c r="I1201" s="43"/>
      <c r="J1201" s="43"/>
      <c r="K1201" s="6"/>
      <c r="L1201" s="6"/>
      <c r="M1201" s="6"/>
      <c r="N1201" s="6"/>
      <c r="O1201" s="6"/>
      <c r="P1201" s="6"/>
      <c r="Q1201" s="6"/>
      <c r="R1201" s="6"/>
      <c r="S1201" s="6"/>
      <c r="T1201" s="6"/>
      <c r="U1201" s="6"/>
      <c r="V1201" s="6"/>
      <c r="W1201" s="6"/>
      <c r="X1201" s="6"/>
      <c r="Y1201" s="6"/>
      <c r="Z1201" s="6"/>
      <c r="AA1201" s="6"/>
      <c r="AB1201" s="6"/>
      <c r="AC1201" s="6"/>
      <c r="AD1201" s="6"/>
      <c r="AE1201" s="6"/>
      <c r="AF1201" s="6"/>
      <c r="AG1201" s="6"/>
      <c r="AH1201" s="6"/>
      <c r="AI1201" s="6"/>
      <c r="AJ1201" s="6"/>
      <c r="AK1201" s="6"/>
      <c r="AL1201" s="6"/>
      <c r="AM1201" s="6"/>
      <c r="AN1201" s="6"/>
      <c r="AO1201" s="6"/>
      <c r="AP1201" s="6"/>
      <c r="AQ1201" s="6"/>
      <c r="AR1201" s="6"/>
      <c r="AS1201" s="6"/>
      <c r="AT1201" s="6"/>
      <c r="AU1201" s="6"/>
      <c r="AV1201" s="6"/>
      <c r="AW1201" s="6"/>
      <c r="AX1201" s="6"/>
      <c r="AY1201" s="6"/>
      <c r="AZ1201" s="6"/>
      <c r="BA1201" s="6"/>
      <c r="BB1201" s="6"/>
      <c r="BC1201" s="6"/>
      <c r="BD1201" s="6"/>
      <c r="BE1201" s="6"/>
      <c r="BF1201" s="6"/>
      <c r="BG1201" s="6"/>
      <c r="BH1201" s="6"/>
      <c r="BI1201" s="6"/>
      <c r="BJ1201" s="6"/>
      <c r="BK1201" s="6"/>
      <c r="BL1201" s="44"/>
      <c r="BM1201" s="44"/>
      <c r="BN1201" s="45"/>
      <c r="BO1201" s="45"/>
      <c r="BP1201" s="7"/>
      <c r="BQ1201" s="7" t="e">
        <f>VLOOKUP(A1201,[1]Sheet15!B:E,3,0)</f>
        <v>#N/A</v>
      </c>
    </row>
    <row r="1202" spans="1:69" ht="15.75" customHeight="1" x14ac:dyDescent="0.25">
      <c r="A1202" s="12"/>
      <c r="B1202" s="15" t="e">
        <f>VLOOKUP(A1202,'[1]Master clients'!F1200:W4747,17,0)</f>
        <v>#N/A</v>
      </c>
      <c r="C1202" s="15" t="e">
        <f>VLOOKUP(A1202,'[1]Master clients'!F1200:P4747,11,0)</f>
        <v>#N/A</v>
      </c>
      <c r="D1202" s="15" t="e">
        <f>VLOOKUP(A1202,'[1]Master clients'!F:M,8,0)</f>
        <v>#N/A</v>
      </c>
      <c r="E1202" s="12"/>
      <c r="F1202" s="6"/>
      <c r="G1202" s="6"/>
      <c r="H1202" s="6"/>
      <c r="I1202" s="43"/>
      <c r="J1202" s="43"/>
      <c r="K1202" s="6"/>
      <c r="L1202" s="6"/>
      <c r="M1202" s="6"/>
      <c r="N1202" s="6"/>
      <c r="O1202" s="6"/>
      <c r="P1202" s="6"/>
      <c r="Q1202" s="6"/>
      <c r="R1202" s="6"/>
      <c r="S1202" s="6"/>
      <c r="T1202" s="6"/>
      <c r="U1202" s="6"/>
      <c r="V1202" s="6"/>
      <c r="W1202" s="6"/>
      <c r="X1202" s="6"/>
      <c r="Y1202" s="6"/>
      <c r="Z1202" s="6"/>
      <c r="AA1202" s="6"/>
      <c r="AB1202" s="6"/>
      <c r="AC1202" s="6"/>
      <c r="AD1202" s="6"/>
      <c r="AE1202" s="6"/>
      <c r="AF1202" s="6"/>
      <c r="AG1202" s="6"/>
      <c r="AH1202" s="6"/>
      <c r="AI1202" s="6"/>
      <c r="AJ1202" s="6"/>
      <c r="AK1202" s="6"/>
      <c r="AL1202" s="6"/>
      <c r="AM1202" s="6"/>
      <c r="AN1202" s="6"/>
      <c r="AO1202" s="6"/>
      <c r="AP1202" s="6"/>
      <c r="AQ1202" s="6"/>
      <c r="AR1202" s="6"/>
      <c r="AS1202" s="6"/>
      <c r="AT1202" s="6"/>
      <c r="AU1202" s="6"/>
      <c r="AV1202" s="6"/>
      <c r="AW1202" s="6"/>
      <c r="AX1202" s="6"/>
      <c r="AY1202" s="6"/>
      <c r="AZ1202" s="6"/>
      <c r="BA1202" s="6"/>
      <c r="BB1202" s="6"/>
      <c r="BC1202" s="6"/>
      <c r="BD1202" s="6"/>
      <c r="BE1202" s="6"/>
      <c r="BF1202" s="6"/>
      <c r="BG1202" s="6"/>
      <c r="BH1202" s="6"/>
      <c r="BI1202" s="6"/>
      <c r="BJ1202" s="6"/>
      <c r="BK1202" s="6"/>
      <c r="BL1202" s="44"/>
      <c r="BM1202" s="44"/>
      <c r="BN1202" s="45"/>
      <c r="BO1202" s="45"/>
      <c r="BP1202" s="7"/>
      <c r="BQ1202" s="7" t="e">
        <f>VLOOKUP(A1202,[1]Sheet15!B:E,3,0)</f>
        <v>#N/A</v>
      </c>
    </row>
    <row r="1203" spans="1:69" ht="15.75" customHeight="1" x14ac:dyDescent="0.25">
      <c r="A1203" s="12"/>
      <c r="B1203" s="15" t="e">
        <f>VLOOKUP(A1203,'[1]Master clients'!F1201:W4748,17,0)</f>
        <v>#N/A</v>
      </c>
      <c r="C1203" s="15" t="e">
        <f>VLOOKUP(A1203,'[1]Master clients'!F1201:P4748,11,0)</f>
        <v>#N/A</v>
      </c>
      <c r="D1203" s="15" t="e">
        <f>VLOOKUP(A1203,'[1]Master clients'!F:M,8,0)</f>
        <v>#N/A</v>
      </c>
      <c r="E1203" s="12"/>
      <c r="F1203" s="6"/>
      <c r="G1203" s="6"/>
      <c r="H1203" s="6"/>
      <c r="I1203" s="43"/>
      <c r="J1203" s="43"/>
      <c r="K1203" s="6"/>
      <c r="L1203" s="6"/>
      <c r="M1203" s="6"/>
      <c r="N1203" s="6"/>
      <c r="O1203" s="6"/>
      <c r="P1203" s="6"/>
      <c r="Q1203" s="6"/>
      <c r="R1203" s="6"/>
      <c r="S1203" s="6"/>
      <c r="T1203" s="6"/>
      <c r="U1203" s="6"/>
      <c r="V1203" s="6"/>
      <c r="W1203" s="6"/>
      <c r="X1203" s="6"/>
      <c r="Y1203" s="6"/>
      <c r="Z1203" s="6"/>
      <c r="AA1203" s="6"/>
      <c r="AB1203" s="6"/>
      <c r="AC1203" s="6"/>
      <c r="AD1203" s="6"/>
      <c r="AE1203" s="6"/>
      <c r="AF1203" s="6"/>
      <c r="AG1203" s="6"/>
      <c r="AH1203" s="6"/>
      <c r="AI1203" s="6"/>
      <c r="AJ1203" s="6"/>
      <c r="AK1203" s="6"/>
      <c r="AL1203" s="6"/>
      <c r="AM1203" s="6"/>
      <c r="AN1203" s="6"/>
      <c r="AO1203" s="6"/>
      <c r="AP1203" s="6"/>
      <c r="AQ1203" s="6"/>
      <c r="AR1203" s="6"/>
      <c r="AS1203" s="6"/>
      <c r="AT1203" s="6"/>
      <c r="AU1203" s="6"/>
      <c r="AV1203" s="6"/>
      <c r="AW1203" s="6"/>
      <c r="AX1203" s="6"/>
      <c r="AY1203" s="6"/>
      <c r="AZ1203" s="6"/>
      <c r="BA1203" s="6"/>
      <c r="BB1203" s="6"/>
      <c r="BC1203" s="6"/>
      <c r="BD1203" s="6"/>
      <c r="BE1203" s="6"/>
      <c r="BF1203" s="6"/>
      <c r="BG1203" s="6"/>
      <c r="BH1203" s="6"/>
      <c r="BI1203" s="6"/>
      <c r="BJ1203" s="6"/>
      <c r="BK1203" s="6"/>
      <c r="BL1203" s="44"/>
      <c r="BM1203" s="44"/>
      <c r="BN1203" s="45"/>
      <c r="BO1203" s="45"/>
      <c r="BP1203" s="7"/>
      <c r="BQ1203" s="7" t="e">
        <f>VLOOKUP(A1203,[1]Sheet15!B:E,3,0)</f>
        <v>#N/A</v>
      </c>
    </row>
    <row r="1204" spans="1:69" ht="15.75" customHeight="1" x14ac:dyDescent="0.25">
      <c r="A1204" s="12"/>
      <c r="B1204" s="15" t="e">
        <f>VLOOKUP(A1204,'[1]Master clients'!F1202:W4749,17,0)</f>
        <v>#N/A</v>
      </c>
      <c r="C1204" s="15" t="e">
        <f>VLOOKUP(A1204,'[1]Master clients'!F1202:P4749,11,0)</f>
        <v>#N/A</v>
      </c>
      <c r="D1204" s="15" t="e">
        <f>VLOOKUP(A1204,'[1]Master clients'!F:M,8,0)</f>
        <v>#N/A</v>
      </c>
      <c r="E1204" s="12"/>
      <c r="F1204" s="6"/>
      <c r="G1204" s="6"/>
      <c r="H1204" s="6"/>
      <c r="I1204" s="43"/>
      <c r="J1204" s="43"/>
      <c r="K1204" s="6"/>
      <c r="L1204" s="6"/>
      <c r="M1204" s="6"/>
      <c r="N1204" s="6"/>
      <c r="O1204" s="6"/>
      <c r="P1204" s="6"/>
      <c r="Q1204" s="6"/>
      <c r="R1204" s="6"/>
      <c r="S1204" s="6"/>
      <c r="T1204" s="6"/>
      <c r="U1204" s="6"/>
      <c r="V1204" s="6"/>
      <c r="W1204" s="6"/>
      <c r="X1204" s="6"/>
      <c r="Y1204" s="6"/>
      <c r="Z1204" s="6"/>
      <c r="AA1204" s="6"/>
      <c r="AB1204" s="6"/>
      <c r="AC1204" s="6"/>
      <c r="AD1204" s="6"/>
      <c r="AE1204" s="6"/>
      <c r="AF1204" s="6"/>
      <c r="AG1204" s="6"/>
      <c r="AH1204" s="6"/>
      <c r="AI1204" s="6"/>
      <c r="AJ1204" s="6"/>
      <c r="AK1204" s="6"/>
      <c r="AL1204" s="6"/>
      <c r="AM1204" s="6"/>
      <c r="AN1204" s="6"/>
      <c r="AO1204" s="6"/>
      <c r="AP1204" s="6"/>
      <c r="AQ1204" s="6"/>
      <c r="AR1204" s="6"/>
      <c r="AS1204" s="6"/>
      <c r="AT1204" s="6"/>
      <c r="AU1204" s="6"/>
      <c r="AV1204" s="6"/>
      <c r="AW1204" s="6"/>
      <c r="AX1204" s="6"/>
      <c r="AY1204" s="6"/>
      <c r="AZ1204" s="6"/>
      <c r="BA1204" s="6"/>
      <c r="BB1204" s="6"/>
      <c r="BC1204" s="6"/>
      <c r="BD1204" s="6"/>
      <c r="BE1204" s="6"/>
      <c r="BF1204" s="6"/>
      <c r="BG1204" s="6"/>
      <c r="BH1204" s="6"/>
      <c r="BI1204" s="6"/>
      <c r="BJ1204" s="6"/>
      <c r="BK1204" s="6"/>
      <c r="BL1204" s="44"/>
      <c r="BM1204" s="44"/>
      <c r="BN1204" s="45"/>
      <c r="BO1204" s="45"/>
      <c r="BP1204" s="7"/>
      <c r="BQ1204" s="7" t="e">
        <f>VLOOKUP(A1204,[1]Sheet15!B:E,3,0)</f>
        <v>#N/A</v>
      </c>
    </row>
    <row r="1205" spans="1:69" ht="15.75" customHeight="1" x14ac:dyDescent="0.25">
      <c r="A1205" s="12"/>
      <c r="B1205" s="15" t="e">
        <f>VLOOKUP(A1205,'[1]Master clients'!F1203:W4750,17,0)</f>
        <v>#N/A</v>
      </c>
      <c r="C1205" s="15" t="e">
        <f>VLOOKUP(A1205,'[1]Master clients'!F1203:P4750,11,0)</f>
        <v>#N/A</v>
      </c>
      <c r="D1205" s="15" t="e">
        <f>VLOOKUP(A1205,'[1]Master clients'!F:M,8,0)</f>
        <v>#N/A</v>
      </c>
      <c r="E1205" s="12"/>
      <c r="F1205" s="6"/>
      <c r="G1205" s="6"/>
      <c r="H1205" s="6"/>
      <c r="I1205" s="43"/>
      <c r="J1205" s="43"/>
      <c r="K1205" s="6"/>
      <c r="L1205" s="6"/>
      <c r="M1205" s="6"/>
      <c r="N1205" s="6"/>
      <c r="O1205" s="6"/>
      <c r="P1205" s="6"/>
      <c r="Q1205" s="6"/>
      <c r="R1205" s="6"/>
      <c r="S1205" s="6"/>
      <c r="T1205" s="6"/>
      <c r="U1205" s="6"/>
      <c r="V1205" s="6"/>
      <c r="W1205" s="6"/>
      <c r="X1205" s="6"/>
      <c r="Y1205" s="6"/>
      <c r="Z1205" s="6"/>
      <c r="AA1205" s="6"/>
      <c r="AB1205" s="6"/>
      <c r="AC1205" s="6"/>
      <c r="AD1205" s="6"/>
      <c r="AE1205" s="6"/>
      <c r="AF1205" s="6"/>
      <c r="AG1205" s="6"/>
      <c r="AH1205" s="6"/>
      <c r="AI1205" s="6"/>
      <c r="AJ1205" s="6"/>
      <c r="AK1205" s="6"/>
      <c r="AL1205" s="6"/>
      <c r="AM1205" s="6"/>
      <c r="AN1205" s="6"/>
      <c r="AO1205" s="6"/>
      <c r="AP1205" s="6"/>
      <c r="AQ1205" s="6"/>
      <c r="AR1205" s="6"/>
      <c r="AS1205" s="6"/>
      <c r="AT1205" s="6"/>
      <c r="AU1205" s="6"/>
      <c r="AV1205" s="6"/>
      <c r="AW1205" s="6"/>
      <c r="AX1205" s="6"/>
      <c r="AY1205" s="6"/>
      <c r="AZ1205" s="6"/>
      <c r="BA1205" s="6"/>
      <c r="BB1205" s="6"/>
      <c r="BC1205" s="6"/>
      <c r="BD1205" s="6"/>
      <c r="BE1205" s="6"/>
      <c r="BF1205" s="6"/>
      <c r="BG1205" s="6"/>
      <c r="BH1205" s="6"/>
      <c r="BI1205" s="6"/>
      <c r="BJ1205" s="6"/>
      <c r="BK1205" s="6"/>
      <c r="BL1205" s="44"/>
      <c r="BM1205" s="44"/>
      <c r="BN1205" s="45"/>
      <c r="BO1205" s="45"/>
      <c r="BP1205" s="7"/>
      <c r="BQ1205" s="7" t="e">
        <f>VLOOKUP(A1205,[1]Sheet15!B:E,3,0)</f>
        <v>#N/A</v>
      </c>
    </row>
    <row r="1206" spans="1:69" ht="15.75" customHeight="1" x14ac:dyDescent="0.25">
      <c r="A1206" s="12"/>
      <c r="B1206" s="15" t="e">
        <f>VLOOKUP(A1206,'[1]Master clients'!F1204:W4751,17,0)</f>
        <v>#N/A</v>
      </c>
      <c r="C1206" s="15" t="e">
        <f>VLOOKUP(A1206,'[1]Master clients'!F1204:P4751,11,0)</f>
        <v>#N/A</v>
      </c>
      <c r="D1206" s="15" t="e">
        <f>VLOOKUP(A1206,'[1]Master clients'!F:M,8,0)</f>
        <v>#N/A</v>
      </c>
      <c r="E1206" s="12"/>
      <c r="F1206" s="6"/>
      <c r="G1206" s="6"/>
      <c r="H1206" s="6"/>
      <c r="I1206" s="43"/>
      <c r="J1206" s="43"/>
      <c r="K1206" s="6"/>
      <c r="L1206" s="6"/>
      <c r="M1206" s="6"/>
      <c r="N1206" s="6"/>
      <c r="O1206" s="6"/>
      <c r="P1206" s="6"/>
      <c r="Q1206" s="6"/>
      <c r="R1206" s="6"/>
      <c r="S1206" s="6"/>
      <c r="T1206" s="6"/>
      <c r="U1206" s="6"/>
      <c r="V1206" s="6"/>
      <c r="W1206" s="6"/>
      <c r="X1206" s="6"/>
      <c r="Y1206" s="6"/>
      <c r="Z1206" s="6"/>
      <c r="AA1206" s="6"/>
      <c r="AB1206" s="6"/>
      <c r="AC1206" s="6"/>
      <c r="AD1206" s="6"/>
      <c r="AE1206" s="6"/>
      <c r="AF1206" s="6"/>
      <c r="AG1206" s="6"/>
      <c r="AH1206" s="6"/>
      <c r="AI1206" s="6"/>
      <c r="AJ1206" s="6"/>
      <c r="AK1206" s="6"/>
      <c r="AL1206" s="6"/>
      <c r="AM1206" s="6"/>
      <c r="AN1206" s="6"/>
      <c r="AO1206" s="6"/>
      <c r="AP1206" s="6"/>
      <c r="AQ1206" s="6"/>
      <c r="AR1206" s="6"/>
      <c r="AS1206" s="6"/>
      <c r="AT1206" s="6"/>
      <c r="AU1206" s="6"/>
      <c r="AV1206" s="6"/>
      <c r="AW1206" s="6"/>
      <c r="AX1206" s="6"/>
      <c r="AY1206" s="6"/>
      <c r="AZ1206" s="6"/>
      <c r="BA1206" s="6"/>
      <c r="BB1206" s="6"/>
      <c r="BC1206" s="6"/>
      <c r="BD1206" s="6"/>
      <c r="BE1206" s="6"/>
      <c r="BF1206" s="6"/>
      <c r="BG1206" s="6"/>
      <c r="BH1206" s="6"/>
      <c r="BI1206" s="6"/>
      <c r="BJ1206" s="6"/>
      <c r="BK1206" s="6"/>
      <c r="BL1206" s="44"/>
      <c r="BM1206" s="44"/>
      <c r="BN1206" s="45"/>
      <c r="BO1206" s="45"/>
      <c r="BP1206" s="7"/>
      <c r="BQ1206" s="7" t="e">
        <f>VLOOKUP(A1206,[1]Sheet15!B:E,3,0)</f>
        <v>#N/A</v>
      </c>
    </row>
    <row r="1207" spans="1:69" ht="15.75" customHeight="1" x14ac:dyDescent="0.25">
      <c r="A1207" s="12"/>
      <c r="B1207" s="15" t="e">
        <f>VLOOKUP(A1207,'[1]Master clients'!F1205:W4752,17,0)</f>
        <v>#N/A</v>
      </c>
      <c r="C1207" s="15" t="e">
        <f>VLOOKUP(A1207,'[1]Master clients'!F1205:P4752,11,0)</f>
        <v>#N/A</v>
      </c>
      <c r="D1207" s="15" t="e">
        <f>VLOOKUP(A1207,'[1]Master clients'!F:M,8,0)</f>
        <v>#N/A</v>
      </c>
      <c r="E1207" s="12"/>
      <c r="F1207" s="6"/>
      <c r="G1207" s="6"/>
      <c r="H1207" s="6"/>
      <c r="I1207" s="43"/>
      <c r="J1207" s="43"/>
      <c r="K1207" s="6"/>
      <c r="L1207" s="6"/>
      <c r="M1207" s="6"/>
      <c r="N1207" s="6"/>
      <c r="O1207" s="6"/>
      <c r="P1207" s="6"/>
      <c r="Q1207" s="6"/>
      <c r="R1207" s="6"/>
      <c r="S1207" s="6"/>
      <c r="T1207" s="6"/>
      <c r="U1207" s="6"/>
      <c r="V1207" s="6"/>
      <c r="W1207" s="6"/>
      <c r="X1207" s="6"/>
      <c r="Y1207" s="6"/>
      <c r="Z1207" s="6"/>
      <c r="AA1207" s="6"/>
      <c r="AB1207" s="6"/>
      <c r="AC1207" s="6"/>
      <c r="AD1207" s="6"/>
      <c r="AE1207" s="6"/>
      <c r="AF1207" s="6"/>
      <c r="AG1207" s="6"/>
      <c r="AH1207" s="6"/>
      <c r="AI1207" s="6"/>
      <c r="AJ1207" s="6"/>
      <c r="AK1207" s="6"/>
      <c r="AL1207" s="6"/>
      <c r="AM1207" s="6"/>
      <c r="AN1207" s="6"/>
      <c r="AO1207" s="6"/>
      <c r="AP1207" s="6"/>
      <c r="AQ1207" s="6"/>
      <c r="AR1207" s="6"/>
      <c r="AS1207" s="6"/>
      <c r="AT1207" s="6"/>
      <c r="AU1207" s="6"/>
      <c r="AV1207" s="6"/>
      <c r="AW1207" s="6"/>
      <c r="AX1207" s="6"/>
      <c r="AY1207" s="6"/>
      <c r="AZ1207" s="6"/>
      <c r="BA1207" s="6"/>
      <c r="BB1207" s="6"/>
      <c r="BC1207" s="6"/>
      <c r="BD1207" s="6"/>
      <c r="BE1207" s="6"/>
      <c r="BF1207" s="6"/>
      <c r="BG1207" s="6"/>
      <c r="BH1207" s="6"/>
      <c r="BI1207" s="6"/>
      <c r="BJ1207" s="6"/>
      <c r="BK1207" s="6"/>
      <c r="BL1207" s="44"/>
      <c r="BM1207" s="44"/>
      <c r="BN1207" s="45"/>
      <c r="BO1207" s="45"/>
      <c r="BP1207" s="7"/>
      <c r="BQ1207" s="7" t="e">
        <f>VLOOKUP(A1207,[1]Sheet15!B:E,3,0)</f>
        <v>#N/A</v>
      </c>
    </row>
    <row r="1208" spans="1:69" ht="15.75" customHeight="1" x14ac:dyDescent="0.25">
      <c r="A1208" s="12"/>
      <c r="B1208" s="15" t="e">
        <f>VLOOKUP(A1208,'[1]Master clients'!F1206:W4753,17,0)</f>
        <v>#N/A</v>
      </c>
      <c r="C1208" s="15" t="e">
        <f>VLOOKUP(A1208,'[1]Master clients'!F1206:P4753,11,0)</f>
        <v>#N/A</v>
      </c>
      <c r="D1208" s="15" t="e">
        <f>VLOOKUP(A1208,'[1]Master clients'!F:M,8,0)</f>
        <v>#N/A</v>
      </c>
      <c r="E1208" s="12"/>
      <c r="F1208" s="6"/>
      <c r="G1208" s="6"/>
      <c r="H1208" s="6"/>
      <c r="I1208" s="43"/>
      <c r="J1208" s="43"/>
      <c r="K1208" s="6"/>
      <c r="L1208" s="6"/>
      <c r="M1208" s="6"/>
      <c r="N1208" s="6"/>
      <c r="O1208" s="6"/>
      <c r="P1208" s="6"/>
      <c r="Q1208" s="6"/>
      <c r="R1208" s="6"/>
      <c r="S1208" s="6"/>
      <c r="T1208" s="6"/>
      <c r="U1208" s="6"/>
      <c r="V1208" s="6"/>
      <c r="W1208" s="6"/>
      <c r="X1208" s="6"/>
      <c r="Y1208" s="6"/>
      <c r="Z1208" s="6"/>
      <c r="AA1208" s="6"/>
      <c r="AB1208" s="6"/>
      <c r="AC1208" s="6"/>
      <c r="AD1208" s="6"/>
      <c r="AE1208" s="6"/>
      <c r="AF1208" s="6"/>
      <c r="AG1208" s="6"/>
      <c r="AH1208" s="6"/>
      <c r="AI1208" s="6"/>
      <c r="AJ1208" s="6"/>
      <c r="AK1208" s="6"/>
      <c r="AL1208" s="6"/>
      <c r="AM1208" s="6"/>
      <c r="AN1208" s="6"/>
      <c r="AO1208" s="6"/>
      <c r="AP1208" s="6"/>
      <c r="AQ1208" s="6"/>
      <c r="AR1208" s="6"/>
      <c r="AS1208" s="6"/>
      <c r="AT1208" s="6"/>
      <c r="AU1208" s="6"/>
      <c r="AV1208" s="6"/>
      <c r="AW1208" s="6"/>
      <c r="AX1208" s="6"/>
      <c r="AY1208" s="6"/>
      <c r="AZ1208" s="6"/>
      <c r="BA1208" s="6"/>
      <c r="BB1208" s="6"/>
      <c r="BC1208" s="6"/>
      <c r="BD1208" s="6"/>
      <c r="BE1208" s="6"/>
      <c r="BF1208" s="6"/>
      <c r="BG1208" s="6"/>
      <c r="BH1208" s="6"/>
      <c r="BI1208" s="6"/>
      <c r="BJ1208" s="6"/>
      <c r="BK1208" s="6"/>
      <c r="BL1208" s="44"/>
      <c r="BM1208" s="44"/>
      <c r="BN1208" s="45"/>
      <c r="BO1208" s="45"/>
      <c r="BP1208" s="7"/>
      <c r="BQ1208" s="7" t="e">
        <f>VLOOKUP(A1208,[1]Sheet15!B:E,3,0)</f>
        <v>#N/A</v>
      </c>
    </row>
    <row r="1209" spans="1:69" ht="15.75" customHeight="1" x14ac:dyDescent="0.25">
      <c r="A1209" s="12"/>
      <c r="B1209" s="15" t="e">
        <f>VLOOKUP(A1209,'[1]Master clients'!F1207:W4754,17,0)</f>
        <v>#N/A</v>
      </c>
      <c r="C1209" s="15" t="e">
        <f>VLOOKUP(A1209,'[1]Master clients'!F1207:P4754,11,0)</f>
        <v>#N/A</v>
      </c>
      <c r="D1209" s="15" t="e">
        <f>VLOOKUP(A1209,'[1]Master clients'!F:M,8,0)</f>
        <v>#N/A</v>
      </c>
      <c r="E1209" s="12"/>
      <c r="F1209" s="6"/>
      <c r="G1209" s="6"/>
      <c r="H1209" s="6"/>
      <c r="I1209" s="43"/>
      <c r="J1209" s="43"/>
      <c r="K1209" s="6"/>
      <c r="L1209" s="6"/>
      <c r="M1209" s="6"/>
      <c r="N1209" s="6"/>
      <c r="O1209" s="6"/>
      <c r="P1209" s="6"/>
      <c r="Q1209" s="6"/>
      <c r="R1209" s="6"/>
      <c r="S1209" s="6"/>
      <c r="T1209" s="6"/>
      <c r="U1209" s="6"/>
      <c r="V1209" s="6"/>
      <c r="W1209" s="6"/>
      <c r="X1209" s="6"/>
      <c r="Y1209" s="6"/>
      <c r="Z1209" s="6"/>
      <c r="AA1209" s="6"/>
      <c r="AB1209" s="6"/>
      <c r="AC1209" s="6"/>
      <c r="AD1209" s="6"/>
      <c r="AE1209" s="6"/>
      <c r="AF1209" s="6"/>
      <c r="AG1209" s="6"/>
      <c r="AH1209" s="6"/>
      <c r="AI1209" s="6"/>
      <c r="AJ1209" s="6"/>
      <c r="AK1209" s="6"/>
      <c r="AL1209" s="6"/>
      <c r="AM1209" s="6"/>
      <c r="AN1209" s="6"/>
      <c r="AO1209" s="6"/>
      <c r="AP1209" s="6"/>
      <c r="AQ1209" s="6"/>
      <c r="AR1209" s="6"/>
      <c r="AS1209" s="6"/>
      <c r="AT1209" s="6"/>
      <c r="AU1209" s="6"/>
      <c r="AV1209" s="6"/>
      <c r="AW1209" s="6"/>
      <c r="AX1209" s="6"/>
      <c r="AY1209" s="6"/>
      <c r="AZ1209" s="6"/>
      <c r="BA1209" s="6"/>
      <c r="BB1209" s="6"/>
      <c r="BC1209" s="6"/>
      <c r="BD1209" s="6"/>
      <c r="BE1209" s="6"/>
      <c r="BF1209" s="6"/>
      <c r="BG1209" s="6"/>
      <c r="BH1209" s="6"/>
      <c r="BI1209" s="6"/>
      <c r="BJ1209" s="6"/>
      <c r="BK1209" s="6"/>
      <c r="BL1209" s="44"/>
      <c r="BM1209" s="44"/>
      <c r="BN1209" s="45"/>
      <c r="BO1209" s="45"/>
      <c r="BP1209" s="7"/>
      <c r="BQ1209" s="7" t="e">
        <f>VLOOKUP(A1209,[1]Sheet15!B:E,3,0)</f>
        <v>#N/A</v>
      </c>
    </row>
    <row r="1210" spans="1:69" ht="15.75" customHeight="1" x14ac:dyDescent="0.25">
      <c r="A1210" s="12"/>
      <c r="B1210" s="15" t="e">
        <f>VLOOKUP(A1210,'[1]Master clients'!F1208:W4755,17,0)</f>
        <v>#N/A</v>
      </c>
      <c r="C1210" s="15" t="e">
        <f>VLOOKUP(A1210,'[1]Master clients'!F1208:P4755,11,0)</f>
        <v>#N/A</v>
      </c>
      <c r="D1210" s="15" t="e">
        <f>VLOOKUP(A1210,'[1]Master clients'!F:M,8,0)</f>
        <v>#N/A</v>
      </c>
      <c r="E1210" s="12"/>
      <c r="F1210" s="6"/>
      <c r="G1210" s="6"/>
      <c r="H1210" s="6"/>
      <c r="I1210" s="43"/>
      <c r="J1210" s="43"/>
      <c r="K1210" s="6"/>
      <c r="L1210" s="6"/>
      <c r="M1210" s="6"/>
      <c r="N1210" s="6"/>
      <c r="O1210" s="6"/>
      <c r="P1210" s="6"/>
      <c r="Q1210" s="6"/>
      <c r="R1210" s="6"/>
      <c r="S1210" s="6"/>
      <c r="T1210" s="6"/>
      <c r="U1210" s="6"/>
      <c r="V1210" s="6"/>
      <c r="W1210" s="6"/>
      <c r="X1210" s="6"/>
      <c r="Y1210" s="6"/>
      <c r="Z1210" s="6"/>
      <c r="AA1210" s="6"/>
      <c r="AB1210" s="6"/>
      <c r="AC1210" s="6"/>
      <c r="AD1210" s="6"/>
      <c r="AE1210" s="6"/>
      <c r="AF1210" s="6"/>
      <c r="AG1210" s="6"/>
      <c r="AH1210" s="6"/>
      <c r="AI1210" s="6"/>
      <c r="AJ1210" s="6"/>
      <c r="AK1210" s="6"/>
      <c r="AL1210" s="6"/>
      <c r="AM1210" s="6"/>
      <c r="AN1210" s="6"/>
      <c r="AO1210" s="6"/>
      <c r="AP1210" s="6"/>
      <c r="AQ1210" s="6"/>
      <c r="AR1210" s="6"/>
      <c r="AS1210" s="6"/>
      <c r="AT1210" s="6"/>
      <c r="AU1210" s="6"/>
      <c r="AV1210" s="6"/>
      <c r="AW1210" s="6"/>
      <c r="AX1210" s="6"/>
      <c r="AY1210" s="6"/>
      <c r="AZ1210" s="6"/>
      <c r="BA1210" s="6"/>
      <c r="BB1210" s="6"/>
      <c r="BC1210" s="6"/>
      <c r="BD1210" s="6"/>
      <c r="BE1210" s="6"/>
      <c r="BF1210" s="6"/>
      <c r="BG1210" s="6"/>
      <c r="BH1210" s="6"/>
      <c r="BI1210" s="6"/>
      <c r="BJ1210" s="6"/>
      <c r="BK1210" s="6"/>
      <c r="BL1210" s="44"/>
      <c r="BM1210" s="44"/>
      <c r="BN1210" s="45"/>
      <c r="BO1210" s="45"/>
      <c r="BP1210" s="7"/>
      <c r="BQ1210" s="7" t="e">
        <f>VLOOKUP(A1210,[1]Sheet15!B:E,3,0)</f>
        <v>#N/A</v>
      </c>
    </row>
    <row r="1211" spans="1:69" ht="15.75" customHeight="1" x14ac:dyDescent="0.25">
      <c r="A1211" s="12"/>
      <c r="B1211" s="15" t="e">
        <f>VLOOKUP(A1211,'[1]Master clients'!F1209:W4756,17,0)</f>
        <v>#N/A</v>
      </c>
      <c r="C1211" s="15" t="e">
        <f>VLOOKUP(A1211,'[1]Master clients'!F1209:P4756,11,0)</f>
        <v>#N/A</v>
      </c>
      <c r="D1211" s="15" t="e">
        <f>VLOOKUP(A1211,'[1]Master clients'!F:M,8,0)</f>
        <v>#N/A</v>
      </c>
      <c r="E1211" s="12"/>
      <c r="F1211" s="6"/>
      <c r="G1211" s="6"/>
      <c r="H1211" s="6"/>
      <c r="I1211" s="43"/>
      <c r="J1211" s="43"/>
      <c r="K1211" s="6"/>
      <c r="L1211" s="6"/>
      <c r="M1211" s="6"/>
      <c r="N1211" s="6"/>
      <c r="O1211" s="6"/>
      <c r="P1211" s="6"/>
      <c r="Q1211" s="6"/>
      <c r="R1211" s="6"/>
      <c r="S1211" s="6"/>
      <c r="T1211" s="6"/>
      <c r="U1211" s="6"/>
      <c r="V1211" s="6"/>
      <c r="W1211" s="6"/>
      <c r="X1211" s="6"/>
      <c r="Y1211" s="6"/>
      <c r="Z1211" s="6"/>
      <c r="AA1211" s="6"/>
      <c r="AB1211" s="6"/>
      <c r="AC1211" s="6"/>
      <c r="AD1211" s="6"/>
      <c r="AE1211" s="6"/>
      <c r="AF1211" s="6"/>
      <c r="AG1211" s="6"/>
      <c r="AH1211" s="6"/>
      <c r="AI1211" s="6"/>
      <c r="AJ1211" s="6"/>
      <c r="AK1211" s="6"/>
      <c r="AL1211" s="6"/>
      <c r="AM1211" s="6"/>
      <c r="AN1211" s="6"/>
      <c r="AO1211" s="6"/>
      <c r="AP1211" s="6"/>
      <c r="AQ1211" s="6"/>
      <c r="AR1211" s="6"/>
      <c r="AS1211" s="6"/>
      <c r="AT1211" s="6"/>
      <c r="AU1211" s="6"/>
      <c r="AV1211" s="6"/>
      <c r="AW1211" s="6"/>
      <c r="AX1211" s="6"/>
      <c r="AY1211" s="6"/>
      <c r="AZ1211" s="6"/>
      <c r="BA1211" s="6"/>
      <c r="BB1211" s="6"/>
      <c r="BC1211" s="6"/>
      <c r="BD1211" s="6"/>
      <c r="BE1211" s="6"/>
      <c r="BF1211" s="6"/>
      <c r="BG1211" s="6"/>
      <c r="BH1211" s="6"/>
      <c r="BI1211" s="6"/>
      <c r="BJ1211" s="6"/>
      <c r="BK1211" s="6"/>
      <c r="BL1211" s="44"/>
      <c r="BM1211" s="44"/>
      <c r="BN1211" s="45"/>
      <c r="BO1211" s="45"/>
      <c r="BP1211" s="7"/>
      <c r="BQ1211" s="7" t="e">
        <f>VLOOKUP(A1211,[1]Sheet15!B:E,3,0)</f>
        <v>#N/A</v>
      </c>
    </row>
    <row r="1212" spans="1:69" ht="15.75" customHeight="1" x14ac:dyDescent="0.25">
      <c r="A1212" s="12"/>
      <c r="B1212" s="15" t="e">
        <f>VLOOKUP(A1212,'[1]Master clients'!F1210:W4757,17,0)</f>
        <v>#N/A</v>
      </c>
      <c r="C1212" s="15" t="e">
        <f>VLOOKUP(A1212,'[1]Master clients'!F1210:P4757,11,0)</f>
        <v>#N/A</v>
      </c>
      <c r="D1212" s="15" t="e">
        <f>VLOOKUP(A1212,'[1]Master clients'!F:M,8,0)</f>
        <v>#N/A</v>
      </c>
      <c r="E1212" s="12"/>
      <c r="F1212" s="6"/>
      <c r="G1212" s="6"/>
      <c r="H1212" s="6"/>
      <c r="I1212" s="43"/>
      <c r="J1212" s="43"/>
      <c r="K1212" s="6"/>
      <c r="L1212" s="6"/>
      <c r="M1212" s="6"/>
      <c r="N1212" s="6"/>
      <c r="O1212" s="6"/>
      <c r="P1212" s="6"/>
      <c r="Q1212" s="6"/>
      <c r="R1212" s="6"/>
      <c r="S1212" s="6"/>
      <c r="T1212" s="6"/>
      <c r="U1212" s="6"/>
      <c r="V1212" s="6"/>
      <c r="W1212" s="6"/>
      <c r="X1212" s="6"/>
      <c r="Y1212" s="6"/>
      <c r="Z1212" s="6"/>
      <c r="AA1212" s="6"/>
      <c r="AB1212" s="6"/>
      <c r="AC1212" s="6"/>
      <c r="AD1212" s="6"/>
      <c r="AE1212" s="6"/>
      <c r="AF1212" s="6"/>
      <c r="AG1212" s="6"/>
      <c r="AH1212" s="6"/>
      <c r="AI1212" s="6"/>
      <c r="AJ1212" s="6"/>
      <c r="AK1212" s="6"/>
      <c r="AL1212" s="6"/>
      <c r="AM1212" s="6"/>
      <c r="AN1212" s="6"/>
      <c r="AO1212" s="6"/>
      <c r="AP1212" s="6"/>
      <c r="AQ1212" s="6"/>
      <c r="AR1212" s="6"/>
      <c r="AS1212" s="6"/>
      <c r="AT1212" s="6"/>
      <c r="AU1212" s="6"/>
      <c r="AV1212" s="6"/>
      <c r="AW1212" s="6"/>
      <c r="AX1212" s="6"/>
      <c r="AY1212" s="6"/>
      <c r="AZ1212" s="6"/>
      <c r="BA1212" s="6"/>
      <c r="BB1212" s="6"/>
      <c r="BC1212" s="6"/>
      <c r="BD1212" s="6"/>
      <c r="BE1212" s="6"/>
      <c r="BF1212" s="6"/>
      <c r="BG1212" s="6"/>
      <c r="BH1212" s="6"/>
      <c r="BI1212" s="6"/>
      <c r="BJ1212" s="6"/>
      <c r="BK1212" s="6"/>
      <c r="BL1212" s="44"/>
      <c r="BM1212" s="44"/>
      <c r="BN1212" s="45"/>
      <c r="BO1212" s="45"/>
      <c r="BP1212" s="7"/>
      <c r="BQ1212" s="7" t="e">
        <f>VLOOKUP(A1212,[1]Sheet15!B:E,3,0)</f>
        <v>#N/A</v>
      </c>
    </row>
    <row r="1213" spans="1:69" ht="15.75" customHeight="1" x14ac:dyDescent="0.25">
      <c r="A1213" s="12"/>
      <c r="B1213" s="15" t="e">
        <f>VLOOKUP(A1213,'[1]Master clients'!F1211:W4758,17,0)</f>
        <v>#N/A</v>
      </c>
      <c r="C1213" s="15" t="e">
        <f>VLOOKUP(A1213,'[1]Master clients'!F1211:P4758,11,0)</f>
        <v>#N/A</v>
      </c>
      <c r="D1213" s="15" t="e">
        <f>VLOOKUP(A1213,'[1]Master clients'!F:M,8,0)</f>
        <v>#N/A</v>
      </c>
      <c r="E1213" s="12"/>
      <c r="F1213" s="6"/>
      <c r="G1213" s="6"/>
      <c r="H1213" s="6"/>
      <c r="I1213" s="43"/>
      <c r="J1213" s="43"/>
      <c r="K1213" s="6"/>
      <c r="L1213" s="6"/>
      <c r="M1213" s="6"/>
      <c r="N1213" s="6"/>
      <c r="O1213" s="6"/>
      <c r="P1213" s="6"/>
      <c r="Q1213" s="6"/>
      <c r="R1213" s="6"/>
      <c r="S1213" s="6"/>
      <c r="T1213" s="6"/>
      <c r="U1213" s="6"/>
      <c r="V1213" s="6"/>
      <c r="W1213" s="6"/>
      <c r="X1213" s="6"/>
      <c r="Y1213" s="6"/>
      <c r="Z1213" s="6"/>
      <c r="AA1213" s="6"/>
      <c r="AB1213" s="6"/>
      <c r="AC1213" s="6"/>
      <c r="AD1213" s="6"/>
      <c r="AE1213" s="6"/>
      <c r="AF1213" s="6"/>
      <c r="AG1213" s="6"/>
      <c r="AH1213" s="6"/>
      <c r="AI1213" s="6"/>
      <c r="AJ1213" s="6"/>
      <c r="AK1213" s="6"/>
      <c r="AL1213" s="6"/>
      <c r="AM1213" s="6"/>
      <c r="AN1213" s="6"/>
      <c r="AO1213" s="6"/>
      <c r="AP1213" s="6"/>
      <c r="AQ1213" s="6"/>
      <c r="AR1213" s="6"/>
      <c r="AS1213" s="6"/>
      <c r="AT1213" s="6"/>
      <c r="AU1213" s="6"/>
      <c r="AV1213" s="6"/>
      <c r="AW1213" s="6"/>
      <c r="AX1213" s="6"/>
      <c r="AY1213" s="6"/>
      <c r="AZ1213" s="6"/>
      <c r="BA1213" s="6"/>
      <c r="BB1213" s="6"/>
      <c r="BC1213" s="6"/>
      <c r="BD1213" s="6"/>
      <c r="BE1213" s="6"/>
      <c r="BF1213" s="6"/>
      <c r="BG1213" s="6"/>
      <c r="BH1213" s="6"/>
      <c r="BI1213" s="6"/>
      <c r="BJ1213" s="6"/>
      <c r="BK1213" s="6"/>
      <c r="BL1213" s="44"/>
      <c r="BM1213" s="44"/>
      <c r="BN1213" s="45"/>
      <c r="BO1213" s="45"/>
      <c r="BP1213" s="7"/>
      <c r="BQ1213" s="7" t="e">
        <f>VLOOKUP(A1213,[1]Sheet15!B:E,3,0)</f>
        <v>#N/A</v>
      </c>
    </row>
    <row r="1214" spans="1:69" ht="15.75" customHeight="1" x14ac:dyDescent="0.25">
      <c r="A1214" s="12"/>
      <c r="B1214" s="15" t="e">
        <f>VLOOKUP(A1214,'[1]Master clients'!F1212:W4759,17,0)</f>
        <v>#N/A</v>
      </c>
      <c r="C1214" s="15" t="e">
        <f>VLOOKUP(A1214,'[1]Master clients'!F1212:P4759,11,0)</f>
        <v>#N/A</v>
      </c>
      <c r="D1214" s="15" t="e">
        <f>VLOOKUP(A1214,'[1]Master clients'!F:M,8,0)</f>
        <v>#N/A</v>
      </c>
      <c r="E1214" s="12"/>
      <c r="F1214" s="6"/>
      <c r="G1214" s="6"/>
      <c r="H1214" s="6"/>
      <c r="I1214" s="43"/>
      <c r="J1214" s="43"/>
      <c r="K1214" s="6"/>
      <c r="L1214" s="6"/>
      <c r="M1214" s="6"/>
      <c r="N1214" s="6"/>
      <c r="O1214" s="6"/>
      <c r="P1214" s="6"/>
      <c r="Q1214" s="6"/>
      <c r="R1214" s="6"/>
      <c r="S1214" s="6"/>
      <c r="T1214" s="6"/>
      <c r="U1214" s="6"/>
      <c r="V1214" s="6"/>
      <c r="W1214" s="6"/>
      <c r="X1214" s="6"/>
      <c r="Y1214" s="6"/>
      <c r="Z1214" s="6"/>
      <c r="AA1214" s="6"/>
      <c r="AB1214" s="6"/>
      <c r="AC1214" s="6"/>
      <c r="AD1214" s="6"/>
      <c r="AE1214" s="6"/>
      <c r="AF1214" s="6"/>
      <c r="AG1214" s="6"/>
      <c r="AH1214" s="6"/>
      <c r="AI1214" s="6"/>
      <c r="AJ1214" s="6"/>
      <c r="AK1214" s="6"/>
      <c r="AL1214" s="6"/>
      <c r="AM1214" s="6"/>
      <c r="AN1214" s="6"/>
      <c r="AO1214" s="6"/>
      <c r="AP1214" s="6"/>
      <c r="AQ1214" s="6"/>
      <c r="AR1214" s="6"/>
      <c r="AS1214" s="6"/>
      <c r="AT1214" s="6"/>
      <c r="AU1214" s="6"/>
      <c r="AV1214" s="6"/>
      <c r="AW1214" s="6"/>
      <c r="AX1214" s="6"/>
      <c r="AY1214" s="6"/>
      <c r="AZ1214" s="6"/>
      <c r="BA1214" s="6"/>
      <c r="BB1214" s="6"/>
      <c r="BC1214" s="6"/>
      <c r="BD1214" s="6"/>
      <c r="BE1214" s="6"/>
      <c r="BF1214" s="6"/>
      <c r="BG1214" s="6"/>
      <c r="BH1214" s="6"/>
      <c r="BI1214" s="6"/>
      <c r="BJ1214" s="6"/>
      <c r="BK1214" s="6"/>
      <c r="BL1214" s="44"/>
      <c r="BM1214" s="44"/>
      <c r="BN1214" s="45"/>
      <c r="BO1214" s="45"/>
      <c r="BP1214" s="7"/>
      <c r="BQ1214" s="7" t="e">
        <f>VLOOKUP(A1214,[1]Sheet15!B:E,3,0)</f>
        <v>#N/A</v>
      </c>
    </row>
    <row r="1215" spans="1:69" ht="15.75" customHeight="1" x14ac:dyDescent="0.25">
      <c r="A1215" s="12"/>
      <c r="B1215" s="15" t="e">
        <f>VLOOKUP(A1215,'[1]Master clients'!F1213:W4760,17,0)</f>
        <v>#N/A</v>
      </c>
      <c r="C1215" s="15" t="e">
        <f>VLOOKUP(A1215,'[1]Master clients'!F1213:P4760,11,0)</f>
        <v>#N/A</v>
      </c>
      <c r="D1215" s="15" t="e">
        <f>VLOOKUP(A1215,'[1]Master clients'!F:M,8,0)</f>
        <v>#N/A</v>
      </c>
      <c r="E1215" s="12"/>
      <c r="F1215" s="6"/>
      <c r="G1215" s="6"/>
      <c r="H1215" s="6"/>
      <c r="I1215" s="43"/>
      <c r="J1215" s="43"/>
      <c r="K1215" s="6"/>
      <c r="L1215" s="6"/>
      <c r="M1215" s="6"/>
      <c r="N1215" s="6"/>
      <c r="O1215" s="6"/>
      <c r="P1215" s="6"/>
      <c r="Q1215" s="6"/>
      <c r="R1215" s="6"/>
      <c r="S1215" s="6"/>
      <c r="T1215" s="6"/>
      <c r="U1215" s="6"/>
      <c r="V1215" s="6"/>
      <c r="W1215" s="6"/>
      <c r="X1215" s="6"/>
      <c r="Y1215" s="6"/>
      <c r="Z1215" s="6"/>
      <c r="AA1215" s="6"/>
      <c r="AB1215" s="6"/>
      <c r="AC1215" s="6"/>
      <c r="AD1215" s="6"/>
      <c r="AE1215" s="6"/>
      <c r="AF1215" s="6"/>
      <c r="AG1215" s="6"/>
      <c r="AH1215" s="6"/>
      <c r="AI1215" s="6"/>
      <c r="AJ1215" s="6"/>
      <c r="AK1215" s="6"/>
      <c r="AL1215" s="6"/>
      <c r="AM1215" s="6"/>
      <c r="AN1215" s="6"/>
      <c r="AO1215" s="6"/>
      <c r="AP1215" s="6"/>
      <c r="AQ1215" s="6"/>
      <c r="AR1215" s="6"/>
      <c r="AS1215" s="6"/>
      <c r="AT1215" s="6"/>
      <c r="AU1215" s="6"/>
      <c r="AV1215" s="6"/>
      <c r="AW1215" s="6"/>
      <c r="AX1215" s="6"/>
      <c r="AY1215" s="6"/>
      <c r="AZ1215" s="6"/>
      <c r="BA1215" s="6"/>
      <c r="BB1215" s="6"/>
      <c r="BC1215" s="6"/>
      <c r="BD1215" s="6"/>
      <c r="BE1215" s="6"/>
      <c r="BF1215" s="6"/>
      <c r="BG1215" s="6"/>
      <c r="BH1215" s="6"/>
      <c r="BI1215" s="6"/>
      <c r="BJ1215" s="6"/>
      <c r="BK1215" s="6"/>
      <c r="BL1215" s="44"/>
      <c r="BM1215" s="44"/>
      <c r="BN1215" s="45"/>
      <c r="BO1215" s="45"/>
      <c r="BP1215" s="7"/>
      <c r="BQ1215" s="7" t="e">
        <f>VLOOKUP(A1215,[1]Sheet15!B:E,3,0)</f>
        <v>#N/A</v>
      </c>
    </row>
    <row r="1216" spans="1:69" ht="15.75" customHeight="1" x14ac:dyDescent="0.25">
      <c r="A1216" s="12"/>
      <c r="B1216" s="15" t="e">
        <f>VLOOKUP(A1216,'[1]Master clients'!F1214:W4761,17,0)</f>
        <v>#N/A</v>
      </c>
      <c r="C1216" s="15" t="e">
        <f>VLOOKUP(A1216,'[1]Master clients'!F1214:P4761,11,0)</f>
        <v>#N/A</v>
      </c>
      <c r="D1216" s="15" t="e">
        <f>VLOOKUP(A1216,'[1]Master clients'!F:M,8,0)</f>
        <v>#N/A</v>
      </c>
      <c r="E1216" s="12"/>
      <c r="F1216" s="6"/>
      <c r="G1216" s="6"/>
      <c r="H1216" s="6"/>
      <c r="I1216" s="43"/>
      <c r="J1216" s="43"/>
      <c r="K1216" s="6"/>
      <c r="L1216" s="6"/>
      <c r="M1216" s="6"/>
      <c r="N1216" s="6"/>
      <c r="O1216" s="6"/>
      <c r="P1216" s="6"/>
      <c r="Q1216" s="6"/>
      <c r="R1216" s="6"/>
      <c r="S1216" s="6"/>
      <c r="T1216" s="6"/>
      <c r="U1216" s="6"/>
      <c r="V1216" s="6"/>
      <c r="W1216" s="6"/>
      <c r="X1216" s="6"/>
      <c r="Y1216" s="6"/>
      <c r="Z1216" s="6"/>
      <c r="AA1216" s="6"/>
      <c r="AB1216" s="6"/>
      <c r="AC1216" s="6"/>
      <c r="AD1216" s="6"/>
      <c r="AE1216" s="6"/>
      <c r="AF1216" s="6"/>
      <c r="AG1216" s="6"/>
      <c r="AH1216" s="6"/>
      <c r="AI1216" s="6"/>
      <c r="AJ1216" s="6"/>
      <c r="AK1216" s="6"/>
      <c r="AL1216" s="6"/>
      <c r="AM1216" s="6"/>
      <c r="AN1216" s="6"/>
      <c r="AO1216" s="6"/>
      <c r="AP1216" s="6"/>
      <c r="AQ1216" s="6"/>
      <c r="AR1216" s="6"/>
      <c r="AS1216" s="6"/>
      <c r="AT1216" s="6"/>
      <c r="AU1216" s="6"/>
      <c r="AV1216" s="6"/>
      <c r="AW1216" s="6"/>
      <c r="AX1216" s="6"/>
      <c r="AY1216" s="6"/>
      <c r="AZ1216" s="6"/>
      <c r="BA1216" s="6"/>
      <c r="BB1216" s="6"/>
      <c r="BC1216" s="6"/>
      <c r="BD1216" s="6"/>
      <c r="BE1216" s="6"/>
      <c r="BF1216" s="6"/>
      <c r="BG1216" s="6"/>
      <c r="BH1216" s="6"/>
      <c r="BI1216" s="6"/>
      <c r="BJ1216" s="6"/>
      <c r="BK1216" s="6"/>
      <c r="BL1216" s="44"/>
      <c r="BM1216" s="44"/>
      <c r="BN1216" s="45"/>
      <c r="BO1216" s="45"/>
      <c r="BP1216" s="7"/>
      <c r="BQ1216" s="7" t="e">
        <f>VLOOKUP(A1216,[1]Sheet15!B:E,3,0)</f>
        <v>#N/A</v>
      </c>
    </row>
    <row r="1217" spans="1:69" ht="15.75" customHeight="1" x14ac:dyDescent="0.25">
      <c r="A1217" s="12"/>
      <c r="B1217" s="15" t="e">
        <f>VLOOKUP(A1217,'[1]Master clients'!F1215:W4762,17,0)</f>
        <v>#N/A</v>
      </c>
      <c r="C1217" s="15" t="e">
        <f>VLOOKUP(A1217,'[1]Master clients'!F1215:P4762,11,0)</f>
        <v>#N/A</v>
      </c>
      <c r="D1217" s="15" t="e">
        <f>VLOOKUP(A1217,'[1]Master clients'!F:M,8,0)</f>
        <v>#N/A</v>
      </c>
      <c r="E1217" s="12"/>
      <c r="F1217" s="6"/>
      <c r="G1217" s="6"/>
      <c r="H1217" s="6"/>
      <c r="I1217" s="43"/>
      <c r="J1217" s="43"/>
      <c r="K1217" s="6"/>
      <c r="L1217" s="6"/>
      <c r="M1217" s="6"/>
      <c r="N1217" s="6"/>
      <c r="O1217" s="6"/>
      <c r="P1217" s="6"/>
      <c r="Q1217" s="6"/>
      <c r="R1217" s="6"/>
      <c r="S1217" s="6"/>
      <c r="T1217" s="6"/>
      <c r="U1217" s="6"/>
      <c r="V1217" s="6"/>
      <c r="W1217" s="6"/>
      <c r="X1217" s="6"/>
      <c r="Y1217" s="6"/>
      <c r="Z1217" s="6"/>
      <c r="AA1217" s="6"/>
      <c r="AB1217" s="6"/>
      <c r="AC1217" s="6"/>
      <c r="AD1217" s="6"/>
      <c r="AE1217" s="6"/>
      <c r="AF1217" s="6"/>
      <c r="AG1217" s="6"/>
      <c r="AH1217" s="6"/>
      <c r="AI1217" s="6"/>
      <c r="AJ1217" s="6"/>
      <c r="AK1217" s="6"/>
      <c r="AL1217" s="6"/>
      <c r="AM1217" s="6"/>
      <c r="AN1217" s="6"/>
      <c r="AO1217" s="6"/>
      <c r="AP1217" s="6"/>
      <c r="AQ1217" s="6"/>
      <c r="AR1217" s="6"/>
      <c r="AS1217" s="6"/>
      <c r="AT1217" s="6"/>
      <c r="AU1217" s="6"/>
      <c r="AV1217" s="6"/>
      <c r="AW1217" s="6"/>
      <c r="AX1217" s="6"/>
      <c r="AY1217" s="6"/>
      <c r="AZ1217" s="6"/>
      <c r="BA1217" s="6"/>
      <c r="BB1217" s="6"/>
      <c r="BC1217" s="6"/>
      <c r="BD1217" s="6"/>
      <c r="BE1217" s="6"/>
      <c r="BF1217" s="6"/>
      <c r="BG1217" s="6"/>
      <c r="BH1217" s="6"/>
      <c r="BI1217" s="6"/>
      <c r="BJ1217" s="6"/>
      <c r="BK1217" s="6"/>
      <c r="BL1217" s="44"/>
      <c r="BM1217" s="44"/>
      <c r="BN1217" s="45"/>
      <c r="BO1217" s="45"/>
      <c r="BP1217" s="7"/>
      <c r="BQ1217" s="7" t="e">
        <f>VLOOKUP(A1217,[1]Sheet15!B:E,3,0)</f>
        <v>#N/A</v>
      </c>
    </row>
    <row r="1218" spans="1:69" ht="15.75" customHeight="1" x14ac:dyDescent="0.25">
      <c r="A1218" s="12"/>
      <c r="B1218" s="15" t="e">
        <f>VLOOKUP(A1218,'[1]Master clients'!F1216:W4763,17,0)</f>
        <v>#N/A</v>
      </c>
      <c r="C1218" s="15" t="e">
        <f>VLOOKUP(A1218,'[1]Master clients'!F1216:P4763,11,0)</f>
        <v>#N/A</v>
      </c>
      <c r="D1218" s="15" t="e">
        <f>VLOOKUP(A1218,'[1]Master clients'!F:M,8,0)</f>
        <v>#N/A</v>
      </c>
      <c r="E1218" s="12"/>
      <c r="F1218" s="6"/>
      <c r="G1218" s="6"/>
      <c r="H1218" s="6"/>
      <c r="I1218" s="43"/>
      <c r="J1218" s="43"/>
      <c r="K1218" s="6"/>
      <c r="L1218" s="6"/>
      <c r="M1218" s="6"/>
      <c r="N1218" s="6"/>
      <c r="O1218" s="6"/>
      <c r="P1218" s="6"/>
      <c r="Q1218" s="6"/>
      <c r="R1218" s="6"/>
      <c r="S1218" s="6"/>
      <c r="T1218" s="6"/>
      <c r="U1218" s="6"/>
      <c r="V1218" s="6"/>
      <c r="W1218" s="6"/>
      <c r="X1218" s="6"/>
      <c r="Y1218" s="6"/>
      <c r="Z1218" s="6"/>
      <c r="AA1218" s="6"/>
      <c r="AB1218" s="6"/>
      <c r="AC1218" s="6"/>
      <c r="AD1218" s="6"/>
      <c r="AE1218" s="6"/>
      <c r="AF1218" s="6"/>
      <c r="AG1218" s="6"/>
      <c r="AH1218" s="6"/>
      <c r="AI1218" s="6"/>
      <c r="AJ1218" s="6"/>
      <c r="AK1218" s="6"/>
      <c r="AL1218" s="6"/>
      <c r="AM1218" s="6"/>
      <c r="AN1218" s="6"/>
      <c r="AO1218" s="6"/>
      <c r="AP1218" s="6"/>
      <c r="AQ1218" s="6"/>
      <c r="AR1218" s="6"/>
      <c r="AS1218" s="6"/>
      <c r="AT1218" s="6"/>
      <c r="AU1218" s="6"/>
      <c r="AV1218" s="6"/>
      <c r="AW1218" s="6"/>
      <c r="AX1218" s="6"/>
      <c r="AY1218" s="6"/>
      <c r="AZ1218" s="6"/>
      <c r="BA1218" s="6"/>
      <c r="BB1218" s="6"/>
      <c r="BC1218" s="6"/>
      <c r="BD1218" s="6"/>
      <c r="BE1218" s="6"/>
      <c r="BF1218" s="6"/>
      <c r="BG1218" s="6"/>
      <c r="BH1218" s="6"/>
      <c r="BI1218" s="6"/>
      <c r="BJ1218" s="6"/>
      <c r="BK1218" s="6"/>
      <c r="BL1218" s="44"/>
      <c r="BM1218" s="44"/>
      <c r="BN1218" s="45"/>
      <c r="BO1218" s="45"/>
      <c r="BP1218" s="7"/>
      <c r="BQ1218" s="7" t="e">
        <f>VLOOKUP(A1218,[1]Sheet15!B:E,3,0)</f>
        <v>#N/A</v>
      </c>
    </row>
    <row r="1219" spans="1:69" ht="15.75" customHeight="1" x14ac:dyDescent="0.25">
      <c r="A1219" s="12"/>
      <c r="B1219" s="15" t="e">
        <f>VLOOKUP(A1219,'[1]Master clients'!F1217:W4764,17,0)</f>
        <v>#N/A</v>
      </c>
      <c r="C1219" s="15" t="e">
        <f>VLOOKUP(A1219,'[1]Master clients'!F1217:P4764,11,0)</f>
        <v>#N/A</v>
      </c>
      <c r="D1219" s="15" t="e">
        <f>VLOOKUP(A1219,'[1]Master clients'!F:M,8,0)</f>
        <v>#N/A</v>
      </c>
      <c r="E1219" s="12"/>
      <c r="F1219" s="6"/>
      <c r="G1219" s="6"/>
      <c r="H1219" s="6"/>
      <c r="I1219" s="43"/>
      <c r="J1219" s="43"/>
      <c r="K1219" s="6"/>
      <c r="L1219" s="6"/>
      <c r="M1219" s="6"/>
      <c r="N1219" s="6"/>
      <c r="O1219" s="6"/>
      <c r="P1219" s="6"/>
      <c r="Q1219" s="6"/>
      <c r="R1219" s="6"/>
      <c r="S1219" s="6"/>
      <c r="T1219" s="6"/>
      <c r="U1219" s="6"/>
      <c r="V1219" s="6"/>
      <c r="W1219" s="6"/>
      <c r="X1219" s="6"/>
      <c r="Y1219" s="6"/>
      <c r="Z1219" s="6"/>
      <c r="AA1219" s="6"/>
      <c r="AB1219" s="6"/>
      <c r="AC1219" s="6"/>
      <c r="AD1219" s="6"/>
      <c r="AE1219" s="6"/>
      <c r="AF1219" s="6"/>
      <c r="AG1219" s="6"/>
      <c r="AH1219" s="6"/>
      <c r="AI1219" s="6"/>
      <c r="AJ1219" s="6"/>
      <c r="AK1219" s="6"/>
      <c r="AL1219" s="6"/>
      <c r="AM1219" s="6"/>
      <c r="AN1219" s="6"/>
      <c r="AO1219" s="6"/>
      <c r="AP1219" s="6"/>
      <c r="AQ1219" s="6"/>
      <c r="AR1219" s="6"/>
      <c r="AS1219" s="6"/>
      <c r="AT1219" s="6"/>
      <c r="AU1219" s="6"/>
      <c r="AV1219" s="6"/>
      <c r="AW1219" s="6"/>
      <c r="AX1219" s="6"/>
      <c r="AY1219" s="6"/>
      <c r="AZ1219" s="6"/>
      <c r="BA1219" s="6"/>
      <c r="BB1219" s="6"/>
      <c r="BC1219" s="6"/>
      <c r="BD1219" s="6"/>
      <c r="BE1219" s="6"/>
      <c r="BF1219" s="6"/>
      <c r="BG1219" s="6"/>
      <c r="BH1219" s="6"/>
      <c r="BI1219" s="6"/>
      <c r="BJ1219" s="6"/>
      <c r="BK1219" s="6"/>
      <c r="BL1219" s="44"/>
      <c r="BM1219" s="44"/>
      <c r="BN1219" s="45"/>
      <c r="BO1219" s="45"/>
      <c r="BP1219" s="7"/>
      <c r="BQ1219" s="7" t="e">
        <f>VLOOKUP(A1219,[1]Sheet15!B:E,3,0)</f>
        <v>#N/A</v>
      </c>
    </row>
    <row r="1220" spans="1:69" ht="15.75" customHeight="1" x14ac:dyDescent="0.25">
      <c r="A1220" s="12"/>
      <c r="B1220" s="15" t="e">
        <f>VLOOKUP(A1220,'[1]Master clients'!F1218:W4765,17,0)</f>
        <v>#N/A</v>
      </c>
      <c r="C1220" s="15" t="e">
        <f>VLOOKUP(A1220,'[1]Master clients'!F1218:P4765,11,0)</f>
        <v>#N/A</v>
      </c>
      <c r="D1220" s="15" t="e">
        <f>VLOOKUP(A1220,'[1]Master clients'!F:M,8,0)</f>
        <v>#N/A</v>
      </c>
      <c r="E1220" s="12"/>
      <c r="F1220" s="6"/>
      <c r="G1220" s="6"/>
      <c r="H1220" s="6"/>
      <c r="I1220" s="43"/>
      <c r="J1220" s="43"/>
      <c r="K1220" s="6"/>
      <c r="L1220" s="6"/>
      <c r="M1220" s="6"/>
      <c r="N1220" s="6"/>
      <c r="O1220" s="6"/>
      <c r="P1220" s="6"/>
      <c r="Q1220" s="6"/>
      <c r="R1220" s="6"/>
      <c r="S1220" s="6"/>
      <c r="T1220" s="6"/>
      <c r="U1220" s="6"/>
      <c r="V1220" s="6"/>
      <c r="W1220" s="6"/>
      <c r="X1220" s="6"/>
      <c r="Y1220" s="6"/>
      <c r="Z1220" s="6"/>
      <c r="AA1220" s="6"/>
      <c r="AB1220" s="6"/>
      <c r="AC1220" s="6"/>
      <c r="AD1220" s="6"/>
      <c r="AE1220" s="6"/>
      <c r="AF1220" s="6"/>
      <c r="AG1220" s="6"/>
      <c r="AH1220" s="6"/>
      <c r="AI1220" s="6"/>
      <c r="AJ1220" s="6"/>
      <c r="AK1220" s="6"/>
      <c r="AL1220" s="6"/>
      <c r="AM1220" s="6"/>
      <c r="AN1220" s="6"/>
      <c r="AO1220" s="6"/>
      <c r="AP1220" s="6"/>
      <c r="AQ1220" s="6"/>
      <c r="AR1220" s="6"/>
      <c r="AS1220" s="6"/>
      <c r="AT1220" s="6"/>
      <c r="AU1220" s="6"/>
      <c r="AV1220" s="6"/>
      <c r="AW1220" s="6"/>
      <c r="AX1220" s="6"/>
      <c r="AY1220" s="6"/>
      <c r="AZ1220" s="6"/>
      <c r="BA1220" s="6"/>
      <c r="BB1220" s="6"/>
      <c r="BC1220" s="6"/>
      <c r="BD1220" s="6"/>
      <c r="BE1220" s="6"/>
      <c r="BF1220" s="6"/>
      <c r="BG1220" s="6"/>
      <c r="BH1220" s="6"/>
      <c r="BI1220" s="6"/>
      <c r="BJ1220" s="6"/>
      <c r="BK1220" s="6"/>
      <c r="BL1220" s="44"/>
      <c r="BM1220" s="44"/>
      <c r="BN1220" s="45"/>
      <c r="BO1220" s="45"/>
      <c r="BP1220" s="7"/>
      <c r="BQ1220" s="7" t="e">
        <f>VLOOKUP(A1220,[1]Sheet15!B:E,3,0)</f>
        <v>#N/A</v>
      </c>
    </row>
    <row r="1221" spans="1:69" ht="15.75" customHeight="1" x14ac:dyDescent="0.25">
      <c r="A1221" s="12"/>
      <c r="B1221" s="15" t="e">
        <f>VLOOKUP(A1221,'[1]Master clients'!F1219:W4766,17,0)</f>
        <v>#N/A</v>
      </c>
      <c r="C1221" s="15" t="e">
        <f>VLOOKUP(A1221,'[1]Master clients'!F1219:P4766,11,0)</f>
        <v>#N/A</v>
      </c>
      <c r="D1221" s="15" t="e">
        <f>VLOOKUP(A1221,'[1]Master clients'!F:M,8,0)</f>
        <v>#N/A</v>
      </c>
      <c r="E1221" s="12"/>
      <c r="F1221" s="6"/>
      <c r="G1221" s="6"/>
      <c r="H1221" s="6"/>
      <c r="I1221" s="43"/>
      <c r="J1221" s="43"/>
      <c r="K1221" s="6"/>
      <c r="L1221" s="6"/>
      <c r="M1221" s="6"/>
      <c r="N1221" s="6"/>
      <c r="O1221" s="6"/>
      <c r="P1221" s="6"/>
      <c r="Q1221" s="6"/>
      <c r="R1221" s="6"/>
      <c r="S1221" s="6"/>
      <c r="T1221" s="6"/>
      <c r="U1221" s="6"/>
      <c r="V1221" s="6"/>
      <c r="W1221" s="6"/>
      <c r="X1221" s="6"/>
      <c r="Y1221" s="6"/>
      <c r="Z1221" s="6"/>
      <c r="AA1221" s="6"/>
      <c r="AB1221" s="6"/>
      <c r="AC1221" s="6"/>
      <c r="AD1221" s="6"/>
      <c r="AE1221" s="6"/>
      <c r="AF1221" s="6"/>
      <c r="AG1221" s="6"/>
      <c r="AH1221" s="6"/>
      <c r="AI1221" s="6"/>
      <c r="AJ1221" s="6"/>
      <c r="AK1221" s="6"/>
      <c r="AL1221" s="6"/>
      <c r="AM1221" s="6"/>
      <c r="AN1221" s="6"/>
      <c r="AO1221" s="6"/>
      <c r="AP1221" s="6"/>
      <c r="AQ1221" s="6"/>
      <c r="AR1221" s="6"/>
      <c r="AS1221" s="6"/>
      <c r="AT1221" s="6"/>
      <c r="AU1221" s="6"/>
      <c r="AV1221" s="6"/>
      <c r="AW1221" s="6"/>
      <c r="AX1221" s="6"/>
      <c r="AY1221" s="6"/>
      <c r="AZ1221" s="6"/>
      <c r="BA1221" s="6"/>
      <c r="BB1221" s="6"/>
      <c r="BC1221" s="6"/>
      <c r="BD1221" s="6"/>
      <c r="BE1221" s="6"/>
      <c r="BF1221" s="6"/>
      <c r="BG1221" s="6"/>
      <c r="BH1221" s="6"/>
      <c r="BI1221" s="6"/>
      <c r="BJ1221" s="6"/>
      <c r="BK1221" s="6"/>
      <c r="BL1221" s="44"/>
      <c r="BM1221" s="44"/>
      <c r="BN1221" s="45"/>
      <c r="BO1221" s="45"/>
      <c r="BP1221" s="7"/>
      <c r="BQ1221" s="7" t="e">
        <f>VLOOKUP(A1221,[1]Sheet15!B:E,3,0)</f>
        <v>#N/A</v>
      </c>
    </row>
    <row r="1222" spans="1:69" ht="15.75" customHeight="1" x14ac:dyDescent="0.25">
      <c r="A1222" s="12"/>
      <c r="B1222" s="15" t="e">
        <f>VLOOKUP(A1222,'[1]Master clients'!F1220:W4767,17,0)</f>
        <v>#N/A</v>
      </c>
      <c r="C1222" s="15" t="e">
        <f>VLOOKUP(A1222,'[1]Master clients'!F1220:P4767,11,0)</f>
        <v>#N/A</v>
      </c>
      <c r="D1222" s="15" t="e">
        <f>VLOOKUP(A1222,'[1]Master clients'!F:M,8,0)</f>
        <v>#N/A</v>
      </c>
      <c r="E1222" s="12"/>
      <c r="F1222" s="6"/>
      <c r="G1222" s="6"/>
      <c r="H1222" s="6"/>
      <c r="I1222" s="43"/>
      <c r="J1222" s="43"/>
      <c r="K1222" s="6"/>
      <c r="L1222" s="6"/>
      <c r="M1222" s="6"/>
      <c r="N1222" s="6"/>
      <c r="O1222" s="6"/>
      <c r="P1222" s="6"/>
      <c r="Q1222" s="6"/>
      <c r="R1222" s="6"/>
      <c r="S1222" s="6"/>
      <c r="T1222" s="6"/>
      <c r="U1222" s="6"/>
      <c r="V1222" s="6"/>
      <c r="W1222" s="6"/>
      <c r="X1222" s="6"/>
      <c r="Y1222" s="6"/>
      <c r="Z1222" s="6"/>
      <c r="AA1222" s="6"/>
      <c r="AB1222" s="6"/>
      <c r="AC1222" s="6"/>
      <c r="AD1222" s="6"/>
      <c r="AE1222" s="6"/>
      <c r="AF1222" s="6"/>
      <c r="AG1222" s="6"/>
      <c r="AH1222" s="6"/>
      <c r="AI1222" s="6"/>
      <c r="AJ1222" s="6"/>
      <c r="AK1222" s="6"/>
      <c r="AL1222" s="6"/>
      <c r="AM1222" s="6"/>
      <c r="AN1222" s="6"/>
      <c r="AO1222" s="6"/>
      <c r="AP1222" s="6"/>
      <c r="AQ1222" s="6"/>
      <c r="AR1222" s="6"/>
      <c r="AS1222" s="6"/>
      <c r="AT1222" s="6"/>
      <c r="AU1222" s="6"/>
      <c r="AV1222" s="6"/>
      <c r="AW1222" s="6"/>
      <c r="AX1222" s="6"/>
      <c r="AY1222" s="6"/>
      <c r="AZ1222" s="6"/>
      <c r="BA1222" s="6"/>
      <c r="BB1222" s="6"/>
      <c r="BC1222" s="6"/>
      <c r="BD1222" s="6"/>
      <c r="BE1222" s="6"/>
      <c r="BF1222" s="6"/>
      <c r="BG1222" s="6"/>
      <c r="BH1222" s="6"/>
      <c r="BI1222" s="6"/>
      <c r="BJ1222" s="6"/>
      <c r="BK1222" s="6"/>
      <c r="BL1222" s="44"/>
      <c r="BM1222" s="44"/>
      <c r="BN1222" s="45"/>
      <c r="BO1222" s="45"/>
      <c r="BP1222" s="7"/>
      <c r="BQ1222" s="7" t="e">
        <f>VLOOKUP(A1222,[1]Sheet15!B:E,3,0)</f>
        <v>#N/A</v>
      </c>
    </row>
    <row r="1223" spans="1:69" ht="15.75" customHeight="1" x14ac:dyDescent="0.25">
      <c r="A1223" s="12"/>
      <c r="B1223" s="15" t="e">
        <f>VLOOKUP(A1223,'[1]Master clients'!F1221:W4768,17,0)</f>
        <v>#N/A</v>
      </c>
      <c r="C1223" s="15" t="e">
        <f>VLOOKUP(A1223,'[1]Master clients'!F1221:P4768,11,0)</f>
        <v>#N/A</v>
      </c>
      <c r="D1223" s="15" t="e">
        <f>VLOOKUP(A1223,'[1]Master clients'!F:M,8,0)</f>
        <v>#N/A</v>
      </c>
      <c r="E1223" s="12"/>
      <c r="F1223" s="6"/>
      <c r="G1223" s="6"/>
      <c r="H1223" s="6"/>
      <c r="I1223" s="43"/>
      <c r="J1223" s="43"/>
      <c r="K1223" s="6"/>
      <c r="L1223" s="6"/>
      <c r="M1223" s="6"/>
      <c r="N1223" s="6"/>
      <c r="O1223" s="6"/>
      <c r="P1223" s="6"/>
      <c r="Q1223" s="6"/>
      <c r="R1223" s="6"/>
      <c r="S1223" s="6"/>
      <c r="T1223" s="6"/>
      <c r="U1223" s="6"/>
      <c r="V1223" s="6"/>
      <c r="W1223" s="6"/>
      <c r="X1223" s="6"/>
      <c r="Y1223" s="6"/>
      <c r="Z1223" s="6"/>
      <c r="AA1223" s="6"/>
      <c r="AB1223" s="6"/>
      <c r="AC1223" s="6"/>
      <c r="AD1223" s="6"/>
      <c r="AE1223" s="6"/>
      <c r="AF1223" s="6"/>
      <c r="AG1223" s="6"/>
      <c r="AH1223" s="6"/>
      <c r="AI1223" s="6"/>
      <c r="AJ1223" s="6"/>
      <c r="AK1223" s="6"/>
      <c r="AL1223" s="6"/>
      <c r="AM1223" s="6"/>
      <c r="AN1223" s="6"/>
      <c r="AO1223" s="6"/>
      <c r="AP1223" s="6"/>
      <c r="AQ1223" s="6"/>
      <c r="AR1223" s="6"/>
      <c r="AS1223" s="6"/>
      <c r="AT1223" s="6"/>
      <c r="AU1223" s="6"/>
      <c r="AV1223" s="6"/>
      <c r="AW1223" s="6"/>
      <c r="AX1223" s="6"/>
      <c r="AY1223" s="6"/>
      <c r="AZ1223" s="6"/>
      <c r="BA1223" s="6"/>
      <c r="BB1223" s="6"/>
      <c r="BC1223" s="6"/>
      <c r="BD1223" s="6"/>
      <c r="BE1223" s="6"/>
      <c r="BF1223" s="6"/>
      <c r="BG1223" s="6"/>
      <c r="BH1223" s="6"/>
      <c r="BI1223" s="6"/>
      <c r="BJ1223" s="6"/>
      <c r="BK1223" s="6"/>
      <c r="BL1223" s="44"/>
      <c r="BM1223" s="44"/>
      <c r="BN1223" s="45"/>
      <c r="BO1223" s="45"/>
      <c r="BP1223" s="7"/>
      <c r="BQ1223" s="7" t="e">
        <f>VLOOKUP(A1223,[1]Sheet15!B:E,3,0)</f>
        <v>#N/A</v>
      </c>
    </row>
    <row r="1224" spans="1:69" ht="15.75" customHeight="1" x14ac:dyDescent="0.25">
      <c r="A1224" s="12"/>
      <c r="B1224" s="15" t="e">
        <f>VLOOKUP(A1224,'[1]Master clients'!F1222:W4769,17,0)</f>
        <v>#N/A</v>
      </c>
      <c r="C1224" s="15" t="e">
        <f>VLOOKUP(A1224,'[1]Master clients'!F1222:P4769,11,0)</f>
        <v>#N/A</v>
      </c>
      <c r="D1224" s="15" t="e">
        <f>VLOOKUP(A1224,'[1]Master clients'!F:M,8,0)</f>
        <v>#N/A</v>
      </c>
      <c r="E1224" s="12"/>
      <c r="F1224" s="6"/>
      <c r="G1224" s="6"/>
      <c r="H1224" s="6"/>
      <c r="I1224" s="43"/>
      <c r="J1224" s="43"/>
      <c r="K1224" s="6"/>
      <c r="L1224" s="6"/>
      <c r="M1224" s="6"/>
      <c r="N1224" s="6"/>
      <c r="O1224" s="6"/>
      <c r="P1224" s="6"/>
      <c r="Q1224" s="6"/>
      <c r="R1224" s="6"/>
      <c r="S1224" s="6"/>
      <c r="T1224" s="6"/>
      <c r="U1224" s="6"/>
      <c r="V1224" s="6"/>
      <c r="W1224" s="6"/>
      <c r="X1224" s="6"/>
      <c r="Y1224" s="6"/>
      <c r="Z1224" s="6"/>
      <c r="AA1224" s="6"/>
      <c r="AB1224" s="6"/>
      <c r="AC1224" s="6"/>
      <c r="AD1224" s="6"/>
      <c r="AE1224" s="6"/>
      <c r="AF1224" s="6"/>
      <c r="AG1224" s="6"/>
      <c r="AH1224" s="6"/>
      <c r="AI1224" s="6"/>
      <c r="AJ1224" s="6"/>
      <c r="AK1224" s="6"/>
      <c r="AL1224" s="6"/>
      <c r="AM1224" s="6"/>
      <c r="AN1224" s="6"/>
      <c r="AO1224" s="6"/>
      <c r="AP1224" s="6"/>
      <c r="AQ1224" s="6"/>
      <c r="AR1224" s="6"/>
      <c r="AS1224" s="6"/>
      <c r="AT1224" s="6"/>
      <c r="AU1224" s="6"/>
      <c r="AV1224" s="6"/>
      <c r="AW1224" s="6"/>
      <c r="AX1224" s="6"/>
      <c r="AY1224" s="6"/>
      <c r="AZ1224" s="6"/>
      <c r="BA1224" s="6"/>
      <c r="BB1224" s="6"/>
      <c r="BC1224" s="6"/>
      <c r="BD1224" s="6"/>
      <c r="BE1224" s="6"/>
      <c r="BF1224" s="6"/>
      <c r="BG1224" s="6"/>
      <c r="BH1224" s="6"/>
      <c r="BI1224" s="6"/>
      <c r="BJ1224" s="6"/>
      <c r="BK1224" s="6"/>
      <c r="BL1224" s="44"/>
      <c r="BM1224" s="44"/>
      <c r="BN1224" s="45"/>
      <c r="BO1224" s="45"/>
      <c r="BP1224" s="7"/>
      <c r="BQ1224" s="7" t="e">
        <f>VLOOKUP(A1224,[1]Sheet15!B:E,3,0)</f>
        <v>#N/A</v>
      </c>
    </row>
    <row r="1225" spans="1:69" ht="15.75" customHeight="1" x14ac:dyDescent="0.25">
      <c r="A1225" s="12"/>
      <c r="B1225" s="15" t="e">
        <f>VLOOKUP(A1225,'[1]Master clients'!F1223:W4770,17,0)</f>
        <v>#N/A</v>
      </c>
      <c r="C1225" s="15" t="e">
        <f>VLOOKUP(A1225,'[1]Master clients'!F1223:P4770,11,0)</f>
        <v>#N/A</v>
      </c>
      <c r="D1225" s="15" t="e">
        <f>VLOOKUP(A1225,'[1]Master clients'!F:M,8,0)</f>
        <v>#N/A</v>
      </c>
      <c r="E1225" s="12"/>
      <c r="F1225" s="6"/>
      <c r="G1225" s="6"/>
      <c r="H1225" s="6"/>
      <c r="I1225" s="43"/>
      <c r="J1225" s="43"/>
      <c r="K1225" s="6"/>
      <c r="L1225" s="6"/>
      <c r="M1225" s="6"/>
      <c r="N1225" s="6"/>
      <c r="O1225" s="6"/>
      <c r="P1225" s="6"/>
      <c r="Q1225" s="6"/>
      <c r="R1225" s="6"/>
      <c r="S1225" s="6"/>
      <c r="T1225" s="6"/>
      <c r="U1225" s="6"/>
      <c r="V1225" s="6"/>
      <c r="W1225" s="6"/>
      <c r="X1225" s="6"/>
      <c r="Y1225" s="6"/>
      <c r="Z1225" s="6"/>
      <c r="AA1225" s="6"/>
      <c r="AB1225" s="6"/>
      <c r="AC1225" s="6"/>
      <c r="AD1225" s="6"/>
      <c r="AE1225" s="6"/>
      <c r="AF1225" s="6"/>
      <c r="AG1225" s="6"/>
      <c r="AH1225" s="6"/>
      <c r="AI1225" s="6"/>
      <c r="AJ1225" s="6"/>
      <c r="AK1225" s="6"/>
      <c r="AL1225" s="6"/>
      <c r="AM1225" s="6"/>
      <c r="AN1225" s="6"/>
      <c r="AO1225" s="6"/>
      <c r="AP1225" s="6"/>
      <c r="AQ1225" s="6"/>
      <c r="AR1225" s="6"/>
      <c r="AS1225" s="6"/>
      <c r="AT1225" s="6"/>
      <c r="AU1225" s="6"/>
      <c r="AV1225" s="6"/>
      <c r="AW1225" s="6"/>
      <c r="AX1225" s="6"/>
      <c r="AY1225" s="6"/>
      <c r="AZ1225" s="6"/>
      <c r="BA1225" s="6"/>
      <c r="BB1225" s="6"/>
      <c r="BC1225" s="6"/>
      <c r="BD1225" s="6"/>
      <c r="BE1225" s="6"/>
      <c r="BF1225" s="6"/>
      <c r="BG1225" s="6"/>
      <c r="BH1225" s="6"/>
      <c r="BI1225" s="6"/>
      <c r="BJ1225" s="6"/>
      <c r="BK1225" s="6"/>
      <c r="BL1225" s="44"/>
      <c r="BM1225" s="44"/>
      <c r="BN1225" s="45"/>
      <c r="BO1225" s="45"/>
      <c r="BP1225" s="7"/>
      <c r="BQ1225" s="7" t="e">
        <f>VLOOKUP(A1225,[1]Sheet15!B:E,3,0)</f>
        <v>#N/A</v>
      </c>
    </row>
    <row r="1226" spans="1:69" ht="15.75" customHeight="1" x14ac:dyDescent="0.25">
      <c r="A1226" s="12"/>
      <c r="B1226" s="15" t="e">
        <f>VLOOKUP(A1226,'[1]Master clients'!F1224:W4771,17,0)</f>
        <v>#N/A</v>
      </c>
      <c r="C1226" s="15" t="e">
        <f>VLOOKUP(A1226,'[1]Master clients'!F1224:P4771,11,0)</f>
        <v>#N/A</v>
      </c>
      <c r="D1226" s="15" t="e">
        <f>VLOOKUP(A1226,'[1]Master clients'!F:M,8,0)</f>
        <v>#N/A</v>
      </c>
      <c r="E1226" s="12"/>
      <c r="F1226" s="6"/>
      <c r="G1226" s="6"/>
      <c r="H1226" s="6"/>
      <c r="I1226" s="43"/>
      <c r="J1226" s="43"/>
      <c r="K1226" s="6"/>
      <c r="L1226" s="6"/>
      <c r="M1226" s="6"/>
      <c r="N1226" s="6"/>
      <c r="O1226" s="6"/>
      <c r="P1226" s="6"/>
      <c r="Q1226" s="6"/>
      <c r="R1226" s="6"/>
      <c r="S1226" s="6"/>
      <c r="T1226" s="6"/>
      <c r="U1226" s="6"/>
      <c r="V1226" s="6"/>
      <c r="W1226" s="6"/>
      <c r="X1226" s="6"/>
      <c r="Y1226" s="6"/>
      <c r="Z1226" s="6"/>
      <c r="AA1226" s="6"/>
      <c r="AB1226" s="6"/>
      <c r="AC1226" s="6"/>
      <c r="AD1226" s="6"/>
      <c r="AE1226" s="6"/>
      <c r="AF1226" s="6"/>
      <c r="AG1226" s="6"/>
      <c r="AH1226" s="6"/>
      <c r="AI1226" s="6"/>
      <c r="AJ1226" s="6"/>
      <c r="AK1226" s="6"/>
      <c r="AL1226" s="6"/>
      <c r="AM1226" s="6"/>
      <c r="AN1226" s="6"/>
      <c r="AO1226" s="6"/>
      <c r="AP1226" s="6"/>
      <c r="AQ1226" s="6"/>
      <c r="AR1226" s="6"/>
      <c r="AS1226" s="6"/>
      <c r="AT1226" s="6"/>
      <c r="AU1226" s="6"/>
      <c r="AV1226" s="6"/>
      <c r="AW1226" s="6"/>
      <c r="AX1226" s="6"/>
      <c r="AY1226" s="6"/>
      <c r="AZ1226" s="6"/>
      <c r="BA1226" s="6"/>
      <c r="BB1226" s="6"/>
      <c r="BC1226" s="6"/>
      <c r="BD1226" s="6"/>
      <c r="BE1226" s="6"/>
      <c r="BF1226" s="6"/>
      <c r="BG1226" s="6"/>
      <c r="BH1226" s="6"/>
      <c r="BI1226" s="6"/>
      <c r="BJ1226" s="6"/>
      <c r="BK1226" s="6"/>
      <c r="BL1226" s="44"/>
      <c r="BM1226" s="44"/>
      <c r="BN1226" s="45"/>
      <c r="BO1226" s="45"/>
      <c r="BP1226" s="7"/>
      <c r="BQ1226" s="7" t="e">
        <f>VLOOKUP(A1226,[1]Sheet15!B:E,3,0)</f>
        <v>#N/A</v>
      </c>
    </row>
    <row r="1227" spans="1:69" ht="15.75" customHeight="1" x14ac:dyDescent="0.25">
      <c r="A1227" s="12"/>
      <c r="B1227" s="15" t="e">
        <f>VLOOKUP(A1227,'[1]Master clients'!F1225:W4772,17,0)</f>
        <v>#N/A</v>
      </c>
      <c r="C1227" s="15" t="e">
        <f>VLOOKUP(A1227,'[1]Master clients'!F1225:P4772,11,0)</f>
        <v>#N/A</v>
      </c>
      <c r="D1227" s="15" t="e">
        <f>VLOOKUP(A1227,'[1]Master clients'!F:M,8,0)</f>
        <v>#N/A</v>
      </c>
      <c r="E1227" s="12"/>
      <c r="F1227" s="6"/>
      <c r="G1227" s="6"/>
      <c r="H1227" s="6"/>
      <c r="I1227" s="43"/>
      <c r="J1227" s="43"/>
      <c r="K1227" s="6"/>
      <c r="L1227" s="6"/>
      <c r="M1227" s="6"/>
      <c r="N1227" s="6"/>
      <c r="O1227" s="6"/>
      <c r="P1227" s="6"/>
      <c r="Q1227" s="6"/>
      <c r="R1227" s="6"/>
      <c r="S1227" s="6"/>
      <c r="T1227" s="6"/>
      <c r="U1227" s="6"/>
      <c r="V1227" s="6"/>
      <c r="W1227" s="6"/>
      <c r="X1227" s="6"/>
      <c r="Y1227" s="6"/>
      <c r="Z1227" s="6"/>
      <c r="AA1227" s="6"/>
      <c r="AB1227" s="6"/>
      <c r="AC1227" s="6"/>
      <c r="AD1227" s="6"/>
      <c r="AE1227" s="6"/>
      <c r="AF1227" s="6"/>
      <c r="AG1227" s="6"/>
      <c r="AH1227" s="6"/>
      <c r="AI1227" s="6"/>
      <c r="AJ1227" s="6"/>
      <c r="AK1227" s="6"/>
      <c r="AL1227" s="6"/>
      <c r="AM1227" s="6"/>
      <c r="AN1227" s="6"/>
      <c r="AO1227" s="6"/>
      <c r="AP1227" s="6"/>
      <c r="AQ1227" s="6"/>
      <c r="AR1227" s="6"/>
      <c r="AS1227" s="6"/>
      <c r="AT1227" s="6"/>
      <c r="AU1227" s="6"/>
      <c r="AV1227" s="6"/>
      <c r="AW1227" s="6"/>
      <c r="AX1227" s="6"/>
      <c r="AY1227" s="6"/>
      <c r="AZ1227" s="6"/>
      <c r="BA1227" s="6"/>
      <c r="BB1227" s="6"/>
      <c r="BC1227" s="6"/>
      <c r="BD1227" s="6"/>
      <c r="BE1227" s="6"/>
      <c r="BF1227" s="6"/>
      <c r="BG1227" s="6"/>
      <c r="BH1227" s="6"/>
      <c r="BI1227" s="6"/>
      <c r="BJ1227" s="6"/>
      <c r="BK1227" s="6"/>
      <c r="BL1227" s="44"/>
      <c r="BM1227" s="44"/>
      <c r="BN1227" s="45"/>
      <c r="BO1227" s="45"/>
      <c r="BP1227" s="7"/>
      <c r="BQ1227" s="7" t="e">
        <f>VLOOKUP(A1227,[1]Sheet15!B:E,3,0)</f>
        <v>#N/A</v>
      </c>
    </row>
    <row r="1228" spans="1:69" ht="15.75" customHeight="1" x14ac:dyDescent="0.25">
      <c r="A1228" s="12"/>
      <c r="B1228" s="15" t="e">
        <f>VLOOKUP(A1228,'[1]Master clients'!F1226:W4773,17,0)</f>
        <v>#N/A</v>
      </c>
      <c r="C1228" s="15" t="e">
        <f>VLOOKUP(A1228,'[1]Master clients'!F1226:P4773,11,0)</f>
        <v>#N/A</v>
      </c>
      <c r="D1228" s="15" t="e">
        <f>VLOOKUP(A1228,'[1]Master clients'!F:M,8,0)</f>
        <v>#N/A</v>
      </c>
      <c r="E1228" s="12"/>
      <c r="F1228" s="6"/>
      <c r="G1228" s="6"/>
      <c r="H1228" s="6"/>
      <c r="I1228" s="43"/>
      <c r="J1228" s="43"/>
      <c r="K1228" s="6"/>
      <c r="L1228" s="6"/>
      <c r="M1228" s="6"/>
      <c r="N1228" s="6"/>
      <c r="O1228" s="6"/>
      <c r="P1228" s="6"/>
      <c r="Q1228" s="6"/>
      <c r="R1228" s="6"/>
      <c r="S1228" s="6"/>
      <c r="T1228" s="6"/>
      <c r="U1228" s="6"/>
      <c r="V1228" s="6"/>
      <c r="W1228" s="6"/>
      <c r="X1228" s="6"/>
      <c r="Y1228" s="6"/>
      <c r="Z1228" s="6"/>
      <c r="AA1228" s="6"/>
      <c r="AB1228" s="6"/>
      <c r="AC1228" s="6"/>
      <c r="AD1228" s="6"/>
      <c r="AE1228" s="6"/>
      <c r="AF1228" s="6"/>
      <c r="AG1228" s="6"/>
      <c r="AH1228" s="6"/>
      <c r="AI1228" s="6"/>
      <c r="AJ1228" s="6"/>
      <c r="AK1228" s="6"/>
      <c r="AL1228" s="6"/>
      <c r="AM1228" s="6"/>
      <c r="AN1228" s="6"/>
      <c r="AO1228" s="6"/>
      <c r="AP1228" s="6"/>
      <c r="AQ1228" s="6"/>
      <c r="AR1228" s="6"/>
      <c r="AS1228" s="6"/>
      <c r="AT1228" s="6"/>
      <c r="AU1228" s="6"/>
      <c r="AV1228" s="6"/>
      <c r="AW1228" s="6"/>
      <c r="AX1228" s="6"/>
      <c r="AY1228" s="6"/>
      <c r="AZ1228" s="6"/>
      <c r="BA1228" s="6"/>
      <c r="BB1228" s="6"/>
      <c r="BC1228" s="6"/>
      <c r="BD1228" s="6"/>
      <c r="BE1228" s="6"/>
      <c r="BF1228" s="6"/>
      <c r="BG1228" s="6"/>
      <c r="BH1228" s="6"/>
      <c r="BI1228" s="6"/>
      <c r="BJ1228" s="6"/>
      <c r="BK1228" s="6"/>
      <c r="BL1228" s="44"/>
      <c r="BM1228" s="44"/>
      <c r="BN1228" s="45"/>
      <c r="BO1228" s="45"/>
      <c r="BP1228" s="7"/>
      <c r="BQ1228" s="7" t="e">
        <f>VLOOKUP(A1228,[1]Sheet15!B:E,3,0)</f>
        <v>#N/A</v>
      </c>
    </row>
    <row r="1229" spans="1:69" ht="15.75" customHeight="1" x14ac:dyDescent="0.25">
      <c r="A1229" s="12"/>
      <c r="B1229" s="15" t="e">
        <f>VLOOKUP(A1229,'[1]Master clients'!F1227:W4774,17,0)</f>
        <v>#N/A</v>
      </c>
      <c r="C1229" s="15" t="e">
        <f>VLOOKUP(A1229,'[1]Master clients'!F1227:P4774,11,0)</f>
        <v>#N/A</v>
      </c>
      <c r="D1229" s="15" t="e">
        <f>VLOOKUP(A1229,'[1]Master clients'!F:M,8,0)</f>
        <v>#N/A</v>
      </c>
      <c r="E1229" s="12"/>
      <c r="F1229" s="6"/>
      <c r="G1229" s="6"/>
      <c r="H1229" s="6"/>
      <c r="I1229" s="43"/>
      <c r="J1229" s="43"/>
      <c r="K1229" s="6"/>
      <c r="L1229" s="6"/>
      <c r="M1229" s="6"/>
      <c r="N1229" s="6"/>
      <c r="O1229" s="6"/>
      <c r="P1229" s="6"/>
      <c r="Q1229" s="6"/>
      <c r="R1229" s="6"/>
      <c r="S1229" s="6"/>
      <c r="T1229" s="6"/>
      <c r="U1229" s="6"/>
      <c r="V1229" s="6"/>
      <c r="W1229" s="6"/>
      <c r="X1229" s="6"/>
      <c r="Y1229" s="6"/>
      <c r="Z1229" s="6"/>
      <c r="AA1229" s="6"/>
      <c r="AB1229" s="6"/>
      <c r="AC1229" s="6"/>
      <c r="AD1229" s="6"/>
      <c r="AE1229" s="6"/>
      <c r="AF1229" s="6"/>
      <c r="AG1229" s="6"/>
      <c r="AH1229" s="6"/>
      <c r="AI1229" s="6"/>
      <c r="AJ1229" s="6"/>
      <c r="AK1229" s="6"/>
      <c r="AL1229" s="6"/>
      <c r="AM1229" s="6"/>
      <c r="AN1229" s="6"/>
      <c r="AO1229" s="6"/>
      <c r="AP1229" s="6"/>
      <c r="AQ1229" s="6"/>
      <c r="AR1229" s="6"/>
      <c r="AS1229" s="6"/>
      <c r="AT1229" s="6"/>
      <c r="AU1229" s="6"/>
      <c r="AV1229" s="6"/>
      <c r="AW1229" s="6"/>
      <c r="AX1229" s="6"/>
      <c r="AY1229" s="6"/>
      <c r="AZ1229" s="6"/>
      <c r="BA1229" s="6"/>
      <c r="BB1229" s="6"/>
      <c r="BC1229" s="6"/>
      <c r="BD1229" s="6"/>
      <c r="BE1229" s="6"/>
      <c r="BF1229" s="6"/>
      <c r="BG1229" s="6"/>
      <c r="BH1229" s="6"/>
      <c r="BI1229" s="6"/>
      <c r="BJ1229" s="6"/>
      <c r="BK1229" s="6"/>
      <c r="BL1229" s="44"/>
      <c r="BM1229" s="44"/>
      <c r="BN1229" s="45"/>
      <c r="BO1229" s="45"/>
      <c r="BP1229" s="7"/>
      <c r="BQ1229" s="7" t="e">
        <f>VLOOKUP(A1229,[1]Sheet15!B:E,3,0)</f>
        <v>#N/A</v>
      </c>
    </row>
    <row r="1230" spans="1:69" ht="15.75" customHeight="1" x14ac:dyDescent="0.25">
      <c r="A1230" s="12"/>
      <c r="B1230" s="15" t="e">
        <f>VLOOKUP(A1230,'[1]Master clients'!F1228:W4775,17,0)</f>
        <v>#N/A</v>
      </c>
      <c r="C1230" s="15" t="e">
        <f>VLOOKUP(A1230,'[1]Master clients'!F1228:P4775,11,0)</f>
        <v>#N/A</v>
      </c>
      <c r="D1230" s="15" t="e">
        <f>VLOOKUP(A1230,'[1]Master clients'!F:M,8,0)</f>
        <v>#N/A</v>
      </c>
      <c r="E1230" s="12"/>
      <c r="F1230" s="6"/>
      <c r="G1230" s="6"/>
      <c r="H1230" s="6"/>
      <c r="I1230" s="43"/>
      <c r="J1230" s="43"/>
      <c r="K1230" s="6"/>
      <c r="L1230" s="6"/>
      <c r="M1230" s="6"/>
      <c r="N1230" s="6"/>
      <c r="O1230" s="6"/>
      <c r="P1230" s="6"/>
      <c r="Q1230" s="6"/>
      <c r="R1230" s="6"/>
      <c r="S1230" s="6"/>
      <c r="T1230" s="6"/>
      <c r="U1230" s="6"/>
      <c r="V1230" s="6"/>
      <c r="W1230" s="6"/>
      <c r="X1230" s="6"/>
      <c r="Y1230" s="6"/>
      <c r="Z1230" s="6"/>
      <c r="AA1230" s="6"/>
      <c r="AB1230" s="6"/>
      <c r="AC1230" s="6"/>
      <c r="AD1230" s="6"/>
      <c r="AE1230" s="6"/>
      <c r="AF1230" s="6"/>
      <c r="AG1230" s="6"/>
      <c r="AH1230" s="6"/>
      <c r="AI1230" s="6"/>
      <c r="AJ1230" s="6"/>
      <c r="AK1230" s="6"/>
      <c r="AL1230" s="6"/>
      <c r="AM1230" s="6"/>
      <c r="AN1230" s="6"/>
      <c r="AO1230" s="6"/>
      <c r="AP1230" s="6"/>
      <c r="AQ1230" s="6"/>
      <c r="AR1230" s="6"/>
      <c r="AS1230" s="6"/>
      <c r="AT1230" s="6"/>
      <c r="AU1230" s="6"/>
      <c r="AV1230" s="6"/>
      <c r="AW1230" s="6"/>
      <c r="AX1230" s="6"/>
      <c r="AY1230" s="6"/>
      <c r="AZ1230" s="6"/>
      <c r="BA1230" s="6"/>
      <c r="BB1230" s="6"/>
      <c r="BC1230" s="6"/>
      <c r="BD1230" s="6"/>
      <c r="BE1230" s="6"/>
      <c r="BF1230" s="6"/>
      <c r="BG1230" s="6"/>
      <c r="BH1230" s="6"/>
      <c r="BI1230" s="6"/>
      <c r="BJ1230" s="6"/>
      <c r="BK1230" s="6"/>
      <c r="BL1230" s="44"/>
      <c r="BM1230" s="44"/>
      <c r="BN1230" s="45"/>
      <c r="BO1230" s="45"/>
      <c r="BP1230" s="7"/>
      <c r="BQ1230" s="7" t="e">
        <f>VLOOKUP(A1230,[1]Sheet15!B:E,3,0)</f>
        <v>#N/A</v>
      </c>
    </row>
    <row r="1231" spans="1:69" ht="15.75" customHeight="1" x14ac:dyDescent="0.25">
      <c r="A1231" s="12"/>
      <c r="B1231" s="15" t="e">
        <f>VLOOKUP(A1231,'[1]Master clients'!F1229:W4776,17,0)</f>
        <v>#N/A</v>
      </c>
      <c r="C1231" s="15" t="e">
        <f>VLOOKUP(A1231,'[1]Master clients'!F1229:P4776,11,0)</f>
        <v>#N/A</v>
      </c>
      <c r="D1231" s="15" t="e">
        <f>VLOOKUP(A1231,'[1]Master clients'!F:M,8,0)</f>
        <v>#N/A</v>
      </c>
      <c r="E1231" s="12"/>
      <c r="F1231" s="6"/>
      <c r="G1231" s="6"/>
      <c r="H1231" s="6"/>
      <c r="I1231" s="43"/>
      <c r="J1231" s="43"/>
      <c r="K1231" s="6"/>
      <c r="L1231" s="6"/>
      <c r="M1231" s="6"/>
      <c r="N1231" s="6"/>
      <c r="O1231" s="6"/>
      <c r="P1231" s="6"/>
      <c r="Q1231" s="6"/>
      <c r="R1231" s="6"/>
      <c r="S1231" s="6"/>
      <c r="T1231" s="6"/>
      <c r="U1231" s="6"/>
      <c r="V1231" s="6"/>
      <c r="W1231" s="6"/>
      <c r="X1231" s="6"/>
      <c r="Y1231" s="6"/>
      <c r="Z1231" s="6"/>
      <c r="AA1231" s="6"/>
      <c r="AB1231" s="6"/>
      <c r="AC1231" s="6"/>
      <c r="AD1231" s="6"/>
      <c r="AE1231" s="6"/>
      <c r="AF1231" s="6"/>
      <c r="AG1231" s="6"/>
      <c r="AH1231" s="6"/>
      <c r="AI1231" s="6"/>
      <c r="AJ1231" s="6"/>
      <c r="AK1231" s="6"/>
      <c r="AL1231" s="6"/>
      <c r="AM1231" s="6"/>
      <c r="AN1231" s="6"/>
      <c r="AO1231" s="6"/>
      <c r="AP1231" s="6"/>
      <c r="AQ1231" s="6"/>
      <c r="AR1231" s="6"/>
      <c r="AS1231" s="6"/>
      <c r="AT1231" s="6"/>
      <c r="AU1231" s="6"/>
      <c r="AV1231" s="6"/>
      <c r="AW1231" s="6"/>
      <c r="AX1231" s="6"/>
      <c r="AY1231" s="6"/>
      <c r="AZ1231" s="6"/>
      <c r="BA1231" s="6"/>
      <c r="BB1231" s="6"/>
      <c r="BC1231" s="6"/>
      <c r="BD1231" s="6"/>
      <c r="BE1231" s="6"/>
      <c r="BF1231" s="6"/>
      <c r="BG1231" s="6"/>
      <c r="BH1231" s="6"/>
      <c r="BI1231" s="6"/>
      <c r="BJ1231" s="6"/>
      <c r="BK1231" s="6"/>
      <c r="BL1231" s="44"/>
      <c r="BM1231" s="44"/>
      <c r="BN1231" s="45"/>
      <c r="BO1231" s="45"/>
      <c r="BP1231" s="7"/>
      <c r="BQ1231" s="7" t="e">
        <f>VLOOKUP(A1231,[1]Sheet15!B:E,3,0)</f>
        <v>#N/A</v>
      </c>
    </row>
    <row r="1232" spans="1:69" ht="15.75" customHeight="1" x14ac:dyDescent="0.25">
      <c r="A1232" s="12"/>
      <c r="B1232" s="15" t="e">
        <f>VLOOKUP(A1232,'[1]Master clients'!F1230:W4777,17,0)</f>
        <v>#N/A</v>
      </c>
      <c r="C1232" s="15" t="e">
        <f>VLOOKUP(A1232,'[1]Master clients'!F1230:P4777,11,0)</f>
        <v>#N/A</v>
      </c>
      <c r="D1232" s="15" t="e">
        <f>VLOOKUP(A1232,'[1]Master clients'!F:M,8,0)</f>
        <v>#N/A</v>
      </c>
      <c r="E1232" s="12"/>
      <c r="F1232" s="6"/>
      <c r="G1232" s="6"/>
      <c r="H1232" s="6"/>
      <c r="I1232" s="43"/>
      <c r="J1232" s="43"/>
      <c r="K1232" s="6"/>
      <c r="L1232" s="6"/>
      <c r="M1232" s="6"/>
      <c r="N1232" s="6"/>
      <c r="O1232" s="6"/>
      <c r="P1232" s="6"/>
      <c r="Q1232" s="6"/>
      <c r="R1232" s="6"/>
      <c r="S1232" s="6"/>
      <c r="T1232" s="6"/>
      <c r="U1232" s="6"/>
      <c r="V1232" s="6"/>
      <c r="W1232" s="6"/>
      <c r="X1232" s="6"/>
      <c r="Y1232" s="6"/>
      <c r="Z1232" s="6"/>
      <c r="AA1232" s="6"/>
      <c r="AB1232" s="6"/>
      <c r="AC1232" s="6"/>
      <c r="AD1232" s="6"/>
      <c r="AE1232" s="6"/>
      <c r="AF1232" s="6"/>
      <c r="AG1232" s="6"/>
      <c r="AH1232" s="6"/>
      <c r="AI1232" s="6"/>
      <c r="AJ1232" s="6"/>
      <c r="AK1232" s="6"/>
      <c r="AL1232" s="6"/>
      <c r="AM1232" s="6"/>
      <c r="AN1232" s="6"/>
      <c r="AO1232" s="6"/>
      <c r="AP1232" s="6"/>
      <c r="AQ1232" s="6"/>
      <c r="AR1232" s="6"/>
      <c r="AS1232" s="6"/>
      <c r="AT1232" s="6"/>
      <c r="AU1232" s="6"/>
      <c r="AV1232" s="6"/>
      <c r="AW1232" s="6"/>
      <c r="AX1232" s="6"/>
      <c r="AY1232" s="6"/>
      <c r="AZ1232" s="6"/>
      <c r="BA1232" s="6"/>
      <c r="BB1232" s="6"/>
      <c r="BC1232" s="6"/>
      <c r="BD1232" s="6"/>
      <c r="BE1232" s="6"/>
      <c r="BF1232" s="6"/>
      <c r="BG1232" s="6"/>
      <c r="BH1232" s="6"/>
      <c r="BI1232" s="6"/>
      <c r="BJ1232" s="6"/>
      <c r="BK1232" s="6"/>
      <c r="BL1232" s="44"/>
      <c r="BM1232" s="44"/>
      <c r="BN1232" s="45"/>
      <c r="BO1232" s="45"/>
      <c r="BP1232" s="7"/>
      <c r="BQ1232" s="7" t="e">
        <f>VLOOKUP(A1232,[1]Sheet15!B:E,3,0)</f>
        <v>#N/A</v>
      </c>
    </row>
    <row r="1233" spans="1:69" ht="15.75" customHeight="1" x14ac:dyDescent="0.25">
      <c r="A1233" s="12"/>
      <c r="B1233" s="15" t="e">
        <f>VLOOKUP(A1233,'[1]Master clients'!F1231:W4778,17,0)</f>
        <v>#N/A</v>
      </c>
      <c r="C1233" s="15" t="e">
        <f>VLOOKUP(A1233,'[1]Master clients'!F1231:P4778,11,0)</f>
        <v>#N/A</v>
      </c>
      <c r="D1233" s="15" t="e">
        <f>VLOOKUP(A1233,'[1]Master clients'!F:M,8,0)</f>
        <v>#N/A</v>
      </c>
      <c r="E1233" s="12"/>
      <c r="F1233" s="6"/>
      <c r="G1233" s="6"/>
      <c r="H1233" s="6"/>
      <c r="I1233" s="43"/>
      <c r="J1233" s="43"/>
      <c r="K1233" s="6"/>
      <c r="L1233" s="6"/>
      <c r="M1233" s="6"/>
      <c r="N1233" s="6"/>
      <c r="O1233" s="6"/>
      <c r="P1233" s="6"/>
      <c r="Q1233" s="6"/>
      <c r="R1233" s="6"/>
      <c r="S1233" s="6"/>
      <c r="T1233" s="6"/>
      <c r="U1233" s="6"/>
      <c r="V1233" s="6"/>
      <c r="W1233" s="6"/>
      <c r="X1233" s="6"/>
      <c r="Y1233" s="6"/>
      <c r="Z1233" s="6"/>
      <c r="AA1233" s="6"/>
      <c r="AB1233" s="6"/>
      <c r="AC1233" s="6"/>
      <c r="AD1233" s="6"/>
      <c r="AE1233" s="6"/>
      <c r="AF1233" s="6"/>
      <c r="AG1233" s="6"/>
      <c r="AH1233" s="6"/>
      <c r="AI1233" s="6"/>
      <c r="AJ1233" s="6"/>
      <c r="AK1233" s="6"/>
      <c r="AL1233" s="6"/>
      <c r="AM1233" s="6"/>
      <c r="AN1233" s="6"/>
      <c r="AO1233" s="6"/>
      <c r="AP1233" s="6"/>
      <c r="AQ1233" s="6"/>
      <c r="AR1233" s="6"/>
      <c r="AS1233" s="6"/>
      <c r="AT1233" s="6"/>
      <c r="AU1233" s="6"/>
      <c r="AV1233" s="6"/>
      <c r="AW1233" s="6"/>
      <c r="AX1233" s="6"/>
      <c r="AY1233" s="6"/>
      <c r="AZ1233" s="6"/>
      <c r="BA1233" s="6"/>
      <c r="BB1233" s="6"/>
      <c r="BC1233" s="6"/>
      <c r="BD1233" s="6"/>
      <c r="BE1233" s="6"/>
      <c r="BF1233" s="6"/>
      <c r="BG1233" s="6"/>
      <c r="BH1233" s="6"/>
      <c r="BI1233" s="6"/>
      <c r="BJ1233" s="6"/>
      <c r="BK1233" s="6"/>
      <c r="BL1233" s="44"/>
      <c r="BM1233" s="44"/>
      <c r="BN1233" s="45"/>
      <c r="BO1233" s="45"/>
      <c r="BP1233" s="7"/>
      <c r="BQ1233" s="7" t="e">
        <f>VLOOKUP(A1233,[1]Sheet15!B:E,3,0)</f>
        <v>#N/A</v>
      </c>
    </row>
    <row r="1234" spans="1:69" ht="15.75" customHeight="1" x14ac:dyDescent="0.25">
      <c r="A1234" s="12"/>
      <c r="B1234" s="15" t="e">
        <f>VLOOKUP(A1234,'[1]Master clients'!F1232:W4779,17,0)</f>
        <v>#N/A</v>
      </c>
      <c r="C1234" s="15" t="e">
        <f>VLOOKUP(A1234,'[1]Master clients'!F1232:P4779,11,0)</f>
        <v>#N/A</v>
      </c>
      <c r="D1234" s="15" t="e">
        <f>VLOOKUP(A1234,'[1]Master clients'!F:M,8,0)</f>
        <v>#N/A</v>
      </c>
      <c r="E1234" s="12"/>
      <c r="F1234" s="6"/>
      <c r="G1234" s="6"/>
      <c r="H1234" s="6"/>
      <c r="I1234" s="43"/>
      <c r="J1234" s="43"/>
      <c r="K1234" s="6"/>
      <c r="L1234" s="6"/>
      <c r="M1234" s="6"/>
      <c r="N1234" s="6"/>
      <c r="O1234" s="6"/>
      <c r="P1234" s="6"/>
      <c r="Q1234" s="6"/>
      <c r="R1234" s="6"/>
      <c r="S1234" s="6"/>
      <c r="T1234" s="6"/>
      <c r="U1234" s="6"/>
      <c r="V1234" s="6"/>
      <c r="W1234" s="6"/>
      <c r="X1234" s="6"/>
      <c r="Y1234" s="6"/>
      <c r="Z1234" s="6"/>
      <c r="AA1234" s="6"/>
      <c r="AB1234" s="6"/>
      <c r="AC1234" s="6"/>
      <c r="AD1234" s="6"/>
      <c r="AE1234" s="6"/>
      <c r="AF1234" s="6"/>
      <c r="AG1234" s="6"/>
      <c r="AH1234" s="6"/>
      <c r="AI1234" s="6"/>
      <c r="AJ1234" s="6"/>
      <c r="AK1234" s="6"/>
      <c r="AL1234" s="6"/>
      <c r="AM1234" s="6"/>
      <c r="AN1234" s="6"/>
      <c r="AO1234" s="6"/>
      <c r="AP1234" s="6"/>
      <c r="AQ1234" s="6"/>
      <c r="AR1234" s="6"/>
      <c r="AS1234" s="6"/>
      <c r="AT1234" s="6"/>
      <c r="AU1234" s="6"/>
      <c r="AV1234" s="6"/>
      <c r="AW1234" s="6"/>
      <c r="AX1234" s="6"/>
      <c r="AY1234" s="6"/>
      <c r="AZ1234" s="6"/>
      <c r="BA1234" s="6"/>
      <c r="BB1234" s="6"/>
      <c r="BC1234" s="6"/>
      <c r="BD1234" s="6"/>
      <c r="BE1234" s="6"/>
      <c r="BF1234" s="6"/>
      <c r="BG1234" s="6"/>
      <c r="BH1234" s="6"/>
      <c r="BI1234" s="6"/>
      <c r="BJ1234" s="6"/>
      <c r="BK1234" s="6"/>
      <c r="BL1234" s="44"/>
      <c r="BM1234" s="44"/>
      <c r="BN1234" s="45"/>
      <c r="BO1234" s="45"/>
      <c r="BP1234" s="7"/>
      <c r="BQ1234" s="7" t="e">
        <f>VLOOKUP(A1234,[1]Sheet15!B:E,3,0)</f>
        <v>#N/A</v>
      </c>
    </row>
    <row r="1235" spans="1:69" ht="15.75" customHeight="1" x14ac:dyDescent="0.25">
      <c r="A1235" s="12"/>
      <c r="B1235" s="15" t="e">
        <f>VLOOKUP(A1235,'[1]Master clients'!F1233:W4780,17,0)</f>
        <v>#N/A</v>
      </c>
      <c r="C1235" s="15" t="e">
        <f>VLOOKUP(A1235,'[1]Master clients'!F1233:P4780,11,0)</f>
        <v>#N/A</v>
      </c>
      <c r="D1235" s="15" t="e">
        <f>VLOOKUP(A1235,'[1]Master clients'!F:M,8,0)</f>
        <v>#N/A</v>
      </c>
      <c r="E1235" s="12"/>
      <c r="F1235" s="6"/>
      <c r="G1235" s="6"/>
      <c r="H1235" s="6"/>
      <c r="I1235" s="43"/>
      <c r="J1235" s="43"/>
      <c r="K1235" s="6"/>
      <c r="L1235" s="6"/>
      <c r="M1235" s="6"/>
      <c r="N1235" s="6"/>
      <c r="O1235" s="6"/>
      <c r="P1235" s="6"/>
      <c r="Q1235" s="6"/>
      <c r="R1235" s="6"/>
      <c r="S1235" s="6"/>
      <c r="T1235" s="6"/>
      <c r="U1235" s="6"/>
      <c r="V1235" s="6"/>
      <c r="W1235" s="6"/>
      <c r="X1235" s="6"/>
      <c r="Y1235" s="6"/>
      <c r="Z1235" s="6"/>
      <c r="AA1235" s="6"/>
      <c r="AB1235" s="6"/>
      <c r="AC1235" s="6"/>
      <c r="AD1235" s="6"/>
      <c r="AE1235" s="6"/>
      <c r="AF1235" s="6"/>
      <c r="AG1235" s="6"/>
      <c r="AH1235" s="6"/>
      <c r="AI1235" s="6"/>
      <c r="AJ1235" s="6"/>
      <c r="AK1235" s="6"/>
      <c r="AL1235" s="6"/>
      <c r="AM1235" s="6"/>
      <c r="AN1235" s="6"/>
      <c r="AO1235" s="6"/>
      <c r="AP1235" s="6"/>
      <c r="AQ1235" s="6"/>
      <c r="AR1235" s="6"/>
      <c r="AS1235" s="6"/>
      <c r="AT1235" s="6"/>
      <c r="AU1235" s="6"/>
      <c r="AV1235" s="6"/>
      <c r="AW1235" s="6"/>
      <c r="AX1235" s="6"/>
      <c r="AY1235" s="6"/>
      <c r="AZ1235" s="6"/>
      <c r="BA1235" s="6"/>
      <c r="BB1235" s="6"/>
      <c r="BC1235" s="6"/>
      <c r="BD1235" s="6"/>
      <c r="BE1235" s="6"/>
      <c r="BF1235" s="6"/>
      <c r="BG1235" s="6"/>
      <c r="BH1235" s="6"/>
      <c r="BI1235" s="6"/>
      <c r="BJ1235" s="6"/>
      <c r="BK1235" s="6"/>
      <c r="BL1235" s="44"/>
      <c r="BM1235" s="44"/>
      <c r="BN1235" s="45"/>
      <c r="BO1235" s="45"/>
      <c r="BP1235" s="7"/>
      <c r="BQ1235" s="7" t="e">
        <f>VLOOKUP(A1235,[1]Sheet15!B:E,3,0)</f>
        <v>#N/A</v>
      </c>
    </row>
    <row r="1236" spans="1:69" ht="15.75" customHeight="1" x14ac:dyDescent="0.25">
      <c r="A1236" s="12"/>
      <c r="B1236" s="15" t="e">
        <f>VLOOKUP(A1236,'[1]Master clients'!F1234:W4781,17,0)</f>
        <v>#N/A</v>
      </c>
      <c r="C1236" s="15" t="e">
        <f>VLOOKUP(A1236,'[1]Master clients'!F1234:P4781,11,0)</f>
        <v>#N/A</v>
      </c>
      <c r="D1236" s="15" t="e">
        <f>VLOOKUP(A1236,'[1]Master clients'!F:M,8,0)</f>
        <v>#N/A</v>
      </c>
      <c r="E1236" s="12"/>
      <c r="F1236" s="6"/>
      <c r="G1236" s="6"/>
      <c r="H1236" s="6"/>
      <c r="I1236" s="43"/>
      <c r="J1236" s="43"/>
      <c r="K1236" s="6"/>
      <c r="L1236" s="6"/>
      <c r="M1236" s="6"/>
      <c r="N1236" s="6"/>
      <c r="O1236" s="6"/>
      <c r="P1236" s="6"/>
      <c r="Q1236" s="6"/>
      <c r="R1236" s="6"/>
      <c r="S1236" s="6"/>
      <c r="T1236" s="6"/>
      <c r="U1236" s="6"/>
      <c r="V1236" s="6"/>
      <c r="W1236" s="6"/>
      <c r="X1236" s="6"/>
      <c r="Y1236" s="6"/>
      <c r="Z1236" s="6"/>
      <c r="AA1236" s="6"/>
      <c r="AB1236" s="6"/>
      <c r="AC1236" s="6"/>
      <c r="AD1236" s="6"/>
      <c r="AE1236" s="6"/>
      <c r="AF1236" s="6"/>
      <c r="AG1236" s="6"/>
      <c r="AH1236" s="6"/>
      <c r="AI1236" s="6"/>
      <c r="AJ1236" s="6"/>
      <c r="AK1236" s="6"/>
      <c r="AL1236" s="6"/>
      <c r="AM1236" s="6"/>
      <c r="AN1236" s="6"/>
      <c r="AO1236" s="6"/>
      <c r="AP1236" s="6"/>
      <c r="AQ1236" s="6"/>
      <c r="AR1236" s="6"/>
      <c r="AS1236" s="6"/>
      <c r="AT1236" s="6"/>
      <c r="AU1236" s="6"/>
      <c r="AV1236" s="6"/>
      <c r="AW1236" s="6"/>
      <c r="AX1236" s="6"/>
      <c r="AY1236" s="6"/>
      <c r="AZ1236" s="6"/>
      <c r="BA1236" s="6"/>
      <c r="BB1236" s="6"/>
      <c r="BC1236" s="6"/>
      <c r="BD1236" s="6"/>
      <c r="BE1236" s="6"/>
      <c r="BF1236" s="6"/>
      <c r="BG1236" s="6"/>
      <c r="BH1236" s="6"/>
      <c r="BI1236" s="6"/>
      <c r="BJ1236" s="6"/>
      <c r="BK1236" s="6"/>
      <c r="BL1236" s="44"/>
      <c r="BM1236" s="44"/>
      <c r="BN1236" s="45"/>
      <c r="BO1236" s="45"/>
      <c r="BP1236" s="7"/>
      <c r="BQ1236" s="7" t="e">
        <f>VLOOKUP(A1236,[1]Sheet15!B:E,3,0)</f>
        <v>#N/A</v>
      </c>
    </row>
    <row r="1237" spans="1:69" ht="15.75" customHeight="1" x14ac:dyDescent="0.25">
      <c r="A1237" s="12"/>
      <c r="B1237" s="15" t="e">
        <f>VLOOKUP(A1237,'[1]Master clients'!F1235:W4782,17,0)</f>
        <v>#N/A</v>
      </c>
      <c r="C1237" s="15" t="e">
        <f>VLOOKUP(A1237,'[1]Master clients'!F1235:P4782,11,0)</f>
        <v>#N/A</v>
      </c>
      <c r="D1237" s="15" t="e">
        <f>VLOOKUP(A1237,'[1]Master clients'!F:M,8,0)</f>
        <v>#N/A</v>
      </c>
      <c r="E1237" s="12"/>
      <c r="F1237" s="6"/>
      <c r="G1237" s="6"/>
      <c r="H1237" s="6"/>
      <c r="I1237" s="43"/>
      <c r="J1237" s="43"/>
      <c r="K1237" s="6"/>
      <c r="L1237" s="6"/>
      <c r="M1237" s="6"/>
      <c r="N1237" s="6"/>
      <c r="O1237" s="6"/>
      <c r="P1237" s="6"/>
      <c r="Q1237" s="6"/>
      <c r="R1237" s="6"/>
      <c r="S1237" s="6"/>
      <c r="T1237" s="6"/>
      <c r="U1237" s="6"/>
      <c r="V1237" s="6"/>
      <c r="W1237" s="6"/>
      <c r="X1237" s="6"/>
      <c r="Y1237" s="6"/>
      <c r="Z1237" s="6"/>
      <c r="AA1237" s="6"/>
      <c r="AB1237" s="6"/>
      <c r="AC1237" s="6"/>
      <c r="AD1237" s="6"/>
      <c r="AE1237" s="6"/>
      <c r="AF1237" s="6"/>
      <c r="AG1237" s="6"/>
      <c r="AH1237" s="6"/>
      <c r="AI1237" s="6"/>
      <c r="AJ1237" s="6"/>
      <c r="AK1237" s="6"/>
      <c r="AL1237" s="6"/>
      <c r="AM1237" s="6"/>
      <c r="AN1237" s="6"/>
      <c r="AO1237" s="6"/>
      <c r="AP1237" s="6"/>
      <c r="AQ1237" s="6"/>
      <c r="AR1237" s="6"/>
      <c r="AS1237" s="6"/>
      <c r="AT1237" s="6"/>
      <c r="AU1237" s="6"/>
      <c r="AV1237" s="6"/>
      <c r="AW1237" s="6"/>
      <c r="AX1237" s="6"/>
      <c r="AY1237" s="6"/>
      <c r="AZ1237" s="6"/>
      <c r="BA1237" s="6"/>
      <c r="BB1237" s="6"/>
      <c r="BC1237" s="6"/>
      <c r="BD1237" s="6"/>
      <c r="BE1237" s="6"/>
      <c r="BF1237" s="6"/>
      <c r="BG1237" s="6"/>
      <c r="BH1237" s="6"/>
      <c r="BI1237" s="6"/>
      <c r="BJ1237" s="6"/>
      <c r="BK1237" s="6"/>
      <c r="BL1237" s="44"/>
      <c r="BM1237" s="44"/>
      <c r="BN1237" s="45"/>
      <c r="BO1237" s="45"/>
      <c r="BP1237" s="7"/>
      <c r="BQ1237" s="7" t="e">
        <f>VLOOKUP(A1237,[1]Sheet15!B:E,3,0)</f>
        <v>#N/A</v>
      </c>
    </row>
    <row r="1238" spans="1:69" ht="15.75" customHeight="1" x14ac:dyDescent="0.25">
      <c r="A1238" s="12"/>
      <c r="B1238" s="15" t="e">
        <f>VLOOKUP(A1238,'[1]Master clients'!F1236:W4783,17,0)</f>
        <v>#N/A</v>
      </c>
      <c r="C1238" s="15" t="e">
        <f>VLOOKUP(A1238,'[1]Master clients'!F1236:P4783,11,0)</f>
        <v>#N/A</v>
      </c>
      <c r="D1238" s="15" t="e">
        <f>VLOOKUP(A1238,'[1]Master clients'!F:M,8,0)</f>
        <v>#N/A</v>
      </c>
      <c r="E1238" s="12"/>
      <c r="F1238" s="6"/>
      <c r="G1238" s="6"/>
      <c r="H1238" s="6"/>
      <c r="I1238" s="43"/>
      <c r="J1238" s="43"/>
      <c r="K1238" s="6"/>
      <c r="L1238" s="6"/>
      <c r="M1238" s="6"/>
      <c r="N1238" s="6"/>
      <c r="O1238" s="6"/>
      <c r="P1238" s="6"/>
      <c r="Q1238" s="6"/>
      <c r="R1238" s="6"/>
      <c r="S1238" s="6"/>
      <c r="T1238" s="6"/>
      <c r="U1238" s="6"/>
      <c r="V1238" s="6"/>
      <c r="W1238" s="6"/>
      <c r="X1238" s="6"/>
      <c r="Y1238" s="6"/>
      <c r="Z1238" s="6"/>
      <c r="AA1238" s="6"/>
      <c r="AB1238" s="6"/>
      <c r="AC1238" s="6"/>
      <c r="AD1238" s="6"/>
      <c r="AE1238" s="6"/>
      <c r="AF1238" s="6"/>
      <c r="AG1238" s="6"/>
      <c r="AH1238" s="6"/>
      <c r="AI1238" s="6"/>
      <c r="AJ1238" s="6"/>
      <c r="AK1238" s="6"/>
      <c r="AL1238" s="6"/>
      <c r="AM1238" s="6"/>
      <c r="AN1238" s="6"/>
      <c r="AO1238" s="6"/>
      <c r="AP1238" s="6"/>
      <c r="AQ1238" s="6"/>
      <c r="AR1238" s="6"/>
      <c r="AS1238" s="6"/>
      <c r="AT1238" s="6"/>
      <c r="AU1238" s="6"/>
      <c r="AV1238" s="6"/>
      <c r="AW1238" s="6"/>
      <c r="AX1238" s="6"/>
      <c r="AY1238" s="6"/>
      <c r="AZ1238" s="6"/>
      <c r="BA1238" s="6"/>
      <c r="BB1238" s="6"/>
      <c r="BC1238" s="6"/>
      <c r="BD1238" s="6"/>
      <c r="BE1238" s="6"/>
      <c r="BF1238" s="6"/>
      <c r="BG1238" s="6"/>
      <c r="BH1238" s="6"/>
      <c r="BI1238" s="6"/>
      <c r="BJ1238" s="6"/>
      <c r="BK1238" s="6"/>
      <c r="BL1238" s="44"/>
      <c r="BM1238" s="44"/>
      <c r="BN1238" s="45"/>
      <c r="BO1238" s="45"/>
      <c r="BP1238" s="7"/>
      <c r="BQ1238" s="7" t="e">
        <f>VLOOKUP(A1238,[1]Sheet15!B:E,3,0)</f>
        <v>#N/A</v>
      </c>
    </row>
    <row r="1239" spans="1:69" ht="15.75" customHeight="1" x14ac:dyDescent="0.25">
      <c r="A1239" s="12"/>
      <c r="B1239" s="15" t="e">
        <f>VLOOKUP(A1239,'[1]Master clients'!F1237:W4784,17,0)</f>
        <v>#N/A</v>
      </c>
      <c r="C1239" s="15" t="e">
        <f>VLOOKUP(A1239,'[1]Master clients'!F1237:P4784,11,0)</f>
        <v>#N/A</v>
      </c>
      <c r="D1239" s="15" t="e">
        <f>VLOOKUP(A1239,'[1]Master clients'!F:M,8,0)</f>
        <v>#N/A</v>
      </c>
      <c r="E1239" s="12"/>
      <c r="F1239" s="6"/>
      <c r="G1239" s="6"/>
      <c r="H1239" s="6"/>
      <c r="I1239" s="43"/>
      <c r="J1239" s="43"/>
      <c r="K1239" s="6"/>
      <c r="L1239" s="6"/>
      <c r="M1239" s="6"/>
      <c r="N1239" s="6"/>
      <c r="O1239" s="6"/>
      <c r="P1239" s="6"/>
      <c r="Q1239" s="6"/>
      <c r="R1239" s="6"/>
      <c r="S1239" s="6"/>
      <c r="T1239" s="6"/>
      <c r="U1239" s="6"/>
      <c r="V1239" s="6"/>
      <c r="W1239" s="6"/>
      <c r="X1239" s="6"/>
      <c r="Y1239" s="6"/>
      <c r="Z1239" s="6"/>
      <c r="AA1239" s="6"/>
      <c r="AB1239" s="6"/>
      <c r="AC1239" s="6"/>
      <c r="AD1239" s="6"/>
      <c r="AE1239" s="6"/>
      <c r="AF1239" s="6"/>
      <c r="AG1239" s="6"/>
      <c r="AH1239" s="6"/>
      <c r="AI1239" s="6"/>
      <c r="AJ1239" s="6"/>
      <c r="AK1239" s="6"/>
      <c r="AL1239" s="6"/>
      <c r="AM1239" s="6"/>
      <c r="AN1239" s="6"/>
      <c r="AO1239" s="6"/>
      <c r="AP1239" s="6"/>
      <c r="AQ1239" s="6"/>
      <c r="AR1239" s="6"/>
      <c r="AS1239" s="6"/>
      <c r="AT1239" s="6"/>
      <c r="AU1239" s="6"/>
      <c r="AV1239" s="6"/>
      <c r="AW1239" s="6"/>
      <c r="AX1239" s="6"/>
      <c r="AY1239" s="6"/>
      <c r="AZ1239" s="6"/>
      <c r="BA1239" s="6"/>
      <c r="BB1239" s="6"/>
      <c r="BC1239" s="6"/>
      <c r="BD1239" s="6"/>
      <c r="BE1239" s="6"/>
      <c r="BF1239" s="6"/>
      <c r="BG1239" s="6"/>
      <c r="BH1239" s="6"/>
      <c r="BI1239" s="6"/>
      <c r="BJ1239" s="6"/>
      <c r="BK1239" s="6"/>
      <c r="BL1239" s="44"/>
      <c r="BM1239" s="44"/>
      <c r="BN1239" s="45"/>
      <c r="BO1239" s="45"/>
      <c r="BP1239" s="7"/>
      <c r="BQ1239" s="7" t="e">
        <f>VLOOKUP(A1239,[1]Sheet15!B:E,3,0)</f>
        <v>#N/A</v>
      </c>
    </row>
    <row r="1240" spans="1:69" ht="15.75" customHeight="1" x14ac:dyDescent="0.25">
      <c r="A1240" s="12"/>
      <c r="B1240" s="15" t="e">
        <f>VLOOKUP(A1240,'[1]Master clients'!F1238:W4785,17,0)</f>
        <v>#N/A</v>
      </c>
      <c r="C1240" s="15" t="e">
        <f>VLOOKUP(A1240,'[1]Master clients'!F1238:P4785,11,0)</f>
        <v>#N/A</v>
      </c>
      <c r="D1240" s="15" t="e">
        <f>VLOOKUP(A1240,'[1]Master clients'!F:M,8,0)</f>
        <v>#N/A</v>
      </c>
      <c r="E1240" s="12"/>
      <c r="F1240" s="6"/>
      <c r="G1240" s="6"/>
      <c r="H1240" s="6"/>
      <c r="I1240" s="43"/>
      <c r="J1240" s="43"/>
      <c r="K1240" s="6"/>
      <c r="L1240" s="6"/>
      <c r="M1240" s="6"/>
      <c r="N1240" s="6"/>
      <c r="O1240" s="6"/>
      <c r="P1240" s="6"/>
      <c r="Q1240" s="6"/>
      <c r="R1240" s="6"/>
      <c r="S1240" s="6"/>
      <c r="T1240" s="6"/>
      <c r="U1240" s="6"/>
      <c r="V1240" s="6"/>
      <c r="W1240" s="6"/>
      <c r="X1240" s="6"/>
      <c r="Y1240" s="6"/>
      <c r="Z1240" s="6"/>
      <c r="AA1240" s="6"/>
      <c r="AB1240" s="6"/>
      <c r="AC1240" s="6"/>
      <c r="AD1240" s="6"/>
      <c r="AE1240" s="6"/>
      <c r="AF1240" s="6"/>
      <c r="AG1240" s="6"/>
      <c r="AH1240" s="6"/>
      <c r="AI1240" s="6"/>
      <c r="AJ1240" s="6"/>
      <c r="AK1240" s="6"/>
      <c r="AL1240" s="6"/>
      <c r="AM1240" s="6"/>
      <c r="AN1240" s="6"/>
      <c r="AO1240" s="6"/>
      <c r="AP1240" s="6"/>
      <c r="AQ1240" s="6"/>
      <c r="AR1240" s="6"/>
      <c r="AS1240" s="6"/>
      <c r="AT1240" s="6"/>
      <c r="AU1240" s="6"/>
      <c r="AV1240" s="6"/>
      <c r="AW1240" s="6"/>
      <c r="AX1240" s="6"/>
      <c r="AY1240" s="6"/>
      <c r="AZ1240" s="6"/>
      <c r="BA1240" s="6"/>
      <c r="BB1240" s="6"/>
      <c r="BC1240" s="6"/>
      <c r="BD1240" s="6"/>
      <c r="BE1240" s="6"/>
      <c r="BF1240" s="6"/>
      <c r="BG1240" s="6"/>
      <c r="BH1240" s="6"/>
      <c r="BI1240" s="6"/>
      <c r="BJ1240" s="6"/>
      <c r="BK1240" s="6"/>
      <c r="BL1240" s="44"/>
      <c r="BM1240" s="44"/>
      <c r="BN1240" s="45"/>
      <c r="BO1240" s="45"/>
      <c r="BP1240" s="7"/>
      <c r="BQ1240" s="7" t="e">
        <f>VLOOKUP(A1240,[1]Sheet15!B:E,3,0)</f>
        <v>#N/A</v>
      </c>
    </row>
    <row r="1241" spans="1:69" ht="15.75" customHeight="1" x14ac:dyDescent="0.25">
      <c r="A1241" s="12"/>
      <c r="B1241" s="15" t="e">
        <f>VLOOKUP(A1241,'[1]Master clients'!F1239:W4786,17,0)</f>
        <v>#N/A</v>
      </c>
      <c r="C1241" s="15" t="e">
        <f>VLOOKUP(A1241,'[1]Master clients'!F1239:P4786,11,0)</f>
        <v>#N/A</v>
      </c>
      <c r="D1241" s="15" t="e">
        <f>VLOOKUP(A1241,'[1]Master clients'!F:M,8,0)</f>
        <v>#N/A</v>
      </c>
      <c r="E1241" s="12"/>
      <c r="F1241" s="6"/>
      <c r="G1241" s="6"/>
      <c r="H1241" s="6"/>
      <c r="I1241" s="43"/>
      <c r="J1241" s="43"/>
      <c r="K1241" s="6"/>
      <c r="L1241" s="6"/>
      <c r="M1241" s="6"/>
      <c r="N1241" s="6"/>
      <c r="O1241" s="6"/>
      <c r="P1241" s="6"/>
      <c r="Q1241" s="6"/>
      <c r="R1241" s="6"/>
      <c r="S1241" s="6"/>
      <c r="T1241" s="6"/>
      <c r="U1241" s="6"/>
      <c r="V1241" s="6"/>
      <c r="W1241" s="6"/>
      <c r="X1241" s="6"/>
      <c r="Y1241" s="6"/>
      <c r="Z1241" s="6"/>
      <c r="AA1241" s="6"/>
      <c r="AB1241" s="6"/>
      <c r="AC1241" s="6"/>
      <c r="AD1241" s="6"/>
      <c r="AE1241" s="6"/>
      <c r="AF1241" s="6"/>
      <c r="AG1241" s="6"/>
      <c r="AH1241" s="6"/>
      <c r="AI1241" s="6"/>
      <c r="AJ1241" s="6"/>
      <c r="AK1241" s="6"/>
      <c r="AL1241" s="6"/>
      <c r="AM1241" s="6"/>
      <c r="AN1241" s="6"/>
      <c r="AO1241" s="6"/>
      <c r="AP1241" s="6"/>
      <c r="AQ1241" s="6"/>
      <c r="AR1241" s="6"/>
      <c r="AS1241" s="6"/>
      <c r="AT1241" s="6"/>
      <c r="AU1241" s="6"/>
      <c r="AV1241" s="6"/>
      <c r="AW1241" s="6"/>
      <c r="AX1241" s="6"/>
      <c r="AY1241" s="6"/>
      <c r="AZ1241" s="6"/>
      <c r="BA1241" s="6"/>
      <c r="BB1241" s="6"/>
      <c r="BC1241" s="6"/>
      <c r="BD1241" s="6"/>
      <c r="BE1241" s="6"/>
      <c r="BF1241" s="6"/>
      <c r="BG1241" s="6"/>
      <c r="BH1241" s="6"/>
      <c r="BI1241" s="6"/>
      <c r="BJ1241" s="6"/>
      <c r="BK1241" s="6"/>
      <c r="BL1241" s="44"/>
      <c r="BM1241" s="44"/>
      <c r="BN1241" s="45"/>
      <c r="BO1241" s="45"/>
      <c r="BP1241" s="7"/>
      <c r="BQ1241" s="7" t="e">
        <f>VLOOKUP(A1241,[1]Sheet15!B:E,3,0)</f>
        <v>#N/A</v>
      </c>
    </row>
    <row r="1242" spans="1:69" ht="15.75" customHeight="1" x14ac:dyDescent="0.25">
      <c r="A1242" s="12"/>
      <c r="B1242" s="15" t="e">
        <f>VLOOKUP(A1242,'[1]Master clients'!F1240:W4787,17,0)</f>
        <v>#N/A</v>
      </c>
      <c r="C1242" s="15" t="e">
        <f>VLOOKUP(A1242,'[1]Master clients'!F1240:P4787,11,0)</f>
        <v>#N/A</v>
      </c>
      <c r="D1242" s="15" t="e">
        <f>VLOOKUP(A1242,'[1]Master clients'!F:M,8,0)</f>
        <v>#N/A</v>
      </c>
      <c r="E1242" s="12"/>
      <c r="F1242" s="6"/>
      <c r="G1242" s="6"/>
      <c r="H1242" s="6"/>
      <c r="I1242" s="43"/>
      <c r="J1242" s="43"/>
      <c r="K1242" s="6"/>
      <c r="L1242" s="6"/>
      <c r="M1242" s="6"/>
      <c r="N1242" s="6"/>
      <c r="O1242" s="6"/>
      <c r="P1242" s="6"/>
      <c r="Q1242" s="6"/>
      <c r="R1242" s="6"/>
      <c r="S1242" s="6"/>
      <c r="T1242" s="6"/>
      <c r="U1242" s="6"/>
      <c r="V1242" s="6"/>
      <c r="W1242" s="6"/>
      <c r="X1242" s="6"/>
      <c r="Y1242" s="6"/>
      <c r="Z1242" s="6"/>
      <c r="AA1242" s="6"/>
      <c r="AB1242" s="6"/>
      <c r="AC1242" s="6"/>
      <c r="AD1242" s="6"/>
      <c r="AE1242" s="6"/>
      <c r="AF1242" s="6"/>
      <c r="AG1242" s="6"/>
      <c r="AH1242" s="6"/>
      <c r="AI1242" s="6"/>
      <c r="AJ1242" s="6"/>
      <c r="AK1242" s="6"/>
      <c r="AL1242" s="6"/>
      <c r="AM1242" s="6"/>
      <c r="AN1242" s="6"/>
      <c r="AO1242" s="6"/>
      <c r="AP1242" s="6"/>
      <c r="AQ1242" s="6"/>
      <c r="AR1242" s="6"/>
      <c r="AS1242" s="6"/>
      <c r="AT1242" s="6"/>
      <c r="AU1242" s="6"/>
      <c r="AV1242" s="6"/>
      <c r="AW1242" s="6"/>
      <c r="AX1242" s="6"/>
      <c r="AY1242" s="6"/>
      <c r="AZ1242" s="6"/>
      <c r="BA1242" s="6"/>
      <c r="BB1242" s="6"/>
      <c r="BC1242" s="6"/>
      <c r="BD1242" s="6"/>
      <c r="BE1242" s="6"/>
      <c r="BF1242" s="6"/>
      <c r="BG1242" s="6"/>
      <c r="BH1242" s="6"/>
      <c r="BI1242" s="6"/>
      <c r="BJ1242" s="6"/>
      <c r="BK1242" s="6"/>
      <c r="BL1242" s="44"/>
      <c r="BM1242" s="44"/>
      <c r="BN1242" s="45"/>
      <c r="BO1242" s="45"/>
      <c r="BP1242" s="7"/>
      <c r="BQ1242" s="7" t="e">
        <f>VLOOKUP(A1242,[1]Sheet15!B:E,3,0)</f>
        <v>#N/A</v>
      </c>
    </row>
    <row r="1243" spans="1:69" ht="15.75" customHeight="1" x14ac:dyDescent="0.25">
      <c r="A1243" s="12"/>
      <c r="B1243" s="15" t="e">
        <f>VLOOKUP(A1243,'[1]Master clients'!F1241:W4788,17,0)</f>
        <v>#N/A</v>
      </c>
      <c r="C1243" s="15" t="e">
        <f>VLOOKUP(A1243,'[1]Master clients'!F1241:P4788,11,0)</f>
        <v>#N/A</v>
      </c>
      <c r="D1243" s="15" t="e">
        <f>VLOOKUP(A1243,'[1]Master clients'!F:M,8,0)</f>
        <v>#N/A</v>
      </c>
      <c r="E1243" s="12"/>
      <c r="F1243" s="6"/>
      <c r="G1243" s="6"/>
      <c r="H1243" s="6"/>
      <c r="I1243" s="43"/>
      <c r="J1243" s="43"/>
      <c r="K1243" s="6"/>
      <c r="L1243" s="6"/>
      <c r="M1243" s="6"/>
      <c r="N1243" s="6"/>
      <c r="O1243" s="6"/>
      <c r="P1243" s="6"/>
      <c r="Q1243" s="6"/>
      <c r="R1243" s="6"/>
      <c r="S1243" s="6"/>
      <c r="T1243" s="6"/>
      <c r="U1243" s="6"/>
      <c r="V1243" s="6"/>
      <c r="W1243" s="6"/>
      <c r="X1243" s="6"/>
      <c r="Y1243" s="6"/>
      <c r="Z1243" s="6"/>
      <c r="AA1243" s="6"/>
      <c r="AB1243" s="6"/>
      <c r="AC1243" s="6"/>
      <c r="AD1243" s="6"/>
      <c r="AE1243" s="6"/>
      <c r="AF1243" s="6"/>
      <c r="AG1243" s="6"/>
      <c r="AH1243" s="6"/>
      <c r="AI1243" s="6"/>
      <c r="AJ1243" s="6"/>
      <c r="AK1243" s="6"/>
      <c r="AL1243" s="6"/>
      <c r="AM1243" s="6"/>
      <c r="AN1243" s="6"/>
      <c r="AO1243" s="6"/>
      <c r="AP1243" s="6"/>
      <c r="AQ1243" s="6"/>
      <c r="AR1243" s="6"/>
      <c r="AS1243" s="6"/>
      <c r="AT1243" s="6"/>
      <c r="AU1243" s="6"/>
      <c r="AV1243" s="6"/>
      <c r="AW1243" s="6"/>
      <c r="AX1243" s="6"/>
      <c r="AY1243" s="6"/>
      <c r="AZ1243" s="6"/>
      <c r="BA1243" s="6"/>
      <c r="BB1243" s="6"/>
      <c r="BC1243" s="6"/>
      <c r="BD1243" s="6"/>
      <c r="BE1243" s="6"/>
      <c r="BF1243" s="6"/>
      <c r="BG1243" s="6"/>
      <c r="BH1243" s="6"/>
      <c r="BI1243" s="6"/>
      <c r="BJ1243" s="6"/>
      <c r="BK1243" s="6"/>
      <c r="BL1243" s="44"/>
      <c r="BM1243" s="44"/>
      <c r="BN1243" s="45"/>
      <c r="BO1243" s="45"/>
      <c r="BP1243" s="7"/>
      <c r="BQ1243" s="7" t="e">
        <f>VLOOKUP(A1243,[1]Sheet15!B:E,3,0)</f>
        <v>#N/A</v>
      </c>
    </row>
    <row r="1244" spans="1:69" ht="15.75" customHeight="1" x14ac:dyDescent="0.25">
      <c r="A1244" s="12"/>
      <c r="B1244" s="15" t="e">
        <f>VLOOKUP(A1244,'[1]Master clients'!F1242:W4789,17,0)</f>
        <v>#N/A</v>
      </c>
      <c r="C1244" s="15" t="e">
        <f>VLOOKUP(A1244,'[1]Master clients'!F1242:P4789,11,0)</f>
        <v>#N/A</v>
      </c>
      <c r="D1244" s="15" t="e">
        <f>VLOOKUP(A1244,'[1]Master clients'!F:M,8,0)</f>
        <v>#N/A</v>
      </c>
      <c r="E1244" s="12"/>
      <c r="F1244" s="6"/>
      <c r="G1244" s="6"/>
      <c r="H1244" s="6"/>
      <c r="I1244" s="43"/>
      <c r="J1244" s="43"/>
      <c r="K1244" s="6"/>
      <c r="L1244" s="6"/>
      <c r="M1244" s="6"/>
      <c r="N1244" s="6"/>
      <c r="O1244" s="6"/>
      <c r="P1244" s="6"/>
      <c r="Q1244" s="6"/>
      <c r="R1244" s="6"/>
      <c r="S1244" s="6"/>
      <c r="T1244" s="6"/>
      <c r="U1244" s="6"/>
      <c r="V1244" s="6"/>
      <c r="W1244" s="6"/>
      <c r="X1244" s="6"/>
      <c r="Y1244" s="6"/>
      <c r="Z1244" s="6"/>
      <c r="AA1244" s="6"/>
      <c r="AB1244" s="6"/>
      <c r="AC1244" s="6"/>
      <c r="AD1244" s="6"/>
      <c r="AE1244" s="6"/>
      <c r="AF1244" s="6"/>
      <c r="AG1244" s="6"/>
      <c r="AH1244" s="6"/>
      <c r="AI1244" s="6"/>
      <c r="AJ1244" s="6"/>
      <c r="AK1244" s="6"/>
      <c r="AL1244" s="6"/>
      <c r="AM1244" s="6"/>
      <c r="AN1244" s="6"/>
      <c r="AO1244" s="6"/>
      <c r="AP1244" s="6"/>
      <c r="AQ1244" s="6"/>
      <c r="AR1244" s="6"/>
      <c r="AS1244" s="6"/>
      <c r="AT1244" s="6"/>
      <c r="AU1244" s="6"/>
      <c r="AV1244" s="6"/>
      <c r="AW1244" s="6"/>
      <c r="AX1244" s="6"/>
      <c r="AY1244" s="6"/>
      <c r="AZ1244" s="6"/>
      <c r="BA1244" s="6"/>
      <c r="BB1244" s="6"/>
      <c r="BC1244" s="6"/>
      <c r="BD1244" s="6"/>
      <c r="BE1244" s="6"/>
      <c r="BF1244" s="6"/>
      <c r="BG1244" s="6"/>
      <c r="BH1244" s="6"/>
      <c r="BI1244" s="6"/>
      <c r="BJ1244" s="6"/>
      <c r="BK1244" s="6"/>
      <c r="BL1244" s="44"/>
      <c r="BM1244" s="44"/>
      <c r="BN1244" s="45"/>
      <c r="BO1244" s="45"/>
      <c r="BP1244" s="7"/>
      <c r="BQ1244" s="7" t="e">
        <f>VLOOKUP(A1244,[1]Sheet15!B:E,3,0)</f>
        <v>#N/A</v>
      </c>
    </row>
    <row r="1245" spans="1:69" ht="15.75" customHeight="1" x14ac:dyDescent="0.25">
      <c r="A1245" s="12"/>
      <c r="B1245" s="15" t="e">
        <f>VLOOKUP(A1245,'[1]Master clients'!F1243:W4790,17,0)</f>
        <v>#N/A</v>
      </c>
      <c r="C1245" s="15" t="e">
        <f>VLOOKUP(A1245,'[1]Master clients'!F1243:P4790,11,0)</f>
        <v>#N/A</v>
      </c>
      <c r="D1245" s="15" t="e">
        <f>VLOOKUP(A1245,'[1]Master clients'!F:M,8,0)</f>
        <v>#N/A</v>
      </c>
      <c r="E1245" s="12"/>
      <c r="F1245" s="6"/>
      <c r="G1245" s="6"/>
      <c r="H1245" s="6"/>
      <c r="I1245" s="43"/>
      <c r="J1245" s="43"/>
      <c r="K1245" s="6"/>
      <c r="L1245" s="6"/>
      <c r="M1245" s="6"/>
      <c r="N1245" s="6"/>
      <c r="O1245" s="6"/>
      <c r="P1245" s="6"/>
      <c r="Q1245" s="6"/>
      <c r="R1245" s="6"/>
      <c r="S1245" s="6"/>
      <c r="T1245" s="6"/>
      <c r="U1245" s="6"/>
      <c r="V1245" s="6"/>
      <c r="W1245" s="6"/>
      <c r="X1245" s="6"/>
      <c r="Y1245" s="6"/>
      <c r="Z1245" s="6"/>
      <c r="AA1245" s="6"/>
      <c r="AB1245" s="6"/>
      <c r="AC1245" s="6"/>
      <c r="AD1245" s="6"/>
      <c r="AE1245" s="6"/>
      <c r="AF1245" s="6"/>
      <c r="AG1245" s="6"/>
      <c r="AH1245" s="6"/>
      <c r="AI1245" s="6"/>
      <c r="AJ1245" s="6"/>
      <c r="AK1245" s="6"/>
      <c r="AL1245" s="6"/>
      <c r="AM1245" s="6"/>
      <c r="AN1245" s="6"/>
      <c r="AO1245" s="6"/>
      <c r="AP1245" s="6"/>
      <c r="AQ1245" s="6"/>
      <c r="AR1245" s="6"/>
      <c r="AS1245" s="6"/>
      <c r="AT1245" s="6"/>
      <c r="AU1245" s="6"/>
      <c r="AV1245" s="6"/>
      <c r="AW1245" s="6"/>
      <c r="AX1245" s="6"/>
      <c r="AY1245" s="6"/>
      <c r="AZ1245" s="6"/>
      <c r="BA1245" s="6"/>
      <c r="BB1245" s="6"/>
      <c r="BC1245" s="6"/>
      <c r="BD1245" s="6"/>
      <c r="BE1245" s="6"/>
      <c r="BF1245" s="6"/>
      <c r="BG1245" s="6"/>
      <c r="BH1245" s="6"/>
      <c r="BI1245" s="6"/>
      <c r="BJ1245" s="6"/>
      <c r="BK1245" s="6"/>
      <c r="BL1245" s="44"/>
      <c r="BM1245" s="44"/>
      <c r="BN1245" s="45"/>
      <c r="BO1245" s="45"/>
      <c r="BP1245" s="7"/>
      <c r="BQ1245" s="7" t="e">
        <f>VLOOKUP(A1245,[1]Sheet15!B:E,3,0)</f>
        <v>#N/A</v>
      </c>
    </row>
    <row r="1246" spans="1:69" ht="15.75" customHeight="1" x14ac:dyDescent="0.25">
      <c r="A1246" s="12"/>
      <c r="B1246" s="15" t="e">
        <f>VLOOKUP(A1246,'[1]Master clients'!F1244:W4791,17,0)</f>
        <v>#N/A</v>
      </c>
      <c r="C1246" s="15" t="e">
        <f>VLOOKUP(A1246,'[1]Master clients'!F1244:P4791,11,0)</f>
        <v>#N/A</v>
      </c>
      <c r="D1246" s="15" t="e">
        <f>VLOOKUP(A1246,'[1]Master clients'!F:M,8,0)</f>
        <v>#N/A</v>
      </c>
      <c r="E1246" s="12"/>
      <c r="F1246" s="6"/>
      <c r="G1246" s="6"/>
      <c r="H1246" s="6"/>
      <c r="I1246" s="43"/>
      <c r="J1246" s="43"/>
      <c r="K1246" s="6"/>
      <c r="L1246" s="6"/>
      <c r="M1246" s="6"/>
      <c r="N1246" s="6"/>
      <c r="O1246" s="6"/>
      <c r="P1246" s="6"/>
      <c r="Q1246" s="6"/>
      <c r="R1246" s="6"/>
      <c r="S1246" s="6"/>
      <c r="T1246" s="6"/>
      <c r="U1246" s="6"/>
      <c r="V1246" s="6"/>
      <c r="W1246" s="6"/>
      <c r="X1246" s="6"/>
      <c r="Y1246" s="6"/>
      <c r="Z1246" s="6"/>
      <c r="AA1246" s="6"/>
      <c r="AB1246" s="6"/>
      <c r="AC1246" s="6"/>
      <c r="AD1246" s="6"/>
      <c r="AE1246" s="6"/>
      <c r="AF1246" s="6"/>
      <c r="AG1246" s="6"/>
      <c r="AH1246" s="6"/>
      <c r="AI1246" s="6"/>
      <c r="AJ1246" s="6"/>
      <c r="AK1246" s="6"/>
      <c r="AL1246" s="6"/>
      <c r="AM1246" s="6"/>
      <c r="AN1246" s="6"/>
      <c r="AO1246" s="6"/>
      <c r="AP1246" s="6"/>
      <c r="AQ1246" s="6"/>
      <c r="AR1246" s="6"/>
      <c r="AS1246" s="6"/>
      <c r="AT1246" s="6"/>
      <c r="AU1246" s="6"/>
      <c r="AV1246" s="6"/>
      <c r="AW1246" s="6"/>
      <c r="AX1246" s="6"/>
      <c r="AY1246" s="6"/>
      <c r="AZ1246" s="6"/>
      <c r="BA1246" s="6"/>
      <c r="BB1246" s="6"/>
      <c r="BC1246" s="6"/>
      <c r="BD1246" s="6"/>
      <c r="BE1246" s="6"/>
      <c r="BF1246" s="6"/>
      <c r="BG1246" s="6"/>
      <c r="BH1246" s="6"/>
      <c r="BI1246" s="6"/>
      <c r="BJ1246" s="6"/>
      <c r="BK1246" s="6"/>
      <c r="BL1246" s="44"/>
      <c r="BM1246" s="44"/>
      <c r="BN1246" s="45"/>
      <c r="BO1246" s="45"/>
      <c r="BP1246" s="7"/>
      <c r="BQ1246" s="7" t="e">
        <f>VLOOKUP(A1246,[1]Sheet15!B:E,3,0)</f>
        <v>#N/A</v>
      </c>
    </row>
    <row r="1247" spans="1:69" ht="15.75" customHeight="1" x14ac:dyDescent="0.25">
      <c r="A1247" s="12"/>
      <c r="B1247" s="15" t="e">
        <f>VLOOKUP(A1247,'[1]Master clients'!F1245:W4792,17,0)</f>
        <v>#N/A</v>
      </c>
      <c r="C1247" s="15" t="e">
        <f>VLOOKUP(A1247,'[1]Master clients'!F1245:P4792,11,0)</f>
        <v>#N/A</v>
      </c>
      <c r="D1247" s="15" t="e">
        <f>VLOOKUP(A1247,'[1]Master clients'!F:M,8,0)</f>
        <v>#N/A</v>
      </c>
      <c r="E1247" s="12"/>
      <c r="F1247" s="6"/>
      <c r="G1247" s="6"/>
      <c r="H1247" s="6"/>
      <c r="I1247" s="43"/>
      <c r="J1247" s="43"/>
      <c r="K1247" s="6"/>
      <c r="L1247" s="6"/>
      <c r="M1247" s="6"/>
      <c r="N1247" s="6"/>
      <c r="O1247" s="6"/>
      <c r="P1247" s="6"/>
      <c r="Q1247" s="6"/>
      <c r="R1247" s="6"/>
      <c r="S1247" s="6"/>
      <c r="T1247" s="6"/>
      <c r="U1247" s="6"/>
      <c r="V1247" s="6"/>
      <c r="W1247" s="6"/>
      <c r="X1247" s="6"/>
      <c r="Y1247" s="6"/>
      <c r="Z1247" s="6"/>
      <c r="AA1247" s="6"/>
      <c r="AB1247" s="6"/>
      <c r="AC1247" s="6"/>
      <c r="AD1247" s="6"/>
      <c r="AE1247" s="6"/>
      <c r="AF1247" s="6"/>
      <c r="AG1247" s="6"/>
      <c r="AH1247" s="6"/>
      <c r="AI1247" s="6"/>
      <c r="AJ1247" s="6"/>
      <c r="AK1247" s="6"/>
      <c r="AL1247" s="6"/>
      <c r="AM1247" s="6"/>
      <c r="AN1247" s="6"/>
      <c r="AO1247" s="6"/>
      <c r="AP1247" s="6"/>
      <c r="AQ1247" s="6"/>
      <c r="AR1247" s="6"/>
      <c r="AS1247" s="6"/>
      <c r="AT1247" s="6"/>
      <c r="AU1247" s="6"/>
      <c r="AV1247" s="6"/>
      <c r="AW1247" s="6"/>
      <c r="AX1247" s="6"/>
      <c r="AY1247" s="6"/>
      <c r="AZ1247" s="6"/>
      <c r="BA1247" s="6"/>
      <c r="BB1247" s="6"/>
      <c r="BC1247" s="6"/>
      <c r="BD1247" s="6"/>
      <c r="BE1247" s="6"/>
      <c r="BF1247" s="6"/>
      <c r="BG1247" s="6"/>
      <c r="BH1247" s="6"/>
      <c r="BI1247" s="6"/>
      <c r="BJ1247" s="6"/>
      <c r="BK1247" s="6"/>
      <c r="BL1247" s="44"/>
      <c r="BM1247" s="44"/>
      <c r="BN1247" s="45"/>
      <c r="BO1247" s="45"/>
      <c r="BP1247" s="7"/>
      <c r="BQ1247" s="7" t="e">
        <f>VLOOKUP(A1247,[1]Sheet15!B:E,3,0)</f>
        <v>#N/A</v>
      </c>
    </row>
    <row r="1248" spans="1:69" ht="15.75" customHeight="1" x14ac:dyDescent="0.25">
      <c r="A1248" s="12"/>
      <c r="B1248" s="15" t="e">
        <f>VLOOKUP(A1248,'[1]Master clients'!F1246:W4793,17,0)</f>
        <v>#N/A</v>
      </c>
      <c r="C1248" s="15" t="e">
        <f>VLOOKUP(A1248,'[1]Master clients'!F1246:P4793,11,0)</f>
        <v>#N/A</v>
      </c>
      <c r="D1248" s="15" t="e">
        <f>VLOOKUP(A1248,'[1]Master clients'!F:M,8,0)</f>
        <v>#N/A</v>
      </c>
      <c r="E1248" s="12"/>
      <c r="F1248" s="6"/>
      <c r="G1248" s="6"/>
      <c r="H1248" s="6"/>
      <c r="I1248" s="43"/>
      <c r="J1248" s="43"/>
      <c r="K1248" s="6"/>
      <c r="L1248" s="6"/>
      <c r="M1248" s="6"/>
      <c r="N1248" s="6"/>
      <c r="O1248" s="6"/>
      <c r="P1248" s="6"/>
      <c r="Q1248" s="6"/>
      <c r="R1248" s="6"/>
      <c r="S1248" s="6"/>
      <c r="T1248" s="6"/>
      <c r="U1248" s="6"/>
      <c r="V1248" s="6"/>
      <c r="W1248" s="6"/>
      <c r="X1248" s="6"/>
      <c r="Y1248" s="6"/>
      <c r="Z1248" s="6"/>
      <c r="AA1248" s="6"/>
      <c r="AB1248" s="6"/>
      <c r="AC1248" s="6"/>
      <c r="AD1248" s="6"/>
      <c r="AE1248" s="6"/>
      <c r="AF1248" s="6"/>
      <c r="AG1248" s="6"/>
      <c r="AH1248" s="6"/>
      <c r="AI1248" s="6"/>
      <c r="AJ1248" s="6"/>
      <c r="AK1248" s="6"/>
      <c r="AL1248" s="6"/>
      <c r="AM1248" s="6"/>
      <c r="AN1248" s="6"/>
      <c r="AO1248" s="6"/>
      <c r="AP1248" s="6"/>
      <c r="AQ1248" s="6"/>
      <c r="AR1248" s="6"/>
      <c r="AS1248" s="6"/>
      <c r="AT1248" s="6"/>
      <c r="AU1248" s="6"/>
      <c r="AV1248" s="6"/>
      <c r="AW1248" s="6"/>
      <c r="AX1248" s="6"/>
      <c r="AY1248" s="6"/>
      <c r="AZ1248" s="6"/>
      <c r="BA1248" s="6"/>
      <c r="BB1248" s="6"/>
      <c r="BC1248" s="6"/>
      <c r="BD1248" s="6"/>
      <c r="BE1248" s="6"/>
      <c r="BF1248" s="6"/>
      <c r="BG1248" s="6"/>
      <c r="BH1248" s="6"/>
      <c r="BI1248" s="6"/>
      <c r="BJ1248" s="6"/>
      <c r="BK1248" s="6"/>
      <c r="BL1248" s="44"/>
      <c r="BM1248" s="44"/>
      <c r="BN1248" s="45"/>
      <c r="BO1248" s="45"/>
      <c r="BP1248" s="7"/>
      <c r="BQ1248" s="7" t="e">
        <f>VLOOKUP(A1248,[1]Sheet15!B:E,3,0)</f>
        <v>#N/A</v>
      </c>
    </row>
    <row r="1249" spans="1:69" ht="15.75" customHeight="1" x14ac:dyDescent="0.25">
      <c r="A1249" s="12"/>
      <c r="B1249" s="15" t="e">
        <f>VLOOKUP(A1249,'[1]Master clients'!F1247:W4794,17,0)</f>
        <v>#N/A</v>
      </c>
      <c r="C1249" s="15" t="e">
        <f>VLOOKUP(A1249,'[1]Master clients'!F1247:P4794,11,0)</f>
        <v>#N/A</v>
      </c>
      <c r="D1249" s="15" t="e">
        <f>VLOOKUP(A1249,'[1]Master clients'!F:M,8,0)</f>
        <v>#N/A</v>
      </c>
      <c r="E1249" s="12"/>
      <c r="F1249" s="6"/>
      <c r="G1249" s="6"/>
      <c r="H1249" s="6"/>
      <c r="I1249" s="43"/>
      <c r="J1249" s="43"/>
      <c r="K1249" s="6"/>
      <c r="L1249" s="6"/>
      <c r="M1249" s="6"/>
      <c r="N1249" s="6"/>
      <c r="O1249" s="6"/>
      <c r="P1249" s="6"/>
      <c r="Q1249" s="6"/>
      <c r="R1249" s="6"/>
      <c r="S1249" s="6"/>
      <c r="T1249" s="6"/>
      <c r="U1249" s="6"/>
      <c r="V1249" s="6"/>
      <c r="W1249" s="6"/>
      <c r="X1249" s="6"/>
      <c r="Y1249" s="6"/>
      <c r="Z1249" s="6"/>
      <c r="AA1249" s="6"/>
      <c r="AB1249" s="6"/>
      <c r="AC1249" s="6"/>
      <c r="AD1249" s="6"/>
      <c r="AE1249" s="6"/>
      <c r="AF1249" s="6"/>
      <c r="AG1249" s="6"/>
      <c r="AH1249" s="6"/>
      <c r="AI1249" s="6"/>
      <c r="AJ1249" s="6"/>
      <c r="AK1249" s="6"/>
      <c r="AL1249" s="6"/>
      <c r="AM1249" s="6"/>
      <c r="AN1249" s="6"/>
      <c r="AO1249" s="6"/>
      <c r="AP1249" s="6"/>
      <c r="AQ1249" s="6"/>
      <c r="AR1249" s="6"/>
      <c r="AS1249" s="6"/>
      <c r="AT1249" s="6"/>
      <c r="AU1249" s="6"/>
      <c r="AV1249" s="6"/>
      <c r="AW1249" s="6"/>
      <c r="AX1249" s="6"/>
      <c r="AY1249" s="6"/>
      <c r="AZ1249" s="6"/>
      <c r="BA1249" s="6"/>
      <c r="BB1249" s="6"/>
      <c r="BC1249" s="6"/>
      <c r="BD1249" s="6"/>
      <c r="BE1249" s="6"/>
      <c r="BF1249" s="6"/>
      <c r="BG1249" s="6"/>
      <c r="BH1249" s="6"/>
      <c r="BI1249" s="6"/>
      <c r="BJ1249" s="6"/>
      <c r="BK1249" s="6"/>
      <c r="BL1249" s="44"/>
      <c r="BM1249" s="44"/>
      <c r="BN1249" s="45"/>
      <c r="BO1249" s="45"/>
      <c r="BP1249" s="7"/>
      <c r="BQ1249" s="7" t="e">
        <f>VLOOKUP(A1249,[1]Sheet15!B:E,3,0)</f>
        <v>#N/A</v>
      </c>
    </row>
    <row r="1250" spans="1:69" ht="15.75" customHeight="1" x14ac:dyDescent="0.25">
      <c r="A1250" s="12"/>
      <c r="B1250" s="15" t="e">
        <f>VLOOKUP(A1250,'[1]Master clients'!F1248:W4795,17,0)</f>
        <v>#N/A</v>
      </c>
      <c r="C1250" s="15" t="e">
        <f>VLOOKUP(A1250,'[1]Master clients'!F1248:P4795,11,0)</f>
        <v>#N/A</v>
      </c>
      <c r="D1250" s="15" t="e">
        <f>VLOOKUP(A1250,'[1]Master clients'!F:M,8,0)</f>
        <v>#N/A</v>
      </c>
      <c r="E1250" s="12"/>
      <c r="F1250" s="6"/>
      <c r="G1250" s="6"/>
      <c r="H1250" s="6"/>
      <c r="I1250" s="43"/>
      <c r="J1250" s="43"/>
      <c r="K1250" s="6"/>
      <c r="L1250" s="6"/>
      <c r="M1250" s="6"/>
      <c r="N1250" s="6"/>
      <c r="O1250" s="6"/>
      <c r="P1250" s="6"/>
      <c r="Q1250" s="6"/>
      <c r="R1250" s="6"/>
      <c r="S1250" s="6"/>
      <c r="T1250" s="6"/>
      <c r="U1250" s="6"/>
      <c r="V1250" s="6"/>
      <c r="W1250" s="6"/>
      <c r="X1250" s="6"/>
      <c r="Y1250" s="6"/>
      <c r="Z1250" s="6"/>
      <c r="AA1250" s="6"/>
      <c r="AB1250" s="6"/>
      <c r="AC1250" s="6"/>
      <c r="AD1250" s="6"/>
      <c r="AE1250" s="6"/>
      <c r="AF1250" s="6"/>
      <c r="AG1250" s="6"/>
      <c r="AH1250" s="6"/>
      <c r="AI1250" s="6"/>
      <c r="AJ1250" s="6"/>
      <c r="AK1250" s="6"/>
      <c r="AL1250" s="6"/>
      <c r="AM1250" s="6"/>
      <c r="AN1250" s="6"/>
      <c r="AO1250" s="6"/>
      <c r="AP1250" s="6"/>
      <c r="AQ1250" s="6"/>
      <c r="AR1250" s="6"/>
      <c r="AS1250" s="6"/>
      <c r="AT1250" s="6"/>
      <c r="AU1250" s="6"/>
      <c r="AV1250" s="6"/>
      <c r="AW1250" s="6"/>
      <c r="AX1250" s="6"/>
      <c r="AY1250" s="6"/>
      <c r="AZ1250" s="6"/>
      <c r="BA1250" s="6"/>
      <c r="BB1250" s="6"/>
      <c r="BC1250" s="6"/>
      <c r="BD1250" s="6"/>
      <c r="BE1250" s="6"/>
      <c r="BF1250" s="6"/>
      <c r="BG1250" s="6"/>
      <c r="BH1250" s="6"/>
      <c r="BI1250" s="6"/>
      <c r="BJ1250" s="6"/>
      <c r="BK1250" s="6"/>
      <c r="BL1250" s="44"/>
      <c r="BM1250" s="44"/>
      <c r="BN1250" s="45"/>
      <c r="BO1250" s="45"/>
      <c r="BP1250" s="7"/>
      <c r="BQ1250" s="7" t="e">
        <f>VLOOKUP(A1250,[1]Sheet15!B:E,3,0)</f>
        <v>#N/A</v>
      </c>
    </row>
    <row r="1251" spans="1:69" ht="15.75" customHeight="1" x14ac:dyDescent="0.25">
      <c r="A1251" s="12"/>
      <c r="B1251" s="15" t="e">
        <f>VLOOKUP(A1251,'[1]Master clients'!F1249:W4796,17,0)</f>
        <v>#N/A</v>
      </c>
      <c r="C1251" s="15" t="e">
        <f>VLOOKUP(A1251,'[1]Master clients'!F1249:P4796,11,0)</f>
        <v>#N/A</v>
      </c>
      <c r="D1251" s="15" t="e">
        <f>VLOOKUP(A1251,'[1]Master clients'!F:M,8,0)</f>
        <v>#N/A</v>
      </c>
      <c r="E1251" s="12"/>
      <c r="F1251" s="6"/>
      <c r="G1251" s="6"/>
      <c r="H1251" s="6"/>
      <c r="I1251" s="43"/>
      <c r="J1251" s="43"/>
      <c r="K1251" s="6"/>
      <c r="L1251" s="6"/>
      <c r="M1251" s="6"/>
      <c r="N1251" s="6"/>
      <c r="O1251" s="6"/>
      <c r="P1251" s="6"/>
      <c r="Q1251" s="6"/>
      <c r="R1251" s="6"/>
      <c r="S1251" s="6"/>
      <c r="T1251" s="6"/>
      <c r="U1251" s="6"/>
      <c r="V1251" s="6"/>
      <c r="W1251" s="6"/>
      <c r="X1251" s="6"/>
      <c r="Y1251" s="6"/>
      <c r="Z1251" s="6"/>
      <c r="AA1251" s="6"/>
      <c r="AB1251" s="6"/>
      <c r="AC1251" s="6"/>
      <c r="AD1251" s="6"/>
      <c r="AE1251" s="6"/>
      <c r="AF1251" s="6"/>
      <c r="AG1251" s="6"/>
      <c r="AH1251" s="6"/>
      <c r="AI1251" s="6"/>
      <c r="AJ1251" s="6"/>
      <c r="AK1251" s="6"/>
      <c r="AL1251" s="6"/>
      <c r="AM1251" s="6"/>
      <c r="AN1251" s="6"/>
      <c r="AO1251" s="6"/>
      <c r="AP1251" s="6"/>
      <c r="AQ1251" s="6"/>
      <c r="AR1251" s="6"/>
      <c r="AS1251" s="6"/>
      <c r="AT1251" s="6"/>
      <c r="AU1251" s="6"/>
      <c r="AV1251" s="6"/>
      <c r="AW1251" s="6"/>
      <c r="AX1251" s="6"/>
      <c r="AY1251" s="6"/>
      <c r="AZ1251" s="6"/>
      <c r="BA1251" s="6"/>
      <c r="BB1251" s="6"/>
      <c r="BC1251" s="6"/>
      <c r="BD1251" s="6"/>
      <c r="BE1251" s="6"/>
      <c r="BF1251" s="6"/>
      <c r="BG1251" s="6"/>
      <c r="BH1251" s="6"/>
      <c r="BI1251" s="6"/>
      <c r="BJ1251" s="6"/>
      <c r="BK1251" s="6"/>
      <c r="BL1251" s="44"/>
      <c r="BM1251" s="44"/>
      <c r="BN1251" s="45"/>
      <c r="BO1251" s="45"/>
      <c r="BP1251" s="7"/>
      <c r="BQ1251" s="7" t="e">
        <f>VLOOKUP(A1251,[1]Sheet15!B:E,3,0)</f>
        <v>#N/A</v>
      </c>
    </row>
    <row r="1252" spans="1:69" ht="15.75" customHeight="1" x14ac:dyDescent="0.25">
      <c r="A1252" s="12"/>
      <c r="B1252" s="15" t="e">
        <f>VLOOKUP(A1252,'[1]Master clients'!F1250:W4797,17,0)</f>
        <v>#N/A</v>
      </c>
      <c r="C1252" s="15" t="e">
        <f>VLOOKUP(A1252,'[1]Master clients'!F1250:P4797,11,0)</f>
        <v>#N/A</v>
      </c>
      <c r="D1252" s="15" t="e">
        <f>VLOOKUP(A1252,'[1]Master clients'!F:M,8,0)</f>
        <v>#N/A</v>
      </c>
      <c r="E1252" s="12"/>
      <c r="F1252" s="6"/>
      <c r="G1252" s="6"/>
      <c r="H1252" s="6"/>
      <c r="I1252" s="43"/>
      <c r="J1252" s="43"/>
      <c r="K1252" s="6"/>
      <c r="L1252" s="6"/>
      <c r="M1252" s="6"/>
      <c r="N1252" s="6"/>
      <c r="O1252" s="6"/>
      <c r="P1252" s="6"/>
      <c r="Q1252" s="6"/>
      <c r="R1252" s="6"/>
      <c r="S1252" s="6"/>
      <c r="T1252" s="6"/>
      <c r="U1252" s="6"/>
      <c r="V1252" s="6"/>
      <c r="W1252" s="6"/>
      <c r="X1252" s="6"/>
      <c r="Y1252" s="6"/>
      <c r="Z1252" s="6"/>
      <c r="AA1252" s="6"/>
      <c r="AB1252" s="6"/>
      <c r="AC1252" s="6"/>
      <c r="AD1252" s="6"/>
      <c r="AE1252" s="6"/>
      <c r="AF1252" s="6"/>
      <c r="AG1252" s="6"/>
      <c r="AH1252" s="6"/>
      <c r="AI1252" s="6"/>
      <c r="AJ1252" s="6"/>
      <c r="AK1252" s="6"/>
      <c r="AL1252" s="6"/>
      <c r="AM1252" s="6"/>
      <c r="AN1252" s="6"/>
      <c r="AO1252" s="6"/>
      <c r="AP1252" s="6"/>
      <c r="AQ1252" s="6"/>
      <c r="AR1252" s="6"/>
      <c r="AS1252" s="6"/>
      <c r="AT1252" s="6"/>
      <c r="AU1252" s="6"/>
      <c r="AV1252" s="6"/>
      <c r="AW1252" s="6"/>
      <c r="AX1252" s="6"/>
      <c r="AY1252" s="6"/>
      <c r="AZ1252" s="6"/>
      <c r="BA1252" s="6"/>
      <c r="BB1252" s="6"/>
      <c r="BC1252" s="6"/>
      <c r="BD1252" s="6"/>
      <c r="BE1252" s="6"/>
      <c r="BF1252" s="6"/>
      <c r="BG1252" s="6"/>
      <c r="BH1252" s="6"/>
      <c r="BI1252" s="6"/>
      <c r="BJ1252" s="6"/>
      <c r="BK1252" s="6"/>
      <c r="BL1252" s="44"/>
      <c r="BM1252" s="44"/>
      <c r="BN1252" s="45"/>
      <c r="BO1252" s="45"/>
      <c r="BP1252" s="7"/>
      <c r="BQ1252" s="7" t="e">
        <f>VLOOKUP(A1252,[1]Sheet15!B:E,3,0)</f>
        <v>#N/A</v>
      </c>
    </row>
    <row r="1253" spans="1:69" ht="15.75" customHeight="1" x14ac:dyDescent="0.25">
      <c r="A1253" s="12"/>
      <c r="B1253" s="15" t="e">
        <f>VLOOKUP(A1253,'[1]Master clients'!F1251:W4798,17,0)</f>
        <v>#N/A</v>
      </c>
      <c r="C1253" s="15" t="e">
        <f>VLOOKUP(A1253,'[1]Master clients'!F1251:P4798,11,0)</f>
        <v>#N/A</v>
      </c>
      <c r="D1253" s="15" t="e">
        <f>VLOOKUP(A1253,'[1]Master clients'!F:M,8,0)</f>
        <v>#N/A</v>
      </c>
      <c r="E1253" s="12"/>
      <c r="F1253" s="6"/>
      <c r="G1253" s="6"/>
      <c r="H1253" s="6"/>
      <c r="I1253" s="43"/>
      <c r="J1253" s="43"/>
      <c r="K1253" s="6"/>
      <c r="L1253" s="6"/>
      <c r="M1253" s="6"/>
      <c r="N1253" s="6"/>
      <c r="O1253" s="6"/>
      <c r="P1253" s="6"/>
      <c r="Q1253" s="6"/>
      <c r="R1253" s="6"/>
      <c r="S1253" s="6"/>
      <c r="T1253" s="6"/>
      <c r="U1253" s="6"/>
      <c r="V1253" s="6"/>
      <c r="W1253" s="6"/>
      <c r="X1253" s="6"/>
      <c r="Y1253" s="6"/>
      <c r="Z1253" s="6"/>
      <c r="AA1253" s="6"/>
      <c r="AB1253" s="6"/>
      <c r="AC1253" s="6"/>
      <c r="AD1253" s="6"/>
      <c r="AE1253" s="6"/>
      <c r="AF1253" s="6"/>
      <c r="AG1253" s="6"/>
      <c r="AH1253" s="6"/>
      <c r="AI1253" s="6"/>
      <c r="AJ1253" s="6"/>
      <c r="AK1253" s="6"/>
      <c r="AL1253" s="6"/>
      <c r="AM1253" s="6"/>
      <c r="AN1253" s="6"/>
      <c r="AO1253" s="6"/>
      <c r="AP1253" s="6"/>
      <c r="AQ1253" s="6"/>
      <c r="AR1253" s="6"/>
      <c r="AS1253" s="6"/>
      <c r="AT1253" s="6"/>
      <c r="AU1253" s="6"/>
      <c r="AV1253" s="6"/>
      <c r="AW1253" s="6"/>
      <c r="AX1253" s="6"/>
      <c r="AY1253" s="6"/>
      <c r="AZ1253" s="6"/>
      <c r="BA1253" s="6"/>
      <c r="BB1253" s="6"/>
      <c r="BC1253" s="6"/>
      <c r="BD1253" s="6"/>
      <c r="BE1253" s="6"/>
      <c r="BF1253" s="6"/>
      <c r="BG1253" s="6"/>
      <c r="BH1253" s="6"/>
      <c r="BI1253" s="6"/>
      <c r="BJ1253" s="6"/>
      <c r="BK1253" s="6"/>
      <c r="BL1253" s="44"/>
      <c r="BM1253" s="44"/>
      <c r="BN1253" s="45"/>
      <c r="BO1253" s="45"/>
      <c r="BP1253" s="7"/>
      <c r="BQ1253" s="7" t="e">
        <f>VLOOKUP(A1253,[1]Sheet15!B:E,3,0)</f>
        <v>#N/A</v>
      </c>
    </row>
    <row r="1254" spans="1:69" ht="15.75" customHeight="1" x14ac:dyDescent="0.25">
      <c r="A1254" s="12"/>
      <c r="B1254" s="15" t="e">
        <f>VLOOKUP(A1254,'[1]Master clients'!F1252:W4799,17,0)</f>
        <v>#N/A</v>
      </c>
      <c r="C1254" s="15" t="e">
        <f>VLOOKUP(A1254,'[1]Master clients'!F1252:P4799,11,0)</f>
        <v>#N/A</v>
      </c>
      <c r="D1254" s="15" t="e">
        <f>VLOOKUP(A1254,'[1]Master clients'!F:M,8,0)</f>
        <v>#N/A</v>
      </c>
      <c r="E1254" s="12"/>
      <c r="F1254" s="6"/>
      <c r="G1254" s="6"/>
      <c r="H1254" s="6"/>
      <c r="I1254" s="43"/>
      <c r="J1254" s="43"/>
      <c r="K1254" s="6"/>
      <c r="L1254" s="6"/>
      <c r="M1254" s="6"/>
      <c r="N1254" s="6"/>
      <c r="O1254" s="6"/>
      <c r="P1254" s="6"/>
      <c r="Q1254" s="6"/>
      <c r="R1254" s="6"/>
      <c r="S1254" s="6"/>
      <c r="T1254" s="6"/>
      <c r="U1254" s="6"/>
      <c r="V1254" s="6"/>
      <c r="W1254" s="6"/>
      <c r="X1254" s="6"/>
      <c r="Y1254" s="6"/>
      <c r="Z1254" s="6"/>
      <c r="AA1254" s="6"/>
      <c r="AB1254" s="6"/>
      <c r="AC1254" s="6"/>
      <c r="AD1254" s="6"/>
      <c r="AE1254" s="6"/>
      <c r="AF1254" s="6"/>
      <c r="AG1254" s="6"/>
      <c r="AH1254" s="6"/>
      <c r="AI1254" s="6"/>
      <c r="AJ1254" s="6"/>
      <c r="AK1254" s="6"/>
      <c r="AL1254" s="6"/>
      <c r="AM1254" s="6"/>
      <c r="AN1254" s="6"/>
      <c r="AO1254" s="6"/>
      <c r="AP1254" s="6"/>
      <c r="AQ1254" s="6"/>
      <c r="AR1254" s="6"/>
      <c r="AS1254" s="6"/>
      <c r="AT1254" s="6"/>
      <c r="AU1254" s="6"/>
      <c r="AV1254" s="6"/>
      <c r="AW1254" s="6"/>
      <c r="AX1254" s="6"/>
      <c r="AY1254" s="6"/>
      <c r="AZ1254" s="6"/>
      <c r="BA1254" s="6"/>
      <c r="BB1254" s="6"/>
      <c r="BC1254" s="6"/>
      <c r="BD1254" s="6"/>
      <c r="BE1254" s="6"/>
      <c r="BF1254" s="6"/>
      <c r="BG1254" s="6"/>
      <c r="BH1254" s="6"/>
      <c r="BI1254" s="6"/>
      <c r="BJ1254" s="6"/>
      <c r="BK1254" s="6"/>
      <c r="BL1254" s="44"/>
      <c r="BM1254" s="44"/>
      <c r="BN1254" s="45"/>
      <c r="BO1254" s="45"/>
      <c r="BP1254" s="7"/>
      <c r="BQ1254" s="7" t="e">
        <f>VLOOKUP(A1254,[1]Sheet15!B:E,3,0)</f>
        <v>#N/A</v>
      </c>
    </row>
    <row r="1255" spans="1:69" ht="15.75" customHeight="1" x14ac:dyDescent="0.25">
      <c r="A1255" s="12"/>
      <c r="B1255" s="15" t="e">
        <f>VLOOKUP(A1255,'[1]Master clients'!F1253:W4800,17,0)</f>
        <v>#N/A</v>
      </c>
      <c r="C1255" s="15" t="e">
        <f>VLOOKUP(A1255,'[1]Master clients'!F1253:P4800,11,0)</f>
        <v>#N/A</v>
      </c>
      <c r="D1255" s="15" t="e">
        <f>VLOOKUP(A1255,'[1]Master clients'!F:M,8,0)</f>
        <v>#N/A</v>
      </c>
      <c r="E1255" s="12"/>
      <c r="F1255" s="6"/>
      <c r="G1255" s="6"/>
      <c r="H1255" s="6"/>
      <c r="I1255" s="43"/>
      <c r="J1255" s="43"/>
      <c r="K1255" s="6"/>
      <c r="L1255" s="6"/>
      <c r="M1255" s="6"/>
      <c r="N1255" s="6"/>
      <c r="O1255" s="6"/>
      <c r="P1255" s="6"/>
      <c r="Q1255" s="6"/>
      <c r="R1255" s="6"/>
      <c r="S1255" s="6"/>
      <c r="T1255" s="6"/>
      <c r="U1255" s="6"/>
      <c r="V1255" s="6"/>
      <c r="W1255" s="6"/>
      <c r="X1255" s="6"/>
      <c r="Y1255" s="6"/>
      <c r="Z1255" s="6"/>
      <c r="AA1255" s="6"/>
      <c r="AB1255" s="6"/>
      <c r="AC1255" s="6"/>
      <c r="AD1255" s="6"/>
      <c r="AE1255" s="6"/>
      <c r="AF1255" s="6"/>
      <c r="AG1255" s="6"/>
      <c r="AH1255" s="6"/>
      <c r="AI1255" s="6"/>
      <c r="AJ1255" s="6"/>
      <c r="AK1255" s="6"/>
      <c r="AL1255" s="6"/>
      <c r="AM1255" s="6"/>
      <c r="AN1255" s="6"/>
      <c r="AO1255" s="6"/>
      <c r="AP1255" s="6"/>
      <c r="AQ1255" s="6"/>
      <c r="AR1255" s="6"/>
      <c r="AS1255" s="6"/>
      <c r="AT1255" s="6"/>
      <c r="AU1255" s="6"/>
      <c r="AV1255" s="6"/>
      <c r="AW1255" s="6"/>
      <c r="AX1255" s="6"/>
      <c r="AY1255" s="6"/>
      <c r="AZ1255" s="6"/>
      <c r="BA1255" s="6"/>
      <c r="BB1255" s="6"/>
      <c r="BC1255" s="6"/>
      <c r="BD1255" s="6"/>
      <c r="BE1255" s="6"/>
      <c r="BF1255" s="6"/>
      <c r="BG1255" s="6"/>
      <c r="BH1255" s="6"/>
      <c r="BI1255" s="6"/>
      <c r="BJ1255" s="6"/>
      <c r="BK1255" s="6"/>
      <c r="BL1255" s="44"/>
      <c r="BM1255" s="44"/>
      <c r="BN1255" s="45"/>
      <c r="BO1255" s="45"/>
      <c r="BP1255" s="7"/>
      <c r="BQ1255" s="7" t="e">
        <f>VLOOKUP(A1255,[1]Sheet15!B:E,3,0)</f>
        <v>#N/A</v>
      </c>
    </row>
    <row r="1256" spans="1:69" ht="15.75" customHeight="1" x14ac:dyDescent="0.25">
      <c r="A1256" s="12"/>
      <c r="B1256" s="15" t="e">
        <f>VLOOKUP(A1256,'[1]Master clients'!F1254:W4801,17,0)</f>
        <v>#N/A</v>
      </c>
      <c r="C1256" s="15" t="e">
        <f>VLOOKUP(A1256,'[1]Master clients'!F1254:P4801,11,0)</f>
        <v>#N/A</v>
      </c>
      <c r="D1256" s="15" t="e">
        <f>VLOOKUP(A1256,'[1]Master clients'!F:M,8,0)</f>
        <v>#N/A</v>
      </c>
      <c r="E1256" s="12"/>
      <c r="F1256" s="6"/>
      <c r="G1256" s="6"/>
      <c r="H1256" s="6"/>
      <c r="I1256" s="43"/>
      <c r="J1256" s="43"/>
      <c r="K1256" s="6"/>
      <c r="L1256" s="6"/>
      <c r="M1256" s="6"/>
      <c r="N1256" s="6"/>
      <c r="O1256" s="6"/>
      <c r="P1256" s="6"/>
      <c r="Q1256" s="6"/>
      <c r="R1256" s="6"/>
      <c r="S1256" s="6"/>
      <c r="T1256" s="6"/>
      <c r="U1256" s="6"/>
      <c r="V1256" s="6"/>
      <c r="W1256" s="6"/>
      <c r="X1256" s="6"/>
      <c r="Y1256" s="6"/>
      <c r="Z1256" s="6"/>
      <c r="AA1256" s="6"/>
      <c r="AB1256" s="6"/>
      <c r="AC1256" s="6"/>
      <c r="AD1256" s="6"/>
      <c r="AE1256" s="6"/>
      <c r="AF1256" s="6"/>
      <c r="AG1256" s="6"/>
      <c r="AH1256" s="6"/>
      <c r="AI1256" s="6"/>
      <c r="AJ1256" s="6"/>
      <c r="AK1256" s="6"/>
      <c r="AL1256" s="6"/>
      <c r="AM1256" s="6"/>
      <c r="AN1256" s="6"/>
      <c r="AO1256" s="6"/>
      <c r="AP1256" s="6"/>
      <c r="AQ1256" s="6"/>
      <c r="AR1256" s="6"/>
      <c r="AS1256" s="6"/>
      <c r="AT1256" s="6"/>
      <c r="AU1256" s="6"/>
      <c r="AV1256" s="6"/>
      <c r="AW1256" s="6"/>
      <c r="AX1256" s="6"/>
      <c r="AY1256" s="6"/>
      <c r="AZ1256" s="6"/>
      <c r="BA1256" s="6"/>
      <c r="BB1256" s="6"/>
      <c r="BC1256" s="6"/>
      <c r="BD1256" s="6"/>
      <c r="BE1256" s="6"/>
      <c r="BF1256" s="6"/>
      <c r="BG1256" s="6"/>
      <c r="BH1256" s="6"/>
      <c r="BI1256" s="6"/>
      <c r="BJ1256" s="6"/>
      <c r="BK1256" s="6"/>
      <c r="BL1256" s="44"/>
      <c r="BM1256" s="44"/>
      <c r="BN1256" s="45"/>
      <c r="BO1256" s="45"/>
      <c r="BP1256" s="7"/>
      <c r="BQ1256" s="7" t="e">
        <f>VLOOKUP(A1256,[1]Sheet15!B:E,3,0)</f>
        <v>#N/A</v>
      </c>
    </row>
    <row r="1257" spans="1:69" ht="15.75" customHeight="1" x14ac:dyDescent="0.25">
      <c r="A1257" s="12"/>
      <c r="B1257" s="15" t="e">
        <f>VLOOKUP(A1257,'[1]Master clients'!F1255:W4802,17,0)</f>
        <v>#N/A</v>
      </c>
      <c r="C1257" s="15" t="e">
        <f>VLOOKUP(A1257,'[1]Master clients'!F1255:P4802,11,0)</f>
        <v>#N/A</v>
      </c>
      <c r="D1257" s="15" t="e">
        <f>VLOOKUP(A1257,'[1]Master clients'!F:M,8,0)</f>
        <v>#N/A</v>
      </c>
      <c r="E1257" s="12"/>
      <c r="F1257" s="6"/>
      <c r="G1257" s="6"/>
      <c r="H1257" s="6"/>
      <c r="I1257" s="43"/>
      <c r="J1257" s="43"/>
      <c r="K1257" s="6"/>
      <c r="L1257" s="6"/>
      <c r="M1257" s="6"/>
      <c r="N1257" s="6"/>
      <c r="O1257" s="6"/>
      <c r="P1257" s="6"/>
      <c r="Q1257" s="6"/>
      <c r="R1257" s="6"/>
      <c r="S1257" s="6"/>
      <c r="T1257" s="6"/>
      <c r="U1257" s="6"/>
      <c r="V1257" s="6"/>
      <c r="W1257" s="6"/>
      <c r="X1257" s="6"/>
      <c r="Y1257" s="6"/>
      <c r="Z1257" s="6"/>
      <c r="AA1257" s="6"/>
      <c r="AB1257" s="6"/>
      <c r="AC1257" s="6"/>
      <c r="AD1257" s="6"/>
      <c r="AE1257" s="6"/>
      <c r="AF1257" s="6"/>
      <c r="AG1257" s="6"/>
      <c r="AH1257" s="6"/>
      <c r="AI1257" s="6"/>
      <c r="AJ1257" s="6"/>
      <c r="AK1257" s="6"/>
      <c r="AL1257" s="6"/>
      <c r="AM1257" s="6"/>
      <c r="AN1257" s="6"/>
      <c r="AO1257" s="6"/>
      <c r="AP1257" s="6"/>
      <c r="AQ1257" s="6"/>
      <c r="AR1257" s="6"/>
      <c r="AS1257" s="6"/>
      <c r="AT1257" s="6"/>
      <c r="AU1257" s="6"/>
      <c r="AV1257" s="6"/>
      <c r="AW1257" s="6"/>
      <c r="AX1257" s="6"/>
      <c r="AY1257" s="6"/>
      <c r="AZ1257" s="6"/>
      <c r="BA1257" s="6"/>
      <c r="BB1257" s="6"/>
      <c r="BC1257" s="6"/>
      <c r="BD1257" s="6"/>
      <c r="BE1257" s="6"/>
      <c r="BF1257" s="6"/>
      <c r="BG1257" s="6"/>
      <c r="BH1257" s="6"/>
      <c r="BI1257" s="6"/>
      <c r="BJ1257" s="6"/>
      <c r="BK1257" s="6"/>
      <c r="BL1257" s="44"/>
      <c r="BM1257" s="44"/>
      <c r="BN1257" s="45"/>
      <c r="BO1257" s="45"/>
      <c r="BP1257" s="7"/>
      <c r="BQ1257" s="7" t="e">
        <f>VLOOKUP(A1257,[1]Sheet15!B:E,3,0)</f>
        <v>#N/A</v>
      </c>
    </row>
    <row r="1258" spans="1:69" ht="15.75" customHeight="1" x14ac:dyDescent="0.25">
      <c r="A1258" s="12"/>
      <c r="B1258" s="15" t="e">
        <f>VLOOKUP(A1258,'[1]Master clients'!F1256:W4803,17,0)</f>
        <v>#N/A</v>
      </c>
      <c r="C1258" s="15" t="e">
        <f>VLOOKUP(A1258,'[1]Master clients'!F1256:P4803,11,0)</f>
        <v>#N/A</v>
      </c>
      <c r="D1258" s="15" t="e">
        <f>VLOOKUP(A1258,'[1]Master clients'!F:M,8,0)</f>
        <v>#N/A</v>
      </c>
      <c r="E1258" s="12"/>
      <c r="F1258" s="6"/>
      <c r="G1258" s="6"/>
      <c r="H1258" s="6"/>
      <c r="I1258" s="43"/>
      <c r="J1258" s="43"/>
      <c r="K1258" s="6"/>
      <c r="L1258" s="6"/>
      <c r="M1258" s="6"/>
      <c r="N1258" s="6"/>
      <c r="O1258" s="6"/>
      <c r="P1258" s="6"/>
      <c r="Q1258" s="6"/>
      <c r="R1258" s="6"/>
      <c r="S1258" s="6"/>
      <c r="T1258" s="6"/>
      <c r="U1258" s="6"/>
      <c r="V1258" s="6"/>
      <c r="W1258" s="6"/>
      <c r="X1258" s="6"/>
      <c r="Y1258" s="6"/>
      <c r="Z1258" s="6"/>
      <c r="AA1258" s="6"/>
      <c r="AB1258" s="6"/>
      <c r="AC1258" s="6"/>
      <c r="AD1258" s="6"/>
      <c r="AE1258" s="6"/>
      <c r="AF1258" s="6"/>
      <c r="AG1258" s="6"/>
      <c r="AH1258" s="6"/>
      <c r="AI1258" s="6"/>
      <c r="AJ1258" s="6"/>
      <c r="AK1258" s="6"/>
      <c r="AL1258" s="6"/>
      <c r="AM1258" s="6"/>
      <c r="AN1258" s="6"/>
      <c r="AO1258" s="6"/>
      <c r="AP1258" s="6"/>
      <c r="AQ1258" s="6"/>
      <c r="AR1258" s="6"/>
      <c r="AS1258" s="6"/>
      <c r="AT1258" s="6"/>
      <c r="AU1258" s="6"/>
      <c r="AV1258" s="6"/>
      <c r="AW1258" s="6"/>
      <c r="AX1258" s="6"/>
      <c r="AY1258" s="6"/>
      <c r="AZ1258" s="6"/>
      <c r="BA1258" s="6"/>
      <c r="BB1258" s="6"/>
      <c r="BC1258" s="6"/>
      <c r="BD1258" s="6"/>
      <c r="BE1258" s="6"/>
      <c r="BF1258" s="6"/>
      <c r="BG1258" s="6"/>
      <c r="BH1258" s="6"/>
      <c r="BI1258" s="6"/>
      <c r="BJ1258" s="6"/>
      <c r="BK1258" s="6"/>
      <c r="BL1258" s="44"/>
      <c r="BM1258" s="44"/>
      <c r="BN1258" s="45"/>
      <c r="BO1258" s="45"/>
      <c r="BP1258" s="7"/>
      <c r="BQ1258" s="7" t="e">
        <f>VLOOKUP(A1258,[1]Sheet15!B:E,3,0)</f>
        <v>#N/A</v>
      </c>
    </row>
    <row r="1259" spans="1:69" ht="15.75" customHeight="1" x14ac:dyDescent="0.25">
      <c r="A1259" s="12"/>
      <c r="B1259" s="15" t="e">
        <f>VLOOKUP(A1259,'[1]Master clients'!F1257:W4804,17,0)</f>
        <v>#N/A</v>
      </c>
      <c r="C1259" s="15" t="e">
        <f>VLOOKUP(A1259,'[1]Master clients'!F1257:P4804,11,0)</f>
        <v>#N/A</v>
      </c>
      <c r="D1259" s="15" t="e">
        <f>VLOOKUP(A1259,'[1]Master clients'!F:M,8,0)</f>
        <v>#N/A</v>
      </c>
      <c r="E1259" s="12"/>
      <c r="F1259" s="6"/>
      <c r="G1259" s="6"/>
      <c r="H1259" s="6"/>
      <c r="I1259" s="43"/>
      <c r="J1259" s="43"/>
      <c r="K1259" s="6"/>
      <c r="L1259" s="6"/>
      <c r="M1259" s="6"/>
      <c r="N1259" s="6"/>
      <c r="O1259" s="6"/>
      <c r="P1259" s="6"/>
      <c r="Q1259" s="6"/>
      <c r="R1259" s="6"/>
      <c r="S1259" s="6"/>
      <c r="T1259" s="6"/>
      <c r="U1259" s="6"/>
      <c r="V1259" s="6"/>
      <c r="W1259" s="6"/>
      <c r="X1259" s="6"/>
      <c r="Y1259" s="6"/>
      <c r="Z1259" s="6"/>
      <c r="AA1259" s="6"/>
      <c r="AB1259" s="6"/>
      <c r="AC1259" s="6"/>
      <c r="AD1259" s="6"/>
      <c r="AE1259" s="6"/>
      <c r="AF1259" s="6"/>
      <c r="AG1259" s="6"/>
      <c r="AH1259" s="6"/>
      <c r="AI1259" s="6"/>
      <c r="AJ1259" s="6"/>
      <c r="AK1259" s="6"/>
      <c r="AL1259" s="6"/>
      <c r="AM1259" s="6"/>
      <c r="AN1259" s="6"/>
      <c r="AO1259" s="6"/>
      <c r="AP1259" s="6"/>
      <c r="AQ1259" s="6"/>
      <c r="AR1259" s="6"/>
      <c r="AS1259" s="6"/>
      <c r="AT1259" s="6"/>
      <c r="AU1259" s="6"/>
      <c r="AV1259" s="6"/>
      <c r="AW1259" s="6"/>
      <c r="AX1259" s="6"/>
      <c r="AY1259" s="6"/>
      <c r="AZ1259" s="6"/>
      <c r="BA1259" s="6"/>
      <c r="BB1259" s="6"/>
      <c r="BC1259" s="6"/>
      <c r="BD1259" s="6"/>
      <c r="BE1259" s="6"/>
      <c r="BF1259" s="6"/>
      <c r="BG1259" s="6"/>
      <c r="BH1259" s="6"/>
      <c r="BI1259" s="6"/>
      <c r="BJ1259" s="6"/>
      <c r="BK1259" s="6"/>
      <c r="BL1259" s="44"/>
      <c r="BM1259" s="44"/>
      <c r="BN1259" s="45"/>
      <c r="BO1259" s="45"/>
      <c r="BP1259" s="7"/>
      <c r="BQ1259" s="7" t="e">
        <f>VLOOKUP(A1259,[1]Sheet15!B:E,3,0)</f>
        <v>#N/A</v>
      </c>
    </row>
    <row r="1260" spans="1:69" ht="15.75" customHeight="1" x14ac:dyDescent="0.25">
      <c r="A1260" s="12"/>
      <c r="B1260" s="15" t="e">
        <f>VLOOKUP(A1260,'[1]Master clients'!F1258:W4805,17,0)</f>
        <v>#N/A</v>
      </c>
      <c r="C1260" s="15" t="e">
        <f>VLOOKUP(A1260,'[1]Master clients'!F1258:P4805,11,0)</f>
        <v>#N/A</v>
      </c>
      <c r="D1260" s="15" t="e">
        <f>VLOOKUP(A1260,'[1]Master clients'!F:M,8,0)</f>
        <v>#N/A</v>
      </c>
      <c r="E1260" s="12"/>
      <c r="F1260" s="6"/>
      <c r="G1260" s="6"/>
      <c r="H1260" s="6"/>
      <c r="I1260" s="43"/>
      <c r="J1260" s="43"/>
      <c r="K1260" s="6"/>
      <c r="L1260" s="6"/>
      <c r="M1260" s="6"/>
      <c r="N1260" s="6"/>
      <c r="O1260" s="6"/>
      <c r="P1260" s="6"/>
      <c r="Q1260" s="6"/>
      <c r="R1260" s="6"/>
      <c r="S1260" s="6"/>
      <c r="T1260" s="6"/>
      <c r="U1260" s="6"/>
      <c r="V1260" s="6"/>
      <c r="W1260" s="6"/>
      <c r="X1260" s="6"/>
      <c r="Y1260" s="6"/>
      <c r="Z1260" s="6"/>
      <c r="AA1260" s="6"/>
      <c r="AB1260" s="6"/>
      <c r="AC1260" s="6"/>
      <c r="AD1260" s="6"/>
      <c r="AE1260" s="6"/>
      <c r="AF1260" s="6"/>
      <c r="AG1260" s="6"/>
      <c r="AH1260" s="6"/>
      <c r="AI1260" s="6"/>
      <c r="AJ1260" s="6"/>
      <c r="AK1260" s="6"/>
      <c r="AL1260" s="6"/>
      <c r="AM1260" s="6"/>
      <c r="AN1260" s="6"/>
      <c r="AO1260" s="6"/>
      <c r="AP1260" s="6"/>
      <c r="AQ1260" s="6"/>
      <c r="AR1260" s="6"/>
      <c r="AS1260" s="6"/>
      <c r="AT1260" s="6"/>
      <c r="AU1260" s="6"/>
      <c r="AV1260" s="6"/>
      <c r="AW1260" s="6"/>
      <c r="AX1260" s="6"/>
      <c r="AY1260" s="6"/>
      <c r="AZ1260" s="6"/>
      <c r="BA1260" s="6"/>
      <c r="BB1260" s="6"/>
      <c r="BC1260" s="6"/>
      <c r="BD1260" s="6"/>
      <c r="BE1260" s="6"/>
      <c r="BF1260" s="6"/>
      <c r="BG1260" s="6"/>
      <c r="BH1260" s="6"/>
      <c r="BI1260" s="6"/>
      <c r="BJ1260" s="6"/>
      <c r="BK1260" s="6"/>
      <c r="BL1260" s="44"/>
      <c r="BM1260" s="44"/>
      <c r="BN1260" s="45"/>
      <c r="BO1260" s="45"/>
      <c r="BP1260" s="7"/>
      <c r="BQ1260" s="7" t="e">
        <f>VLOOKUP(A1260,[1]Sheet15!B:E,3,0)</f>
        <v>#N/A</v>
      </c>
    </row>
    <row r="1261" spans="1:69" ht="15.75" customHeight="1" x14ac:dyDescent="0.25">
      <c r="A1261" s="12"/>
      <c r="B1261" s="15" t="e">
        <f>VLOOKUP(A1261,'[1]Master clients'!F1259:W4806,17,0)</f>
        <v>#N/A</v>
      </c>
      <c r="C1261" s="15" t="e">
        <f>VLOOKUP(A1261,'[1]Master clients'!F1259:P4806,11,0)</f>
        <v>#N/A</v>
      </c>
      <c r="D1261" s="15" t="e">
        <f>VLOOKUP(A1261,'[1]Master clients'!F:M,8,0)</f>
        <v>#N/A</v>
      </c>
      <c r="E1261" s="12"/>
      <c r="F1261" s="6"/>
      <c r="G1261" s="6"/>
      <c r="H1261" s="6"/>
      <c r="I1261" s="43"/>
      <c r="J1261" s="43"/>
      <c r="K1261" s="6"/>
      <c r="L1261" s="6"/>
      <c r="M1261" s="6"/>
      <c r="N1261" s="6"/>
      <c r="O1261" s="6"/>
      <c r="P1261" s="6"/>
      <c r="Q1261" s="6"/>
      <c r="R1261" s="6"/>
      <c r="S1261" s="6"/>
      <c r="T1261" s="6"/>
      <c r="U1261" s="6"/>
      <c r="V1261" s="6"/>
      <c r="W1261" s="6"/>
      <c r="X1261" s="6"/>
      <c r="Y1261" s="6"/>
      <c r="Z1261" s="6"/>
      <c r="AA1261" s="6"/>
      <c r="AB1261" s="6"/>
      <c r="AC1261" s="6"/>
      <c r="AD1261" s="6"/>
      <c r="AE1261" s="6"/>
      <c r="AF1261" s="6"/>
      <c r="AG1261" s="6"/>
      <c r="AH1261" s="6"/>
      <c r="AI1261" s="6"/>
      <c r="AJ1261" s="6"/>
      <c r="AK1261" s="6"/>
      <c r="AL1261" s="6"/>
      <c r="AM1261" s="6"/>
      <c r="AN1261" s="6"/>
      <c r="AO1261" s="6"/>
      <c r="AP1261" s="6"/>
      <c r="AQ1261" s="6"/>
      <c r="AR1261" s="6"/>
      <c r="AS1261" s="6"/>
      <c r="AT1261" s="6"/>
      <c r="AU1261" s="6"/>
      <c r="AV1261" s="6"/>
      <c r="AW1261" s="6"/>
      <c r="AX1261" s="6"/>
      <c r="AY1261" s="6"/>
      <c r="AZ1261" s="6"/>
      <c r="BA1261" s="6"/>
      <c r="BB1261" s="6"/>
      <c r="BC1261" s="6"/>
      <c r="BD1261" s="6"/>
      <c r="BE1261" s="6"/>
      <c r="BF1261" s="6"/>
      <c r="BG1261" s="6"/>
      <c r="BH1261" s="6"/>
      <c r="BI1261" s="6"/>
      <c r="BJ1261" s="6"/>
      <c r="BK1261" s="6"/>
      <c r="BL1261" s="44"/>
      <c r="BM1261" s="44"/>
      <c r="BN1261" s="45"/>
      <c r="BO1261" s="45"/>
      <c r="BP1261" s="7"/>
      <c r="BQ1261" s="7" t="e">
        <f>VLOOKUP(A1261,[1]Sheet15!B:E,3,0)</f>
        <v>#N/A</v>
      </c>
    </row>
    <row r="1262" spans="1:69" ht="15.75" customHeight="1" x14ac:dyDescent="0.25">
      <c r="A1262" s="12"/>
      <c r="B1262" s="15" t="e">
        <f>VLOOKUP(A1262,'[1]Master clients'!F1260:W4807,17,0)</f>
        <v>#N/A</v>
      </c>
      <c r="C1262" s="15" t="e">
        <f>VLOOKUP(A1262,'[1]Master clients'!F1260:P4807,11,0)</f>
        <v>#N/A</v>
      </c>
      <c r="D1262" s="15" t="e">
        <f>VLOOKUP(A1262,'[1]Master clients'!F:M,8,0)</f>
        <v>#N/A</v>
      </c>
      <c r="E1262" s="12"/>
      <c r="F1262" s="6"/>
      <c r="G1262" s="6"/>
      <c r="H1262" s="6"/>
      <c r="I1262" s="43"/>
      <c r="J1262" s="43"/>
      <c r="K1262" s="6"/>
      <c r="L1262" s="6"/>
      <c r="M1262" s="6"/>
      <c r="N1262" s="6"/>
      <c r="O1262" s="6"/>
      <c r="P1262" s="6"/>
      <c r="Q1262" s="6"/>
      <c r="R1262" s="6"/>
      <c r="S1262" s="6"/>
      <c r="T1262" s="6"/>
      <c r="U1262" s="6"/>
      <c r="V1262" s="6"/>
      <c r="W1262" s="6"/>
      <c r="X1262" s="6"/>
      <c r="Y1262" s="6"/>
      <c r="Z1262" s="6"/>
      <c r="AA1262" s="6"/>
      <c r="AB1262" s="6"/>
      <c r="AC1262" s="6"/>
      <c r="AD1262" s="6"/>
      <c r="AE1262" s="6"/>
      <c r="AF1262" s="6"/>
      <c r="AG1262" s="6"/>
      <c r="AH1262" s="6"/>
      <c r="AI1262" s="6"/>
      <c r="AJ1262" s="6"/>
      <c r="AK1262" s="6"/>
      <c r="AL1262" s="6"/>
      <c r="AM1262" s="6"/>
      <c r="AN1262" s="6"/>
      <c r="AO1262" s="6"/>
      <c r="AP1262" s="6"/>
      <c r="AQ1262" s="6"/>
      <c r="AR1262" s="6"/>
      <c r="AS1262" s="6"/>
      <c r="AT1262" s="6"/>
      <c r="AU1262" s="6"/>
      <c r="AV1262" s="6"/>
      <c r="AW1262" s="6"/>
      <c r="AX1262" s="6"/>
      <c r="AY1262" s="6"/>
      <c r="AZ1262" s="6"/>
      <c r="BA1262" s="6"/>
      <c r="BB1262" s="6"/>
      <c r="BC1262" s="6"/>
      <c r="BD1262" s="6"/>
      <c r="BE1262" s="6"/>
      <c r="BF1262" s="6"/>
      <c r="BG1262" s="6"/>
      <c r="BH1262" s="6"/>
      <c r="BI1262" s="6"/>
      <c r="BJ1262" s="6"/>
      <c r="BK1262" s="6"/>
      <c r="BL1262" s="44"/>
      <c r="BM1262" s="44"/>
      <c r="BN1262" s="45"/>
      <c r="BO1262" s="45"/>
      <c r="BP1262" s="7"/>
      <c r="BQ1262" s="7" t="e">
        <f>VLOOKUP(A1262,[1]Sheet15!B:E,3,0)</f>
        <v>#N/A</v>
      </c>
    </row>
    <row r="1263" spans="1:69" ht="15.75" customHeight="1" x14ac:dyDescent="0.25">
      <c r="A1263" s="12"/>
      <c r="B1263" s="15" t="e">
        <f>VLOOKUP(A1263,'[1]Master clients'!F1261:W4808,17,0)</f>
        <v>#N/A</v>
      </c>
      <c r="C1263" s="15" t="e">
        <f>VLOOKUP(A1263,'[1]Master clients'!F1261:P4808,11,0)</f>
        <v>#N/A</v>
      </c>
      <c r="D1263" s="15" t="e">
        <f>VLOOKUP(A1263,'[1]Master clients'!F:M,8,0)</f>
        <v>#N/A</v>
      </c>
      <c r="E1263" s="12"/>
      <c r="F1263" s="6"/>
      <c r="G1263" s="6"/>
      <c r="H1263" s="6"/>
      <c r="I1263" s="43"/>
      <c r="J1263" s="43"/>
      <c r="K1263" s="6"/>
      <c r="L1263" s="6"/>
      <c r="M1263" s="6"/>
      <c r="N1263" s="6"/>
      <c r="O1263" s="6"/>
      <c r="P1263" s="6"/>
      <c r="Q1263" s="6"/>
      <c r="R1263" s="6"/>
      <c r="S1263" s="6"/>
      <c r="T1263" s="6"/>
      <c r="U1263" s="6"/>
      <c r="V1263" s="6"/>
      <c r="W1263" s="6"/>
      <c r="X1263" s="6"/>
      <c r="Y1263" s="6"/>
      <c r="Z1263" s="6"/>
      <c r="AA1263" s="6"/>
      <c r="AB1263" s="6"/>
      <c r="AC1263" s="6"/>
      <c r="AD1263" s="6"/>
      <c r="AE1263" s="6"/>
      <c r="AF1263" s="6"/>
      <c r="AG1263" s="6"/>
      <c r="AH1263" s="6"/>
      <c r="AI1263" s="6"/>
      <c r="AJ1263" s="6"/>
      <c r="AK1263" s="6"/>
      <c r="AL1263" s="6"/>
      <c r="AM1263" s="6"/>
      <c r="AN1263" s="6"/>
      <c r="AO1263" s="6"/>
      <c r="AP1263" s="6"/>
      <c r="AQ1263" s="6"/>
      <c r="AR1263" s="6"/>
      <c r="AS1263" s="6"/>
      <c r="AT1263" s="6"/>
      <c r="AU1263" s="6"/>
      <c r="AV1263" s="6"/>
      <c r="AW1263" s="6"/>
      <c r="AX1263" s="6"/>
      <c r="AY1263" s="6"/>
      <c r="AZ1263" s="6"/>
      <c r="BA1263" s="6"/>
      <c r="BB1263" s="6"/>
      <c r="BC1263" s="6"/>
      <c r="BD1263" s="6"/>
      <c r="BE1263" s="6"/>
      <c r="BF1263" s="6"/>
      <c r="BG1263" s="6"/>
      <c r="BH1263" s="6"/>
      <c r="BI1263" s="6"/>
      <c r="BJ1263" s="6"/>
      <c r="BK1263" s="6"/>
      <c r="BL1263" s="44"/>
      <c r="BM1263" s="44"/>
      <c r="BN1263" s="45"/>
      <c r="BO1263" s="45"/>
      <c r="BP1263" s="7"/>
      <c r="BQ1263" s="7" t="e">
        <f>VLOOKUP(A1263,[1]Sheet15!B:E,3,0)</f>
        <v>#N/A</v>
      </c>
    </row>
    <row r="1264" spans="1:69" ht="15.75" customHeight="1" x14ac:dyDescent="0.25">
      <c r="A1264" s="12"/>
      <c r="B1264" s="15" t="e">
        <f>VLOOKUP(A1264,'[1]Master clients'!F1262:W4809,17,0)</f>
        <v>#N/A</v>
      </c>
      <c r="C1264" s="15" t="e">
        <f>VLOOKUP(A1264,'[1]Master clients'!F1262:P4809,11,0)</f>
        <v>#N/A</v>
      </c>
      <c r="D1264" s="15" t="e">
        <f>VLOOKUP(A1264,'[1]Master clients'!F:M,8,0)</f>
        <v>#N/A</v>
      </c>
      <c r="E1264" s="12"/>
      <c r="F1264" s="6"/>
      <c r="G1264" s="6"/>
      <c r="H1264" s="6"/>
      <c r="I1264" s="43"/>
      <c r="J1264" s="43"/>
      <c r="K1264" s="6"/>
      <c r="L1264" s="6"/>
      <c r="M1264" s="6"/>
      <c r="N1264" s="6"/>
      <c r="O1264" s="6"/>
      <c r="P1264" s="6"/>
      <c r="Q1264" s="6"/>
      <c r="R1264" s="6"/>
      <c r="S1264" s="6"/>
      <c r="T1264" s="6"/>
      <c r="U1264" s="6"/>
      <c r="V1264" s="6"/>
      <c r="W1264" s="6"/>
      <c r="X1264" s="6"/>
      <c r="Y1264" s="6"/>
      <c r="Z1264" s="6"/>
      <c r="AA1264" s="6"/>
      <c r="AB1264" s="6"/>
      <c r="AC1264" s="6"/>
      <c r="AD1264" s="6"/>
      <c r="AE1264" s="6"/>
      <c r="AF1264" s="6"/>
      <c r="AG1264" s="6"/>
      <c r="AH1264" s="6"/>
      <c r="AI1264" s="6"/>
      <c r="AJ1264" s="6"/>
      <c r="AK1264" s="6"/>
      <c r="AL1264" s="6"/>
      <c r="AM1264" s="6"/>
      <c r="AN1264" s="6"/>
      <c r="AO1264" s="6"/>
      <c r="AP1264" s="6"/>
      <c r="AQ1264" s="6"/>
      <c r="AR1264" s="6"/>
      <c r="AS1264" s="6"/>
      <c r="AT1264" s="6"/>
      <c r="AU1264" s="6"/>
      <c r="AV1264" s="6"/>
      <c r="AW1264" s="6"/>
      <c r="AX1264" s="6"/>
      <c r="AY1264" s="6"/>
      <c r="AZ1264" s="6"/>
      <c r="BA1264" s="6"/>
      <c r="BB1264" s="6"/>
      <c r="BC1264" s="6"/>
      <c r="BD1264" s="6"/>
      <c r="BE1264" s="6"/>
      <c r="BF1264" s="6"/>
      <c r="BG1264" s="6"/>
      <c r="BH1264" s="6"/>
      <c r="BI1264" s="6"/>
      <c r="BJ1264" s="6"/>
      <c r="BK1264" s="6"/>
      <c r="BL1264" s="44"/>
      <c r="BM1264" s="44"/>
      <c r="BN1264" s="45"/>
      <c r="BO1264" s="45"/>
      <c r="BP1264" s="7"/>
      <c r="BQ1264" s="7" t="e">
        <f>VLOOKUP(A1264,[1]Sheet15!B:E,3,0)</f>
        <v>#N/A</v>
      </c>
    </row>
    <row r="1265" spans="1:69" ht="15.75" customHeight="1" x14ac:dyDescent="0.25">
      <c r="A1265" s="12"/>
      <c r="B1265" s="15" t="e">
        <f>VLOOKUP(A1265,'[1]Master clients'!F1263:W4810,17,0)</f>
        <v>#N/A</v>
      </c>
      <c r="C1265" s="15" t="e">
        <f>VLOOKUP(A1265,'[1]Master clients'!F1263:P4810,11,0)</f>
        <v>#N/A</v>
      </c>
      <c r="D1265" s="15" t="e">
        <f>VLOOKUP(A1265,'[1]Master clients'!F:M,8,0)</f>
        <v>#N/A</v>
      </c>
      <c r="E1265" s="12"/>
      <c r="F1265" s="6"/>
      <c r="G1265" s="6"/>
      <c r="H1265" s="6"/>
      <c r="I1265" s="43"/>
      <c r="J1265" s="43"/>
      <c r="K1265" s="6"/>
      <c r="L1265" s="6"/>
      <c r="M1265" s="6"/>
      <c r="N1265" s="6"/>
      <c r="O1265" s="6"/>
      <c r="P1265" s="6"/>
      <c r="Q1265" s="6"/>
      <c r="R1265" s="6"/>
      <c r="S1265" s="6"/>
      <c r="T1265" s="6"/>
      <c r="U1265" s="6"/>
      <c r="V1265" s="6"/>
      <c r="W1265" s="6"/>
      <c r="X1265" s="6"/>
      <c r="Y1265" s="6"/>
      <c r="Z1265" s="6"/>
      <c r="AA1265" s="6"/>
      <c r="AB1265" s="6"/>
      <c r="AC1265" s="6"/>
      <c r="AD1265" s="6"/>
      <c r="AE1265" s="6"/>
      <c r="AF1265" s="6"/>
      <c r="AG1265" s="6"/>
      <c r="AH1265" s="6"/>
      <c r="AI1265" s="6"/>
      <c r="AJ1265" s="6"/>
      <c r="AK1265" s="6"/>
      <c r="AL1265" s="6"/>
      <c r="AM1265" s="6"/>
      <c r="AN1265" s="6"/>
      <c r="AO1265" s="6"/>
      <c r="AP1265" s="6"/>
      <c r="AQ1265" s="6"/>
      <c r="AR1265" s="6"/>
      <c r="AS1265" s="6"/>
      <c r="AT1265" s="6"/>
      <c r="AU1265" s="6"/>
      <c r="AV1265" s="6"/>
      <c r="AW1265" s="6"/>
      <c r="AX1265" s="6"/>
      <c r="AY1265" s="6"/>
      <c r="AZ1265" s="6"/>
      <c r="BA1265" s="6"/>
      <c r="BB1265" s="6"/>
      <c r="BC1265" s="6"/>
      <c r="BD1265" s="6"/>
      <c r="BE1265" s="6"/>
      <c r="BF1265" s="6"/>
      <c r="BG1265" s="6"/>
      <c r="BH1265" s="6"/>
      <c r="BI1265" s="6"/>
      <c r="BJ1265" s="6"/>
      <c r="BK1265" s="6"/>
      <c r="BL1265" s="44"/>
      <c r="BM1265" s="44"/>
      <c r="BN1265" s="45"/>
      <c r="BO1265" s="45"/>
      <c r="BP1265" s="7"/>
      <c r="BQ1265" s="7" t="e">
        <f>VLOOKUP(A1265,[1]Sheet15!B:E,3,0)</f>
        <v>#N/A</v>
      </c>
    </row>
    <row r="1266" spans="1:69" ht="15.75" customHeight="1" x14ac:dyDescent="0.25">
      <c r="A1266" s="12"/>
      <c r="B1266" s="15" t="e">
        <f>VLOOKUP(A1266,'[1]Master clients'!F1264:W4811,17,0)</f>
        <v>#N/A</v>
      </c>
      <c r="C1266" s="15" t="e">
        <f>VLOOKUP(A1266,'[1]Master clients'!F1264:P4811,11,0)</f>
        <v>#N/A</v>
      </c>
      <c r="D1266" s="15" t="e">
        <f>VLOOKUP(A1266,'[1]Master clients'!F:M,8,0)</f>
        <v>#N/A</v>
      </c>
      <c r="E1266" s="12"/>
      <c r="F1266" s="6"/>
      <c r="G1266" s="6"/>
      <c r="H1266" s="6"/>
      <c r="I1266" s="43"/>
      <c r="J1266" s="43"/>
      <c r="K1266" s="6"/>
      <c r="L1266" s="6"/>
      <c r="M1266" s="6"/>
      <c r="N1266" s="6"/>
      <c r="O1266" s="6"/>
      <c r="P1266" s="6"/>
      <c r="Q1266" s="6"/>
      <c r="R1266" s="6"/>
      <c r="S1266" s="6"/>
      <c r="T1266" s="6"/>
      <c r="U1266" s="6"/>
      <c r="V1266" s="6"/>
      <c r="W1266" s="6"/>
      <c r="X1266" s="6"/>
      <c r="Y1266" s="6"/>
      <c r="Z1266" s="6"/>
      <c r="AA1266" s="6"/>
      <c r="AB1266" s="6"/>
      <c r="AC1266" s="6"/>
      <c r="AD1266" s="6"/>
      <c r="AE1266" s="6"/>
      <c r="AF1266" s="6"/>
      <c r="AG1266" s="6"/>
      <c r="AH1266" s="6"/>
      <c r="AI1266" s="6"/>
      <c r="AJ1266" s="6"/>
      <c r="AK1266" s="6"/>
      <c r="AL1266" s="6"/>
      <c r="AM1266" s="6"/>
      <c r="AN1266" s="6"/>
      <c r="AO1266" s="6"/>
      <c r="AP1266" s="6"/>
      <c r="AQ1266" s="6"/>
      <c r="AR1266" s="6"/>
      <c r="AS1266" s="6"/>
      <c r="AT1266" s="6"/>
      <c r="AU1266" s="6"/>
      <c r="AV1266" s="6"/>
      <c r="AW1266" s="6"/>
      <c r="AX1266" s="6"/>
      <c r="AY1266" s="6"/>
      <c r="AZ1266" s="6"/>
      <c r="BA1266" s="6"/>
      <c r="BB1266" s="6"/>
      <c r="BC1266" s="6"/>
      <c r="BD1266" s="6"/>
      <c r="BE1266" s="6"/>
      <c r="BF1266" s="6"/>
      <c r="BG1266" s="6"/>
      <c r="BH1266" s="6"/>
      <c r="BI1266" s="6"/>
      <c r="BJ1266" s="6"/>
      <c r="BK1266" s="6"/>
      <c r="BL1266" s="44"/>
      <c r="BM1266" s="44"/>
      <c r="BN1266" s="45"/>
      <c r="BO1266" s="45"/>
      <c r="BP1266" s="7"/>
      <c r="BQ1266" s="7" t="e">
        <f>VLOOKUP(A1266,[1]Sheet15!B:E,3,0)</f>
        <v>#N/A</v>
      </c>
    </row>
    <row r="1267" spans="1:69" ht="15.75" customHeight="1" x14ac:dyDescent="0.25">
      <c r="A1267" s="12"/>
      <c r="B1267" s="15" t="e">
        <f>VLOOKUP(A1267,'[1]Master clients'!F1265:W4812,17,0)</f>
        <v>#N/A</v>
      </c>
      <c r="C1267" s="15" t="e">
        <f>VLOOKUP(A1267,'[1]Master clients'!F1265:P4812,11,0)</f>
        <v>#N/A</v>
      </c>
      <c r="D1267" s="15" t="e">
        <f>VLOOKUP(A1267,'[1]Master clients'!F:M,8,0)</f>
        <v>#N/A</v>
      </c>
      <c r="E1267" s="12"/>
      <c r="F1267" s="6"/>
      <c r="G1267" s="6"/>
      <c r="H1267" s="6"/>
      <c r="I1267" s="43"/>
      <c r="J1267" s="43"/>
      <c r="K1267" s="6"/>
      <c r="L1267" s="6"/>
      <c r="M1267" s="6"/>
      <c r="N1267" s="6"/>
      <c r="O1267" s="6"/>
      <c r="P1267" s="6"/>
      <c r="Q1267" s="6"/>
      <c r="R1267" s="6"/>
      <c r="S1267" s="6"/>
      <c r="T1267" s="6"/>
      <c r="U1267" s="6"/>
      <c r="V1267" s="6"/>
      <c r="W1267" s="6"/>
      <c r="X1267" s="6"/>
      <c r="Y1267" s="6"/>
      <c r="Z1267" s="6"/>
      <c r="AA1267" s="6"/>
      <c r="AB1267" s="6"/>
      <c r="AC1267" s="6"/>
      <c r="AD1267" s="6"/>
      <c r="AE1267" s="6"/>
      <c r="AF1267" s="6"/>
      <c r="AG1267" s="6"/>
      <c r="AH1267" s="6"/>
      <c r="AI1267" s="6"/>
      <c r="AJ1267" s="6"/>
      <c r="AK1267" s="6"/>
      <c r="AL1267" s="6"/>
      <c r="AM1267" s="6"/>
      <c r="AN1267" s="6"/>
      <c r="AO1267" s="6"/>
      <c r="AP1267" s="6"/>
      <c r="AQ1267" s="6"/>
      <c r="AR1267" s="6"/>
      <c r="AS1267" s="6"/>
      <c r="AT1267" s="6"/>
      <c r="AU1267" s="6"/>
      <c r="AV1267" s="6"/>
      <c r="AW1267" s="6"/>
      <c r="AX1267" s="6"/>
      <c r="AY1267" s="6"/>
      <c r="AZ1267" s="6"/>
      <c r="BA1267" s="6"/>
      <c r="BB1267" s="6"/>
      <c r="BC1267" s="6"/>
      <c r="BD1267" s="6"/>
      <c r="BE1267" s="6"/>
      <c r="BF1267" s="6"/>
      <c r="BG1267" s="6"/>
      <c r="BH1267" s="6"/>
      <c r="BI1267" s="6"/>
      <c r="BJ1267" s="6"/>
      <c r="BK1267" s="6"/>
      <c r="BL1267" s="44"/>
      <c r="BM1267" s="44"/>
      <c r="BN1267" s="45"/>
      <c r="BO1267" s="45"/>
      <c r="BP1267" s="7"/>
      <c r="BQ1267" s="7" t="e">
        <f>VLOOKUP(A1267,[1]Sheet15!B:E,3,0)</f>
        <v>#N/A</v>
      </c>
    </row>
    <row r="1268" spans="1:69" ht="15.75" customHeight="1" x14ac:dyDescent="0.25">
      <c r="A1268" s="12"/>
      <c r="B1268" s="15" t="e">
        <f>VLOOKUP(A1268,'[1]Master clients'!F1266:W4813,17,0)</f>
        <v>#N/A</v>
      </c>
      <c r="C1268" s="15" t="e">
        <f>VLOOKUP(A1268,'[1]Master clients'!F1266:P4813,11,0)</f>
        <v>#N/A</v>
      </c>
      <c r="D1268" s="15" t="e">
        <f>VLOOKUP(A1268,'[1]Master clients'!F:M,8,0)</f>
        <v>#N/A</v>
      </c>
      <c r="E1268" s="12"/>
      <c r="F1268" s="6"/>
      <c r="G1268" s="6"/>
      <c r="H1268" s="6"/>
      <c r="I1268" s="43"/>
      <c r="J1268" s="43"/>
      <c r="K1268" s="6"/>
      <c r="L1268" s="6"/>
      <c r="M1268" s="6"/>
      <c r="N1268" s="6"/>
      <c r="O1268" s="6"/>
      <c r="P1268" s="6"/>
      <c r="Q1268" s="6"/>
      <c r="R1268" s="6"/>
      <c r="S1268" s="6"/>
      <c r="T1268" s="6"/>
      <c r="U1268" s="6"/>
      <c r="V1268" s="6"/>
      <c r="W1268" s="6"/>
      <c r="X1268" s="6"/>
      <c r="Y1268" s="6"/>
      <c r="Z1268" s="6"/>
      <c r="AA1268" s="6"/>
      <c r="AB1268" s="6"/>
      <c r="AC1268" s="6"/>
      <c r="AD1268" s="6"/>
      <c r="AE1268" s="6"/>
      <c r="AF1268" s="6"/>
      <c r="AG1268" s="6"/>
      <c r="AH1268" s="6"/>
      <c r="AI1268" s="6"/>
      <c r="AJ1268" s="6"/>
      <c r="AK1268" s="6"/>
      <c r="AL1268" s="6"/>
      <c r="AM1268" s="6"/>
      <c r="AN1268" s="6"/>
      <c r="AO1268" s="6"/>
      <c r="AP1268" s="6"/>
      <c r="AQ1268" s="6"/>
      <c r="AR1268" s="6"/>
      <c r="AS1268" s="6"/>
      <c r="AT1268" s="6"/>
      <c r="AU1268" s="6"/>
      <c r="AV1268" s="6"/>
      <c r="AW1268" s="6"/>
      <c r="AX1268" s="6"/>
      <c r="AY1268" s="6"/>
      <c r="AZ1268" s="6"/>
      <c r="BA1268" s="6"/>
      <c r="BB1268" s="6"/>
      <c r="BC1268" s="6"/>
      <c r="BD1268" s="6"/>
      <c r="BE1268" s="6"/>
      <c r="BF1268" s="6"/>
      <c r="BG1268" s="6"/>
      <c r="BH1268" s="6"/>
      <c r="BI1268" s="6"/>
      <c r="BJ1268" s="6"/>
      <c r="BK1268" s="6"/>
      <c r="BL1268" s="44"/>
      <c r="BM1268" s="44"/>
      <c r="BN1268" s="45"/>
      <c r="BO1268" s="45"/>
      <c r="BP1268" s="7"/>
      <c r="BQ1268" s="7" t="e">
        <f>VLOOKUP(A1268,[1]Sheet15!B:E,3,0)</f>
        <v>#N/A</v>
      </c>
    </row>
    <row r="1269" spans="1:69" ht="15.75" customHeight="1" x14ac:dyDescent="0.25">
      <c r="A1269" s="12"/>
      <c r="B1269" s="15" t="e">
        <f>VLOOKUP(A1269,'[1]Master clients'!F1267:W4814,17,0)</f>
        <v>#N/A</v>
      </c>
      <c r="C1269" s="15" t="e">
        <f>VLOOKUP(A1269,'[1]Master clients'!F1267:P4814,11,0)</f>
        <v>#N/A</v>
      </c>
      <c r="D1269" s="15" t="e">
        <f>VLOOKUP(A1269,'[1]Master clients'!F:M,8,0)</f>
        <v>#N/A</v>
      </c>
      <c r="E1269" s="12"/>
      <c r="F1269" s="6"/>
      <c r="G1269" s="6"/>
      <c r="H1269" s="6"/>
      <c r="I1269" s="43"/>
      <c r="J1269" s="43"/>
      <c r="K1269" s="6"/>
      <c r="L1269" s="6"/>
      <c r="M1269" s="6"/>
      <c r="N1269" s="6"/>
      <c r="O1269" s="6"/>
      <c r="P1269" s="6"/>
      <c r="Q1269" s="6"/>
      <c r="R1269" s="6"/>
      <c r="S1269" s="6"/>
      <c r="T1269" s="6"/>
      <c r="U1269" s="6"/>
      <c r="V1269" s="6"/>
      <c r="W1269" s="6"/>
      <c r="X1269" s="6"/>
      <c r="Y1269" s="6"/>
      <c r="Z1269" s="6"/>
      <c r="AA1269" s="6"/>
      <c r="AB1269" s="6"/>
      <c r="AC1269" s="6"/>
      <c r="AD1269" s="6"/>
      <c r="AE1269" s="6"/>
      <c r="AF1269" s="6"/>
      <c r="AG1269" s="6"/>
      <c r="AH1269" s="6"/>
      <c r="AI1269" s="6"/>
      <c r="AJ1269" s="6"/>
      <c r="AK1269" s="6"/>
      <c r="AL1269" s="6"/>
      <c r="AM1269" s="6"/>
      <c r="AN1269" s="6"/>
      <c r="AO1269" s="6"/>
      <c r="AP1269" s="6"/>
      <c r="AQ1269" s="6"/>
      <c r="AR1269" s="6"/>
      <c r="AS1269" s="6"/>
      <c r="AT1269" s="6"/>
      <c r="AU1269" s="6"/>
      <c r="AV1269" s="6"/>
      <c r="AW1269" s="6"/>
      <c r="AX1269" s="6"/>
      <c r="AY1269" s="6"/>
      <c r="AZ1269" s="6"/>
      <c r="BA1269" s="6"/>
      <c r="BB1269" s="6"/>
      <c r="BC1269" s="6"/>
      <c r="BD1269" s="6"/>
      <c r="BE1269" s="6"/>
      <c r="BF1269" s="6"/>
      <c r="BG1269" s="6"/>
      <c r="BH1269" s="6"/>
      <c r="BI1269" s="6"/>
      <c r="BJ1269" s="6"/>
      <c r="BK1269" s="6"/>
      <c r="BL1269" s="44"/>
      <c r="BM1269" s="44"/>
      <c r="BN1269" s="45"/>
      <c r="BO1269" s="45"/>
      <c r="BP1269" s="7"/>
      <c r="BQ1269" s="7" t="e">
        <f>VLOOKUP(A1269,[1]Sheet15!B:E,3,0)</f>
        <v>#N/A</v>
      </c>
    </row>
    <row r="1270" spans="1:69" ht="15.75" customHeight="1" x14ac:dyDescent="0.25">
      <c r="A1270" s="12"/>
      <c r="B1270" s="15" t="e">
        <f>VLOOKUP(A1270,'[1]Master clients'!F1268:W4815,17,0)</f>
        <v>#N/A</v>
      </c>
      <c r="C1270" s="15" t="e">
        <f>VLOOKUP(A1270,'[1]Master clients'!F1268:P4815,11,0)</f>
        <v>#N/A</v>
      </c>
      <c r="D1270" s="15" t="e">
        <f>VLOOKUP(A1270,'[1]Master clients'!F:M,8,0)</f>
        <v>#N/A</v>
      </c>
      <c r="E1270" s="12"/>
      <c r="F1270" s="6"/>
      <c r="G1270" s="6"/>
      <c r="H1270" s="6"/>
      <c r="I1270" s="43"/>
      <c r="J1270" s="43"/>
      <c r="K1270" s="6"/>
      <c r="L1270" s="6"/>
      <c r="M1270" s="6"/>
      <c r="N1270" s="6"/>
      <c r="O1270" s="6"/>
      <c r="P1270" s="6"/>
      <c r="Q1270" s="6"/>
      <c r="R1270" s="6"/>
      <c r="S1270" s="6"/>
      <c r="T1270" s="6"/>
      <c r="U1270" s="6"/>
      <c r="V1270" s="6"/>
      <c r="W1270" s="6"/>
      <c r="X1270" s="6"/>
      <c r="Y1270" s="6"/>
      <c r="Z1270" s="6"/>
      <c r="AA1270" s="6"/>
      <c r="AB1270" s="6"/>
      <c r="AC1270" s="6"/>
      <c r="AD1270" s="6"/>
      <c r="AE1270" s="6"/>
      <c r="AF1270" s="6"/>
      <c r="AG1270" s="6"/>
      <c r="AH1270" s="6"/>
      <c r="AI1270" s="6"/>
      <c r="AJ1270" s="6"/>
      <c r="AK1270" s="6"/>
      <c r="AL1270" s="6"/>
      <c r="AM1270" s="6"/>
      <c r="AN1270" s="6"/>
      <c r="AO1270" s="6"/>
      <c r="AP1270" s="6"/>
      <c r="AQ1270" s="6"/>
      <c r="AR1270" s="6"/>
      <c r="AS1270" s="6"/>
      <c r="AT1270" s="6"/>
      <c r="AU1270" s="6"/>
      <c r="AV1270" s="6"/>
      <c r="AW1270" s="6"/>
      <c r="AX1270" s="6"/>
      <c r="AY1270" s="6"/>
      <c r="AZ1270" s="6"/>
      <c r="BA1270" s="6"/>
      <c r="BB1270" s="6"/>
      <c r="BC1270" s="6"/>
      <c r="BD1270" s="6"/>
      <c r="BE1270" s="6"/>
      <c r="BF1270" s="6"/>
      <c r="BG1270" s="6"/>
      <c r="BH1270" s="6"/>
      <c r="BI1270" s="6"/>
      <c r="BJ1270" s="6"/>
      <c r="BK1270" s="6"/>
      <c r="BL1270" s="44"/>
      <c r="BM1270" s="44"/>
      <c r="BN1270" s="45"/>
      <c r="BO1270" s="45"/>
      <c r="BP1270" s="7"/>
      <c r="BQ1270" s="7" t="e">
        <f>VLOOKUP(A1270,[1]Sheet15!B:E,3,0)</f>
        <v>#N/A</v>
      </c>
    </row>
    <row r="1271" spans="1:69" ht="15.75" customHeight="1" x14ac:dyDescent="0.25">
      <c r="A1271" s="12"/>
      <c r="B1271" s="15" t="e">
        <f>VLOOKUP(A1271,'[1]Master clients'!F1269:W4816,17,0)</f>
        <v>#N/A</v>
      </c>
      <c r="C1271" s="15" t="e">
        <f>VLOOKUP(A1271,'[1]Master clients'!F1269:P4816,11,0)</f>
        <v>#N/A</v>
      </c>
      <c r="D1271" s="15" t="e">
        <f>VLOOKUP(A1271,'[1]Master clients'!F:M,8,0)</f>
        <v>#N/A</v>
      </c>
      <c r="E1271" s="12"/>
      <c r="F1271" s="6"/>
      <c r="G1271" s="6"/>
      <c r="H1271" s="6"/>
      <c r="I1271" s="43"/>
      <c r="J1271" s="43"/>
      <c r="K1271" s="6"/>
      <c r="L1271" s="6"/>
      <c r="M1271" s="6"/>
      <c r="N1271" s="6"/>
      <c r="O1271" s="6"/>
      <c r="P1271" s="6"/>
      <c r="Q1271" s="6"/>
      <c r="R1271" s="6"/>
      <c r="S1271" s="6"/>
      <c r="T1271" s="6"/>
      <c r="U1271" s="6"/>
      <c r="V1271" s="6"/>
      <c r="W1271" s="6"/>
      <c r="X1271" s="6"/>
      <c r="Y1271" s="6"/>
      <c r="Z1271" s="6"/>
      <c r="AA1271" s="6"/>
      <c r="AB1271" s="6"/>
      <c r="AC1271" s="6"/>
      <c r="AD1271" s="6"/>
      <c r="AE1271" s="6"/>
      <c r="AF1271" s="6"/>
      <c r="AG1271" s="6"/>
      <c r="AH1271" s="6"/>
      <c r="AI1271" s="6"/>
      <c r="AJ1271" s="6"/>
      <c r="AK1271" s="6"/>
      <c r="AL1271" s="6"/>
      <c r="AM1271" s="6"/>
      <c r="AN1271" s="6"/>
      <c r="AO1271" s="6"/>
      <c r="AP1271" s="6"/>
      <c r="AQ1271" s="6"/>
      <c r="AR1271" s="6"/>
      <c r="AS1271" s="6"/>
      <c r="AT1271" s="6"/>
      <c r="AU1271" s="6"/>
      <c r="AV1271" s="6"/>
      <c r="AW1271" s="6"/>
      <c r="AX1271" s="6"/>
      <c r="AY1271" s="6"/>
      <c r="AZ1271" s="6"/>
      <c r="BA1271" s="6"/>
      <c r="BB1271" s="6"/>
      <c r="BC1271" s="6"/>
      <c r="BD1271" s="6"/>
      <c r="BE1271" s="6"/>
      <c r="BF1271" s="6"/>
      <c r="BG1271" s="6"/>
      <c r="BH1271" s="6"/>
      <c r="BI1271" s="6"/>
      <c r="BJ1271" s="6"/>
      <c r="BK1271" s="6"/>
      <c r="BL1271" s="44"/>
      <c r="BM1271" s="44"/>
      <c r="BN1271" s="45"/>
      <c r="BO1271" s="45"/>
      <c r="BP1271" s="7"/>
      <c r="BQ1271" s="7" t="e">
        <f>VLOOKUP(A1271,[1]Sheet15!B:E,3,0)</f>
        <v>#N/A</v>
      </c>
    </row>
    <row r="1272" spans="1:69" ht="15.75" customHeight="1" x14ac:dyDescent="0.25">
      <c r="A1272" s="12"/>
      <c r="B1272" s="15" t="e">
        <f>VLOOKUP(A1272,'[1]Master clients'!F1270:W4817,17,0)</f>
        <v>#N/A</v>
      </c>
      <c r="C1272" s="15" t="e">
        <f>VLOOKUP(A1272,'[1]Master clients'!F1270:P4817,11,0)</f>
        <v>#N/A</v>
      </c>
      <c r="D1272" s="15" t="e">
        <f>VLOOKUP(A1272,'[1]Master clients'!F:M,8,0)</f>
        <v>#N/A</v>
      </c>
      <c r="E1272" s="12"/>
      <c r="F1272" s="6"/>
      <c r="G1272" s="6"/>
      <c r="H1272" s="6"/>
      <c r="I1272" s="43"/>
      <c r="J1272" s="43"/>
      <c r="K1272" s="6"/>
      <c r="L1272" s="6"/>
      <c r="M1272" s="6"/>
      <c r="N1272" s="6"/>
      <c r="O1272" s="6"/>
      <c r="P1272" s="6"/>
      <c r="Q1272" s="6"/>
      <c r="R1272" s="6"/>
      <c r="S1272" s="6"/>
      <c r="T1272" s="6"/>
      <c r="U1272" s="6"/>
      <c r="V1272" s="6"/>
      <c r="W1272" s="6"/>
      <c r="X1272" s="6"/>
      <c r="Y1272" s="6"/>
      <c r="Z1272" s="6"/>
      <c r="AA1272" s="6"/>
      <c r="AB1272" s="6"/>
      <c r="AC1272" s="6"/>
      <c r="AD1272" s="6"/>
      <c r="AE1272" s="6"/>
      <c r="AF1272" s="6"/>
      <c r="AG1272" s="6"/>
      <c r="AH1272" s="6"/>
      <c r="AI1272" s="6"/>
      <c r="AJ1272" s="6"/>
      <c r="AK1272" s="6"/>
      <c r="AL1272" s="6"/>
      <c r="AM1272" s="6"/>
      <c r="AN1272" s="6"/>
      <c r="AO1272" s="6"/>
      <c r="AP1272" s="6"/>
      <c r="AQ1272" s="6"/>
      <c r="AR1272" s="6"/>
      <c r="AS1272" s="6"/>
      <c r="AT1272" s="6"/>
      <c r="AU1272" s="6"/>
      <c r="AV1272" s="6"/>
      <c r="AW1272" s="6"/>
      <c r="AX1272" s="6"/>
      <c r="AY1272" s="6"/>
      <c r="AZ1272" s="6"/>
      <c r="BA1272" s="6"/>
      <c r="BB1272" s="6"/>
      <c r="BC1272" s="6"/>
      <c r="BD1272" s="6"/>
      <c r="BE1272" s="6"/>
      <c r="BF1272" s="6"/>
      <c r="BG1272" s="6"/>
      <c r="BH1272" s="6"/>
      <c r="BI1272" s="6"/>
      <c r="BJ1272" s="6"/>
      <c r="BK1272" s="6"/>
      <c r="BL1272" s="44"/>
      <c r="BM1272" s="44"/>
      <c r="BN1272" s="45"/>
      <c r="BO1272" s="45"/>
      <c r="BP1272" s="7"/>
      <c r="BQ1272" s="7" t="e">
        <f>VLOOKUP(A1272,[1]Sheet15!B:E,3,0)</f>
        <v>#N/A</v>
      </c>
    </row>
    <row r="1273" spans="1:69" ht="15.75" customHeight="1" x14ac:dyDescent="0.25">
      <c r="A1273" s="12"/>
      <c r="B1273" s="15" t="e">
        <f>VLOOKUP(A1273,'[1]Master clients'!F1271:W4818,17,0)</f>
        <v>#N/A</v>
      </c>
      <c r="C1273" s="15" t="e">
        <f>VLOOKUP(A1273,'[1]Master clients'!F1271:P4818,11,0)</f>
        <v>#N/A</v>
      </c>
      <c r="D1273" s="15" t="e">
        <f>VLOOKUP(A1273,'[1]Master clients'!F:M,8,0)</f>
        <v>#N/A</v>
      </c>
      <c r="E1273" s="12"/>
      <c r="F1273" s="6"/>
      <c r="G1273" s="6"/>
      <c r="H1273" s="6"/>
      <c r="I1273" s="43"/>
      <c r="J1273" s="43"/>
      <c r="K1273" s="6"/>
      <c r="L1273" s="6"/>
      <c r="M1273" s="6"/>
      <c r="N1273" s="6"/>
      <c r="O1273" s="6"/>
      <c r="P1273" s="6"/>
      <c r="Q1273" s="6"/>
      <c r="R1273" s="6"/>
      <c r="S1273" s="6"/>
      <c r="T1273" s="6"/>
      <c r="U1273" s="6"/>
      <c r="V1273" s="6"/>
      <c r="W1273" s="6"/>
      <c r="X1273" s="6"/>
      <c r="Y1273" s="6"/>
      <c r="Z1273" s="6"/>
      <c r="AA1273" s="6"/>
      <c r="AB1273" s="6"/>
      <c r="AC1273" s="6"/>
      <c r="AD1273" s="6"/>
      <c r="AE1273" s="6"/>
      <c r="AF1273" s="6"/>
      <c r="AG1273" s="6"/>
      <c r="AH1273" s="6"/>
      <c r="AI1273" s="6"/>
      <c r="AJ1273" s="6"/>
      <c r="AK1273" s="6"/>
      <c r="AL1273" s="6"/>
      <c r="AM1273" s="6"/>
      <c r="AN1273" s="6"/>
      <c r="AO1273" s="6"/>
      <c r="AP1273" s="6"/>
      <c r="AQ1273" s="6"/>
      <c r="AR1273" s="6"/>
      <c r="AS1273" s="6"/>
      <c r="AT1273" s="6"/>
      <c r="AU1273" s="6"/>
      <c r="AV1273" s="6"/>
      <c r="AW1273" s="6"/>
      <c r="AX1273" s="6"/>
      <c r="AY1273" s="6"/>
      <c r="AZ1273" s="6"/>
      <c r="BA1273" s="6"/>
      <c r="BB1273" s="6"/>
      <c r="BC1273" s="6"/>
      <c r="BD1273" s="6"/>
      <c r="BE1273" s="6"/>
      <c r="BF1273" s="6"/>
      <c r="BG1273" s="6"/>
      <c r="BH1273" s="6"/>
      <c r="BI1273" s="6"/>
      <c r="BJ1273" s="6"/>
      <c r="BK1273" s="6"/>
      <c r="BL1273" s="44"/>
      <c r="BM1273" s="44"/>
      <c r="BN1273" s="45"/>
      <c r="BO1273" s="45"/>
      <c r="BP1273" s="7"/>
      <c r="BQ1273" s="7" t="e">
        <f>VLOOKUP(A1273,[1]Sheet15!B:E,3,0)</f>
        <v>#N/A</v>
      </c>
    </row>
    <row r="1274" spans="1:69" ht="15.75" customHeight="1" x14ac:dyDescent="0.25">
      <c r="A1274" s="12"/>
      <c r="B1274" s="15" t="e">
        <f>VLOOKUP(A1274,'[1]Master clients'!F1272:W4819,17,0)</f>
        <v>#N/A</v>
      </c>
      <c r="C1274" s="15" t="e">
        <f>VLOOKUP(A1274,'[1]Master clients'!F1272:P4819,11,0)</f>
        <v>#N/A</v>
      </c>
      <c r="D1274" s="15" t="e">
        <f>VLOOKUP(A1274,'[1]Master clients'!F:M,8,0)</f>
        <v>#N/A</v>
      </c>
      <c r="E1274" s="12"/>
      <c r="F1274" s="6"/>
      <c r="G1274" s="6"/>
      <c r="H1274" s="6"/>
      <c r="I1274" s="43"/>
      <c r="J1274" s="43"/>
      <c r="K1274" s="6"/>
      <c r="L1274" s="6"/>
      <c r="M1274" s="6"/>
      <c r="N1274" s="6"/>
      <c r="O1274" s="6"/>
      <c r="P1274" s="6"/>
      <c r="Q1274" s="6"/>
      <c r="R1274" s="6"/>
      <c r="S1274" s="6"/>
      <c r="T1274" s="6"/>
      <c r="U1274" s="6"/>
      <c r="V1274" s="6"/>
      <c r="W1274" s="6"/>
      <c r="X1274" s="6"/>
      <c r="Y1274" s="6"/>
      <c r="Z1274" s="6"/>
      <c r="AA1274" s="6"/>
      <c r="AB1274" s="6"/>
      <c r="AC1274" s="6"/>
      <c r="AD1274" s="6"/>
      <c r="AE1274" s="6"/>
      <c r="AF1274" s="6"/>
      <c r="AG1274" s="6"/>
      <c r="AH1274" s="6"/>
      <c r="AI1274" s="6"/>
      <c r="AJ1274" s="6"/>
      <c r="AK1274" s="6"/>
      <c r="AL1274" s="6"/>
      <c r="AM1274" s="6"/>
      <c r="AN1274" s="6"/>
      <c r="AO1274" s="6"/>
      <c r="AP1274" s="6"/>
      <c r="AQ1274" s="6"/>
      <c r="AR1274" s="6"/>
      <c r="AS1274" s="6"/>
      <c r="AT1274" s="6"/>
      <c r="AU1274" s="6"/>
      <c r="AV1274" s="6"/>
      <c r="AW1274" s="6"/>
      <c r="AX1274" s="6"/>
      <c r="AY1274" s="6"/>
      <c r="AZ1274" s="6"/>
      <c r="BA1274" s="6"/>
      <c r="BB1274" s="6"/>
      <c r="BC1274" s="6"/>
      <c r="BD1274" s="6"/>
      <c r="BE1274" s="6"/>
      <c r="BF1274" s="6"/>
      <c r="BG1274" s="6"/>
      <c r="BH1274" s="6"/>
      <c r="BI1274" s="6"/>
      <c r="BJ1274" s="6"/>
      <c r="BK1274" s="6"/>
      <c r="BL1274" s="44"/>
      <c r="BM1274" s="44"/>
      <c r="BN1274" s="45"/>
      <c r="BO1274" s="45"/>
      <c r="BP1274" s="7"/>
      <c r="BQ1274" s="7" t="e">
        <f>VLOOKUP(A1274,[1]Sheet15!B:E,3,0)</f>
        <v>#N/A</v>
      </c>
    </row>
    <row r="1275" spans="1:69" ht="15.75" customHeight="1" x14ac:dyDescent="0.25">
      <c r="A1275" s="12"/>
      <c r="B1275" s="15" t="e">
        <f>VLOOKUP(A1275,'[1]Master clients'!F1273:W4820,17,0)</f>
        <v>#N/A</v>
      </c>
      <c r="C1275" s="15" t="e">
        <f>VLOOKUP(A1275,'[1]Master clients'!F1273:P4820,11,0)</f>
        <v>#N/A</v>
      </c>
      <c r="D1275" s="15" t="e">
        <f>VLOOKUP(A1275,'[1]Master clients'!F:M,8,0)</f>
        <v>#N/A</v>
      </c>
      <c r="E1275" s="12"/>
      <c r="F1275" s="6"/>
      <c r="G1275" s="6"/>
      <c r="H1275" s="6"/>
      <c r="I1275" s="43"/>
      <c r="J1275" s="43"/>
      <c r="K1275" s="6"/>
      <c r="L1275" s="6"/>
      <c r="M1275" s="6"/>
      <c r="N1275" s="6"/>
      <c r="O1275" s="6"/>
      <c r="P1275" s="6"/>
      <c r="Q1275" s="6"/>
      <c r="R1275" s="6"/>
      <c r="S1275" s="6"/>
      <c r="T1275" s="6"/>
      <c r="U1275" s="6"/>
      <c r="V1275" s="6"/>
      <c r="W1275" s="6"/>
      <c r="X1275" s="6"/>
      <c r="Y1275" s="6"/>
      <c r="Z1275" s="6"/>
      <c r="AA1275" s="6"/>
      <c r="AB1275" s="6"/>
      <c r="AC1275" s="6"/>
      <c r="AD1275" s="6"/>
      <c r="AE1275" s="6"/>
      <c r="AF1275" s="6"/>
      <c r="AG1275" s="6"/>
      <c r="AH1275" s="6"/>
      <c r="AI1275" s="6"/>
      <c r="AJ1275" s="6"/>
      <c r="AK1275" s="6"/>
      <c r="AL1275" s="6"/>
      <c r="AM1275" s="6"/>
      <c r="AN1275" s="6"/>
      <c r="AO1275" s="6"/>
      <c r="AP1275" s="6"/>
      <c r="AQ1275" s="6"/>
      <c r="AR1275" s="6"/>
      <c r="AS1275" s="6"/>
      <c r="AT1275" s="6"/>
      <c r="AU1275" s="6"/>
      <c r="AV1275" s="6"/>
      <c r="AW1275" s="6"/>
      <c r="AX1275" s="6"/>
      <c r="AY1275" s="6"/>
      <c r="AZ1275" s="6"/>
      <c r="BA1275" s="6"/>
      <c r="BB1275" s="6"/>
      <c r="BC1275" s="6"/>
      <c r="BD1275" s="6"/>
      <c r="BE1275" s="6"/>
      <c r="BF1275" s="6"/>
      <c r="BG1275" s="6"/>
      <c r="BH1275" s="6"/>
      <c r="BI1275" s="6"/>
      <c r="BJ1275" s="6"/>
      <c r="BK1275" s="6"/>
      <c r="BL1275" s="44"/>
      <c r="BM1275" s="44"/>
      <c r="BN1275" s="45"/>
      <c r="BO1275" s="45"/>
      <c r="BP1275" s="7"/>
      <c r="BQ1275" s="7" t="e">
        <f>VLOOKUP(A1275,[1]Sheet15!B:E,3,0)</f>
        <v>#N/A</v>
      </c>
    </row>
    <row r="1276" spans="1:69" ht="15.75" customHeight="1" x14ac:dyDescent="0.25">
      <c r="A1276" s="12"/>
      <c r="B1276" s="15" t="e">
        <f>VLOOKUP(A1276,'[1]Master clients'!F1274:W4821,17,0)</f>
        <v>#N/A</v>
      </c>
      <c r="C1276" s="15" t="e">
        <f>VLOOKUP(A1276,'[1]Master clients'!F1274:P4821,11,0)</f>
        <v>#N/A</v>
      </c>
      <c r="D1276" s="15" t="e">
        <f>VLOOKUP(A1276,'[1]Master clients'!F:M,8,0)</f>
        <v>#N/A</v>
      </c>
      <c r="E1276" s="12"/>
      <c r="F1276" s="6"/>
      <c r="G1276" s="6"/>
      <c r="H1276" s="6"/>
      <c r="I1276" s="43"/>
      <c r="J1276" s="43"/>
      <c r="K1276" s="6"/>
      <c r="L1276" s="6"/>
      <c r="M1276" s="6"/>
      <c r="N1276" s="6"/>
      <c r="O1276" s="6"/>
      <c r="P1276" s="6"/>
      <c r="Q1276" s="6"/>
      <c r="R1276" s="6"/>
      <c r="S1276" s="6"/>
      <c r="T1276" s="6"/>
      <c r="U1276" s="6"/>
      <c r="V1276" s="6"/>
      <c r="W1276" s="6"/>
      <c r="X1276" s="6"/>
      <c r="Y1276" s="6"/>
      <c r="Z1276" s="6"/>
      <c r="AA1276" s="6"/>
      <c r="AB1276" s="6"/>
      <c r="AC1276" s="6"/>
      <c r="AD1276" s="6"/>
      <c r="AE1276" s="6"/>
      <c r="AF1276" s="6"/>
      <c r="AG1276" s="6"/>
      <c r="AH1276" s="6"/>
      <c r="AI1276" s="6"/>
      <c r="AJ1276" s="6"/>
      <c r="AK1276" s="6"/>
      <c r="AL1276" s="6"/>
      <c r="AM1276" s="6"/>
      <c r="AN1276" s="6"/>
      <c r="AO1276" s="6"/>
      <c r="AP1276" s="6"/>
      <c r="AQ1276" s="6"/>
      <c r="AR1276" s="6"/>
      <c r="AS1276" s="6"/>
      <c r="AT1276" s="6"/>
      <c r="AU1276" s="6"/>
      <c r="AV1276" s="6"/>
      <c r="AW1276" s="6"/>
      <c r="AX1276" s="6"/>
      <c r="AY1276" s="6"/>
      <c r="AZ1276" s="6"/>
      <c r="BA1276" s="6"/>
      <c r="BB1276" s="6"/>
      <c r="BC1276" s="6"/>
      <c r="BD1276" s="6"/>
      <c r="BE1276" s="6"/>
      <c r="BF1276" s="6"/>
      <c r="BG1276" s="6"/>
      <c r="BH1276" s="6"/>
      <c r="BI1276" s="6"/>
      <c r="BJ1276" s="6"/>
      <c r="BK1276" s="6"/>
      <c r="BL1276" s="44"/>
      <c r="BM1276" s="44"/>
      <c r="BN1276" s="45"/>
      <c r="BO1276" s="45"/>
      <c r="BP1276" s="7"/>
      <c r="BQ1276" s="7" t="e">
        <f>VLOOKUP(A1276,[1]Sheet15!B:E,3,0)</f>
        <v>#N/A</v>
      </c>
    </row>
    <row r="1277" spans="1:69" ht="15.75" customHeight="1" x14ac:dyDescent="0.25">
      <c r="A1277" s="12"/>
      <c r="B1277" s="15" t="e">
        <f>VLOOKUP(A1277,'[1]Master clients'!F1275:W4822,17,0)</f>
        <v>#N/A</v>
      </c>
      <c r="C1277" s="15" t="e">
        <f>VLOOKUP(A1277,'[1]Master clients'!F1275:P4822,11,0)</f>
        <v>#N/A</v>
      </c>
      <c r="D1277" s="15" t="e">
        <f>VLOOKUP(A1277,'[1]Master clients'!F:M,8,0)</f>
        <v>#N/A</v>
      </c>
      <c r="E1277" s="12"/>
      <c r="F1277" s="6"/>
      <c r="G1277" s="6"/>
      <c r="H1277" s="6"/>
      <c r="I1277" s="43"/>
      <c r="J1277" s="43"/>
      <c r="K1277" s="6"/>
      <c r="L1277" s="6"/>
      <c r="M1277" s="6"/>
      <c r="N1277" s="6"/>
      <c r="O1277" s="6"/>
      <c r="P1277" s="6"/>
      <c r="Q1277" s="6"/>
      <c r="R1277" s="6"/>
      <c r="S1277" s="6"/>
      <c r="T1277" s="6"/>
      <c r="U1277" s="6"/>
      <c r="V1277" s="6"/>
      <c r="W1277" s="6"/>
      <c r="X1277" s="6"/>
      <c r="Y1277" s="6"/>
      <c r="Z1277" s="6"/>
      <c r="AA1277" s="6"/>
      <c r="AB1277" s="6"/>
      <c r="AC1277" s="6"/>
      <c r="AD1277" s="6"/>
      <c r="AE1277" s="6"/>
      <c r="AF1277" s="6"/>
      <c r="AG1277" s="6"/>
      <c r="AH1277" s="6"/>
      <c r="AI1277" s="6"/>
      <c r="AJ1277" s="6"/>
      <c r="AK1277" s="6"/>
      <c r="AL1277" s="6"/>
      <c r="AM1277" s="6"/>
      <c r="AN1277" s="6"/>
      <c r="AO1277" s="6"/>
      <c r="AP1277" s="6"/>
      <c r="AQ1277" s="6"/>
      <c r="AR1277" s="6"/>
      <c r="AS1277" s="6"/>
      <c r="AT1277" s="6"/>
      <c r="AU1277" s="6"/>
      <c r="AV1277" s="6"/>
      <c r="AW1277" s="6"/>
      <c r="AX1277" s="6"/>
      <c r="AY1277" s="6"/>
      <c r="AZ1277" s="6"/>
      <c r="BA1277" s="6"/>
      <c r="BB1277" s="6"/>
      <c r="BC1277" s="6"/>
      <c r="BD1277" s="6"/>
      <c r="BE1277" s="6"/>
      <c r="BF1277" s="6"/>
      <c r="BG1277" s="6"/>
      <c r="BH1277" s="6"/>
      <c r="BI1277" s="6"/>
      <c r="BJ1277" s="6"/>
      <c r="BK1277" s="6"/>
      <c r="BL1277" s="44"/>
      <c r="BM1277" s="44"/>
      <c r="BN1277" s="45"/>
      <c r="BO1277" s="45"/>
      <c r="BP1277" s="7"/>
      <c r="BQ1277" s="7" t="e">
        <f>VLOOKUP(A1277,[1]Sheet15!B:E,3,0)</f>
        <v>#N/A</v>
      </c>
    </row>
    <row r="1278" spans="1:69" ht="15.75" customHeight="1" x14ac:dyDescent="0.25">
      <c r="A1278" s="12"/>
      <c r="B1278" s="15" t="e">
        <f>VLOOKUP(A1278,'[1]Master clients'!F1276:W4823,17,0)</f>
        <v>#N/A</v>
      </c>
      <c r="C1278" s="15" t="e">
        <f>VLOOKUP(A1278,'[1]Master clients'!F1276:P4823,11,0)</f>
        <v>#N/A</v>
      </c>
      <c r="D1278" s="15" t="e">
        <f>VLOOKUP(A1278,'[1]Master clients'!F:M,8,0)</f>
        <v>#N/A</v>
      </c>
      <c r="E1278" s="12"/>
      <c r="F1278" s="6"/>
      <c r="G1278" s="6"/>
      <c r="H1278" s="6"/>
      <c r="I1278" s="43"/>
      <c r="J1278" s="43"/>
      <c r="K1278" s="6"/>
      <c r="L1278" s="6"/>
      <c r="M1278" s="6"/>
      <c r="N1278" s="6"/>
      <c r="O1278" s="6"/>
      <c r="P1278" s="6"/>
      <c r="Q1278" s="6"/>
      <c r="R1278" s="6"/>
      <c r="S1278" s="6"/>
      <c r="T1278" s="6"/>
      <c r="U1278" s="6"/>
      <c r="V1278" s="6"/>
      <c r="W1278" s="6"/>
      <c r="X1278" s="6"/>
      <c r="Y1278" s="6"/>
      <c r="Z1278" s="6"/>
      <c r="AA1278" s="6"/>
      <c r="AB1278" s="6"/>
      <c r="AC1278" s="6"/>
      <c r="AD1278" s="6"/>
      <c r="AE1278" s="6"/>
      <c r="AF1278" s="6"/>
      <c r="AG1278" s="6"/>
      <c r="AH1278" s="6"/>
      <c r="AI1278" s="6"/>
      <c r="AJ1278" s="6"/>
      <c r="AK1278" s="6"/>
      <c r="AL1278" s="6"/>
      <c r="AM1278" s="6"/>
      <c r="AN1278" s="6"/>
      <c r="AO1278" s="6"/>
      <c r="AP1278" s="6"/>
      <c r="AQ1278" s="6"/>
      <c r="AR1278" s="6"/>
      <c r="AS1278" s="6"/>
      <c r="AT1278" s="6"/>
      <c r="AU1278" s="6"/>
      <c r="AV1278" s="6"/>
      <c r="AW1278" s="6"/>
      <c r="AX1278" s="6"/>
      <c r="AY1278" s="6"/>
      <c r="AZ1278" s="6"/>
      <c r="BA1278" s="6"/>
      <c r="BB1278" s="6"/>
      <c r="BC1278" s="6"/>
      <c r="BD1278" s="6"/>
      <c r="BE1278" s="6"/>
      <c r="BF1278" s="6"/>
      <c r="BG1278" s="6"/>
      <c r="BH1278" s="6"/>
      <c r="BI1278" s="6"/>
      <c r="BJ1278" s="6"/>
      <c r="BK1278" s="6"/>
      <c r="BL1278" s="44"/>
      <c r="BM1278" s="44"/>
      <c r="BN1278" s="45"/>
      <c r="BO1278" s="45"/>
      <c r="BP1278" s="7"/>
      <c r="BQ1278" s="7" t="e">
        <f>VLOOKUP(A1278,[1]Sheet15!B:E,3,0)</f>
        <v>#N/A</v>
      </c>
    </row>
    <row r="1279" spans="1:69" ht="15.75" customHeight="1" x14ac:dyDescent="0.25">
      <c r="A1279" s="12"/>
      <c r="B1279" s="15" t="e">
        <f>VLOOKUP(A1279,'[1]Master clients'!F1277:W4824,17,0)</f>
        <v>#N/A</v>
      </c>
      <c r="C1279" s="15" t="e">
        <f>VLOOKUP(A1279,'[1]Master clients'!F1277:P4824,11,0)</f>
        <v>#N/A</v>
      </c>
      <c r="D1279" s="15" t="e">
        <f>VLOOKUP(A1279,'[1]Master clients'!F:M,8,0)</f>
        <v>#N/A</v>
      </c>
      <c r="E1279" s="12"/>
      <c r="F1279" s="6"/>
      <c r="G1279" s="6"/>
      <c r="H1279" s="6"/>
      <c r="I1279" s="43"/>
      <c r="J1279" s="43"/>
      <c r="K1279" s="6"/>
      <c r="L1279" s="6"/>
      <c r="M1279" s="6"/>
      <c r="N1279" s="6"/>
      <c r="O1279" s="6"/>
      <c r="P1279" s="6"/>
      <c r="Q1279" s="6"/>
      <c r="R1279" s="6"/>
      <c r="S1279" s="6"/>
      <c r="T1279" s="6"/>
      <c r="U1279" s="6"/>
      <c r="V1279" s="6"/>
      <c r="W1279" s="6"/>
      <c r="X1279" s="6"/>
      <c r="Y1279" s="6"/>
      <c r="Z1279" s="6"/>
      <c r="AA1279" s="6"/>
      <c r="AB1279" s="6"/>
      <c r="AC1279" s="6"/>
      <c r="AD1279" s="6"/>
      <c r="AE1279" s="6"/>
      <c r="AF1279" s="6"/>
      <c r="AG1279" s="6"/>
      <c r="AH1279" s="6"/>
      <c r="AI1279" s="6"/>
      <c r="AJ1279" s="6"/>
      <c r="AK1279" s="6"/>
      <c r="AL1279" s="6"/>
      <c r="AM1279" s="6"/>
      <c r="AN1279" s="6"/>
      <c r="AO1279" s="6"/>
      <c r="AP1279" s="6"/>
      <c r="AQ1279" s="6"/>
      <c r="AR1279" s="6"/>
      <c r="AS1279" s="6"/>
      <c r="AT1279" s="6"/>
      <c r="AU1279" s="6"/>
      <c r="AV1279" s="6"/>
      <c r="AW1279" s="6"/>
      <c r="AX1279" s="6"/>
      <c r="AY1279" s="6"/>
      <c r="AZ1279" s="6"/>
      <c r="BA1279" s="6"/>
      <c r="BB1279" s="6"/>
      <c r="BC1279" s="6"/>
      <c r="BD1279" s="6"/>
      <c r="BE1279" s="6"/>
      <c r="BF1279" s="6"/>
      <c r="BG1279" s="6"/>
      <c r="BH1279" s="6"/>
      <c r="BI1279" s="6"/>
      <c r="BJ1279" s="6"/>
      <c r="BK1279" s="6"/>
      <c r="BL1279" s="44"/>
      <c r="BM1279" s="44"/>
      <c r="BN1279" s="45"/>
      <c r="BO1279" s="45"/>
      <c r="BP1279" s="7"/>
      <c r="BQ1279" s="7" t="e">
        <f>VLOOKUP(A1279,[1]Sheet15!B:E,3,0)</f>
        <v>#N/A</v>
      </c>
    </row>
    <row r="1280" spans="1:69" ht="15.75" customHeight="1" x14ac:dyDescent="0.25">
      <c r="A1280" s="12"/>
      <c r="B1280" s="15" t="e">
        <f>VLOOKUP(A1280,'[1]Master clients'!F1278:W4825,17,0)</f>
        <v>#N/A</v>
      </c>
      <c r="C1280" s="15" t="e">
        <f>VLOOKUP(A1280,'[1]Master clients'!F1278:P4825,11,0)</f>
        <v>#N/A</v>
      </c>
      <c r="D1280" s="15" t="e">
        <f>VLOOKUP(A1280,'[1]Master clients'!F:M,8,0)</f>
        <v>#N/A</v>
      </c>
      <c r="E1280" s="12"/>
      <c r="F1280" s="6"/>
      <c r="G1280" s="6"/>
      <c r="H1280" s="6"/>
      <c r="I1280" s="43"/>
      <c r="J1280" s="43"/>
      <c r="K1280" s="6"/>
      <c r="L1280" s="6"/>
      <c r="M1280" s="6"/>
      <c r="N1280" s="6"/>
      <c r="O1280" s="6"/>
      <c r="P1280" s="6"/>
      <c r="Q1280" s="6"/>
      <c r="R1280" s="6"/>
      <c r="S1280" s="6"/>
      <c r="T1280" s="6"/>
      <c r="U1280" s="6"/>
      <c r="V1280" s="6"/>
      <c r="W1280" s="6"/>
      <c r="X1280" s="6"/>
      <c r="Y1280" s="6"/>
      <c r="Z1280" s="6"/>
      <c r="AA1280" s="6"/>
      <c r="AB1280" s="6"/>
      <c r="AC1280" s="6"/>
      <c r="AD1280" s="6"/>
      <c r="AE1280" s="6"/>
      <c r="AF1280" s="6"/>
      <c r="AG1280" s="6"/>
      <c r="AH1280" s="6"/>
      <c r="AI1280" s="6"/>
      <c r="AJ1280" s="6"/>
      <c r="AK1280" s="6"/>
      <c r="AL1280" s="6"/>
      <c r="AM1280" s="6"/>
      <c r="AN1280" s="6"/>
      <c r="AO1280" s="6"/>
      <c r="AP1280" s="6"/>
      <c r="AQ1280" s="6"/>
      <c r="AR1280" s="6"/>
      <c r="AS1280" s="6"/>
      <c r="AT1280" s="6"/>
      <c r="AU1280" s="6"/>
      <c r="AV1280" s="6"/>
      <c r="AW1280" s="6"/>
      <c r="AX1280" s="6"/>
      <c r="AY1280" s="6"/>
      <c r="AZ1280" s="6"/>
      <c r="BA1280" s="6"/>
      <c r="BB1280" s="6"/>
      <c r="BC1280" s="6"/>
      <c r="BD1280" s="6"/>
      <c r="BE1280" s="6"/>
      <c r="BF1280" s="6"/>
      <c r="BG1280" s="6"/>
      <c r="BH1280" s="6"/>
      <c r="BI1280" s="6"/>
      <c r="BJ1280" s="6"/>
      <c r="BK1280" s="6"/>
      <c r="BL1280" s="44"/>
      <c r="BM1280" s="44"/>
      <c r="BN1280" s="45"/>
      <c r="BO1280" s="45"/>
      <c r="BP1280" s="7"/>
      <c r="BQ1280" s="7" t="e">
        <f>VLOOKUP(A1280,[1]Sheet15!B:E,3,0)</f>
        <v>#N/A</v>
      </c>
    </row>
    <row r="1281" spans="1:69" ht="15.75" customHeight="1" x14ac:dyDescent="0.25">
      <c r="A1281" s="12"/>
      <c r="B1281" s="15" t="e">
        <f>VLOOKUP(A1281,'[1]Master clients'!F1279:W4826,17,0)</f>
        <v>#N/A</v>
      </c>
      <c r="C1281" s="15" t="e">
        <f>VLOOKUP(A1281,'[1]Master clients'!F1279:P4826,11,0)</f>
        <v>#N/A</v>
      </c>
      <c r="D1281" s="15" t="e">
        <f>VLOOKUP(A1281,'[1]Master clients'!F:M,8,0)</f>
        <v>#N/A</v>
      </c>
      <c r="E1281" s="12"/>
      <c r="F1281" s="6"/>
      <c r="G1281" s="6"/>
      <c r="H1281" s="6"/>
      <c r="I1281" s="43"/>
      <c r="J1281" s="43"/>
      <c r="K1281" s="6"/>
      <c r="L1281" s="6"/>
      <c r="M1281" s="6"/>
      <c r="N1281" s="6"/>
      <c r="O1281" s="6"/>
      <c r="P1281" s="6"/>
      <c r="Q1281" s="6"/>
      <c r="R1281" s="6"/>
      <c r="S1281" s="6"/>
      <c r="T1281" s="6"/>
      <c r="U1281" s="6"/>
      <c r="V1281" s="6"/>
      <c r="W1281" s="6"/>
      <c r="X1281" s="6"/>
      <c r="Y1281" s="6"/>
      <c r="Z1281" s="6"/>
      <c r="AA1281" s="6"/>
      <c r="AB1281" s="6"/>
      <c r="AC1281" s="6"/>
      <c r="AD1281" s="6"/>
      <c r="AE1281" s="6"/>
      <c r="AF1281" s="6"/>
      <c r="AG1281" s="6"/>
      <c r="AH1281" s="6"/>
      <c r="AI1281" s="6"/>
      <c r="AJ1281" s="6"/>
      <c r="AK1281" s="6"/>
      <c r="AL1281" s="6"/>
      <c r="AM1281" s="6"/>
      <c r="AN1281" s="6"/>
      <c r="AO1281" s="6"/>
      <c r="AP1281" s="6"/>
      <c r="AQ1281" s="6"/>
      <c r="AR1281" s="6"/>
      <c r="AS1281" s="6"/>
      <c r="AT1281" s="6"/>
      <c r="AU1281" s="6"/>
      <c r="AV1281" s="6"/>
      <c r="AW1281" s="6"/>
      <c r="AX1281" s="6"/>
      <c r="AY1281" s="6"/>
      <c r="AZ1281" s="6"/>
      <c r="BA1281" s="6"/>
      <c r="BB1281" s="6"/>
      <c r="BC1281" s="6"/>
      <c r="BD1281" s="6"/>
      <c r="BE1281" s="6"/>
      <c r="BF1281" s="6"/>
      <c r="BG1281" s="6"/>
      <c r="BH1281" s="6"/>
      <c r="BI1281" s="6"/>
      <c r="BJ1281" s="6"/>
      <c r="BK1281" s="6"/>
      <c r="BL1281" s="44"/>
      <c r="BM1281" s="44"/>
      <c r="BN1281" s="45"/>
      <c r="BO1281" s="45"/>
      <c r="BP1281" s="7"/>
      <c r="BQ1281" s="7" t="e">
        <f>VLOOKUP(A1281,[1]Sheet15!B:E,3,0)</f>
        <v>#N/A</v>
      </c>
    </row>
    <row r="1282" spans="1:69" ht="15.75" customHeight="1" x14ac:dyDescent="0.25">
      <c r="A1282" s="12"/>
      <c r="B1282" s="15" t="e">
        <f>VLOOKUP(A1282,'[1]Master clients'!F1280:W4827,17,0)</f>
        <v>#N/A</v>
      </c>
      <c r="C1282" s="15" t="e">
        <f>VLOOKUP(A1282,'[1]Master clients'!F1280:P4827,11,0)</f>
        <v>#N/A</v>
      </c>
      <c r="D1282" s="15" t="e">
        <f>VLOOKUP(A1282,'[1]Master clients'!F:M,8,0)</f>
        <v>#N/A</v>
      </c>
      <c r="E1282" s="12"/>
      <c r="F1282" s="6"/>
      <c r="G1282" s="6"/>
      <c r="H1282" s="6"/>
      <c r="I1282" s="43"/>
      <c r="J1282" s="43"/>
      <c r="K1282" s="6"/>
      <c r="L1282" s="6"/>
      <c r="M1282" s="6"/>
      <c r="N1282" s="6"/>
      <c r="O1282" s="6"/>
      <c r="P1282" s="6"/>
      <c r="Q1282" s="6"/>
      <c r="R1282" s="6"/>
      <c r="S1282" s="6"/>
      <c r="T1282" s="6"/>
      <c r="U1282" s="6"/>
      <c r="V1282" s="6"/>
      <c r="W1282" s="6"/>
      <c r="X1282" s="6"/>
      <c r="Y1282" s="6"/>
      <c r="Z1282" s="6"/>
      <c r="AA1282" s="6"/>
      <c r="AB1282" s="6"/>
      <c r="AC1282" s="6"/>
      <c r="AD1282" s="6"/>
      <c r="AE1282" s="6"/>
      <c r="AF1282" s="6"/>
      <c r="AG1282" s="6"/>
      <c r="AH1282" s="6"/>
      <c r="AI1282" s="6"/>
      <c r="AJ1282" s="6"/>
      <c r="AK1282" s="6"/>
      <c r="AL1282" s="6"/>
      <c r="AM1282" s="6"/>
      <c r="AN1282" s="6"/>
      <c r="AO1282" s="6"/>
      <c r="AP1282" s="6"/>
      <c r="AQ1282" s="6"/>
      <c r="AR1282" s="6"/>
      <c r="AS1282" s="6"/>
      <c r="AT1282" s="6"/>
      <c r="AU1282" s="6"/>
      <c r="AV1282" s="6"/>
      <c r="AW1282" s="6"/>
      <c r="AX1282" s="6"/>
      <c r="AY1282" s="6"/>
      <c r="AZ1282" s="6"/>
      <c r="BA1282" s="6"/>
      <c r="BB1282" s="6"/>
      <c r="BC1282" s="6"/>
      <c r="BD1282" s="6"/>
      <c r="BE1282" s="6"/>
      <c r="BF1282" s="6"/>
      <c r="BG1282" s="6"/>
      <c r="BH1282" s="6"/>
      <c r="BI1282" s="6"/>
      <c r="BJ1282" s="6"/>
      <c r="BK1282" s="6"/>
      <c r="BL1282" s="44"/>
      <c r="BM1282" s="44"/>
      <c r="BN1282" s="45"/>
      <c r="BO1282" s="45"/>
      <c r="BP1282" s="7"/>
      <c r="BQ1282" s="7" t="e">
        <f>VLOOKUP(A1282,[1]Sheet15!B:E,3,0)</f>
        <v>#N/A</v>
      </c>
    </row>
    <row r="1283" spans="1:69" ht="15.75" customHeight="1" x14ac:dyDescent="0.25">
      <c r="A1283" s="12"/>
      <c r="B1283" s="15" t="e">
        <f>VLOOKUP(A1283,'[1]Master clients'!F1281:W4828,17,0)</f>
        <v>#N/A</v>
      </c>
      <c r="C1283" s="15" t="e">
        <f>VLOOKUP(A1283,'[1]Master clients'!F1281:P4828,11,0)</f>
        <v>#N/A</v>
      </c>
      <c r="D1283" s="15" t="e">
        <f>VLOOKUP(A1283,'[1]Master clients'!F:M,8,0)</f>
        <v>#N/A</v>
      </c>
      <c r="E1283" s="12"/>
      <c r="F1283" s="6"/>
      <c r="G1283" s="6"/>
      <c r="H1283" s="6"/>
      <c r="I1283" s="43"/>
      <c r="J1283" s="43"/>
      <c r="K1283" s="6"/>
      <c r="L1283" s="6"/>
      <c r="M1283" s="6"/>
      <c r="N1283" s="6"/>
      <c r="O1283" s="6"/>
      <c r="P1283" s="6"/>
      <c r="Q1283" s="6"/>
      <c r="R1283" s="6"/>
      <c r="S1283" s="6"/>
      <c r="T1283" s="6"/>
      <c r="U1283" s="6"/>
      <c r="V1283" s="6"/>
      <c r="W1283" s="6"/>
      <c r="X1283" s="6"/>
      <c r="Y1283" s="6"/>
      <c r="Z1283" s="6"/>
      <c r="AA1283" s="6"/>
      <c r="AB1283" s="6"/>
      <c r="AC1283" s="6"/>
      <c r="AD1283" s="6"/>
      <c r="AE1283" s="6"/>
      <c r="AF1283" s="6"/>
      <c r="AG1283" s="6"/>
      <c r="AH1283" s="6"/>
      <c r="AI1283" s="6"/>
      <c r="AJ1283" s="6"/>
      <c r="AK1283" s="6"/>
      <c r="AL1283" s="6"/>
      <c r="AM1283" s="6"/>
      <c r="AN1283" s="6"/>
      <c r="AO1283" s="6"/>
      <c r="AP1283" s="6"/>
      <c r="AQ1283" s="6"/>
      <c r="AR1283" s="6"/>
      <c r="AS1283" s="6"/>
      <c r="AT1283" s="6"/>
      <c r="AU1283" s="6"/>
      <c r="AV1283" s="6"/>
      <c r="AW1283" s="6"/>
      <c r="AX1283" s="6"/>
      <c r="AY1283" s="6"/>
      <c r="AZ1283" s="6"/>
      <c r="BA1283" s="6"/>
      <c r="BB1283" s="6"/>
      <c r="BC1283" s="6"/>
      <c r="BD1283" s="6"/>
      <c r="BE1283" s="6"/>
      <c r="BF1283" s="6"/>
      <c r="BG1283" s="6"/>
      <c r="BH1283" s="6"/>
      <c r="BI1283" s="6"/>
      <c r="BJ1283" s="6"/>
      <c r="BK1283" s="6"/>
      <c r="BL1283" s="44"/>
      <c r="BM1283" s="44"/>
      <c r="BN1283" s="45"/>
      <c r="BO1283" s="45"/>
      <c r="BP1283" s="7"/>
      <c r="BQ1283" s="7" t="e">
        <f>VLOOKUP(A1283,[1]Sheet15!B:E,3,0)</f>
        <v>#N/A</v>
      </c>
    </row>
    <row r="1284" spans="1:69" ht="15.75" customHeight="1" x14ac:dyDescent="0.25">
      <c r="A1284" s="12"/>
      <c r="B1284" s="15" t="e">
        <f>VLOOKUP(A1284,'[1]Master clients'!F1282:W4829,17,0)</f>
        <v>#N/A</v>
      </c>
      <c r="C1284" s="15" t="e">
        <f>VLOOKUP(A1284,'[1]Master clients'!F1282:P4829,11,0)</f>
        <v>#N/A</v>
      </c>
      <c r="D1284" s="15" t="e">
        <f>VLOOKUP(A1284,'[1]Master clients'!F:M,8,0)</f>
        <v>#N/A</v>
      </c>
      <c r="E1284" s="12"/>
      <c r="F1284" s="6"/>
      <c r="G1284" s="6"/>
      <c r="H1284" s="6"/>
      <c r="I1284" s="43"/>
      <c r="J1284" s="43"/>
      <c r="K1284" s="6"/>
      <c r="L1284" s="6"/>
      <c r="M1284" s="6"/>
      <c r="N1284" s="6"/>
      <c r="O1284" s="6"/>
      <c r="P1284" s="6"/>
      <c r="Q1284" s="6"/>
      <c r="R1284" s="6"/>
      <c r="S1284" s="6"/>
      <c r="T1284" s="6"/>
      <c r="U1284" s="6"/>
      <c r="V1284" s="6"/>
      <c r="W1284" s="6"/>
      <c r="X1284" s="6"/>
      <c r="Y1284" s="6"/>
      <c r="Z1284" s="6"/>
      <c r="AA1284" s="6"/>
      <c r="AB1284" s="6"/>
      <c r="AC1284" s="6"/>
      <c r="AD1284" s="6"/>
      <c r="AE1284" s="6"/>
      <c r="AF1284" s="6"/>
      <c r="AG1284" s="6"/>
      <c r="AH1284" s="6"/>
      <c r="AI1284" s="6"/>
      <c r="AJ1284" s="6"/>
      <c r="AK1284" s="6"/>
      <c r="AL1284" s="6"/>
      <c r="AM1284" s="6"/>
      <c r="AN1284" s="6"/>
      <c r="AO1284" s="6"/>
      <c r="AP1284" s="6"/>
      <c r="AQ1284" s="6"/>
      <c r="AR1284" s="6"/>
      <c r="AS1284" s="6"/>
      <c r="AT1284" s="6"/>
      <c r="AU1284" s="6"/>
      <c r="AV1284" s="6"/>
      <c r="AW1284" s="6"/>
      <c r="AX1284" s="6"/>
      <c r="AY1284" s="6"/>
      <c r="AZ1284" s="6"/>
      <c r="BA1284" s="6"/>
      <c r="BB1284" s="6"/>
      <c r="BC1284" s="6"/>
      <c r="BD1284" s="6"/>
      <c r="BE1284" s="6"/>
      <c r="BF1284" s="6"/>
      <c r="BG1284" s="6"/>
      <c r="BH1284" s="6"/>
      <c r="BI1284" s="6"/>
      <c r="BJ1284" s="6"/>
      <c r="BK1284" s="6"/>
      <c r="BL1284" s="44"/>
      <c r="BM1284" s="44"/>
      <c r="BN1284" s="45"/>
      <c r="BO1284" s="45"/>
      <c r="BP1284" s="7"/>
      <c r="BQ1284" s="7" t="e">
        <f>VLOOKUP(A1284,[1]Sheet15!B:E,3,0)</f>
        <v>#N/A</v>
      </c>
    </row>
    <row r="1285" spans="1:69" ht="15.75" customHeight="1" x14ac:dyDescent="0.25">
      <c r="A1285" s="12"/>
      <c r="B1285" s="15" t="e">
        <f>VLOOKUP(A1285,'[1]Master clients'!F1283:W4830,17,0)</f>
        <v>#N/A</v>
      </c>
      <c r="C1285" s="15" t="e">
        <f>VLOOKUP(A1285,'[1]Master clients'!F1283:P4830,11,0)</f>
        <v>#N/A</v>
      </c>
      <c r="D1285" s="15" t="e">
        <f>VLOOKUP(A1285,'[1]Master clients'!F:M,8,0)</f>
        <v>#N/A</v>
      </c>
      <c r="E1285" s="12"/>
      <c r="F1285" s="6"/>
      <c r="G1285" s="6"/>
      <c r="H1285" s="6"/>
      <c r="I1285" s="43"/>
      <c r="J1285" s="43"/>
      <c r="K1285" s="6"/>
      <c r="L1285" s="6"/>
      <c r="M1285" s="6"/>
      <c r="N1285" s="6"/>
      <c r="O1285" s="6"/>
      <c r="P1285" s="6"/>
      <c r="Q1285" s="6"/>
      <c r="R1285" s="6"/>
      <c r="S1285" s="6"/>
      <c r="T1285" s="6"/>
      <c r="U1285" s="6"/>
      <c r="V1285" s="6"/>
      <c r="W1285" s="6"/>
      <c r="X1285" s="6"/>
      <c r="Y1285" s="6"/>
      <c r="Z1285" s="6"/>
      <c r="AA1285" s="6"/>
      <c r="AB1285" s="6"/>
      <c r="AC1285" s="6"/>
      <c r="AD1285" s="6"/>
      <c r="AE1285" s="6"/>
      <c r="AF1285" s="6"/>
      <c r="AG1285" s="6"/>
      <c r="AH1285" s="6"/>
      <c r="AI1285" s="6"/>
      <c r="AJ1285" s="6"/>
      <c r="AK1285" s="6"/>
      <c r="AL1285" s="6"/>
      <c r="AM1285" s="6"/>
      <c r="AN1285" s="6"/>
      <c r="AO1285" s="6"/>
      <c r="AP1285" s="6"/>
      <c r="AQ1285" s="6"/>
      <c r="AR1285" s="6"/>
      <c r="AS1285" s="6"/>
      <c r="AT1285" s="6"/>
      <c r="AU1285" s="6"/>
      <c r="AV1285" s="6"/>
      <c r="AW1285" s="6"/>
      <c r="AX1285" s="6"/>
      <c r="AY1285" s="6"/>
      <c r="AZ1285" s="6"/>
      <c r="BA1285" s="6"/>
      <c r="BB1285" s="6"/>
      <c r="BC1285" s="6"/>
      <c r="BD1285" s="6"/>
      <c r="BE1285" s="6"/>
      <c r="BF1285" s="6"/>
      <c r="BG1285" s="6"/>
      <c r="BH1285" s="6"/>
      <c r="BI1285" s="6"/>
      <c r="BJ1285" s="6"/>
      <c r="BK1285" s="6"/>
      <c r="BL1285" s="44"/>
      <c r="BM1285" s="44"/>
      <c r="BN1285" s="45"/>
      <c r="BO1285" s="45"/>
      <c r="BP1285" s="7"/>
      <c r="BQ1285" s="7" t="e">
        <f>VLOOKUP(A1285,[1]Sheet15!B:E,3,0)</f>
        <v>#N/A</v>
      </c>
    </row>
    <row r="1286" spans="1:69" ht="15.75" customHeight="1" x14ac:dyDescent="0.25">
      <c r="A1286" s="12"/>
      <c r="B1286" s="15" t="e">
        <f>VLOOKUP(A1286,'[1]Master clients'!F1284:W4831,17,0)</f>
        <v>#N/A</v>
      </c>
      <c r="C1286" s="15" t="e">
        <f>VLOOKUP(A1286,'[1]Master clients'!F1284:P4831,11,0)</f>
        <v>#N/A</v>
      </c>
      <c r="D1286" s="15" t="e">
        <f>VLOOKUP(A1286,'[1]Master clients'!F:M,8,0)</f>
        <v>#N/A</v>
      </c>
      <c r="E1286" s="12"/>
      <c r="F1286" s="6"/>
      <c r="G1286" s="6"/>
      <c r="H1286" s="6"/>
      <c r="I1286" s="43"/>
      <c r="J1286" s="43"/>
      <c r="K1286" s="6"/>
      <c r="L1286" s="6"/>
      <c r="M1286" s="6"/>
      <c r="N1286" s="6"/>
      <c r="O1286" s="6"/>
      <c r="P1286" s="6"/>
      <c r="Q1286" s="6"/>
      <c r="R1286" s="6"/>
      <c r="S1286" s="6"/>
      <c r="T1286" s="6"/>
      <c r="U1286" s="6"/>
      <c r="V1286" s="6"/>
      <c r="W1286" s="6"/>
      <c r="X1286" s="6"/>
      <c r="Y1286" s="6"/>
      <c r="Z1286" s="6"/>
      <c r="AA1286" s="6"/>
      <c r="AB1286" s="6"/>
      <c r="AC1286" s="6"/>
      <c r="AD1286" s="6"/>
      <c r="AE1286" s="6"/>
      <c r="AF1286" s="6"/>
      <c r="AG1286" s="6"/>
      <c r="AH1286" s="6"/>
      <c r="AI1286" s="6"/>
      <c r="AJ1286" s="6"/>
      <c r="AK1286" s="6"/>
      <c r="AL1286" s="6"/>
      <c r="AM1286" s="6"/>
      <c r="AN1286" s="6"/>
      <c r="AO1286" s="6"/>
      <c r="AP1286" s="6"/>
      <c r="AQ1286" s="6"/>
      <c r="AR1286" s="6"/>
      <c r="AS1286" s="6"/>
      <c r="AT1286" s="6"/>
      <c r="AU1286" s="6"/>
      <c r="AV1286" s="6"/>
      <c r="AW1286" s="6"/>
      <c r="AX1286" s="6"/>
      <c r="AY1286" s="6"/>
      <c r="AZ1286" s="6"/>
      <c r="BA1286" s="6"/>
      <c r="BB1286" s="6"/>
      <c r="BC1286" s="6"/>
      <c r="BD1286" s="6"/>
      <c r="BE1286" s="6"/>
      <c r="BF1286" s="6"/>
      <c r="BG1286" s="6"/>
      <c r="BH1286" s="6"/>
      <c r="BI1286" s="6"/>
      <c r="BJ1286" s="6"/>
      <c r="BK1286" s="6"/>
      <c r="BL1286" s="44"/>
      <c r="BM1286" s="44"/>
      <c r="BN1286" s="45"/>
      <c r="BO1286" s="45"/>
      <c r="BP1286" s="7"/>
      <c r="BQ1286" s="7" t="e">
        <f>VLOOKUP(A1286,[1]Sheet15!B:E,3,0)</f>
        <v>#N/A</v>
      </c>
    </row>
    <row r="1287" spans="1:69" ht="15.75" customHeight="1" x14ac:dyDescent="0.25">
      <c r="A1287" s="12"/>
      <c r="B1287" s="15" t="e">
        <f>VLOOKUP(A1287,'[1]Master clients'!F1285:W4832,17,0)</f>
        <v>#N/A</v>
      </c>
      <c r="C1287" s="15" t="e">
        <f>VLOOKUP(A1287,'[1]Master clients'!F1285:P4832,11,0)</f>
        <v>#N/A</v>
      </c>
      <c r="D1287" s="15" t="e">
        <f>VLOOKUP(A1287,'[1]Master clients'!F:M,8,0)</f>
        <v>#N/A</v>
      </c>
      <c r="E1287" s="12"/>
      <c r="F1287" s="6"/>
      <c r="G1287" s="6"/>
      <c r="H1287" s="6"/>
      <c r="I1287" s="43"/>
      <c r="J1287" s="43"/>
      <c r="K1287" s="6"/>
      <c r="L1287" s="6"/>
      <c r="M1287" s="6"/>
      <c r="N1287" s="6"/>
      <c r="O1287" s="6"/>
      <c r="P1287" s="6"/>
      <c r="Q1287" s="6"/>
      <c r="R1287" s="6"/>
      <c r="S1287" s="6"/>
      <c r="T1287" s="6"/>
      <c r="U1287" s="6"/>
      <c r="V1287" s="6"/>
      <c r="W1287" s="6"/>
      <c r="X1287" s="6"/>
      <c r="Y1287" s="6"/>
      <c r="Z1287" s="6"/>
      <c r="AA1287" s="6"/>
      <c r="AB1287" s="6"/>
      <c r="AC1287" s="6"/>
      <c r="AD1287" s="6"/>
      <c r="AE1287" s="6"/>
      <c r="AF1287" s="6"/>
      <c r="AG1287" s="6"/>
      <c r="AH1287" s="6"/>
      <c r="AI1287" s="6"/>
      <c r="AJ1287" s="6"/>
      <c r="AK1287" s="6"/>
      <c r="AL1287" s="6"/>
      <c r="AM1287" s="6"/>
      <c r="AN1287" s="6"/>
      <c r="AO1287" s="6"/>
      <c r="AP1287" s="6"/>
      <c r="AQ1287" s="6"/>
      <c r="AR1287" s="6"/>
      <c r="AS1287" s="6"/>
      <c r="AT1287" s="6"/>
      <c r="AU1287" s="6"/>
      <c r="AV1287" s="6"/>
      <c r="AW1287" s="6"/>
      <c r="AX1287" s="6"/>
      <c r="AY1287" s="6"/>
      <c r="AZ1287" s="6"/>
      <c r="BA1287" s="6"/>
      <c r="BB1287" s="6"/>
      <c r="BC1287" s="6"/>
      <c r="BD1287" s="6"/>
      <c r="BE1287" s="6"/>
      <c r="BF1287" s="6"/>
      <c r="BG1287" s="6"/>
      <c r="BH1287" s="6"/>
      <c r="BI1287" s="6"/>
      <c r="BJ1287" s="6"/>
      <c r="BK1287" s="6"/>
      <c r="BL1287" s="44"/>
      <c r="BM1287" s="44"/>
      <c r="BN1287" s="45"/>
      <c r="BO1287" s="45"/>
      <c r="BP1287" s="7"/>
      <c r="BQ1287" s="7" t="e">
        <f>VLOOKUP(A1287,[1]Sheet15!B:E,3,0)</f>
        <v>#N/A</v>
      </c>
    </row>
    <row r="1288" spans="1:69" ht="15.75" customHeight="1" x14ac:dyDescent="0.25">
      <c r="A1288" s="12"/>
      <c r="B1288" s="15" t="e">
        <f>VLOOKUP(A1288,'[1]Master clients'!F1286:W4833,17,0)</f>
        <v>#N/A</v>
      </c>
      <c r="C1288" s="15" t="e">
        <f>VLOOKUP(A1288,'[1]Master clients'!F1286:P4833,11,0)</f>
        <v>#N/A</v>
      </c>
      <c r="D1288" s="15" t="e">
        <f>VLOOKUP(A1288,'[1]Master clients'!F:M,8,0)</f>
        <v>#N/A</v>
      </c>
      <c r="E1288" s="12"/>
      <c r="F1288" s="6"/>
      <c r="G1288" s="6"/>
      <c r="H1288" s="6"/>
      <c r="I1288" s="43"/>
      <c r="J1288" s="43"/>
      <c r="K1288" s="6"/>
      <c r="L1288" s="6"/>
      <c r="M1288" s="6"/>
      <c r="N1288" s="6"/>
      <c r="O1288" s="6"/>
      <c r="P1288" s="6"/>
      <c r="Q1288" s="6"/>
      <c r="R1288" s="6"/>
      <c r="S1288" s="6"/>
      <c r="T1288" s="6"/>
      <c r="U1288" s="6"/>
      <c r="V1288" s="6"/>
      <c r="W1288" s="6"/>
      <c r="X1288" s="6"/>
      <c r="Y1288" s="6"/>
      <c r="Z1288" s="6"/>
      <c r="AA1288" s="6"/>
      <c r="AB1288" s="6"/>
      <c r="AC1288" s="6"/>
      <c r="AD1288" s="6"/>
      <c r="AE1288" s="6"/>
      <c r="AF1288" s="6"/>
      <c r="AG1288" s="6"/>
      <c r="AH1288" s="6"/>
      <c r="AI1288" s="6"/>
      <c r="AJ1288" s="6"/>
      <c r="AK1288" s="6"/>
      <c r="AL1288" s="6"/>
      <c r="AM1288" s="6"/>
      <c r="AN1288" s="6"/>
      <c r="AO1288" s="6"/>
      <c r="AP1288" s="6"/>
      <c r="AQ1288" s="6"/>
      <c r="AR1288" s="6"/>
      <c r="AS1288" s="6"/>
      <c r="AT1288" s="6"/>
      <c r="AU1288" s="6"/>
      <c r="AV1288" s="6"/>
      <c r="AW1288" s="6"/>
      <c r="AX1288" s="6"/>
      <c r="AY1288" s="6"/>
      <c r="AZ1288" s="6"/>
      <c r="BA1288" s="6"/>
      <c r="BB1288" s="6"/>
      <c r="BC1288" s="6"/>
      <c r="BD1288" s="6"/>
      <c r="BE1288" s="6"/>
      <c r="BF1288" s="6"/>
      <c r="BG1288" s="6"/>
      <c r="BH1288" s="6"/>
      <c r="BI1288" s="6"/>
      <c r="BJ1288" s="6"/>
      <c r="BK1288" s="6"/>
      <c r="BL1288" s="44"/>
      <c r="BM1288" s="44"/>
      <c r="BN1288" s="45"/>
      <c r="BO1288" s="45"/>
      <c r="BP1288" s="7"/>
      <c r="BQ1288" s="7" t="e">
        <f>VLOOKUP(A1288,[1]Sheet15!B:E,3,0)</f>
        <v>#N/A</v>
      </c>
    </row>
    <row r="1289" spans="1:69" ht="15.75" customHeight="1" x14ac:dyDescent="0.25">
      <c r="A1289" s="12"/>
      <c r="B1289" s="15" t="e">
        <f>VLOOKUP(A1289,'[1]Master clients'!F1287:W4834,17,0)</f>
        <v>#N/A</v>
      </c>
      <c r="C1289" s="15" t="e">
        <f>VLOOKUP(A1289,'[1]Master clients'!F1287:P4834,11,0)</f>
        <v>#N/A</v>
      </c>
      <c r="D1289" s="15" t="e">
        <f>VLOOKUP(A1289,'[1]Master clients'!F:M,8,0)</f>
        <v>#N/A</v>
      </c>
      <c r="E1289" s="12"/>
      <c r="F1289" s="6"/>
      <c r="G1289" s="6"/>
      <c r="H1289" s="6"/>
      <c r="I1289" s="43"/>
      <c r="J1289" s="43"/>
      <c r="K1289" s="6"/>
      <c r="L1289" s="6"/>
      <c r="M1289" s="6"/>
      <c r="N1289" s="6"/>
      <c r="O1289" s="6"/>
      <c r="P1289" s="6"/>
      <c r="Q1289" s="6"/>
      <c r="R1289" s="6"/>
      <c r="S1289" s="6"/>
      <c r="T1289" s="6"/>
      <c r="U1289" s="6"/>
      <c r="V1289" s="6"/>
      <c r="W1289" s="6"/>
      <c r="X1289" s="6"/>
      <c r="Y1289" s="6"/>
      <c r="Z1289" s="6"/>
      <c r="AA1289" s="6"/>
      <c r="AB1289" s="6"/>
      <c r="AC1289" s="6"/>
      <c r="AD1289" s="6"/>
      <c r="AE1289" s="6"/>
      <c r="AF1289" s="6"/>
      <c r="AG1289" s="6"/>
      <c r="AH1289" s="6"/>
      <c r="AI1289" s="6"/>
      <c r="AJ1289" s="6"/>
      <c r="AK1289" s="6"/>
      <c r="AL1289" s="6"/>
      <c r="AM1289" s="6"/>
      <c r="AN1289" s="6"/>
      <c r="AO1289" s="6"/>
      <c r="AP1289" s="6"/>
      <c r="AQ1289" s="6"/>
      <c r="AR1289" s="6"/>
      <c r="AS1289" s="6"/>
      <c r="AT1289" s="6"/>
      <c r="AU1289" s="6"/>
      <c r="AV1289" s="6"/>
      <c r="AW1289" s="6"/>
      <c r="AX1289" s="6"/>
      <c r="AY1289" s="6"/>
      <c r="AZ1289" s="6"/>
      <c r="BA1289" s="6"/>
      <c r="BB1289" s="6"/>
      <c r="BC1289" s="6"/>
      <c r="BD1289" s="6"/>
      <c r="BE1289" s="6"/>
      <c r="BF1289" s="6"/>
      <c r="BG1289" s="6"/>
      <c r="BH1289" s="6"/>
      <c r="BI1289" s="6"/>
      <c r="BJ1289" s="6"/>
      <c r="BK1289" s="6"/>
      <c r="BL1289" s="44"/>
      <c r="BM1289" s="44"/>
      <c r="BN1289" s="45"/>
      <c r="BO1289" s="45"/>
      <c r="BP1289" s="7"/>
      <c r="BQ1289" s="7" t="e">
        <f>VLOOKUP(A1289,[1]Sheet15!B:E,3,0)</f>
        <v>#N/A</v>
      </c>
    </row>
    <row r="1290" spans="1:69" ht="15.75" customHeight="1" x14ac:dyDescent="0.25">
      <c r="A1290" s="12"/>
      <c r="B1290" s="15" t="e">
        <f>VLOOKUP(A1290,'[1]Master clients'!F1288:W4835,17,0)</f>
        <v>#N/A</v>
      </c>
      <c r="C1290" s="15" t="e">
        <f>VLOOKUP(A1290,'[1]Master clients'!F1288:P4835,11,0)</f>
        <v>#N/A</v>
      </c>
      <c r="D1290" s="15" t="e">
        <f>VLOOKUP(A1290,'[1]Master clients'!F:M,8,0)</f>
        <v>#N/A</v>
      </c>
      <c r="E1290" s="12"/>
      <c r="F1290" s="6"/>
      <c r="G1290" s="6"/>
      <c r="H1290" s="6"/>
      <c r="I1290" s="43"/>
      <c r="J1290" s="43"/>
      <c r="K1290" s="6"/>
      <c r="L1290" s="6"/>
      <c r="M1290" s="6"/>
      <c r="N1290" s="6"/>
      <c r="O1290" s="6"/>
      <c r="P1290" s="6"/>
      <c r="Q1290" s="6"/>
      <c r="R1290" s="6"/>
      <c r="S1290" s="6"/>
      <c r="T1290" s="6"/>
      <c r="U1290" s="6"/>
      <c r="V1290" s="6"/>
      <c r="W1290" s="6"/>
      <c r="X1290" s="6"/>
      <c r="Y1290" s="6"/>
      <c r="Z1290" s="6"/>
      <c r="AA1290" s="6"/>
      <c r="AB1290" s="6"/>
      <c r="AC1290" s="6"/>
      <c r="AD1290" s="6"/>
      <c r="AE1290" s="6"/>
      <c r="AF1290" s="6"/>
      <c r="AG1290" s="6"/>
      <c r="AH1290" s="6"/>
      <c r="AI1290" s="6"/>
      <c r="AJ1290" s="6"/>
      <c r="AK1290" s="6"/>
      <c r="AL1290" s="6"/>
      <c r="AM1290" s="6"/>
      <c r="AN1290" s="6"/>
      <c r="AO1290" s="6"/>
      <c r="AP1290" s="6"/>
      <c r="AQ1290" s="6"/>
      <c r="AR1290" s="6"/>
      <c r="AS1290" s="6"/>
      <c r="AT1290" s="6"/>
      <c r="AU1290" s="6"/>
      <c r="AV1290" s="6"/>
      <c r="AW1290" s="6"/>
      <c r="AX1290" s="6"/>
      <c r="AY1290" s="6"/>
      <c r="AZ1290" s="6"/>
      <c r="BA1290" s="6"/>
      <c r="BB1290" s="6"/>
      <c r="BC1290" s="6"/>
      <c r="BD1290" s="6"/>
      <c r="BE1290" s="6"/>
      <c r="BF1290" s="6"/>
      <c r="BG1290" s="6"/>
      <c r="BH1290" s="6"/>
      <c r="BI1290" s="6"/>
      <c r="BJ1290" s="6"/>
      <c r="BK1290" s="6"/>
      <c r="BL1290" s="44"/>
      <c r="BM1290" s="44"/>
      <c r="BN1290" s="45"/>
      <c r="BO1290" s="45"/>
      <c r="BP1290" s="7"/>
      <c r="BQ1290" s="7" t="e">
        <f>VLOOKUP(A1290,[1]Sheet15!B:E,3,0)</f>
        <v>#N/A</v>
      </c>
    </row>
    <row r="1291" spans="1:69" ht="15.75" customHeight="1" x14ac:dyDescent="0.25">
      <c r="A1291" s="12"/>
      <c r="B1291" s="15" t="e">
        <f>VLOOKUP(A1291,'[1]Master clients'!F1289:W4836,17,0)</f>
        <v>#N/A</v>
      </c>
      <c r="C1291" s="15" t="e">
        <f>VLOOKUP(A1291,'[1]Master clients'!F1289:P4836,11,0)</f>
        <v>#N/A</v>
      </c>
      <c r="D1291" s="15" t="e">
        <f>VLOOKUP(A1291,'[1]Master clients'!F:M,8,0)</f>
        <v>#N/A</v>
      </c>
      <c r="E1291" s="12"/>
      <c r="F1291" s="6"/>
      <c r="G1291" s="6"/>
      <c r="H1291" s="6"/>
      <c r="I1291" s="43"/>
      <c r="J1291" s="43"/>
      <c r="K1291" s="6"/>
      <c r="L1291" s="6"/>
      <c r="M1291" s="6"/>
      <c r="N1291" s="6"/>
      <c r="O1291" s="6"/>
      <c r="P1291" s="6"/>
      <c r="Q1291" s="6"/>
      <c r="R1291" s="6"/>
      <c r="S1291" s="6"/>
      <c r="T1291" s="6"/>
      <c r="U1291" s="6"/>
      <c r="V1291" s="6"/>
      <c r="W1291" s="6"/>
      <c r="X1291" s="6"/>
      <c r="Y1291" s="6"/>
      <c r="Z1291" s="6"/>
      <c r="AA1291" s="6"/>
      <c r="AB1291" s="6"/>
      <c r="AC1291" s="6"/>
      <c r="AD1291" s="6"/>
      <c r="AE1291" s="6"/>
      <c r="AF1291" s="6"/>
      <c r="AG1291" s="6"/>
      <c r="AH1291" s="6"/>
      <c r="AI1291" s="6"/>
      <c r="AJ1291" s="6"/>
      <c r="AK1291" s="6"/>
      <c r="AL1291" s="6"/>
      <c r="AM1291" s="6"/>
      <c r="AN1291" s="6"/>
      <c r="AO1291" s="6"/>
      <c r="AP1291" s="6"/>
      <c r="AQ1291" s="6"/>
      <c r="AR1291" s="6"/>
      <c r="AS1291" s="6"/>
      <c r="AT1291" s="6"/>
      <c r="AU1291" s="6"/>
      <c r="AV1291" s="6"/>
      <c r="AW1291" s="6"/>
      <c r="AX1291" s="6"/>
      <c r="AY1291" s="6"/>
      <c r="AZ1291" s="6"/>
      <c r="BA1291" s="6"/>
      <c r="BB1291" s="6"/>
      <c r="BC1291" s="6"/>
      <c r="BD1291" s="6"/>
      <c r="BE1291" s="6"/>
      <c r="BF1291" s="6"/>
      <c r="BG1291" s="6"/>
      <c r="BH1291" s="6"/>
      <c r="BI1291" s="6"/>
      <c r="BJ1291" s="6"/>
      <c r="BK1291" s="6"/>
      <c r="BL1291" s="44"/>
      <c r="BM1291" s="44"/>
      <c r="BN1291" s="45"/>
      <c r="BO1291" s="45"/>
      <c r="BP1291" s="7"/>
      <c r="BQ1291" s="7" t="e">
        <f>VLOOKUP(A1291,[1]Sheet15!B:E,3,0)</f>
        <v>#N/A</v>
      </c>
    </row>
    <row r="1292" spans="1:69" ht="15.75" customHeight="1" x14ac:dyDescent="0.25">
      <c r="A1292" s="12"/>
      <c r="B1292" s="15" t="e">
        <f>VLOOKUP(A1292,'[1]Master clients'!F1290:W4837,17,0)</f>
        <v>#N/A</v>
      </c>
      <c r="C1292" s="15" t="e">
        <f>VLOOKUP(A1292,'[1]Master clients'!F1290:P4837,11,0)</f>
        <v>#N/A</v>
      </c>
      <c r="D1292" s="15" t="e">
        <f>VLOOKUP(A1292,'[1]Master clients'!F:M,8,0)</f>
        <v>#N/A</v>
      </c>
      <c r="E1292" s="12"/>
      <c r="F1292" s="6"/>
      <c r="G1292" s="6"/>
      <c r="H1292" s="6"/>
      <c r="I1292" s="43"/>
      <c r="J1292" s="43"/>
      <c r="K1292" s="6"/>
      <c r="L1292" s="6"/>
      <c r="M1292" s="6"/>
      <c r="N1292" s="6"/>
      <c r="O1292" s="6"/>
      <c r="P1292" s="6"/>
      <c r="Q1292" s="6"/>
      <c r="R1292" s="6"/>
      <c r="S1292" s="6"/>
      <c r="T1292" s="6"/>
      <c r="U1292" s="6"/>
      <c r="V1292" s="6"/>
      <c r="W1292" s="6"/>
      <c r="X1292" s="6"/>
      <c r="Y1292" s="6"/>
      <c r="Z1292" s="6"/>
      <c r="AA1292" s="6"/>
      <c r="AB1292" s="6"/>
      <c r="AC1292" s="6"/>
      <c r="AD1292" s="6"/>
      <c r="AE1292" s="6"/>
      <c r="AF1292" s="6"/>
      <c r="AG1292" s="6"/>
      <c r="AH1292" s="6"/>
      <c r="AI1292" s="6"/>
      <c r="AJ1292" s="6"/>
      <c r="AK1292" s="6"/>
      <c r="AL1292" s="6"/>
      <c r="AM1292" s="6"/>
      <c r="AN1292" s="6"/>
      <c r="AO1292" s="6"/>
      <c r="AP1292" s="6"/>
      <c r="AQ1292" s="6"/>
      <c r="AR1292" s="6"/>
      <c r="AS1292" s="6"/>
      <c r="AT1292" s="6"/>
      <c r="AU1292" s="6"/>
      <c r="AV1292" s="6"/>
      <c r="AW1292" s="6"/>
      <c r="AX1292" s="6"/>
      <c r="AY1292" s="6"/>
      <c r="AZ1292" s="6"/>
      <c r="BA1292" s="6"/>
      <c r="BB1292" s="6"/>
      <c r="BC1292" s="6"/>
      <c r="BD1292" s="6"/>
      <c r="BE1292" s="6"/>
      <c r="BF1292" s="6"/>
      <c r="BG1292" s="6"/>
      <c r="BH1292" s="6"/>
      <c r="BI1292" s="6"/>
      <c r="BJ1292" s="6"/>
      <c r="BK1292" s="6"/>
      <c r="BL1292" s="44"/>
      <c r="BM1292" s="44"/>
      <c r="BN1292" s="45"/>
      <c r="BO1292" s="45"/>
      <c r="BP1292" s="7"/>
      <c r="BQ1292" s="7" t="e">
        <f>VLOOKUP(A1292,[1]Sheet15!B:E,3,0)</f>
        <v>#N/A</v>
      </c>
    </row>
    <row r="1293" spans="1:69" ht="15.75" customHeight="1" x14ac:dyDescent="0.25">
      <c r="A1293" s="12"/>
      <c r="B1293" s="15" t="e">
        <f>VLOOKUP(A1293,'[1]Master clients'!F1291:W4838,17,0)</f>
        <v>#N/A</v>
      </c>
      <c r="C1293" s="15" t="e">
        <f>VLOOKUP(A1293,'[1]Master clients'!F1291:P4838,11,0)</f>
        <v>#N/A</v>
      </c>
      <c r="D1293" s="15" t="e">
        <f>VLOOKUP(A1293,'[1]Master clients'!F:M,8,0)</f>
        <v>#N/A</v>
      </c>
      <c r="E1293" s="12"/>
      <c r="F1293" s="6"/>
      <c r="G1293" s="6"/>
      <c r="H1293" s="6"/>
      <c r="I1293" s="43"/>
      <c r="J1293" s="43"/>
      <c r="K1293" s="6"/>
      <c r="L1293" s="6"/>
      <c r="M1293" s="6"/>
      <c r="N1293" s="6"/>
      <c r="O1293" s="6"/>
      <c r="P1293" s="6"/>
      <c r="Q1293" s="6"/>
      <c r="R1293" s="6"/>
      <c r="S1293" s="6"/>
      <c r="T1293" s="6"/>
      <c r="U1293" s="6"/>
      <c r="V1293" s="6"/>
      <c r="W1293" s="6"/>
      <c r="X1293" s="6"/>
      <c r="Y1293" s="6"/>
      <c r="Z1293" s="6"/>
      <c r="AA1293" s="6"/>
      <c r="AB1293" s="6"/>
      <c r="AC1293" s="6"/>
      <c r="AD1293" s="6"/>
      <c r="AE1293" s="6"/>
      <c r="AF1293" s="6"/>
      <c r="AG1293" s="6"/>
      <c r="AH1293" s="6"/>
      <c r="AI1293" s="6"/>
      <c r="AJ1293" s="6"/>
      <c r="AK1293" s="6"/>
      <c r="AL1293" s="6"/>
      <c r="AM1293" s="6"/>
      <c r="AN1293" s="6"/>
      <c r="AO1293" s="6"/>
      <c r="AP1293" s="6"/>
      <c r="AQ1293" s="6"/>
      <c r="AR1293" s="6"/>
      <c r="AS1293" s="6"/>
      <c r="AT1293" s="6"/>
      <c r="AU1293" s="6"/>
      <c r="AV1293" s="6"/>
      <c r="AW1293" s="6"/>
      <c r="AX1293" s="6"/>
      <c r="AY1293" s="6"/>
      <c r="AZ1293" s="6"/>
      <c r="BA1293" s="6"/>
      <c r="BB1293" s="6"/>
      <c r="BC1293" s="6"/>
      <c r="BD1293" s="6"/>
      <c r="BE1293" s="6"/>
      <c r="BF1293" s="6"/>
      <c r="BG1293" s="6"/>
      <c r="BH1293" s="6"/>
      <c r="BI1293" s="6"/>
      <c r="BJ1293" s="6"/>
      <c r="BK1293" s="6"/>
      <c r="BL1293" s="44"/>
      <c r="BM1293" s="44"/>
      <c r="BN1293" s="45"/>
      <c r="BO1293" s="45"/>
      <c r="BP1293" s="7"/>
      <c r="BQ1293" s="7" t="e">
        <f>VLOOKUP(A1293,[1]Sheet15!B:E,3,0)</f>
        <v>#N/A</v>
      </c>
    </row>
    <row r="1294" spans="1:69" ht="15.75" customHeight="1" x14ac:dyDescent="0.25">
      <c r="A1294" s="12"/>
      <c r="B1294" s="15" t="e">
        <f>VLOOKUP(A1294,'[1]Master clients'!F1292:W4839,17,0)</f>
        <v>#N/A</v>
      </c>
      <c r="C1294" s="15" t="e">
        <f>VLOOKUP(A1294,'[1]Master clients'!F1292:P4839,11,0)</f>
        <v>#N/A</v>
      </c>
      <c r="D1294" s="15" t="e">
        <f>VLOOKUP(A1294,'[1]Master clients'!F:M,8,0)</f>
        <v>#N/A</v>
      </c>
      <c r="E1294" s="12"/>
      <c r="F1294" s="6"/>
      <c r="G1294" s="6"/>
      <c r="H1294" s="6"/>
      <c r="I1294" s="43"/>
      <c r="J1294" s="43"/>
      <c r="K1294" s="6"/>
      <c r="L1294" s="6"/>
      <c r="M1294" s="6"/>
      <c r="N1294" s="6"/>
      <c r="O1294" s="6"/>
      <c r="P1294" s="6"/>
      <c r="Q1294" s="6"/>
      <c r="R1294" s="6"/>
      <c r="S1294" s="6"/>
      <c r="T1294" s="6"/>
      <c r="U1294" s="6"/>
      <c r="V1294" s="6"/>
      <c r="W1294" s="6"/>
      <c r="X1294" s="6"/>
      <c r="Y1294" s="6"/>
      <c r="Z1294" s="6"/>
      <c r="AA1294" s="6"/>
      <c r="AB1294" s="6"/>
      <c r="AC1294" s="6"/>
      <c r="AD1294" s="6"/>
      <c r="AE1294" s="6"/>
      <c r="AF1294" s="6"/>
      <c r="AG1294" s="6"/>
      <c r="AH1294" s="6"/>
      <c r="AI1294" s="6"/>
      <c r="AJ1294" s="6"/>
      <c r="AK1294" s="6"/>
      <c r="AL1294" s="6"/>
      <c r="AM1294" s="6"/>
      <c r="AN1294" s="6"/>
      <c r="AO1294" s="6"/>
      <c r="AP1294" s="6"/>
      <c r="AQ1294" s="6"/>
      <c r="AR1294" s="6"/>
      <c r="AS1294" s="6"/>
      <c r="AT1294" s="6"/>
      <c r="AU1294" s="6"/>
      <c r="AV1294" s="6"/>
      <c r="AW1294" s="6"/>
      <c r="AX1294" s="6"/>
      <c r="AY1294" s="6"/>
      <c r="AZ1294" s="6"/>
      <c r="BA1294" s="6"/>
      <c r="BB1294" s="6"/>
      <c r="BC1294" s="6"/>
      <c r="BD1294" s="6"/>
      <c r="BE1294" s="6"/>
      <c r="BF1294" s="6"/>
      <c r="BG1294" s="6"/>
      <c r="BH1294" s="6"/>
      <c r="BI1294" s="6"/>
      <c r="BJ1294" s="6"/>
      <c r="BK1294" s="6"/>
      <c r="BL1294" s="44"/>
      <c r="BM1294" s="44"/>
      <c r="BN1294" s="45"/>
      <c r="BO1294" s="45"/>
      <c r="BP1294" s="7"/>
      <c r="BQ1294" s="7" t="e">
        <f>VLOOKUP(A1294,[1]Sheet15!B:E,3,0)</f>
        <v>#N/A</v>
      </c>
    </row>
    <row r="1295" spans="1:69" ht="15.75" customHeight="1" x14ac:dyDescent="0.25">
      <c r="A1295" s="12"/>
      <c r="B1295" s="15" t="e">
        <f>VLOOKUP(A1295,'[1]Master clients'!F1293:W4840,17,0)</f>
        <v>#N/A</v>
      </c>
      <c r="C1295" s="15" t="e">
        <f>VLOOKUP(A1295,'[1]Master clients'!F1293:P4840,11,0)</f>
        <v>#N/A</v>
      </c>
      <c r="D1295" s="15" t="e">
        <f>VLOOKUP(A1295,'[1]Master clients'!F:M,8,0)</f>
        <v>#N/A</v>
      </c>
      <c r="E1295" s="12"/>
      <c r="F1295" s="6"/>
      <c r="G1295" s="6"/>
      <c r="H1295" s="6"/>
      <c r="I1295" s="43"/>
      <c r="J1295" s="43"/>
      <c r="K1295" s="6"/>
      <c r="L1295" s="6"/>
      <c r="M1295" s="6"/>
      <c r="N1295" s="6"/>
      <c r="O1295" s="6"/>
      <c r="P1295" s="6"/>
      <c r="Q1295" s="6"/>
      <c r="R1295" s="6"/>
      <c r="S1295" s="6"/>
      <c r="T1295" s="6"/>
      <c r="U1295" s="6"/>
      <c r="V1295" s="6"/>
      <c r="W1295" s="6"/>
      <c r="X1295" s="6"/>
      <c r="Y1295" s="6"/>
      <c r="Z1295" s="6"/>
      <c r="AA1295" s="6"/>
      <c r="AB1295" s="6"/>
      <c r="AC1295" s="6"/>
      <c r="AD1295" s="6"/>
      <c r="AE1295" s="6"/>
      <c r="AF1295" s="6"/>
      <c r="AG1295" s="6"/>
      <c r="AH1295" s="6"/>
      <c r="AI1295" s="6"/>
      <c r="AJ1295" s="6"/>
      <c r="AK1295" s="6"/>
      <c r="AL1295" s="6"/>
      <c r="AM1295" s="6"/>
      <c r="AN1295" s="6"/>
      <c r="AO1295" s="6"/>
      <c r="AP1295" s="6"/>
      <c r="AQ1295" s="6"/>
      <c r="AR1295" s="6"/>
      <c r="AS1295" s="6"/>
      <c r="AT1295" s="6"/>
      <c r="AU1295" s="6"/>
      <c r="AV1295" s="6"/>
      <c r="AW1295" s="6"/>
      <c r="AX1295" s="6"/>
      <c r="AY1295" s="6"/>
      <c r="AZ1295" s="6"/>
      <c r="BA1295" s="6"/>
      <c r="BB1295" s="6"/>
      <c r="BC1295" s="6"/>
      <c r="BD1295" s="6"/>
      <c r="BE1295" s="6"/>
      <c r="BF1295" s="6"/>
      <c r="BG1295" s="6"/>
      <c r="BH1295" s="6"/>
      <c r="BI1295" s="6"/>
      <c r="BJ1295" s="6"/>
      <c r="BK1295" s="6"/>
      <c r="BL1295" s="44"/>
      <c r="BM1295" s="44"/>
      <c r="BN1295" s="45"/>
      <c r="BO1295" s="45"/>
      <c r="BP1295" s="7"/>
      <c r="BQ1295" s="7" t="e">
        <f>VLOOKUP(A1295,[1]Sheet15!B:E,3,0)</f>
        <v>#N/A</v>
      </c>
    </row>
    <row r="1296" spans="1:69" ht="15.75" customHeight="1" x14ac:dyDescent="0.25">
      <c r="A1296" s="12"/>
      <c r="B1296" s="15" t="e">
        <f>VLOOKUP(A1296,'[1]Master clients'!F1294:W4841,17,0)</f>
        <v>#N/A</v>
      </c>
      <c r="C1296" s="15" t="e">
        <f>VLOOKUP(A1296,'[1]Master clients'!F1294:P4841,11,0)</f>
        <v>#N/A</v>
      </c>
      <c r="D1296" s="15" t="e">
        <f>VLOOKUP(A1296,'[1]Master clients'!F:M,8,0)</f>
        <v>#N/A</v>
      </c>
      <c r="E1296" s="12"/>
      <c r="F1296" s="6"/>
      <c r="G1296" s="6"/>
      <c r="H1296" s="6"/>
      <c r="I1296" s="43"/>
      <c r="J1296" s="43"/>
      <c r="K1296" s="6"/>
      <c r="L1296" s="6"/>
      <c r="M1296" s="6"/>
      <c r="N1296" s="6"/>
      <c r="O1296" s="6"/>
      <c r="P1296" s="6"/>
      <c r="Q1296" s="6"/>
      <c r="R1296" s="6"/>
      <c r="S1296" s="6"/>
      <c r="T1296" s="6"/>
      <c r="U1296" s="6"/>
      <c r="V1296" s="6"/>
      <c r="W1296" s="6"/>
      <c r="X1296" s="6"/>
      <c r="Y1296" s="6"/>
      <c r="Z1296" s="6"/>
      <c r="AA1296" s="6"/>
      <c r="AB1296" s="6"/>
      <c r="AC1296" s="6"/>
      <c r="AD1296" s="6"/>
      <c r="AE1296" s="6"/>
      <c r="AF1296" s="6"/>
      <c r="AG1296" s="6"/>
      <c r="AH1296" s="6"/>
      <c r="AI1296" s="6"/>
      <c r="AJ1296" s="6"/>
      <c r="AK1296" s="6"/>
      <c r="AL1296" s="6"/>
      <c r="AM1296" s="6"/>
      <c r="AN1296" s="6"/>
      <c r="AO1296" s="6"/>
      <c r="AP1296" s="6"/>
      <c r="AQ1296" s="6"/>
      <c r="AR1296" s="6"/>
      <c r="AS1296" s="6"/>
      <c r="AT1296" s="6"/>
      <c r="AU1296" s="6"/>
      <c r="AV1296" s="6"/>
      <c r="AW1296" s="6"/>
      <c r="AX1296" s="6"/>
      <c r="AY1296" s="6"/>
      <c r="AZ1296" s="6"/>
      <c r="BA1296" s="6"/>
      <c r="BB1296" s="6"/>
      <c r="BC1296" s="6"/>
      <c r="BD1296" s="6"/>
      <c r="BE1296" s="6"/>
      <c r="BF1296" s="6"/>
      <c r="BG1296" s="6"/>
      <c r="BH1296" s="6"/>
      <c r="BI1296" s="6"/>
      <c r="BJ1296" s="6"/>
      <c r="BK1296" s="6"/>
      <c r="BL1296" s="44"/>
      <c r="BM1296" s="44"/>
      <c r="BN1296" s="45"/>
      <c r="BO1296" s="45"/>
      <c r="BP1296" s="7"/>
      <c r="BQ1296" s="7" t="e">
        <f>VLOOKUP(A1296,[1]Sheet15!B:E,3,0)</f>
        <v>#N/A</v>
      </c>
    </row>
    <row r="1297" spans="1:69" ht="15.75" customHeight="1" x14ac:dyDescent="0.25">
      <c r="A1297" s="12"/>
      <c r="B1297" s="15" t="e">
        <f>VLOOKUP(A1297,'[1]Master clients'!F1295:W4842,17,0)</f>
        <v>#N/A</v>
      </c>
      <c r="C1297" s="15" t="e">
        <f>VLOOKUP(A1297,'[1]Master clients'!F1295:P4842,11,0)</f>
        <v>#N/A</v>
      </c>
      <c r="D1297" s="15" t="e">
        <f>VLOOKUP(A1297,'[1]Master clients'!F:M,8,0)</f>
        <v>#N/A</v>
      </c>
      <c r="E1297" s="12"/>
      <c r="F1297" s="6"/>
      <c r="G1297" s="6"/>
      <c r="H1297" s="6"/>
      <c r="I1297" s="43"/>
      <c r="J1297" s="43"/>
      <c r="K1297" s="6"/>
      <c r="L1297" s="6"/>
      <c r="M1297" s="6"/>
      <c r="N1297" s="6"/>
      <c r="O1297" s="6"/>
      <c r="P1297" s="6"/>
      <c r="Q1297" s="6"/>
      <c r="R1297" s="6"/>
      <c r="S1297" s="6"/>
      <c r="T1297" s="6"/>
      <c r="U1297" s="6"/>
      <c r="V1297" s="6"/>
      <c r="W1297" s="6"/>
      <c r="X1297" s="6"/>
      <c r="Y1297" s="6"/>
      <c r="Z1297" s="6"/>
      <c r="AA1297" s="6"/>
      <c r="AB1297" s="6"/>
      <c r="AC1297" s="6"/>
      <c r="AD1297" s="6"/>
      <c r="AE1297" s="6"/>
      <c r="AF1297" s="6"/>
      <c r="AG1297" s="6"/>
      <c r="AH1297" s="6"/>
      <c r="AI1297" s="6"/>
      <c r="AJ1297" s="6"/>
      <c r="AK1297" s="6"/>
      <c r="AL1297" s="6"/>
      <c r="AM1297" s="6"/>
      <c r="AN1297" s="6"/>
      <c r="AO1297" s="6"/>
      <c r="AP1297" s="6"/>
      <c r="AQ1297" s="6"/>
      <c r="AR1297" s="6"/>
      <c r="AS1297" s="6"/>
      <c r="AT1297" s="6"/>
      <c r="AU1297" s="6"/>
      <c r="AV1297" s="6"/>
      <c r="AW1297" s="6"/>
      <c r="AX1297" s="6"/>
      <c r="AY1297" s="6"/>
      <c r="AZ1297" s="6"/>
      <c r="BA1297" s="6"/>
      <c r="BB1297" s="6"/>
      <c r="BC1297" s="6"/>
      <c r="BD1297" s="6"/>
      <c r="BE1297" s="6"/>
      <c r="BF1297" s="6"/>
      <c r="BG1297" s="6"/>
      <c r="BH1297" s="6"/>
      <c r="BI1297" s="6"/>
      <c r="BJ1297" s="6"/>
      <c r="BK1297" s="6"/>
      <c r="BL1297" s="44"/>
      <c r="BM1297" s="44"/>
      <c r="BN1297" s="45"/>
      <c r="BO1297" s="45"/>
      <c r="BP1297" s="7"/>
      <c r="BQ1297" s="7" t="e">
        <f>VLOOKUP(A1297,[1]Sheet15!B:E,3,0)</f>
        <v>#N/A</v>
      </c>
    </row>
    <row r="1298" spans="1:69" ht="15.75" customHeight="1" x14ac:dyDescent="0.25">
      <c r="A1298" s="12"/>
      <c r="B1298" s="15" t="e">
        <f>VLOOKUP(A1298,'[1]Master clients'!F1296:W4843,17,0)</f>
        <v>#N/A</v>
      </c>
      <c r="C1298" s="15" t="e">
        <f>VLOOKUP(A1298,'[1]Master clients'!F1296:P4843,11,0)</f>
        <v>#N/A</v>
      </c>
      <c r="D1298" s="15" t="e">
        <f>VLOOKUP(A1298,'[1]Master clients'!F:M,8,0)</f>
        <v>#N/A</v>
      </c>
      <c r="E1298" s="12"/>
      <c r="F1298" s="6"/>
      <c r="G1298" s="6"/>
      <c r="H1298" s="6"/>
      <c r="I1298" s="43"/>
      <c r="J1298" s="43"/>
      <c r="K1298" s="6"/>
      <c r="L1298" s="6"/>
      <c r="M1298" s="6"/>
      <c r="N1298" s="6"/>
      <c r="O1298" s="6"/>
      <c r="P1298" s="6"/>
      <c r="Q1298" s="6"/>
      <c r="R1298" s="6"/>
      <c r="S1298" s="6"/>
      <c r="T1298" s="6"/>
      <c r="U1298" s="6"/>
      <c r="V1298" s="6"/>
      <c r="W1298" s="6"/>
      <c r="X1298" s="6"/>
      <c r="Y1298" s="6"/>
      <c r="Z1298" s="6"/>
      <c r="AA1298" s="6"/>
      <c r="AB1298" s="6"/>
      <c r="AC1298" s="6"/>
      <c r="AD1298" s="6"/>
      <c r="AE1298" s="6"/>
      <c r="AF1298" s="6"/>
      <c r="AG1298" s="6"/>
      <c r="AH1298" s="6"/>
      <c r="AI1298" s="6"/>
      <c r="AJ1298" s="6"/>
      <c r="AK1298" s="6"/>
      <c r="AL1298" s="6"/>
      <c r="AM1298" s="6"/>
      <c r="AN1298" s="6"/>
      <c r="AO1298" s="6"/>
      <c r="AP1298" s="6"/>
      <c r="AQ1298" s="6"/>
      <c r="AR1298" s="6"/>
      <c r="AS1298" s="6"/>
      <c r="AT1298" s="6"/>
      <c r="AU1298" s="6"/>
      <c r="AV1298" s="6"/>
      <c r="AW1298" s="6"/>
      <c r="AX1298" s="6"/>
      <c r="AY1298" s="6"/>
      <c r="AZ1298" s="6"/>
      <c r="BA1298" s="6"/>
      <c r="BB1298" s="6"/>
      <c r="BC1298" s="6"/>
      <c r="BD1298" s="6"/>
      <c r="BE1298" s="6"/>
      <c r="BF1298" s="6"/>
      <c r="BG1298" s="6"/>
      <c r="BH1298" s="6"/>
      <c r="BI1298" s="6"/>
      <c r="BJ1298" s="6"/>
      <c r="BK1298" s="6"/>
      <c r="BL1298" s="44"/>
      <c r="BM1298" s="44"/>
      <c r="BN1298" s="45"/>
      <c r="BO1298" s="45"/>
      <c r="BP1298" s="7"/>
      <c r="BQ1298" s="7" t="e">
        <f>VLOOKUP(A1298,[1]Sheet15!B:E,3,0)</f>
        <v>#N/A</v>
      </c>
    </row>
    <row r="1299" spans="1:69" ht="15.75" customHeight="1" x14ac:dyDescent="0.25">
      <c r="A1299" s="12"/>
      <c r="B1299" s="15" t="e">
        <f>VLOOKUP(A1299,'[1]Master clients'!F1297:W4844,17,0)</f>
        <v>#N/A</v>
      </c>
      <c r="C1299" s="15" t="e">
        <f>VLOOKUP(A1299,'[1]Master clients'!F1297:P4844,11,0)</f>
        <v>#N/A</v>
      </c>
      <c r="D1299" s="15" t="e">
        <f>VLOOKUP(A1299,'[1]Master clients'!F:M,8,0)</f>
        <v>#N/A</v>
      </c>
      <c r="E1299" s="12"/>
      <c r="F1299" s="6"/>
      <c r="G1299" s="6"/>
      <c r="H1299" s="6"/>
      <c r="I1299" s="43"/>
      <c r="J1299" s="43"/>
      <c r="K1299" s="6"/>
      <c r="L1299" s="6"/>
      <c r="M1299" s="6"/>
      <c r="N1299" s="6"/>
      <c r="O1299" s="6"/>
      <c r="P1299" s="6"/>
      <c r="Q1299" s="6"/>
      <c r="R1299" s="6"/>
      <c r="S1299" s="6"/>
      <c r="T1299" s="6"/>
      <c r="U1299" s="6"/>
      <c r="V1299" s="6"/>
      <c r="W1299" s="6"/>
      <c r="X1299" s="6"/>
      <c r="Y1299" s="6"/>
      <c r="Z1299" s="6"/>
      <c r="AA1299" s="6"/>
      <c r="AB1299" s="6"/>
      <c r="AC1299" s="6"/>
      <c r="AD1299" s="6"/>
      <c r="AE1299" s="6"/>
      <c r="AF1299" s="6"/>
      <c r="AG1299" s="6"/>
      <c r="AH1299" s="6"/>
      <c r="AI1299" s="6"/>
      <c r="AJ1299" s="6"/>
      <c r="AK1299" s="6"/>
      <c r="AL1299" s="6"/>
      <c r="AM1299" s="6"/>
      <c r="AN1299" s="6"/>
      <c r="AO1299" s="6"/>
      <c r="AP1299" s="6"/>
      <c r="AQ1299" s="6"/>
      <c r="AR1299" s="6"/>
      <c r="AS1299" s="6"/>
      <c r="AT1299" s="6"/>
      <c r="AU1299" s="6"/>
      <c r="AV1299" s="6"/>
      <c r="AW1299" s="6"/>
      <c r="AX1299" s="6"/>
      <c r="AY1299" s="6"/>
      <c r="AZ1299" s="6"/>
      <c r="BA1299" s="6"/>
      <c r="BB1299" s="6"/>
      <c r="BC1299" s="6"/>
      <c r="BD1299" s="6"/>
      <c r="BE1299" s="6"/>
      <c r="BF1299" s="6"/>
      <c r="BG1299" s="6"/>
      <c r="BH1299" s="6"/>
      <c r="BI1299" s="6"/>
      <c r="BJ1299" s="6"/>
      <c r="BK1299" s="6"/>
      <c r="BL1299" s="44"/>
      <c r="BM1299" s="44"/>
      <c r="BN1299" s="45"/>
      <c r="BO1299" s="45"/>
      <c r="BP1299" s="7"/>
      <c r="BQ1299" s="7" t="e">
        <f>VLOOKUP(A1299,[1]Sheet15!B:E,3,0)</f>
        <v>#N/A</v>
      </c>
    </row>
    <row r="1300" spans="1:69" ht="15.75" customHeight="1" x14ac:dyDescent="0.25">
      <c r="A1300" s="12"/>
      <c r="B1300" s="15" t="e">
        <f>VLOOKUP(A1300,'[1]Master clients'!F1298:W4845,17,0)</f>
        <v>#N/A</v>
      </c>
      <c r="C1300" s="15" t="e">
        <f>VLOOKUP(A1300,'[1]Master clients'!F1298:P4845,11,0)</f>
        <v>#N/A</v>
      </c>
      <c r="D1300" s="15" t="e">
        <f>VLOOKUP(A1300,'[1]Master clients'!F:M,8,0)</f>
        <v>#N/A</v>
      </c>
      <c r="E1300" s="12"/>
      <c r="F1300" s="6"/>
      <c r="G1300" s="6"/>
      <c r="H1300" s="6"/>
      <c r="I1300" s="43"/>
      <c r="J1300" s="43"/>
      <c r="K1300" s="6"/>
      <c r="L1300" s="6"/>
      <c r="M1300" s="6"/>
      <c r="N1300" s="6"/>
      <c r="O1300" s="6"/>
      <c r="P1300" s="6"/>
      <c r="Q1300" s="6"/>
      <c r="R1300" s="6"/>
      <c r="S1300" s="6"/>
      <c r="T1300" s="6"/>
      <c r="U1300" s="6"/>
      <c r="V1300" s="6"/>
      <c r="W1300" s="6"/>
      <c r="X1300" s="6"/>
      <c r="Y1300" s="6"/>
      <c r="Z1300" s="6"/>
      <c r="AA1300" s="6"/>
      <c r="AB1300" s="6"/>
      <c r="AC1300" s="6"/>
      <c r="AD1300" s="6"/>
      <c r="AE1300" s="6"/>
      <c r="AF1300" s="6"/>
      <c r="AG1300" s="6"/>
      <c r="AH1300" s="6"/>
      <c r="AI1300" s="6"/>
      <c r="AJ1300" s="6"/>
      <c r="AK1300" s="6"/>
      <c r="AL1300" s="6"/>
      <c r="AM1300" s="6"/>
      <c r="AN1300" s="6"/>
      <c r="AO1300" s="6"/>
      <c r="AP1300" s="6"/>
      <c r="AQ1300" s="6"/>
      <c r="AR1300" s="6"/>
      <c r="AS1300" s="6"/>
      <c r="AT1300" s="6"/>
      <c r="AU1300" s="6"/>
      <c r="AV1300" s="6"/>
      <c r="AW1300" s="6"/>
      <c r="AX1300" s="6"/>
      <c r="AY1300" s="6"/>
      <c r="AZ1300" s="6"/>
      <c r="BA1300" s="6"/>
      <c r="BB1300" s="6"/>
      <c r="BC1300" s="6"/>
      <c r="BD1300" s="6"/>
      <c r="BE1300" s="6"/>
      <c r="BF1300" s="6"/>
      <c r="BG1300" s="6"/>
      <c r="BH1300" s="6"/>
      <c r="BI1300" s="6"/>
      <c r="BJ1300" s="6"/>
      <c r="BK1300" s="6"/>
      <c r="BL1300" s="44"/>
      <c r="BM1300" s="44"/>
      <c r="BN1300" s="45"/>
      <c r="BO1300" s="45"/>
      <c r="BP1300" s="7"/>
      <c r="BQ1300" s="7" t="e">
        <f>VLOOKUP(A1300,[1]Sheet15!B:E,3,0)</f>
        <v>#N/A</v>
      </c>
    </row>
    <row r="1301" spans="1:69" ht="15.75" customHeight="1" x14ac:dyDescent="0.25">
      <c r="A1301" s="12"/>
      <c r="B1301" s="15" t="e">
        <f>VLOOKUP(A1301,'[1]Master clients'!F1299:W4846,17,0)</f>
        <v>#N/A</v>
      </c>
      <c r="C1301" s="15" t="e">
        <f>VLOOKUP(A1301,'[1]Master clients'!F1299:P4846,11,0)</f>
        <v>#N/A</v>
      </c>
      <c r="D1301" s="15" t="e">
        <f>VLOOKUP(A1301,'[1]Master clients'!F:M,8,0)</f>
        <v>#N/A</v>
      </c>
      <c r="E1301" s="12"/>
      <c r="F1301" s="6"/>
      <c r="G1301" s="6"/>
      <c r="H1301" s="6"/>
      <c r="I1301" s="43"/>
      <c r="J1301" s="43"/>
      <c r="K1301" s="6"/>
      <c r="L1301" s="6"/>
      <c r="M1301" s="6"/>
      <c r="N1301" s="6"/>
      <c r="O1301" s="6"/>
      <c r="P1301" s="6"/>
      <c r="Q1301" s="6"/>
      <c r="R1301" s="6"/>
      <c r="S1301" s="6"/>
      <c r="T1301" s="6"/>
      <c r="U1301" s="6"/>
      <c r="V1301" s="6"/>
      <c r="W1301" s="6"/>
      <c r="X1301" s="6"/>
      <c r="Y1301" s="6"/>
      <c r="Z1301" s="6"/>
      <c r="AA1301" s="6"/>
      <c r="AB1301" s="6"/>
      <c r="AC1301" s="6"/>
      <c r="AD1301" s="6"/>
      <c r="AE1301" s="6"/>
      <c r="AF1301" s="6"/>
      <c r="AG1301" s="6"/>
      <c r="AH1301" s="6"/>
      <c r="AI1301" s="6"/>
      <c r="AJ1301" s="6"/>
      <c r="AK1301" s="6"/>
      <c r="AL1301" s="6"/>
      <c r="AM1301" s="6"/>
      <c r="AN1301" s="6"/>
      <c r="AO1301" s="6"/>
      <c r="AP1301" s="6"/>
      <c r="AQ1301" s="6"/>
      <c r="AR1301" s="6"/>
      <c r="AS1301" s="6"/>
      <c r="AT1301" s="6"/>
      <c r="AU1301" s="6"/>
      <c r="AV1301" s="6"/>
      <c r="AW1301" s="6"/>
      <c r="AX1301" s="6"/>
      <c r="AY1301" s="6"/>
      <c r="AZ1301" s="6"/>
      <c r="BA1301" s="6"/>
      <c r="BB1301" s="6"/>
      <c r="BC1301" s="6"/>
      <c r="BD1301" s="6"/>
      <c r="BE1301" s="6"/>
      <c r="BF1301" s="6"/>
      <c r="BG1301" s="6"/>
      <c r="BH1301" s="6"/>
      <c r="BI1301" s="6"/>
      <c r="BJ1301" s="6"/>
      <c r="BK1301" s="6"/>
      <c r="BL1301" s="44"/>
      <c r="BM1301" s="44"/>
      <c r="BN1301" s="45"/>
      <c r="BO1301" s="45"/>
      <c r="BP1301" s="7"/>
      <c r="BQ1301" s="7" t="e">
        <f>VLOOKUP(A1301,[1]Sheet15!B:E,3,0)</f>
        <v>#N/A</v>
      </c>
    </row>
    <row r="1302" spans="1:69" ht="15.75" customHeight="1" x14ac:dyDescent="0.25">
      <c r="A1302" s="12"/>
      <c r="B1302" s="15" t="e">
        <f>VLOOKUP(A1302,'[1]Master clients'!F1300:W4847,17,0)</f>
        <v>#N/A</v>
      </c>
      <c r="C1302" s="15" t="e">
        <f>VLOOKUP(A1302,'[1]Master clients'!F1300:P4847,11,0)</f>
        <v>#N/A</v>
      </c>
      <c r="D1302" s="15" t="e">
        <f>VLOOKUP(A1302,'[1]Master clients'!F:M,8,0)</f>
        <v>#N/A</v>
      </c>
      <c r="E1302" s="12"/>
      <c r="F1302" s="6"/>
      <c r="G1302" s="6"/>
      <c r="H1302" s="6"/>
      <c r="I1302" s="43"/>
      <c r="J1302" s="43"/>
      <c r="K1302" s="6"/>
      <c r="L1302" s="6"/>
      <c r="M1302" s="6"/>
      <c r="N1302" s="6"/>
      <c r="O1302" s="6"/>
      <c r="P1302" s="6"/>
      <c r="Q1302" s="6"/>
      <c r="R1302" s="6"/>
      <c r="S1302" s="6"/>
      <c r="T1302" s="6"/>
      <c r="U1302" s="6"/>
      <c r="V1302" s="6"/>
      <c r="W1302" s="6"/>
      <c r="X1302" s="6"/>
      <c r="Y1302" s="6"/>
      <c r="Z1302" s="6"/>
      <c r="AA1302" s="6"/>
      <c r="AB1302" s="6"/>
      <c r="AC1302" s="6"/>
      <c r="AD1302" s="6"/>
      <c r="AE1302" s="6"/>
      <c r="AF1302" s="6"/>
      <c r="AG1302" s="6"/>
      <c r="AH1302" s="6"/>
      <c r="AI1302" s="6"/>
      <c r="AJ1302" s="6"/>
      <c r="AK1302" s="6"/>
      <c r="AL1302" s="6"/>
      <c r="AM1302" s="6"/>
      <c r="AN1302" s="6"/>
      <c r="AO1302" s="6"/>
      <c r="AP1302" s="6"/>
      <c r="AQ1302" s="6"/>
      <c r="AR1302" s="6"/>
      <c r="AS1302" s="6"/>
      <c r="AT1302" s="6"/>
      <c r="AU1302" s="6"/>
      <c r="AV1302" s="6"/>
      <c r="AW1302" s="6"/>
      <c r="AX1302" s="6"/>
      <c r="AY1302" s="6"/>
      <c r="AZ1302" s="6"/>
      <c r="BA1302" s="6"/>
      <c r="BB1302" s="6"/>
      <c r="BC1302" s="6"/>
      <c r="BD1302" s="6"/>
      <c r="BE1302" s="6"/>
      <c r="BF1302" s="6"/>
      <c r="BG1302" s="6"/>
      <c r="BH1302" s="6"/>
      <c r="BI1302" s="6"/>
      <c r="BJ1302" s="6"/>
      <c r="BK1302" s="6"/>
      <c r="BL1302" s="44"/>
      <c r="BM1302" s="44"/>
      <c r="BN1302" s="45"/>
      <c r="BO1302" s="45"/>
      <c r="BP1302" s="7"/>
      <c r="BQ1302" s="7" t="e">
        <f>VLOOKUP(A1302,[1]Sheet15!B:E,3,0)</f>
        <v>#N/A</v>
      </c>
    </row>
    <row r="1303" spans="1:69" ht="15.75" customHeight="1" x14ac:dyDescent="0.25">
      <c r="A1303" s="12"/>
      <c r="B1303" s="15" t="e">
        <f>VLOOKUP(A1303,'[1]Master clients'!F1301:W4848,17,0)</f>
        <v>#N/A</v>
      </c>
      <c r="C1303" s="15" t="e">
        <f>VLOOKUP(A1303,'[1]Master clients'!F1301:P4848,11,0)</f>
        <v>#N/A</v>
      </c>
      <c r="D1303" s="15" t="e">
        <f>VLOOKUP(A1303,'[1]Master clients'!F:M,8,0)</f>
        <v>#N/A</v>
      </c>
      <c r="E1303" s="12"/>
      <c r="F1303" s="6"/>
      <c r="G1303" s="6"/>
      <c r="H1303" s="6"/>
      <c r="I1303" s="43"/>
      <c r="J1303" s="43"/>
      <c r="K1303" s="6"/>
      <c r="L1303" s="6"/>
      <c r="M1303" s="6"/>
      <c r="N1303" s="6"/>
      <c r="O1303" s="6"/>
      <c r="P1303" s="6"/>
      <c r="Q1303" s="6"/>
      <c r="R1303" s="6"/>
      <c r="S1303" s="6"/>
      <c r="T1303" s="6"/>
      <c r="U1303" s="6"/>
      <c r="V1303" s="6"/>
      <c r="W1303" s="6"/>
      <c r="X1303" s="6"/>
      <c r="Y1303" s="6"/>
      <c r="Z1303" s="6"/>
      <c r="AA1303" s="6"/>
      <c r="AB1303" s="6"/>
      <c r="AC1303" s="6"/>
      <c r="AD1303" s="6"/>
      <c r="AE1303" s="6"/>
      <c r="AF1303" s="6"/>
      <c r="AG1303" s="6"/>
      <c r="AH1303" s="6"/>
      <c r="AI1303" s="6"/>
      <c r="AJ1303" s="6"/>
      <c r="AK1303" s="6"/>
      <c r="AL1303" s="6"/>
      <c r="AM1303" s="6"/>
      <c r="AN1303" s="6"/>
      <c r="AO1303" s="6"/>
      <c r="AP1303" s="6"/>
      <c r="AQ1303" s="6"/>
      <c r="AR1303" s="6"/>
      <c r="AS1303" s="6"/>
      <c r="AT1303" s="6"/>
      <c r="AU1303" s="6"/>
      <c r="AV1303" s="6"/>
      <c r="AW1303" s="6"/>
      <c r="AX1303" s="6"/>
      <c r="AY1303" s="6"/>
      <c r="AZ1303" s="6"/>
      <c r="BA1303" s="6"/>
      <c r="BB1303" s="6"/>
      <c r="BC1303" s="6"/>
      <c r="BD1303" s="6"/>
      <c r="BE1303" s="6"/>
      <c r="BF1303" s="6"/>
      <c r="BG1303" s="6"/>
      <c r="BH1303" s="6"/>
      <c r="BI1303" s="6"/>
      <c r="BJ1303" s="6"/>
      <c r="BK1303" s="6"/>
      <c r="BL1303" s="44"/>
      <c r="BM1303" s="44"/>
      <c r="BN1303" s="45"/>
      <c r="BO1303" s="45"/>
      <c r="BP1303" s="7"/>
      <c r="BQ1303" s="7" t="e">
        <f>VLOOKUP(A1303,[1]Sheet15!B:E,3,0)</f>
        <v>#N/A</v>
      </c>
    </row>
    <row r="1304" spans="1:69" ht="15.75" customHeight="1" x14ac:dyDescent="0.25">
      <c r="A1304" s="12"/>
      <c r="B1304" s="15" t="e">
        <f>VLOOKUP(A1304,'[1]Master clients'!F1302:W4849,17,0)</f>
        <v>#N/A</v>
      </c>
      <c r="C1304" s="15" t="e">
        <f>VLOOKUP(A1304,'[1]Master clients'!F1302:P4849,11,0)</f>
        <v>#N/A</v>
      </c>
      <c r="D1304" s="15" t="e">
        <f>VLOOKUP(A1304,'[1]Master clients'!F:M,8,0)</f>
        <v>#N/A</v>
      </c>
      <c r="E1304" s="12"/>
      <c r="F1304" s="6"/>
      <c r="G1304" s="6"/>
      <c r="H1304" s="6"/>
      <c r="I1304" s="43"/>
      <c r="J1304" s="43"/>
      <c r="K1304" s="6"/>
      <c r="L1304" s="6"/>
      <c r="M1304" s="6"/>
      <c r="N1304" s="6"/>
      <c r="O1304" s="6"/>
      <c r="P1304" s="6"/>
      <c r="Q1304" s="6"/>
      <c r="R1304" s="6"/>
      <c r="S1304" s="6"/>
      <c r="T1304" s="6"/>
      <c r="U1304" s="6"/>
      <c r="V1304" s="6"/>
      <c r="W1304" s="6"/>
      <c r="X1304" s="6"/>
      <c r="Y1304" s="6"/>
      <c r="Z1304" s="6"/>
      <c r="AA1304" s="6"/>
      <c r="AB1304" s="6"/>
      <c r="AC1304" s="6"/>
      <c r="AD1304" s="6"/>
      <c r="AE1304" s="6"/>
      <c r="AF1304" s="6"/>
      <c r="AG1304" s="6"/>
      <c r="AH1304" s="6"/>
      <c r="AI1304" s="6"/>
      <c r="AJ1304" s="6"/>
      <c r="AK1304" s="6"/>
      <c r="AL1304" s="6"/>
      <c r="AM1304" s="6"/>
      <c r="AN1304" s="6"/>
      <c r="AO1304" s="6"/>
      <c r="AP1304" s="6"/>
      <c r="AQ1304" s="6"/>
      <c r="AR1304" s="6"/>
      <c r="AS1304" s="6"/>
      <c r="AT1304" s="6"/>
      <c r="AU1304" s="6"/>
      <c r="AV1304" s="6"/>
      <c r="AW1304" s="6"/>
      <c r="AX1304" s="6"/>
      <c r="AY1304" s="6"/>
      <c r="AZ1304" s="6"/>
      <c r="BA1304" s="6"/>
      <c r="BB1304" s="6"/>
      <c r="BC1304" s="6"/>
      <c r="BD1304" s="6"/>
      <c r="BE1304" s="6"/>
      <c r="BF1304" s="6"/>
      <c r="BG1304" s="6"/>
      <c r="BH1304" s="6"/>
      <c r="BI1304" s="6"/>
      <c r="BJ1304" s="6"/>
      <c r="BK1304" s="6"/>
      <c r="BL1304" s="44"/>
      <c r="BM1304" s="44"/>
      <c r="BN1304" s="45"/>
      <c r="BO1304" s="45"/>
      <c r="BP1304" s="7"/>
      <c r="BQ1304" s="7" t="e">
        <f>VLOOKUP(A1304,[1]Sheet15!B:E,3,0)</f>
        <v>#N/A</v>
      </c>
    </row>
    <row r="1305" spans="1:69" ht="15.75" customHeight="1" x14ac:dyDescent="0.25">
      <c r="A1305" s="12"/>
      <c r="B1305" s="15" t="e">
        <f>VLOOKUP(A1305,'[1]Master clients'!F1303:W4850,17,0)</f>
        <v>#N/A</v>
      </c>
      <c r="C1305" s="15" t="e">
        <f>VLOOKUP(A1305,'[1]Master clients'!F1303:P4850,11,0)</f>
        <v>#N/A</v>
      </c>
      <c r="D1305" s="15" t="e">
        <f>VLOOKUP(A1305,'[1]Master clients'!F:M,8,0)</f>
        <v>#N/A</v>
      </c>
      <c r="E1305" s="12"/>
      <c r="F1305" s="6"/>
      <c r="G1305" s="6"/>
      <c r="H1305" s="6"/>
      <c r="I1305" s="43"/>
      <c r="J1305" s="43"/>
      <c r="K1305" s="6"/>
      <c r="L1305" s="6"/>
      <c r="M1305" s="6"/>
      <c r="N1305" s="6"/>
      <c r="O1305" s="6"/>
      <c r="P1305" s="6"/>
      <c r="Q1305" s="6"/>
      <c r="R1305" s="6"/>
      <c r="S1305" s="6"/>
      <c r="T1305" s="6"/>
      <c r="U1305" s="6"/>
      <c r="V1305" s="6"/>
      <c r="W1305" s="6"/>
      <c r="X1305" s="6"/>
      <c r="Y1305" s="6"/>
      <c r="Z1305" s="6"/>
      <c r="AA1305" s="6"/>
      <c r="AB1305" s="6"/>
      <c r="AC1305" s="6"/>
      <c r="AD1305" s="6"/>
      <c r="AE1305" s="6"/>
      <c r="AF1305" s="6"/>
      <c r="AG1305" s="6"/>
      <c r="AH1305" s="6"/>
      <c r="AI1305" s="6"/>
      <c r="AJ1305" s="6"/>
      <c r="AK1305" s="6"/>
      <c r="AL1305" s="6"/>
      <c r="AM1305" s="6"/>
      <c r="AN1305" s="6"/>
      <c r="AO1305" s="6"/>
      <c r="AP1305" s="6"/>
      <c r="AQ1305" s="6"/>
      <c r="AR1305" s="6"/>
      <c r="AS1305" s="6"/>
      <c r="AT1305" s="6"/>
      <c r="AU1305" s="6"/>
      <c r="AV1305" s="6"/>
      <c r="AW1305" s="6"/>
      <c r="AX1305" s="6"/>
      <c r="AY1305" s="6"/>
      <c r="AZ1305" s="6"/>
      <c r="BA1305" s="6"/>
      <c r="BB1305" s="6"/>
      <c r="BC1305" s="6"/>
      <c r="BD1305" s="6"/>
      <c r="BE1305" s="6"/>
      <c r="BF1305" s="6"/>
      <c r="BG1305" s="6"/>
      <c r="BH1305" s="6"/>
      <c r="BI1305" s="6"/>
      <c r="BJ1305" s="6"/>
      <c r="BK1305" s="6"/>
      <c r="BL1305" s="44"/>
      <c r="BM1305" s="44"/>
      <c r="BN1305" s="45"/>
      <c r="BO1305" s="45"/>
      <c r="BP1305" s="7"/>
      <c r="BQ1305" s="7" t="e">
        <f>VLOOKUP(A1305,[1]Sheet15!B:E,3,0)</f>
        <v>#N/A</v>
      </c>
    </row>
    <row r="1306" spans="1:69" ht="15.75" customHeight="1" x14ac:dyDescent="0.25">
      <c r="A1306" s="12"/>
      <c r="B1306" s="15" t="e">
        <f>VLOOKUP(A1306,'[1]Master clients'!F1304:W4851,17,0)</f>
        <v>#N/A</v>
      </c>
      <c r="C1306" s="15" t="e">
        <f>VLOOKUP(A1306,'[1]Master clients'!F1304:P4851,11,0)</f>
        <v>#N/A</v>
      </c>
      <c r="D1306" s="15" t="e">
        <f>VLOOKUP(A1306,'[1]Master clients'!F:M,8,0)</f>
        <v>#N/A</v>
      </c>
      <c r="E1306" s="12"/>
      <c r="F1306" s="6"/>
      <c r="G1306" s="6"/>
      <c r="H1306" s="6"/>
      <c r="I1306" s="43"/>
      <c r="J1306" s="43"/>
      <c r="K1306" s="6"/>
      <c r="L1306" s="6"/>
      <c r="M1306" s="6"/>
      <c r="N1306" s="6"/>
      <c r="O1306" s="6"/>
      <c r="P1306" s="6"/>
      <c r="Q1306" s="6"/>
      <c r="R1306" s="6"/>
      <c r="S1306" s="6"/>
      <c r="T1306" s="6"/>
      <c r="U1306" s="6"/>
      <c r="V1306" s="6"/>
      <c r="W1306" s="6"/>
      <c r="X1306" s="6"/>
      <c r="Y1306" s="6"/>
      <c r="Z1306" s="6"/>
      <c r="AA1306" s="6"/>
      <c r="AB1306" s="6"/>
      <c r="AC1306" s="6"/>
      <c r="AD1306" s="6"/>
      <c r="AE1306" s="6"/>
      <c r="AF1306" s="6"/>
      <c r="AG1306" s="6"/>
      <c r="AH1306" s="6"/>
      <c r="AI1306" s="6"/>
      <c r="AJ1306" s="6"/>
      <c r="AK1306" s="6"/>
      <c r="AL1306" s="6"/>
      <c r="AM1306" s="6"/>
      <c r="AN1306" s="6"/>
      <c r="AO1306" s="6"/>
      <c r="AP1306" s="6"/>
      <c r="AQ1306" s="6"/>
      <c r="AR1306" s="6"/>
      <c r="AS1306" s="6"/>
      <c r="AT1306" s="6"/>
      <c r="AU1306" s="6"/>
      <c r="AV1306" s="6"/>
      <c r="AW1306" s="6"/>
      <c r="AX1306" s="6"/>
      <c r="AY1306" s="6"/>
      <c r="AZ1306" s="6"/>
      <c r="BA1306" s="6"/>
      <c r="BB1306" s="6"/>
      <c r="BC1306" s="6"/>
      <c r="BD1306" s="6"/>
      <c r="BE1306" s="6"/>
      <c r="BF1306" s="6"/>
      <c r="BG1306" s="6"/>
      <c r="BH1306" s="6"/>
      <c r="BI1306" s="6"/>
      <c r="BJ1306" s="6"/>
      <c r="BK1306" s="6"/>
      <c r="BL1306" s="44"/>
      <c r="BM1306" s="44"/>
      <c r="BN1306" s="45"/>
      <c r="BO1306" s="45"/>
      <c r="BP1306" s="7"/>
      <c r="BQ1306" s="7" t="e">
        <f>VLOOKUP(A1306,[1]Sheet15!B:E,3,0)</f>
        <v>#N/A</v>
      </c>
    </row>
    <row r="1307" spans="1:69" ht="15.75" customHeight="1" x14ac:dyDescent="0.25">
      <c r="A1307" s="12"/>
      <c r="B1307" s="15" t="e">
        <f>VLOOKUP(A1307,'[1]Master clients'!F1305:W4852,17,0)</f>
        <v>#N/A</v>
      </c>
      <c r="C1307" s="15" t="e">
        <f>VLOOKUP(A1307,'[1]Master clients'!F1305:P4852,11,0)</f>
        <v>#N/A</v>
      </c>
      <c r="D1307" s="15" t="e">
        <f>VLOOKUP(A1307,'[1]Master clients'!F:M,8,0)</f>
        <v>#N/A</v>
      </c>
      <c r="E1307" s="12"/>
      <c r="F1307" s="6"/>
      <c r="G1307" s="6"/>
      <c r="H1307" s="6"/>
      <c r="I1307" s="43"/>
      <c r="J1307" s="43"/>
      <c r="K1307" s="6"/>
      <c r="L1307" s="6"/>
      <c r="M1307" s="6"/>
      <c r="N1307" s="6"/>
      <c r="O1307" s="6"/>
      <c r="P1307" s="6"/>
      <c r="Q1307" s="6"/>
      <c r="R1307" s="6"/>
      <c r="S1307" s="6"/>
      <c r="T1307" s="6"/>
      <c r="U1307" s="6"/>
      <c r="V1307" s="6"/>
      <c r="W1307" s="6"/>
      <c r="X1307" s="6"/>
      <c r="Y1307" s="6"/>
      <c r="Z1307" s="6"/>
      <c r="AA1307" s="6"/>
      <c r="AB1307" s="6"/>
      <c r="AC1307" s="6"/>
      <c r="AD1307" s="6"/>
      <c r="AE1307" s="6"/>
      <c r="AF1307" s="6"/>
      <c r="AG1307" s="6"/>
      <c r="AH1307" s="6"/>
      <c r="AI1307" s="6"/>
      <c r="AJ1307" s="6"/>
      <c r="AK1307" s="6"/>
      <c r="AL1307" s="6"/>
      <c r="AM1307" s="6"/>
      <c r="AN1307" s="6"/>
      <c r="AO1307" s="6"/>
      <c r="AP1307" s="6"/>
      <c r="AQ1307" s="6"/>
      <c r="AR1307" s="6"/>
      <c r="AS1307" s="6"/>
      <c r="AT1307" s="6"/>
      <c r="AU1307" s="6"/>
      <c r="AV1307" s="6"/>
      <c r="AW1307" s="6"/>
      <c r="AX1307" s="6"/>
      <c r="AY1307" s="6"/>
      <c r="AZ1307" s="6"/>
      <c r="BA1307" s="6"/>
      <c r="BB1307" s="6"/>
      <c r="BC1307" s="6"/>
      <c r="BD1307" s="6"/>
      <c r="BE1307" s="6"/>
      <c r="BF1307" s="6"/>
      <c r="BG1307" s="6"/>
      <c r="BH1307" s="6"/>
      <c r="BI1307" s="6"/>
      <c r="BJ1307" s="6"/>
      <c r="BK1307" s="6"/>
      <c r="BL1307" s="44"/>
      <c r="BM1307" s="44"/>
      <c r="BN1307" s="45"/>
      <c r="BO1307" s="45"/>
      <c r="BP1307" s="7"/>
      <c r="BQ1307" s="7" t="e">
        <f>VLOOKUP(A1307,[1]Sheet15!B:E,3,0)</f>
        <v>#N/A</v>
      </c>
    </row>
    <row r="1308" spans="1:69" ht="15.75" customHeight="1" x14ac:dyDescent="0.25">
      <c r="A1308" s="12"/>
      <c r="B1308" s="15" t="e">
        <f>VLOOKUP(A1308,'[1]Master clients'!F1306:W4853,17,0)</f>
        <v>#N/A</v>
      </c>
      <c r="C1308" s="15" t="e">
        <f>VLOOKUP(A1308,'[1]Master clients'!F1306:P4853,11,0)</f>
        <v>#N/A</v>
      </c>
      <c r="D1308" s="15" t="e">
        <f>VLOOKUP(A1308,'[1]Master clients'!F:M,8,0)</f>
        <v>#N/A</v>
      </c>
      <c r="E1308" s="12"/>
      <c r="F1308" s="6"/>
      <c r="G1308" s="6"/>
      <c r="H1308" s="6"/>
      <c r="I1308" s="43"/>
      <c r="J1308" s="43"/>
      <c r="K1308" s="6"/>
      <c r="L1308" s="6"/>
      <c r="M1308" s="6"/>
      <c r="N1308" s="6"/>
      <c r="O1308" s="6"/>
      <c r="P1308" s="6"/>
      <c r="Q1308" s="6"/>
      <c r="R1308" s="6"/>
      <c r="S1308" s="6"/>
      <c r="T1308" s="6"/>
      <c r="U1308" s="6"/>
      <c r="V1308" s="6"/>
      <c r="W1308" s="6"/>
      <c r="X1308" s="6"/>
      <c r="Y1308" s="6"/>
      <c r="Z1308" s="6"/>
      <c r="AA1308" s="6"/>
      <c r="AB1308" s="6"/>
      <c r="AC1308" s="6"/>
      <c r="AD1308" s="6"/>
      <c r="AE1308" s="6"/>
      <c r="AF1308" s="6"/>
      <c r="AG1308" s="6"/>
      <c r="AH1308" s="6"/>
      <c r="AI1308" s="6"/>
      <c r="AJ1308" s="6"/>
      <c r="AK1308" s="6"/>
      <c r="AL1308" s="6"/>
      <c r="AM1308" s="6"/>
      <c r="AN1308" s="6"/>
      <c r="AO1308" s="6"/>
      <c r="AP1308" s="6"/>
      <c r="AQ1308" s="6"/>
      <c r="AR1308" s="6"/>
      <c r="AS1308" s="6"/>
      <c r="AT1308" s="6"/>
      <c r="AU1308" s="6"/>
      <c r="AV1308" s="6"/>
      <c r="AW1308" s="6"/>
      <c r="AX1308" s="6"/>
      <c r="AY1308" s="6"/>
      <c r="AZ1308" s="6"/>
      <c r="BA1308" s="6"/>
      <c r="BB1308" s="6"/>
      <c r="BC1308" s="6"/>
      <c r="BD1308" s="6"/>
      <c r="BE1308" s="6"/>
      <c r="BF1308" s="6"/>
      <c r="BG1308" s="6"/>
      <c r="BH1308" s="6"/>
      <c r="BI1308" s="6"/>
      <c r="BJ1308" s="6"/>
      <c r="BK1308" s="6"/>
      <c r="BL1308" s="44"/>
      <c r="BM1308" s="44"/>
      <c r="BN1308" s="45"/>
      <c r="BO1308" s="45"/>
      <c r="BP1308" s="7"/>
      <c r="BQ1308" s="7" t="e">
        <f>VLOOKUP(A1308,[1]Sheet15!B:E,3,0)</f>
        <v>#N/A</v>
      </c>
    </row>
    <row r="1309" spans="1:69" ht="15.75" customHeight="1" x14ac:dyDescent="0.25">
      <c r="A1309" s="12"/>
      <c r="B1309" s="15" t="e">
        <f>VLOOKUP(A1309,'[1]Master clients'!F1307:W4854,17,0)</f>
        <v>#N/A</v>
      </c>
      <c r="C1309" s="15" t="e">
        <f>VLOOKUP(A1309,'[1]Master clients'!F1307:P4854,11,0)</f>
        <v>#N/A</v>
      </c>
      <c r="D1309" s="15" t="e">
        <f>VLOOKUP(A1309,'[1]Master clients'!F:M,8,0)</f>
        <v>#N/A</v>
      </c>
      <c r="E1309" s="12"/>
      <c r="F1309" s="6"/>
      <c r="G1309" s="6"/>
      <c r="H1309" s="6"/>
      <c r="I1309" s="43"/>
      <c r="J1309" s="43"/>
      <c r="K1309" s="6"/>
      <c r="L1309" s="6"/>
      <c r="M1309" s="6"/>
      <c r="N1309" s="6"/>
      <c r="O1309" s="6"/>
      <c r="P1309" s="6"/>
      <c r="Q1309" s="6"/>
      <c r="R1309" s="6"/>
      <c r="S1309" s="6"/>
      <c r="T1309" s="6"/>
      <c r="U1309" s="6"/>
      <c r="V1309" s="6"/>
      <c r="W1309" s="6"/>
      <c r="X1309" s="6"/>
      <c r="Y1309" s="6"/>
      <c r="Z1309" s="6"/>
      <c r="AA1309" s="6"/>
      <c r="AB1309" s="6"/>
      <c r="AC1309" s="6"/>
      <c r="AD1309" s="6"/>
      <c r="AE1309" s="6"/>
      <c r="AF1309" s="6"/>
      <c r="AG1309" s="6"/>
      <c r="AH1309" s="6"/>
      <c r="AI1309" s="6"/>
      <c r="AJ1309" s="6"/>
      <c r="AK1309" s="6"/>
      <c r="AL1309" s="6"/>
      <c r="AM1309" s="6"/>
      <c r="AN1309" s="6"/>
      <c r="AO1309" s="6"/>
      <c r="AP1309" s="6"/>
      <c r="AQ1309" s="6"/>
      <c r="AR1309" s="6"/>
      <c r="AS1309" s="6"/>
      <c r="AT1309" s="6"/>
      <c r="AU1309" s="6"/>
      <c r="AV1309" s="6"/>
      <c r="AW1309" s="6"/>
      <c r="AX1309" s="6"/>
      <c r="AY1309" s="6"/>
      <c r="AZ1309" s="6"/>
      <c r="BA1309" s="6"/>
      <c r="BB1309" s="6"/>
      <c r="BC1309" s="6"/>
      <c r="BD1309" s="6"/>
      <c r="BE1309" s="6"/>
      <c r="BF1309" s="6"/>
      <c r="BG1309" s="6"/>
      <c r="BH1309" s="6"/>
      <c r="BI1309" s="6"/>
      <c r="BJ1309" s="6"/>
      <c r="BK1309" s="6"/>
      <c r="BL1309" s="44"/>
      <c r="BM1309" s="44"/>
      <c r="BN1309" s="45"/>
      <c r="BO1309" s="45"/>
      <c r="BP1309" s="7"/>
      <c r="BQ1309" s="7" t="e">
        <f>VLOOKUP(A1309,[1]Sheet15!B:E,3,0)</f>
        <v>#N/A</v>
      </c>
    </row>
    <row r="1310" spans="1:69" ht="15.75" customHeight="1" x14ac:dyDescent="0.25">
      <c r="A1310" s="12"/>
      <c r="B1310" s="15" t="e">
        <f>VLOOKUP(A1310,'[1]Master clients'!F1308:W4855,17,0)</f>
        <v>#N/A</v>
      </c>
      <c r="C1310" s="15" t="e">
        <f>VLOOKUP(A1310,'[1]Master clients'!F1308:P4855,11,0)</f>
        <v>#N/A</v>
      </c>
      <c r="D1310" s="15" t="e">
        <f>VLOOKUP(A1310,'[1]Master clients'!F:M,8,0)</f>
        <v>#N/A</v>
      </c>
      <c r="E1310" s="12"/>
      <c r="F1310" s="6"/>
      <c r="G1310" s="6"/>
      <c r="H1310" s="6"/>
      <c r="I1310" s="43"/>
      <c r="J1310" s="43"/>
      <c r="K1310" s="6"/>
      <c r="L1310" s="6"/>
      <c r="M1310" s="6"/>
      <c r="N1310" s="6"/>
      <c r="O1310" s="6"/>
      <c r="P1310" s="6"/>
      <c r="Q1310" s="6"/>
      <c r="R1310" s="6"/>
      <c r="S1310" s="6"/>
      <c r="T1310" s="6"/>
      <c r="U1310" s="6"/>
      <c r="V1310" s="6"/>
      <c r="W1310" s="6"/>
      <c r="X1310" s="6"/>
      <c r="Y1310" s="6"/>
      <c r="Z1310" s="6"/>
      <c r="AA1310" s="6"/>
      <c r="AB1310" s="6"/>
      <c r="AC1310" s="6"/>
      <c r="AD1310" s="6"/>
      <c r="AE1310" s="6"/>
      <c r="AF1310" s="6"/>
      <c r="AG1310" s="6"/>
      <c r="AH1310" s="6"/>
      <c r="AI1310" s="6"/>
      <c r="AJ1310" s="6"/>
      <c r="AK1310" s="6"/>
      <c r="AL1310" s="6"/>
      <c r="AM1310" s="6"/>
      <c r="AN1310" s="6"/>
      <c r="AO1310" s="6"/>
      <c r="AP1310" s="6"/>
      <c r="AQ1310" s="6"/>
      <c r="AR1310" s="6"/>
      <c r="AS1310" s="6"/>
      <c r="AT1310" s="6"/>
      <c r="AU1310" s="6"/>
      <c r="AV1310" s="6"/>
      <c r="AW1310" s="6"/>
      <c r="AX1310" s="6"/>
      <c r="AY1310" s="6"/>
      <c r="AZ1310" s="6"/>
      <c r="BA1310" s="6"/>
      <c r="BB1310" s="6"/>
      <c r="BC1310" s="6"/>
      <c r="BD1310" s="6"/>
      <c r="BE1310" s="6"/>
      <c r="BF1310" s="6"/>
      <c r="BG1310" s="6"/>
      <c r="BH1310" s="6"/>
      <c r="BI1310" s="6"/>
      <c r="BJ1310" s="6"/>
      <c r="BK1310" s="6"/>
      <c r="BL1310" s="44"/>
      <c r="BM1310" s="44"/>
      <c r="BN1310" s="45"/>
      <c r="BO1310" s="45"/>
      <c r="BP1310" s="7"/>
      <c r="BQ1310" s="7" t="e">
        <f>VLOOKUP(A1310,[1]Sheet15!B:E,3,0)</f>
        <v>#N/A</v>
      </c>
    </row>
    <row r="1311" spans="1:69" ht="15.75" customHeight="1" x14ac:dyDescent="0.25">
      <c r="A1311" s="12"/>
      <c r="B1311" s="15" t="e">
        <f>VLOOKUP(A1311,'[1]Master clients'!F1309:W4856,17,0)</f>
        <v>#N/A</v>
      </c>
      <c r="C1311" s="15" t="e">
        <f>VLOOKUP(A1311,'[1]Master clients'!F1309:P4856,11,0)</f>
        <v>#N/A</v>
      </c>
      <c r="D1311" s="15" t="e">
        <f>VLOOKUP(A1311,'[1]Master clients'!F:M,8,0)</f>
        <v>#N/A</v>
      </c>
      <c r="E1311" s="12"/>
      <c r="F1311" s="6"/>
      <c r="G1311" s="6"/>
      <c r="H1311" s="6"/>
      <c r="I1311" s="43"/>
      <c r="J1311" s="43"/>
      <c r="K1311" s="6"/>
      <c r="L1311" s="6"/>
      <c r="M1311" s="6"/>
      <c r="N1311" s="6"/>
      <c r="O1311" s="6"/>
      <c r="P1311" s="6"/>
      <c r="Q1311" s="6"/>
      <c r="R1311" s="6"/>
      <c r="S1311" s="6"/>
      <c r="T1311" s="6"/>
      <c r="U1311" s="6"/>
      <c r="V1311" s="6"/>
      <c r="W1311" s="6"/>
      <c r="X1311" s="6"/>
      <c r="Y1311" s="6"/>
      <c r="Z1311" s="6"/>
      <c r="AA1311" s="6"/>
      <c r="AB1311" s="6"/>
      <c r="AC1311" s="6"/>
      <c r="AD1311" s="6"/>
      <c r="AE1311" s="6"/>
      <c r="AF1311" s="6"/>
      <c r="AG1311" s="6"/>
      <c r="AH1311" s="6"/>
      <c r="AI1311" s="6"/>
      <c r="AJ1311" s="6"/>
      <c r="AK1311" s="6"/>
      <c r="AL1311" s="6"/>
      <c r="AM1311" s="6"/>
      <c r="AN1311" s="6"/>
      <c r="AO1311" s="6"/>
      <c r="AP1311" s="6"/>
      <c r="AQ1311" s="6"/>
      <c r="AR1311" s="6"/>
      <c r="AS1311" s="6"/>
      <c r="AT1311" s="6"/>
      <c r="AU1311" s="6"/>
      <c r="AV1311" s="6"/>
      <c r="AW1311" s="6"/>
      <c r="AX1311" s="6"/>
      <c r="AY1311" s="6"/>
      <c r="AZ1311" s="6"/>
      <c r="BA1311" s="6"/>
      <c r="BB1311" s="6"/>
      <c r="BC1311" s="6"/>
      <c r="BD1311" s="6"/>
      <c r="BE1311" s="6"/>
      <c r="BF1311" s="6"/>
      <c r="BG1311" s="6"/>
      <c r="BH1311" s="6"/>
      <c r="BI1311" s="6"/>
      <c r="BJ1311" s="6"/>
      <c r="BK1311" s="6"/>
      <c r="BL1311" s="44"/>
      <c r="BM1311" s="44"/>
      <c r="BN1311" s="45"/>
      <c r="BO1311" s="45"/>
      <c r="BP1311" s="7"/>
      <c r="BQ1311" s="7" t="e">
        <f>VLOOKUP(A1311,[1]Sheet15!B:E,3,0)</f>
        <v>#N/A</v>
      </c>
    </row>
    <row r="1312" spans="1:69" ht="15.75" customHeight="1" x14ac:dyDescent="0.25">
      <c r="A1312" s="12"/>
      <c r="B1312" s="15" t="e">
        <f>VLOOKUP(A1312,'[1]Master clients'!F1310:W4857,17,0)</f>
        <v>#N/A</v>
      </c>
      <c r="C1312" s="15" t="e">
        <f>VLOOKUP(A1312,'[1]Master clients'!F1310:P4857,11,0)</f>
        <v>#N/A</v>
      </c>
      <c r="D1312" s="15" t="e">
        <f>VLOOKUP(A1312,'[1]Master clients'!F:M,8,0)</f>
        <v>#N/A</v>
      </c>
      <c r="E1312" s="12"/>
      <c r="F1312" s="6"/>
      <c r="G1312" s="6"/>
      <c r="H1312" s="6"/>
      <c r="I1312" s="43"/>
      <c r="J1312" s="43"/>
      <c r="K1312" s="6"/>
      <c r="L1312" s="6"/>
      <c r="M1312" s="6"/>
      <c r="N1312" s="6"/>
      <c r="O1312" s="6"/>
      <c r="P1312" s="6"/>
      <c r="Q1312" s="6"/>
      <c r="R1312" s="6"/>
      <c r="S1312" s="6"/>
      <c r="T1312" s="6"/>
      <c r="U1312" s="6"/>
      <c r="V1312" s="6"/>
      <c r="W1312" s="6"/>
      <c r="X1312" s="6"/>
      <c r="Y1312" s="6"/>
      <c r="Z1312" s="6"/>
      <c r="AA1312" s="6"/>
      <c r="AB1312" s="6"/>
      <c r="AC1312" s="6"/>
      <c r="AD1312" s="6"/>
      <c r="AE1312" s="6"/>
      <c r="AF1312" s="6"/>
      <c r="AG1312" s="6"/>
      <c r="AH1312" s="6"/>
      <c r="AI1312" s="6"/>
      <c r="AJ1312" s="6"/>
      <c r="AK1312" s="6"/>
      <c r="AL1312" s="6"/>
      <c r="AM1312" s="6"/>
      <c r="AN1312" s="6"/>
      <c r="AO1312" s="6"/>
      <c r="AP1312" s="6"/>
      <c r="AQ1312" s="6"/>
      <c r="AR1312" s="6"/>
      <c r="AS1312" s="6"/>
      <c r="AT1312" s="6"/>
      <c r="AU1312" s="6"/>
      <c r="AV1312" s="6"/>
      <c r="AW1312" s="6"/>
      <c r="AX1312" s="6"/>
      <c r="AY1312" s="6"/>
      <c r="AZ1312" s="6"/>
      <c r="BA1312" s="6"/>
      <c r="BB1312" s="6"/>
      <c r="BC1312" s="6"/>
      <c r="BD1312" s="6"/>
      <c r="BE1312" s="6"/>
      <c r="BF1312" s="6"/>
      <c r="BG1312" s="6"/>
      <c r="BH1312" s="6"/>
      <c r="BI1312" s="6"/>
      <c r="BJ1312" s="6"/>
      <c r="BK1312" s="6"/>
      <c r="BL1312" s="44"/>
      <c r="BM1312" s="44"/>
      <c r="BN1312" s="45"/>
      <c r="BO1312" s="45"/>
      <c r="BP1312" s="7"/>
      <c r="BQ1312" s="7" t="e">
        <f>VLOOKUP(A1312,[1]Sheet15!B:E,3,0)</f>
        <v>#N/A</v>
      </c>
    </row>
    <row r="1313" spans="1:69" ht="15.75" customHeight="1" x14ac:dyDescent="0.25">
      <c r="A1313" s="12"/>
      <c r="B1313" s="15" t="e">
        <f>VLOOKUP(A1313,'[1]Master clients'!F1311:W4858,17,0)</f>
        <v>#N/A</v>
      </c>
      <c r="C1313" s="15" t="e">
        <f>VLOOKUP(A1313,'[1]Master clients'!F1311:P4858,11,0)</f>
        <v>#N/A</v>
      </c>
      <c r="D1313" s="15" t="e">
        <f>VLOOKUP(A1313,'[1]Master clients'!F:M,8,0)</f>
        <v>#N/A</v>
      </c>
      <c r="E1313" s="12"/>
      <c r="F1313" s="6"/>
      <c r="G1313" s="6"/>
      <c r="H1313" s="6"/>
      <c r="I1313" s="43"/>
      <c r="J1313" s="43"/>
      <c r="K1313" s="6"/>
      <c r="L1313" s="6"/>
      <c r="M1313" s="6"/>
      <c r="N1313" s="6"/>
      <c r="O1313" s="6"/>
      <c r="P1313" s="6"/>
      <c r="Q1313" s="6"/>
      <c r="R1313" s="6"/>
      <c r="S1313" s="6"/>
      <c r="T1313" s="6"/>
      <c r="U1313" s="6"/>
      <c r="V1313" s="6"/>
      <c r="W1313" s="6"/>
      <c r="X1313" s="6"/>
      <c r="Y1313" s="6"/>
      <c r="Z1313" s="6"/>
      <c r="AA1313" s="6"/>
      <c r="AB1313" s="6"/>
      <c r="AC1313" s="6"/>
      <c r="AD1313" s="6"/>
      <c r="AE1313" s="6"/>
      <c r="AF1313" s="6"/>
      <c r="AG1313" s="6"/>
      <c r="AH1313" s="6"/>
      <c r="AI1313" s="6"/>
      <c r="AJ1313" s="6"/>
      <c r="AK1313" s="6"/>
      <c r="AL1313" s="6"/>
      <c r="AM1313" s="6"/>
      <c r="AN1313" s="6"/>
      <c r="AO1313" s="6"/>
      <c r="AP1313" s="6"/>
      <c r="AQ1313" s="6"/>
      <c r="AR1313" s="6"/>
      <c r="AS1313" s="6"/>
      <c r="AT1313" s="6"/>
      <c r="AU1313" s="6"/>
      <c r="AV1313" s="6"/>
      <c r="AW1313" s="6"/>
      <c r="AX1313" s="6"/>
      <c r="AY1313" s="6"/>
      <c r="AZ1313" s="6"/>
      <c r="BA1313" s="6"/>
      <c r="BB1313" s="6"/>
      <c r="BC1313" s="6"/>
      <c r="BD1313" s="6"/>
      <c r="BE1313" s="6"/>
      <c r="BF1313" s="6"/>
      <c r="BG1313" s="6"/>
      <c r="BH1313" s="6"/>
      <c r="BI1313" s="6"/>
      <c r="BJ1313" s="6"/>
      <c r="BK1313" s="6"/>
      <c r="BL1313" s="44"/>
      <c r="BM1313" s="44"/>
      <c r="BN1313" s="45"/>
      <c r="BO1313" s="45"/>
      <c r="BP1313" s="7"/>
      <c r="BQ1313" s="7" t="e">
        <f>VLOOKUP(A1313,[1]Sheet15!B:E,3,0)</f>
        <v>#N/A</v>
      </c>
    </row>
    <row r="1314" spans="1:69" ht="15.75" customHeight="1" x14ac:dyDescent="0.25">
      <c r="A1314" s="12"/>
      <c r="B1314" s="15" t="e">
        <f>VLOOKUP(A1314,'[1]Master clients'!F1312:W4859,17,0)</f>
        <v>#N/A</v>
      </c>
      <c r="C1314" s="15" t="e">
        <f>VLOOKUP(A1314,'[1]Master clients'!F1312:P4859,11,0)</f>
        <v>#N/A</v>
      </c>
      <c r="D1314" s="15" t="e">
        <f>VLOOKUP(A1314,'[1]Master clients'!F:M,8,0)</f>
        <v>#N/A</v>
      </c>
      <c r="E1314" s="12"/>
      <c r="F1314" s="6"/>
      <c r="G1314" s="6"/>
      <c r="H1314" s="6"/>
      <c r="I1314" s="43"/>
      <c r="J1314" s="43"/>
      <c r="K1314" s="6"/>
      <c r="L1314" s="6"/>
      <c r="M1314" s="6"/>
      <c r="N1314" s="6"/>
      <c r="O1314" s="6"/>
      <c r="P1314" s="6"/>
      <c r="Q1314" s="6"/>
      <c r="R1314" s="6"/>
      <c r="S1314" s="6"/>
      <c r="T1314" s="6"/>
      <c r="U1314" s="6"/>
      <c r="V1314" s="6"/>
      <c r="W1314" s="6"/>
      <c r="X1314" s="6"/>
      <c r="Y1314" s="6"/>
      <c r="Z1314" s="6"/>
      <c r="AA1314" s="6"/>
      <c r="AB1314" s="6"/>
      <c r="AC1314" s="6"/>
      <c r="AD1314" s="6"/>
      <c r="AE1314" s="6"/>
      <c r="AF1314" s="6"/>
      <c r="AG1314" s="6"/>
      <c r="AH1314" s="6"/>
      <c r="AI1314" s="6"/>
      <c r="AJ1314" s="6"/>
      <c r="AK1314" s="6"/>
      <c r="AL1314" s="6"/>
      <c r="AM1314" s="6"/>
      <c r="AN1314" s="6"/>
      <c r="AO1314" s="6"/>
      <c r="AP1314" s="6"/>
      <c r="AQ1314" s="6"/>
      <c r="AR1314" s="6"/>
      <c r="AS1314" s="6"/>
      <c r="AT1314" s="6"/>
      <c r="AU1314" s="6"/>
      <c r="AV1314" s="6"/>
      <c r="AW1314" s="6"/>
      <c r="AX1314" s="6"/>
      <c r="AY1314" s="6"/>
      <c r="AZ1314" s="6"/>
      <c r="BA1314" s="6"/>
      <c r="BB1314" s="6"/>
      <c r="BC1314" s="6"/>
      <c r="BD1314" s="6"/>
      <c r="BE1314" s="6"/>
      <c r="BF1314" s="6"/>
      <c r="BG1314" s="6"/>
      <c r="BH1314" s="6"/>
      <c r="BI1314" s="6"/>
      <c r="BJ1314" s="6"/>
      <c r="BK1314" s="6"/>
      <c r="BL1314" s="44"/>
      <c r="BM1314" s="44"/>
      <c r="BN1314" s="45"/>
      <c r="BO1314" s="45"/>
      <c r="BP1314" s="7"/>
      <c r="BQ1314" s="7" t="e">
        <f>VLOOKUP(A1314,[1]Sheet15!B:E,3,0)</f>
        <v>#N/A</v>
      </c>
    </row>
    <row r="1315" spans="1:69" ht="15.75" customHeight="1" x14ac:dyDescent="0.25">
      <c r="A1315" s="12"/>
      <c r="B1315" s="15" t="e">
        <f>VLOOKUP(A1315,'[1]Master clients'!F1313:W4860,17,0)</f>
        <v>#N/A</v>
      </c>
      <c r="C1315" s="15" t="e">
        <f>VLOOKUP(A1315,'[1]Master clients'!F1313:P4860,11,0)</f>
        <v>#N/A</v>
      </c>
      <c r="D1315" s="15" t="e">
        <f>VLOOKUP(A1315,'[1]Master clients'!F:M,8,0)</f>
        <v>#N/A</v>
      </c>
      <c r="E1315" s="12"/>
      <c r="F1315" s="6"/>
      <c r="G1315" s="6"/>
      <c r="H1315" s="6"/>
      <c r="I1315" s="43"/>
      <c r="J1315" s="43"/>
      <c r="K1315" s="6"/>
      <c r="L1315" s="6"/>
      <c r="M1315" s="6"/>
      <c r="N1315" s="6"/>
      <c r="O1315" s="6"/>
      <c r="P1315" s="6"/>
      <c r="Q1315" s="6"/>
      <c r="R1315" s="6"/>
      <c r="S1315" s="6"/>
      <c r="T1315" s="6"/>
      <c r="U1315" s="6"/>
      <c r="V1315" s="6"/>
      <c r="W1315" s="6"/>
      <c r="X1315" s="6"/>
      <c r="Y1315" s="6"/>
      <c r="Z1315" s="6"/>
      <c r="AA1315" s="6"/>
      <c r="AB1315" s="6"/>
      <c r="AC1315" s="6"/>
      <c r="AD1315" s="6"/>
      <c r="AE1315" s="6"/>
      <c r="AF1315" s="6"/>
      <c r="AG1315" s="6"/>
      <c r="AH1315" s="6"/>
      <c r="AI1315" s="6"/>
      <c r="AJ1315" s="6"/>
      <c r="AK1315" s="6"/>
      <c r="AL1315" s="6"/>
      <c r="AM1315" s="6"/>
      <c r="AN1315" s="6"/>
      <c r="AO1315" s="6"/>
      <c r="AP1315" s="6"/>
      <c r="AQ1315" s="6"/>
      <c r="AR1315" s="6"/>
      <c r="AS1315" s="6"/>
      <c r="AT1315" s="6"/>
      <c r="AU1315" s="6"/>
      <c r="AV1315" s="6"/>
      <c r="AW1315" s="6"/>
      <c r="AX1315" s="6"/>
      <c r="AY1315" s="6"/>
      <c r="AZ1315" s="6"/>
      <c r="BA1315" s="6"/>
      <c r="BB1315" s="6"/>
      <c r="BC1315" s="6"/>
      <c r="BD1315" s="6"/>
      <c r="BE1315" s="6"/>
      <c r="BF1315" s="6"/>
      <c r="BG1315" s="6"/>
      <c r="BH1315" s="6"/>
      <c r="BI1315" s="6"/>
      <c r="BJ1315" s="6"/>
      <c r="BK1315" s="6"/>
      <c r="BL1315" s="44"/>
      <c r="BM1315" s="44"/>
      <c r="BN1315" s="45"/>
      <c r="BO1315" s="45"/>
      <c r="BP1315" s="7"/>
      <c r="BQ1315" s="7" t="e">
        <f>VLOOKUP(A1315,[1]Sheet15!B:E,3,0)</f>
        <v>#N/A</v>
      </c>
    </row>
    <row r="1316" spans="1:69" ht="15.75" customHeight="1" x14ac:dyDescent="0.25">
      <c r="A1316" s="12"/>
      <c r="B1316" s="15" t="e">
        <f>VLOOKUP(A1316,'[1]Master clients'!F1314:W4861,17,0)</f>
        <v>#N/A</v>
      </c>
      <c r="C1316" s="15" t="e">
        <f>VLOOKUP(A1316,'[1]Master clients'!F1314:P4861,11,0)</f>
        <v>#N/A</v>
      </c>
      <c r="D1316" s="15" t="e">
        <f>VLOOKUP(A1316,'[1]Master clients'!F:M,8,0)</f>
        <v>#N/A</v>
      </c>
      <c r="E1316" s="12"/>
      <c r="F1316" s="6"/>
      <c r="G1316" s="6"/>
      <c r="H1316" s="6"/>
      <c r="I1316" s="43"/>
      <c r="J1316" s="43"/>
      <c r="K1316" s="6"/>
      <c r="L1316" s="6"/>
      <c r="M1316" s="6"/>
      <c r="N1316" s="6"/>
      <c r="O1316" s="6"/>
      <c r="P1316" s="6"/>
      <c r="Q1316" s="6"/>
      <c r="R1316" s="6"/>
      <c r="S1316" s="6"/>
      <c r="T1316" s="6"/>
      <c r="U1316" s="6"/>
      <c r="V1316" s="6"/>
      <c r="W1316" s="6"/>
      <c r="X1316" s="6"/>
      <c r="Y1316" s="6"/>
      <c r="Z1316" s="6"/>
      <c r="AA1316" s="6"/>
      <c r="AB1316" s="6"/>
      <c r="AC1316" s="6"/>
      <c r="AD1316" s="6"/>
      <c r="AE1316" s="6"/>
      <c r="AF1316" s="6"/>
      <c r="AG1316" s="6"/>
      <c r="AH1316" s="6"/>
      <c r="AI1316" s="6"/>
      <c r="AJ1316" s="6"/>
      <c r="AK1316" s="6"/>
      <c r="AL1316" s="6"/>
      <c r="AM1316" s="6"/>
      <c r="AN1316" s="6"/>
      <c r="AO1316" s="6"/>
      <c r="AP1316" s="6"/>
      <c r="AQ1316" s="6"/>
      <c r="AR1316" s="6"/>
      <c r="AS1316" s="6"/>
      <c r="AT1316" s="6"/>
      <c r="AU1316" s="6"/>
      <c r="AV1316" s="6"/>
      <c r="AW1316" s="6"/>
      <c r="AX1316" s="6"/>
      <c r="AY1316" s="6"/>
      <c r="AZ1316" s="6"/>
      <c r="BA1316" s="6"/>
      <c r="BB1316" s="6"/>
      <c r="BC1316" s="6"/>
      <c r="BD1316" s="6"/>
      <c r="BE1316" s="6"/>
      <c r="BF1316" s="6"/>
      <c r="BG1316" s="6"/>
      <c r="BH1316" s="6"/>
      <c r="BI1316" s="6"/>
      <c r="BJ1316" s="6"/>
      <c r="BK1316" s="6"/>
      <c r="BL1316" s="44"/>
      <c r="BM1316" s="44"/>
      <c r="BN1316" s="45"/>
      <c r="BO1316" s="45"/>
      <c r="BP1316" s="7"/>
      <c r="BQ1316" s="7" t="e">
        <f>VLOOKUP(A1316,[1]Sheet15!B:E,3,0)</f>
        <v>#N/A</v>
      </c>
    </row>
    <row r="1317" spans="1:69" ht="15.75" customHeight="1" x14ac:dyDescent="0.25">
      <c r="A1317" s="12"/>
      <c r="B1317" s="15" t="e">
        <f>VLOOKUP(A1317,'[1]Master clients'!F1315:W4862,17,0)</f>
        <v>#N/A</v>
      </c>
      <c r="C1317" s="15" t="e">
        <f>VLOOKUP(A1317,'[1]Master clients'!F1315:P4862,11,0)</f>
        <v>#N/A</v>
      </c>
      <c r="D1317" s="15" t="e">
        <f>VLOOKUP(A1317,'[1]Master clients'!F:M,8,0)</f>
        <v>#N/A</v>
      </c>
      <c r="E1317" s="12"/>
      <c r="F1317" s="6"/>
      <c r="G1317" s="6"/>
      <c r="H1317" s="6"/>
      <c r="I1317" s="43"/>
      <c r="J1317" s="43"/>
      <c r="K1317" s="6"/>
      <c r="L1317" s="6"/>
      <c r="M1317" s="6"/>
      <c r="N1317" s="6"/>
      <c r="O1317" s="6"/>
      <c r="P1317" s="6"/>
      <c r="Q1317" s="6"/>
      <c r="R1317" s="6"/>
      <c r="S1317" s="6"/>
      <c r="T1317" s="6"/>
      <c r="U1317" s="6"/>
      <c r="V1317" s="6"/>
      <c r="W1317" s="6"/>
      <c r="X1317" s="6"/>
      <c r="Y1317" s="6"/>
      <c r="Z1317" s="6"/>
      <c r="AA1317" s="6"/>
      <c r="AB1317" s="6"/>
      <c r="AC1317" s="6"/>
      <c r="AD1317" s="6"/>
      <c r="AE1317" s="6"/>
      <c r="AF1317" s="6"/>
      <c r="AG1317" s="6"/>
      <c r="AH1317" s="6"/>
      <c r="AI1317" s="6"/>
      <c r="AJ1317" s="6"/>
      <c r="AK1317" s="6"/>
      <c r="AL1317" s="6"/>
      <c r="AM1317" s="6"/>
      <c r="AN1317" s="6"/>
      <c r="AO1317" s="6"/>
      <c r="AP1317" s="6"/>
      <c r="AQ1317" s="6"/>
      <c r="AR1317" s="6"/>
      <c r="AS1317" s="6"/>
      <c r="AT1317" s="6"/>
      <c r="AU1317" s="6"/>
      <c r="AV1317" s="6"/>
      <c r="AW1317" s="6"/>
      <c r="AX1317" s="6"/>
      <c r="AY1317" s="6"/>
      <c r="AZ1317" s="6"/>
      <c r="BA1317" s="6"/>
      <c r="BB1317" s="6"/>
      <c r="BC1317" s="6"/>
      <c r="BD1317" s="6"/>
      <c r="BE1317" s="6"/>
      <c r="BF1317" s="6"/>
      <c r="BG1317" s="6"/>
      <c r="BH1317" s="6"/>
      <c r="BI1317" s="6"/>
      <c r="BJ1317" s="6"/>
      <c r="BK1317" s="6"/>
      <c r="BL1317" s="44"/>
      <c r="BM1317" s="44"/>
      <c r="BN1317" s="45"/>
      <c r="BO1317" s="45"/>
      <c r="BP1317" s="7"/>
      <c r="BQ1317" s="7" t="e">
        <f>VLOOKUP(A1317,[1]Sheet15!B:E,3,0)</f>
        <v>#N/A</v>
      </c>
    </row>
    <row r="1318" spans="1:69" ht="15.75" customHeight="1" x14ac:dyDescent="0.25">
      <c r="A1318" s="12"/>
      <c r="B1318" s="15" t="e">
        <f>VLOOKUP(A1318,'[1]Master clients'!F1316:W4863,17,0)</f>
        <v>#N/A</v>
      </c>
      <c r="C1318" s="15" t="e">
        <f>VLOOKUP(A1318,'[1]Master clients'!F1316:P4863,11,0)</f>
        <v>#N/A</v>
      </c>
      <c r="D1318" s="15" t="e">
        <f>VLOOKUP(A1318,'[1]Master clients'!F:M,8,0)</f>
        <v>#N/A</v>
      </c>
      <c r="E1318" s="12"/>
      <c r="F1318" s="6"/>
      <c r="G1318" s="6"/>
      <c r="H1318" s="6"/>
      <c r="I1318" s="43"/>
      <c r="J1318" s="43"/>
      <c r="K1318" s="6"/>
      <c r="L1318" s="6"/>
      <c r="M1318" s="6"/>
      <c r="N1318" s="6"/>
      <c r="O1318" s="6"/>
      <c r="P1318" s="6"/>
      <c r="Q1318" s="6"/>
      <c r="R1318" s="6"/>
      <c r="S1318" s="6"/>
      <c r="T1318" s="6"/>
      <c r="U1318" s="6"/>
      <c r="V1318" s="6"/>
      <c r="W1318" s="6"/>
      <c r="X1318" s="6"/>
      <c r="Y1318" s="6"/>
      <c r="Z1318" s="6"/>
      <c r="AA1318" s="6"/>
      <c r="AB1318" s="6"/>
      <c r="AC1318" s="6"/>
      <c r="AD1318" s="6"/>
      <c r="AE1318" s="6"/>
      <c r="AF1318" s="6"/>
      <c r="AG1318" s="6"/>
      <c r="AH1318" s="6"/>
      <c r="AI1318" s="6"/>
      <c r="AJ1318" s="6"/>
      <c r="AK1318" s="6"/>
      <c r="AL1318" s="6"/>
      <c r="AM1318" s="6"/>
      <c r="AN1318" s="6"/>
      <c r="AO1318" s="6"/>
      <c r="AP1318" s="6"/>
      <c r="AQ1318" s="6"/>
      <c r="AR1318" s="6"/>
      <c r="AS1318" s="6"/>
      <c r="AT1318" s="6"/>
      <c r="AU1318" s="6"/>
      <c r="AV1318" s="6"/>
      <c r="AW1318" s="6"/>
      <c r="AX1318" s="6"/>
      <c r="AY1318" s="6"/>
      <c r="AZ1318" s="6"/>
      <c r="BA1318" s="6"/>
      <c r="BB1318" s="6"/>
      <c r="BC1318" s="6"/>
      <c r="BD1318" s="6"/>
      <c r="BE1318" s="6"/>
      <c r="BF1318" s="6"/>
      <c r="BG1318" s="6"/>
      <c r="BH1318" s="6"/>
      <c r="BI1318" s="6"/>
      <c r="BJ1318" s="6"/>
      <c r="BK1318" s="6"/>
      <c r="BL1318" s="44"/>
      <c r="BM1318" s="44"/>
      <c r="BN1318" s="45"/>
      <c r="BO1318" s="45"/>
      <c r="BP1318" s="7"/>
      <c r="BQ1318" s="7" t="e">
        <f>VLOOKUP(A1318,[1]Sheet15!B:E,3,0)</f>
        <v>#N/A</v>
      </c>
    </row>
    <row r="1319" spans="1:69" ht="15.75" customHeight="1" x14ac:dyDescent="0.25">
      <c r="A1319" s="12"/>
      <c r="B1319" s="15" t="e">
        <f>VLOOKUP(A1319,'[1]Master clients'!F1317:W4864,17,0)</f>
        <v>#N/A</v>
      </c>
      <c r="C1319" s="15" t="e">
        <f>VLOOKUP(A1319,'[1]Master clients'!F1317:P4864,11,0)</f>
        <v>#N/A</v>
      </c>
      <c r="D1319" s="15" t="e">
        <f>VLOOKUP(A1319,'[1]Master clients'!F:M,8,0)</f>
        <v>#N/A</v>
      </c>
      <c r="E1319" s="12"/>
      <c r="F1319" s="6"/>
      <c r="G1319" s="6"/>
      <c r="H1319" s="6"/>
      <c r="I1319" s="43"/>
      <c r="J1319" s="43"/>
      <c r="K1319" s="6"/>
      <c r="L1319" s="6"/>
      <c r="M1319" s="6"/>
      <c r="N1319" s="6"/>
      <c r="O1319" s="6"/>
      <c r="P1319" s="6"/>
      <c r="Q1319" s="6"/>
      <c r="R1319" s="6"/>
      <c r="S1319" s="6"/>
      <c r="T1319" s="6"/>
      <c r="U1319" s="6"/>
      <c r="V1319" s="6"/>
      <c r="W1319" s="6"/>
      <c r="X1319" s="6"/>
      <c r="Y1319" s="6"/>
      <c r="Z1319" s="6"/>
      <c r="AA1319" s="6"/>
      <c r="AB1319" s="6"/>
      <c r="AC1319" s="6"/>
      <c r="AD1319" s="6"/>
      <c r="AE1319" s="6"/>
      <c r="AF1319" s="6"/>
      <c r="AG1319" s="6"/>
      <c r="AH1319" s="6"/>
      <c r="AI1319" s="6"/>
      <c r="AJ1319" s="6"/>
      <c r="AK1319" s="6"/>
      <c r="AL1319" s="6"/>
      <c r="AM1319" s="6"/>
      <c r="AN1319" s="6"/>
      <c r="AO1319" s="6"/>
      <c r="AP1319" s="6"/>
      <c r="AQ1319" s="6"/>
      <c r="AR1319" s="6"/>
      <c r="AS1319" s="6"/>
      <c r="AT1319" s="6"/>
      <c r="AU1319" s="6"/>
      <c r="AV1319" s="6"/>
      <c r="AW1319" s="6"/>
      <c r="AX1319" s="6"/>
      <c r="AY1319" s="6"/>
      <c r="AZ1319" s="6"/>
      <c r="BA1319" s="6"/>
      <c r="BB1319" s="6"/>
      <c r="BC1319" s="6"/>
      <c r="BD1319" s="6"/>
      <c r="BE1319" s="6"/>
      <c r="BF1319" s="6"/>
      <c r="BG1319" s="6"/>
      <c r="BH1319" s="6"/>
      <c r="BI1319" s="6"/>
      <c r="BJ1319" s="6"/>
      <c r="BK1319" s="6"/>
      <c r="BL1319" s="44"/>
      <c r="BM1319" s="44"/>
      <c r="BN1319" s="45"/>
      <c r="BO1319" s="45"/>
      <c r="BP1319" s="7"/>
      <c r="BQ1319" s="7" t="e">
        <f>VLOOKUP(A1319,[1]Sheet15!B:E,3,0)</f>
        <v>#N/A</v>
      </c>
    </row>
    <row r="1320" spans="1:69" ht="15.75" customHeight="1" x14ac:dyDescent="0.25">
      <c r="A1320" s="12"/>
      <c r="B1320" s="15" t="e">
        <f>VLOOKUP(A1320,'[1]Master clients'!F1318:W4865,17,0)</f>
        <v>#N/A</v>
      </c>
      <c r="C1320" s="15" t="e">
        <f>VLOOKUP(A1320,'[1]Master clients'!F1318:P4865,11,0)</f>
        <v>#N/A</v>
      </c>
      <c r="D1320" s="15" t="e">
        <f>VLOOKUP(A1320,'[1]Master clients'!F:M,8,0)</f>
        <v>#N/A</v>
      </c>
      <c r="E1320" s="12"/>
      <c r="F1320" s="6"/>
      <c r="G1320" s="6"/>
      <c r="H1320" s="6"/>
      <c r="I1320" s="43"/>
      <c r="J1320" s="43"/>
      <c r="K1320" s="6"/>
      <c r="L1320" s="6"/>
      <c r="M1320" s="6"/>
      <c r="N1320" s="6"/>
      <c r="O1320" s="6"/>
      <c r="P1320" s="6"/>
      <c r="Q1320" s="6"/>
      <c r="R1320" s="6"/>
      <c r="S1320" s="6"/>
      <c r="T1320" s="6"/>
      <c r="U1320" s="6"/>
      <c r="V1320" s="6"/>
      <c r="W1320" s="6"/>
      <c r="X1320" s="6"/>
      <c r="Y1320" s="6"/>
      <c r="Z1320" s="6"/>
      <c r="AA1320" s="6"/>
      <c r="AB1320" s="6"/>
      <c r="AC1320" s="6"/>
      <c r="AD1320" s="6"/>
      <c r="AE1320" s="6"/>
      <c r="AF1320" s="6"/>
      <c r="AG1320" s="6"/>
      <c r="AH1320" s="6"/>
      <c r="AI1320" s="6"/>
      <c r="AJ1320" s="6"/>
      <c r="AK1320" s="6"/>
      <c r="AL1320" s="6"/>
      <c r="AM1320" s="6"/>
      <c r="AN1320" s="6"/>
      <c r="AO1320" s="6"/>
      <c r="AP1320" s="6"/>
      <c r="AQ1320" s="6"/>
      <c r="AR1320" s="6"/>
      <c r="AS1320" s="6"/>
      <c r="AT1320" s="6"/>
      <c r="AU1320" s="6"/>
      <c r="AV1320" s="6"/>
      <c r="AW1320" s="6"/>
      <c r="AX1320" s="6"/>
      <c r="AY1320" s="6"/>
      <c r="AZ1320" s="6"/>
      <c r="BA1320" s="6"/>
      <c r="BB1320" s="6"/>
      <c r="BC1320" s="6"/>
      <c r="BD1320" s="6"/>
      <c r="BE1320" s="6"/>
      <c r="BF1320" s="6"/>
      <c r="BG1320" s="6"/>
      <c r="BH1320" s="6"/>
      <c r="BI1320" s="6"/>
      <c r="BJ1320" s="6"/>
      <c r="BK1320" s="6"/>
      <c r="BL1320" s="44"/>
      <c r="BM1320" s="44"/>
      <c r="BN1320" s="45"/>
      <c r="BO1320" s="45"/>
      <c r="BP1320" s="7"/>
      <c r="BQ1320" s="7" t="e">
        <f>VLOOKUP(A1320,[1]Sheet15!B:E,3,0)</f>
        <v>#N/A</v>
      </c>
    </row>
    <row r="1321" spans="1:69" ht="15.75" customHeight="1" x14ac:dyDescent="0.25">
      <c r="A1321" s="12"/>
      <c r="B1321" s="15" t="e">
        <f>VLOOKUP(A1321,'[1]Master clients'!F1319:W4866,17,0)</f>
        <v>#N/A</v>
      </c>
      <c r="C1321" s="15" t="e">
        <f>VLOOKUP(A1321,'[1]Master clients'!F1319:P4866,11,0)</f>
        <v>#N/A</v>
      </c>
      <c r="D1321" s="15" t="e">
        <f>VLOOKUP(A1321,'[1]Master clients'!F:M,8,0)</f>
        <v>#N/A</v>
      </c>
      <c r="E1321" s="12"/>
      <c r="F1321" s="6"/>
      <c r="G1321" s="6"/>
      <c r="H1321" s="6"/>
      <c r="I1321" s="43"/>
      <c r="J1321" s="43"/>
      <c r="K1321" s="6"/>
      <c r="L1321" s="6"/>
      <c r="M1321" s="6"/>
      <c r="N1321" s="6"/>
      <c r="O1321" s="6"/>
      <c r="P1321" s="6"/>
      <c r="Q1321" s="6"/>
      <c r="R1321" s="6"/>
      <c r="S1321" s="6"/>
      <c r="T1321" s="6"/>
      <c r="U1321" s="6"/>
      <c r="V1321" s="6"/>
      <c r="W1321" s="6"/>
      <c r="X1321" s="6"/>
      <c r="Y1321" s="6"/>
      <c r="Z1321" s="6"/>
      <c r="AA1321" s="6"/>
      <c r="AB1321" s="6"/>
      <c r="AC1321" s="6"/>
      <c r="AD1321" s="6"/>
      <c r="AE1321" s="6"/>
      <c r="AF1321" s="6"/>
      <c r="AG1321" s="6"/>
      <c r="AH1321" s="6"/>
      <c r="AI1321" s="6"/>
      <c r="AJ1321" s="6"/>
      <c r="AK1321" s="6"/>
      <c r="AL1321" s="6"/>
      <c r="AM1321" s="6"/>
      <c r="AN1321" s="6"/>
      <c r="AO1321" s="6"/>
      <c r="AP1321" s="6"/>
      <c r="AQ1321" s="6"/>
      <c r="AR1321" s="6"/>
      <c r="AS1321" s="6"/>
      <c r="AT1321" s="6"/>
      <c r="AU1321" s="6"/>
      <c r="AV1321" s="6"/>
      <c r="AW1321" s="6"/>
      <c r="AX1321" s="6"/>
      <c r="AY1321" s="6"/>
      <c r="AZ1321" s="6"/>
      <c r="BA1321" s="6"/>
      <c r="BB1321" s="6"/>
      <c r="BC1321" s="6"/>
      <c r="BD1321" s="6"/>
      <c r="BE1321" s="6"/>
      <c r="BF1321" s="6"/>
      <c r="BG1321" s="6"/>
      <c r="BH1321" s="6"/>
      <c r="BI1321" s="6"/>
      <c r="BJ1321" s="6"/>
      <c r="BK1321" s="6"/>
      <c r="BL1321" s="44"/>
      <c r="BM1321" s="44"/>
      <c r="BN1321" s="45"/>
      <c r="BO1321" s="45"/>
      <c r="BP1321" s="7"/>
      <c r="BQ1321" s="7" t="e">
        <f>VLOOKUP(A1321,[1]Sheet15!B:E,3,0)</f>
        <v>#N/A</v>
      </c>
    </row>
    <row r="1322" spans="1:69" ht="15.75" customHeight="1" x14ac:dyDescent="0.25">
      <c r="A1322" s="12"/>
      <c r="B1322" s="15" t="e">
        <f>VLOOKUP(A1322,'[1]Master clients'!F1320:W4867,17,0)</f>
        <v>#N/A</v>
      </c>
      <c r="C1322" s="15" t="e">
        <f>VLOOKUP(A1322,'[1]Master clients'!F1320:P4867,11,0)</f>
        <v>#N/A</v>
      </c>
      <c r="D1322" s="15" t="e">
        <f>VLOOKUP(A1322,'[1]Master clients'!F:M,8,0)</f>
        <v>#N/A</v>
      </c>
      <c r="E1322" s="12"/>
      <c r="F1322" s="6"/>
      <c r="G1322" s="6"/>
      <c r="H1322" s="6"/>
      <c r="I1322" s="43"/>
      <c r="J1322" s="43"/>
      <c r="K1322" s="6"/>
      <c r="L1322" s="6"/>
      <c r="M1322" s="6"/>
      <c r="N1322" s="6"/>
      <c r="O1322" s="6"/>
      <c r="P1322" s="6"/>
      <c r="Q1322" s="6"/>
      <c r="R1322" s="6"/>
      <c r="S1322" s="6"/>
      <c r="T1322" s="6"/>
      <c r="U1322" s="6"/>
      <c r="V1322" s="6"/>
      <c r="W1322" s="6"/>
      <c r="X1322" s="6"/>
      <c r="Y1322" s="6"/>
      <c r="Z1322" s="6"/>
      <c r="AA1322" s="6"/>
      <c r="AB1322" s="6"/>
      <c r="AC1322" s="6"/>
      <c r="AD1322" s="6"/>
      <c r="AE1322" s="6"/>
      <c r="AF1322" s="6"/>
      <c r="AG1322" s="6"/>
      <c r="AH1322" s="6"/>
      <c r="AI1322" s="6"/>
      <c r="AJ1322" s="6"/>
      <c r="AK1322" s="6"/>
      <c r="AL1322" s="6"/>
      <c r="AM1322" s="6"/>
      <c r="AN1322" s="6"/>
      <c r="AO1322" s="6"/>
      <c r="AP1322" s="6"/>
      <c r="AQ1322" s="6"/>
      <c r="AR1322" s="6"/>
      <c r="AS1322" s="6"/>
      <c r="AT1322" s="6"/>
      <c r="AU1322" s="6"/>
      <c r="AV1322" s="6"/>
      <c r="AW1322" s="6"/>
      <c r="AX1322" s="6"/>
      <c r="AY1322" s="6"/>
      <c r="AZ1322" s="6"/>
      <c r="BA1322" s="6"/>
      <c r="BB1322" s="6"/>
      <c r="BC1322" s="6"/>
      <c r="BD1322" s="6"/>
      <c r="BE1322" s="6"/>
      <c r="BF1322" s="6"/>
      <c r="BG1322" s="6"/>
      <c r="BH1322" s="6"/>
      <c r="BI1322" s="6"/>
      <c r="BJ1322" s="6"/>
      <c r="BK1322" s="6"/>
      <c r="BL1322" s="44"/>
      <c r="BM1322" s="44"/>
      <c r="BN1322" s="45"/>
      <c r="BO1322" s="45"/>
      <c r="BP1322" s="7"/>
      <c r="BQ1322" s="7" t="e">
        <f>VLOOKUP(A1322,[1]Sheet15!B:E,3,0)</f>
        <v>#N/A</v>
      </c>
    </row>
    <row r="1323" spans="1:69" ht="15.75" customHeight="1" x14ac:dyDescent="0.25">
      <c r="A1323" s="12"/>
      <c r="B1323" s="15" t="e">
        <f>VLOOKUP(A1323,'[1]Master clients'!F1321:W4868,17,0)</f>
        <v>#N/A</v>
      </c>
      <c r="C1323" s="15" t="e">
        <f>VLOOKUP(A1323,'[1]Master clients'!F1321:P4868,11,0)</f>
        <v>#N/A</v>
      </c>
      <c r="D1323" s="15" t="e">
        <f>VLOOKUP(A1323,'[1]Master clients'!F:M,8,0)</f>
        <v>#N/A</v>
      </c>
      <c r="E1323" s="12"/>
      <c r="F1323" s="6"/>
      <c r="G1323" s="6"/>
      <c r="H1323" s="6"/>
      <c r="I1323" s="43"/>
      <c r="J1323" s="43"/>
      <c r="K1323" s="6"/>
      <c r="L1323" s="6"/>
      <c r="M1323" s="6"/>
      <c r="N1323" s="6"/>
      <c r="O1323" s="6"/>
      <c r="P1323" s="6"/>
      <c r="Q1323" s="6"/>
      <c r="R1323" s="6"/>
      <c r="S1323" s="6"/>
      <c r="T1323" s="6"/>
      <c r="U1323" s="6"/>
      <c r="V1323" s="6"/>
      <c r="W1323" s="6"/>
      <c r="X1323" s="6"/>
      <c r="Y1323" s="6"/>
      <c r="Z1323" s="6"/>
      <c r="AA1323" s="6"/>
      <c r="AB1323" s="6"/>
      <c r="AC1323" s="6"/>
      <c r="AD1323" s="6"/>
      <c r="AE1323" s="6"/>
      <c r="AF1323" s="6"/>
      <c r="AG1323" s="6"/>
      <c r="AH1323" s="6"/>
      <c r="AI1323" s="6"/>
      <c r="AJ1323" s="6"/>
      <c r="AK1323" s="6"/>
      <c r="AL1323" s="6"/>
      <c r="AM1323" s="6"/>
      <c r="AN1323" s="6"/>
      <c r="AO1323" s="6"/>
      <c r="AP1323" s="6"/>
      <c r="AQ1323" s="6"/>
      <c r="AR1323" s="6"/>
      <c r="AS1323" s="6"/>
      <c r="AT1323" s="6"/>
      <c r="AU1323" s="6"/>
      <c r="AV1323" s="6"/>
      <c r="AW1323" s="6"/>
      <c r="AX1323" s="6"/>
      <c r="AY1323" s="6"/>
      <c r="AZ1323" s="6"/>
      <c r="BA1323" s="6"/>
      <c r="BB1323" s="6"/>
      <c r="BC1323" s="6"/>
      <c r="BD1323" s="6"/>
      <c r="BE1323" s="6"/>
      <c r="BF1323" s="6"/>
      <c r="BG1323" s="6"/>
      <c r="BH1323" s="6"/>
      <c r="BI1323" s="6"/>
      <c r="BJ1323" s="6"/>
      <c r="BK1323" s="6"/>
      <c r="BL1323" s="44"/>
      <c r="BM1323" s="44"/>
      <c r="BN1323" s="45"/>
      <c r="BO1323" s="45"/>
      <c r="BP1323" s="7"/>
      <c r="BQ1323" s="7" t="e">
        <f>VLOOKUP(A1323,[1]Sheet15!B:E,3,0)</f>
        <v>#N/A</v>
      </c>
    </row>
    <row r="1324" spans="1:69" ht="15.75" customHeight="1" x14ac:dyDescent="0.25">
      <c r="A1324" s="12"/>
      <c r="B1324" s="15" t="e">
        <f>VLOOKUP(A1324,'[1]Master clients'!F1322:W4869,17,0)</f>
        <v>#N/A</v>
      </c>
      <c r="C1324" s="15" t="e">
        <f>VLOOKUP(A1324,'[1]Master clients'!F1322:P4869,11,0)</f>
        <v>#N/A</v>
      </c>
      <c r="D1324" s="15" t="e">
        <f>VLOOKUP(A1324,'[1]Master clients'!F:M,8,0)</f>
        <v>#N/A</v>
      </c>
      <c r="E1324" s="12"/>
      <c r="F1324" s="6"/>
      <c r="G1324" s="6"/>
      <c r="H1324" s="6"/>
      <c r="I1324" s="43"/>
      <c r="J1324" s="43"/>
      <c r="K1324" s="6"/>
      <c r="L1324" s="6"/>
      <c r="M1324" s="6"/>
      <c r="N1324" s="6"/>
      <c r="O1324" s="6"/>
      <c r="P1324" s="6"/>
      <c r="Q1324" s="6"/>
      <c r="R1324" s="6"/>
      <c r="S1324" s="6"/>
      <c r="T1324" s="6"/>
      <c r="U1324" s="6"/>
      <c r="V1324" s="6"/>
      <c r="W1324" s="6"/>
      <c r="X1324" s="6"/>
      <c r="Y1324" s="6"/>
      <c r="Z1324" s="6"/>
      <c r="AA1324" s="6"/>
      <c r="AB1324" s="6"/>
      <c r="AC1324" s="6"/>
      <c r="AD1324" s="6"/>
      <c r="AE1324" s="6"/>
      <c r="AF1324" s="6"/>
      <c r="AG1324" s="6"/>
      <c r="AH1324" s="6"/>
      <c r="AI1324" s="6"/>
      <c r="AJ1324" s="6"/>
      <c r="AK1324" s="6"/>
      <c r="AL1324" s="6"/>
      <c r="AM1324" s="6"/>
      <c r="AN1324" s="6"/>
      <c r="AO1324" s="6"/>
      <c r="AP1324" s="6"/>
      <c r="AQ1324" s="6"/>
      <c r="AR1324" s="6"/>
      <c r="AS1324" s="6"/>
      <c r="AT1324" s="6"/>
      <c r="AU1324" s="6"/>
      <c r="AV1324" s="6"/>
      <c r="AW1324" s="6"/>
      <c r="AX1324" s="6"/>
      <c r="AY1324" s="6"/>
      <c r="AZ1324" s="6"/>
      <c r="BA1324" s="6"/>
      <c r="BB1324" s="6"/>
      <c r="BC1324" s="6"/>
      <c r="BD1324" s="6"/>
      <c r="BE1324" s="6"/>
      <c r="BF1324" s="6"/>
      <c r="BG1324" s="6"/>
      <c r="BH1324" s="6"/>
      <c r="BI1324" s="6"/>
      <c r="BJ1324" s="6"/>
      <c r="BK1324" s="6"/>
      <c r="BL1324" s="44"/>
      <c r="BM1324" s="44"/>
      <c r="BN1324" s="45"/>
      <c r="BO1324" s="45"/>
      <c r="BP1324" s="7"/>
      <c r="BQ1324" s="7" t="e">
        <f>VLOOKUP(A1324,[1]Sheet15!B:E,3,0)</f>
        <v>#N/A</v>
      </c>
    </row>
    <row r="1325" spans="1:69" ht="15.75" customHeight="1" x14ac:dyDescent="0.25">
      <c r="A1325" s="12"/>
      <c r="B1325" s="15" t="e">
        <f>VLOOKUP(A1325,'[1]Master clients'!F1323:W4870,17,0)</f>
        <v>#N/A</v>
      </c>
      <c r="C1325" s="15" t="e">
        <f>VLOOKUP(A1325,'[1]Master clients'!F1323:P4870,11,0)</f>
        <v>#N/A</v>
      </c>
      <c r="D1325" s="15" t="e">
        <f>VLOOKUP(A1325,'[1]Master clients'!F:M,8,0)</f>
        <v>#N/A</v>
      </c>
      <c r="E1325" s="12"/>
      <c r="F1325" s="6"/>
      <c r="G1325" s="6"/>
      <c r="H1325" s="6"/>
      <c r="I1325" s="43"/>
      <c r="J1325" s="43"/>
      <c r="K1325" s="6"/>
      <c r="L1325" s="6"/>
      <c r="M1325" s="6"/>
      <c r="N1325" s="6"/>
      <c r="O1325" s="6"/>
      <c r="P1325" s="6"/>
      <c r="Q1325" s="6"/>
      <c r="R1325" s="6"/>
      <c r="S1325" s="6"/>
      <c r="T1325" s="6"/>
      <c r="U1325" s="6"/>
      <c r="V1325" s="6"/>
      <c r="W1325" s="6"/>
      <c r="X1325" s="6"/>
      <c r="Y1325" s="6"/>
      <c r="Z1325" s="6"/>
      <c r="AA1325" s="6"/>
      <c r="AB1325" s="6"/>
      <c r="AC1325" s="6"/>
      <c r="AD1325" s="6"/>
      <c r="AE1325" s="6"/>
      <c r="AF1325" s="6"/>
      <c r="AG1325" s="6"/>
      <c r="AH1325" s="6"/>
      <c r="AI1325" s="6"/>
      <c r="AJ1325" s="6"/>
      <c r="AK1325" s="6"/>
      <c r="AL1325" s="6"/>
      <c r="AM1325" s="6"/>
      <c r="AN1325" s="6"/>
      <c r="AO1325" s="6"/>
      <c r="AP1325" s="6"/>
      <c r="AQ1325" s="6"/>
      <c r="AR1325" s="6"/>
      <c r="AS1325" s="6"/>
      <c r="AT1325" s="6"/>
      <c r="AU1325" s="6"/>
      <c r="AV1325" s="6"/>
      <c r="AW1325" s="6"/>
      <c r="AX1325" s="6"/>
      <c r="AY1325" s="6"/>
      <c r="AZ1325" s="6"/>
      <c r="BA1325" s="6"/>
      <c r="BB1325" s="6"/>
      <c r="BC1325" s="6"/>
      <c r="BD1325" s="6"/>
      <c r="BE1325" s="6"/>
      <c r="BF1325" s="6"/>
      <c r="BG1325" s="6"/>
      <c r="BH1325" s="6"/>
      <c r="BI1325" s="6"/>
      <c r="BJ1325" s="6"/>
      <c r="BK1325" s="6"/>
      <c r="BL1325" s="44"/>
      <c r="BM1325" s="44"/>
      <c r="BN1325" s="45"/>
      <c r="BO1325" s="45"/>
      <c r="BP1325" s="7"/>
      <c r="BQ1325" s="7" t="e">
        <f>VLOOKUP(A1325,[1]Sheet15!B:E,3,0)</f>
        <v>#N/A</v>
      </c>
    </row>
    <row r="1326" spans="1:69" ht="15.75" customHeight="1" x14ac:dyDescent="0.25">
      <c r="A1326" s="12"/>
      <c r="B1326" s="15" t="e">
        <f>VLOOKUP(A1326,'[1]Master clients'!F1324:W4871,17,0)</f>
        <v>#N/A</v>
      </c>
      <c r="C1326" s="15" t="e">
        <f>VLOOKUP(A1326,'[1]Master clients'!F1324:P4871,11,0)</f>
        <v>#N/A</v>
      </c>
      <c r="D1326" s="15" t="e">
        <f>VLOOKUP(A1326,'[1]Master clients'!F:M,8,0)</f>
        <v>#N/A</v>
      </c>
      <c r="E1326" s="12"/>
      <c r="F1326" s="6"/>
      <c r="G1326" s="6"/>
      <c r="H1326" s="6"/>
      <c r="I1326" s="43"/>
      <c r="J1326" s="43"/>
      <c r="K1326" s="6"/>
      <c r="L1326" s="6"/>
      <c r="M1326" s="6"/>
      <c r="N1326" s="6"/>
      <c r="O1326" s="6"/>
      <c r="P1326" s="6"/>
      <c r="Q1326" s="6"/>
      <c r="R1326" s="6"/>
      <c r="S1326" s="6"/>
      <c r="T1326" s="6"/>
      <c r="U1326" s="6"/>
      <c r="V1326" s="6"/>
      <c r="W1326" s="6"/>
      <c r="X1326" s="6"/>
      <c r="Y1326" s="6"/>
      <c r="Z1326" s="6"/>
      <c r="AA1326" s="6"/>
      <c r="AB1326" s="6"/>
      <c r="AC1326" s="6"/>
      <c r="AD1326" s="6"/>
      <c r="AE1326" s="6"/>
      <c r="AF1326" s="6"/>
      <c r="AG1326" s="6"/>
      <c r="AH1326" s="6"/>
      <c r="AI1326" s="6"/>
      <c r="AJ1326" s="6"/>
      <c r="AK1326" s="6"/>
      <c r="AL1326" s="6"/>
      <c r="AM1326" s="6"/>
      <c r="AN1326" s="6"/>
      <c r="AO1326" s="6"/>
      <c r="AP1326" s="6"/>
      <c r="AQ1326" s="6"/>
      <c r="AR1326" s="6"/>
      <c r="AS1326" s="6"/>
      <c r="AT1326" s="6"/>
      <c r="AU1326" s="6"/>
      <c r="AV1326" s="6"/>
      <c r="AW1326" s="6"/>
      <c r="AX1326" s="6"/>
      <c r="AY1326" s="6"/>
      <c r="AZ1326" s="6"/>
      <c r="BA1326" s="6"/>
      <c r="BB1326" s="6"/>
      <c r="BC1326" s="6"/>
      <c r="BD1326" s="6"/>
      <c r="BE1326" s="6"/>
      <c r="BF1326" s="6"/>
      <c r="BG1326" s="6"/>
      <c r="BH1326" s="6"/>
      <c r="BI1326" s="6"/>
      <c r="BJ1326" s="6"/>
      <c r="BK1326" s="6"/>
      <c r="BL1326" s="44"/>
      <c r="BM1326" s="44"/>
      <c r="BN1326" s="45"/>
      <c r="BO1326" s="45"/>
      <c r="BP1326" s="7"/>
      <c r="BQ1326" s="7" t="e">
        <f>VLOOKUP(A1326,[1]Sheet15!B:E,3,0)</f>
        <v>#N/A</v>
      </c>
    </row>
    <row r="1327" spans="1:69" ht="15.75" customHeight="1" x14ac:dyDescent="0.25">
      <c r="A1327" s="12"/>
      <c r="B1327" s="15" t="e">
        <f>VLOOKUP(A1327,'[1]Master clients'!F1325:W4872,17,0)</f>
        <v>#N/A</v>
      </c>
      <c r="C1327" s="15" t="e">
        <f>VLOOKUP(A1327,'[1]Master clients'!F1325:P4872,11,0)</f>
        <v>#N/A</v>
      </c>
      <c r="D1327" s="15" t="e">
        <f>VLOOKUP(A1327,'[1]Master clients'!F:M,8,0)</f>
        <v>#N/A</v>
      </c>
      <c r="E1327" s="12"/>
      <c r="F1327" s="6"/>
      <c r="G1327" s="6"/>
      <c r="H1327" s="6"/>
      <c r="I1327" s="43"/>
      <c r="J1327" s="43"/>
      <c r="K1327" s="6"/>
      <c r="L1327" s="6"/>
      <c r="M1327" s="6"/>
      <c r="N1327" s="6"/>
      <c r="O1327" s="6"/>
      <c r="P1327" s="6"/>
      <c r="Q1327" s="6"/>
      <c r="R1327" s="6"/>
      <c r="S1327" s="6"/>
      <c r="T1327" s="6"/>
      <c r="U1327" s="6"/>
      <c r="V1327" s="6"/>
      <c r="W1327" s="6"/>
      <c r="X1327" s="6"/>
      <c r="Y1327" s="6"/>
      <c r="Z1327" s="6"/>
      <c r="AA1327" s="6"/>
      <c r="AB1327" s="6"/>
      <c r="AC1327" s="6"/>
      <c r="AD1327" s="6"/>
      <c r="AE1327" s="6"/>
      <c r="AF1327" s="6"/>
      <c r="AG1327" s="6"/>
      <c r="AH1327" s="6"/>
      <c r="AI1327" s="6"/>
      <c r="AJ1327" s="6"/>
      <c r="AK1327" s="6"/>
      <c r="AL1327" s="6"/>
      <c r="AM1327" s="6"/>
      <c r="AN1327" s="6"/>
      <c r="AO1327" s="6"/>
      <c r="AP1327" s="6"/>
      <c r="AQ1327" s="6"/>
      <c r="AR1327" s="6"/>
      <c r="AS1327" s="6"/>
      <c r="AT1327" s="6"/>
      <c r="AU1327" s="6"/>
      <c r="AV1327" s="6"/>
      <c r="AW1327" s="6"/>
      <c r="AX1327" s="6"/>
      <c r="AY1327" s="6"/>
      <c r="AZ1327" s="6"/>
      <c r="BA1327" s="6"/>
      <c r="BB1327" s="6"/>
      <c r="BC1327" s="6"/>
      <c r="BD1327" s="6"/>
      <c r="BE1327" s="6"/>
      <c r="BF1327" s="6"/>
      <c r="BG1327" s="6"/>
      <c r="BH1327" s="6"/>
      <c r="BI1327" s="6"/>
      <c r="BJ1327" s="6"/>
      <c r="BK1327" s="6"/>
      <c r="BL1327" s="44"/>
      <c r="BM1327" s="44"/>
      <c r="BN1327" s="45"/>
      <c r="BO1327" s="45"/>
      <c r="BP1327" s="7"/>
      <c r="BQ1327" s="7" t="e">
        <f>VLOOKUP(A1327,[1]Sheet15!B:E,3,0)</f>
        <v>#N/A</v>
      </c>
    </row>
    <row r="1328" spans="1:69" ht="15.75" customHeight="1" x14ac:dyDescent="0.25">
      <c r="A1328" s="12"/>
      <c r="B1328" s="15" t="e">
        <f>VLOOKUP(A1328,'[1]Master clients'!F1326:W4873,17,0)</f>
        <v>#N/A</v>
      </c>
      <c r="C1328" s="15" t="e">
        <f>VLOOKUP(A1328,'[1]Master clients'!F1326:P4873,11,0)</f>
        <v>#N/A</v>
      </c>
      <c r="D1328" s="15" t="e">
        <f>VLOOKUP(A1328,'[1]Master clients'!F:M,8,0)</f>
        <v>#N/A</v>
      </c>
      <c r="E1328" s="12"/>
      <c r="F1328" s="6"/>
      <c r="G1328" s="6"/>
      <c r="H1328" s="6"/>
      <c r="I1328" s="43"/>
      <c r="J1328" s="43"/>
      <c r="K1328" s="6"/>
      <c r="L1328" s="6"/>
      <c r="M1328" s="6"/>
      <c r="N1328" s="6"/>
      <c r="O1328" s="6"/>
      <c r="P1328" s="6"/>
      <c r="Q1328" s="6"/>
      <c r="R1328" s="6"/>
      <c r="S1328" s="6"/>
      <c r="T1328" s="6"/>
      <c r="U1328" s="6"/>
      <c r="V1328" s="6"/>
      <c r="W1328" s="6"/>
      <c r="X1328" s="6"/>
      <c r="Y1328" s="6"/>
      <c r="Z1328" s="6"/>
      <c r="AA1328" s="6"/>
      <c r="AB1328" s="6"/>
      <c r="AC1328" s="6"/>
      <c r="AD1328" s="6"/>
      <c r="AE1328" s="6"/>
      <c r="AF1328" s="6"/>
      <c r="AG1328" s="6"/>
      <c r="AH1328" s="6"/>
      <c r="AI1328" s="6"/>
      <c r="AJ1328" s="6"/>
      <c r="AK1328" s="6"/>
      <c r="AL1328" s="6"/>
      <c r="AM1328" s="6"/>
      <c r="AN1328" s="6"/>
      <c r="AO1328" s="6"/>
      <c r="AP1328" s="6"/>
      <c r="AQ1328" s="6"/>
      <c r="AR1328" s="6"/>
      <c r="AS1328" s="6"/>
      <c r="AT1328" s="6"/>
      <c r="AU1328" s="6"/>
      <c r="AV1328" s="6"/>
      <c r="AW1328" s="6"/>
      <c r="AX1328" s="6"/>
      <c r="AY1328" s="6"/>
      <c r="AZ1328" s="6"/>
      <c r="BA1328" s="6"/>
      <c r="BB1328" s="6"/>
      <c r="BC1328" s="6"/>
      <c r="BD1328" s="6"/>
      <c r="BE1328" s="6"/>
      <c r="BF1328" s="6"/>
      <c r="BG1328" s="6"/>
      <c r="BH1328" s="6"/>
      <c r="BI1328" s="6"/>
      <c r="BJ1328" s="6"/>
      <c r="BK1328" s="6"/>
      <c r="BL1328" s="44"/>
      <c r="BM1328" s="44"/>
      <c r="BN1328" s="45"/>
      <c r="BO1328" s="45"/>
      <c r="BP1328" s="7"/>
      <c r="BQ1328" s="7" t="e">
        <f>VLOOKUP(A1328,[1]Sheet15!B:E,3,0)</f>
        <v>#N/A</v>
      </c>
    </row>
    <row r="1329" spans="1:69" ht="15.75" customHeight="1" x14ac:dyDescent="0.25">
      <c r="A1329" s="12"/>
      <c r="B1329" s="15" t="e">
        <f>VLOOKUP(A1329,'[1]Master clients'!F1327:W4874,17,0)</f>
        <v>#N/A</v>
      </c>
      <c r="C1329" s="15" t="e">
        <f>VLOOKUP(A1329,'[1]Master clients'!F1327:P4874,11,0)</f>
        <v>#N/A</v>
      </c>
      <c r="D1329" s="15" t="e">
        <f>VLOOKUP(A1329,'[1]Master clients'!F:M,8,0)</f>
        <v>#N/A</v>
      </c>
      <c r="E1329" s="12"/>
      <c r="F1329" s="6"/>
      <c r="G1329" s="6"/>
      <c r="H1329" s="6"/>
      <c r="I1329" s="43"/>
      <c r="J1329" s="43"/>
      <c r="K1329" s="6"/>
      <c r="L1329" s="6"/>
      <c r="M1329" s="6"/>
      <c r="N1329" s="6"/>
      <c r="O1329" s="6"/>
      <c r="P1329" s="6"/>
      <c r="Q1329" s="6"/>
      <c r="R1329" s="6"/>
      <c r="S1329" s="6"/>
      <c r="T1329" s="6"/>
      <c r="U1329" s="6"/>
      <c r="V1329" s="6"/>
      <c r="W1329" s="6"/>
      <c r="X1329" s="6"/>
      <c r="Y1329" s="6"/>
      <c r="Z1329" s="6"/>
      <c r="AA1329" s="6"/>
      <c r="AB1329" s="6"/>
      <c r="AC1329" s="6"/>
      <c r="AD1329" s="6"/>
      <c r="AE1329" s="6"/>
      <c r="AF1329" s="6"/>
      <c r="AG1329" s="6"/>
      <c r="AH1329" s="6"/>
      <c r="AI1329" s="6"/>
      <c r="AJ1329" s="6"/>
      <c r="AK1329" s="6"/>
      <c r="AL1329" s="6"/>
      <c r="AM1329" s="6"/>
      <c r="AN1329" s="6"/>
      <c r="AO1329" s="6"/>
      <c r="AP1329" s="6"/>
      <c r="AQ1329" s="6"/>
      <c r="AR1329" s="6"/>
      <c r="AS1329" s="6"/>
      <c r="AT1329" s="6"/>
      <c r="AU1329" s="6"/>
      <c r="AV1329" s="6"/>
      <c r="AW1329" s="6"/>
      <c r="AX1329" s="6"/>
      <c r="AY1329" s="6"/>
      <c r="AZ1329" s="6"/>
      <c r="BA1329" s="6"/>
      <c r="BB1329" s="6"/>
      <c r="BC1329" s="6"/>
      <c r="BD1329" s="6"/>
      <c r="BE1329" s="6"/>
      <c r="BF1329" s="6"/>
      <c r="BG1329" s="6"/>
      <c r="BH1329" s="6"/>
      <c r="BI1329" s="6"/>
      <c r="BJ1329" s="6"/>
      <c r="BK1329" s="6"/>
      <c r="BL1329" s="44"/>
      <c r="BM1329" s="44"/>
      <c r="BN1329" s="45"/>
      <c r="BO1329" s="45"/>
      <c r="BP1329" s="7"/>
      <c r="BQ1329" s="7" t="e">
        <f>VLOOKUP(A1329,[1]Sheet15!B:E,3,0)</f>
        <v>#N/A</v>
      </c>
    </row>
    <row r="1330" spans="1:69" ht="15.75" customHeight="1" x14ac:dyDescent="0.25">
      <c r="A1330" s="12"/>
      <c r="B1330" s="15" t="e">
        <f>VLOOKUP(A1330,'[1]Master clients'!F1328:W4875,17,0)</f>
        <v>#N/A</v>
      </c>
      <c r="C1330" s="15" t="e">
        <f>VLOOKUP(A1330,'[1]Master clients'!F1328:P4875,11,0)</f>
        <v>#N/A</v>
      </c>
      <c r="D1330" s="15" t="e">
        <f>VLOOKUP(A1330,'[1]Master clients'!F:M,8,0)</f>
        <v>#N/A</v>
      </c>
      <c r="E1330" s="12"/>
      <c r="F1330" s="6"/>
      <c r="G1330" s="6"/>
      <c r="H1330" s="6"/>
      <c r="I1330" s="43"/>
      <c r="J1330" s="43"/>
      <c r="K1330" s="6"/>
      <c r="L1330" s="6"/>
      <c r="M1330" s="6"/>
      <c r="N1330" s="6"/>
      <c r="O1330" s="6"/>
      <c r="P1330" s="6"/>
      <c r="Q1330" s="6"/>
      <c r="R1330" s="6"/>
      <c r="S1330" s="6"/>
      <c r="T1330" s="6"/>
      <c r="U1330" s="6"/>
      <c r="V1330" s="6"/>
      <c r="W1330" s="6"/>
      <c r="X1330" s="6"/>
      <c r="Y1330" s="6"/>
      <c r="Z1330" s="6"/>
      <c r="AA1330" s="6"/>
      <c r="AB1330" s="6"/>
      <c r="AC1330" s="6"/>
      <c r="AD1330" s="6"/>
      <c r="AE1330" s="6"/>
      <c r="AF1330" s="6"/>
      <c r="AG1330" s="6"/>
      <c r="AH1330" s="6"/>
      <c r="AI1330" s="6"/>
      <c r="AJ1330" s="6"/>
      <c r="AK1330" s="6"/>
      <c r="AL1330" s="6"/>
      <c r="AM1330" s="6"/>
      <c r="AN1330" s="6"/>
      <c r="AO1330" s="6"/>
      <c r="AP1330" s="6"/>
      <c r="AQ1330" s="6"/>
      <c r="AR1330" s="6"/>
      <c r="AS1330" s="6"/>
      <c r="AT1330" s="6"/>
      <c r="AU1330" s="6"/>
      <c r="AV1330" s="6"/>
      <c r="AW1330" s="6"/>
      <c r="AX1330" s="6"/>
      <c r="AY1330" s="6"/>
      <c r="AZ1330" s="6"/>
      <c r="BA1330" s="6"/>
      <c r="BB1330" s="6"/>
      <c r="BC1330" s="6"/>
      <c r="BD1330" s="6"/>
      <c r="BE1330" s="6"/>
      <c r="BF1330" s="6"/>
      <c r="BG1330" s="6"/>
      <c r="BH1330" s="6"/>
      <c r="BI1330" s="6"/>
      <c r="BJ1330" s="6"/>
      <c r="BK1330" s="6"/>
      <c r="BL1330" s="44"/>
      <c r="BM1330" s="44"/>
      <c r="BN1330" s="45"/>
      <c r="BO1330" s="45"/>
      <c r="BP1330" s="7"/>
      <c r="BQ1330" s="7" t="e">
        <f>VLOOKUP(A1330,[1]Sheet15!B:E,3,0)</f>
        <v>#N/A</v>
      </c>
    </row>
    <row r="1331" spans="1:69" ht="15.75" customHeight="1" x14ac:dyDescent="0.25">
      <c r="A1331" s="12"/>
      <c r="B1331" s="15" t="e">
        <f>VLOOKUP(A1331,'[1]Master clients'!F1329:W4876,17,0)</f>
        <v>#N/A</v>
      </c>
      <c r="C1331" s="15" t="e">
        <f>VLOOKUP(A1331,'[1]Master clients'!F1329:P4876,11,0)</f>
        <v>#N/A</v>
      </c>
      <c r="D1331" s="15" t="e">
        <f>VLOOKUP(A1331,'[1]Master clients'!F:M,8,0)</f>
        <v>#N/A</v>
      </c>
      <c r="E1331" s="12"/>
      <c r="F1331" s="6"/>
      <c r="G1331" s="6"/>
      <c r="H1331" s="6"/>
      <c r="I1331" s="43"/>
      <c r="J1331" s="43"/>
      <c r="K1331" s="6"/>
      <c r="L1331" s="6"/>
      <c r="M1331" s="6"/>
      <c r="N1331" s="6"/>
      <c r="O1331" s="6"/>
      <c r="P1331" s="6"/>
      <c r="Q1331" s="6"/>
      <c r="R1331" s="6"/>
      <c r="S1331" s="6"/>
      <c r="T1331" s="6"/>
      <c r="U1331" s="6"/>
      <c r="V1331" s="6"/>
      <c r="W1331" s="6"/>
      <c r="X1331" s="6"/>
      <c r="Y1331" s="6"/>
      <c r="Z1331" s="6"/>
      <c r="AA1331" s="6"/>
      <c r="AB1331" s="6"/>
      <c r="AC1331" s="6"/>
      <c r="AD1331" s="6"/>
      <c r="AE1331" s="6"/>
      <c r="AF1331" s="6"/>
      <c r="AG1331" s="6"/>
      <c r="AH1331" s="6"/>
      <c r="AI1331" s="6"/>
      <c r="AJ1331" s="6"/>
      <c r="AK1331" s="6"/>
      <c r="AL1331" s="6"/>
      <c r="AM1331" s="6"/>
      <c r="AN1331" s="6"/>
      <c r="AO1331" s="6"/>
      <c r="AP1331" s="6"/>
      <c r="AQ1331" s="6"/>
      <c r="AR1331" s="6"/>
      <c r="AS1331" s="6"/>
      <c r="AT1331" s="6"/>
      <c r="AU1331" s="6"/>
      <c r="AV1331" s="6"/>
      <c r="AW1331" s="6"/>
      <c r="AX1331" s="6"/>
      <c r="AY1331" s="6"/>
      <c r="AZ1331" s="6"/>
      <c r="BA1331" s="6"/>
      <c r="BB1331" s="6"/>
      <c r="BC1331" s="6"/>
      <c r="BD1331" s="6"/>
      <c r="BE1331" s="6"/>
      <c r="BF1331" s="6"/>
      <c r="BG1331" s="6"/>
      <c r="BH1331" s="6"/>
      <c r="BI1331" s="6"/>
      <c r="BJ1331" s="6"/>
      <c r="BK1331" s="6"/>
      <c r="BL1331" s="44"/>
      <c r="BM1331" s="44"/>
      <c r="BN1331" s="45"/>
      <c r="BO1331" s="45"/>
      <c r="BP1331" s="7"/>
      <c r="BQ1331" s="7" t="e">
        <f>VLOOKUP(A1331,[1]Sheet15!B:E,3,0)</f>
        <v>#N/A</v>
      </c>
    </row>
    <row r="1332" spans="1:69" ht="15.75" customHeight="1" x14ac:dyDescent="0.25">
      <c r="A1332" s="12"/>
      <c r="B1332" s="15" t="e">
        <f>VLOOKUP(A1332,'[1]Master clients'!F1330:W4877,17,0)</f>
        <v>#N/A</v>
      </c>
      <c r="C1332" s="15" t="e">
        <f>VLOOKUP(A1332,'[1]Master clients'!F1330:P4877,11,0)</f>
        <v>#N/A</v>
      </c>
      <c r="D1332" s="15" t="e">
        <f>VLOOKUP(A1332,'[1]Master clients'!F:M,8,0)</f>
        <v>#N/A</v>
      </c>
      <c r="E1332" s="12"/>
      <c r="F1332" s="6"/>
      <c r="G1332" s="6"/>
      <c r="H1332" s="6"/>
      <c r="I1332" s="43"/>
      <c r="J1332" s="43"/>
      <c r="K1332" s="6"/>
      <c r="L1332" s="6"/>
      <c r="M1332" s="6"/>
      <c r="N1332" s="6"/>
      <c r="O1332" s="6"/>
      <c r="P1332" s="6"/>
      <c r="Q1332" s="6"/>
      <c r="R1332" s="6"/>
      <c r="S1332" s="6"/>
      <c r="T1332" s="6"/>
      <c r="U1332" s="6"/>
      <c r="V1332" s="6"/>
      <c r="W1332" s="6"/>
      <c r="X1332" s="6"/>
      <c r="Y1332" s="6"/>
      <c r="Z1332" s="6"/>
      <c r="AA1332" s="6"/>
      <c r="AB1332" s="6"/>
      <c r="AC1332" s="6"/>
      <c r="AD1332" s="6"/>
      <c r="AE1332" s="6"/>
      <c r="AF1332" s="6"/>
      <c r="AG1332" s="6"/>
      <c r="AH1332" s="6"/>
      <c r="AI1332" s="6"/>
      <c r="AJ1332" s="6"/>
      <c r="AK1332" s="6"/>
      <c r="AL1332" s="6"/>
      <c r="AM1332" s="6"/>
      <c r="AN1332" s="6"/>
      <c r="AO1332" s="6"/>
      <c r="AP1332" s="6"/>
      <c r="AQ1332" s="6"/>
      <c r="AR1332" s="6"/>
      <c r="AS1332" s="6"/>
      <c r="AT1332" s="6"/>
      <c r="AU1332" s="6"/>
      <c r="AV1332" s="6"/>
      <c r="AW1332" s="6"/>
      <c r="AX1332" s="6"/>
      <c r="AY1332" s="6"/>
      <c r="AZ1332" s="6"/>
      <c r="BA1332" s="6"/>
      <c r="BB1332" s="6"/>
      <c r="BC1332" s="6"/>
      <c r="BD1332" s="6"/>
      <c r="BE1332" s="6"/>
      <c r="BF1332" s="6"/>
      <c r="BG1332" s="6"/>
      <c r="BH1332" s="6"/>
      <c r="BI1332" s="6"/>
      <c r="BJ1332" s="6"/>
      <c r="BK1332" s="6"/>
      <c r="BL1332" s="44"/>
      <c r="BM1332" s="44"/>
      <c r="BN1332" s="45"/>
      <c r="BO1332" s="45"/>
      <c r="BP1332" s="7"/>
      <c r="BQ1332" s="7" t="e">
        <f>VLOOKUP(A1332,[1]Sheet15!B:E,3,0)</f>
        <v>#N/A</v>
      </c>
    </row>
    <row r="1333" spans="1:69" ht="15.75" customHeight="1" x14ac:dyDescent="0.25">
      <c r="A1333" s="12"/>
      <c r="B1333" s="15" t="e">
        <f>VLOOKUP(A1333,'[1]Master clients'!F1331:W4878,17,0)</f>
        <v>#N/A</v>
      </c>
      <c r="C1333" s="15" t="e">
        <f>VLOOKUP(A1333,'[1]Master clients'!F1331:P4878,11,0)</f>
        <v>#N/A</v>
      </c>
      <c r="D1333" s="15" t="e">
        <f>VLOOKUP(A1333,'[1]Master clients'!F:M,8,0)</f>
        <v>#N/A</v>
      </c>
      <c r="E1333" s="12"/>
      <c r="F1333" s="6"/>
      <c r="G1333" s="6"/>
      <c r="H1333" s="6"/>
      <c r="I1333" s="43"/>
      <c r="J1333" s="43"/>
      <c r="K1333" s="6"/>
      <c r="L1333" s="6"/>
      <c r="M1333" s="6"/>
      <c r="N1333" s="6"/>
      <c r="O1333" s="6"/>
      <c r="P1333" s="6"/>
      <c r="Q1333" s="6"/>
      <c r="R1333" s="6"/>
      <c r="S1333" s="6"/>
      <c r="T1333" s="6"/>
      <c r="U1333" s="6"/>
      <c r="V1333" s="6"/>
      <c r="W1333" s="6"/>
      <c r="X1333" s="6"/>
      <c r="Y1333" s="6"/>
      <c r="Z1333" s="6"/>
      <c r="AA1333" s="6"/>
      <c r="AB1333" s="6"/>
      <c r="AC1333" s="6"/>
      <c r="AD1333" s="6"/>
      <c r="AE1333" s="6"/>
      <c r="AF1333" s="6"/>
      <c r="AG1333" s="6"/>
      <c r="AH1333" s="6"/>
      <c r="AI1333" s="6"/>
      <c r="AJ1333" s="6"/>
      <c r="AK1333" s="6"/>
      <c r="AL1333" s="6"/>
      <c r="AM1333" s="6"/>
      <c r="AN1333" s="6"/>
      <c r="AO1333" s="6"/>
      <c r="AP1333" s="6"/>
      <c r="AQ1333" s="6"/>
      <c r="AR1333" s="6"/>
      <c r="AS1333" s="6"/>
      <c r="AT1333" s="6"/>
      <c r="AU1333" s="6"/>
      <c r="AV1333" s="6"/>
      <c r="AW1333" s="6"/>
      <c r="AX1333" s="6"/>
      <c r="AY1333" s="6"/>
      <c r="AZ1333" s="6"/>
      <c r="BA1333" s="6"/>
      <c r="BB1333" s="6"/>
      <c r="BC1333" s="6"/>
      <c r="BD1333" s="6"/>
      <c r="BE1333" s="6"/>
      <c r="BF1333" s="6"/>
      <c r="BG1333" s="6"/>
      <c r="BH1333" s="6"/>
      <c r="BI1333" s="6"/>
      <c r="BJ1333" s="6"/>
      <c r="BK1333" s="6"/>
      <c r="BL1333" s="44"/>
      <c r="BM1333" s="44"/>
      <c r="BN1333" s="45"/>
      <c r="BO1333" s="45"/>
      <c r="BP1333" s="7"/>
      <c r="BQ1333" s="7" t="e">
        <f>VLOOKUP(A1333,[1]Sheet15!B:E,3,0)</f>
        <v>#N/A</v>
      </c>
    </row>
    <row r="1334" spans="1:69" ht="15.75" customHeight="1" x14ac:dyDescent="0.25">
      <c r="A1334" s="12"/>
      <c r="B1334" s="15" t="e">
        <f>VLOOKUP(A1334,'[1]Master clients'!F1332:W4879,17,0)</f>
        <v>#N/A</v>
      </c>
      <c r="C1334" s="15" t="e">
        <f>VLOOKUP(A1334,'[1]Master clients'!F1332:P4879,11,0)</f>
        <v>#N/A</v>
      </c>
      <c r="D1334" s="15" t="e">
        <f>VLOOKUP(A1334,'[1]Master clients'!F:M,8,0)</f>
        <v>#N/A</v>
      </c>
      <c r="E1334" s="12"/>
      <c r="F1334" s="6"/>
      <c r="G1334" s="6"/>
      <c r="H1334" s="6"/>
      <c r="I1334" s="43"/>
      <c r="J1334" s="43"/>
      <c r="K1334" s="6"/>
      <c r="L1334" s="6"/>
      <c r="M1334" s="6"/>
      <c r="N1334" s="6"/>
      <c r="O1334" s="6"/>
      <c r="P1334" s="6"/>
      <c r="Q1334" s="6"/>
      <c r="R1334" s="6"/>
      <c r="S1334" s="6"/>
      <c r="T1334" s="6"/>
      <c r="U1334" s="6"/>
      <c r="V1334" s="6"/>
      <c r="W1334" s="6"/>
      <c r="X1334" s="6"/>
      <c r="Y1334" s="6"/>
      <c r="Z1334" s="6"/>
      <c r="AA1334" s="6"/>
      <c r="AB1334" s="6"/>
      <c r="AC1334" s="6"/>
      <c r="AD1334" s="6"/>
      <c r="AE1334" s="6"/>
      <c r="AF1334" s="6"/>
      <c r="AG1334" s="6"/>
      <c r="AH1334" s="6"/>
      <c r="AI1334" s="6"/>
      <c r="AJ1334" s="6"/>
      <c r="AK1334" s="6"/>
      <c r="AL1334" s="6"/>
      <c r="AM1334" s="6"/>
      <c r="AN1334" s="6"/>
      <c r="AO1334" s="6"/>
      <c r="AP1334" s="6"/>
      <c r="AQ1334" s="6"/>
      <c r="AR1334" s="6"/>
      <c r="AS1334" s="6"/>
      <c r="AT1334" s="6"/>
      <c r="AU1334" s="6"/>
      <c r="AV1334" s="6"/>
      <c r="AW1334" s="6"/>
      <c r="AX1334" s="6"/>
      <c r="AY1334" s="6"/>
      <c r="AZ1334" s="6"/>
      <c r="BA1334" s="6"/>
      <c r="BB1334" s="6"/>
      <c r="BC1334" s="6"/>
      <c r="BD1334" s="6"/>
      <c r="BE1334" s="6"/>
      <c r="BF1334" s="6"/>
      <c r="BG1334" s="6"/>
      <c r="BH1334" s="6"/>
      <c r="BI1334" s="6"/>
      <c r="BJ1334" s="6"/>
      <c r="BK1334" s="6"/>
      <c r="BL1334" s="44"/>
      <c r="BM1334" s="44"/>
      <c r="BN1334" s="45"/>
      <c r="BO1334" s="45"/>
      <c r="BP1334" s="7"/>
      <c r="BQ1334" s="7" t="e">
        <f>VLOOKUP(A1334,[1]Sheet15!B:E,3,0)</f>
        <v>#N/A</v>
      </c>
    </row>
    <row r="1335" spans="1:69" ht="15.75" customHeight="1" x14ac:dyDescent="0.25">
      <c r="A1335" s="12"/>
      <c r="B1335" s="15" t="e">
        <f>VLOOKUP(A1335,'[1]Master clients'!F1333:W4880,17,0)</f>
        <v>#N/A</v>
      </c>
      <c r="C1335" s="15" t="e">
        <f>VLOOKUP(A1335,'[1]Master clients'!F1333:P4880,11,0)</f>
        <v>#N/A</v>
      </c>
      <c r="D1335" s="15" t="e">
        <f>VLOOKUP(A1335,'[1]Master clients'!F:M,8,0)</f>
        <v>#N/A</v>
      </c>
      <c r="E1335" s="12"/>
      <c r="F1335" s="6"/>
      <c r="G1335" s="6"/>
      <c r="H1335" s="6"/>
      <c r="I1335" s="43"/>
      <c r="J1335" s="43"/>
      <c r="K1335" s="6"/>
      <c r="L1335" s="6"/>
      <c r="M1335" s="6"/>
      <c r="N1335" s="6"/>
      <c r="O1335" s="6"/>
      <c r="P1335" s="6"/>
      <c r="Q1335" s="6"/>
      <c r="R1335" s="6"/>
      <c r="S1335" s="6"/>
      <c r="T1335" s="6"/>
      <c r="U1335" s="6"/>
      <c r="V1335" s="6"/>
      <c r="W1335" s="6"/>
      <c r="X1335" s="6"/>
      <c r="Y1335" s="6"/>
      <c r="Z1335" s="6"/>
      <c r="AA1335" s="6"/>
      <c r="AB1335" s="6"/>
      <c r="AC1335" s="6"/>
      <c r="AD1335" s="6"/>
      <c r="AE1335" s="6"/>
      <c r="AF1335" s="6"/>
      <c r="AG1335" s="6"/>
      <c r="AH1335" s="6"/>
      <c r="AI1335" s="6"/>
      <c r="AJ1335" s="6"/>
      <c r="AK1335" s="6"/>
      <c r="AL1335" s="6"/>
      <c r="AM1335" s="6"/>
      <c r="AN1335" s="6"/>
      <c r="AO1335" s="6"/>
      <c r="AP1335" s="6"/>
      <c r="AQ1335" s="6"/>
      <c r="AR1335" s="6"/>
      <c r="AS1335" s="6"/>
      <c r="AT1335" s="6"/>
      <c r="AU1335" s="6"/>
      <c r="AV1335" s="6"/>
      <c r="AW1335" s="6"/>
      <c r="AX1335" s="6"/>
      <c r="AY1335" s="6"/>
      <c r="AZ1335" s="6"/>
      <c r="BA1335" s="6"/>
      <c r="BB1335" s="6"/>
      <c r="BC1335" s="6"/>
      <c r="BD1335" s="6"/>
      <c r="BE1335" s="6"/>
      <c r="BF1335" s="6"/>
      <c r="BG1335" s="6"/>
      <c r="BH1335" s="6"/>
      <c r="BI1335" s="6"/>
      <c r="BJ1335" s="6"/>
      <c r="BK1335" s="6"/>
      <c r="BL1335" s="44"/>
      <c r="BM1335" s="44"/>
      <c r="BN1335" s="45"/>
      <c r="BO1335" s="45"/>
      <c r="BP1335" s="7"/>
      <c r="BQ1335" s="7" t="e">
        <f>VLOOKUP(A1335,[1]Sheet15!B:E,3,0)</f>
        <v>#N/A</v>
      </c>
    </row>
    <row r="1336" spans="1:69" ht="15.75" customHeight="1" x14ac:dyDescent="0.25">
      <c r="A1336" s="12"/>
      <c r="B1336" s="15" t="e">
        <f>VLOOKUP(A1336,'[1]Master clients'!F1334:W4881,17,0)</f>
        <v>#N/A</v>
      </c>
      <c r="C1336" s="15" t="e">
        <f>VLOOKUP(A1336,'[1]Master clients'!F1334:P4881,11,0)</f>
        <v>#N/A</v>
      </c>
      <c r="D1336" s="15" t="e">
        <f>VLOOKUP(A1336,'[1]Master clients'!F:M,8,0)</f>
        <v>#N/A</v>
      </c>
      <c r="E1336" s="12"/>
      <c r="F1336" s="6"/>
      <c r="G1336" s="6"/>
      <c r="H1336" s="6"/>
      <c r="I1336" s="43"/>
      <c r="J1336" s="43"/>
      <c r="K1336" s="6"/>
      <c r="L1336" s="6"/>
      <c r="M1336" s="6"/>
      <c r="N1336" s="6"/>
      <c r="O1336" s="6"/>
      <c r="P1336" s="6"/>
      <c r="Q1336" s="6"/>
      <c r="R1336" s="6"/>
      <c r="S1336" s="6"/>
      <c r="T1336" s="6"/>
      <c r="U1336" s="6"/>
      <c r="V1336" s="6"/>
      <c r="W1336" s="6"/>
      <c r="X1336" s="6"/>
      <c r="Y1336" s="6"/>
      <c r="Z1336" s="6"/>
      <c r="AA1336" s="6"/>
      <c r="AB1336" s="6"/>
      <c r="AC1336" s="6"/>
      <c r="AD1336" s="6"/>
      <c r="AE1336" s="6"/>
      <c r="AF1336" s="6"/>
      <c r="AG1336" s="6"/>
      <c r="AH1336" s="6"/>
      <c r="AI1336" s="6"/>
      <c r="AJ1336" s="6"/>
      <c r="AK1336" s="6"/>
      <c r="AL1336" s="6"/>
      <c r="AM1336" s="6"/>
      <c r="AN1336" s="6"/>
      <c r="AO1336" s="6"/>
      <c r="AP1336" s="6"/>
      <c r="AQ1336" s="6"/>
      <c r="AR1336" s="6"/>
      <c r="AS1336" s="6"/>
      <c r="AT1336" s="6"/>
      <c r="AU1336" s="6"/>
      <c r="AV1336" s="6"/>
      <c r="AW1336" s="6"/>
      <c r="AX1336" s="6"/>
      <c r="AY1336" s="6"/>
      <c r="AZ1336" s="6"/>
      <c r="BA1336" s="6"/>
      <c r="BB1336" s="6"/>
      <c r="BC1336" s="6"/>
      <c r="BD1336" s="6"/>
      <c r="BE1336" s="6"/>
      <c r="BF1336" s="6"/>
      <c r="BG1336" s="6"/>
      <c r="BH1336" s="6"/>
      <c r="BI1336" s="6"/>
      <c r="BJ1336" s="6"/>
      <c r="BK1336" s="6"/>
      <c r="BL1336" s="44"/>
      <c r="BM1336" s="44"/>
      <c r="BN1336" s="45"/>
      <c r="BO1336" s="45"/>
      <c r="BP1336" s="7"/>
      <c r="BQ1336" s="7" t="e">
        <f>VLOOKUP(A1336,[1]Sheet15!B:E,3,0)</f>
        <v>#N/A</v>
      </c>
    </row>
    <row r="1337" spans="1:69" ht="15.75" customHeight="1" x14ac:dyDescent="0.25">
      <c r="A1337" s="12"/>
      <c r="B1337" s="15" t="e">
        <f>VLOOKUP(A1337,'[1]Master clients'!F1335:W4882,17,0)</f>
        <v>#N/A</v>
      </c>
      <c r="C1337" s="15" t="e">
        <f>VLOOKUP(A1337,'[1]Master clients'!F1335:P4882,11,0)</f>
        <v>#N/A</v>
      </c>
      <c r="D1337" s="15" t="e">
        <f>VLOOKUP(A1337,'[1]Master clients'!F:M,8,0)</f>
        <v>#N/A</v>
      </c>
      <c r="E1337" s="12"/>
      <c r="F1337" s="6"/>
      <c r="G1337" s="6"/>
      <c r="H1337" s="6"/>
      <c r="I1337" s="43"/>
      <c r="J1337" s="43"/>
      <c r="K1337" s="6"/>
      <c r="L1337" s="6"/>
      <c r="M1337" s="6"/>
      <c r="N1337" s="6"/>
      <c r="O1337" s="6"/>
      <c r="P1337" s="6"/>
      <c r="Q1337" s="6"/>
      <c r="R1337" s="6"/>
      <c r="S1337" s="6"/>
      <c r="T1337" s="6"/>
      <c r="U1337" s="6"/>
      <c r="V1337" s="6"/>
      <c r="W1337" s="6"/>
      <c r="X1337" s="6"/>
      <c r="Y1337" s="6"/>
      <c r="Z1337" s="6"/>
      <c r="AA1337" s="6"/>
      <c r="AB1337" s="6"/>
      <c r="AC1337" s="6"/>
      <c r="AD1337" s="6"/>
      <c r="AE1337" s="6"/>
      <c r="AF1337" s="6"/>
      <c r="AG1337" s="6"/>
      <c r="AH1337" s="6"/>
      <c r="AI1337" s="6"/>
      <c r="AJ1337" s="6"/>
      <c r="AK1337" s="6"/>
      <c r="AL1337" s="6"/>
      <c r="AM1337" s="6"/>
      <c r="AN1337" s="6"/>
      <c r="AO1337" s="6"/>
      <c r="AP1337" s="6"/>
      <c r="AQ1337" s="6"/>
      <c r="AR1337" s="6"/>
      <c r="AS1337" s="6"/>
      <c r="AT1337" s="6"/>
      <c r="AU1337" s="6"/>
      <c r="AV1337" s="6"/>
      <c r="AW1337" s="6"/>
      <c r="AX1337" s="6"/>
      <c r="AY1337" s="6"/>
      <c r="AZ1337" s="6"/>
      <c r="BA1337" s="6"/>
      <c r="BB1337" s="6"/>
      <c r="BC1337" s="6"/>
      <c r="BD1337" s="6"/>
      <c r="BE1337" s="6"/>
      <c r="BF1337" s="6"/>
      <c r="BG1337" s="6"/>
      <c r="BH1337" s="6"/>
      <c r="BI1337" s="6"/>
      <c r="BJ1337" s="6"/>
      <c r="BK1337" s="6"/>
      <c r="BL1337" s="44"/>
      <c r="BM1337" s="44"/>
      <c r="BN1337" s="45"/>
      <c r="BO1337" s="45"/>
      <c r="BP1337" s="7"/>
      <c r="BQ1337" s="7" t="e">
        <f>VLOOKUP(A1337,[1]Sheet15!B:E,3,0)</f>
        <v>#N/A</v>
      </c>
    </row>
    <row r="1338" spans="1:69" ht="15.75" customHeight="1" x14ac:dyDescent="0.25">
      <c r="A1338" s="12"/>
      <c r="B1338" s="15" t="e">
        <f>VLOOKUP(A1338,'[1]Master clients'!F1336:W4883,17,0)</f>
        <v>#N/A</v>
      </c>
      <c r="C1338" s="15" t="e">
        <f>VLOOKUP(A1338,'[1]Master clients'!F1336:P4883,11,0)</f>
        <v>#N/A</v>
      </c>
      <c r="D1338" s="15" t="e">
        <f>VLOOKUP(A1338,'[1]Master clients'!F:M,8,0)</f>
        <v>#N/A</v>
      </c>
      <c r="E1338" s="12"/>
      <c r="F1338" s="6"/>
      <c r="G1338" s="6"/>
      <c r="H1338" s="6"/>
      <c r="I1338" s="43"/>
      <c r="J1338" s="43"/>
      <c r="K1338" s="6"/>
      <c r="L1338" s="6"/>
      <c r="M1338" s="6"/>
      <c r="N1338" s="6"/>
      <c r="O1338" s="6"/>
      <c r="P1338" s="6"/>
      <c r="Q1338" s="6"/>
      <c r="R1338" s="6"/>
      <c r="S1338" s="6"/>
      <c r="T1338" s="6"/>
      <c r="U1338" s="6"/>
      <c r="V1338" s="6"/>
      <c r="W1338" s="6"/>
      <c r="X1338" s="6"/>
      <c r="Y1338" s="6"/>
      <c r="Z1338" s="6"/>
      <c r="AA1338" s="6"/>
      <c r="AB1338" s="6"/>
      <c r="AC1338" s="6"/>
      <c r="AD1338" s="6"/>
      <c r="AE1338" s="6"/>
      <c r="AF1338" s="6"/>
      <c r="AG1338" s="6"/>
      <c r="AH1338" s="6"/>
      <c r="AI1338" s="6"/>
      <c r="AJ1338" s="6"/>
      <c r="AK1338" s="6"/>
      <c r="AL1338" s="6"/>
      <c r="AM1338" s="6"/>
      <c r="AN1338" s="6"/>
      <c r="AO1338" s="6"/>
      <c r="AP1338" s="6"/>
      <c r="AQ1338" s="6"/>
      <c r="AR1338" s="6"/>
      <c r="AS1338" s="6"/>
      <c r="AT1338" s="6"/>
      <c r="AU1338" s="6"/>
      <c r="AV1338" s="6"/>
      <c r="AW1338" s="6"/>
      <c r="AX1338" s="6"/>
      <c r="AY1338" s="6"/>
      <c r="AZ1338" s="6"/>
      <c r="BA1338" s="6"/>
      <c r="BB1338" s="6"/>
      <c r="BC1338" s="6"/>
      <c r="BD1338" s="6"/>
      <c r="BE1338" s="6"/>
      <c r="BF1338" s="6"/>
      <c r="BG1338" s="6"/>
      <c r="BH1338" s="6"/>
      <c r="BI1338" s="6"/>
      <c r="BJ1338" s="6"/>
      <c r="BK1338" s="6"/>
      <c r="BL1338" s="44"/>
      <c r="BM1338" s="44"/>
      <c r="BN1338" s="45"/>
      <c r="BO1338" s="45"/>
      <c r="BP1338" s="7"/>
      <c r="BQ1338" s="7" t="e">
        <f>VLOOKUP(A1338,[1]Sheet15!B:E,3,0)</f>
        <v>#N/A</v>
      </c>
    </row>
    <row r="1339" spans="1:69" ht="15.75" customHeight="1" x14ac:dyDescent="0.25">
      <c r="A1339" s="12"/>
      <c r="B1339" s="15" t="e">
        <f>VLOOKUP(A1339,'[1]Master clients'!F1337:W4884,17,0)</f>
        <v>#N/A</v>
      </c>
      <c r="C1339" s="15" t="e">
        <f>VLOOKUP(A1339,'[1]Master clients'!F1337:P4884,11,0)</f>
        <v>#N/A</v>
      </c>
      <c r="D1339" s="15" t="e">
        <f>VLOOKUP(A1339,'[1]Master clients'!F:M,8,0)</f>
        <v>#N/A</v>
      </c>
      <c r="E1339" s="12"/>
      <c r="F1339" s="6"/>
      <c r="G1339" s="6"/>
      <c r="H1339" s="6"/>
      <c r="I1339" s="43"/>
      <c r="J1339" s="43"/>
      <c r="K1339" s="6"/>
      <c r="L1339" s="6"/>
      <c r="M1339" s="6"/>
      <c r="N1339" s="6"/>
      <c r="O1339" s="6"/>
      <c r="P1339" s="6"/>
      <c r="Q1339" s="6"/>
      <c r="R1339" s="6"/>
      <c r="S1339" s="6"/>
      <c r="T1339" s="6"/>
      <c r="U1339" s="6"/>
      <c r="V1339" s="6"/>
      <c r="W1339" s="6"/>
      <c r="X1339" s="6"/>
      <c r="Y1339" s="6"/>
      <c r="Z1339" s="6"/>
      <c r="AA1339" s="6"/>
      <c r="AB1339" s="6"/>
      <c r="AC1339" s="6"/>
      <c r="AD1339" s="6"/>
      <c r="AE1339" s="6"/>
      <c r="AF1339" s="6"/>
      <c r="AG1339" s="6"/>
      <c r="AH1339" s="6"/>
      <c r="AI1339" s="6"/>
      <c r="AJ1339" s="6"/>
      <c r="AK1339" s="6"/>
      <c r="AL1339" s="6"/>
      <c r="AM1339" s="6"/>
      <c r="AN1339" s="6"/>
      <c r="AO1339" s="6"/>
      <c r="AP1339" s="6"/>
      <c r="AQ1339" s="6"/>
      <c r="AR1339" s="6"/>
      <c r="AS1339" s="6"/>
      <c r="AT1339" s="6"/>
      <c r="AU1339" s="6"/>
      <c r="AV1339" s="6"/>
      <c r="AW1339" s="6"/>
      <c r="AX1339" s="6"/>
      <c r="AY1339" s="6"/>
      <c r="AZ1339" s="6"/>
      <c r="BA1339" s="6"/>
      <c r="BB1339" s="6"/>
      <c r="BC1339" s="6"/>
      <c r="BD1339" s="6"/>
      <c r="BE1339" s="6"/>
      <c r="BF1339" s="6"/>
      <c r="BG1339" s="6"/>
      <c r="BH1339" s="6"/>
      <c r="BI1339" s="6"/>
      <c r="BJ1339" s="6"/>
      <c r="BK1339" s="6"/>
      <c r="BL1339" s="44"/>
      <c r="BM1339" s="44"/>
      <c r="BN1339" s="45"/>
      <c r="BO1339" s="45"/>
      <c r="BP1339" s="7"/>
      <c r="BQ1339" s="7" t="e">
        <f>VLOOKUP(A1339,[1]Sheet15!B:E,3,0)</f>
        <v>#N/A</v>
      </c>
    </row>
    <row r="1340" spans="1:69" ht="15.75" customHeight="1" x14ac:dyDescent="0.25">
      <c r="A1340" s="12"/>
      <c r="B1340" s="15" t="e">
        <f>VLOOKUP(A1340,'[1]Master clients'!F1338:W4885,17,0)</f>
        <v>#N/A</v>
      </c>
      <c r="C1340" s="15" t="e">
        <f>VLOOKUP(A1340,'[1]Master clients'!F1338:P4885,11,0)</f>
        <v>#N/A</v>
      </c>
      <c r="D1340" s="15" t="e">
        <f>VLOOKUP(A1340,'[1]Master clients'!F:M,8,0)</f>
        <v>#N/A</v>
      </c>
      <c r="E1340" s="12"/>
      <c r="F1340" s="6"/>
      <c r="G1340" s="6"/>
      <c r="H1340" s="6"/>
      <c r="I1340" s="43"/>
      <c r="J1340" s="43"/>
      <c r="K1340" s="6"/>
      <c r="L1340" s="6"/>
      <c r="M1340" s="6"/>
      <c r="N1340" s="6"/>
      <c r="O1340" s="6"/>
      <c r="P1340" s="6"/>
      <c r="Q1340" s="6"/>
      <c r="R1340" s="6"/>
      <c r="S1340" s="6"/>
      <c r="T1340" s="6"/>
      <c r="U1340" s="6"/>
      <c r="V1340" s="6"/>
      <c r="W1340" s="6"/>
      <c r="X1340" s="6"/>
      <c r="Y1340" s="6"/>
      <c r="Z1340" s="6"/>
      <c r="AA1340" s="6"/>
      <c r="AB1340" s="6"/>
      <c r="AC1340" s="6"/>
      <c r="AD1340" s="6"/>
      <c r="AE1340" s="6"/>
      <c r="AF1340" s="6"/>
      <c r="AG1340" s="6"/>
      <c r="AH1340" s="6"/>
      <c r="AI1340" s="6"/>
      <c r="AJ1340" s="6"/>
      <c r="AK1340" s="6"/>
      <c r="AL1340" s="6"/>
      <c r="AM1340" s="6"/>
      <c r="AN1340" s="6"/>
      <c r="AO1340" s="6"/>
      <c r="AP1340" s="6"/>
      <c r="AQ1340" s="6"/>
      <c r="AR1340" s="6"/>
      <c r="AS1340" s="6"/>
      <c r="AT1340" s="6"/>
      <c r="AU1340" s="6"/>
      <c r="AV1340" s="6"/>
      <c r="AW1340" s="6"/>
      <c r="AX1340" s="6"/>
      <c r="AY1340" s="6"/>
      <c r="AZ1340" s="6"/>
      <c r="BA1340" s="6"/>
      <c r="BB1340" s="6"/>
      <c r="BC1340" s="6"/>
      <c r="BD1340" s="6"/>
      <c r="BE1340" s="6"/>
      <c r="BF1340" s="6"/>
      <c r="BG1340" s="6"/>
      <c r="BH1340" s="6"/>
      <c r="BI1340" s="6"/>
      <c r="BJ1340" s="6"/>
      <c r="BK1340" s="6"/>
      <c r="BL1340" s="44"/>
      <c r="BM1340" s="44"/>
      <c r="BN1340" s="45"/>
      <c r="BO1340" s="45"/>
      <c r="BP1340" s="7"/>
      <c r="BQ1340" s="7" t="e">
        <f>VLOOKUP(A1340,[1]Sheet15!B:E,3,0)</f>
        <v>#N/A</v>
      </c>
    </row>
    <row r="1341" spans="1:69" ht="15.75" customHeight="1" x14ac:dyDescent="0.25">
      <c r="A1341" s="12"/>
      <c r="B1341" s="15" t="e">
        <f>VLOOKUP(A1341,'[1]Master clients'!F1339:W4886,17,0)</f>
        <v>#N/A</v>
      </c>
      <c r="C1341" s="15" t="e">
        <f>VLOOKUP(A1341,'[1]Master clients'!F1339:P4886,11,0)</f>
        <v>#N/A</v>
      </c>
      <c r="D1341" s="15" t="e">
        <f>VLOOKUP(A1341,'[1]Master clients'!F:M,8,0)</f>
        <v>#N/A</v>
      </c>
      <c r="E1341" s="12"/>
      <c r="F1341" s="6"/>
      <c r="G1341" s="6"/>
      <c r="H1341" s="6"/>
      <c r="I1341" s="43"/>
      <c r="J1341" s="43"/>
      <c r="K1341" s="6"/>
      <c r="L1341" s="6"/>
      <c r="M1341" s="6"/>
      <c r="N1341" s="6"/>
      <c r="O1341" s="6"/>
      <c r="P1341" s="6"/>
      <c r="Q1341" s="6"/>
      <c r="R1341" s="6"/>
      <c r="S1341" s="6"/>
      <c r="T1341" s="6"/>
      <c r="U1341" s="6"/>
      <c r="V1341" s="6"/>
      <c r="W1341" s="6"/>
      <c r="X1341" s="6"/>
      <c r="Y1341" s="6"/>
      <c r="Z1341" s="6"/>
      <c r="AA1341" s="6"/>
      <c r="AB1341" s="6"/>
      <c r="AC1341" s="6"/>
      <c r="AD1341" s="6"/>
      <c r="AE1341" s="6"/>
      <c r="AF1341" s="6"/>
      <c r="AG1341" s="6"/>
      <c r="AH1341" s="6"/>
      <c r="AI1341" s="6"/>
      <c r="AJ1341" s="6"/>
      <c r="AK1341" s="6"/>
      <c r="AL1341" s="6"/>
      <c r="AM1341" s="6"/>
      <c r="AN1341" s="6"/>
      <c r="AO1341" s="6"/>
      <c r="AP1341" s="6"/>
      <c r="AQ1341" s="6"/>
      <c r="AR1341" s="6"/>
      <c r="AS1341" s="6"/>
      <c r="AT1341" s="6"/>
      <c r="AU1341" s="6"/>
      <c r="AV1341" s="6"/>
      <c r="AW1341" s="6"/>
      <c r="AX1341" s="6"/>
      <c r="AY1341" s="6"/>
      <c r="AZ1341" s="6"/>
      <c r="BA1341" s="6"/>
      <c r="BB1341" s="6"/>
      <c r="BC1341" s="6"/>
      <c r="BD1341" s="6"/>
      <c r="BE1341" s="6"/>
      <c r="BF1341" s="6"/>
      <c r="BG1341" s="6"/>
      <c r="BH1341" s="6"/>
      <c r="BI1341" s="6"/>
      <c r="BJ1341" s="6"/>
      <c r="BK1341" s="6"/>
      <c r="BL1341" s="44"/>
      <c r="BM1341" s="44"/>
      <c r="BN1341" s="45"/>
      <c r="BO1341" s="45"/>
      <c r="BP1341" s="7"/>
      <c r="BQ1341" s="7" t="e">
        <f>VLOOKUP(A1341,[1]Sheet15!B:E,3,0)</f>
        <v>#N/A</v>
      </c>
    </row>
    <row r="1342" spans="1:69" ht="15.75" customHeight="1" x14ac:dyDescent="0.25">
      <c r="A1342" s="12"/>
      <c r="B1342" s="15" t="e">
        <f>VLOOKUP(A1342,'[1]Master clients'!F1340:W4887,17,0)</f>
        <v>#N/A</v>
      </c>
      <c r="C1342" s="15" t="e">
        <f>VLOOKUP(A1342,'[1]Master clients'!F1340:P4887,11,0)</f>
        <v>#N/A</v>
      </c>
      <c r="D1342" s="15" t="e">
        <f>VLOOKUP(A1342,'[1]Master clients'!F:M,8,0)</f>
        <v>#N/A</v>
      </c>
      <c r="E1342" s="12"/>
      <c r="F1342" s="6"/>
      <c r="G1342" s="6"/>
      <c r="H1342" s="6"/>
      <c r="I1342" s="43"/>
      <c r="J1342" s="43"/>
      <c r="K1342" s="6"/>
      <c r="L1342" s="6"/>
      <c r="M1342" s="6"/>
      <c r="N1342" s="6"/>
      <c r="O1342" s="6"/>
      <c r="P1342" s="6"/>
      <c r="Q1342" s="6"/>
      <c r="R1342" s="6"/>
      <c r="S1342" s="6"/>
      <c r="T1342" s="6"/>
      <c r="U1342" s="6"/>
      <c r="V1342" s="6"/>
      <c r="W1342" s="6"/>
      <c r="X1342" s="6"/>
      <c r="Y1342" s="6"/>
      <c r="Z1342" s="6"/>
      <c r="AA1342" s="6"/>
      <c r="AB1342" s="6"/>
      <c r="AC1342" s="6"/>
      <c r="AD1342" s="6"/>
      <c r="AE1342" s="6"/>
      <c r="AF1342" s="6"/>
      <c r="AG1342" s="6"/>
      <c r="AH1342" s="6"/>
      <c r="AI1342" s="6"/>
      <c r="AJ1342" s="6"/>
      <c r="AK1342" s="6"/>
      <c r="AL1342" s="6"/>
      <c r="AM1342" s="6"/>
      <c r="AN1342" s="6"/>
      <c r="AO1342" s="6"/>
      <c r="AP1342" s="6"/>
      <c r="AQ1342" s="6"/>
      <c r="AR1342" s="6"/>
      <c r="AS1342" s="6"/>
      <c r="AT1342" s="6"/>
      <c r="AU1342" s="6"/>
      <c r="AV1342" s="6"/>
      <c r="AW1342" s="6"/>
      <c r="AX1342" s="6"/>
      <c r="AY1342" s="6"/>
      <c r="AZ1342" s="6"/>
      <c r="BA1342" s="6"/>
      <c r="BB1342" s="6"/>
      <c r="BC1342" s="6"/>
      <c r="BD1342" s="6"/>
      <c r="BE1342" s="6"/>
      <c r="BF1342" s="6"/>
      <c r="BG1342" s="6"/>
      <c r="BH1342" s="6"/>
      <c r="BI1342" s="6"/>
      <c r="BJ1342" s="6"/>
      <c r="BK1342" s="6"/>
      <c r="BL1342" s="44"/>
      <c r="BM1342" s="44"/>
      <c r="BN1342" s="45"/>
      <c r="BO1342" s="45"/>
      <c r="BP1342" s="7"/>
      <c r="BQ1342" s="7" t="e">
        <f>VLOOKUP(A1342,[1]Sheet15!B:E,3,0)</f>
        <v>#N/A</v>
      </c>
    </row>
    <row r="1343" spans="1:69" ht="15.75" customHeight="1" x14ac:dyDescent="0.25">
      <c r="A1343" s="12"/>
      <c r="B1343" s="15" t="e">
        <f>VLOOKUP(A1343,'[1]Master clients'!F1341:W4888,17,0)</f>
        <v>#N/A</v>
      </c>
      <c r="C1343" s="15" t="e">
        <f>VLOOKUP(A1343,'[1]Master clients'!F1341:P4888,11,0)</f>
        <v>#N/A</v>
      </c>
      <c r="D1343" s="15" t="e">
        <f>VLOOKUP(A1343,'[1]Master clients'!F:M,8,0)</f>
        <v>#N/A</v>
      </c>
      <c r="E1343" s="12"/>
      <c r="F1343" s="6"/>
      <c r="G1343" s="6"/>
      <c r="H1343" s="6"/>
      <c r="I1343" s="43"/>
      <c r="J1343" s="43"/>
      <c r="K1343" s="6"/>
      <c r="L1343" s="6"/>
      <c r="M1343" s="6"/>
      <c r="N1343" s="6"/>
      <c r="O1343" s="6"/>
      <c r="P1343" s="6"/>
      <c r="Q1343" s="6"/>
      <c r="R1343" s="6"/>
      <c r="S1343" s="6"/>
      <c r="T1343" s="6"/>
      <c r="U1343" s="6"/>
      <c r="V1343" s="6"/>
      <c r="W1343" s="6"/>
      <c r="X1343" s="6"/>
      <c r="Y1343" s="6"/>
      <c r="Z1343" s="6"/>
      <c r="AA1343" s="6"/>
      <c r="AB1343" s="6"/>
      <c r="AC1343" s="6"/>
      <c r="AD1343" s="6"/>
      <c r="AE1343" s="6"/>
      <c r="AF1343" s="6"/>
      <c r="AG1343" s="6"/>
      <c r="AH1343" s="6"/>
      <c r="AI1343" s="6"/>
      <c r="AJ1343" s="6"/>
      <c r="AK1343" s="6"/>
      <c r="AL1343" s="6"/>
      <c r="AM1343" s="6"/>
      <c r="AN1343" s="6"/>
      <c r="AO1343" s="6"/>
      <c r="AP1343" s="6"/>
      <c r="AQ1343" s="6"/>
      <c r="AR1343" s="6"/>
      <c r="AS1343" s="6"/>
      <c r="AT1343" s="6"/>
      <c r="AU1343" s="6"/>
      <c r="AV1343" s="6"/>
      <c r="AW1343" s="6"/>
      <c r="AX1343" s="6"/>
      <c r="AY1343" s="6"/>
      <c r="AZ1343" s="6"/>
      <c r="BA1343" s="6"/>
      <c r="BB1343" s="6"/>
      <c r="BC1343" s="6"/>
      <c r="BD1343" s="6"/>
      <c r="BE1343" s="6"/>
      <c r="BF1343" s="6"/>
      <c r="BG1343" s="6"/>
      <c r="BH1343" s="6"/>
      <c r="BI1343" s="6"/>
      <c r="BJ1343" s="6"/>
      <c r="BK1343" s="6"/>
      <c r="BL1343" s="44"/>
      <c r="BM1343" s="44"/>
      <c r="BN1343" s="45"/>
      <c r="BO1343" s="45"/>
      <c r="BP1343" s="7"/>
      <c r="BQ1343" s="7" t="e">
        <f>VLOOKUP(A1343,[1]Sheet15!B:E,3,0)</f>
        <v>#N/A</v>
      </c>
    </row>
    <row r="1344" spans="1:69" ht="15.75" customHeight="1" x14ac:dyDescent="0.25">
      <c r="A1344" s="12"/>
      <c r="B1344" s="15" t="e">
        <f>VLOOKUP(A1344,'[1]Master clients'!F1342:W4889,17,0)</f>
        <v>#N/A</v>
      </c>
      <c r="C1344" s="15" t="e">
        <f>VLOOKUP(A1344,'[1]Master clients'!F1342:P4889,11,0)</f>
        <v>#N/A</v>
      </c>
      <c r="D1344" s="15" t="e">
        <f>VLOOKUP(A1344,'[1]Master clients'!F:M,8,0)</f>
        <v>#N/A</v>
      </c>
      <c r="E1344" s="12"/>
      <c r="F1344" s="6"/>
      <c r="G1344" s="6"/>
      <c r="H1344" s="6"/>
      <c r="I1344" s="43"/>
      <c r="J1344" s="43"/>
      <c r="K1344" s="6"/>
      <c r="L1344" s="6"/>
      <c r="M1344" s="6"/>
      <c r="N1344" s="6"/>
      <c r="O1344" s="6"/>
      <c r="P1344" s="6"/>
      <c r="Q1344" s="6"/>
      <c r="R1344" s="6"/>
      <c r="S1344" s="6"/>
      <c r="T1344" s="6"/>
      <c r="U1344" s="6"/>
      <c r="V1344" s="6"/>
      <c r="W1344" s="6"/>
      <c r="X1344" s="6"/>
      <c r="Y1344" s="6"/>
      <c r="Z1344" s="6"/>
      <c r="AA1344" s="6"/>
      <c r="AB1344" s="6"/>
      <c r="AC1344" s="6"/>
      <c r="AD1344" s="6"/>
      <c r="AE1344" s="6"/>
      <c r="AF1344" s="6"/>
      <c r="AG1344" s="6"/>
      <c r="AH1344" s="6"/>
      <c r="AI1344" s="6"/>
      <c r="AJ1344" s="6"/>
      <c r="AK1344" s="6"/>
      <c r="AL1344" s="6"/>
      <c r="AM1344" s="6"/>
      <c r="AN1344" s="6"/>
      <c r="AO1344" s="6"/>
      <c r="AP1344" s="6"/>
      <c r="AQ1344" s="6"/>
      <c r="AR1344" s="6"/>
      <c r="AS1344" s="6"/>
      <c r="AT1344" s="6"/>
      <c r="AU1344" s="6"/>
      <c r="AV1344" s="6"/>
      <c r="AW1344" s="6"/>
      <c r="AX1344" s="6"/>
      <c r="AY1344" s="6"/>
      <c r="AZ1344" s="6"/>
      <c r="BA1344" s="6"/>
      <c r="BB1344" s="6"/>
      <c r="BC1344" s="6"/>
      <c r="BD1344" s="6"/>
      <c r="BE1344" s="6"/>
      <c r="BF1344" s="6"/>
      <c r="BG1344" s="6"/>
      <c r="BH1344" s="6"/>
      <c r="BI1344" s="6"/>
      <c r="BJ1344" s="6"/>
      <c r="BK1344" s="6"/>
      <c r="BL1344" s="44"/>
      <c r="BM1344" s="44"/>
      <c r="BN1344" s="45"/>
      <c r="BO1344" s="45"/>
      <c r="BP1344" s="7"/>
      <c r="BQ1344" s="7" t="e">
        <f>VLOOKUP(A1344,[1]Sheet15!B:E,3,0)</f>
        <v>#N/A</v>
      </c>
    </row>
    <row r="1345" spans="1:69" ht="15.75" customHeight="1" x14ac:dyDescent="0.25">
      <c r="A1345" s="12"/>
      <c r="B1345" s="15" t="e">
        <f>VLOOKUP(A1345,'[1]Master clients'!F1343:W4890,17,0)</f>
        <v>#N/A</v>
      </c>
      <c r="C1345" s="15" t="e">
        <f>VLOOKUP(A1345,'[1]Master clients'!F1343:P4890,11,0)</f>
        <v>#N/A</v>
      </c>
      <c r="D1345" s="15" t="e">
        <f>VLOOKUP(A1345,'[1]Master clients'!F:M,8,0)</f>
        <v>#N/A</v>
      </c>
      <c r="E1345" s="12"/>
      <c r="F1345" s="6"/>
      <c r="G1345" s="6"/>
      <c r="H1345" s="6"/>
      <c r="I1345" s="43"/>
      <c r="J1345" s="43"/>
      <c r="K1345" s="6"/>
      <c r="L1345" s="6"/>
      <c r="M1345" s="6"/>
      <c r="N1345" s="6"/>
      <c r="O1345" s="6"/>
      <c r="P1345" s="6"/>
      <c r="Q1345" s="6"/>
      <c r="R1345" s="6"/>
      <c r="S1345" s="6"/>
      <c r="T1345" s="6"/>
      <c r="U1345" s="6"/>
      <c r="V1345" s="6"/>
      <c r="W1345" s="6"/>
      <c r="X1345" s="6"/>
      <c r="Y1345" s="6"/>
      <c r="Z1345" s="6"/>
      <c r="AA1345" s="6"/>
      <c r="AB1345" s="6"/>
      <c r="AC1345" s="6"/>
      <c r="AD1345" s="6"/>
      <c r="AE1345" s="6"/>
      <c r="AF1345" s="6"/>
      <c r="AG1345" s="6"/>
      <c r="AH1345" s="6"/>
      <c r="AI1345" s="6"/>
      <c r="AJ1345" s="6"/>
      <c r="AK1345" s="6"/>
      <c r="AL1345" s="6"/>
      <c r="AM1345" s="6"/>
      <c r="AN1345" s="6"/>
      <c r="AO1345" s="6"/>
      <c r="AP1345" s="6"/>
      <c r="AQ1345" s="6"/>
      <c r="AR1345" s="6"/>
      <c r="AS1345" s="6"/>
      <c r="AT1345" s="6"/>
      <c r="AU1345" s="6"/>
      <c r="AV1345" s="6"/>
      <c r="AW1345" s="6"/>
      <c r="AX1345" s="6"/>
      <c r="AY1345" s="6"/>
      <c r="AZ1345" s="6"/>
      <c r="BA1345" s="6"/>
      <c r="BB1345" s="6"/>
      <c r="BC1345" s="6"/>
      <c r="BD1345" s="6"/>
      <c r="BE1345" s="6"/>
      <c r="BF1345" s="6"/>
      <c r="BG1345" s="6"/>
      <c r="BH1345" s="6"/>
      <c r="BI1345" s="6"/>
      <c r="BJ1345" s="6"/>
      <c r="BK1345" s="6"/>
      <c r="BL1345" s="44"/>
      <c r="BM1345" s="44"/>
      <c r="BN1345" s="45"/>
      <c r="BO1345" s="45"/>
      <c r="BP1345" s="7"/>
      <c r="BQ1345" s="7" t="e">
        <f>VLOOKUP(A1345,[1]Sheet15!B:E,3,0)</f>
        <v>#N/A</v>
      </c>
    </row>
    <row r="1346" spans="1:69" ht="15.75" customHeight="1" x14ac:dyDescent="0.25">
      <c r="A1346" s="12"/>
      <c r="B1346" s="15" t="e">
        <f>VLOOKUP(A1346,'[1]Master clients'!F1344:W4891,17,0)</f>
        <v>#N/A</v>
      </c>
      <c r="C1346" s="15" t="e">
        <f>VLOOKUP(A1346,'[1]Master clients'!F1344:P4891,11,0)</f>
        <v>#N/A</v>
      </c>
      <c r="D1346" s="15" t="e">
        <f>VLOOKUP(A1346,'[1]Master clients'!F:M,8,0)</f>
        <v>#N/A</v>
      </c>
      <c r="E1346" s="12"/>
      <c r="F1346" s="6"/>
      <c r="G1346" s="6"/>
      <c r="H1346" s="6"/>
      <c r="I1346" s="43"/>
      <c r="J1346" s="43"/>
      <c r="K1346" s="6"/>
      <c r="L1346" s="6"/>
      <c r="M1346" s="6"/>
      <c r="N1346" s="6"/>
      <c r="O1346" s="6"/>
      <c r="P1346" s="6"/>
      <c r="Q1346" s="6"/>
      <c r="R1346" s="6"/>
      <c r="S1346" s="6"/>
      <c r="T1346" s="6"/>
      <c r="U1346" s="6"/>
      <c r="V1346" s="6"/>
      <c r="W1346" s="6"/>
      <c r="X1346" s="6"/>
      <c r="Y1346" s="6"/>
      <c r="Z1346" s="6"/>
      <c r="AA1346" s="6"/>
      <c r="AB1346" s="6"/>
      <c r="AC1346" s="6"/>
      <c r="AD1346" s="6"/>
      <c r="AE1346" s="6"/>
      <c r="AF1346" s="6"/>
      <c r="AG1346" s="6"/>
      <c r="AH1346" s="6"/>
      <c r="AI1346" s="6"/>
      <c r="AJ1346" s="6"/>
      <c r="AK1346" s="6"/>
      <c r="AL1346" s="6"/>
      <c r="AM1346" s="6"/>
      <c r="AN1346" s="6"/>
      <c r="AO1346" s="6"/>
      <c r="AP1346" s="6"/>
      <c r="AQ1346" s="6"/>
      <c r="AR1346" s="6"/>
      <c r="AS1346" s="6"/>
      <c r="AT1346" s="6"/>
      <c r="AU1346" s="6"/>
      <c r="AV1346" s="6"/>
      <c r="AW1346" s="6"/>
      <c r="AX1346" s="6"/>
      <c r="AY1346" s="6"/>
      <c r="AZ1346" s="6"/>
      <c r="BA1346" s="6"/>
      <c r="BB1346" s="6"/>
      <c r="BC1346" s="6"/>
      <c r="BD1346" s="6"/>
      <c r="BE1346" s="6"/>
      <c r="BF1346" s="6"/>
      <c r="BG1346" s="6"/>
      <c r="BH1346" s="6"/>
      <c r="BI1346" s="6"/>
      <c r="BJ1346" s="6"/>
      <c r="BK1346" s="6"/>
      <c r="BL1346" s="44"/>
      <c r="BM1346" s="44"/>
      <c r="BN1346" s="45"/>
      <c r="BO1346" s="45"/>
      <c r="BP1346" s="7"/>
      <c r="BQ1346" s="7" t="e">
        <f>VLOOKUP(A1346,[1]Sheet15!B:E,3,0)</f>
        <v>#N/A</v>
      </c>
    </row>
    <row r="1347" spans="1:69" ht="15.75" customHeight="1" x14ac:dyDescent="0.25">
      <c r="A1347" s="12"/>
      <c r="B1347" s="15" t="e">
        <f>VLOOKUP(A1347,'[1]Master clients'!F1345:W4892,17,0)</f>
        <v>#N/A</v>
      </c>
      <c r="C1347" s="15" t="e">
        <f>VLOOKUP(A1347,'[1]Master clients'!F1345:P4892,11,0)</f>
        <v>#N/A</v>
      </c>
      <c r="D1347" s="15" t="e">
        <f>VLOOKUP(A1347,'[1]Master clients'!F:M,8,0)</f>
        <v>#N/A</v>
      </c>
      <c r="E1347" s="12"/>
      <c r="F1347" s="6"/>
      <c r="G1347" s="6"/>
      <c r="H1347" s="6"/>
      <c r="I1347" s="43"/>
      <c r="J1347" s="43"/>
      <c r="K1347" s="6"/>
      <c r="L1347" s="6"/>
      <c r="M1347" s="6"/>
      <c r="N1347" s="6"/>
      <c r="O1347" s="6"/>
      <c r="P1347" s="6"/>
      <c r="Q1347" s="6"/>
      <c r="R1347" s="6"/>
      <c r="S1347" s="6"/>
      <c r="T1347" s="6"/>
      <c r="U1347" s="6"/>
      <c r="V1347" s="6"/>
      <c r="W1347" s="6"/>
      <c r="X1347" s="6"/>
      <c r="Y1347" s="6"/>
      <c r="Z1347" s="6"/>
      <c r="AA1347" s="6"/>
      <c r="AB1347" s="6"/>
      <c r="AC1347" s="6"/>
      <c r="AD1347" s="6"/>
      <c r="AE1347" s="6"/>
      <c r="AF1347" s="6"/>
      <c r="AG1347" s="6"/>
      <c r="AH1347" s="6"/>
      <c r="AI1347" s="6"/>
      <c r="AJ1347" s="6"/>
      <c r="AK1347" s="6"/>
      <c r="AL1347" s="6"/>
      <c r="AM1347" s="6"/>
      <c r="AN1347" s="6"/>
      <c r="AO1347" s="6"/>
      <c r="AP1347" s="6"/>
      <c r="AQ1347" s="6"/>
      <c r="AR1347" s="6"/>
      <c r="AS1347" s="6"/>
      <c r="AT1347" s="6"/>
      <c r="AU1347" s="6"/>
      <c r="AV1347" s="6"/>
      <c r="AW1347" s="6"/>
      <c r="AX1347" s="6"/>
      <c r="AY1347" s="6"/>
      <c r="AZ1347" s="6"/>
      <c r="BA1347" s="6"/>
      <c r="BB1347" s="6"/>
      <c r="BC1347" s="6"/>
      <c r="BD1347" s="6"/>
      <c r="BE1347" s="6"/>
      <c r="BF1347" s="6"/>
      <c r="BG1347" s="6"/>
      <c r="BH1347" s="6"/>
      <c r="BI1347" s="6"/>
      <c r="BJ1347" s="6"/>
      <c r="BK1347" s="6"/>
      <c r="BL1347" s="44"/>
      <c r="BM1347" s="44"/>
      <c r="BN1347" s="45"/>
      <c r="BO1347" s="45"/>
      <c r="BP1347" s="7"/>
      <c r="BQ1347" s="7" t="e">
        <f>VLOOKUP(A1347,[1]Sheet15!B:E,3,0)</f>
        <v>#N/A</v>
      </c>
    </row>
    <row r="1348" spans="1:69" ht="15.75" customHeight="1" x14ac:dyDescent="0.25">
      <c r="A1348" s="12"/>
      <c r="B1348" s="15" t="e">
        <f>VLOOKUP(A1348,'[1]Master clients'!F1346:W4893,17,0)</f>
        <v>#N/A</v>
      </c>
      <c r="C1348" s="15" t="e">
        <f>VLOOKUP(A1348,'[1]Master clients'!F1346:P4893,11,0)</f>
        <v>#N/A</v>
      </c>
      <c r="D1348" s="15" t="e">
        <f>VLOOKUP(A1348,'[1]Master clients'!F:M,8,0)</f>
        <v>#N/A</v>
      </c>
      <c r="E1348" s="12"/>
      <c r="F1348" s="6"/>
      <c r="G1348" s="6"/>
      <c r="H1348" s="6"/>
      <c r="I1348" s="43"/>
      <c r="J1348" s="43"/>
      <c r="K1348" s="6"/>
      <c r="L1348" s="6"/>
      <c r="M1348" s="6"/>
      <c r="N1348" s="6"/>
      <c r="O1348" s="6"/>
      <c r="P1348" s="6"/>
      <c r="Q1348" s="6"/>
      <c r="R1348" s="6"/>
      <c r="S1348" s="6"/>
      <c r="T1348" s="6"/>
      <c r="U1348" s="6"/>
      <c r="V1348" s="6"/>
      <c r="W1348" s="6"/>
      <c r="X1348" s="6"/>
      <c r="Y1348" s="6"/>
      <c r="Z1348" s="6"/>
      <c r="AA1348" s="6"/>
      <c r="AB1348" s="6"/>
      <c r="AC1348" s="6"/>
      <c r="AD1348" s="6"/>
      <c r="AE1348" s="6"/>
      <c r="AF1348" s="6"/>
      <c r="AG1348" s="6"/>
      <c r="AH1348" s="6"/>
      <c r="AI1348" s="6"/>
      <c r="AJ1348" s="6"/>
      <c r="AK1348" s="6"/>
      <c r="AL1348" s="6"/>
      <c r="AM1348" s="6"/>
      <c r="AN1348" s="6"/>
      <c r="AO1348" s="6"/>
      <c r="AP1348" s="6"/>
      <c r="AQ1348" s="6"/>
      <c r="AR1348" s="6"/>
      <c r="AS1348" s="6"/>
      <c r="AT1348" s="6"/>
      <c r="AU1348" s="6"/>
      <c r="AV1348" s="6"/>
      <c r="AW1348" s="6"/>
      <c r="AX1348" s="6"/>
      <c r="AY1348" s="6"/>
      <c r="AZ1348" s="6"/>
      <c r="BA1348" s="6"/>
      <c r="BB1348" s="6"/>
      <c r="BC1348" s="6"/>
      <c r="BD1348" s="6"/>
      <c r="BE1348" s="6"/>
      <c r="BF1348" s="6"/>
      <c r="BG1348" s="6"/>
      <c r="BH1348" s="6"/>
      <c r="BI1348" s="6"/>
      <c r="BJ1348" s="6"/>
      <c r="BK1348" s="6"/>
      <c r="BL1348" s="44"/>
      <c r="BM1348" s="44"/>
      <c r="BN1348" s="45"/>
      <c r="BO1348" s="45"/>
      <c r="BP1348" s="7"/>
      <c r="BQ1348" s="7" t="e">
        <f>VLOOKUP(A1348,[1]Sheet15!B:E,3,0)</f>
        <v>#N/A</v>
      </c>
    </row>
    <row r="1349" spans="1:69" ht="15.75" customHeight="1" x14ac:dyDescent="0.25">
      <c r="A1349" s="12"/>
      <c r="B1349" s="15" t="e">
        <f>VLOOKUP(A1349,'[1]Master clients'!F1347:W4894,17,0)</f>
        <v>#N/A</v>
      </c>
      <c r="C1349" s="15" t="e">
        <f>VLOOKUP(A1349,'[1]Master clients'!F1347:P4894,11,0)</f>
        <v>#N/A</v>
      </c>
      <c r="D1349" s="15" t="e">
        <f>VLOOKUP(A1349,'[1]Master clients'!F:M,8,0)</f>
        <v>#N/A</v>
      </c>
      <c r="E1349" s="12"/>
      <c r="F1349" s="6"/>
      <c r="G1349" s="6"/>
      <c r="H1349" s="6"/>
      <c r="I1349" s="43"/>
      <c r="J1349" s="43"/>
      <c r="K1349" s="6"/>
      <c r="L1349" s="6"/>
      <c r="M1349" s="6"/>
      <c r="N1349" s="6"/>
      <c r="O1349" s="6"/>
      <c r="P1349" s="6"/>
      <c r="Q1349" s="6"/>
      <c r="R1349" s="6"/>
      <c r="S1349" s="6"/>
      <c r="T1349" s="6"/>
      <c r="U1349" s="6"/>
      <c r="V1349" s="6"/>
      <c r="W1349" s="6"/>
      <c r="X1349" s="6"/>
      <c r="Y1349" s="6"/>
      <c r="Z1349" s="6"/>
      <c r="AA1349" s="6"/>
      <c r="AB1349" s="6"/>
      <c r="AC1349" s="6"/>
      <c r="AD1349" s="6"/>
      <c r="AE1349" s="6"/>
      <c r="AF1349" s="6"/>
      <c r="AG1349" s="6"/>
      <c r="AH1349" s="6"/>
      <c r="AI1349" s="6"/>
      <c r="AJ1349" s="6"/>
      <c r="AK1349" s="6"/>
      <c r="AL1349" s="6"/>
      <c r="AM1349" s="6"/>
      <c r="AN1349" s="6"/>
      <c r="AO1349" s="6"/>
      <c r="AP1349" s="6"/>
      <c r="AQ1349" s="6"/>
      <c r="AR1349" s="6"/>
      <c r="AS1349" s="6"/>
      <c r="AT1349" s="6"/>
      <c r="AU1349" s="6"/>
      <c r="AV1349" s="6"/>
      <c r="AW1349" s="6"/>
      <c r="AX1349" s="6"/>
      <c r="AY1349" s="6"/>
      <c r="AZ1349" s="6"/>
      <c r="BA1349" s="6"/>
      <c r="BB1349" s="6"/>
      <c r="BC1349" s="6"/>
      <c r="BD1349" s="6"/>
      <c r="BE1349" s="6"/>
      <c r="BF1349" s="6"/>
      <c r="BG1349" s="6"/>
      <c r="BH1349" s="6"/>
      <c r="BI1349" s="6"/>
      <c r="BJ1349" s="6"/>
      <c r="BK1349" s="6"/>
      <c r="BL1349" s="44"/>
      <c r="BM1349" s="44"/>
      <c r="BN1349" s="45"/>
      <c r="BO1349" s="45"/>
      <c r="BP1349" s="7"/>
      <c r="BQ1349" s="7" t="e">
        <f>VLOOKUP(A1349,[1]Sheet15!B:E,3,0)</f>
        <v>#N/A</v>
      </c>
    </row>
    <row r="1350" spans="1:69" ht="15.75" customHeight="1" x14ac:dyDescent="0.25">
      <c r="A1350" s="12"/>
      <c r="B1350" s="15" t="e">
        <f>VLOOKUP(A1350,'[1]Master clients'!F1348:W4895,17,0)</f>
        <v>#N/A</v>
      </c>
      <c r="C1350" s="15" t="e">
        <f>VLOOKUP(A1350,'[1]Master clients'!F1348:P4895,11,0)</f>
        <v>#N/A</v>
      </c>
      <c r="D1350" s="15" t="e">
        <f>VLOOKUP(A1350,'[1]Master clients'!F:M,8,0)</f>
        <v>#N/A</v>
      </c>
      <c r="E1350" s="12"/>
      <c r="F1350" s="6"/>
      <c r="G1350" s="6"/>
      <c r="H1350" s="6"/>
      <c r="I1350" s="43"/>
      <c r="J1350" s="43"/>
      <c r="K1350" s="6"/>
      <c r="L1350" s="6"/>
      <c r="M1350" s="6"/>
      <c r="N1350" s="6"/>
      <c r="O1350" s="6"/>
      <c r="P1350" s="6"/>
      <c r="Q1350" s="6"/>
      <c r="R1350" s="6"/>
      <c r="S1350" s="6"/>
      <c r="T1350" s="6"/>
      <c r="U1350" s="6"/>
      <c r="V1350" s="6"/>
      <c r="W1350" s="6"/>
      <c r="X1350" s="6"/>
      <c r="Y1350" s="6"/>
      <c r="Z1350" s="6"/>
      <c r="AA1350" s="6"/>
      <c r="AB1350" s="6"/>
      <c r="AC1350" s="6"/>
      <c r="AD1350" s="6"/>
      <c r="AE1350" s="6"/>
      <c r="AF1350" s="6"/>
      <c r="AG1350" s="6"/>
      <c r="AH1350" s="6"/>
      <c r="AI1350" s="6"/>
      <c r="AJ1350" s="6"/>
      <c r="AK1350" s="6"/>
      <c r="AL1350" s="6"/>
      <c r="AM1350" s="6"/>
      <c r="AN1350" s="6"/>
      <c r="AO1350" s="6"/>
      <c r="AP1350" s="6"/>
      <c r="AQ1350" s="6"/>
      <c r="AR1350" s="6"/>
      <c r="AS1350" s="6"/>
      <c r="AT1350" s="6"/>
      <c r="AU1350" s="6"/>
      <c r="AV1350" s="6"/>
      <c r="AW1350" s="6"/>
      <c r="AX1350" s="6"/>
      <c r="AY1350" s="6"/>
      <c r="AZ1350" s="6"/>
      <c r="BA1350" s="6"/>
      <c r="BB1350" s="6"/>
      <c r="BC1350" s="6"/>
      <c r="BD1350" s="6"/>
      <c r="BE1350" s="6"/>
      <c r="BF1350" s="6"/>
      <c r="BG1350" s="6"/>
      <c r="BH1350" s="6"/>
      <c r="BI1350" s="6"/>
      <c r="BJ1350" s="6"/>
      <c r="BK1350" s="6"/>
      <c r="BL1350" s="44"/>
      <c r="BM1350" s="44"/>
      <c r="BN1350" s="45"/>
      <c r="BO1350" s="45"/>
      <c r="BP1350" s="7"/>
      <c r="BQ1350" s="7" t="e">
        <f>VLOOKUP(A1350,[1]Sheet15!B:E,3,0)</f>
        <v>#N/A</v>
      </c>
    </row>
    <row r="1351" spans="1:69" ht="15.75" customHeight="1" x14ac:dyDescent="0.25">
      <c r="A1351" s="12"/>
      <c r="B1351" s="15" t="e">
        <f>VLOOKUP(A1351,'[1]Master clients'!F1349:W4896,17,0)</f>
        <v>#N/A</v>
      </c>
      <c r="C1351" s="15" t="e">
        <f>VLOOKUP(A1351,'[1]Master clients'!F1349:P4896,11,0)</f>
        <v>#N/A</v>
      </c>
      <c r="D1351" s="15" t="e">
        <f>VLOOKUP(A1351,'[1]Master clients'!F:M,8,0)</f>
        <v>#N/A</v>
      </c>
      <c r="E1351" s="12"/>
      <c r="F1351" s="6"/>
      <c r="G1351" s="6"/>
      <c r="H1351" s="6"/>
      <c r="I1351" s="43"/>
      <c r="J1351" s="43"/>
      <c r="K1351" s="6"/>
      <c r="L1351" s="6"/>
      <c r="M1351" s="6"/>
      <c r="N1351" s="6"/>
      <c r="O1351" s="6"/>
      <c r="P1351" s="6"/>
      <c r="Q1351" s="6"/>
      <c r="R1351" s="6"/>
      <c r="S1351" s="6"/>
      <c r="T1351" s="6"/>
      <c r="U1351" s="6"/>
      <c r="V1351" s="6"/>
      <c r="W1351" s="6"/>
      <c r="X1351" s="6"/>
      <c r="Y1351" s="6"/>
      <c r="Z1351" s="6"/>
      <c r="AA1351" s="6"/>
      <c r="AB1351" s="6"/>
      <c r="AC1351" s="6"/>
      <c r="AD1351" s="6"/>
      <c r="AE1351" s="6"/>
      <c r="AF1351" s="6"/>
      <c r="AG1351" s="6"/>
      <c r="AH1351" s="6"/>
      <c r="AI1351" s="6"/>
      <c r="AJ1351" s="6"/>
      <c r="AK1351" s="6"/>
      <c r="AL1351" s="6"/>
      <c r="AM1351" s="6"/>
      <c r="AN1351" s="6"/>
      <c r="AO1351" s="6"/>
      <c r="AP1351" s="6"/>
      <c r="AQ1351" s="6"/>
      <c r="AR1351" s="6"/>
      <c r="AS1351" s="6"/>
      <c r="AT1351" s="6"/>
      <c r="AU1351" s="6"/>
      <c r="AV1351" s="6"/>
      <c r="AW1351" s="6"/>
      <c r="AX1351" s="6"/>
      <c r="AY1351" s="6"/>
      <c r="AZ1351" s="6"/>
      <c r="BA1351" s="6"/>
      <c r="BB1351" s="6"/>
      <c r="BC1351" s="6"/>
      <c r="BD1351" s="6"/>
      <c r="BE1351" s="6"/>
      <c r="BF1351" s="6"/>
      <c r="BG1351" s="6"/>
      <c r="BH1351" s="6"/>
      <c r="BI1351" s="6"/>
      <c r="BJ1351" s="6"/>
      <c r="BK1351" s="6"/>
      <c r="BL1351" s="44"/>
      <c r="BM1351" s="44"/>
      <c r="BN1351" s="45"/>
      <c r="BO1351" s="45"/>
      <c r="BP1351" s="7"/>
      <c r="BQ1351" s="7" t="e">
        <f>VLOOKUP(A1351,[1]Sheet15!B:E,3,0)</f>
        <v>#N/A</v>
      </c>
    </row>
    <row r="1352" spans="1:69" ht="15.75" customHeight="1" x14ac:dyDescent="0.25">
      <c r="A1352" s="12"/>
      <c r="B1352" s="15" t="e">
        <f>VLOOKUP(A1352,'[1]Master clients'!F1350:W4897,17,0)</f>
        <v>#N/A</v>
      </c>
      <c r="C1352" s="15" t="e">
        <f>VLOOKUP(A1352,'[1]Master clients'!F1350:P4897,11,0)</f>
        <v>#N/A</v>
      </c>
      <c r="D1352" s="15" t="e">
        <f>VLOOKUP(A1352,'[1]Master clients'!F:M,8,0)</f>
        <v>#N/A</v>
      </c>
      <c r="E1352" s="12"/>
      <c r="F1352" s="6"/>
      <c r="G1352" s="6"/>
      <c r="H1352" s="6"/>
      <c r="I1352" s="43"/>
      <c r="J1352" s="43"/>
      <c r="K1352" s="6"/>
      <c r="L1352" s="6"/>
      <c r="M1352" s="6"/>
      <c r="N1352" s="6"/>
      <c r="O1352" s="6"/>
      <c r="P1352" s="6"/>
      <c r="Q1352" s="6"/>
      <c r="R1352" s="6"/>
      <c r="S1352" s="6"/>
      <c r="T1352" s="6"/>
      <c r="U1352" s="6"/>
      <c r="V1352" s="6"/>
      <c r="W1352" s="6"/>
      <c r="X1352" s="6"/>
      <c r="Y1352" s="6"/>
      <c r="Z1352" s="6"/>
      <c r="AA1352" s="6"/>
      <c r="AB1352" s="6"/>
      <c r="AC1352" s="6"/>
      <c r="AD1352" s="6"/>
      <c r="AE1352" s="6"/>
      <c r="AF1352" s="6"/>
      <c r="AG1352" s="6"/>
      <c r="AH1352" s="6"/>
      <c r="AI1352" s="6"/>
      <c r="AJ1352" s="6"/>
      <c r="AK1352" s="6"/>
      <c r="AL1352" s="6"/>
      <c r="AM1352" s="6"/>
      <c r="AN1352" s="6"/>
      <c r="AO1352" s="6"/>
      <c r="AP1352" s="6"/>
      <c r="AQ1352" s="6"/>
      <c r="AR1352" s="6"/>
      <c r="AS1352" s="6"/>
      <c r="AT1352" s="6"/>
      <c r="AU1352" s="6"/>
      <c r="AV1352" s="6"/>
      <c r="AW1352" s="6"/>
      <c r="AX1352" s="6"/>
      <c r="AY1352" s="6"/>
      <c r="AZ1352" s="6"/>
      <c r="BA1352" s="6"/>
      <c r="BB1352" s="6"/>
      <c r="BC1352" s="6"/>
      <c r="BD1352" s="6"/>
      <c r="BE1352" s="6"/>
      <c r="BF1352" s="6"/>
      <c r="BG1352" s="6"/>
      <c r="BH1352" s="6"/>
      <c r="BI1352" s="6"/>
      <c r="BJ1352" s="6"/>
      <c r="BK1352" s="6"/>
      <c r="BL1352" s="44"/>
      <c r="BM1352" s="44"/>
      <c r="BN1352" s="45"/>
      <c r="BO1352" s="45"/>
      <c r="BP1352" s="7"/>
      <c r="BQ1352" s="7" t="e">
        <f>VLOOKUP(A1352,[1]Sheet15!B:E,3,0)</f>
        <v>#N/A</v>
      </c>
    </row>
    <row r="1353" spans="1:69" ht="15.75" customHeight="1" x14ac:dyDescent="0.25">
      <c r="A1353" s="12"/>
      <c r="B1353" s="15" t="e">
        <f>VLOOKUP(A1353,'[1]Master clients'!F1351:W4898,17,0)</f>
        <v>#N/A</v>
      </c>
      <c r="C1353" s="15" t="e">
        <f>VLOOKUP(A1353,'[1]Master clients'!F1351:P4898,11,0)</f>
        <v>#N/A</v>
      </c>
      <c r="D1353" s="15" t="e">
        <f>VLOOKUP(A1353,'[1]Master clients'!F:M,8,0)</f>
        <v>#N/A</v>
      </c>
      <c r="E1353" s="12"/>
      <c r="F1353" s="6"/>
      <c r="G1353" s="6"/>
      <c r="H1353" s="6"/>
      <c r="I1353" s="43"/>
      <c r="J1353" s="43"/>
      <c r="K1353" s="6"/>
      <c r="L1353" s="6"/>
      <c r="M1353" s="6"/>
      <c r="N1353" s="6"/>
      <c r="O1353" s="6"/>
      <c r="P1353" s="6"/>
      <c r="Q1353" s="6"/>
      <c r="R1353" s="6"/>
      <c r="S1353" s="6"/>
      <c r="T1353" s="6"/>
      <c r="U1353" s="6"/>
      <c r="V1353" s="6"/>
      <c r="W1353" s="6"/>
      <c r="X1353" s="6"/>
      <c r="Y1353" s="6"/>
      <c r="Z1353" s="6"/>
      <c r="AA1353" s="6"/>
      <c r="AB1353" s="6"/>
      <c r="AC1353" s="6"/>
      <c r="AD1353" s="6"/>
      <c r="AE1353" s="6"/>
      <c r="AF1353" s="6"/>
      <c r="AG1353" s="6"/>
      <c r="AH1353" s="6"/>
      <c r="AI1353" s="6"/>
      <c r="AJ1353" s="6"/>
      <c r="AK1353" s="6"/>
      <c r="AL1353" s="6"/>
      <c r="AM1353" s="6"/>
      <c r="AN1353" s="6"/>
      <c r="AO1353" s="6"/>
      <c r="AP1353" s="6"/>
      <c r="AQ1353" s="6"/>
      <c r="AR1353" s="6"/>
      <c r="AS1353" s="6"/>
      <c r="AT1353" s="6"/>
      <c r="AU1353" s="6"/>
      <c r="AV1353" s="6"/>
      <c r="AW1353" s="6"/>
      <c r="AX1353" s="6"/>
      <c r="AY1353" s="6"/>
      <c r="AZ1353" s="6"/>
      <c r="BA1353" s="6"/>
      <c r="BB1353" s="6"/>
      <c r="BC1353" s="6"/>
      <c r="BD1353" s="6"/>
      <c r="BE1353" s="6"/>
      <c r="BF1353" s="6"/>
      <c r="BG1353" s="6"/>
      <c r="BH1353" s="6"/>
      <c r="BI1353" s="6"/>
      <c r="BJ1353" s="6"/>
      <c r="BK1353" s="6"/>
      <c r="BL1353" s="44"/>
      <c r="BM1353" s="44"/>
      <c r="BN1353" s="45"/>
      <c r="BO1353" s="45"/>
      <c r="BP1353" s="7"/>
      <c r="BQ1353" s="7" t="e">
        <f>VLOOKUP(A1353,[1]Sheet15!B:E,3,0)</f>
        <v>#N/A</v>
      </c>
    </row>
    <row r="1354" spans="1:69" ht="15.75" customHeight="1" x14ac:dyDescent="0.25">
      <c r="A1354" s="12"/>
      <c r="B1354" s="15" t="e">
        <f>VLOOKUP(A1354,'[1]Master clients'!F1352:W4899,17,0)</f>
        <v>#N/A</v>
      </c>
      <c r="C1354" s="15" t="e">
        <f>VLOOKUP(A1354,'[1]Master clients'!F1352:P4899,11,0)</f>
        <v>#N/A</v>
      </c>
      <c r="D1354" s="15" t="e">
        <f>VLOOKUP(A1354,'[1]Master clients'!F:M,8,0)</f>
        <v>#N/A</v>
      </c>
      <c r="E1354" s="12"/>
      <c r="F1354" s="6"/>
      <c r="G1354" s="6"/>
      <c r="H1354" s="6"/>
      <c r="I1354" s="43"/>
      <c r="J1354" s="43"/>
      <c r="K1354" s="6"/>
      <c r="L1354" s="6"/>
      <c r="M1354" s="6"/>
      <c r="N1354" s="6"/>
      <c r="O1354" s="6"/>
      <c r="P1354" s="6"/>
      <c r="Q1354" s="6"/>
      <c r="R1354" s="6"/>
      <c r="S1354" s="6"/>
      <c r="T1354" s="6"/>
      <c r="U1354" s="6"/>
      <c r="V1354" s="6"/>
      <c r="W1354" s="6"/>
      <c r="X1354" s="6"/>
      <c r="Y1354" s="6"/>
      <c r="Z1354" s="6"/>
      <c r="AA1354" s="6"/>
      <c r="AB1354" s="6"/>
      <c r="AC1354" s="6"/>
      <c r="AD1354" s="6"/>
      <c r="AE1354" s="6"/>
      <c r="AF1354" s="6"/>
      <c r="AG1354" s="6"/>
      <c r="AH1354" s="6"/>
      <c r="AI1354" s="6"/>
      <c r="AJ1354" s="6"/>
      <c r="AK1354" s="6"/>
      <c r="AL1354" s="6"/>
      <c r="AM1354" s="6"/>
      <c r="AN1354" s="6"/>
      <c r="AO1354" s="6"/>
      <c r="AP1354" s="6"/>
      <c r="AQ1354" s="6"/>
      <c r="AR1354" s="6"/>
      <c r="AS1354" s="6"/>
      <c r="AT1354" s="6"/>
      <c r="AU1354" s="6"/>
      <c r="AV1354" s="6"/>
      <c r="AW1354" s="6"/>
      <c r="AX1354" s="6"/>
      <c r="AY1354" s="6"/>
      <c r="AZ1354" s="6"/>
      <c r="BA1354" s="6"/>
      <c r="BB1354" s="6"/>
      <c r="BC1354" s="6"/>
      <c r="BD1354" s="6"/>
      <c r="BE1354" s="6"/>
      <c r="BF1354" s="6"/>
      <c r="BG1354" s="6"/>
      <c r="BH1354" s="6"/>
      <c r="BI1354" s="6"/>
      <c r="BJ1354" s="6"/>
      <c r="BK1354" s="6"/>
      <c r="BL1354" s="44"/>
      <c r="BM1354" s="44"/>
      <c r="BN1354" s="45"/>
      <c r="BO1354" s="45"/>
      <c r="BP1354" s="7"/>
      <c r="BQ1354" s="7" t="e">
        <f>VLOOKUP(A1354,[1]Sheet15!B:E,3,0)</f>
        <v>#N/A</v>
      </c>
    </row>
    <row r="1355" spans="1:69" ht="15.75" customHeight="1" x14ac:dyDescent="0.25">
      <c r="A1355" s="12"/>
      <c r="B1355" s="15" t="e">
        <f>VLOOKUP(A1355,'[1]Master clients'!F1353:W4900,17,0)</f>
        <v>#N/A</v>
      </c>
      <c r="C1355" s="15" t="e">
        <f>VLOOKUP(A1355,'[1]Master clients'!F1353:P4900,11,0)</f>
        <v>#N/A</v>
      </c>
      <c r="D1355" s="15" t="e">
        <f>VLOOKUP(A1355,'[1]Master clients'!F:M,8,0)</f>
        <v>#N/A</v>
      </c>
      <c r="E1355" s="12"/>
      <c r="F1355" s="6"/>
      <c r="G1355" s="6"/>
      <c r="H1355" s="6"/>
      <c r="I1355" s="43"/>
      <c r="J1355" s="43"/>
      <c r="K1355" s="6"/>
      <c r="L1355" s="6"/>
      <c r="M1355" s="6"/>
      <c r="N1355" s="6"/>
      <c r="O1355" s="6"/>
      <c r="P1355" s="6"/>
      <c r="Q1355" s="6"/>
      <c r="R1355" s="6"/>
      <c r="S1355" s="6"/>
      <c r="T1355" s="6"/>
      <c r="U1355" s="6"/>
      <c r="V1355" s="6"/>
      <c r="W1355" s="6"/>
      <c r="X1355" s="6"/>
      <c r="Y1355" s="6"/>
      <c r="Z1355" s="6"/>
      <c r="AA1355" s="6"/>
      <c r="AB1355" s="6"/>
      <c r="AC1355" s="6"/>
      <c r="AD1355" s="6"/>
      <c r="AE1355" s="6"/>
      <c r="AF1355" s="6"/>
      <c r="AG1355" s="6"/>
      <c r="AH1355" s="6"/>
      <c r="AI1355" s="6"/>
      <c r="AJ1355" s="6"/>
      <c r="AK1355" s="6"/>
      <c r="AL1355" s="6"/>
      <c r="AM1355" s="6"/>
      <c r="AN1355" s="6"/>
      <c r="AO1355" s="6"/>
      <c r="AP1355" s="6"/>
      <c r="AQ1355" s="6"/>
      <c r="AR1355" s="6"/>
      <c r="AS1355" s="6"/>
      <c r="AT1355" s="6"/>
      <c r="AU1355" s="6"/>
      <c r="AV1355" s="6"/>
      <c r="AW1355" s="6"/>
      <c r="AX1355" s="6"/>
      <c r="AY1355" s="6"/>
      <c r="AZ1355" s="6"/>
      <c r="BA1355" s="6"/>
      <c r="BB1355" s="6"/>
      <c r="BC1355" s="6"/>
      <c r="BD1355" s="6"/>
      <c r="BE1355" s="6"/>
      <c r="BF1355" s="6"/>
      <c r="BG1355" s="6"/>
      <c r="BH1355" s="6"/>
      <c r="BI1355" s="6"/>
      <c r="BJ1355" s="6"/>
      <c r="BK1355" s="6"/>
      <c r="BL1355" s="44"/>
      <c r="BM1355" s="44"/>
      <c r="BN1355" s="45"/>
      <c r="BO1355" s="45"/>
      <c r="BP1355" s="7"/>
      <c r="BQ1355" s="7" t="e">
        <f>VLOOKUP(A1355,[1]Sheet15!B:E,3,0)</f>
        <v>#N/A</v>
      </c>
    </row>
    <row r="1356" spans="1:69" ht="15.75" customHeight="1" x14ac:dyDescent="0.25">
      <c r="A1356" s="12"/>
      <c r="B1356" s="15" t="e">
        <f>VLOOKUP(A1356,'[1]Master clients'!F1354:W4901,17,0)</f>
        <v>#N/A</v>
      </c>
      <c r="C1356" s="15" t="e">
        <f>VLOOKUP(A1356,'[1]Master clients'!F1354:P4901,11,0)</f>
        <v>#N/A</v>
      </c>
      <c r="D1356" s="15" t="e">
        <f>VLOOKUP(A1356,'[1]Master clients'!F:M,8,0)</f>
        <v>#N/A</v>
      </c>
      <c r="E1356" s="12"/>
      <c r="F1356" s="6"/>
      <c r="G1356" s="6"/>
      <c r="H1356" s="6"/>
      <c r="I1356" s="43"/>
      <c r="J1356" s="43"/>
      <c r="K1356" s="6"/>
      <c r="L1356" s="6"/>
      <c r="M1356" s="6"/>
      <c r="N1356" s="6"/>
      <c r="O1356" s="6"/>
      <c r="P1356" s="6"/>
      <c r="Q1356" s="6"/>
      <c r="R1356" s="6"/>
      <c r="S1356" s="6"/>
      <c r="T1356" s="6"/>
      <c r="U1356" s="6"/>
      <c r="V1356" s="6"/>
      <c r="W1356" s="6"/>
      <c r="X1356" s="6"/>
      <c r="Y1356" s="6"/>
      <c r="Z1356" s="6"/>
      <c r="AA1356" s="6"/>
      <c r="AB1356" s="6"/>
      <c r="AC1356" s="6"/>
      <c r="AD1356" s="6"/>
      <c r="AE1356" s="6"/>
      <c r="AF1356" s="6"/>
      <c r="AG1356" s="6"/>
      <c r="AH1356" s="6"/>
      <c r="AI1356" s="6"/>
      <c r="AJ1356" s="6"/>
      <c r="AK1356" s="6"/>
      <c r="AL1356" s="6"/>
      <c r="AM1356" s="6"/>
      <c r="AN1356" s="6"/>
      <c r="AO1356" s="6"/>
      <c r="AP1356" s="6"/>
      <c r="AQ1356" s="6"/>
      <c r="AR1356" s="6"/>
      <c r="AS1356" s="6"/>
      <c r="AT1356" s="6"/>
      <c r="AU1356" s="6"/>
      <c r="AV1356" s="6"/>
      <c r="AW1356" s="6"/>
      <c r="AX1356" s="6"/>
      <c r="AY1356" s="6"/>
      <c r="AZ1356" s="6"/>
      <c r="BA1356" s="6"/>
      <c r="BB1356" s="6"/>
      <c r="BC1356" s="6"/>
      <c r="BD1356" s="6"/>
      <c r="BE1356" s="6"/>
      <c r="BF1356" s="6"/>
      <c r="BG1356" s="6"/>
      <c r="BH1356" s="6"/>
      <c r="BI1356" s="6"/>
      <c r="BJ1356" s="6"/>
      <c r="BK1356" s="6"/>
      <c r="BL1356" s="44"/>
      <c r="BM1356" s="44"/>
      <c r="BN1356" s="45"/>
      <c r="BO1356" s="45"/>
      <c r="BP1356" s="7"/>
      <c r="BQ1356" s="7" t="e">
        <f>VLOOKUP(A1356,[1]Sheet15!B:E,3,0)</f>
        <v>#N/A</v>
      </c>
    </row>
    <row r="1357" spans="1:69" ht="15.75" customHeight="1" x14ac:dyDescent="0.25">
      <c r="A1357" s="12"/>
      <c r="B1357" s="15" t="e">
        <f>VLOOKUP(A1357,'[1]Master clients'!F1355:W4902,17,0)</f>
        <v>#N/A</v>
      </c>
      <c r="C1357" s="15" t="e">
        <f>VLOOKUP(A1357,'[1]Master clients'!F1355:P4902,11,0)</f>
        <v>#N/A</v>
      </c>
      <c r="D1357" s="15" t="e">
        <f>VLOOKUP(A1357,'[1]Master clients'!F:M,8,0)</f>
        <v>#N/A</v>
      </c>
      <c r="E1357" s="12"/>
      <c r="F1357" s="6"/>
      <c r="G1357" s="6"/>
      <c r="H1357" s="6"/>
      <c r="I1357" s="43"/>
      <c r="J1357" s="43"/>
      <c r="K1357" s="6"/>
      <c r="L1357" s="6"/>
      <c r="M1357" s="6"/>
      <c r="N1357" s="6"/>
      <c r="O1357" s="6"/>
      <c r="P1357" s="6"/>
      <c r="Q1357" s="6"/>
      <c r="R1357" s="6"/>
      <c r="S1357" s="6"/>
      <c r="T1357" s="6"/>
      <c r="U1357" s="6"/>
      <c r="V1357" s="6"/>
      <c r="W1357" s="6"/>
      <c r="X1357" s="6"/>
      <c r="Y1357" s="6"/>
      <c r="Z1357" s="6"/>
      <c r="AA1357" s="6"/>
      <c r="AB1357" s="6"/>
      <c r="AC1357" s="6"/>
      <c r="AD1357" s="6"/>
      <c r="AE1357" s="6"/>
      <c r="AF1357" s="6"/>
      <c r="AG1357" s="6"/>
      <c r="AH1357" s="6"/>
      <c r="AI1357" s="6"/>
      <c r="AJ1357" s="6"/>
      <c r="AK1357" s="6"/>
      <c r="AL1357" s="6"/>
      <c r="AM1357" s="6"/>
      <c r="AN1357" s="6"/>
      <c r="AO1357" s="6"/>
      <c r="AP1357" s="6"/>
      <c r="AQ1357" s="6"/>
      <c r="AR1357" s="6"/>
      <c r="AS1357" s="6"/>
      <c r="AT1357" s="6"/>
      <c r="AU1357" s="6"/>
      <c r="AV1357" s="6"/>
      <c r="AW1357" s="6"/>
      <c r="AX1357" s="6"/>
      <c r="AY1357" s="6"/>
      <c r="AZ1357" s="6"/>
      <c r="BA1357" s="6"/>
      <c r="BB1357" s="6"/>
      <c r="BC1357" s="6"/>
      <c r="BD1357" s="6"/>
      <c r="BE1357" s="6"/>
      <c r="BF1357" s="6"/>
      <c r="BG1357" s="6"/>
      <c r="BH1357" s="6"/>
      <c r="BI1357" s="6"/>
      <c r="BJ1357" s="6"/>
      <c r="BK1357" s="6"/>
      <c r="BL1357" s="44"/>
      <c r="BM1357" s="44"/>
      <c r="BN1357" s="45"/>
      <c r="BO1357" s="45"/>
      <c r="BP1357" s="7"/>
      <c r="BQ1357" s="7" t="e">
        <f>VLOOKUP(A1357,[1]Sheet15!B:E,3,0)</f>
        <v>#N/A</v>
      </c>
    </row>
    <row r="1358" spans="1:69" ht="15.75" customHeight="1" x14ac:dyDescent="0.25">
      <c r="A1358" s="12"/>
      <c r="B1358" s="15" t="e">
        <f>VLOOKUP(A1358,'[1]Master clients'!F1356:W4903,17,0)</f>
        <v>#N/A</v>
      </c>
      <c r="C1358" s="15" t="e">
        <f>VLOOKUP(A1358,'[1]Master clients'!F1356:P4903,11,0)</f>
        <v>#N/A</v>
      </c>
      <c r="D1358" s="15" t="e">
        <f>VLOOKUP(A1358,'[1]Master clients'!F:M,8,0)</f>
        <v>#N/A</v>
      </c>
      <c r="E1358" s="12"/>
      <c r="F1358" s="6"/>
      <c r="G1358" s="6"/>
      <c r="H1358" s="6"/>
      <c r="I1358" s="43"/>
      <c r="J1358" s="43"/>
      <c r="K1358" s="6"/>
      <c r="L1358" s="6"/>
      <c r="M1358" s="6"/>
      <c r="N1358" s="6"/>
      <c r="O1358" s="6"/>
      <c r="P1358" s="6"/>
      <c r="Q1358" s="6"/>
      <c r="R1358" s="6"/>
      <c r="S1358" s="6"/>
      <c r="T1358" s="6"/>
      <c r="U1358" s="6"/>
      <c r="V1358" s="6"/>
      <c r="W1358" s="6"/>
      <c r="X1358" s="6"/>
      <c r="Y1358" s="6"/>
      <c r="Z1358" s="6"/>
      <c r="AA1358" s="6"/>
      <c r="AB1358" s="6"/>
      <c r="AC1358" s="6"/>
      <c r="AD1358" s="6"/>
      <c r="AE1358" s="6"/>
      <c r="AF1358" s="6"/>
      <c r="AG1358" s="6"/>
      <c r="AH1358" s="6"/>
      <c r="AI1358" s="6"/>
      <c r="AJ1358" s="6"/>
      <c r="AK1358" s="6"/>
      <c r="AL1358" s="6"/>
      <c r="AM1358" s="6"/>
      <c r="AN1358" s="6"/>
      <c r="AO1358" s="6"/>
      <c r="AP1358" s="6"/>
      <c r="AQ1358" s="6"/>
      <c r="AR1358" s="6"/>
      <c r="AS1358" s="6"/>
      <c r="AT1358" s="6"/>
      <c r="AU1358" s="6"/>
      <c r="AV1358" s="6"/>
      <c r="AW1358" s="6"/>
      <c r="AX1358" s="6"/>
      <c r="AY1358" s="6"/>
      <c r="AZ1358" s="6"/>
      <c r="BA1358" s="6"/>
      <c r="BB1358" s="6"/>
      <c r="BC1358" s="6"/>
      <c r="BD1358" s="6"/>
      <c r="BE1358" s="6"/>
      <c r="BF1358" s="6"/>
      <c r="BG1358" s="6"/>
      <c r="BH1358" s="6"/>
      <c r="BI1358" s="6"/>
      <c r="BJ1358" s="6"/>
      <c r="BK1358" s="6"/>
      <c r="BL1358" s="44"/>
      <c r="BM1358" s="44"/>
      <c r="BN1358" s="45"/>
      <c r="BO1358" s="45"/>
      <c r="BP1358" s="7"/>
      <c r="BQ1358" s="7" t="e">
        <f>VLOOKUP(A1358,[1]Sheet15!B:E,3,0)</f>
        <v>#N/A</v>
      </c>
    </row>
    <row r="1359" spans="1:69" ht="15.75" customHeight="1" x14ac:dyDescent="0.25">
      <c r="A1359" s="12"/>
      <c r="B1359" s="15" t="e">
        <f>VLOOKUP(A1359,'[1]Master clients'!F1357:W4904,17,0)</f>
        <v>#N/A</v>
      </c>
      <c r="C1359" s="15" t="e">
        <f>VLOOKUP(A1359,'[1]Master clients'!F1357:P4904,11,0)</f>
        <v>#N/A</v>
      </c>
      <c r="D1359" s="15" t="e">
        <f>VLOOKUP(A1359,'[1]Master clients'!F:M,8,0)</f>
        <v>#N/A</v>
      </c>
      <c r="E1359" s="12"/>
      <c r="F1359" s="6"/>
      <c r="G1359" s="6"/>
      <c r="H1359" s="6"/>
      <c r="I1359" s="43"/>
      <c r="J1359" s="43"/>
      <c r="K1359" s="6"/>
      <c r="L1359" s="6"/>
      <c r="M1359" s="6"/>
      <c r="N1359" s="6"/>
      <c r="O1359" s="6"/>
      <c r="P1359" s="6"/>
      <c r="Q1359" s="6"/>
      <c r="R1359" s="6"/>
      <c r="S1359" s="6"/>
      <c r="T1359" s="6"/>
      <c r="U1359" s="6"/>
      <c r="V1359" s="6"/>
      <c r="W1359" s="6"/>
      <c r="X1359" s="6"/>
      <c r="Y1359" s="6"/>
      <c r="Z1359" s="6"/>
      <c r="AA1359" s="6"/>
      <c r="AB1359" s="6"/>
      <c r="AC1359" s="6"/>
      <c r="AD1359" s="6"/>
      <c r="AE1359" s="6"/>
      <c r="AF1359" s="6"/>
      <c r="AG1359" s="6"/>
      <c r="AH1359" s="6"/>
      <c r="AI1359" s="6"/>
      <c r="AJ1359" s="6"/>
      <c r="AK1359" s="6"/>
      <c r="AL1359" s="6"/>
      <c r="AM1359" s="6"/>
      <c r="AN1359" s="6"/>
      <c r="AO1359" s="6"/>
      <c r="AP1359" s="6"/>
      <c r="AQ1359" s="6"/>
      <c r="AR1359" s="6"/>
      <c r="AS1359" s="6"/>
      <c r="AT1359" s="6"/>
      <c r="AU1359" s="6"/>
      <c r="AV1359" s="6"/>
      <c r="AW1359" s="6"/>
      <c r="AX1359" s="6"/>
      <c r="AY1359" s="6"/>
      <c r="AZ1359" s="6"/>
      <c r="BA1359" s="6"/>
      <c r="BB1359" s="6"/>
      <c r="BC1359" s="6"/>
      <c r="BD1359" s="6"/>
      <c r="BE1359" s="6"/>
      <c r="BF1359" s="6"/>
      <c r="BG1359" s="6"/>
      <c r="BH1359" s="6"/>
      <c r="BI1359" s="6"/>
      <c r="BJ1359" s="6"/>
      <c r="BK1359" s="6"/>
      <c r="BL1359" s="44"/>
      <c r="BM1359" s="44"/>
      <c r="BN1359" s="45"/>
      <c r="BO1359" s="45"/>
      <c r="BP1359" s="7"/>
      <c r="BQ1359" s="7" t="e">
        <f>VLOOKUP(A1359,[1]Sheet15!B:E,3,0)</f>
        <v>#N/A</v>
      </c>
    </row>
    <row r="1360" spans="1:69" ht="15.75" customHeight="1" x14ac:dyDescent="0.25">
      <c r="A1360" s="12"/>
      <c r="B1360" s="15" t="e">
        <f>VLOOKUP(A1360,'[1]Master clients'!F1358:W4905,17,0)</f>
        <v>#N/A</v>
      </c>
      <c r="C1360" s="15" t="e">
        <f>VLOOKUP(A1360,'[1]Master clients'!F1358:P4905,11,0)</f>
        <v>#N/A</v>
      </c>
      <c r="D1360" s="15" t="e">
        <f>VLOOKUP(A1360,'[1]Master clients'!F:M,8,0)</f>
        <v>#N/A</v>
      </c>
      <c r="E1360" s="12"/>
      <c r="F1360" s="6"/>
      <c r="G1360" s="6"/>
      <c r="H1360" s="6"/>
      <c r="I1360" s="43"/>
      <c r="J1360" s="43"/>
      <c r="K1360" s="6"/>
      <c r="L1360" s="6"/>
      <c r="M1360" s="6"/>
      <c r="N1360" s="6"/>
      <c r="O1360" s="6"/>
      <c r="P1360" s="6"/>
      <c r="Q1360" s="6"/>
      <c r="R1360" s="6"/>
      <c r="S1360" s="6"/>
      <c r="T1360" s="6"/>
      <c r="U1360" s="6"/>
      <c r="V1360" s="6"/>
      <c r="W1360" s="6"/>
      <c r="X1360" s="6"/>
      <c r="Y1360" s="6"/>
      <c r="Z1360" s="6"/>
      <c r="AA1360" s="6"/>
      <c r="AB1360" s="6"/>
      <c r="AC1360" s="6"/>
      <c r="AD1360" s="6"/>
      <c r="AE1360" s="6"/>
      <c r="AF1360" s="6"/>
      <c r="AG1360" s="6"/>
      <c r="AH1360" s="6"/>
      <c r="AI1360" s="6"/>
      <c r="AJ1360" s="6"/>
      <c r="AK1360" s="6"/>
      <c r="AL1360" s="6"/>
      <c r="AM1360" s="6"/>
      <c r="AN1360" s="6"/>
      <c r="AO1360" s="6"/>
      <c r="AP1360" s="6"/>
      <c r="AQ1360" s="6"/>
      <c r="AR1360" s="6"/>
      <c r="AS1360" s="6"/>
      <c r="AT1360" s="6"/>
      <c r="AU1360" s="6"/>
      <c r="AV1360" s="6"/>
      <c r="AW1360" s="6"/>
      <c r="AX1360" s="6"/>
      <c r="AY1360" s="6"/>
      <c r="AZ1360" s="6"/>
      <c r="BA1360" s="6"/>
      <c r="BB1360" s="6"/>
      <c r="BC1360" s="6"/>
      <c r="BD1360" s="6"/>
      <c r="BE1360" s="6"/>
      <c r="BF1360" s="6"/>
      <c r="BG1360" s="6"/>
      <c r="BH1360" s="6"/>
      <c r="BI1360" s="6"/>
      <c r="BJ1360" s="6"/>
      <c r="BK1360" s="6"/>
      <c r="BL1360" s="44"/>
      <c r="BM1360" s="44"/>
      <c r="BN1360" s="45"/>
      <c r="BO1360" s="45"/>
      <c r="BP1360" s="7"/>
      <c r="BQ1360" s="7" t="e">
        <f>VLOOKUP(A1360,[1]Sheet15!B:E,3,0)</f>
        <v>#N/A</v>
      </c>
    </row>
    <row r="1361" spans="1:69" ht="15.75" customHeight="1" x14ac:dyDescent="0.25">
      <c r="A1361" s="12"/>
      <c r="B1361" s="15" t="e">
        <f>VLOOKUP(A1361,'[1]Master clients'!F1359:W4906,17,0)</f>
        <v>#N/A</v>
      </c>
      <c r="C1361" s="15" t="e">
        <f>VLOOKUP(A1361,'[1]Master clients'!F1359:P4906,11,0)</f>
        <v>#N/A</v>
      </c>
      <c r="D1361" s="15" t="e">
        <f>VLOOKUP(A1361,'[1]Master clients'!F:M,8,0)</f>
        <v>#N/A</v>
      </c>
      <c r="E1361" s="12"/>
      <c r="F1361" s="6"/>
      <c r="G1361" s="6"/>
      <c r="H1361" s="6"/>
      <c r="I1361" s="43"/>
      <c r="J1361" s="43"/>
      <c r="K1361" s="6"/>
      <c r="L1361" s="6"/>
      <c r="M1361" s="6"/>
      <c r="N1361" s="6"/>
      <c r="O1361" s="6"/>
      <c r="P1361" s="6"/>
      <c r="Q1361" s="6"/>
      <c r="R1361" s="6"/>
      <c r="S1361" s="6"/>
      <c r="T1361" s="6"/>
      <c r="U1361" s="6"/>
      <c r="V1361" s="6"/>
      <c r="W1361" s="6"/>
      <c r="X1361" s="6"/>
      <c r="Y1361" s="6"/>
      <c r="Z1361" s="6"/>
      <c r="AA1361" s="6"/>
      <c r="AB1361" s="6"/>
      <c r="AC1361" s="6"/>
      <c r="AD1361" s="6"/>
      <c r="AE1361" s="6"/>
      <c r="AF1361" s="6"/>
      <c r="AG1361" s="6"/>
      <c r="AH1361" s="6"/>
      <c r="AI1361" s="6"/>
      <c r="AJ1361" s="6"/>
      <c r="AK1361" s="6"/>
      <c r="AL1361" s="6"/>
      <c r="AM1361" s="6"/>
      <c r="AN1361" s="6"/>
      <c r="AO1361" s="6"/>
      <c r="AP1361" s="6"/>
      <c r="AQ1361" s="6"/>
      <c r="AR1361" s="6"/>
      <c r="AS1361" s="6"/>
      <c r="AT1361" s="6"/>
      <c r="AU1361" s="6"/>
      <c r="AV1361" s="6"/>
      <c r="AW1361" s="6"/>
      <c r="AX1361" s="6"/>
      <c r="AY1361" s="6"/>
      <c r="AZ1361" s="6"/>
      <c r="BA1361" s="6"/>
      <c r="BB1361" s="6"/>
      <c r="BC1361" s="6"/>
      <c r="BD1361" s="6"/>
      <c r="BE1361" s="6"/>
      <c r="BF1361" s="6"/>
      <c r="BG1361" s="6"/>
      <c r="BH1361" s="6"/>
      <c r="BI1361" s="6"/>
      <c r="BJ1361" s="6"/>
      <c r="BK1361" s="6"/>
      <c r="BL1361" s="44"/>
      <c r="BM1361" s="44"/>
      <c r="BN1361" s="45"/>
      <c r="BO1361" s="45"/>
      <c r="BP1361" s="7"/>
      <c r="BQ1361" s="7" t="e">
        <f>VLOOKUP(A1361,[1]Sheet15!B:E,3,0)</f>
        <v>#N/A</v>
      </c>
    </row>
    <row r="1362" spans="1:69" ht="15.75" customHeight="1" x14ac:dyDescent="0.25">
      <c r="A1362" s="12"/>
      <c r="B1362" s="15" t="e">
        <f>VLOOKUP(A1362,'[1]Master clients'!F1360:W4907,17,0)</f>
        <v>#N/A</v>
      </c>
      <c r="C1362" s="15" t="e">
        <f>VLOOKUP(A1362,'[1]Master clients'!F1360:P4907,11,0)</f>
        <v>#N/A</v>
      </c>
      <c r="D1362" s="15" t="e">
        <f>VLOOKUP(A1362,'[1]Master clients'!F:M,8,0)</f>
        <v>#N/A</v>
      </c>
      <c r="E1362" s="12"/>
      <c r="F1362" s="6"/>
      <c r="G1362" s="6"/>
      <c r="H1362" s="6"/>
      <c r="I1362" s="43"/>
      <c r="J1362" s="43"/>
      <c r="K1362" s="6"/>
      <c r="L1362" s="6"/>
      <c r="M1362" s="6"/>
      <c r="N1362" s="6"/>
      <c r="O1362" s="6"/>
      <c r="P1362" s="6"/>
      <c r="Q1362" s="6"/>
      <c r="R1362" s="6"/>
      <c r="S1362" s="6"/>
      <c r="T1362" s="6"/>
      <c r="U1362" s="6"/>
      <c r="V1362" s="6"/>
      <c r="W1362" s="6"/>
      <c r="X1362" s="6"/>
      <c r="Y1362" s="6"/>
      <c r="Z1362" s="6"/>
      <c r="AA1362" s="6"/>
      <c r="AB1362" s="6"/>
      <c r="AC1362" s="6"/>
      <c r="AD1362" s="6"/>
      <c r="AE1362" s="6"/>
      <c r="AF1362" s="6"/>
      <c r="AG1362" s="6"/>
      <c r="AH1362" s="6"/>
      <c r="AI1362" s="6"/>
      <c r="AJ1362" s="6"/>
      <c r="AK1362" s="6"/>
      <c r="AL1362" s="6"/>
      <c r="AM1362" s="6"/>
      <c r="AN1362" s="6"/>
      <c r="AO1362" s="6"/>
      <c r="AP1362" s="6"/>
      <c r="AQ1362" s="6"/>
      <c r="AR1362" s="6"/>
      <c r="AS1362" s="6"/>
      <c r="AT1362" s="6"/>
      <c r="AU1362" s="6"/>
      <c r="AV1362" s="6"/>
      <c r="AW1362" s="6"/>
      <c r="AX1362" s="6"/>
      <c r="AY1362" s="6"/>
      <c r="AZ1362" s="6"/>
      <c r="BA1362" s="6"/>
      <c r="BB1362" s="6"/>
      <c r="BC1362" s="6"/>
      <c r="BD1362" s="6"/>
      <c r="BE1362" s="6"/>
      <c r="BF1362" s="6"/>
      <c r="BG1362" s="6"/>
      <c r="BH1362" s="6"/>
      <c r="BI1362" s="6"/>
      <c r="BJ1362" s="6"/>
      <c r="BK1362" s="6"/>
      <c r="BL1362" s="44"/>
      <c r="BM1362" s="44"/>
      <c r="BN1362" s="45"/>
      <c r="BO1362" s="45"/>
      <c r="BP1362" s="7"/>
      <c r="BQ1362" s="7" t="e">
        <f>VLOOKUP(A1362,[1]Sheet15!B:E,3,0)</f>
        <v>#N/A</v>
      </c>
    </row>
    <row r="1363" spans="1:69" ht="15.75" customHeight="1" x14ac:dyDescent="0.25">
      <c r="A1363" s="12"/>
      <c r="B1363" s="15" t="e">
        <f>VLOOKUP(A1363,'[1]Master clients'!F1361:W4908,17,0)</f>
        <v>#N/A</v>
      </c>
      <c r="C1363" s="15" t="e">
        <f>VLOOKUP(A1363,'[1]Master clients'!F1361:P4908,11,0)</f>
        <v>#N/A</v>
      </c>
      <c r="D1363" s="15" t="e">
        <f>VLOOKUP(A1363,'[1]Master clients'!F:M,8,0)</f>
        <v>#N/A</v>
      </c>
      <c r="E1363" s="12"/>
      <c r="F1363" s="6"/>
      <c r="G1363" s="6"/>
      <c r="H1363" s="6"/>
      <c r="I1363" s="43"/>
      <c r="J1363" s="43"/>
      <c r="K1363" s="6"/>
      <c r="L1363" s="6"/>
      <c r="M1363" s="6"/>
      <c r="N1363" s="6"/>
      <c r="O1363" s="6"/>
      <c r="P1363" s="6"/>
      <c r="Q1363" s="6"/>
      <c r="R1363" s="6"/>
      <c r="S1363" s="6"/>
      <c r="T1363" s="6"/>
      <c r="U1363" s="6"/>
      <c r="V1363" s="6"/>
      <c r="W1363" s="6"/>
      <c r="X1363" s="6"/>
      <c r="Y1363" s="6"/>
      <c r="Z1363" s="6"/>
      <c r="AA1363" s="6"/>
      <c r="AB1363" s="6"/>
      <c r="AC1363" s="6"/>
      <c r="AD1363" s="6"/>
      <c r="AE1363" s="6"/>
      <c r="AF1363" s="6"/>
      <c r="AG1363" s="6"/>
      <c r="AH1363" s="6"/>
      <c r="AI1363" s="6"/>
      <c r="AJ1363" s="6"/>
      <c r="AK1363" s="6"/>
      <c r="AL1363" s="6"/>
      <c r="AM1363" s="6"/>
      <c r="AN1363" s="6"/>
      <c r="AO1363" s="6"/>
      <c r="AP1363" s="6"/>
      <c r="AQ1363" s="6"/>
      <c r="AR1363" s="6"/>
      <c r="AS1363" s="6"/>
      <c r="AT1363" s="6"/>
      <c r="AU1363" s="6"/>
      <c r="AV1363" s="6"/>
      <c r="AW1363" s="6"/>
      <c r="AX1363" s="6"/>
      <c r="AY1363" s="6"/>
      <c r="AZ1363" s="6"/>
      <c r="BA1363" s="6"/>
      <c r="BB1363" s="6"/>
      <c r="BC1363" s="6"/>
      <c r="BD1363" s="6"/>
      <c r="BE1363" s="6"/>
      <c r="BF1363" s="6"/>
      <c r="BG1363" s="6"/>
      <c r="BH1363" s="6"/>
      <c r="BI1363" s="6"/>
      <c r="BJ1363" s="6"/>
      <c r="BK1363" s="6"/>
      <c r="BL1363" s="44"/>
      <c r="BM1363" s="44"/>
      <c r="BN1363" s="45"/>
      <c r="BO1363" s="45"/>
      <c r="BP1363" s="7"/>
      <c r="BQ1363" s="7" t="e">
        <f>VLOOKUP(A1363,[1]Sheet15!B:E,3,0)</f>
        <v>#N/A</v>
      </c>
    </row>
    <row r="1364" spans="1:69" ht="15.75" customHeight="1" x14ac:dyDescent="0.25">
      <c r="A1364" s="12"/>
      <c r="B1364" s="15" t="e">
        <f>VLOOKUP(A1364,'[1]Master clients'!F1362:W4909,17,0)</f>
        <v>#N/A</v>
      </c>
      <c r="C1364" s="15" t="e">
        <f>VLOOKUP(A1364,'[1]Master clients'!F1362:P4909,11,0)</f>
        <v>#N/A</v>
      </c>
      <c r="D1364" s="15" t="e">
        <f>VLOOKUP(A1364,'[1]Master clients'!F:M,8,0)</f>
        <v>#N/A</v>
      </c>
      <c r="E1364" s="12"/>
      <c r="F1364" s="6"/>
      <c r="G1364" s="6"/>
      <c r="H1364" s="6"/>
      <c r="I1364" s="43"/>
      <c r="J1364" s="43"/>
      <c r="K1364" s="6"/>
      <c r="L1364" s="6"/>
      <c r="M1364" s="6"/>
      <c r="N1364" s="6"/>
      <c r="O1364" s="6"/>
      <c r="P1364" s="6"/>
      <c r="Q1364" s="6"/>
      <c r="R1364" s="6"/>
      <c r="S1364" s="6"/>
      <c r="T1364" s="6"/>
      <c r="U1364" s="6"/>
      <c r="V1364" s="6"/>
      <c r="W1364" s="6"/>
      <c r="X1364" s="6"/>
      <c r="Y1364" s="6"/>
      <c r="Z1364" s="6"/>
      <c r="AA1364" s="6"/>
      <c r="AB1364" s="6"/>
      <c r="AC1364" s="6"/>
      <c r="AD1364" s="6"/>
      <c r="AE1364" s="6"/>
      <c r="AF1364" s="6"/>
      <c r="AG1364" s="6"/>
      <c r="AH1364" s="6"/>
      <c r="AI1364" s="6"/>
      <c r="AJ1364" s="6"/>
      <c r="AK1364" s="6"/>
      <c r="AL1364" s="6"/>
      <c r="AM1364" s="6"/>
      <c r="AN1364" s="6"/>
      <c r="AO1364" s="6"/>
      <c r="AP1364" s="6"/>
      <c r="AQ1364" s="6"/>
      <c r="AR1364" s="6"/>
      <c r="AS1364" s="6"/>
      <c r="AT1364" s="6"/>
      <c r="AU1364" s="6"/>
      <c r="AV1364" s="6"/>
      <c r="AW1364" s="6"/>
      <c r="AX1364" s="6"/>
      <c r="AY1364" s="6"/>
      <c r="AZ1364" s="6"/>
      <c r="BA1364" s="6"/>
      <c r="BB1364" s="6"/>
      <c r="BC1364" s="6"/>
      <c r="BD1364" s="6"/>
      <c r="BE1364" s="6"/>
      <c r="BF1364" s="6"/>
      <c r="BG1364" s="6"/>
      <c r="BH1364" s="6"/>
      <c r="BI1364" s="6"/>
      <c r="BJ1364" s="6"/>
      <c r="BK1364" s="6"/>
      <c r="BL1364" s="44"/>
      <c r="BM1364" s="44"/>
      <c r="BN1364" s="45"/>
      <c r="BO1364" s="45"/>
      <c r="BP1364" s="7"/>
      <c r="BQ1364" s="7" t="e">
        <f>VLOOKUP(A1364,[1]Sheet15!B:E,3,0)</f>
        <v>#N/A</v>
      </c>
    </row>
    <row r="1365" spans="1:69" ht="15.75" customHeight="1" x14ac:dyDescent="0.25">
      <c r="A1365" s="12"/>
      <c r="B1365" s="15" t="e">
        <f>VLOOKUP(A1365,'[1]Master clients'!F1363:W4910,17,0)</f>
        <v>#N/A</v>
      </c>
      <c r="C1365" s="15" t="e">
        <f>VLOOKUP(A1365,'[1]Master clients'!F1363:P4910,11,0)</f>
        <v>#N/A</v>
      </c>
      <c r="D1365" s="15" t="e">
        <f>VLOOKUP(A1365,'[1]Master clients'!F:M,8,0)</f>
        <v>#N/A</v>
      </c>
      <c r="E1365" s="12"/>
      <c r="F1365" s="6"/>
      <c r="G1365" s="6"/>
      <c r="H1365" s="6"/>
      <c r="I1365" s="43"/>
      <c r="J1365" s="43"/>
      <c r="K1365" s="6"/>
      <c r="L1365" s="6"/>
      <c r="M1365" s="6"/>
      <c r="N1365" s="6"/>
      <c r="O1365" s="6"/>
      <c r="P1365" s="6"/>
      <c r="Q1365" s="6"/>
      <c r="R1365" s="6"/>
      <c r="S1365" s="6"/>
      <c r="T1365" s="6"/>
      <c r="U1365" s="6"/>
      <c r="V1365" s="6"/>
      <c r="W1365" s="6"/>
      <c r="X1365" s="6"/>
      <c r="Y1365" s="6"/>
      <c r="Z1365" s="6"/>
      <c r="AA1365" s="6"/>
      <c r="AB1365" s="6"/>
      <c r="AC1365" s="6"/>
      <c r="AD1365" s="6"/>
      <c r="AE1365" s="6"/>
      <c r="AF1365" s="6"/>
      <c r="AG1365" s="6"/>
      <c r="AH1365" s="6"/>
      <c r="AI1365" s="6"/>
      <c r="AJ1365" s="6"/>
      <c r="AK1365" s="6"/>
      <c r="AL1365" s="6"/>
      <c r="AM1365" s="6"/>
      <c r="AN1365" s="6"/>
      <c r="AO1365" s="6"/>
      <c r="AP1365" s="6"/>
      <c r="AQ1365" s="6"/>
      <c r="AR1365" s="6"/>
      <c r="AS1365" s="6"/>
      <c r="AT1365" s="6"/>
      <c r="AU1365" s="6"/>
      <c r="AV1365" s="6"/>
      <c r="AW1365" s="6"/>
      <c r="AX1365" s="6"/>
      <c r="AY1365" s="6"/>
      <c r="AZ1365" s="6"/>
      <c r="BA1365" s="6"/>
      <c r="BB1365" s="6"/>
      <c r="BC1365" s="6"/>
      <c r="BD1365" s="6"/>
      <c r="BE1365" s="6"/>
      <c r="BF1365" s="6"/>
      <c r="BG1365" s="6"/>
      <c r="BH1365" s="6"/>
      <c r="BI1365" s="6"/>
      <c r="BJ1365" s="6"/>
      <c r="BK1365" s="6"/>
      <c r="BL1365" s="44"/>
      <c r="BM1365" s="44"/>
      <c r="BN1365" s="45"/>
      <c r="BO1365" s="45"/>
      <c r="BP1365" s="7"/>
      <c r="BQ1365" s="7" t="e">
        <f>VLOOKUP(A1365,[1]Sheet15!B:E,3,0)</f>
        <v>#N/A</v>
      </c>
    </row>
    <row r="1366" spans="1:69" ht="15.75" customHeight="1" x14ac:dyDescent="0.25">
      <c r="A1366" s="12"/>
      <c r="B1366" s="15" t="e">
        <f>VLOOKUP(A1366,'[1]Master clients'!F1364:W4911,17,0)</f>
        <v>#N/A</v>
      </c>
      <c r="C1366" s="15" t="e">
        <f>VLOOKUP(A1366,'[1]Master clients'!F1364:P4911,11,0)</f>
        <v>#N/A</v>
      </c>
      <c r="D1366" s="15" t="e">
        <f>VLOOKUP(A1366,'[1]Master clients'!F:M,8,0)</f>
        <v>#N/A</v>
      </c>
      <c r="E1366" s="12"/>
      <c r="F1366" s="6"/>
      <c r="G1366" s="6"/>
      <c r="H1366" s="6"/>
      <c r="I1366" s="43"/>
      <c r="J1366" s="43"/>
      <c r="K1366" s="6"/>
      <c r="L1366" s="6"/>
      <c r="M1366" s="6"/>
      <c r="N1366" s="6"/>
      <c r="O1366" s="6"/>
      <c r="P1366" s="6"/>
      <c r="Q1366" s="6"/>
      <c r="R1366" s="6"/>
      <c r="S1366" s="6"/>
      <c r="T1366" s="6"/>
      <c r="U1366" s="6"/>
      <c r="V1366" s="6"/>
      <c r="W1366" s="6"/>
      <c r="X1366" s="6"/>
      <c r="Y1366" s="6"/>
      <c r="Z1366" s="6"/>
      <c r="AA1366" s="6"/>
      <c r="AB1366" s="6"/>
      <c r="AC1366" s="6"/>
      <c r="AD1366" s="6"/>
      <c r="AE1366" s="6"/>
      <c r="AF1366" s="6"/>
      <c r="AG1366" s="6"/>
      <c r="AH1366" s="6"/>
      <c r="AI1366" s="6"/>
      <c r="AJ1366" s="6"/>
      <c r="AK1366" s="6"/>
      <c r="AL1366" s="6"/>
      <c r="AM1366" s="6"/>
      <c r="AN1366" s="6"/>
      <c r="AO1366" s="6"/>
      <c r="AP1366" s="6"/>
      <c r="AQ1366" s="6"/>
      <c r="AR1366" s="6"/>
      <c r="AS1366" s="6"/>
      <c r="AT1366" s="6"/>
      <c r="AU1366" s="6"/>
      <c r="AV1366" s="6"/>
      <c r="AW1366" s="6"/>
      <c r="AX1366" s="6"/>
      <c r="AY1366" s="6"/>
      <c r="AZ1366" s="6"/>
      <c r="BA1366" s="6"/>
      <c r="BB1366" s="6"/>
      <c r="BC1366" s="6"/>
      <c r="BD1366" s="6"/>
      <c r="BE1366" s="6"/>
      <c r="BF1366" s="6"/>
      <c r="BG1366" s="6"/>
      <c r="BH1366" s="6"/>
      <c r="BI1366" s="6"/>
      <c r="BJ1366" s="6"/>
      <c r="BK1366" s="6"/>
      <c r="BL1366" s="44"/>
      <c r="BM1366" s="44"/>
      <c r="BN1366" s="45"/>
      <c r="BO1366" s="45"/>
      <c r="BP1366" s="7"/>
      <c r="BQ1366" s="7" t="e">
        <f>VLOOKUP(A1366,[1]Sheet15!B:E,3,0)</f>
        <v>#N/A</v>
      </c>
    </row>
    <row r="1367" spans="1:69" ht="15.75" customHeight="1" x14ac:dyDescent="0.25">
      <c r="A1367" s="12"/>
      <c r="B1367" s="15" t="e">
        <f>VLOOKUP(A1367,'[1]Master clients'!F1365:W4912,17,0)</f>
        <v>#N/A</v>
      </c>
      <c r="C1367" s="15" t="e">
        <f>VLOOKUP(A1367,'[1]Master clients'!F1365:P4912,11,0)</f>
        <v>#N/A</v>
      </c>
      <c r="D1367" s="15" t="e">
        <f>VLOOKUP(A1367,'[1]Master clients'!F:M,8,0)</f>
        <v>#N/A</v>
      </c>
      <c r="E1367" s="12"/>
      <c r="F1367" s="6"/>
      <c r="G1367" s="6"/>
      <c r="H1367" s="6"/>
      <c r="I1367" s="43"/>
      <c r="J1367" s="43"/>
      <c r="K1367" s="6"/>
      <c r="L1367" s="6"/>
      <c r="M1367" s="6"/>
      <c r="N1367" s="6"/>
      <c r="O1367" s="6"/>
      <c r="P1367" s="6"/>
      <c r="Q1367" s="6"/>
      <c r="R1367" s="6"/>
      <c r="S1367" s="6"/>
      <c r="T1367" s="6"/>
      <c r="U1367" s="6"/>
      <c r="V1367" s="6"/>
      <c r="W1367" s="6"/>
      <c r="X1367" s="6"/>
      <c r="Y1367" s="6"/>
      <c r="Z1367" s="6"/>
      <c r="AA1367" s="6"/>
      <c r="AB1367" s="6"/>
      <c r="AC1367" s="6"/>
      <c r="AD1367" s="6"/>
      <c r="AE1367" s="6"/>
      <c r="AF1367" s="6"/>
      <c r="AG1367" s="6"/>
      <c r="AH1367" s="6"/>
      <c r="AI1367" s="6"/>
      <c r="AJ1367" s="6"/>
      <c r="AK1367" s="6"/>
      <c r="AL1367" s="6"/>
      <c r="AM1367" s="6"/>
      <c r="AN1367" s="6"/>
      <c r="AO1367" s="6"/>
      <c r="AP1367" s="6"/>
      <c r="AQ1367" s="6"/>
      <c r="AR1367" s="6"/>
      <c r="AS1367" s="6"/>
      <c r="AT1367" s="6"/>
      <c r="AU1367" s="6"/>
      <c r="AV1367" s="6"/>
      <c r="AW1367" s="6"/>
      <c r="AX1367" s="6"/>
      <c r="AY1367" s="6"/>
      <c r="AZ1367" s="6"/>
      <c r="BA1367" s="6"/>
      <c r="BB1367" s="6"/>
      <c r="BC1367" s="6"/>
      <c r="BD1367" s="6"/>
      <c r="BE1367" s="6"/>
      <c r="BF1367" s="6"/>
      <c r="BG1367" s="6"/>
      <c r="BH1367" s="6"/>
      <c r="BI1367" s="6"/>
      <c r="BJ1367" s="6"/>
      <c r="BK1367" s="6"/>
      <c r="BL1367" s="44"/>
      <c r="BM1367" s="44"/>
      <c r="BN1367" s="45"/>
      <c r="BO1367" s="45"/>
      <c r="BP1367" s="7"/>
      <c r="BQ1367" s="7" t="e">
        <f>VLOOKUP(A1367,[1]Sheet15!B:E,3,0)</f>
        <v>#N/A</v>
      </c>
    </row>
    <row r="1368" spans="1:69" ht="15.75" customHeight="1" x14ac:dyDescent="0.25">
      <c r="A1368" s="12"/>
      <c r="B1368" s="15" t="e">
        <f>VLOOKUP(A1368,'[1]Master clients'!F1366:W4913,17,0)</f>
        <v>#N/A</v>
      </c>
      <c r="C1368" s="15" t="e">
        <f>VLOOKUP(A1368,'[1]Master clients'!F1366:P4913,11,0)</f>
        <v>#N/A</v>
      </c>
      <c r="D1368" s="15" t="e">
        <f>VLOOKUP(A1368,'[1]Master clients'!F:M,8,0)</f>
        <v>#N/A</v>
      </c>
      <c r="E1368" s="12"/>
      <c r="F1368" s="6"/>
      <c r="G1368" s="6"/>
      <c r="H1368" s="6"/>
      <c r="I1368" s="43"/>
      <c r="J1368" s="43"/>
      <c r="K1368" s="6"/>
      <c r="L1368" s="6"/>
      <c r="M1368" s="6"/>
      <c r="N1368" s="6"/>
      <c r="O1368" s="6"/>
      <c r="P1368" s="6"/>
      <c r="Q1368" s="6"/>
      <c r="R1368" s="6"/>
      <c r="S1368" s="6"/>
      <c r="T1368" s="6"/>
      <c r="U1368" s="6"/>
      <c r="V1368" s="6"/>
      <c r="W1368" s="6"/>
      <c r="X1368" s="6"/>
      <c r="Y1368" s="6"/>
      <c r="Z1368" s="6"/>
      <c r="AA1368" s="6"/>
      <c r="AB1368" s="6"/>
      <c r="AC1368" s="6"/>
      <c r="AD1368" s="6"/>
      <c r="AE1368" s="6"/>
      <c r="AF1368" s="6"/>
      <c r="AG1368" s="6"/>
      <c r="AH1368" s="6"/>
      <c r="AI1368" s="6"/>
      <c r="AJ1368" s="6"/>
      <c r="AK1368" s="6"/>
      <c r="AL1368" s="6"/>
      <c r="AM1368" s="6"/>
      <c r="AN1368" s="6"/>
      <c r="AO1368" s="6"/>
      <c r="AP1368" s="6"/>
      <c r="AQ1368" s="6"/>
      <c r="AR1368" s="6"/>
      <c r="AS1368" s="6"/>
      <c r="AT1368" s="6"/>
      <c r="AU1368" s="6"/>
      <c r="AV1368" s="6"/>
      <c r="AW1368" s="6"/>
      <c r="AX1368" s="6"/>
      <c r="AY1368" s="6"/>
      <c r="AZ1368" s="6"/>
      <c r="BA1368" s="6"/>
      <c r="BB1368" s="6"/>
      <c r="BC1368" s="6"/>
      <c r="BD1368" s="6"/>
      <c r="BE1368" s="6"/>
      <c r="BF1368" s="6"/>
      <c r="BG1368" s="6"/>
      <c r="BH1368" s="6"/>
      <c r="BI1368" s="6"/>
      <c r="BJ1368" s="6"/>
      <c r="BK1368" s="6"/>
      <c r="BL1368" s="44"/>
      <c r="BM1368" s="44"/>
      <c r="BN1368" s="45"/>
      <c r="BO1368" s="45"/>
      <c r="BP1368" s="7"/>
      <c r="BQ1368" s="7" t="e">
        <f>VLOOKUP(A1368,[1]Sheet15!B:E,3,0)</f>
        <v>#N/A</v>
      </c>
    </row>
    <row r="1369" spans="1:69" ht="15.75" customHeight="1" x14ac:dyDescent="0.25">
      <c r="A1369" s="12"/>
      <c r="B1369" s="15" t="e">
        <f>VLOOKUP(A1369,'[1]Master clients'!F1367:W4914,17,0)</f>
        <v>#N/A</v>
      </c>
      <c r="C1369" s="15" t="e">
        <f>VLOOKUP(A1369,'[1]Master clients'!F1367:P4914,11,0)</f>
        <v>#N/A</v>
      </c>
      <c r="D1369" s="15" t="e">
        <f>VLOOKUP(A1369,'[1]Master clients'!F:M,8,0)</f>
        <v>#N/A</v>
      </c>
      <c r="E1369" s="12"/>
      <c r="F1369" s="6"/>
      <c r="G1369" s="6"/>
      <c r="H1369" s="6"/>
      <c r="I1369" s="43"/>
      <c r="J1369" s="43"/>
      <c r="K1369" s="6"/>
      <c r="L1369" s="6"/>
      <c r="M1369" s="6"/>
      <c r="N1369" s="6"/>
      <c r="O1369" s="6"/>
      <c r="P1369" s="6"/>
      <c r="Q1369" s="6"/>
      <c r="R1369" s="6"/>
      <c r="S1369" s="6"/>
      <c r="T1369" s="6"/>
      <c r="U1369" s="6"/>
      <c r="V1369" s="6"/>
      <c r="W1369" s="6"/>
      <c r="X1369" s="6"/>
      <c r="Y1369" s="6"/>
      <c r="Z1369" s="6"/>
      <c r="AA1369" s="6"/>
      <c r="AB1369" s="6"/>
      <c r="AC1369" s="6"/>
      <c r="AD1369" s="6"/>
      <c r="AE1369" s="6"/>
      <c r="AF1369" s="6"/>
      <c r="AG1369" s="6"/>
      <c r="AH1369" s="6"/>
      <c r="AI1369" s="6"/>
      <c r="AJ1369" s="6"/>
      <c r="AK1369" s="6"/>
      <c r="AL1369" s="6"/>
      <c r="AM1369" s="6"/>
      <c r="AN1369" s="6"/>
      <c r="AO1369" s="6"/>
      <c r="AP1369" s="6"/>
      <c r="AQ1369" s="6"/>
      <c r="AR1369" s="6"/>
      <c r="AS1369" s="6"/>
      <c r="AT1369" s="6"/>
      <c r="AU1369" s="6"/>
      <c r="AV1369" s="6"/>
      <c r="AW1369" s="6"/>
      <c r="AX1369" s="6"/>
      <c r="AY1369" s="6"/>
      <c r="AZ1369" s="6"/>
      <c r="BA1369" s="6"/>
      <c r="BB1369" s="6"/>
      <c r="BC1369" s="6"/>
      <c r="BD1369" s="6"/>
      <c r="BE1369" s="6"/>
      <c r="BF1369" s="6"/>
      <c r="BG1369" s="6"/>
      <c r="BH1369" s="6"/>
      <c r="BI1369" s="6"/>
      <c r="BJ1369" s="6"/>
      <c r="BK1369" s="6"/>
      <c r="BL1369" s="44"/>
      <c r="BM1369" s="44"/>
      <c r="BN1369" s="45"/>
      <c r="BO1369" s="45"/>
      <c r="BP1369" s="7"/>
      <c r="BQ1369" s="7" t="e">
        <f>VLOOKUP(A1369,[1]Sheet15!B:E,3,0)</f>
        <v>#N/A</v>
      </c>
    </row>
    <row r="1370" spans="1:69" ht="15.75" customHeight="1" x14ac:dyDescent="0.25">
      <c r="A1370" s="12"/>
      <c r="B1370" s="15" t="e">
        <f>VLOOKUP(A1370,'[1]Master clients'!F1368:W4915,17,0)</f>
        <v>#N/A</v>
      </c>
      <c r="C1370" s="15" t="e">
        <f>VLOOKUP(A1370,'[1]Master clients'!F1368:P4915,11,0)</f>
        <v>#N/A</v>
      </c>
      <c r="D1370" s="15" t="e">
        <f>VLOOKUP(A1370,'[1]Master clients'!F:M,8,0)</f>
        <v>#N/A</v>
      </c>
      <c r="E1370" s="12"/>
      <c r="F1370" s="6"/>
      <c r="G1370" s="6"/>
      <c r="H1370" s="6"/>
      <c r="I1370" s="43"/>
      <c r="J1370" s="43"/>
      <c r="K1370" s="6"/>
      <c r="L1370" s="6"/>
      <c r="M1370" s="6"/>
      <c r="N1370" s="6"/>
      <c r="O1370" s="6"/>
      <c r="P1370" s="6"/>
      <c r="Q1370" s="6"/>
      <c r="R1370" s="6"/>
      <c r="S1370" s="6"/>
      <c r="T1370" s="6"/>
      <c r="U1370" s="6"/>
      <c r="V1370" s="6"/>
      <c r="W1370" s="6"/>
      <c r="X1370" s="6"/>
      <c r="Y1370" s="6"/>
      <c r="Z1370" s="6"/>
      <c r="AA1370" s="6"/>
      <c r="AB1370" s="6"/>
      <c r="AC1370" s="6"/>
      <c r="AD1370" s="6"/>
      <c r="AE1370" s="6"/>
      <c r="AF1370" s="6"/>
      <c r="AG1370" s="6"/>
      <c r="AH1370" s="6"/>
      <c r="AI1370" s="6"/>
      <c r="AJ1370" s="6"/>
      <c r="AK1370" s="6"/>
      <c r="AL1370" s="6"/>
      <c r="AM1370" s="6"/>
      <c r="AN1370" s="6"/>
      <c r="AO1370" s="6"/>
      <c r="AP1370" s="6"/>
      <c r="AQ1370" s="6"/>
      <c r="AR1370" s="6"/>
      <c r="AS1370" s="6"/>
      <c r="AT1370" s="6"/>
      <c r="AU1370" s="6"/>
      <c r="AV1370" s="6"/>
      <c r="AW1370" s="6"/>
      <c r="AX1370" s="6"/>
      <c r="AY1370" s="6"/>
      <c r="AZ1370" s="6"/>
      <c r="BA1370" s="6"/>
      <c r="BB1370" s="6"/>
      <c r="BC1370" s="6"/>
      <c r="BD1370" s="6"/>
      <c r="BE1370" s="6"/>
      <c r="BF1370" s="6"/>
      <c r="BG1370" s="6"/>
      <c r="BH1370" s="6"/>
      <c r="BI1370" s="6"/>
      <c r="BJ1370" s="6"/>
      <c r="BK1370" s="6"/>
      <c r="BL1370" s="44"/>
      <c r="BM1370" s="44"/>
      <c r="BN1370" s="45"/>
      <c r="BO1370" s="45"/>
      <c r="BP1370" s="7"/>
      <c r="BQ1370" s="7" t="e">
        <f>VLOOKUP(A1370,[1]Sheet15!B:E,3,0)</f>
        <v>#N/A</v>
      </c>
    </row>
    <row r="1371" spans="1:69" ht="15.75" customHeight="1" x14ac:dyDescent="0.25">
      <c r="A1371" s="12"/>
      <c r="B1371" s="15" t="e">
        <f>VLOOKUP(A1371,'[1]Master clients'!F1369:W4916,17,0)</f>
        <v>#N/A</v>
      </c>
      <c r="C1371" s="15" t="e">
        <f>VLOOKUP(A1371,'[1]Master clients'!F1369:P4916,11,0)</f>
        <v>#N/A</v>
      </c>
      <c r="D1371" s="15" t="e">
        <f>VLOOKUP(A1371,'[1]Master clients'!F:M,8,0)</f>
        <v>#N/A</v>
      </c>
      <c r="E1371" s="12"/>
      <c r="F1371" s="6"/>
      <c r="G1371" s="6"/>
      <c r="H1371" s="6"/>
      <c r="I1371" s="43"/>
      <c r="J1371" s="43"/>
      <c r="K1371" s="6"/>
      <c r="L1371" s="6"/>
      <c r="M1371" s="6"/>
      <c r="N1371" s="6"/>
      <c r="O1371" s="6"/>
      <c r="P1371" s="6"/>
      <c r="Q1371" s="6"/>
      <c r="R1371" s="6"/>
      <c r="S1371" s="6"/>
      <c r="T1371" s="6"/>
      <c r="U1371" s="6"/>
      <c r="V1371" s="6"/>
      <c r="W1371" s="6"/>
      <c r="X1371" s="6"/>
      <c r="Y1371" s="6"/>
      <c r="Z1371" s="6"/>
      <c r="AA1371" s="6"/>
      <c r="AB1371" s="6"/>
      <c r="AC1371" s="6"/>
      <c r="AD1371" s="6"/>
      <c r="AE1371" s="6"/>
      <c r="AF1371" s="6"/>
      <c r="AG1371" s="6"/>
      <c r="AH1371" s="6"/>
      <c r="AI1371" s="6"/>
      <c r="AJ1371" s="6"/>
      <c r="AK1371" s="6"/>
      <c r="AL1371" s="6"/>
      <c r="AM1371" s="6"/>
      <c r="AN1371" s="6"/>
      <c r="AO1371" s="6"/>
      <c r="AP1371" s="6"/>
      <c r="AQ1371" s="6"/>
      <c r="AR1371" s="6"/>
      <c r="AS1371" s="6"/>
      <c r="AT1371" s="6"/>
      <c r="AU1371" s="6"/>
      <c r="AV1371" s="6"/>
      <c r="AW1371" s="6"/>
      <c r="AX1371" s="6"/>
      <c r="AY1371" s="6"/>
      <c r="AZ1371" s="6"/>
      <c r="BA1371" s="6"/>
      <c r="BB1371" s="6"/>
      <c r="BC1371" s="6"/>
      <c r="BD1371" s="6"/>
      <c r="BE1371" s="6"/>
      <c r="BF1371" s="6"/>
      <c r="BG1371" s="6"/>
      <c r="BH1371" s="6"/>
      <c r="BI1371" s="6"/>
      <c r="BJ1371" s="6"/>
      <c r="BK1371" s="6"/>
      <c r="BL1371" s="44"/>
      <c r="BM1371" s="44"/>
      <c r="BN1371" s="45"/>
      <c r="BO1371" s="45"/>
      <c r="BP1371" s="7"/>
      <c r="BQ1371" s="7" t="e">
        <f>VLOOKUP(A1371,[1]Sheet15!B:E,3,0)</f>
        <v>#N/A</v>
      </c>
    </row>
    <row r="1372" spans="1:69" ht="15.75" customHeight="1" x14ac:dyDescent="0.25">
      <c r="A1372" s="12"/>
      <c r="B1372" s="15" t="e">
        <f>VLOOKUP(A1372,'[1]Master clients'!F1370:W4917,17,0)</f>
        <v>#N/A</v>
      </c>
      <c r="C1372" s="15" t="e">
        <f>VLOOKUP(A1372,'[1]Master clients'!F1370:P4917,11,0)</f>
        <v>#N/A</v>
      </c>
      <c r="D1372" s="15" t="e">
        <f>VLOOKUP(A1372,'[1]Master clients'!F:M,8,0)</f>
        <v>#N/A</v>
      </c>
      <c r="E1372" s="12"/>
      <c r="F1372" s="6"/>
      <c r="G1372" s="6"/>
      <c r="H1372" s="6"/>
      <c r="I1372" s="43"/>
      <c r="J1372" s="43"/>
      <c r="K1372" s="6"/>
      <c r="L1372" s="6"/>
      <c r="M1372" s="6"/>
      <c r="N1372" s="6"/>
      <c r="O1372" s="6"/>
      <c r="P1372" s="6"/>
      <c r="Q1372" s="6"/>
      <c r="R1372" s="6"/>
      <c r="S1372" s="6"/>
      <c r="T1372" s="6"/>
      <c r="U1372" s="6"/>
      <c r="V1372" s="6"/>
      <c r="W1372" s="6"/>
      <c r="X1372" s="6"/>
      <c r="Y1372" s="6"/>
      <c r="Z1372" s="6"/>
      <c r="AA1372" s="6"/>
      <c r="AB1372" s="6"/>
      <c r="AC1372" s="6"/>
      <c r="AD1372" s="6"/>
      <c r="AE1372" s="6"/>
      <c r="AF1372" s="6"/>
      <c r="AG1372" s="6"/>
      <c r="AH1372" s="6"/>
      <c r="AI1372" s="6"/>
      <c r="AJ1372" s="6"/>
      <c r="AK1372" s="6"/>
      <c r="AL1372" s="6"/>
      <c r="AM1372" s="6"/>
      <c r="AN1372" s="6"/>
      <c r="AO1372" s="6"/>
      <c r="AP1372" s="6"/>
      <c r="AQ1372" s="6"/>
      <c r="AR1372" s="6"/>
      <c r="AS1372" s="6"/>
      <c r="AT1372" s="6"/>
      <c r="AU1372" s="6"/>
      <c r="AV1372" s="6"/>
      <c r="AW1372" s="6"/>
      <c r="AX1372" s="6"/>
      <c r="AY1372" s="6"/>
      <c r="AZ1372" s="6"/>
      <c r="BA1372" s="6"/>
      <c r="BB1372" s="6"/>
      <c r="BC1372" s="6"/>
      <c r="BD1372" s="6"/>
      <c r="BE1372" s="6"/>
      <c r="BF1372" s="6"/>
      <c r="BG1372" s="6"/>
      <c r="BH1372" s="6"/>
      <c r="BI1372" s="6"/>
      <c r="BJ1372" s="6"/>
      <c r="BK1372" s="6"/>
      <c r="BL1372" s="44"/>
      <c r="BM1372" s="44"/>
      <c r="BN1372" s="45"/>
      <c r="BO1372" s="45"/>
      <c r="BP1372" s="7"/>
      <c r="BQ1372" s="7" t="e">
        <f>VLOOKUP(A1372,[1]Sheet15!B:E,3,0)</f>
        <v>#N/A</v>
      </c>
    </row>
    <row r="1373" spans="1:69" ht="15.75" customHeight="1" x14ac:dyDescent="0.25">
      <c r="A1373" s="12"/>
      <c r="B1373" s="15" t="e">
        <f>VLOOKUP(A1373,'[1]Master clients'!F1371:W4918,17,0)</f>
        <v>#N/A</v>
      </c>
      <c r="C1373" s="15" t="e">
        <f>VLOOKUP(A1373,'[1]Master clients'!F1371:P4918,11,0)</f>
        <v>#N/A</v>
      </c>
      <c r="D1373" s="15" t="e">
        <f>VLOOKUP(A1373,'[1]Master clients'!F:M,8,0)</f>
        <v>#N/A</v>
      </c>
      <c r="E1373" s="12"/>
      <c r="F1373" s="6"/>
      <c r="G1373" s="6"/>
      <c r="H1373" s="6"/>
      <c r="I1373" s="43"/>
      <c r="J1373" s="43"/>
      <c r="K1373" s="6"/>
      <c r="L1373" s="6"/>
      <c r="M1373" s="6"/>
      <c r="N1373" s="6"/>
      <c r="O1373" s="6"/>
      <c r="P1373" s="6"/>
      <c r="Q1373" s="6"/>
      <c r="R1373" s="6"/>
      <c r="S1373" s="6"/>
      <c r="T1373" s="6"/>
      <c r="U1373" s="6"/>
      <c r="V1373" s="6"/>
      <c r="W1373" s="6"/>
      <c r="X1373" s="6"/>
      <c r="Y1373" s="6"/>
      <c r="Z1373" s="6"/>
      <c r="AA1373" s="6"/>
      <c r="AB1373" s="6"/>
      <c r="AC1373" s="6"/>
      <c r="AD1373" s="6"/>
      <c r="AE1373" s="6"/>
      <c r="AF1373" s="6"/>
      <c r="AG1373" s="6"/>
      <c r="AH1373" s="6"/>
      <c r="AI1373" s="6"/>
      <c r="AJ1373" s="6"/>
      <c r="AK1373" s="6"/>
      <c r="AL1373" s="6"/>
      <c r="AM1373" s="6"/>
      <c r="AN1373" s="6"/>
      <c r="AO1373" s="6"/>
      <c r="AP1373" s="6"/>
      <c r="AQ1373" s="6"/>
      <c r="AR1373" s="6"/>
      <c r="AS1373" s="6"/>
      <c r="AT1373" s="6"/>
      <c r="AU1373" s="6"/>
      <c r="AV1373" s="6"/>
      <c r="AW1373" s="6"/>
      <c r="AX1373" s="6"/>
      <c r="AY1373" s="6"/>
      <c r="AZ1373" s="6"/>
      <c r="BA1373" s="6"/>
      <c r="BB1373" s="6"/>
      <c r="BC1373" s="6"/>
      <c r="BD1373" s="6"/>
      <c r="BE1373" s="6"/>
      <c r="BF1373" s="6"/>
      <c r="BG1373" s="6"/>
      <c r="BH1373" s="6"/>
      <c r="BI1373" s="6"/>
      <c r="BJ1373" s="6"/>
      <c r="BK1373" s="6"/>
      <c r="BL1373" s="44"/>
      <c r="BM1373" s="44"/>
      <c r="BN1373" s="45"/>
      <c r="BO1373" s="45"/>
      <c r="BP1373" s="7"/>
      <c r="BQ1373" s="7" t="e">
        <f>VLOOKUP(A1373,[1]Sheet15!B:E,3,0)</f>
        <v>#N/A</v>
      </c>
    </row>
    <row r="1374" spans="1:69" ht="15.75" customHeight="1" x14ac:dyDescent="0.25">
      <c r="A1374" s="12"/>
      <c r="B1374" s="15" t="e">
        <f>VLOOKUP(A1374,'[1]Master clients'!F1372:W4919,17,0)</f>
        <v>#N/A</v>
      </c>
      <c r="C1374" s="15" t="e">
        <f>VLOOKUP(A1374,'[1]Master clients'!F1372:P4919,11,0)</f>
        <v>#N/A</v>
      </c>
      <c r="D1374" s="15" t="e">
        <f>VLOOKUP(A1374,'[1]Master clients'!F:M,8,0)</f>
        <v>#N/A</v>
      </c>
      <c r="E1374" s="12"/>
      <c r="F1374" s="6"/>
      <c r="G1374" s="6"/>
      <c r="H1374" s="6"/>
      <c r="I1374" s="43"/>
      <c r="J1374" s="43"/>
      <c r="K1374" s="6"/>
      <c r="L1374" s="6"/>
      <c r="M1374" s="6"/>
      <c r="N1374" s="6"/>
      <c r="O1374" s="6"/>
      <c r="P1374" s="6"/>
      <c r="Q1374" s="6"/>
      <c r="R1374" s="6"/>
      <c r="S1374" s="6"/>
      <c r="T1374" s="6"/>
      <c r="U1374" s="6"/>
      <c r="V1374" s="6"/>
      <c r="W1374" s="6"/>
      <c r="X1374" s="6"/>
      <c r="Y1374" s="6"/>
      <c r="Z1374" s="6"/>
      <c r="AA1374" s="6"/>
      <c r="AB1374" s="6"/>
      <c r="AC1374" s="6"/>
      <c r="AD1374" s="6"/>
      <c r="AE1374" s="6"/>
      <c r="AF1374" s="6"/>
      <c r="AG1374" s="6"/>
      <c r="AH1374" s="6"/>
      <c r="AI1374" s="6"/>
      <c r="AJ1374" s="6"/>
      <c r="AK1374" s="6"/>
      <c r="AL1374" s="6"/>
      <c r="AM1374" s="6"/>
      <c r="AN1374" s="6"/>
      <c r="AO1374" s="6"/>
      <c r="AP1374" s="6"/>
      <c r="AQ1374" s="6"/>
      <c r="AR1374" s="6"/>
      <c r="AS1374" s="6"/>
      <c r="AT1374" s="6"/>
      <c r="AU1374" s="6"/>
      <c r="AV1374" s="6"/>
      <c r="AW1374" s="6"/>
      <c r="AX1374" s="6"/>
      <c r="AY1374" s="6"/>
      <c r="AZ1374" s="6"/>
      <c r="BA1374" s="6"/>
      <c r="BB1374" s="6"/>
      <c r="BC1374" s="6"/>
      <c r="BD1374" s="6"/>
      <c r="BE1374" s="6"/>
      <c r="BF1374" s="6"/>
      <c r="BG1374" s="6"/>
      <c r="BH1374" s="6"/>
      <c r="BI1374" s="6"/>
      <c r="BJ1374" s="6"/>
      <c r="BK1374" s="6"/>
      <c r="BL1374" s="44"/>
      <c r="BM1374" s="44"/>
      <c r="BN1374" s="45"/>
      <c r="BO1374" s="45"/>
      <c r="BP1374" s="7"/>
      <c r="BQ1374" s="7" t="e">
        <f>VLOOKUP(A1374,[1]Sheet15!B:E,3,0)</f>
        <v>#N/A</v>
      </c>
    </row>
    <row r="1375" spans="1:69" ht="15.75" customHeight="1" x14ac:dyDescent="0.25">
      <c r="A1375" s="12"/>
      <c r="B1375" s="15" t="e">
        <f>VLOOKUP(A1375,'[1]Master clients'!F1373:W4920,17,0)</f>
        <v>#N/A</v>
      </c>
      <c r="C1375" s="15" t="e">
        <f>VLOOKUP(A1375,'[1]Master clients'!F1373:P4920,11,0)</f>
        <v>#N/A</v>
      </c>
      <c r="D1375" s="15" t="e">
        <f>VLOOKUP(A1375,'[1]Master clients'!F:M,8,0)</f>
        <v>#N/A</v>
      </c>
      <c r="E1375" s="12"/>
      <c r="F1375" s="6"/>
      <c r="G1375" s="6"/>
      <c r="H1375" s="6"/>
      <c r="I1375" s="43"/>
      <c r="J1375" s="43"/>
      <c r="K1375" s="6"/>
      <c r="L1375" s="6"/>
      <c r="M1375" s="6"/>
      <c r="N1375" s="6"/>
      <c r="O1375" s="6"/>
      <c r="P1375" s="6"/>
      <c r="Q1375" s="6"/>
      <c r="R1375" s="6"/>
      <c r="S1375" s="6"/>
      <c r="T1375" s="6"/>
      <c r="U1375" s="6"/>
      <c r="V1375" s="6"/>
      <c r="W1375" s="6"/>
      <c r="X1375" s="6"/>
      <c r="Y1375" s="6"/>
      <c r="Z1375" s="6"/>
      <c r="AA1375" s="6"/>
      <c r="AB1375" s="6"/>
      <c r="AC1375" s="6"/>
      <c r="AD1375" s="6"/>
      <c r="AE1375" s="6"/>
      <c r="AF1375" s="6"/>
      <c r="AG1375" s="6"/>
      <c r="AH1375" s="6"/>
      <c r="AI1375" s="6"/>
      <c r="AJ1375" s="6"/>
      <c r="AK1375" s="6"/>
      <c r="AL1375" s="6"/>
      <c r="AM1375" s="6"/>
      <c r="AN1375" s="6"/>
      <c r="AO1375" s="6"/>
      <c r="AP1375" s="6"/>
      <c r="AQ1375" s="6"/>
      <c r="AR1375" s="6"/>
      <c r="AS1375" s="6"/>
      <c r="AT1375" s="6"/>
      <c r="AU1375" s="6"/>
      <c r="AV1375" s="6"/>
      <c r="AW1375" s="6"/>
      <c r="AX1375" s="6"/>
      <c r="AY1375" s="6"/>
      <c r="AZ1375" s="6"/>
      <c r="BA1375" s="6"/>
      <c r="BB1375" s="6"/>
      <c r="BC1375" s="6"/>
      <c r="BD1375" s="6"/>
      <c r="BE1375" s="6"/>
      <c r="BF1375" s="6"/>
      <c r="BG1375" s="6"/>
      <c r="BH1375" s="6"/>
      <c r="BI1375" s="6"/>
      <c r="BJ1375" s="6"/>
      <c r="BK1375" s="6"/>
      <c r="BL1375" s="44"/>
      <c r="BM1375" s="44"/>
      <c r="BN1375" s="45"/>
      <c r="BO1375" s="45"/>
      <c r="BP1375" s="7"/>
      <c r="BQ1375" s="7" t="e">
        <f>VLOOKUP(A1375,[1]Sheet15!B:E,3,0)</f>
        <v>#N/A</v>
      </c>
    </row>
    <row r="1376" spans="1:69" ht="15.75" customHeight="1" x14ac:dyDescent="0.25">
      <c r="A1376" s="12"/>
      <c r="B1376" s="15" t="e">
        <f>VLOOKUP(A1376,'[1]Master clients'!F1374:W4921,17,0)</f>
        <v>#N/A</v>
      </c>
      <c r="C1376" s="15" t="e">
        <f>VLOOKUP(A1376,'[1]Master clients'!F1374:P4921,11,0)</f>
        <v>#N/A</v>
      </c>
      <c r="D1376" s="15" t="e">
        <f>VLOOKUP(A1376,'[1]Master clients'!F:M,8,0)</f>
        <v>#N/A</v>
      </c>
      <c r="E1376" s="12"/>
      <c r="F1376" s="6"/>
      <c r="G1376" s="6"/>
      <c r="H1376" s="6"/>
      <c r="I1376" s="43"/>
      <c r="J1376" s="43"/>
      <c r="K1376" s="6"/>
      <c r="L1376" s="6"/>
      <c r="M1376" s="6"/>
      <c r="N1376" s="6"/>
      <c r="O1376" s="6"/>
      <c r="P1376" s="6"/>
      <c r="Q1376" s="6"/>
      <c r="R1376" s="6"/>
      <c r="S1376" s="6"/>
      <c r="T1376" s="6"/>
      <c r="U1376" s="6"/>
      <c r="V1376" s="6"/>
      <c r="W1376" s="6"/>
      <c r="X1376" s="6"/>
      <c r="Y1376" s="6"/>
      <c r="Z1376" s="6"/>
      <c r="AA1376" s="6"/>
      <c r="AB1376" s="6"/>
      <c r="AC1376" s="6"/>
      <c r="AD1376" s="6"/>
      <c r="AE1376" s="6"/>
      <c r="AF1376" s="6"/>
      <c r="AG1376" s="6"/>
      <c r="AH1376" s="6"/>
      <c r="AI1376" s="6"/>
      <c r="AJ1376" s="6"/>
      <c r="AK1376" s="6"/>
      <c r="AL1376" s="6"/>
      <c r="AM1376" s="6"/>
      <c r="AN1376" s="6"/>
      <c r="AO1376" s="6"/>
      <c r="AP1376" s="6"/>
      <c r="AQ1376" s="6"/>
      <c r="AR1376" s="6"/>
      <c r="AS1376" s="6"/>
      <c r="AT1376" s="6"/>
      <c r="AU1376" s="6"/>
      <c r="AV1376" s="6"/>
      <c r="AW1376" s="6"/>
      <c r="AX1376" s="6"/>
      <c r="AY1376" s="6"/>
      <c r="AZ1376" s="6"/>
      <c r="BA1376" s="6"/>
      <c r="BB1376" s="6"/>
      <c r="BC1376" s="6"/>
      <c r="BD1376" s="6"/>
      <c r="BE1376" s="6"/>
      <c r="BF1376" s="6"/>
      <c r="BG1376" s="6"/>
      <c r="BH1376" s="6"/>
      <c r="BI1376" s="6"/>
      <c r="BJ1376" s="6"/>
      <c r="BK1376" s="6"/>
      <c r="BL1376" s="44"/>
      <c r="BM1376" s="44"/>
      <c r="BN1376" s="45"/>
      <c r="BO1376" s="45"/>
      <c r="BP1376" s="7"/>
      <c r="BQ1376" s="7" t="e">
        <f>VLOOKUP(A1376,[1]Sheet15!B:E,3,0)</f>
        <v>#N/A</v>
      </c>
    </row>
    <row r="1377" spans="1:69" ht="15.75" customHeight="1" x14ac:dyDescent="0.25">
      <c r="A1377" s="12"/>
      <c r="B1377" s="15" t="e">
        <f>VLOOKUP(A1377,'[1]Master clients'!F1375:W4922,17,0)</f>
        <v>#N/A</v>
      </c>
      <c r="C1377" s="15" t="e">
        <f>VLOOKUP(A1377,'[1]Master clients'!F1375:P4922,11,0)</f>
        <v>#N/A</v>
      </c>
      <c r="D1377" s="15" t="e">
        <f>VLOOKUP(A1377,'[1]Master clients'!F:M,8,0)</f>
        <v>#N/A</v>
      </c>
      <c r="E1377" s="12"/>
      <c r="F1377" s="6"/>
      <c r="G1377" s="6"/>
      <c r="H1377" s="6"/>
      <c r="I1377" s="43"/>
      <c r="J1377" s="43"/>
      <c r="K1377" s="6"/>
      <c r="L1377" s="6"/>
      <c r="M1377" s="6"/>
      <c r="N1377" s="6"/>
      <c r="O1377" s="6"/>
      <c r="P1377" s="6"/>
      <c r="Q1377" s="6"/>
      <c r="R1377" s="6"/>
      <c r="S1377" s="6"/>
      <c r="T1377" s="6"/>
      <c r="U1377" s="6"/>
      <c r="V1377" s="6"/>
      <c r="W1377" s="6"/>
      <c r="X1377" s="6"/>
      <c r="Y1377" s="6"/>
      <c r="Z1377" s="6"/>
      <c r="AA1377" s="6"/>
      <c r="AB1377" s="6"/>
      <c r="AC1377" s="6"/>
      <c r="AD1377" s="6"/>
      <c r="AE1377" s="6"/>
      <c r="AF1377" s="6"/>
      <c r="AG1377" s="6"/>
      <c r="AH1377" s="6"/>
      <c r="AI1377" s="6"/>
      <c r="AJ1377" s="6"/>
      <c r="AK1377" s="6"/>
      <c r="AL1377" s="6"/>
      <c r="AM1377" s="6"/>
      <c r="AN1377" s="6"/>
      <c r="AO1377" s="6"/>
      <c r="AP1377" s="6"/>
      <c r="AQ1377" s="6"/>
      <c r="AR1377" s="6"/>
      <c r="AS1377" s="6"/>
      <c r="AT1377" s="6"/>
      <c r="AU1377" s="6"/>
      <c r="AV1377" s="6"/>
      <c r="AW1377" s="6"/>
      <c r="AX1377" s="6"/>
      <c r="AY1377" s="6"/>
      <c r="AZ1377" s="6"/>
      <c r="BA1377" s="6"/>
      <c r="BB1377" s="6"/>
      <c r="BC1377" s="6"/>
      <c r="BD1377" s="6"/>
      <c r="BE1377" s="6"/>
      <c r="BF1377" s="6"/>
      <c r="BG1377" s="6"/>
      <c r="BH1377" s="6"/>
      <c r="BI1377" s="6"/>
      <c r="BJ1377" s="6"/>
      <c r="BK1377" s="6"/>
      <c r="BL1377" s="44"/>
      <c r="BM1377" s="44"/>
      <c r="BN1377" s="45"/>
      <c r="BO1377" s="45"/>
      <c r="BP1377" s="7"/>
      <c r="BQ1377" s="7" t="e">
        <f>VLOOKUP(A1377,[1]Sheet15!B:E,3,0)</f>
        <v>#N/A</v>
      </c>
    </row>
    <row r="1378" spans="1:69" ht="15.75" customHeight="1" x14ac:dyDescent="0.25">
      <c r="A1378" s="12"/>
      <c r="B1378" s="15" t="e">
        <f>VLOOKUP(A1378,'[1]Master clients'!F1376:W4923,17,0)</f>
        <v>#N/A</v>
      </c>
      <c r="C1378" s="15" t="e">
        <f>VLOOKUP(A1378,'[1]Master clients'!F1376:P4923,11,0)</f>
        <v>#N/A</v>
      </c>
      <c r="D1378" s="15" t="e">
        <f>VLOOKUP(A1378,'[1]Master clients'!F:M,8,0)</f>
        <v>#N/A</v>
      </c>
      <c r="E1378" s="12"/>
      <c r="F1378" s="6"/>
      <c r="G1378" s="6"/>
      <c r="H1378" s="6"/>
      <c r="I1378" s="43"/>
      <c r="J1378" s="43"/>
      <c r="K1378" s="6"/>
      <c r="L1378" s="6"/>
      <c r="M1378" s="6"/>
      <c r="N1378" s="6"/>
      <c r="O1378" s="6"/>
      <c r="P1378" s="6"/>
      <c r="Q1378" s="6"/>
      <c r="R1378" s="6"/>
      <c r="S1378" s="6"/>
      <c r="T1378" s="6"/>
      <c r="U1378" s="6"/>
      <c r="V1378" s="6"/>
      <c r="W1378" s="6"/>
      <c r="X1378" s="6"/>
      <c r="Y1378" s="6"/>
      <c r="Z1378" s="6"/>
      <c r="AA1378" s="6"/>
      <c r="AB1378" s="6"/>
      <c r="AC1378" s="6"/>
      <c r="AD1378" s="6"/>
      <c r="AE1378" s="6"/>
      <c r="AF1378" s="6"/>
      <c r="AG1378" s="6"/>
      <c r="AH1378" s="6"/>
      <c r="AI1378" s="6"/>
      <c r="AJ1378" s="6"/>
      <c r="AK1378" s="6"/>
      <c r="AL1378" s="6"/>
      <c r="AM1378" s="6"/>
      <c r="AN1378" s="6"/>
      <c r="AO1378" s="6"/>
      <c r="AP1378" s="6"/>
      <c r="AQ1378" s="6"/>
      <c r="AR1378" s="6"/>
      <c r="AS1378" s="6"/>
      <c r="AT1378" s="6"/>
      <c r="AU1378" s="6"/>
      <c r="AV1378" s="6"/>
      <c r="AW1378" s="6"/>
      <c r="AX1378" s="6"/>
      <c r="AY1378" s="6"/>
      <c r="AZ1378" s="6"/>
      <c r="BA1378" s="6"/>
      <c r="BB1378" s="6"/>
      <c r="BC1378" s="6"/>
      <c r="BD1378" s="6"/>
      <c r="BE1378" s="6"/>
      <c r="BF1378" s="6"/>
      <c r="BG1378" s="6"/>
      <c r="BH1378" s="6"/>
      <c r="BI1378" s="6"/>
      <c r="BJ1378" s="6"/>
      <c r="BK1378" s="6"/>
      <c r="BL1378" s="44"/>
      <c r="BM1378" s="44"/>
      <c r="BN1378" s="45"/>
      <c r="BO1378" s="45"/>
      <c r="BP1378" s="7"/>
      <c r="BQ1378" s="7" t="e">
        <f>VLOOKUP(A1378,[1]Sheet15!B:E,3,0)</f>
        <v>#N/A</v>
      </c>
    </row>
    <row r="1379" spans="1:69" ht="15.75" customHeight="1" x14ac:dyDescent="0.25">
      <c r="A1379" s="12"/>
      <c r="B1379" s="15" t="e">
        <f>VLOOKUP(A1379,'[1]Master clients'!F1377:W4924,17,0)</f>
        <v>#N/A</v>
      </c>
      <c r="C1379" s="15" t="e">
        <f>VLOOKUP(A1379,'[1]Master clients'!F1377:P4924,11,0)</f>
        <v>#N/A</v>
      </c>
      <c r="D1379" s="15" t="e">
        <f>VLOOKUP(A1379,'[1]Master clients'!F:M,8,0)</f>
        <v>#N/A</v>
      </c>
      <c r="E1379" s="12"/>
      <c r="F1379" s="6"/>
      <c r="G1379" s="6"/>
      <c r="H1379" s="6"/>
      <c r="I1379" s="43"/>
      <c r="J1379" s="43"/>
      <c r="K1379" s="6"/>
      <c r="L1379" s="6"/>
      <c r="M1379" s="6"/>
      <c r="N1379" s="6"/>
      <c r="O1379" s="6"/>
      <c r="P1379" s="6"/>
      <c r="Q1379" s="6"/>
      <c r="R1379" s="6"/>
      <c r="S1379" s="6"/>
      <c r="T1379" s="6"/>
      <c r="U1379" s="6"/>
      <c r="V1379" s="6"/>
      <c r="W1379" s="6"/>
      <c r="X1379" s="6"/>
      <c r="Y1379" s="6"/>
      <c r="Z1379" s="6"/>
      <c r="AA1379" s="6"/>
      <c r="AB1379" s="6"/>
      <c r="AC1379" s="6"/>
      <c r="AD1379" s="6"/>
      <c r="AE1379" s="6"/>
      <c r="AF1379" s="6"/>
      <c r="AG1379" s="6"/>
      <c r="AH1379" s="6"/>
      <c r="AI1379" s="6"/>
      <c r="AJ1379" s="6"/>
      <c r="AK1379" s="6"/>
      <c r="AL1379" s="6"/>
      <c r="AM1379" s="6"/>
      <c r="AN1379" s="6"/>
      <c r="AO1379" s="6"/>
      <c r="AP1379" s="6"/>
      <c r="AQ1379" s="6"/>
      <c r="AR1379" s="6"/>
      <c r="AS1379" s="6"/>
      <c r="AT1379" s="6"/>
      <c r="AU1379" s="6"/>
      <c r="AV1379" s="6"/>
      <c r="AW1379" s="6"/>
      <c r="AX1379" s="6"/>
      <c r="AY1379" s="6"/>
      <c r="AZ1379" s="6"/>
      <c r="BA1379" s="6"/>
      <c r="BB1379" s="6"/>
      <c r="BC1379" s="6"/>
      <c r="BD1379" s="6"/>
      <c r="BE1379" s="6"/>
      <c r="BF1379" s="6"/>
      <c r="BG1379" s="6"/>
      <c r="BH1379" s="6"/>
      <c r="BI1379" s="6"/>
      <c r="BJ1379" s="6"/>
      <c r="BK1379" s="6"/>
      <c r="BL1379" s="44"/>
      <c r="BM1379" s="44"/>
      <c r="BN1379" s="45"/>
      <c r="BO1379" s="45"/>
      <c r="BP1379" s="7"/>
      <c r="BQ1379" s="7" t="e">
        <f>VLOOKUP(A1379,[1]Sheet15!B:E,3,0)</f>
        <v>#N/A</v>
      </c>
    </row>
    <row r="1380" spans="1:69" ht="15.75" customHeight="1" x14ac:dyDescent="0.25">
      <c r="A1380" s="12"/>
      <c r="B1380" s="15" t="e">
        <f>VLOOKUP(A1380,'[1]Master clients'!F1378:W4925,17,0)</f>
        <v>#N/A</v>
      </c>
      <c r="C1380" s="15" t="e">
        <f>VLOOKUP(A1380,'[1]Master clients'!F1378:P4925,11,0)</f>
        <v>#N/A</v>
      </c>
      <c r="D1380" s="15" t="e">
        <f>VLOOKUP(A1380,'[1]Master clients'!F:M,8,0)</f>
        <v>#N/A</v>
      </c>
      <c r="E1380" s="12"/>
      <c r="F1380" s="6"/>
      <c r="G1380" s="6"/>
      <c r="H1380" s="6"/>
      <c r="I1380" s="43"/>
      <c r="J1380" s="43"/>
      <c r="K1380" s="6"/>
      <c r="L1380" s="6"/>
      <c r="M1380" s="6"/>
      <c r="N1380" s="6"/>
      <c r="O1380" s="6"/>
      <c r="P1380" s="6"/>
      <c r="Q1380" s="6"/>
      <c r="R1380" s="6"/>
      <c r="S1380" s="6"/>
      <c r="T1380" s="6"/>
      <c r="U1380" s="6"/>
      <c r="V1380" s="6"/>
      <c r="W1380" s="6"/>
      <c r="X1380" s="6"/>
      <c r="Y1380" s="6"/>
      <c r="Z1380" s="6"/>
      <c r="AA1380" s="6"/>
      <c r="AB1380" s="6"/>
      <c r="AC1380" s="6"/>
      <c r="AD1380" s="6"/>
      <c r="AE1380" s="6"/>
      <c r="AF1380" s="6"/>
      <c r="AG1380" s="6"/>
      <c r="AH1380" s="6"/>
      <c r="AI1380" s="6"/>
      <c r="AJ1380" s="6"/>
      <c r="AK1380" s="6"/>
      <c r="AL1380" s="6"/>
      <c r="AM1380" s="6"/>
      <c r="AN1380" s="6"/>
      <c r="AO1380" s="6"/>
      <c r="AP1380" s="6"/>
      <c r="AQ1380" s="6"/>
      <c r="AR1380" s="6"/>
      <c r="AS1380" s="6"/>
      <c r="AT1380" s="6"/>
      <c r="AU1380" s="6"/>
      <c r="AV1380" s="6"/>
      <c r="AW1380" s="6"/>
      <c r="AX1380" s="6"/>
      <c r="AY1380" s="6"/>
      <c r="AZ1380" s="6"/>
      <c r="BA1380" s="6"/>
      <c r="BB1380" s="6"/>
      <c r="BC1380" s="6"/>
      <c r="BD1380" s="6"/>
      <c r="BE1380" s="6"/>
      <c r="BF1380" s="6"/>
      <c r="BG1380" s="6"/>
      <c r="BH1380" s="6"/>
      <c r="BI1380" s="6"/>
      <c r="BJ1380" s="6"/>
      <c r="BK1380" s="6"/>
      <c r="BL1380" s="44"/>
      <c r="BM1380" s="44"/>
      <c r="BN1380" s="45"/>
      <c r="BO1380" s="45"/>
      <c r="BP1380" s="7"/>
      <c r="BQ1380" s="7" t="e">
        <f>VLOOKUP(A1380,[1]Sheet15!B:E,3,0)</f>
        <v>#N/A</v>
      </c>
    </row>
    <row r="1381" spans="1:69" ht="15.75" customHeight="1" x14ac:dyDescent="0.25">
      <c r="A1381" s="12"/>
      <c r="B1381" s="15" t="e">
        <f>VLOOKUP(A1381,'[1]Master clients'!F1379:W4926,17,0)</f>
        <v>#N/A</v>
      </c>
      <c r="C1381" s="15" t="e">
        <f>VLOOKUP(A1381,'[1]Master clients'!F1379:P4926,11,0)</f>
        <v>#N/A</v>
      </c>
      <c r="D1381" s="15" t="e">
        <f>VLOOKUP(A1381,'[1]Master clients'!F:M,8,0)</f>
        <v>#N/A</v>
      </c>
      <c r="E1381" s="12"/>
      <c r="F1381" s="6"/>
      <c r="G1381" s="6"/>
      <c r="H1381" s="6"/>
      <c r="I1381" s="43"/>
      <c r="J1381" s="43"/>
      <c r="K1381" s="6"/>
      <c r="L1381" s="6"/>
      <c r="M1381" s="6"/>
      <c r="N1381" s="6"/>
      <c r="O1381" s="6"/>
      <c r="P1381" s="6"/>
      <c r="Q1381" s="6"/>
      <c r="R1381" s="6"/>
      <c r="S1381" s="6"/>
      <c r="T1381" s="6"/>
      <c r="U1381" s="6"/>
      <c r="V1381" s="6"/>
      <c r="W1381" s="6"/>
      <c r="X1381" s="6"/>
      <c r="Y1381" s="6"/>
      <c r="Z1381" s="6"/>
      <c r="AA1381" s="6"/>
      <c r="AB1381" s="6"/>
      <c r="AC1381" s="6"/>
      <c r="AD1381" s="6"/>
      <c r="AE1381" s="6"/>
      <c r="AF1381" s="6"/>
      <c r="AG1381" s="6"/>
      <c r="AH1381" s="6"/>
      <c r="AI1381" s="6"/>
      <c r="AJ1381" s="6"/>
      <c r="AK1381" s="6"/>
      <c r="AL1381" s="6"/>
      <c r="AM1381" s="6"/>
      <c r="AN1381" s="6"/>
      <c r="AO1381" s="6"/>
      <c r="AP1381" s="6"/>
      <c r="AQ1381" s="6"/>
      <c r="AR1381" s="6"/>
      <c r="AS1381" s="6"/>
      <c r="AT1381" s="6"/>
      <c r="AU1381" s="6"/>
      <c r="AV1381" s="6"/>
      <c r="AW1381" s="6"/>
      <c r="AX1381" s="6"/>
      <c r="AY1381" s="6"/>
      <c r="AZ1381" s="6"/>
      <c r="BA1381" s="6"/>
      <c r="BB1381" s="6"/>
      <c r="BC1381" s="6"/>
      <c r="BD1381" s="6"/>
      <c r="BE1381" s="6"/>
      <c r="BF1381" s="6"/>
      <c r="BG1381" s="6"/>
      <c r="BH1381" s="6"/>
      <c r="BI1381" s="6"/>
      <c r="BJ1381" s="6"/>
      <c r="BK1381" s="6"/>
      <c r="BL1381" s="44"/>
      <c r="BM1381" s="44"/>
      <c r="BN1381" s="45"/>
      <c r="BO1381" s="45"/>
      <c r="BP1381" s="7"/>
      <c r="BQ1381" s="7" t="e">
        <f>VLOOKUP(A1381,[1]Sheet15!B:E,3,0)</f>
        <v>#N/A</v>
      </c>
    </row>
    <row r="1382" spans="1:69" ht="15.75" customHeight="1" x14ac:dyDescent="0.25">
      <c r="A1382" s="12"/>
      <c r="B1382" s="15" t="e">
        <f>VLOOKUP(A1382,'[1]Master clients'!F1380:W4927,17,0)</f>
        <v>#N/A</v>
      </c>
      <c r="C1382" s="15" t="e">
        <f>VLOOKUP(A1382,'[1]Master clients'!F1380:P4927,11,0)</f>
        <v>#N/A</v>
      </c>
      <c r="D1382" s="15" t="e">
        <f>VLOOKUP(A1382,'[1]Master clients'!F:M,8,0)</f>
        <v>#N/A</v>
      </c>
      <c r="E1382" s="12"/>
      <c r="F1382" s="6"/>
      <c r="G1382" s="6"/>
      <c r="H1382" s="6"/>
      <c r="I1382" s="43"/>
      <c r="J1382" s="43"/>
      <c r="K1382" s="6"/>
      <c r="L1382" s="6"/>
      <c r="M1382" s="6"/>
      <c r="N1382" s="6"/>
      <c r="O1382" s="6"/>
      <c r="P1382" s="6"/>
      <c r="Q1382" s="6"/>
      <c r="R1382" s="6"/>
      <c r="S1382" s="6"/>
      <c r="T1382" s="6"/>
      <c r="U1382" s="6"/>
      <c r="V1382" s="6"/>
      <c r="W1382" s="6"/>
      <c r="X1382" s="6"/>
      <c r="Y1382" s="6"/>
      <c r="Z1382" s="6"/>
      <c r="AA1382" s="6"/>
      <c r="AB1382" s="6"/>
      <c r="AC1382" s="6"/>
      <c r="AD1382" s="6"/>
      <c r="AE1382" s="6"/>
      <c r="AF1382" s="6"/>
      <c r="AG1382" s="6"/>
      <c r="AH1382" s="6"/>
      <c r="AI1382" s="6"/>
      <c r="AJ1382" s="6"/>
      <c r="AK1382" s="6"/>
      <c r="AL1382" s="6"/>
      <c r="AM1382" s="6"/>
      <c r="AN1382" s="6"/>
      <c r="AO1382" s="6"/>
      <c r="AP1382" s="6"/>
      <c r="AQ1382" s="6"/>
      <c r="AR1382" s="6"/>
      <c r="AS1382" s="6"/>
      <c r="AT1382" s="6"/>
      <c r="AU1382" s="6"/>
      <c r="AV1382" s="6"/>
      <c r="AW1382" s="6"/>
      <c r="AX1382" s="6"/>
      <c r="AY1382" s="6"/>
      <c r="AZ1382" s="6"/>
      <c r="BA1382" s="6"/>
      <c r="BB1382" s="6"/>
      <c r="BC1382" s="6"/>
      <c r="BD1382" s="6"/>
      <c r="BE1382" s="6"/>
      <c r="BF1382" s="6"/>
      <c r="BG1382" s="6"/>
      <c r="BH1382" s="6"/>
      <c r="BI1382" s="6"/>
      <c r="BJ1382" s="6"/>
      <c r="BK1382" s="6"/>
      <c r="BL1382" s="44"/>
      <c r="BM1382" s="44"/>
      <c r="BN1382" s="45"/>
      <c r="BO1382" s="45"/>
      <c r="BP1382" s="7"/>
      <c r="BQ1382" s="7" t="e">
        <f>VLOOKUP(A1382,[1]Sheet15!B:E,3,0)</f>
        <v>#N/A</v>
      </c>
    </row>
    <row r="1383" spans="1:69" ht="15.75" customHeight="1" x14ac:dyDescent="0.25">
      <c r="A1383" s="12"/>
      <c r="B1383" s="15" t="e">
        <f>VLOOKUP(A1383,'[1]Master clients'!F1381:W4928,17,0)</f>
        <v>#N/A</v>
      </c>
      <c r="C1383" s="15" t="e">
        <f>VLOOKUP(A1383,'[1]Master clients'!F1381:P4928,11,0)</f>
        <v>#N/A</v>
      </c>
      <c r="D1383" s="15" t="e">
        <f>VLOOKUP(A1383,'[1]Master clients'!F:M,8,0)</f>
        <v>#N/A</v>
      </c>
      <c r="E1383" s="12"/>
      <c r="F1383" s="6"/>
      <c r="G1383" s="6"/>
      <c r="H1383" s="6"/>
      <c r="I1383" s="43"/>
      <c r="J1383" s="43"/>
      <c r="K1383" s="6"/>
      <c r="L1383" s="6"/>
      <c r="M1383" s="6"/>
      <c r="N1383" s="6"/>
      <c r="O1383" s="6"/>
      <c r="P1383" s="6"/>
      <c r="Q1383" s="6"/>
      <c r="R1383" s="6"/>
      <c r="S1383" s="6"/>
      <c r="T1383" s="6"/>
      <c r="U1383" s="6"/>
      <c r="V1383" s="6"/>
      <c r="W1383" s="6"/>
      <c r="X1383" s="6"/>
      <c r="Y1383" s="6"/>
      <c r="Z1383" s="6"/>
      <c r="AA1383" s="6"/>
      <c r="AB1383" s="6"/>
      <c r="AC1383" s="6"/>
      <c r="AD1383" s="6"/>
      <c r="AE1383" s="6"/>
      <c r="AF1383" s="6"/>
      <c r="AG1383" s="6"/>
      <c r="AH1383" s="6"/>
      <c r="AI1383" s="6"/>
      <c r="AJ1383" s="6"/>
      <c r="AK1383" s="6"/>
      <c r="AL1383" s="6"/>
      <c r="AM1383" s="6"/>
      <c r="AN1383" s="6"/>
      <c r="AO1383" s="6"/>
      <c r="AP1383" s="6"/>
      <c r="AQ1383" s="6"/>
      <c r="AR1383" s="6"/>
      <c r="AS1383" s="6"/>
      <c r="AT1383" s="6"/>
      <c r="AU1383" s="6"/>
      <c r="AV1383" s="6"/>
      <c r="AW1383" s="6"/>
      <c r="AX1383" s="6"/>
      <c r="AY1383" s="6"/>
      <c r="AZ1383" s="6"/>
      <c r="BA1383" s="6"/>
      <c r="BB1383" s="6"/>
      <c r="BC1383" s="6"/>
      <c r="BD1383" s="6"/>
      <c r="BE1383" s="6"/>
      <c r="BF1383" s="6"/>
      <c r="BG1383" s="6"/>
      <c r="BH1383" s="6"/>
      <c r="BI1383" s="6"/>
      <c r="BJ1383" s="6"/>
      <c r="BK1383" s="6"/>
      <c r="BL1383" s="44"/>
      <c r="BM1383" s="44"/>
      <c r="BN1383" s="45"/>
      <c r="BO1383" s="45"/>
      <c r="BP1383" s="7"/>
      <c r="BQ1383" s="7" t="e">
        <f>VLOOKUP(A1383,[1]Sheet15!B:E,3,0)</f>
        <v>#N/A</v>
      </c>
    </row>
    <row r="1384" spans="1:69" ht="15.75" customHeight="1" x14ac:dyDescent="0.25">
      <c r="A1384" s="12"/>
      <c r="B1384" s="15" t="e">
        <f>VLOOKUP(A1384,'[1]Master clients'!F1382:W4929,17,0)</f>
        <v>#N/A</v>
      </c>
      <c r="C1384" s="15" t="e">
        <f>VLOOKUP(A1384,'[1]Master clients'!F1382:P4929,11,0)</f>
        <v>#N/A</v>
      </c>
      <c r="D1384" s="15" t="e">
        <f>VLOOKUP(A1384,'[1]Master clients'!F:M,8,0)</f>
        <v>#N/A</v>
      </c>
      <c r="E1384" s="12"/>
      <c r="F1384" s="6"/>
      <c r="G1384" s="6"/>
      <c r="H1384" s="6"/>
      <c r="I1384" s="43"/>
      <c r="J1384" s="43"/>
      <c r="K1384" s="6"/>
      <c r="L1384" s="6"/>
      <c r="M1384" s="6"/>
      <c r="N1384" s="6"/>
      <c r="O1384" s="6"/>
      <c r="P1384" s="6"/>
      <c r="Q1384" s="6"/>
      <c r="R1384" s="6"/>
      <c r="S1384" s="6"/>
      <c r="T1384" s="6"/>
      <c r="U1384" s="6"/>
      <c r="V1384" s="6"/>
      <c r="W1384" s="6"/>
      <c r="X1384" s="6"/>
      <c r="Y1384" s="6"/>
      <c r="Z1384" s="6"/>
      <c r="AA1384" s="6"/>
      <c r="AB1384" s="6"/>
      <c r="AC1384" s="6"/>
      <c r="AD1384" s="6"/>
      <c r="AE1384" s="6"/>
      <c r="AF1384" s="6"/>
      <c r="AG1384" s="6"/>
      <c r="AH1384" s="6"/>
      <c r="AI1384" s="6"/>
      <c r="AJ1384" s="6"/>
      <c r="AK1384" s="6"/>
      <c r="AL1384" s="6"/>
      <c r="AM1384" s="6"/>
      <c r="AN1384" s="6"/>
      <c r="AO1384" s="6"/>
      <c r="AP1384" s="6"/>
      <c r="AQ1384" s="6"/>
      <c r="AR1384" s="6"/>
      <c r="AS1384" s="6"/>
      <c r="AT1384" s="6"/>
      <c r="AU1384" s="6"/>
      <c r="AV1384" s="6"/>
      <c r="AW1384" s="6"/>
      <c r="AX1384" s="6"/>
      <c r="AY1384" s="6"/>
      <c r="AZ1384" s="6"/>
      <c r="BA1384" s="6"/>
      <c r="BB1384" s="6"/>
      <c r="BC1384" s="6"/>
      <c r="BD1384" s="6"/>
      <c r="BE1384" s="6"/>
      <c r="BF1384" s="6"/>
      <c r="BG1384" s="6"/>
      <c r="BH1384" s="6"/>
      <c r="BI1384" s="6"/>
      <c r="BJ1384" s="6"/>
      <c r="BK1384" s="6"/>
      <c r="BL1384" s="44"/>
      <c r="BM1384" s="44"/>
      <c r="BN1384" s="45"/>
      <c r="BO1384" s="45"/>
      <c r="BP1384" s="7"/>
      <c r="BQ1384" s="7" t="e">
        <f>VLOOKUP(A1384,[1]Sheet15!B:E,3,0)</f>
        <v>#N/A</v>
      </c>
    </row>
    <row r="1385" spans="1:69" ht="15.75" customHeight="1" x14ac:dyDescent="0.25">
      <c r="A1385" s="12"/>
      <c r="B1385" s="15" t="e">
        <f>VLOOKUP(A1385,'[1]Master clients'!F1383:W4930,17,0)</f>
        <v>#N/A</v>
      </c>
      <c r="C1385" s="15" t="e">
        <f>VLOOKUP(A1385,'[1]Master clients'!F1383:P4930,11,0)</f>
        <v>#N/A</v>
      </c>
      <c r="D1385" s="15" t="e">
        <f>VLOOKUP(A1385,'[1]Master clients'!F:M,8,0)</f>
        <v>#N/A</v>
      </c>
      <c r="E1385" s="12"/>
      <c r="F1385" s="6"/>
      <c r="G1385" s="6"/>
      <c r="H1385" s="6"/>
      <c r="I1385" s="43"/>
      <c r="J1385" s="43"/>
      <c r="K1385" s="6"/>
      <c r="L1385" s="6"/>
      <c r="M1385" s="6"/>
      <c r="N1385" s="6"/>
      <c r="O1385" s="6"/>
      <c r="P1385" s="6"/>
      <c r="Q1385" s="6"/>
      <c r="R1385" s="6"/>
      <c r="S1385" s="6"/>
      <c r="T1385" s="6"/>
      <c r="U1385" s="6"/>
      <c r="V1385" s="6"/>
      <c r="W1385" s="6"/>
      <c r="X1385" s="6"/>
      <c r="Y1385" s="6"/>
      <c r="Z1385" s="6"/>
      <c r="AA1385" s="6"/>
      <c r="AB1385" s="6"/>
      <c r="AC1385" s="6"/>
      <c r="AD1385" s="6"/>
      <c r="AE1385" s="6"/>
      <c r="AF1385" s="6"/>
      <c r="AG1385" s="6"/>
      <c r="AH1385" s="6"/>
      <c r="AI1385" s="6"/>
      <c r="AJ1385" s="6"/>
      <c r="AK1385" s="6"/>
      <c r="AL1385" s="6"/>
      <c r="AM1385" s="6"/>
      <c r="AN1385" s="6"/>
      <c r="AO1385" s="6"/>
      <c r="AP1385" s="6"/>
      <c r="AQ1385" s="6"/>
      <c r="AR1385" s="6"/>
      <c r="AS1385" s="6"/>
      <c r="AT1385" s="6"/>
      <c r="AU1385" s="6"/>
      <c r="AV1385" s="6"/>
      <c r="AW1385" s="6"/>
      <c r="AX1385" s="6"/>
      <c r="AY1385" s="6"/>
      <c r="AZ1385" s="6"/>
      <c r="BA1385" s="6"/>
      <c r="BB1385" s="6"/>
      <c r="BC1385" s="6"/>
      <c r="BD1385" s="6"/>
      <c r="BE1385" s="6"/>
      <c r="BF1385" s="6"/>
      <c r="BG1385" s="6"/>
      <c r="BH1385" s="6"/>
      <c r="BI1385" s="6"/>
      <c r="BJ1385" s="6"/>
      <c r="BK1385" s="6"/>
      <c r="BL1385" s="44"/>
      <c r="BM1385" s="44"/>
      <c r="BN1385" s="45"/>
      <c r="BO1385" s="45"/>
      <c r="BP1385" s="7"/>
      <c r="BQ1385" s="7" t="e">
        <f>VLOOKUP(A1385,[1]Sheet15!B:E,3,0)</f>
        <v>#N/A</v>
      </c>
    </row>
    <row r="1386" spans="1:69" ht="15.75" customHeight="1" x14ac:dyDescent="0.25">
      <c r="A1386" s="12"/>
      <c r="B1386" s="15" t="e">
        <f>VLOOKUP(A1386,'[1]Master clients'!F1384:W4931,17,0)</f>
        <v>#N/A</v>
      </c>
      <c r="C1386" s="15" t="e">
        <f>VLOOKUP(A1386,'[1]Master clients'!F1384:P4931,11,0)</f>
        <v>#N/A</v>
      </c>
      <c r="D1386" s="15" t="e">
        <f>VLOOKUP(A1386,'[1]Master clients'!F:M,8,0)</f>
        <v>#N/A</v>
      </c>
      <c r="E1386" s="12"/>
      <c r="F1386" s="6"/>
      <c r="G1386" s="6"/>
      <c r="H1386" s="6"/>
      <c r="I1386" s="43"/>
      <c r="J1386" s="43"/>
      <c r="K1386" s="6"/>
      <c r="L1386" s="6"/>
      <c r="M1386" s="6"/>
      <c r="N1386" s="6"/>
      <c r="O1386" s="6"/>
      <c r="P1386" s="6"/>
      <c r="Q1386" s="6"/>
      <c r="R1386" s="6"/>
      <c r="S1386" s="6"/>
      <c r="T1386" s="6"/>
      <c r="U1386" s="6"/>
      <c r="V1386" s="6"/>
      <c r="W1386" s="6"/>
      <c r="X1386" s="6"/>
      <c r="Y1386" s="6"/>
      <c r="Z1386" s="6"/>
      <c r="AA1386" s="6"/>
      <c r="AB1386" s="6"/>
      <c r="AC1386" s="6"/>
      <c r="AD1386" s="6"/>
      <c r="AE1386" s="6"/>
      <c r="AF1386" s="6"/>
      <c r="AG1386" s="6"/>
      <c r="AH1386" s="6"/>
      <c r="AI1386" s="6"/>
      <c r="AJ1386" s="6"/>
      <c r="AK1386" s="6"/>
      <c r="AL1386" s="6"/>
      <c r="AM1386" s="6"/>
      <c r="AN1386" s="6"/>
      <c r="AO1386" s="6"/>
      <c r="AP1386" s="6"/>
      <c r="AQ1386" s="6"/>
      <c r="AR1386" s="6"/>
      <c r="AS1386" s="6"/>
      <c r="AT1386" s="6"/>
      <c r="AU1386" s="6"/>
      <c r="AV1386" s="6"/>
      <c r="AW1386" s="6"/>
      <c r="AX1386" s="6"/>
      <c r="AY1386" s="6"/>
      <c r="AZ1386" s="6"/>
      <c r="BA1386" s="6"/>
      <c r="BB1386" s="6"/>
      <c r="BC1386" s="6"/>
      <c r="BD1386" s="6"/>
      <c r="BE1386" s="6"/>
      <c r="BF1386" s="6"/>
      <c r="BG1386" s="6"/>
      <c r="BH1386" s="6"/>
      <c r="BI1386" s="6"/>
      <c r="BJ1386" s="6"/>
      <c r="BK1386" s="6"/>
      <c r="BL1386" s="44"/>
      <c r="BM1386" s="44"/>
      <c r="BN1386" s="45"/>
      <c r="BO1386" s="45"/>
      <c r="BP1386" s="7"/>
      <c r="BQ1386" s="7" t="e">
        <f>VLOOKUP(A1386,[1]Sheet15!B:E,3,0)</f>
        <v>#N/A</v>
      </c>
    </row>
    <row r="1387" spans="1:69" ht="15.75" customHeight="1" x14ac:dyDescent="0.25">
      <c r="A1387" s="12"/>
      <c r="B1387" s="15" t="e">
        <f>VLOOKUP(A1387,'[1]Master clients'!F1385:W4932,17,0)</f>
        <v>#N/A</v>
      </c>
      <c r="C1387" s="15" t="e">
        <f>VLOOKUP(A1387,'[1]Master clients'!F1385:P4932,11,0)</f>
        <v>#N/A</v>
      </c>
      <c r="D1387" s="15" t="e">
        <f>VLOOKUP(A1387,'[1]Master clients'!F:M,8,0)</f>
        <v>#N/A</v>
      </c>
      <c r="E1387" s="12"/>
      <c r="F1387" s="6"/>
      <c r="G1387" s="6"/>
      <c r="H1387" s="6"/>
      <c r="I1387" s="43"/>
      <c r="J1387" s="43"/>
      <c r="K1387" s="6"/>
      <c r="L1387" s="6"/>
      <c r="M1387" s="6"/>
      <c r="N1387" s="6"/>
      <c r="O1387" s="6"/>
      <c r="P1387" s="6"/>
      <c r="Q1387" s="6"/>
      <c r="R1387" s="6"/>
      <c r="S1387" s="6"/>
      <c r="T1387" s="6"/>
      <c r="U1387" s="6"/>
      <c r="V1387" s="6"/>
      <c r="W1387" s="6"/>
      <c r="X1387" s="6"/>
      <c r="Y1387" s="6"/>
      <c r="Z1387" s="6"/>
      <c r="AA1387" s="6"/>
      <c r="AB1387" s="6"/>
      <c r="AC1387" s="6"/>
      <c r="AD1387" s="6"/>
      <c r="AE1387" s="6"/>
      <c r="AF1387" s="6"/>
      <c r="AG1387" s="6"/>
      <c r="AH1387" s="6"/>
      <c r="AI1387" s="6"/>
      <c r="AJ1387" s="6"/>
      <c r="AK1387" s="6"/>
      <c r="AL1387" s="6"/>
      <c r="AM1387" s="6"/>
      <c r="AN1387" s="6"/>
      <c r="AO1387" s="6"/>
      <c r="AP1387" s="6"/>
      <c r="AQ1387" s="6"/>
      <c r="AR1387" s="6"/>
      <c r="AS1387" s="6"/>
      <c r="AT1387" s="6"/>
      <c r="AU1387" s="6"/>
      <c r="AV1387" s="6"/>
      <c r="AW1387" s="6"/>
      <c r="AX1387" s="6"/>
      <c r="AY1387" s="6"/>
      <c r="AZ1387" s="6"/>
      <c r="BA1387" s="6"/>
      <c r="BB1387" s="6"/>
      <c r="BC1387" s="6"/>
      <c r="BD1387" s="6"/>
      <c r="BE1387" s="6"/>
      <c r="BF1387" s="6"/>
      <c r="BG1387" s="6"/>
      <c r="BH1387" s="6"/>
      <c r="BI1387" s="6"/>
      <c r="BJ1387" s="6"/>
      <c r="BK1387" s="6"/>
      <c r="BL1387" s="44"/>
      <c r="BM1387" s="44"/>
      <c r="BN1387" s="45"/>
      <c r="BO1387" s="45"/>
      <c r="BP1387" s="7"/>
      <c r="BQ1387" s="7" t="e">
        <f>VLOOKUP(A1387,[1]Sheet15!B:E,3,0)</f>
        <v>#N/A</v>
      </c>
    </row>
    <row r="1388" spans="1:69" ht="15.75" customHeight="1" x14ac:dyDescent="0.25">
      <c r="A1388" s="12"/>
      <c r="B1388" s="15" t="e">
        <f>VLOOKUP(A1388,'[1]Master clients'!F1386:W4933,17,0)</f>
        <v>#N/A</v>
      </c>
      <c r="C1388" s="15" t="e">
        <f>VLOOKUP(A1388,'[1]Master clients'!F1386:P4933,11,0)</f>
        <v>#N/A</v>
      </c>
      <c r="D1388" s="15" t="e">
        <f>VLOOKUP(A1388,'[1]Master clients'!F:M,8,0)</f>
        <v>#N/A</v>
      </c>
      <c r="E1388" s="12"/>
      <c r="F1388" s="6"/>
      <c r="G1388" s="6"/>
      <c r="H1388" s="6"/>
      <c r="I1388" s="43"/>
      <c r="J1388" s="43"/>
      <c r="K1388" s="6"/>
      <c r="L1388" s="6"/>
      <c r="M1388" s="6"/>
      <c r="N1388" s="6"/>
      <c r="O1388" s="6"/>
      <c r="P1388" s="6"/>
      <c r="Q1388" s="6"/>
      <c r="R1388" s="6"/>
      <c r="S1388" s="6"/>
      <c r="T1388" s="6"/>
      <c r="U1388" s="6"/>
      <c r="V1388" s="6"/>
      <c r="W1388" s="6"/>
      <c r="X1388" s="6"/>
      <c r="Y1388" s="6"/>
      <c r="Z1388" s="6"/>
      <c r="AA1388" s="6"/>
      <c r="AB1388" s="6"/>
      <c r="AC1388" s="6"/>
      <c r="AD1388" s="6"/>
      <c r="AE1388" s="6"/>
      <c r="AF1388" s="6"/>
      <c r="AG1388" s="6"/>
      <c r="AH1388" s="6"/>
      <c r="AI1388" s="6"/>
      <c r="AJ1388" s="6"/>
      <c r="AK1388" s="6"/>
      <c r="AL1388" s="6"/>
      <c r="AM1388" s="6"/>
      <c r="AN1388" s="6"/>
      <c r="AO1388" s="6"/>
      <c r="AP1388" s="6"/>
      <c r="AQ1388" s="6"/>
      <c r="AR1388" s="6"/>
      <c r="AS1388" s="6"/>
      <c r="AT1388" s="6"/>
      <c r="AU1388" s="6"/>
      <c r="AV1388" s="6"/>
      <c r="AW1388" s="6"/>
      <c r="AX1388" s="6"/>
      <c r="AY1388" s="6"/>
      <c r="AZ1388" s="6"/>
      <c r="BA1388" s="6"/>
      <c r="BB1388" s="6"/>
      <c r="BC1388" s="6"/>
      <c r="BD1388" s="6"/>
      <c r="BE1388" s="6"/>
      <c r="BF1388" s="6"/>
      <c r="BG1388" s="6"/>
      <c r="BH1388" s="6"/>
      <c r="BI1388" s="6"/>
      <c r="BJ1388" s="6"/>
      <c r="BK1388" s="6"/>
      <c r="BL1388" s="44"/>
      <c r="BM1388" s="44"/>
      <c r="BN1388" s="45"/>
      <c r="BO1388" s="45"/>
      <c r="BP1388" s="7"/>
      <c r="BQ1388" s="7" t="e">
        <f>VLOOKUP(A1388,[1]Sheet15!B:E,3,0)</f>
        <v>#N/A</v>
      </c>
    </row>
    <row r="1389" spans="1:69" ht="15.75" customHeight="1" x14ac:dyDescent="0.25">
      <c r="A1389" s="12"/>
      <c r="B1389" s="15" t="e">
        <f>VLOOKUP(A1389,'[1]Master clients'!F1387:W4934,17,0)</f>
        <v>#N/A</v>
      </c>
      <c r="C1389" s="15" t="e">
        <f>VLOOKUP(A1389,'[1]Master clients'!F1387:P4934,11,0)</f>
        <v>#N/A</v>
      </c>
      <c r="D1389" s="15" t="e">
        <f>VLOOKUP(A1389,'[1]Master clients'!F:M,8,0)</f>
        <v>#N/A</v>
      </c>
      <c r="E1389" s="12"/>
      <c r="F1389" s="6"/>
      <c r="G1389" s="6"/>
      <c r="H1389" s="6"/>
      <c r="I1389" s="43"/>
      <c r="J1389" s="43"/>
      <c r="K1389" s="6"/>
      <c r="L1389" s="6"/>
      <c r="M1389" s="6"/>
      <c r="N1389" s="6"/>
      <c r="O1389" s="6"/>
      <c r="P1389" s="6"/>
      <c r="Q1389" s="6"/>
      <c r="R1389" s="6"/>
      <c r="S1389" s="6"/>
      <c r="T1389" s="6"/>
      <c r="U1389" s="6"/>
      <c r="V1389" s="6"/>
      <c r="W1389" s="6"/>
      <c r="X1389" s="6"/>
      <c r="Y1389" s="6"/>
      <c r="Z1389" s="6"/>
      <c r="AA1389" s="6"/>
      <c r="AB1389" s="6"/>
      <c r="AC1389" s="6"/>
      <c r="AD1389" s="6"/>
      <c r="AE1389" s="6"/>
      <c r="AF1389" s="6"/>
      <c r="AG1389" s="6"/>
      <c r="AH1389" s="6"/>
      <c r="AI1389" s="6"/>
      <c r="AJ1389" s="6"/>
      <c r="AK1389" s="6"/>
      <c r="AL1389" s="6"/>
      <c r="AM1389" s="6"/>
      <c r="AN1389" s="6"/>
      <c r="AO1389" s="6"/>
      <c r="AP1389" s="6"/>
      <c r="AQ1389" s="6"/>
      <c r="AR1389" s="6"/>
      <c r="AS1389" s="6"/>
      <c r="AT1389" s="6"/>
      <c r="AU1389" s="6"/>
      <c r="AV1389" s="6"/>
      <c r="AW1389" s="6"/>
      <c r="AX1389" s="6"/>
      <c r="AY1389" s="6"/>
      <c r="AZ1389" s="6"/>
      <c r="BA1389" s="6"/>
      <c r="BB1389" s="6"/>
      <c r="BC1389" s="6"/>
      <c r="BD1389" s="6"/>
      <c r="BE1389" s="6"/>
      <c r="BF1389" s="6"/>
      <c r="BG1389" s="6"/>
      <c r="BH1389" s="6"/>
      <c r="BI1389" s="6"/>
      <c r="BJ1389" s="6"/>
      <c r="BK1389" s="6"/>
      <c r="BL1389" s="44"/>
      <c r="BM1389" s="44"/>
      <c r="BN1389" s="45"/>
      <c r="BO1389" s="45"/>
      <c r="BP1389" s="7"/>
      <c r="BQ1389" s="7" t="e">
        <f>VLOOKUP(A1389,[1]Sheet15!B:E,3,0)</f>
        <v>#N/A</v>
      </c>
    </row>
    <row r="1390" spans="1:69" ht="15.75" customHeight="1" x14ac:dyDescent="0.25">
      <c r="A1390" s="12"/>
      <c r="B1390" s="15" t="e">
        <f>VLOOKUP(A1390,'[1]Master clients'!F1388:W4935,17,0)</f>
        <v>#N/A</v>
      </c>
      <c r="C1390" s="15" t="e">
        <f>VLOOKUP(A1390,'[1]Master clients'!F1388:P4935,11,0)</f>
        <v>#N/A</v>
      </c>
      <c r="D1390" s="15" t="e">
        <f>VLOOKUP(A1390,'[1]Master clients'!F:M,8,0)</f>
        <v>#N/A</v>
      </c>
      <c r="E1390" s="12"/>
      <c r="F1390" s="6"/>
      <c r="G1390" s="6"/>
      <c r="H1390" s="6"/>
      <c r="I1390" s="43"/>
      <c r="J1390" s="43"/>
      <c r="K1390" s="6"/>
      <c r="L1390" s="6"/>
      <c r="M1390" s="6"/>
      <c r="N1390" s="6"/>
      <c r="O1390" s="6"/>
      <c r="P1390" s="6"/>
      <c r="Q1390" s="6"/>
      <c r="R1390" s="6"/>
      <c r="S1390" s="6"/>
      <c r="T1390" s="6"/>
      <c r="U1390" s="6"/>
      <c r="V1390" s="6"/>
      <c r="W1390" s="6"/>
      <c r="X1390" s="6"/>
      <c r="Y1390" s="6"/>
      <c r="Z1390" s="6"/>
      <c r="AA1390" s="6"/>
      <c r="AB1390" s="6"/>
      <c r="AC1390" s="6"/>
      <c r="AD1390" s="6"/>
      <c r="AE1390" s="6"/>
      <c r="AF1390" s="6"/>
      <c r="AG1390" s="6"/>
      <c r="AH1390" s="6"/>
      <c r="AI1390" s="6"/>
      <c r="AJ1390" s="6"/>
      <c r="AK1390" s="6"/>
      <c r="AL1390" s="6"/>
      <c r="AM1390" s="6"/>
      <c r="AN1390" s="6"/>
      <c r="AO1390" s="6"/>
      <c r="AP1390" s="6"/>
      <c r="AQ1390" s="6"/>
      <c r="AR1390" s="6"/>
      <c r="AS1390" s="6"/>
      <c r="AT1390" s="6"/>
      <c r="AU1390" s="6"/>
      <c r="AV1390" s="6"/>
      <c r="AW1390" s="6"/>
      <c r="AX1390" s="6"/>
      <c r="AY1390" s="6"/>
      <c r="AZ1390" s="6"/>
      <c r="BA1390" s="6"/>
      <c r="BB1390" s="6"/>
      <c r="BC1390" s="6"/>
      <c r="BD1390" s="6"/>
      <c r="BE1390" s="6"/>
      <c r="BF1390" s="6"/>
      <c r="BG1390" s="6"/>
      <c r="BH1390" s="6"/>
      <c r="BI1390" s="6"/>
      <c r="BJ1390" s="6"/>
      <c r="BK1390" s="6"/>
      <c r="BL1390" s="44"/>
      <c r="BM1390" s="44"/>
      <c r="BN1390" s="45"/>
      <c r="BO1390" s="45"/>
      <c r="BP1390" s="7"/>
      <c r="BQ1390" s="7" t="e">
        <f>VLOOKUP(A1390,[1]Sheet15!B:E,3,0)</f>
        <v>#N/A</v>
      </c>
    </row>
    <row r="1391" spans="1:69" ht="15.75" customHeight="1" x14ac:dyDescent="0.25">
      <c r="A1391" s="12"/>
      <c r="B1391" s="15" t="e">
        <f>VLOOKUP(A1391,'[1]Master clients'!F1389:W4936,17,0)</f>
        <v>#N/A</v>
      </c>
      <c r="C1391" s="15" t="e">
        <f>VLOOKUP(A1391,'[1]Master clients'!F1389:P4936,11,0)</f>
        <v>#N/A</v>
      </c>
      <c r="D1391" s="15" t="e">
        <f>VLOOKUP(A1391,'[1]Master clients'!F:M,8,0)</f>
        <v>#N/A</v>
      </c>
      <c r="E1391" s="12"/>
      <c r="F1391" s="6"/>
      <c r="G1391" s="6"/>
      <c r="H1391" s="6"/>
      <c r="I1391" s="43"/>
      <c r="J1391" s="43"/>
      <c r="K1391" s="6"/>
      <c r="L1391" s="6"/>
      <c r="M1391" s="6"/>
      <c r="N1391" s="6"/>
      <c r="O1391" s="6"/>
      <c r="P1391" s="6"/>
      <c r="Q1391" s="6"/>
      <c r="R1391" s="6"/>
      <c r="S1391" s="6"/>
      <c r="T1391" s="6"/>
      <c r="U1391" s="6"/>
      <c r="V1391" s="6"/>
      <c r="W1391" s="6"/>
      <c r="X1391" s="6"/>
      <c r="Y1391" s="6"/>
      <c r="Z1391" s="6"/>
      <c r="AA1391" s="6"/>
      <c r="AB1391" s="6"/>
      <c r="AC1391" s="6"/>
      <c r="AD1391" s="6"/>
      <c r="AE1391" s="6"/>
      <c r="AF1391" s="6"/>
      <c r="AG1391" s="6"/>
      <c r="AH1391" s="6"/>
      <c r="AI1391" s="6"/>
      <c r="AJ1391" s="6"/>
      <c r="AK1391" s="6"/>
      <c r="AL1391" s="6"/>
      <c r="AM1391" s="6"/>
      <c r="AN1391" s="6"/>
      <c r="AO1391" s="6"/>
      <c r="AP1391" s="6"/>
      <c r="AQ1391" s="6"/>
      <c r="AR1391" s="6"/>
      <c r="AS1391" s="6"/>
      <c r="AT1391" s="6"/>
      <c r="AU1391" s="6"/>
      <c r="AV1391" s="6"/>
      <c r="AW1391" s="6"/>
      <c r="AX1391" s="6"/>
      <c r="AY1391" s="6"/>
      <c r="AZ1391" s="6"/>
      <c r="BA1391" s="6"/>
      <c r="BB1391" s="6"/>
      <c r="BC1391" s="6"/>
      <c r="BD1391" s="6"/>
      <c r="BE1391" s="6"/>
      <c r="BF1391" s="6"/>
      <c r="BG1391" s="6"/>
      <c r="BH1391" s="6"/>
      <c r="BI1391" s="6"/>
      <c r="BJ1391" s="6"/>
      <c r="BK1391" s="6"/>
      <c r="BL1391" s="44"/>
      <c r="BM1391" s="44"/>
      <c r="BN1391" s="45"/>
      <c r="BO1391" s="45"/>
      <c r="BP1391" s="7"/>
      <c r="BQ1391" s="7" t="e">
        <f>VLOOKUP(A1391,[1]Sheet15!B:E,3,0)</f>
        <v>#N/A</v>
      </c>
    </row>
    <row r="1392" spans="1:69" ht="15.75" customHeight="1" x14ac:dyDescent="0.25">
      <c r="A1392" s="12"/>
      <c r="B1392" s="15" t="e">
        <f>VLOOKUP(A1392,'[1]Master clients'!F1390:W4937,17,0)</f>
        <v>#N/A</v>
      </c>
      <c r="C1392" s="15" t="e">
        <f>VLOOKUP(A1392,'[1]Master clients'!F1390:P4937,11,0)</f>
        <v>#N/A</v>
      </c>
      <c r="D1392" s="15" t="e">
        <f>VLOOKUP(A1392,'[1]Master clients'!F:M,8,0)</f>
        <v>#N/A</v>
      </c>
      <c r="E1392" s="12"/>
      <c r="F1392" s="6"/>
      <c r="G1392" s="6"/>
      <c r="H1392" s="6"/>
      <c r="I1392" s="43"/>
      <c r="J1392" s="43"/>
      <c r="K1392" s="6"/>
      <c r="L1392" s="6"/>
      <c r="M1392" s="6"/>
      <c r="N1392" s="6"/>
      <c r="O1392" s="6"/>
      <c r="P1392" s="6"/>
      <c r="Q1392" s="6"/>
      <c r="R1392" s="6"/>
      <c r="S1392" s="6"/>
      <c r="T1392" s="6"/>
      <c r="U1392" s="6"/>
      <c r="V1392" s="6"/>
      <c r="W1392" s="6"/>
      <c r="X1392" s="6"/>
      <c r="Y1392" s="6"/>
      <c r="Z1392" s="6"/>
      <c r="AA1392" s="6"/>
      <c r="AB1392" s="6"/>
      <c r="AC1392" s="6"/>
      <c r="AD1392" s="6"/>
      <c r="AE1392" s="6"/>
      <c r="AF1392" s="6"/>
      <c r="AG1392" s="6"/>
      <c r="AH1392" s="6"/>
      <c r="AI1392" s="6"/>
      <c r="AJ1392" s="6"/>
      <c r="AK1392" s="6"/>
      <c r="AL1392" s="6"/>
      <c r="AM1392" s="6"/>
      <c r="AN1392" s="6"/>
      <c r="AO1392" s="6"/>
      <c r="AP1392" s="6"/>
      <c r="AQ1392" s="6"/>
      <c r="AR1392" s="6"/>
      <c r="AS1392" s="6"/>
      <c r="AT1392" s="6"/>
      <c r="AU1392" s="6"/>
      <c r="AV1392" s="6"/>
      <c r="AW1392" s="6"/>
      <c r="AX1392" s="6"/>
      <c r="AY1392" s="6"/>
      <c r="AZ1392" s="6"/>
      <c r="BA1392" s="6"/>
      <c r="BB1392" s="6"/>
      <c r="BC1392" s="6"/>
      <c r="BD1392" s="6"/>
      <c r="BE1392" s="6"/>
      <c r="BF1392" s="6"/>
      <c r="BG1392" s="6"/>
      <c r="BH1392" s="6"/>
      <c r="BI1392" s="6"/>
      <c r="BJ1392" s="6"/>
      <c r="BK1392" s="6"/>
      <c r="BL1392" s="44"/>
      <c r="BM1392" s="44"/>
      <c r="BN1392" s="45"/>
      <c r="BO1392" s="45"/>
      <c r="BP1392" s="7"/>
      <c r="BQ1392" s="7" t="e">
        <f>VLOOKUP(A1392,[1]Sheet15!B:E,3,0)</f>
        <v>#N/A</v>
      </c>
    </row>
    <row r="1393" spans="1:69" ht="15.75" customHeight="1" x14ac:dyDescent="0.25">
      <c r="A1393" s="12"/>
      <c r="B1393" s="15" t="e">
        <f>VLOOKUP(A1393,'[1]Master clients'!F1391:W4938,17,0)</f>
        <v>#N/A</v>
      </c>
      <c r="C1393" s="15" t="e">
        <f>VLOOKUP(A1393,'[1]Master clients'!F1391:P4938,11,0)</f>
        <v>#N/A</v>
      </c>
      <c r="D1393" s="15" t="e">
        <f>VLOOKUP(A1393,'[1]Master clients'!F:M,8,0)</f>
        <v>#N/A</v>
      </c>
      <c r="E1393" s="12"/>
      <c r="F1393" s="6"/>
      <c r="G1393" s="6"/>
      <c r="H1393" s="6"/>
      <c r="I1393" s="43"/>
      <c r="J1393" s="43"/>
      <c r="K1393" s="6"/>
      <c r="L1393" s="6"/>
      <c r="M1393" s="6"/>
      <c r="N1393" s="6"/>
      <c r="O1393" s="6"/>
      <c r="P1393" s="6"/>
      <c r="Q1393" s="6"/>
      <c r="R1393" s="6"/>
      <c r="S1393" s="6"/>
      <c r="T1393" s="6"/>
      <c r="U1393" s="6"/>
      <c r="V1393" s="6"/>
      <c r="W1393" s="6"/>
      <c r="X1393" s="6"/>
      <c r="Y1393" s="6"/>
      <c r="Z1393" s="6"/>
      <c r="AA1393" s="6"/>
      <c r="AB1393" s="6"/>
      <c r="AC1393" s="6"/>
      <c r="AD1393" s="6"/>
      <c r="AE1393" s="6"/>
      <c r="AF1393" s="6"/>
      <c r="AG1393" s="6"/>
      <c r="AH1393" s="6"/>
      <c r="AI1393" s="6"/>
      <c r="AJ1393" s="6"/>
      <c r="AK1393" s="6"/>
      <c r="AL1393" s="6"/>
      <c r="AM1393" s="6"/>
      <c r="AN1393" s="6"/>
      <c r="AO1393" s="6"/>
      <c r="AP1393" s="6"/>
      <c r="AQ1393" s="6"/>
      <c r="AR1393" s="6"/>
      <c r="AS1393" s="6"/>
      <c r="AT1393" s="6"/>
      <c r="AU1393" s="6"/>
      <c r="AV1393" s="6"/>
      <c r="AW1393" s="6"/>
      <c r="AX1393" s="6"/>
      <c r="AY1393" s="6"/>
      <c r="AZ1393" s="6"/>
      <c r="BA1393" s="6"/>
      <c r="BB1393" s="6"/>
      <c r="BC1393" s="6"/>
      <c r="BD1393" s="6"/>
      <c r="BE1393" s="6"/>
      <c r="BF1393" s="6"/>
      <c r="BG1393" s="6"/>
      <c r="BH1393" s="6"/>
      <c r="BI1393" s="6"/>
      <c r="BJ1393" s="6"/>
      <c r="BK1393" s="6"/>
      <c r="BL1393" s="44"/>
      <c r="BM1393" s="44"/>
      <c r="BN1393" s="45"/>
      <c r="BO1393" s="45"/>
      <c r="BP1393" s="7"/>
      <c r="BQ1393" s="7" t="e">
        <f>VLOOKUP(A1393,[1]Sheet15!B:E,3,0)</f>
        <v>#N/A</v>
      </c>
    </row>
    <row r="1394" spans="1:69" ht="15.75" customHeight="1" x14ac:dyDescent="0.25">
      <c r="A1394" s="12"/>
      <c r="B1394" s="15" t="e">
        <f>VLOOKUP(A1394,'[1]Master clients'!F1392:W4939,17,0)</f>
        <v>#N/A</v>
      </c>
      <c r="C1394" s="15" t="e">
        <f>VLOOKUP(A1394,'[1]Master clients'!F1392:P4939,11,0)</f>
        <v>#N/A</v>
      </c>
      <c r="D1394" s="15" t="e">
        <f>VLOOKUP(A1394,'[1]Master clients'!F:M,8,0)</f>
        <v>#N/A</v>
      </c>
      <c r="E1394" s="12"/>
      <c r="F1394" s="6"/>
      <c r="G1394" s="6"/>
      <c r="H1394" s="6"/>
      <c r="I1394" s="43"/>
      <c r="J1394" s="43"/>
      <c r="K1394" s="6"/>
      <c r="L1394" s="6"/>
      <c r="M1394" s="6"/>
      <c r="N1394" s="6"/>
      <c r="O1394" s="6"/>
      <c r="P1394" s="6"/>
      <c r="Q1394" s="6"/>
      <c r="R1394" s="6"/>
      <c r="S1394" s="6"/>
      <c r="T1394" s="6"/>
      <c r="U1394" s="6"/>
      <c r="V1394" s="6"/>
      <c r="W1394" s="6"/>
      <c r="X1394" s="6"/>
      <c r="Y1394" s="6"/>
      <c r="Z1394" s="6"/>
      <c r="AA1394" s="6"/>
      <c r="AB1394" s="6"/>
      <c r="AC1394" s="6"/>
      <c r="AD1394" s="6"/>
      <c r="AE1394" s="6"/>
      <c r="AF1394" s="6"/>
      <c r="AG1394" s="6"/>
      <c r="AH1394" s="6"/>
      <c r="AI1394" s="6"/>
      <c r="AJ1394" s="6"/>
      <c r="AK1394" s="6"/>
      <c r="AL1394" s="6"/>
      <c r="AM1394" s="6"/>
      <c r="AN1394" s="6"/>
      <c r="AO1394" s="6"/>
      <c r="AP1394" s="6"/>
      <c r="AQ1394" s="6"/>
      <c r="AR1394" s="6"/>
      <c r="AS1394" s="6"/>
      <c r="AT1394" s="6"/>
      <c r="AU1394" s="6"/>
      <c r="AV1394" s="6"/>
      <c r="AW1394" s="6"/>
      <c r="AX1394" s="6"/>
      <c r="AY1394" s="6"/>
      <c r="AZ1394" s="6"/>
      <c r="BA1394" s="6"/>
      <c r="BB1394" s="6"/>
      <c r="BC1394" s="6"/>
      <c r="BD1394" s="6"/>
      <c r="BE1394" s="6"/>
      <c r="BF1394" s="6"/>
      <c r="BG1394" s="6"/>
      <c r="BH1394" s="6"/>
      <c r="BI1394" s="6"/>
      <c r="BJ1394" s="6"/>
      <c r="BK1394" s="6"/>
      <c r="BL1394" s="44"/>
      <c r="BM1394" s="44"/>
      <c r="BN1394" s="45"/>
      <c r="BO1394" s="45"/>
      <c r="BP1394" s="7"/>
      <c r="BQ1394" s="7" t="e">
        <f>VLOOKUP(A1394,[1]Sheet15!B:E,3,0)</f>
        <v>#N/A</v>
      </c>
    </row>
    <row r="1395" spans="1:69" ht="15.75" customHeight="1" x14ac:dyDescent="0.25">
      <c r="A1395" s="12"/>
      <c r="B1395" s="15" t="e">
        <f>VLOOKUP(A1395,'[1]Master clients'!F1393:W4940,17,0)</f>
        <v>#N/A</v>
      </c>
      <c r="C1395" s="15" t="e">
        <f>VLOOKUP(A1395,'[1]Master clients'!F1393:P4940,11,0)</f>
        <v>#N/A</v>
      </c>
      <c r="D1395" s="15" t="e">
        <f>VLOOKUP(A1395,'[1]Master clients'!F:M,8,0)</f>
        <v>#N/A</v>
      </c>
      <c r="E1395" s="12"/>
      <c r="F1395" s="6"/>
      <c r="G1395" s="6"/>
      <c r="H1395" s="6"/>
      <c r="I1395" s="43"/>
      <c r="J1395" s="43"/>
      <c r="K1395" s="6"/>
      <c r="L1395" s="6"/>
      <c r="M1395" s="6"/>
      <c r="N1395" s="6"/>
      <c r="O1395" s="6"/>
      <c r="P1395" s="6"/>
      <c r="Q1395" s="6"/>
      <c r="R1395" s="6"/>
      <c r="S1395" s="6"/>
      <c r="T1395" s="6"/>
      <c r="U1395" s="6"/>
      <c r="V1395" s="6"/>
      <c r="W1395" s="6"/>
      <c r="X1395" s="6"/>
      <c r="Y1395" s="6"/>
      <c r="Z1395" s="6"/>
      <c r="AA1395" s="6"/>
      <c r="AB1395" s="6"/>
      <c r="AC1395" s="6"/>
      <c r="AD1395" s="6"/>
      <c r="AE1395" s="6"/>
      <c r="AF1395" s="6"/>
      <c r="AG1395" s="6"/>
      <c r="AH1395" s="6"/>
      <c r="AI1395" s="6"/>
      <c r="AJ1395" s="6"/>
      <c r="AK1395" s="6"/>
      <c r="AL1395" s="6"/>
      <c r="AM1395" s="6"/>
      <c r="AN1395" s="6"/>
      <c r="AO1395" s="6"/>
      <c r="AP1395" s="6"/>
      <c r="AQ1395" s="6"/>
      <c r="AR1395" s="6"/>
      <c r="AS1395" s="6"/>
      <c r="AT1395" s="6"/>
      <c r="AU1395" s="6"/>
      <c r="AV1395" s="6"/>
      <c r="AW1395" s="6"/>
      <c r="AX1395" s="6"/>
      <c r="AY1395" s="6"/>
      <c r="AZ1395" s="6"/>
      <c r="BA1395" s="6"/>
      <c r="BB1395" s="6"/>
      <c r="BC1395" s="6"/>
      <c r="BD1395" s="6"/>
      <c r="BE1395" s="6"/>
      <c r="BF1395" s="6"/>
      <c r="BG1395" s="6"/>
      <c r="BH1395" s="6"/>
      <c r="BI1395" s="6"/>
      <c r="BJ1395" s="6"/>
      <c r="BK1395" s="6"/>
      <c r="BL1395" s="44"/>
      <c r="BM1395" s="44"/>
      <c r="BN1395" s="45"/>
      <c r="BO1395" s="45"/>
      <c r="BP1395" s="7"/>
      <c r="BQ1395" s="7" t="e">
        <f>VLOOKUP(A1395,[1]Sheet15!B:E,3,0)</f>
        <v>#N/A</v>
      </c>
    </row>
    <row r="1396" spans="1:69" ht="15.75" customHeight="1" x14ac:dyDescent="0.25">
      <c r="A1396" s="12"/>
      <c r="B1396" s="15" t="e">
        <f>VLOOKUP(A1396,'[1]Master clients'!F1394:W4941,17,0)</f>
        <v>#N/A</v>
      </c>
      <c r="C1396" s="15" t="e">
        <f>VLOOKUP(A1396,'[1]Master clients'!F1394:P4941,11,0)</f>
        <v>#N/A</v>
      </c>
      <c r="D1396" s="15" t="e">
        <f>VLOOKUP(A1396,'[1]Master clients'!F:M,8,0)</f>
        <v>#N/A</v>
      </c>
      <c r="E1396" s="12"/>
      <c r="F1396" s="6"/>
      <c r="G1396" s="6"/>
      <c r="H1396" s="6"/>
      <c r="I1396" s="43"/>
      <c r="J1396" s="43"/>
      <c r="K1396" s="6"/>
      <c r="L1396" s="6"/>
      <c r="M1396" s="6"/>
      <c r="N1396" s="6"/>
      <c r="O1396" s="6"/>
      <c r="P1396" s="6"/>
      <c r="Q1396" s="6"/>
      <c r="R1396" s="6"/>
      <c r="S1396" s="6"/>
      <c r="T1396" s="6"/>
      <c r="U1396" s="6"/>
      <c r="V1396" s="6"/>
      <c r="W1396" s="6"/>
      <c r="X1396" s="6"/>
      <c r="Y1396" s="6"/>
      <c r="Z1396" s="6"/>
      <c r="AA1396" s="6"/>
      <c r="AB1396" s="6"/>
      <c r="AC1396" s="6"/>
      <c r="AD1396" s="6"/>
      <c r="AE1396" s="6"/>
      <c r="AF1396" s="6"/>
      <c r="AG1396" s="6"/>
      <c r="AH1396" s="6"/>
      <c r="AI1396" s="6"/>
      <c r="AJ1396" s="6"/>
      <c r="AK1396" s="6"/>
      <c r="AL1396" s="6"/>
      <c r="AM1396" s="6"/>
      <c r="AN1396" s="6"/>
      <c r="AO1396" s="6"/>
      <c r="AP1396" s="6"/>
      <c r="AQ1396" s="6"/>
      <c r="AR1396" s="6"/>
      <c r="AS1396" s="6"/>
      <c r="AT1396" s="6"/>
      <c r="AU1396" s="6"/>
      <c r="AV1396" s="6"/>
      <c r="AW1396" s="6"/>
      <c r="AX1396" s="6"/>
      <c r="AY1396" s="6"/>
      <c r="AZ1396" s="6"/>
      <c r="BA1396" s="6"/>
      <c r="BB1396" s="6"/>
      <c r="BC1396" s="6"/>
      <c r="BD1396" s="6"/>
      <c r="BE1396" s="6"/>
      <c r="BF1396" s="6"/>
      <c r="BG1396" s="6"/>
      <c r="BH1396" s="6"/>
      <c r="BI1396" s="6"/>
      <c r="BJ1396" s="6"/>
      <c r="BK1396" s="6"/>
      <c r="BL1396" s="44"/>
      <c r="BM1396" s="44"/>
      <c r="BN1396" s="45"/>
      <c r="BO1396" s="45"/>
      <c r="BP1396" s="7"/>
      <c r="BQ1396" s="7" t="e">
        <f>VLOOKUP(A1396,[1]Sheet15!B:E,3,0)</f>
        <v>#N/A</v>
      </c>
    </row>
    <row r="1397" spans="1:69" ht="15.75" customHeight="1" x14ac:dyDescent="0.25">
      <c r="A1397" s="12"/>
      <c r="B1397" s="15" t="e">
        <f>VLOOKUP(A1397,'[1]Master clients'!F1395:W4942,17,0)</f>
        <v>#N/A</v>
      </c>
      <c r="C1397" s="15" t="e">
        <f>VLOOKUP(A1397,'[1]Master clients'!F1395:P4942,11,0)</f>
        <v>#N/A</v>
      </c>
      <c r="D1397" s="15" t="e">
        <f>VLOOKUP(A1397,'[1]Master clients'!F:M,8,0)</f>
        <v>#N/A</v>
      </c>
      <c r="E1397" s="12"/>
      <c r="F1397" s="6"/>
      <c r="G1397" s="6"/>
      <c r="H1397" s="6"/>
      <c r="I1397" s="43"/>
      <c r="J1397" s="43"/>
      <c r="K1397" s="6"/>
      <c r="L1397" s="6"/>
      <c r="M1397" s="6"/>
      <c r="N1397" s="6"/>
      <c r="O1397" s="6"/>
      <c r="P1397" s="6"/>
      <c r="Q1397" s="6"/>
      <c r="R1397" s="6"/>
      <c r="S1397" s="6"/>
      <c r="T1397" s="6"/>
      <c r="U1397" s="6"/>
      <c r="V1397" s="6"/>
      <c r="W1397" s="6"/>
      <c r="X1397" s="6"/>
      <c r="Y1397" s="6"/>
      <c r="Z1397" s="6"/>
      <c r="AA1397" s="6"/>
      <c r="AB1397" s="6"/>
      <c r="AC1397" s="6"/>
      <c r="AD1397" s="6"/>
      <c r="AE1397" s="6"/>
      <c r="AF1397" s="6"/>
      <c r="AG1397" s="6"/>
      <c r="AH1397" s="6"/>
      <c r="AI1397" s="6"/>
      <c r="AJ1397" s="6"/>
      <c r="AK1397" s="6"/>
      <c r="AL1397" s="6"/>
      <c r="AM1397" s="6"/>
      <c r="AN1397" s="6"/>
      <c r="AO1397" s="6"/>
      <c r="AP1397" s="6"/>
      <c r="AQ1397" s="6"/>
      <c r="AR1397" s="6"/>
      <c r="AS1397" s="6"/>
      <c r="AT1397" s="6"/>
      <c r="AU1397" s="6"/>
      <c r="AV1397" s="6"/>
      <c r="AW1397" s="6"/>
      <c r="AX1397" s="6"/>
      <c r="AY1397" s="6"/>
      <c r="AZ1397" s="6"/>
      <c r="BA1397" s="6"/>
      <c r="BB1397" s="6"/>
      <c r="BC1397" s="6"/>
      <c r="BD1397" s="6"/>
      <c r="BE1397" s="6"/>
      <c r="BF1397" s="6"/>
      <c r="BG1397" s="6"/>
      <c r="BH1397" s="6"/>
      <c r="BI1397" s="6"/>
      <c r="BJ1397" s="6"/>
      <c r="BK1397" s="6"/>
      <c r="BL1397" s="44"/>
      <c r="BM1397" s="44"/>
      <c r="BN1397" s="45"/>
      <c r="BO1397" s="45"/>
      <c r="BP1397" s="7"/>
      <c r="BQ1397" s="7" t="e">
        <f>VLOOKUP(A1397,[1]Sheet15!B:E,3,0)</f>
        <v>#N/A</v>
      </c>
    </row>
    <row r="1398" spans="1:69" ht="15.75" customHeight="1" x14ac:dyDescent="0.25">
      <c r="A1398" s="12"/>
      <c r="B1398" s="15" t="e">
        <f>VLOOKUP(A1398,'[1]Master clients'!F1396:W4943,17,0)</f>
        <v>#N/A</v>
      </c>
      <c r="C1398" s="15" t="e">
        <f>VLOOKUP(A1398,'[1]Master clients'!F1396:P4943,11,0)</f>
        <v>#N/A</v>
      </c>
      <c r="D1398" s="15" t="e">
        <f>VLOOKUP(A1398,'[1]Master clients'!F:M,8,0)</f>
        <v>#N/A</v>
      </c>
      <c r="E1398" s="12"/>
      <c r="F1398" s="6"/>
      <c r="G1398" s="6"/>
      <c r="H1398" s="6"/>
      <c r="I1398" s="43"/>
      <c r="J1398" s="43"/>
      <c r="K1398" s="6"/>
      <c r="L1398" s="6"/>
      <c r="M1398" s="6"/>
      <c r="N1398" s="6"/>
      <c r="O1398" s="6"/>
      <c r="P1398" s="6"/>
      <c r="Q1398" s="6"/>
      <c r="R1398" s="6"/>
      <c r="S1398" s="6"/>
      <c r="T1398" s="6"/>
      <c r="U1398" s="6"/>
      <c r="V1398" s="6"/>
      <c r="W1398" s="6"/>
      <c r="X1398" s="6"/>
      <c r="Y1398" s="6"/>
      <c r="Z1398" s="6"/>
      <c r="AA1398" s="6"/>
      <c r="AB1398" s="6"/>
      <c r="AC1398" s="6"/>
      <c r="AD1398" s="6"/>
      <c r="AE1398" s="6"/>
      <c r="AF1398" s="6"/>
      <c r="AG1398" s="6"/>
      <c r="AH1398" s="6"/>
      <c r="AI1398" s="6"/>
      <c r="AJ1398" s="6"/>
      <c r="AK1398" s="6"/>
      <c r="AL1398" s="6"/>
      <c r="AM1398" s="6"/>
      <c r="AN1398" s="6"/>
      <c r="AO1398" s="6"/>
      <c r="AP1398" s="6"/>
      <c r="AQ1398" s="6"/>
      <c r="AR1398" s="6"/>
      <c r="AS1398" s="6"/>
      <c r="AT1398" s="6"/>
      <c r="AU1398" s="6"/>
      <c r="AV1398" s="6"/>
      <c r="AW1398" s="6"/>
      <c r="AX1398" s="6"/>
      <c r="AY1398" s="6"/>
      <c r="AZ1398" s="6"/>
      <c r="BA1398" s="6"/>
      <c r="BB1398" s="6"/>
      <c r="BC1398" s="6"/>
      <c r="BD1398" s="6"/>
      <c r="BE1398" s="6"/>
      <c r="BF1398" s="6"/>
      <c r="BG1398" s="6"/>
      <c r="BH1398" s="6"/>
      <c r="BI1398" s="6"/>
      <c r="BJ1398" s="6"/>
      <c r="BK1398" s="6"/>
      <c r="BL1398" s="44"/>
      <c r="BM1398" s="44"/>
      <c r="BN1398" s="45"/>
      <c r="BO1398" s="45"/>
      <c r="BP1398" s="7"/>
      <c r="BQ1398" s="7" t="e">
        <f>VLOOKUP(A1398,[1]Sheet15!B:E,3,0)</f>
        <v>#N/A</v>
      </c>
    </row>
    <row r="1399" spans="1:69" ht="15.75" customHeight="1" x14ac:dyDescent="0.25">
      <c r="A1399" s="12"/>
      <c r="B1399" s="15" t="e">
        <f>VLOOKUP(A1399,'[1]Master clients'!F1397:W4944,17,0)</f>
        <v>#N/A</v>
      </c>
      <c r="C1399" s="15" t="e">
        <f>VLOOKUP(A1399,'[1]Master clients'!F1397:P4944,11,0)</f>
        <v>#N/A</v>
      </c>
      <c r="D1399" s="15" t="e">
        <f>VLOOKUP(A1399,'[1]Master clients'!F:M,8,0)</f>
        <v>#N/A</v>
      </c>
      <c r="E1399" s="12"/>
      <c r="F1399" s="6"/>
      <c r="G1399" s="6"/>
      <c r="H1399" s="6"/>
      <c r="I1399" s="43"/>
      <c r="J1399" s="43"/>
      <c r="K1399" s="6"/>
      <c r="L1399" s="6"/>
      <c r="M1399" s="6"/>
      <c r="N1399" s="6"/>
      <c r="O1399" s="6"/>
      <c r="P1399" s="6"/>
      <c r="Q1399" s="6"/>
      <c r="R1399" s="6"/>
      <c r="S1399" s="6"/>
      <c r="T1399" s="6"/>
      <c r="U1399" s="6"/>
      <c r="V1399" s="6"/>
      <c r="W1399" s="6"/>
      <c r="X1399" s="6"/>
      <c r="Y1399" s="6"/>
      <c r="Z1399" s="6"/>
      <c r="AA1399" s="6"/>
      <c r="AB1399" s="6"/>
      <c r="AC1399" s="6"/>
      <c r="AD1399" s="6"/>
      <c r="AE1399" s="6"/>
      <c r="AF1399" s="6"/>
      <c r="AG1399" s="6"/>
      <c r="AH1399" s="6"/>
      <c r="AI1399" s="6"/>
      <c r="AJ1399" s="6"/>
      <c r="AK1399" s="6"/>
      <c r="AL1399" s="6"/>
      <c r="AM1399" s="6"/>
      <c r="AN1399" s="6"/>
      <c r="AO1399" s="6"/>
      <c r="AP1399" s="6"/>
      <c r="AQ1399" s="6"/>
      <c r="AR1399" s="6"/>
      <c r="AS1399" s="6"/>
      <c r="AT1399" s="6"/>
      <c r="AU1399" s="6"/>
      <c r="AV1399" s="6"/>
      <c r="AW1399" s="6"/>
      <c r="AX1399" s="6"/>
      <c r="AY1399" s="6"/>
      <c r="AZ1399" s="6"/>
      <c r="BA1399" s="6"/>
      <c r="BB1399" s="6"/>
      <c r="BC1399" s="6"/>
      <c r="BD1399" s="6"/>
      <c r="BE1399" s="6"/>
      <c r="BF1399" s="6"/>
      <c r="BG1399" s="6"/>
      <c r="BH1399" s="6"/>
      <c r="BI1399" s="6"/>
      <c r="BJ1399" s="6"/>
      <c r="BK1399" s="6"/>
      <c r="BL1399" s="44"/>
      <c r="BM1399" s="44"/>
      <c r="BN1399" s="45"/>
      <c r="BO1399" s="45"/>
      <c r="BP1399" s="7"/>
      <c r="BQ1399" s="7" t="e">
        <f>VLOOKUP(A1399,[1]Sheet15!B:E,3,0)</f>
        <v>#N/A</v>
      </c>
    </row>
    <row r="1400" spans="1:69" ht="15.75" customHeight="1" x14ac:dyDescent="0.25">
      <c r="A1400" s="12"/>
      <c r="B1400" s="15" t="e">
        <f>VLOOKUP(A1400,'[1]Master clients'!F1398:W4945,17,0)</f>
        <v>#N/A</v>
      </c>
      <c r="C1400" s="15" t="e">
        <f>VLOOKUP(A1400,'[1]Master clients'!F1398:P4945,11,0)</f>
        <v>#N/A</v>
      </c>
      <c r="D1400" s="15" t="e">
        <f>VLOOKUP(A1400,'[1]Master clients'!F:M,8,0)</f>
        <v>#N/A</v>
      </c>
      <c r="E1400" s="12"/>
      <c r="F1400" s="6"/>
      <c r="G1400" s="6"/>
      <c r="H1400" s="6"/>
      <c r="I1400" s="43"/>
      <c r="J1400" s="43"/>
      <c r="K1400" s="6"/>
      <c r="L1400" s="6"/>
      <c r="M1400" s="6"/>
      <c r="N1400" s="6"/>
      <c r="O1400" s="6"/>
      <c r="P1400" s="6"/>
      <c r="Q1400" s="6"/>
      <c r="R1400" s="6"/>
      <c r="S1400" s="6"/>
      <c r="T1400" s="6"/>
      <c r="U1400" s="6"/>
      <c r="V1400" s="6"/>
      <c r="W1400" s="6"/>
      <c r="X1400" s="6"/>
      <c r="Y1400" s="6"/>
      <c r="Z1400" s="6"/>
      <c r="AA1400" s="6"/>
      <c r="AB1400" s="6"/>
      <c r="AC1400" s="6"/>
      <c r="AD1400" s="6"/>
      <c r="AE1400" s="6"/>
      <c r="AF1400" s="6"/>
      <c r="AG1400" s="6"/>
      <c r="AH1400" s="6"/>
      <c r="AI1400" s="6"/>
      <c r="AJ1400" s="6"/>
      <c r="AK1400" s="6"/>
      <c r="AL1400" s="6"/>
      <c r="AM1400" s="6"/>
      <c r="AN1400" s="6"/>
      <c r="AO1400" s="6"/>
      <c r="AP1400" s="6"/>
      <c r="AQ1400" s="6"/>
      <c r="AR1400" s="6"/>
      <c r="AS1400" s="6"/>
      <c r="AT1400" s="6"/>
      <c r="AU1400" s="6"/>
      <c r="AV1400" s="6"/>
      <c r="AW1400" s="6"/>
      <c r="AX1400" s="6"/>
      <c r="AY1400" s="6"/>
      <c r="AZ1400" s="6"/>
      <c r="BA1400" s="6"/>
      <c r="BB1400" s="6"/>
      <c r="BC1400" s="6"/>
      <c r="BD1400" s="6"/>
      <c r="BE1400" s="6"/>
      <c r="BF1400" s="6"/>
      <c r="BG1400" s="6"/>
      <c r="BH1400" s="6"/>
      <c r="BI1400" s="6"/>
      <c r="BJ1400" s="6"/>
      <c r="BK1400" s="6"/>
      <c r="BL1400" s="44"/>
      <c r="BM1400" s="44"/>
      <c r="BN1400" s="45"/>
      <c r="BO1400" s="45"/>
      <c r="BP1400" s="7"/>
      <c r="BQ1400" s="7" t="e">
        <f>VLOOKUP(A1400,[1]Sheet15!B:E,3,0)</f>
        <v>#N/A</v>
      </c>
    </row>
    <row r="1401" spans="1:69" ht="15.75" customHeight="1" x14ac:dyDescent="0.25">
      <c r="A1401" s="12"/>
      <c r="B1401" s="15" t="e">
        <f>VLOOKUP(A1401,'[1]Master clients'!F1399:W4946,17,0)</f>
        <v>#N/A</v>
      </c>
      <c r="C1401" s="15" t="e">
        <f>VLOOKUP(A1401,'[1]Master clients'!F1399:P4946,11,0)</f>
        <v>#N/A</v>
      </c>
      <c r="D1401" s="15" t="e">
        <f>VLOOKUP(A1401,'[1]Master clients'!F:M,8,0)</f>
        <v>#N/A</v>
      </c>
      <c r="E1401" s="12"/>
      <c r="F1401" s="6"/>
      <c r="G1401" s="6"/>
      <c r="H1401" s="6"/>
      <c r="I1401" s="43"/>
      <c r="J1401" s="43"/>
      <c r="K1401" s="6"/>
      <c r="L1401" s="6"/>
      <c r="M1401" s="6"/>
      <c r="N1401" s="6"/>
      <c r="O1401" s="6"/>
      <c r="P1401" s="6"/>
      <c r="Q1401" s="6"/>
      <c r="R1401" s="6"/>
      <c r="S1401" s="6"/>
      <c r="T1401" s="6"/>
      <c r="U1401" s="6"/>
      <c r="V1401" s="6"/>
      <c r="W1401" s="6"/>
      <c r="X1401" s="6"/>
      <c r="Y1401" s="6"/>
      <c r="Z1401" s="6"/>
      <c r="AA1401" s="6"/>
      <c r="AB1401" s="6"/>
      <c r="AC1401" s="6"/>
      <c r="AD1401" s="6"/>
      <c r="AE1401" s="6"/>
      <c r="AF1401" s="6"/>
      <c r="AG1401" s="6"/>
      <c r="AH1401" s="6"/>
      <c r="AI1401" s="6"/>
      <c r="AJ1401" s="6"/>
      <c r="AK1401" s="6"/>
      <c r="AL1401" s="6"/>
      <c r="AM1401" s="6"/>
      <c r="AN1401" s="6"/>
      <c r="AO1401" s="6"/>
      <c r="AP1401" s="6"/>
      <c r="AQ1401" s="6"/>
      <c r="AR1401" s="6"/>
      <c r="AS1401" s="6"/>
      <c r="AT1401" s="6"/>
      <c r="AU1401" s="6"/>
      <c r="AV1401" s="6"/>
      <c r="AW1401" s="6"/>
      <c r="AX1401" s="6"/>
      <c r="AY1401" s="6"/>
      <c r="AZ1401" s="6"/>
      <c r="BA1401" s="6"/>
      <c r="BB1401" s="6"/>
      <c r="BC1401" s="6"/>
      <c r="BD1401" s="6"/>
      <c r="BE1401" s="6"/>
      <c r="BF1401" s="6"/>
      <c r="BG1401" s="6"/>
      <c r="BH1401" s="6"/>
      <c r="BI1401" s="6"/>
      <c r="BJ1401" s="6"/>
      <c r="BK1401" s="6"/>
      <c r="BL1401" s="44"/>
      <c r="BM1401" s="44"/>
      <c r="BN1401" s="45"/>
      <c r="BO1401" s="45"/>
      <c r="BP1401" s="7"/>
      <c r="BQ1401" s="7" t="e">
        <f>VLOOKUP(A1401,[1]Sheet15!B:E,3,0)</f>
        <v>#N/A</v>
      </c>
    </row>
    <row r="1402" spans="1:69" ht="15.75" customHeight="1" x14ac:dyDescent="0.25">
      <c r="A1402" s="12"/>
      <c r="B1402" s="15" t="e">
        <f>VLOOKUP(A1402,'[1]Master clients'!F1400:W4947,17,0)</f>
        <v>#N/A</v>
      </c>
      <c r="C1402" s="15" t="e">
        <f>VLOOKUP(A1402,'[1]Master clients'!F1400:P4947,11,0)</f>
        <v>#N/A</v>
      </c>
      <c r="D1402" s="15" t="e">
        <f>VLOOKUP(A1402,'[1]Master clients'!F:M,8,0)</f>
        <v>#N/A</v>
      </c>
      <c r="E1402" s="12"/>
      <c r="F1402" s="6"/>
      <c r="G1402" s="6"/>
      <c r="H1402" s="6"/>
      <c r="I1402" s="43"/>
      <c r="J1402" s="43"/>
      <c r="K1402" s="6"/>
      <c r="L1402" s="6"/>
      <c r="M1402" s="6"/>
      <c r="N1402" s="6"/>
      <c r="O1402" s="6"/>
      <c r="P1402" s="6"/>
      <c r="Q1402" s="6"/>
      <c r="R1402" s="6"/>
      <c r="S1402" s="6"/>
      <c r="T1402" s="6"/>
      <c r="U1402" s="6"/>
      <c r="V1402" s="6"/>
      <c r="W1402" s="6"/>
      <c r="X1402" s="6"/>
      <c r="Y1402" s="6"/>
      <c r="Z1402" s="6"/>
      <c r="AA1402" s="6"/>
      <c r="AB1402" s="6"/>
      <c r="AC1402" s="6"/>
      <c r="AD1402" s="6"/>
      <c r="AE1402" s="6"/>
      <c r="AF1402" s="6"/>
      <c r="AG1402" s="6"/>
      <c r="AH1402" s="6"/>
      <c r="AI1402" s="6"/>
      <c r="AJ1402" s="6"/>
      <c r="AK1402" s="6"/>
      <c r="AL1402" s="6"/>
      <c r="AM1402" s="6"/>
      <c r="AN1402" s="6"/>
      <c r="AO1402" s="6"/>
      <c r="AP1402" s="6"/>
      <c r="AQ1402" s="6"/>
      <c r="AR1402" s="6"/>
      <c r="AS1402" s="6"/>
      <c r="AT1402" s="6"/>
      <c r="AU1402" s="6"/>
      <c r="AV1402" s="6"/>
      <c r="AW1402" s="6"/>
      <c r="AX1402" s="6"/>
      <c r="AY1402" s="6"/>
      <c r="AZ1402" s="6"/>
      <c r="BA1402" s="6"/>
      <c r="BB1402" s="6"/>
      <c r="BC1402" s="6"/>
      <c r="BD1402" s="6"/>
      <c r="BE1402" s="6"/>
      <c r="BF1402" s="6"/>
      <c r="BG1402" s="6"/>
      <c r="BH1402" s="6"/>
      <c r="BI1402" s="6"/>
      <c r="BJ1402" s="6"/>
      <c r="BK1402" s="6"/>
      <c r="BL1402" s="44"/>
      <c r="BM1402" s="44"/>
      <c r="BN1402" s="45"/>
      <c r="BO1402" s="45"/>
      <c r="BP1402" s="7"/>
      <c r="BQ1402" s="7" t="e">
        <f>VLOOKUP(A1402,[1]Sheet15!B:E,3,0)</f>
        <v>#N/A</v>
      </c>
    </row>
    <row r="1403" spans="1:69" ht="15.75" customHeight="1" x14ac:dyDescent="0.25">
      <c r="A1403" s="12"/>
      <c r="B1403" s="15" t="e">
        <f>VLOOKUP(A1403,'[1]Master clients'!F1401:W4948,17,0)</f>
        <v>#N/A</v>
      </c>
      <c r="C1403" s="15" t="e">
        <f>VLOOKUP(A1403,'[1]Master clients'!F1401:P4948,11,0)</f>
        <v>#N/A</v>
      </c>
      <c r="D1403" s="15" t="e">
        <f>VLOOKUP(A1403,'[1]Master clients'!F:M,8,0)</f>
        <v>#N/A</v>
      </c>
      <c r="E1403" s="12"/>
      <c r="F1403" s="6"/>
      <c r="G1403" s="6"/>
      <c r="H1403" s="6"/>
      <c r="I1403" s="43"/>
      <c r="J1403" s="43"/>
      <c r="K1403" s="6"/>
      <c r="L1403" s="6"/>
      <c r="M1403" s="6"/>
      <c r="N1403" s="6"/>
      <c r="O1403" s="6"/>
      <c r="P1403" s="6"/>
      <c r="Q1403" s="6"/>
      <c r="R1403" s="6"/>
      <c r="S1403" s="6"/>
      <c r="T1403" s="6"/>
      <c r="U1403" s="6"/>
      <c r="V1403" s="6"/>
      <c r="W1403" s="6"/>
      <c r="X1403" s="6"/>
      <c r="Y1403" s="6"/>
      <c r="Z1403" s="6"/>
      <c r="AA1403" s="6"/>
      <c r="AB1403" s="6"/>
      <c r="AC1403" s="6"/>
      <c r="AD1403" s="6"/>
      <c r="AE1403" s="6"/>
      <c r="AF1403" s="6"/>
      <c r="AG1403" s="6"/>
      <c r="AH1403" s="6"/>
      <c r="AI1403" s="6"/>
      <c r="AJ1403" s="6"/>
      <c r="AK1403" s="6"/>
      <c r="AL1403" s="6"/>
      <c r="AM1403" s="6"/>
      <c r="AN1403" s="6"/>
      <c r="AO1403" s="6"/>
      <c r="AP1403" s="6"/>
      <c r="AQ1403" s="6"/>
      <c r="AR1403" s="6"/>
      <c r="AS1403" s="6"/>
      <c r="AT1403" s="6"/>
      <c r="AU1403" s="6"/>
      <c r="AV1403" s="6"/>
      <c r="AW1403" s="6"/>
      <c r="AX1403" s="6"/>
      <c r="AY1403" s="6"/>
      <c r="AZ1403" s="6"/>
      <c r="BA1403" s="6"/>
      <c r="BB1403" s="6"/>
      <c r="BC1403" s="6"/>
      <c r="BD1403" s="6"/>
      <c r="BE1403" s="6"/>
      <c r="BF1403" s="6"/>
      <c r="BG1403" s="6"/>
      <c r="BH1403" s="6"/>
      <c r="BI1403" s="6"/>
      <c r="BJ1403" s="6"/>
      <c r="BK1403" s="6"/>
      <c r="BL1403" s="44"/>
      <c r="BM1403" s="44"/>
      <c r="BN1403" s="45"/>
      <c r="BO1403" s="45"/>
      <c r="BP1403" s="7"/>
      <c r="BQ1403" s="7" t="e">
        <f>VLOOKUP(A1403,[1]Sheet15!B:E,3,0)</f>
        <v>#N/A</v>
      </c>
    </row>
    <row r="1404" spans="1:69" ht="15.75" customHeight="1" x14ac:dyDescent="0.25">
      <c r="A1404" s="12"/>
      <c r="B1404" s="15" t="e">
        <f>VLOOKUP(A1404,'[1]Master clients'!F1402:W4949,17,0)</f>
        <v>#N/A</v>
      </c>
      <c r="C1404" s="15" t="e">
        <f>VLOOKUP(A1404,'[1]Master clients'!F1402:P4949,11,0)</f>
        <v>#N/A</v>
      </c>
      <c r="D1404" s="15" t="e">
        <f>VLOOKUP(A1404,'[1]Master clients'!F:M,8,0)</f>
        <v>#N/A</v>
      </c>
      <c r="E1404" s="12"/>
      <c r="F1404" s="6"/>
      <c r="G1404" s="6"/>
      <c r="H1404" s="6"/>
      <c r="I1404" s="43"/>
      <c r="J1404" s="43"/>
      <c r="K1404" s="6"/>
      <c r="L1404" s="6"/>
      <c r="M1404" s="6"/>
      <c r="N1404" s="6"/>
      <c r="O1404" s="6"/>
      <c r="P1404" s="6"/>
      <c r="Q1404" s="6"/>
      <c r="R1404" s="6"/>
      <c r="S1404" s="6"/>
      <c r="T1404" s="6"/>
      <c r="U1404" s="6"/>
      <c r="V1404" s="6"/>
      <c r="W1404" s="6"/>
      <c r="X1404" s="6"/>
      <c r="Y1404" s="6"/>
      <c r="Z1404" s="6"/>
      <c r="AA1404" s="6"/>
      <c r="AB1404" s="6"/>
      <c r="AC1404" s="6"/>
      <c r="AD1404" s="6"/>
      <c r="AE1404" s="6"/>
      <c r="AF1404" s="6"/>
      <c r="AG1404" s="6"/>
      <c r="AH1404" s="6"/>
      <c r="AI1404" s="6"/>
      <c r="AJ1404" s="6"/>
      <c r="AK1404" s="6"/>
      <c r="AL1404" s="6"/>
      <c r="AM1404" s="6"/>
      <c r="AN1404" s="6"/>
      <c r="AO1404" s="6"/>
      <c r="AP1404" s="6"/>
      <c r="AQ1404" s="6"/>
      <c r="AR1404" s="6"/>
      <c r="AS1404" s="6"/>
      <c r="AT1404" s="6"/>
      <c r="AU1404" s="6"/>
      <c r="AV1404" s="6"/>
      <c r="AW1404" s="6"/>
      <c r="AX1404" s="6"/>
      <c r="AY1404" s="6"/>
      <c r="AZ1404" s="6"/>
      <c r="BA1404" s="6"/>
      <c r="BB1404" s="6"/>
      <c r="BC1404" s="6"/>
      <c r="BD1404" s="6"/>
      <c r="BE1404" s="6"/>
      <c r="BF1404" s="6"/>
      <c r="BG1404" s="6"/>
      <c r="BH1404" s="6"/>
      <c r="BI1404" s="6"/>
      <c r="BJ1404" s="6"/>
      <c r="BK1404" s="6"/>
      <c r="BL1404" s="44"/>
      <c r="BM1404" s="44"/>
      <c r="BN1404" s="45"/>
      <c r="BO1404" s="45"/>
      <c r="BP1404" s="7"/>
      <c r="BQ1404" s="7" t="e">
        <f>VLOOKUP(A1404,[1]Sheet15!B:E,3,0)</f>
        <v>#N/A</v>
      </c>
    </row>
    <row r="1405" spans="1:69" ht="15.75" customHeight="1" x14ac:dyDescent="0.25">
      <c r="A1405" s="12"/>
      <c r="B1405" s="15" t="e">
        <f>VLOOKUP(A1405,'[1]Master clients'!F1403:W4950,17,0)</f>
        <v>#N/A</v>
      </c>
      <c r="C1405" s="15" t="e">
        <f>VLOOKUP(A1405,'[1]Master clients'!F1403:P4950,11,0)</f>
        <v>#N/A</v>
      </c>
      <c r="D1405" s="15" t="e">
        <f>VLOOKUP(A1405,'[1]Master clients'!F:M,8,0)</f>
        <v>#N/A</v>
      </c>
      <c r="E1405" s="12"/>
      <c r="F1405" s="6"/>
      <c r="G1405" s="6"/>
      <c r="H1405" s="6"/>
      <c r="I1405" s="43"/>
      <c r="J1405" s="43"/>
      <c r="K1405" s="6"/>
      <c r="L1405" s="6"/>
      <c r="M1405" s="6"/>
      <c r="N1405" s="6"/>
      <c r="O1405" s="6"/>
      <c r="P1405" s="6"/>
      <c r="Q1405" s="6"/>
      <c r="R1405" s="6"/>
      <c r="S1405" s="6"/>
      <c r="T1405" s="6"/>
      <c r="U1405" s="6"/>
      <c r="V1405" s="6"/>
      <c r="W1405" s="6"/>
      <c r="X1405" s="6"/>
      <c r="Y1405" s="6"/>
      <c r="Z1405" s="6"/>
      <c r="AA1405" s="6"/>
      <c r="AB1405" s="6"/>
      <c r="AC1405" s="6"/>
      <c r="AD1405" s="6"/>
      <c r="AE1405" s="6"/>
      <c r="AF1405" s="6"/>
      <c r="AG1405" s="6"/>
      <c r="AH1405" s="6"/>
      <c r="AI1405" s="6"/>
      <c r="AJ1405" s="6"/>
      <c r="AK1405" s="6"/>
      <c r="AL1405" s="6"/>
      <c r="AM1405" s="6"/>
      <c r="AN1405" s="6"/>
      <c r="AO1405" s="6"/>
      <c r="AP1405" s="6"/>
      <c r="AQ1405" s="6"/>
      <c r="AR1405" s="6"/>
      <c r="AS1405" s="6"/>
      <c r="AT1405" s="6"/>
      <c r="AU1405" s="6"/>
      <c r="AV1405" s="6"/>
      <c r="AW1405" s="6"/>
      <c r="AX1405" s="6"/>
      <c r="AY1405" s="6"/>
      <c r="AZ1405" s="6"/>
      <c r="BA1405" s="6"/>
      <c r="BB1405" s="6"/>
      <c r="BC1405" s="6"/>
      <c r="BD1405" s="6"/>
      <c r="BE1405" s="6"/>
      <c r="BF1405" s="6"/>
      <c r="BG1405" s="6"/>
      <c r="BH1405" s="6"/>
      <c r="BI1405" s="6"/>
      <c r="BJ1405" s="6"/>
      <c r="BK1405" s="6"/>
      <c r="BL1405" s="44"/>
      <c r="BM1405" s="44"/>
      <c r="BN1405" s="45"/>
      <c r="BO1405" s="45"/>
      <c r="BP1405" s="7"/>
      <c r="BQ1405" s="7" t="e">
        <f>VLOOKUP(A1405,[1]Sheet15!B:E,3,0)</f>
        <v>#N/A</v>
      </c>
    </row>
    <row r="1406" spans="1:69" ht="15.75" customHeight="1" x14ac:dyDescent="0.25">
      <c r="A1406" s="12"/>
      <c r="B1406" s="15" t="e">
        <f>VLOOKUP(A1406,'[1]Master clients'!F1404:W4951,17,0)</f>
        <v>#N/A</v>
      </c>
      <c r="C1406" s="15" t="e">
        <f>VLOOKUP(A1406,'[1]Master clients'!F1404:P4951,11,0)</f>
        <v>#N/A</v>
      </c>
      <c r="D1406" s="15" t="e">
        <f>VLOOKUP(A1406,'[1]Master clients'!F:M,8,0)</f>
        <v>#N/A</v>
      </c>
      <c r="E1406" s="12"/>
      <c r="F1406" s="6"/>
      <c r="G1406" s="6"/>
      <c r="H1406" s="6"/>
      <c r="I1406" s="43"/>
      <c r="J1406" s="43"/>
      <c r="K1406" s="6"/>
      <c r="L1406" s="6"/>
      <c r="M1406" s="6"/>
      <c r="N1406" s="6"/>
      <c r="O1406" s="6"/>
      <c r="P1406" s="6"/>
      <c r="Q1406" s="6"/>
      <c r="R1406" s="6"/>
      <c r="S1406" s="6"/>
      <c r="T1406" s="6"/>
      <c r="U1406" s="6"/>
      <c r="V1406" s="6"/>
      <c r="W1406" s="6"/>
      <c r="X1406" s="6"/>
      <c r="Y1406" s="6"/>
      <c r="Z1406" s="6"/>
      <c r="AA1406" s="6"/>
      <c r="AB1406" s="6"/>
      <c r="AC1406" s="6"/>
      <c r="AD1406" s="6"/>
      <c r="AE1406" s="6"/>
      <c r="AF1406" s="6"/>
      <c r="AG1406" s="6"/>
      <c r="AH1406" s="6"/>
      <c r="AI1406" s="6"/>
      <c r="AJ1406" s="6"/>
      <c r="AK1406" s="6"/>
      <c r="AL1406" s="6"/>
      <c r="AM1406" s="6"/>
      <c r="AN1406" s="6"/>
      <c r="AO1406" s="6"/>
      <c r="AP1406" s="6"/>
      <c r="AQ1406" s="6"/>
      <c r="AR1406" s="6"/>
      <c r="AS1406" s="6"/>
      <c r="AT1406" s="6"/>
      <c r="AU1406" s="6"/>
      <c r="AV1406" s="6"/>
      <c r="AW1406" s="6"/>
      <c r="AX1406" s="6"/>
      <c r="AY1406" s="6"/>
      <c r="AZ1406" s="6"/>
      <c r="BA1406" s="6"/>
      <c r="BB1406" s="6"/>
      <c r="BC1406" s="6"/>
      <c r="BD1406" s="6"/>
      <c r="BE1406" s="6"/>
      <c r="BF1406" s="6"/>
      <c r="BG1406" s="6"/>
      <c r="BH1406" s="6"/>
      <c r="BI1406" s="6"/>
      <c r="BJ1406" s="6"/>
      <c r="BK1406" s="6"/>
      <c r="BL1406" s="44"/>
      <c r="BM1406" s="44"/>
      <c r="BN1406" s="45"/>
      <c r="BO1406" s="45"/>
      <c r="BP1406" s="7"/>
      <c r="BQ1406" s="7" t="e">
        <f>VLOOKUP(A1406,[1]Sheet15!B:E,3,0)</f>
        <v>#N/A</v>
      </c>
    </row>
    <row r="1407" spans="1:69" ht="15.75" customHeight="1" x14ac:dyDescent="0.25">
      <c r="A1407" s="12"/>
      <c r="B1407" s="15" t="e">
        <f>VLOOKUP(A1407,'[1]Master clients'!F1405:W4952,17,0)</f>
        <v>#N/A</v>
      </c>
      <c r="C1407" s="15" t="e">
        <f>VLOOKUP(A1407,'[1]Master clients'!F1405:P4952,11,0)</f>
        <v>#N/A</v>
      </c>
      <c r="D1407" s="15" t="e">
        <f>VLOOKUP(A1407,'[1]Master clients'!F:M,8,0)</f>
        <v>#N/A</v>
      </c>
      <c r="E1407" s="12"/>
      <c r="F1407" s="6"/>
      <c r="G1407" s="6"/>
      <c r="H1407" s="6"/>
      <c r="I1407" s="43"/>
      <c r="J1407" s="43"/>
      <c r="K1407" s="6"/>
      <c r="L1407" s="6"/>
      <c r="M1407" s="6"/>
      <c r="N1407" s="6"/>
      <c r="O1407" s="6"/>
      <c r="P1407" s="6"/>
      <c r="Q1407" s="6"/>
      <c r="R1407" s="6"/>
      <c r="S1407" s="6"/>
      <c r="T1407" s="6"/>
      <c r="U1407" s="6"/>
      <c r="V1407" s="6"/>
      <c r="W1407" s="6"/>
      <c r="X1407" s="6"/>
      <c r="Y1407" s="6"/>
      <c r="Z1407" s="6"/>
      <c r="AA1407" s="6"/>
      <c r="AB1407" s="6"/>
      <c r="AC1407" s="6"/>
      <c r="AD1407" s="6"/>
      <c r="AE1407" s="6"/>
      <c r="AF1407" s="6"/>
      <c r="AG1407" s="6"/>
      <c r="AH1407" s="6"/>
      <c r="AI1407" s="6"/>
      <c r="AJ1407" s="6"/>
      <c r="AK1407" s="6"/>
      <c r="AL1407" s="6"/>
      <c r="AM1407" s="6"/>
      <c r="AN1407" s="6"/>
      <c r="AO1407" s="6"/>
      <c r="AP1407" s="6"/>
      <c r="AQ1407" s="6"/>
      <c r="AR1407" s="6"/>
      <c r="AS1407" s="6"/>
      <c r="AT1407" s="6"/>
      <c r="AU1407" s="6"/>
      <c r="AV1407" s="6"/>
      <c r="AW1407" s="6"/>
      <c r="AX1407" s="6"/>
      <c r="AY1407" s="6"/>
      <c r="AZ1407" s="6"/>
      <c r="BA1407" s="6"/>
      <c r="BB1407" s="6"/>
      <c r="BC1407" s="6"/>
      <c r="BD1407" s="6"/>
      <c r="BE1407" s="6"/>
      <c r="BF1407" s="6"/>
      <c r="BG1407" s="6"/>
      <c r="BH1407" s="6"/>
      <c r="BI1407" s="6"/>
      <c r="BJ1407" s="6"/>
      <c r="BK1407" s="6"/>
      <c r="BL1407" s="44"/>
      <c r="BM1407" s="44"/>
      <c r="BN1407" s="45"/>
      <c r="BO1407" s="45"/>
      <c r="BP1407" s="7"/>
      <c r="BQ1407" s="7" t="e">
        <f>VLOOKUP(A1407,[1]Sheet15!B:E,3,0)</f>
        <v>#N/A</v>
      </c>
    </row>
    <row r="1408" spans="1:69" ht="15.75" customHeight="1" x14ac:dyDescent="0.25">
      <c r="A1408" s="12"/>
      <c r="B1408" s="15" t="e">
        <f>VLOOKUP(A1408,'[1]Master clients'!F1406:W4953,17,0)</f>
        <v>#N/A</v>
      </c>
      <c r="C1408" s="15" t="e">
        <f>VLOOKUP(A1408,'[1]Master clients'!F1406:P4953,11,0)</f>
        <v>#N/A</v>
      </c>
      <c r="D1408" s="15" t="e">
        <f>VLOOKUP(A1408,'[1]Master clients'!F:M,8,0)</f>
        <v>#N/A</v>
      </c>
      <c r="E1408" s="12"/>
      <c r="F1408" s="6"/>
      <c r="G1408" s="6"/>
      <c r="H1408" s="6"/>
      <c r="I1408" s="43"/>
      <c r="J1408" s="43"/>
      <c r="K1408" s="6"/>
      <c r="L1408" s="6"/>
      <c r="M1408" s="6"/>
      <c r="N1408" s="6"/>
      <c r="O1408" s="6"/>
      <c r="P1408" s="6"/>
      <c r="Q1408" s="6"/>
      <c r="R1408" s="6"/>
      <c r="S1408" s="6"/>
      <c r="T1408" s="6"/>
      <c r="U1408" s="6"/>
      <c r="V1408" s="6"/>
      <c r="W1408" s="6"/>
      <c r="X1408" s="6"/>
      <c r="Y1408" s="6"/>
      <c r="Z1408" s="6"/>
      <c r="AA1408" s="6"/>
      <c r="AB1408" s="6"/>
      <c r="AC1408" s="6"/>
      <c r="AD1408" s="6"/>
      <c r="AE1408" s="6"/>
      <c r="AF1408" s="6"/>
      <c r="AG1408" s="6"/>
      <c r="AH1408" s="6"/>
      <c r="AI1408" s="6"/>
      <c r="AJ1408" s="6"/>
      <c r="AK1408" s="6"/>
      <c r="AL1408" s="6"/>
      <c r="AM1408" s="6"/>
      <c r="AN1408" s="6"/>
      <c r="AO1408" s="6"/>
      <c r="AP1408" s="6"/>
      <c r="AQ1408" s="6"/>
      <c r="AR1408" s="6"/>
      <c r="AS1408" s="6"/>
      <c r="AT1408" s="6"/>
      <c r="AU1408" s="6"/>
      <c r="AV1408" s="6"/>
      <c r="AW1408" s="6"/>
      <c r="AX1408" s="6"/>
      <c r="AY1408" s="6"/>
      <c r="AZ1408" s="6"/>
      <c r="BA1408" s="6"/>
      <c r="BB1408" s="6"/>
      <c r="BC1408" s="6"/>
      <c r="BD1408" s="6"/>
      <c r="BE1408" s="6"/>
      <c r="BF1408" s="6"/>
      <c r="BG1408" s="6"/>
      <c r="BH1408" s="6"/>
      <c r="BI1408" s="6"/>
      <c r="BJ1408" s="6"/>
      <c r="BK1408" s="6"/>
      <c r="BL1408" s="44"/>
      <c r="BM1408" s="44"/>
      <c r="BN1408" s="45"/>
      <c r="BO1408" s="45"/>
      <c r="BP1408" s="7"/>
      <c r="BQ1408" s="7" t="e">
        <f>VLOOKUP(A1408,[1]Sheet15!B:E,3,0)</f>
        <v>#N/A</v>
      </c>
    </row>
    <row r="1409" spans="1:69" ht="15.75" customHeight="1" x14ac:dyDescent="0.25">
      <c r="A1409" s="12"/>
      <c r="B1409" s="15" t="e">
        <f>VLOOKUP(A1409,'[1]Master clients'!F1407:W4954,17,0)</f>
        <v>#N/A</v>
      </c>
      <c r="C1409" s="15" t="e">
        <f>VLOOKUP(A1409,'[1]Master clients'!F1407:P4954,11,0)</f>
        <v>#N/A</v>
      </c>
      <c r="D1409" s="15" t="e">
        <f>VLOOKUP(A1409,'[1]Master clients'!F:M,8,0)</f>
        <v>#N/A</v>
      </c>
      <c r="E1409" s="12"/>
      <c r="F1409" s="6"/>
      <c r="G1409" s="6"/>
      <c r="H1409" s="6"/>
      <c r="I1409" s="43"/>
      <c r="J1409" s="43"/>
      <c r="K1409" s="6"/>
      <c r="L1409" s="6"/>
      <c r="M1409" s="6"/>
      <c r="N1409" s="6"/>
      <c r="O1409" s="6"/>
      <c r="P1409" s="6"/>
      <c r="Q1409" s="6"/>
      <c r="R1409" s="6"/>
      <c r="S1409" s="6"/>
      <c r="T1409" s="6"/>
      <c r="U1409" s="6"/>
      <c r="V1409" s="6"/>
      <c r="W1409" s="6"/>
      <c r="X1409" s="6"/>
      <c r="Y1409" s="6"/>
      <c r="Z1409" s="6"/>
      <c r="AA1409" s="6"/>
      <c r="AB1409" s="6"/>
      <c r="AC1409" s="6"/>
      <c r="AD1409" s="6"/>
      <c r="AE1409" s="6"/>
      <c r="AF1409" s="6"/>
      <c r="AG1409" s="6"/>
      <c r="AH1409" s="6"/>
      <c r="AI1409" s="6"/>
      <c r="AJ1409" s="6"/>
      <c r="AK1409" s="6"/>
      <c r="AL1409" s="6"/>
      <c r="AM1409" s="6"/>
      <c r="AN1409" s="6"/>
      <c r="AO1409" s="6"/>
      <c r="AP1409" s="6"/>
      <c r="AQ1409" s="6"/>
      <c r="AR1409" s="6"/>
      <c r="AS1409" s="6"/>
      <c r="AT1409" s="6"/>
      <c r="AU1409" s="6"/>
      <c r="AV1409" s="6"/>
      <c r="AW1409" s="6"/>
      <c r="AX1409" s="6"/>
      <c r="AY1409" s="6"/>
      <c r="AZ1409" s="6"/>
      <c r="BA1409" s="6"/>
      <c r="BB1409" s="6"/>
      <c r="BC1409" s="6"/>
      <c r="BD1409" s="6"/>
      <c r="BE1409" s="6"/>
      <c r="BF1409" s="6"/>
      <c r="BG1409" s="6"/>
      <c r="BH1409" s="6"/>
      <c r="BI1409" s="6"/>
      <c r="BJ1409" s="6"/>
      <c r="BK1409" s="6"/>
      <c r="BL1409" s="44"/>
      <c r="BM1409" s="44"/>
      <c r="BN1409" s="45"/>
      <c r="BO1409" s="45"/>
      <c r="BP1409" s="7"/>
      <c r="BQ1409" s="7" t="e">
        <f>VLOOKUP(A1409,[1]Sheet15!B:E,3,0)</f>
        <v>#N/A</v>
      </c>
    </row>
    <row r="1410" spans="1:69" ht="15.75" customHeight="1" x14ac:dyDescent="0.25">
      <c r="A1410" s="12"/>
      <c r="B1410" s="15" t="e">
        <f>VLOOKUP(A1410,'[1]Master clients'!F1408:W4955,17,0)</f>
        <v>#N/A</v>
      </c>
      <c r="C1410" s="15" t="e">
        <f>VLOOKUP(A1410,'[1]Master clients'!F1408:P4955,11,0)</f>
        <v>#N/A</v>
      </c>
      <c r="D1410" s="15" t="e">
        <f>VLOOKUP(A1410,'[1]Master clients'!F:M,8,0)</f>
        <v>#N/A</v>
      </c>
      <c r="E1410" s="12"/>
      <c r="F1410" s="6"/>
      <c r="G1410" s="6"/>
      <c r="H1410" s="6"/>
      <c r="I1410" s="43"/>
      <c r="J1410" s="43"/>
      <c r="K1410" s="6"/>
      <c r="L1410" s="6"/>
      <c r="M1410" s="6"/>
      <c r="N1410" s="6"/>
      <c r="O1410" s="6"/>
      <c r="P1410" s="6"/>
      <c r="Q1410" s="6"/>
      <c r="R1410" s="6"/>
      <c r="S1410" s="6"/>
      <c r="T1410" s="6"/>
      <c r="U1410" s="6"/>
      <c r="V1410" s="6"/>
      <c r="W1410" s="6"/>
      <c r="X1410" s="6"/>
      <c r="Y1410" s="6"/>
      <c r="Z1410" s="6"/>
      <c r="AA1410" s="6"/>
      <c r="AB1410" s="6"/>
      <c r="AC1410" s="6"/>
      <c r="AD1410" s="6"/>
      <c r="AE1410" s="6"/>
      <c r="AF1410" s="6"/>
      <c r="AG1410" s="6"/>
      <c r="AH1410" s="6"/>
      <c r="AI1410" s="6"/>
      <c r="AJ1410" s="6"/>
      <c r="AK1410" s="6"/>
      <c r="AL1410" s="6"/>
      <c r="AM1410" s="6"/>
      <c r="AN1410" s="6"/>
      <c r="AO1410" s="6"/>
      <c r="AP1410" s="6"/>
      <c r="AQ1410" s="6"/>
      <c r="AR1410" s="6"/>
      <c r="AS1410" s="6"/>
      <c r="AT1410" s="6"/>
      <c r="AU1410" s="6"/>
      <c r="AV1410" s="6"/>
      <c r="AW1410" s="6"/>
      <c r="AX1410" s="6"/>
      <c r="AY1410" s="6"/>
      <c r="AZ1410" s="6"/>
      <c r="BA1410" s="6"/>
      <c r="BB1410" s="6"/>
      <c r="BC1410" s="6"/>
      <c r="BD1410" s="6"/>
      <c r="BE1410" s="6"/>
      <c r="BF1410" s="6"/>
      <c r="BG1410" s="6"/>
      <c r="BH1410" s="6"/>
      <c r="BI1410" s="6"/>
      <c r="BJ1410" s="6"/>
      <c r="BK1410" s="6"/>
      <c r="BL1410" s="44"/>
      <c r="BM1410" s="44"/>
      <c r="BN1410" s="45"/>
      <c r="BO1410" s="45"/>
      <c r="BP1410" s="7"/>
      <c r="BQ1410" s="7" t="e">
        <f>VLOOKUP(A1410,[1]Sheet15!B:E,3,0)</f>
        <v>#N/A</v>
      </c>
    </row>
    <row r="1411" spans="1:69" ht="15.75" customHeight="1" x14ac:dyDescent="0.25">
      <c r="A1411" s="12"/>
      <c r="B1411" s="15" t="e">
        <f>VLOOKUP(A1411,'[1]Master clients'!F1409:W4956,17,0)</f>
        <v>#N/A</v>
      </c>
      <c r="C1411" s="15" t="e">
        <f>VLOOKUP(A1411,'[1]Master clients'!F1409:P4956,11,0)</f>
        <v>#N/A</v>
      </c>
      <c r="D1411" s="15" t="e">
        <f>VLOOKUP(A1411,'[1]Master clients'!F:M,8,0)</f>
        <v>#N/A</v>
      </c>
      <c r="E1411" s="12"/>
      <c r="F1411" s="6"/>
      <c r="G1411" s="6"/>
      <c r="H1411" s="6"/>
      <c r="I1411" s="43"/>
      <c r="J1411" s="43"/>
      <c r="K1411" s="6"/>
      <c r="L1411" s="6"/>
      <c r="M1411" s="6"/>
      <c r="N1411" s="6"/>
      <c r="O1411" s="6"/>
      <c r="P1411" s="6"/>
      <c r="Q1411" s="6"/>
      <c r="R1411" s="6"/>
      <c r="S1411" s="6"/>
      <c r="T1411" s="6"/>
      <c r="U1411" s="6"/>
      <c r="V1411" s="6"/>
      <c r="W1411" s="6"/>
      <c r="X1411" s="6"/>
      <c r="Y1411" s="6"/>
      <c r="Z1411" s="6"/>
      <c r="AA1411" s="6"/>
      <c r="AB1411" s="6"/>
      <c r="AC1411" s="6"/>
      <c r="AD1411" s="6"/>
      <c r="AE1411" s="6"/>
      <c r="AF1411" s="6"/>
      <c r="AG1411" s="6"/>
      <c r="AH1411" s="6"/>
      <c r="AI1411" s="6"/>
      <c r="AJ1411" s="6"/>
      <c r="AK1411" s="6"/>
      <c r="AL1411" s="6"/>
      <c r="AM1411" s="6"/>
      <c r="AN1411" s="6"/>
      <c r="AO1411" s="6"/>
      <c r="AP1411" s="6"/>
      <c r="AQ1411" s="6"/>
      <c r="AR1411" s="6"/>
      <c r="AS1411" s="6"/>
      <c r="AT1411" s="6"/>
      <c r="AU1411" s="6"/>
      <c r="AV1411" s="6"/>
      <c r="AW1411" s="6"/>
      <c r="AX1411" s="6"/>
      <c r="AY1411" s="6"/>
      <c r="AZ1411" s="6"/>
      <c r="BA1411" s="6"/>
      <c r="BB1411" s="6"/>
      <c r="BC1411" s="6"/>
      <c r="BD1411" s="6"/>
      <c r="BE1411" s="6"/>
      <c r="BF1411" s="6"/>
      <c r="BG1411" s="6"/>
      <c r="BH1411" s="6"/>
      <c r="BI1411" s="6"/>
      <c r="BJ1411" s="6"/>
      <c r="BK1411" s="6"/>
      <c r="BL1411" s="44"/>
      <c r="BM1411" s="44"/>
      <c r="BN1411" s="45"/>
      <c r="BO1411" s="45"/>
      <c r="BP1411" s="7"/>
      <c r="BQ1411" s="7" t="e">
        <f>VLOOKUP(A1411,[1]Sheet15!B:E,3,0)</f>
        <v>#N/A</v>
      </c>
    </row>
    <row r="1412" spans="1:69" ht="15.75" customHeight="1" x14ac:dyDescent="0.25">
      <c r="A1412" s="12"/>
      <c r="B1412" s="15" t="e">
        <f>VLOOKUP(A1412,'[1]Master clients'!F1410:W4957,17,0)</f>
        <v>#N/A</v>
      </c>
      <c r="C1412" s="15" t="e">
        <f>VLOOKUP(A1412,'[1]Master clients'!F1410:P4957,11,0)</f>
        <v>#N/A</v>
      </c>
      <c r="D1412" s="15" t="e">
        <f>VLOOKUP(A1412,'[1]Master clients'!F:M,8,0)</f>
        <v>#N/A</v>
      </c>
      <c r="E1412" s="12"/>
      <c r="F1412" s="6"/>
      <c r="G1412" s="6"/>
      <c r="H1412" s="6"/>
      <c r="I1412" s="43"/>
      <c r="J1412" s="43"/>
      <c r="K1412" s="6"/>
      <c r="L1412" s="6"/>
      <c r="M1412" s="6"/>
      <c r="N1412" s="6"/>
      <c r="O1412" s="6"/>
      <c r="P1412" s="6"/>
      <c r="Q1412" s="6"/>
      <c r="R1412" s="6"/>
      <c r="S1412" s="6"/>
      <c r="T1412" s="6"/>
      <c r="U1412" s="6"/>
      <c r="V1412" s="6"/>
      <c r="W1412" s="6"/>
      <c r="X1412" s="6"/>
      <c r="Y1412" s="6"/>
      <c r="Z1412" s="6"/>
      <c r="AA1412" s="6"/>
      <c r="AB1412" s="6"/>
      <c r="AC1412" s="6"/>
      <c r="AD1412" s="6"/>
      <c r="AE1412" s="6"/>
      <c r="AF1412" s="6"/>
      <c r="AG1412" s="6"/>
      <c r="AH1412" s="6"/>
      <c r="AI1412" s="6"/>
      <c r="AJ1412" s="6"/>
      <c r="AK1412" s="6"/>
      <c r="AL1412" s="6"/>
      <c r="AM1412" s="6"/>
      <c r="AN1412" s="6"/>
      <c r="AO1412" s="6"/>
      <c r="AP1412" s="6"/>
      <c r="AQ1412" s="6"/>
      <c r="AR1412" s="6"/>
      <c r="AS1412" s="6"/>
      <c r="AT1412" s="6"/>
      <c r="AU1412" s="6"/>
      <c r="AV1412" s="6"/>
      <c r="AW1412" s="6"/>
      <c r="AX1412" s="6"/>
      <c r="AY1412" s="6"/>
      <c r="AZ1412" s="6"/>
      <c r="BA1412" s="6"/>
      <c r="BB1412" s="6"/>
      <c r="BC1412" s="6"/>
      <c r="BD1412" s="6"/>
      <c r="BE1412" s="6"/>
      <c r="BF1412" s="6"/>
      <c r="BG1412" s="6"/>
      <c r="BH1412" s="6"/>
      <c r="BI1412" s="6"/>
      <c r="BJ1412" s="6"/>
      <c r="BK1412" s="6"/>
      <c r="BL1412" s="44"/>
      <c r="BM1412" s="44"/>
      <c r="BN1412" s="45"/>
      <c r="BO1412" s="45"/>
      <c r="BP1412" s="7"/>
      <c r="BQ1412" s="7" t="e">
        <f>VLOOKUP(A1412,[1]Sheet15!B:E,3,0)</f>
        <v>#N/A</v>
      </c>
    </row>
    <row r="1413" spans="1:69" ht="15.75" customHeight="1" x14ac:dyDescent="0.25">
      <c r="A1413" s="12"/>
      <c r="B1413" s="15" t="e">
        <f>VLOOKUP(A1413,'[1]Master clients'!F1411:W4958,17,0)</f>
        <v>#N/A</v>
      </c>
      <c r="C1413" s="15" t="e">
        <f>VLOOKUP(A1413,'[1]Master clients'!F1411:P4958,11,0)</f>
        <v>#N/A</v>
      </c>
      <c r="D1413" s="15" t="e">
        <f>VLOOKUP(A1413,'[1]Master clients'!F:M,8,0)</f>
        <v>#N/A</v>
      </c>
      <c r="E1413" s="12"/>
      <c r="F1413" s="6"/>
      <c r="G1413" s="6"/>
      <c r="H1413" s="6"/>
      <c r="I1413" s="43"/>
      <c r="J1413" s="43"/>
      <c r="K1413" s="6"/>
      <c r="L1413" s="6"/>
      <c r="M1413" s="6"/>
      <c r="N1413" s="6"/>
      <c r="O1413" s="6"/>
      <c r="P1413" s="6"/>
      <c r="Q1413" s="6"/>
      <c r="R1413" s="6"/>
      <c r="S1413" s="6"/>
      <c r="T1413" s="6"/>
      <c r="U1413" s="6"/>
      <c r="V1413" s="6"/>
      <c r="W1413" s="6"/>
      <c r="X1413" s="6"/>
      <c r="Y1413" s="6"/>
      <c r="Z1413" s="6"/>
      <c r="AA1413" s="6"/>
      <c r="AB1413" s="6"/>
      <c r="AC1413" s="6"/>
      <c r="AD1413" s="6"/>
      <c r="AE1413" s="6"/>
      <c r="AF1413" s="6"/>
      <c r="AG1413" s="6"/>
      <c r="AH1413" s="6"/>
      <c r="AI1413" s="6"/>
      <c r="AJ1413" s="6"/>
      <c r="AK1413" s="6"/>
      <c r="AL1413" s="6"/>
      <c r="AM1413" s="6"/>
      <c r="AN1413" s="6"/>
      <c r="AO1413" s="6"/>
      <c r="AP1413" s="6"/>
      <c r="AQ1413" s="6"/>
      <c r="AR1413" s="6"/>
      <c r="AS1413" s="6"/>
      <c r="AT1413" s="6"/>
      <c r="AU1413" s="6"/>
      <c r="AV1413" s="6"/>
      <c r="AW1413" s="6"/>
      <c r="AX1413" s="6"/>
      <c r="AY1413" s="6"/>
      <c r="AZ1413" s="6"/>
      <c r="BA1413" s="6"/>
      <c r="BB1413" s="6"/>
      <c r="BC1413" s="6"/>
      <c r="BD1413" s="6"/>
      <c r="BE1413" s="6"/>
      <c r="BF1413" s="6"/>
      <c r="BG1413" s="6"/>
      <c r="BH1413" s="6"/>
      <c r="BI1413" s="6"/>
      <c r="BJ1413" s="6"/>
      <c r="BK1413" s="6"/>
      <c r="BL1413" s="44"/>
      <c r="BM1413" s="44"/>
      <c r="BN1413" s="45"/>
      <c r="BO1413" s="45"/>
      <c r="BP1413" s="7"/>
      <c r="BQ1413" s="7" t="e">
        <f>VLOOKUP(A1413,[1]Sheet15!B:E,3,0)</f>
        <v>#N/A</v>
      </c>
    </row>
    <row r="1414" spans="1:69" ht="15.75" customHeight="1" x14ac:dyDescent="0.25">
      <c r="A1414" s="12"/>
      <c r="B1414" s="15" t="e">
        <f>VLOOKUP(A1414,'[1]Master clients'!F1412:W4959,17,0)</f>
        <v>#N/A</v>
      </c>
      <c r="C1414" s="15" t="e">
        <f>VLOOKUP(A1414,'[1]Master clients'!F1412:P4959,11,0)</f>
        <v>#N/A</v>
      </c>
      <c r="D1414" s="15" t="e">
        <f>VLOOKUP(A1414,'[1]Master clients'!F:M,8,0)</f>
        <v>#N/A</v>
      </c>
      <c r="E1414" s="12"/>
      <c r="F1414" s="6"/>
      <c r="G1414" s="6"/>
      <c r="H1414" s="6"/>
      <c r="I1414" s="43"/>
      <c r="J1414" s="43"/>
      <c r="K1414" s="6"/>
      <c r="L1414" s="6"/>
      <c r="M1414" s="6"/>
      <c r="N1414" s="6"/>
      <c r="O1414" s="6"/>
      <c r="P1414" s="6"/>
      <c r="Q1414" s="6"/>
      <c r="R1414" s="6"/>
      <c r="S1414" s="6"/>
      <c r="T1414" s="6"/>
      <c r="U1414" s="6"/>
      <c r="V1414" s="6"/>
      <c r="W1414" s="6"/>
      <c r="X1414" s="6"/>
      <c r="Y1414" s="6"/>
      <c r="Z1414" s="6"/>
      <c r="AA1414" s="6"/>
      <c r="AB1414" s="6"/>
      <c r="AC1414" s="6"/>
      <c r="AD1414" s="6"/>
      <c r="AE1414" s="6"/>
      <c r="AF1414" s="6"/>
      <c r="AG1414" s="6"/>
      <c r="AH1414" s="6"/>
      <c r="AI1414" s="6"/>
      <c r="AJ1414" s="6"/>
      <c r="AK1414" s="6"/>
      <c r="AL1414" s="6"/>
      <c r="AM1414" s="6"/>
      <c r="AN1414" s="6"/>
      <c r="AO1414" s="6"/>
      <c r="AP1414" s="6"/>
      <c r="AQ1414" s="6"/>
      <c r="AR1414" s="6"/>
      <c r="AS1414" s="6"/>
      <c r="AT1414" s="6"/>
      <c r="AU1414" s="6"/>
      <c r="AV1414" s="6"/>
      <c r="AW1414" s="6"/>
      <c r="AX1414" s="6"/>
      <c r="AY1414" s="6"/>
      <c r="AZ1414" s="6"/>
      <c r="BA1414" s="6"/>
      <c r="BB1414" s="6"/>
      <c r="BC1414" s="6"/>
      <c r="BD1414" s="6"/>
      <c r="BE1414" s="6"/>
      <c r="BF1414" s="6"/>
      <c r="BG1414" s="6"/>
      <c r="BH1414" s="6"/>
      <c r="BI1414" s="6"/>
      <c r="BJ1414" s="6"/>
      <c r="BK1414" s="6"/>
      <c r="BL1414" s="44"/>
      <c r="BM1414" s="44"/>
      <c r="BN1414" s="45"/>
      <c r="BO1414" s="45"/>
      <c r="BP1414" s="7"/>
      <c r="BQ1414" s="7" t="e">
        <f>VLOOKUP(A1414,[1]Sheet15!B:E,3,0)</f>
        <v>#N/A</v>
      </c>
    </row>
    <row r="1415" spans="1:69" ht="15.75" customHeight="1" x14ac:dyDescent="0.25">
      <c r="A1415" s="12"/>
      <c r="B1415" s="15" t="e">
        <f>VLOOKUP(A1415,'[1]Master clients'!F1413:W4960,17,0)</f>
        <v>#N/A</v>
      </c>
      <c r="C1415" s="15" t="e">
        <f>VLOOKUP(A1415,'[1]Master clients'!F1413:P4960,11,0)</f>
        <v>#N/A</v>
      </c>
      <c r="D1415" s="15" t="e">
        <f>VLOOKUP(A1415,'[1]Master clients'!F:M,8,0)</f>
        <v>#N/A</v>
      </c>
      <c r="E1415" s="12"/>
      <c r="F1415" s="6"/>
      <c r="G1415" s="6"/>
      <c r="H1415" s="6"/>
      <c r="I1415" s="43"/>
      <c r="J1415" s="43"/>
      <c r="K1415" s="6"/>
      <c r="L1415" s="6"/>
      <c r="M1415" s="6"/>
      <c r="N1415" s="6"/>
      <c r="O1415" s="6"/>
      <c r="P1415" s="6"/>
      <c r="Q1415" s="6"/>
      <c r="R1415" s="6"/>
      <c r="S1415" s="6"/>
      <c r="T1415" s="6"/>
      <c r="U1415" s="6"/>
      <c r="V1415" s="6"/>
      <c r="W1415" s="6"/>
      <c r="X1415" s="6"/>
      <c r="Y1415" s="6"/>
      <c r="Z1415" s="6"/>
      <c r="AA1415" s="6"/>
      <c r="AB1415" s="6"/>
      <c r="AC1415" s="6"/>
      <c r="AD1415" s="6"/>
      <c r="AE1415" s="6"/>
      <c r="AF1415" s="6"/>
      <c r="AG1415" s="6"/>
      <c r="AH1415" s="6"/>
      <c r="AI1415" s="6"/>
      <c r="AJ1415" s="6"/>
      <c r="AK1415" s="6"/>
      <c r="AL1415" s="6"/>
      <c r="AM1415" s="6"/>
      <c r="AN1415" s="6"/>
      <c r="AO1415" s="6"/>
      <c r="AP1415" s="6"/>
      <c r="AQ1415" s="6"/>
      <c r="AR1415" s="6"/>
      <c r="AS1415" s="6"/>
      <c r="AT1415" s="6"/>
      <c r="AU1415" s="6"/>
      <c r="AV1415" s="6"/>
      <c r="AW1415" s="6"/>
      <c r="AX1415" s="6"/>
      <c r="AY1415" s="6"/>
      <c r="AZ1415" s="6"/>
      <c r="BA1415" s="6"/>
      <c r="BB1415" s="6"/>
      <c r="BC1415" s="6"/>
      <c r="BD1415" s="6"/>
      <c r="BE1415" s="6"/>
      <c r="BF1415" s="6"/>
      <c r="BG1415" s="6"/>
      <c r="BH1415" s="6"/>
      <c r="BI1415" s="6"/>
      <c r="BJ1415" s="6"/>
      <c r="BK1415" s="6"/>
      <c r="BL1415" s="44"/>
      <c r="BM1415" s="44"/>
      <c r="BN1415" s="45"/>
      <c r="BO1415" s="45"/>
      <c r="BP1415" s="7"/>
      <c r="BQ1415" s="7" t="e">
        <f>VLOOKUP(A1415,[1]Sheet15!B:E,3,0)</f>
        <v>#N/A</v>
      </c>
    </row>
    <row r="1416" spans="1:69" ht="15.75" customHeight="1" x14ac:dyDescent="0.25">
      <c r="A1416" s="12"/>
      <c r="B1416" s="15" t="e">
        <f>VLOOKUP(A1416,'[1]Master clients'!F1414:W4961,17,0)</f>
        <v>#N/A</v>
      </c>
      <c r="C1416" s="15" t="e">
        <f>VLOOKUP(A1416,'[1]Master clients'!F1414:P4961,11,0)</f>
        <v>#N/A</v>
      </c>
      <c r="D1416" s="15" t="e">
        <f>VLOOKUP(A1416,'[1]Master clients'!F:M,8,0)</f>
        <v>#N/A</v>
      </c>
      <c r="E1416" s="12"/>
      <c r="F1416" s="6"/>
      <c r="G1416" s="6"/>
      <c r="H1416" s="6"/>
      <c r="I1416" s="43"/>
      <c r="J1416" s="43"/>
      <c r="K1416" s="6"/>
      <c r="L1416" s="6"/>
      <c r="M1416" s="6"/>
      <c r="N1416" s="6"/>
      <c r="O1416" s="6"/>
      <c r="P1416" s="6"/>
      <c r="Q1416" s="6"/>
      <c r="R1416" s="6"/>
      <c r="S1416" s="6"/>
      <c r="T1416" s="6"/>
      <c r="U1416" s="6"/>
      <c r="V1416" s="6"/>
      <c r="W1416" s="6"/>
      <c r="X1416" s="6"/>
      <c r="Y1416" s="6"/>
      <c r="Z1416" s="6"/>
      <c r="AA1416" s="6"/>
      <c r="AB1416" s="6"/>
      <c r="AC1416" s="6"/>
      <c r="AD1416" s="6"/>
      <c r="AE1416" s="6"/>
      <c r="AF1416" s="6"/>
      <c r="AG1416" s="6"/>
      <c r="AH1416" s="6"/>
      <c r="AI1416" s="6"/>
      <c r="AJ1416" s="6"/>
      <c r="AK1416" s="6"/>
      <c r="AL1416" s="6"/>
      <c r="AM1416" s="6"/>
      <c r="AN1416" s="6"/>
      <c r="AO1416" s="6"/>
      <c r="AP1416" s="6"/>
      <c r="AQ1416" s="6"/>
      <c r="AR1416" s="6"/>
      <c r="AS1416" s="6"/>
      <c r="AT1416" s="6"/>
      <c r="AU1416" s="6"/>
      <c r="AV1416" s="6"/>
      <c r="AW1416" s="6"/>
      <c r="AX1416" s="6"/>
      <c r="AY1416" s="6"/>
      <c r="AZ1416" s="6"/>
      <c r="BA1416" s="6"/>
      <c r="BB1416" s="6"/>
      <c r="BC1416" s="6"/>
      <c r="BD1416" s="6"/>
      <c r="BE1416" s="6"/>
      <c r="BF1416" s="6"/>
      <c r="BG1416" s="6"/>
      <c r="BH1416" s="6"/>
      <c r="BI1416" s="6"/>
      <c r="BJ1416" s="6"/>
      <c r="BK1416" s="6"/>
      <c r="BL1416" s="44"/>
      <c r="BM1416" s="44"/>
      <c r="BN1416" s="45"/>
      <c r="BO1416" s="45"/>
      <c r="BP1416" s="7"/>
      <c r="BQ1416" s="7" t="e">
        <f>VLOOKUP(A1416,[1]Sheet15!B:E,3,0)</f>
        <v>#N/A</v>
      </c>
    </row>
    <row r="1417" spans="1:69" ht="15.75" customHeight="1" x14ac:dyDescent="0.25">
      <c r="A1417" s="12"/>
      <c r="B1417" s="15" t="e">
        <f>VLOOKUP(A1417,'[1]Master clients'!F1415:W4962,17,0)</f>
        <v>#N/A</v>
      </c>
      <c r="C1417" s="15" t="e">
        <f>VLOOKUP(A1417,'[1]Master clients'!F1415:P4962,11,0)</f>
        <v>#N/A</v>
      </c>
      <c r="D1417" s="15" t="e">
        <f>VLOOKUP(A1417,'[1]Master clients'!F:M,8,0)</f>
        <v>#N/A</v>
      </c>
      <c r="E1417" s="12"/>
      <c r="F1417" s="6"/>
      <c r="G1417" s="6"/>
      <c r="H1417" s="6"/>
      <c r="I1417" s="43"/>
      <c r="J1417" s="43"/>
      <c r="K1417" s="6"/>
      <c r="L1417" s="6"/>
      <c r="M1417" s="6"/>
      <c r="N1417" s="6"/>
      <c r="O1417" s="6"/>
      <c r="P1417" s="6"/>
      <c r="Q1417" s="6"/>
      <c r="R1417" s="6"/>
      <c r="S1417" s="6"/>
      <c r="T1417" s="6"/>
      <c r="U1417" s="6"/>
      <c r="V1417" s="6"/>
      <c r="W1417" s="6"/>
      <c r="X1417" s="6"/>
      <c r="Y1417" s="6"/>
      <c r="Z1417" s="6"/>
      <c r="AA1417" s="6"/>
      <c r="AB1417" s="6"/>
      <c r="AC1417" s="6"/>
      <c r="AD1417" s="6"/>
      <c r="AE1417" s="6"/>
      <c r="AF1417" s="6"/>
      <c r="AG1417" s="6"/>
      <c r="AH1417" s="6"/>
      <c r="AI1417" s="6"/>
      <c r="AJ1417" s="6"/>
      <c r="AK1417" s="6"/>
      <c r="AL1417" s="6"/>
      <c r="AM1417" s="6"/>
      <c r="AN1417" s="6"/>
      <c r="AO1417" s="6"/>
      <c r="AP1417" s="6"/>
      <c r="AQ1417" s="6"/>
      <c r="AR1417" s="6"/>
      <c r="AS1417" s="6"/>
      <c r="AT1417" s="6"/>
      <c r="AU1417" s="6"/>
      <c r="AV1417" s="6"/>
      <c r="AW1417" s="6"/>
      <c r="AX1417" s="6"/>
      <c r="AY1417" s="6"/>
      <c r="AZ1417" s="6"/>
      <c r="BA1417" s="6"/>
      <c r="BB1417" s="6"/>
      <c r="BC1417" s="6"/>
      <c r="BD1417" s="6"/>
      <c r="BE1417" s="6"/>
      <c r="BF1417" s="6"/>
      <c r="BG1417" s="6"/>
      <c r="BH1417" s="6"/>
      <c r="BI1417" s="6"/>
      <c r="BJ1417" s="6"/>
      <c r="BK1417" s="6"/>
      <c r="BL1417" s="44"/>
      <c r="BM1417" s="44"/>
      <c r="BN1417" s="45"/>
      <c r="BO1417" s="45"/>
      <c r="BP1417" s="7"/>
      <c r="BQ1417" s="7" t="e">
        <f>VLOOKUP(A1417,[1]Sheet15!B:E,3,0)</f>
        <v>#N/A</v>
      </c>
    </row>
    <row r="1418" spans="1:69" ht="15.75" customHeight="1" x14ac:dyDescent="0.25">
      <c r="A1418" s="12"/>
      <c r="B1418" s="15" t="e">
        <f>VLOOKUP(A1418,'[1]Master clients'!F1416:W4963,17,0)</f>
        <v>#N/A</v>
      </c>
      <c r="C1418" s="15" t="e">
        <f>VLOOKUP(A1418,'[1]Master clients'!F1416:P4963,11,0)</f>
        <v>#N/A</v>
      </c>
      <c r="D1418" s="15" t="e">
        <f>VLOOKUP(A1418,'[1]Master clients'!F:M,8,0)</f>
        <v>#N/A</v>
      </c>
      <c r="E1418" s="12"/>
      <c r="F1418" s="6"/>
      <c r="G1418" s="6"/>
      <c r="H1418" s="6"/>
      <c r="I1418" s="43"/>
      <c r="J1418" s="43"/>
      <c r="K1418" s="6"/>
      <c r="L1418" s="6"/>
      <c r="M1418" s="6"/>
      <c r="N1418" s="6"/>
      <c r="O1418" s="6"/>
      <c r="P1418" s="6"/>
      <c r="Q1418" s="6"/>
      <c r="R1418" s="6"/>
      <c r="S1418" s="6"/>
      <c r="T1418" s="6"/>
      <c r="U1418" s="6"/>
      <c r="V1418" s="6"/>
      <c r="W1418" s="6"/>
      <c r="X1418" s="6"/>
      <c r="Y1418" s="6"/>
      <c r="Z1418" s="6"/>
      <c r="AA1418" s="6"/>
      <c r="AB1418" s="6"/>
      <c r="AC1418" s="6"/>
      <c r="AD1418" s="6"/>
      <c r="AE1418" s="6"/>
      <c r="AF1418" s="6"/>
      <c r="AG1418" s="6"/>
      <c r="AH1418" s="6"/>
      <c r="AI1418" s="6"/>
      <c r="AJ1418" s="6"/>
      <c r="AK1418" s="6"/>
      <c r="AL1418" s="6"/>
      <c r="AM1418" s="6"/>
      <c r="AN1418" s="6"/>
      <c r="AO1418" s="6"/>
      <c r="AP1418" s="6"/>
      <c r="AQ1418" s="6"/>
      <c r="AR1418" s="6"/>
      <c r="AS1418" s="6"/>
      <c r="AT1418" s="6"/>
      <c r="AU1418" s="6"/>
      <c r="AV1418" s="6"/>
      <c r="AW1418" s="6"/>
      <c r="AX1418" s="6"/>
      <c r="AY1418" s="6"/>
      <c r="AZ1418" s="6"/>
      <c r="BA1418" s="6"/>
      <c r="BB1418" s="6"/>
      <c r="BC1418" s="6"/>
      <c r="BD1418" s="6"/>
      <c r="BE1418" s="6"/>
      <c r="BF1418" s="6"/>
      <c r="BG1418" s="6"/>
      <c r="BH1418" s="6"/>
      <c r="BI1418" s="6"/>
      <c r="BJ1418" s="6"/>
      <c r="BK1418" s="6"/>
      <c r="BL1418" s="44"/>
      <c r="BM1418" s="44"/>
      <c r="BN1418" s="45"/>
      <c r="BO1418" s="45"/>
      <c r="BP1418" s="7"/>
      <c r="BQ1418" s="7" t="e">
        <f>VLOOKUP(A1418,[1]Sheet15!B:E,3,0)</f>
        <v>#N/A</v>
      </c>
    </row>
    <row r="1419" spans="1:69" ht="15.75" customHeight="1" x14ac:dyDescent="0.25">
      <c r="A1419" s="12"/>
      <c r="B1419" s="15" t="e">
        <f>VLOOKUP(A1419,'[1]Master clients'!F1417:W4964,17,0)</f>
        <v>#N/A</v>
      </c>
      <c r="C1419" s="15" t="e">
        <f>VLOOKUP(A1419,'[1]Master clients'!F1417:P4964,11,0)</f>
        <v>#N/A</v>
      </c>
      <c r="D1419" s="15" t="e">
        <f>VLOOKUP(A1419,'[1]Master clients'!F:M,8,0)</f>
        <v>#N/A</v>
      </c>
      <c r="E1419" s="12"/>
      <c r="F1419" s="6"/>
      <c r="G1419" s="6"/>
      <c r="H1419" s="6"/>
      <c r="I1419" s="43"/>
      <c r="J1419" s="43"/>
      <c r="K1419" s="6"/>
      <c r="L1419" s="6"/>
      <c r="M1419" s="6"/>
      <c r="N1419" s="6"/>
      <c r="O1419" s="6"/>
      <c r="P1419" s="6"/>
      <c r="Q1419" s="6"/>
      <c r="R1419" s="6"/>
      <c r="S1419" s="6"/>
      <c r="T1419" s="6"/>
      <c r="U1419" s="6"/>
      <c r="V1419" s="6"/>
      <c r="W1419" s="6"/>
      <c r="X1419" s="6"/>
      <c r="Y1419" s="6"/>
      <c r="Z1419" s="6"/>
      <c r="AA1419" s="6"/>
      <c r="AB1419" s="6"/>
      <c r="AC1419" s="6"/>
      <c r="AD1419" s="6"/>
      <c r="AE1419" s="6"/>
      <c r="AF1419" s="6"/>
      <c r="AG1419" s="6"/>
      <c r="AH1419" s="6"/>
      <c r="AI1419" s="6"/>
      <c r="AJ1419" s="6"/>
      <c r="AK1419" s="6"/>
      <c r="AL1419" s="6"/>
      <c r="AM1419" s="6"/>
      <c r="AN1419" s="6"/>
      <c r="AO1419" s="6"/>
      <c r="AP1419" s="6"/>
      <c r="AQ1419" s="6"/>
      <c r="AR1419" s="6"/>
      <c r="AS1419" s="6"/>
      <c r="AT1419" s="6"/>
      <c r="AU1419" s="6"/>
      <c r="AV1419" s="6"/>
      <c r="AW1419" s="6"/>
      <c r="AX1419" s="6"/>
      <c r="AY1419" s="6"/>
      <c r="AZ1419" s="6"/>
      <c r="BA1419" s="6"/>
      <c r="BB1419" s="6"/>
      <c r="BC1419" s="6"/>
      <c r="BD1419" s="6"/>
      <c r="BE1419" s="6"/>
      <c r="BF1419" s="6"/>
      <c r="BG1419" s="6"/>
      <c r="BH1419" s="6"/>
      <c r="BI1419" s="6"/>
      <c r="BJ1419" s="6"/>
      <c r="BK1419" s="6"/>
      <c r="BL1419" s="44"/>
      <c r="BM1419" s="44"/>
      <c r="BN1419" s="45"/>
      <c r="BO1419" s="45"/>
      <c r="BP1419" s="7"/>
      <c r="BQ1419" s="7" t="e">
        <f>VLOOKUP(A1419,[1]Sheet15!B:E,3,0)</f>
        <v>#N/A</v>
      </c>
    </row>
    <row r="1420" spans="1:69" ht="15.75" customHeight="1" x14ac:dyDescent="0.25">
      <c r="A1420" s="12"/>
      <c r="B1420" s="15" t="e">
        <f>VLOOKUP(A1420,'[1]Master clients'!F1418:W4965,17,0)</f>
        <v>#N/A</v>
      </c>
      <c r="C1420" s="15" t="e">
        <f>VLOOKUP(A1420,'[1]Master clients'!F1418:P4965,11,0)</f>
        <v>#N/A</v>
      </c>
      <c r="D1420" s="15" t="e">
        <f>VLOOKUP(A1420,'[1]Master clients'!F:M,8,0)</f>
        <v>#N/A</v>
      </c>
      <c r="E1420" s="12"/>
      <c r="F1420" s="6"/>
      <c r="G1420" s="6"/>
      <c r="H1420" s="6"/>
      <c r="I1420" s="43"/>
      <c r="J1420" s="43"/>
      <c r="K1420" s="6"/>
      <c r="L1420" s="6"/>
      <c r="M1420" s="6"/>
      <c r="N1420" s="6"/>
      <c r="O1420" s="6"/>
      <c r="P1420" s="6"/>
      <c r="Q1420" s="6"/>
      <c r="R1420" s="6"/>
      <c r="S1420" s="6"/>
      <c r="T1420" s="6"/>
      <c r="U1420" s="6"/>
      <c r="V1420" s="6"/>
      <c r="W1420" s="6"/>
      <c r="X1420" s="6"/>
      <c r="Y1420" s="6"/>
      <c r="Z1420" s="6"/>
      <c r="AA1420" s="6"/>
      <c r="AB1420" s="6"/>
      <c r="AC1420" s="6"/>
      <c r="AD1420" s="6"/>
      <c r="AE1420" s="6"/>
      <c r="AF1420" s="6"/>
      <c r="AG1420" s="6"/>
      <c r="AH1420" s="6"/>
      <c r="AI1420" s="6"/>
      <c r="AJ1420" s="6"/>
      <c r="AK1420" s="6"/>
      <c r="AL1420" s="6"/>
      <c r="AM1420" s="6"/>
      <c r="AN1420" s="6"/>
      <c r="AO1420" s="6"/>
      <c r="AP1420" s="6"/>
      <c r="AQ1420" s="6"/>
      <c r="AR1420" s="6"/>
      <c r="AS1420" s="6"/>
      <c r="AT1420" s="6"/>
      <c r="AU1420" s="6"/>
      <c r="AV1420" s="6"/>
      <c r="AW1420" s="6"/>
      <c r="AX1420" s="6"/>
      <c r="AY1420" s="6"/>
      <c r="AZ1420" s="6"/>
      <c r="BA1420" s="6"/>
      <c r="BB1420" s="6"/>
      <c r="BC1420" s="6"/>
      <c r="BD1420" s="6"/>
      <c r="BE1420" s="6"/>
      <c r="BF1420" s="6"/>
      <c r="BG1420" s="6"/>
      <c r="BH1420" s="6"/>
      <c r="BI1420" s="6"/>
      <c r="BJ1420" s="6"/>
      <c r="BK1420" s="6"/>
      <c r="BL1420" s="44"/>
      <c r="BM1420" s="44"/>
      <c r="BN1420" s="45"/>
      <c r="BO1420" s="45"/>
      <c r="BP1420" s="7"/>
      <c r="BQ1420" s="7" t="e">
        <f>VLOOKUP(A1420,[1]Sheet15!B:E,3,0)</f>
        <v>#N/A</v>
      </c>
    </row>
    <row r="1421" spans="1:69" ht="15.75" customHeight="1" x14ac:dyDescent="0.25">
      <c r="A1421" s="12"/>
      <c r="B1421" s="15" t="e">
        <f>VLOOKUP(A1421,'[1]Master clients'!F1419:W4966,17,0)</f>
        <v>#N/A</v>
      </c>
      <c r="C1421" s="15" t="e">
        <f>VLOOKUP(A1421,'[1]Master clients'!F1419:P4966,11,0)</f>
        <v>#N/A</v>
      </c>
      <c r="D1421" s="15" t="e">
        <f>VLOOKUP(A1421,'[1]Master clients'!F:M,8,0)</f>
        <v>#N/A</v>
      </c>
      <c r="E1421" s="12"/>
      <c r="F1421" s="6"/>
      <c r="G1421" s="6"/>
      <c r="H1421" s="6"/>
      <c r="I1421" s="43"/>
      <c r="J1421" s="43"/>
      <c r="K1421" s="6"/>
      <c r="L1421" s="6"/>
      <c r="M1421" s="6"/>
      <c r="N1421" s="6"/>
      <c r="O1421" s="6"/>
      <c r="P1421" s="6"/>
      <c r="Q1421" s="6"/>
      <c r="R1421" s="6"/>
      <c r="S1421" s="6"/>
      <c r="T1421" s="6"/>
      <c r="U1421" s="6"/>
      <c r="V1421" s="6"/>
      <c r="W1421" s="6"/>
      <c r="X1421" s="6"/>
      <c r="Y1421" s="6"/>
      <c r="Z1421" s="6"/>
      <c r="AA1421" s="6"/>
      <c r="AB1421" s="6"/>
      <c r="AC1421" s="6"/>
      <c r="AD1421" s="6"/>
      <c r="AE1421" s="6"/>
      <c r="AF1421" s="6"/>
      <c r="AG1421" s="6"/>
      <c r="AH1421" s="6"/>
      <c r="AI1421" s="6"/>
      <c r="AJ1421" s="6"/>
      <c r="AK1421" s="6"/>
      <c r="AL1421" s="6"/>
      <c r="AM1421" s="6"/>
      <c r="AN1421" s="6"/>
      <c r="AO1421" s="6"/>
      <c r="AP1421" s="6"/>
      <c r="AQ1421" s="6"/>
      <c r="AR1421" s="6"/>
      <c r="AS1421" s="6"/>
      <c r="AT1421" s="6"/>
      <c r="AU1421" s="6"/>
      <c r="AV1421" s="6"/>
      <c r="AW1421" s="6"/>
      <c r="AX1421" s="6"/>
      <c r="AY1421" s="6"/>
      <c r="AZ1421" s="6"/>
      <c r="BA1421" s="6"/>
      <c r="BB1421" s="6"/>
      <c r="BC1421" s="6"/>
      <c r="BD1421" s="6"/>
      <c r="BE1421" s="6"/>
      <c r="BF1421" s="6"/>
      <c r="BG1421" s="6"/>
      <c r="BH1421" s="6"/>
      <c r="BI1421" s="6"/>
      <c r="BJ1421" s="6"/>
      <c r="BK1421" s="6"/>
      <c r="BL1421" s="44"/>
      <c r="BM1421" s="44"/>
      <c r="BN1421" s="45"/>
      <c r="BO1421" s="45"/>
      <c r="BP1421" s="7"/>
      <c r="BQ1421" s="7" t="e">
        <f>VLOOKUP(A1421,[1]Sheet15!B:E,3,0)</f>
        <v>#N/A</v>
      </c>
    </row>
    <row r="1422" spans="1:69" ht="15.75" customHeight="1" x14ac:dyDescent="0.25">
      <c r="A1422" s="12"/>
      <c r="B1422" s="15" t="e">
        <f>VLOOKUP(A1422,'[1]Master clients'!F1420:W4967,17,0)</f>
        <v>#N/A</v>
      </c>
      <c r="C1422" s="15" t="e">
        <f>VLOOKUP(A1422,'[1]Master clients'!F1420:P4967,11,0)</f>
        <v>#N/A</v>
      </c>
      <c r="D1422" s="15" t="e">
        <f>VLOOKUP(A1422,'[1]Master clients'!F:M,8,0)</f>
        <v>#N/A</v>
      </c>
      <c r="E1422" s="12"/>
      <c r="F1422" s="6"/>
      <c r="G1422" s="6"/>
      <c r="H1422" s="6"/>
      <c r="I1422" s="43"/>
      <c r="J1422" s="43"/>
      <c r="K1422" s="6"/>
      <c r="L1422" s="6"/>
      <c r="M1422" s="6"/>
      <c r="N1422" s="6"/>
      <c r="O1422" s="6"/>
      <c r="P1422" s="6"/>
      <c r="Q1422" s="6"/>
      <c r="R1422" s="6"/>
      <c r="S1422" s="6"/>
      <c r="T1422" s="6"/>
      <c r="U1422" s="6"/>
      <c r="V1422" s="6"/>
      <c r="W1422" s="6"/>
      <c r="X1422" s="6"/>
      <c r="Y1422" s="6"/>
      <c r="Z1422" s="6"/>
      <c r="AA1422" s="6"/>
      <c r="AB1422" s="6"/>
      <c r="AC1422" s="6"/>
      <c r="AD1422" s="6"/>
      <c r="AE1422" s="6"/>
      <c r="AF1422" s="6"/>
      <c r="AG1422" s="6"/>
      <c r="AH1422" s="6"/>
      <c r="AI1422" s="6"/>
      <c r="AJ1422" s="6"/>
      <c r="AK1422" s="6"/>
      <c r="AL1422" s="6"/>
      <c r="AM1422" s="6"/>
      <c r="AN1422" s="6"/>
      <c r="AO1422" s="6"/>
      <c r="AP1422" s="6"/>
      <c r="AQ1422" s="6"/>
      <c r="AR1422" s="6"/>
      <c r="AS1422" s="6"/>
      <c r="AT1422" s="6"/>
      <c r="AU1422" s="6"/>
      <c r="AV1422" s="6"/>
      <c r="AW1422" s="6"/>
      <c r="AX1422" s="6"/>
      <c r="AY1422" s="6"/>
      <c r="AZ1422" s="6"/>
      <c r="BA1422" s="6"/>
      <c r="BB1422" s="6"/>
      <c r="BC1422" s="6"/>
      <c r="BD1422" s="6"/>
      <c r="BE1422" s="6"/>
      <c r="BF1422" s="6"/>
      <c r="BG1422" s="6"/>
      <c r="BH1422" s="6"/>
      <c r="BI1422" s="6"/>
      <c r="BJ1422" s="6"/>
      <c r="BK1422" s="6"/>
      <c r="BL1422" s="44"/>
      <c r="BM1422" s="44"/>
      <c r="BN1422" s="45"/>
      <c r="BO1422" s="45"/>
      <c r="BP1422" s="7"/>
      <c r="BQ1422" s="7" t="e">
        <f>VLOOKUP(A1422,[1]Sheet15!B:E,3,0)</f>
        <v>#N/A</v>
      </c>
    </row>
    <row r="1423" spans="1:69" ht="15.75" customHeight="1" x14ac:dyDescent="0.25">
      <c r="A1423" s="12"/>
      <c r="B1423" s="15" t="e">
        <f>VLOOKUP(A1423,'[1]Master clients'!F1421:W4968,17,0)</f>
        <v>#N/A</v>
      </c>
      <c r="C1423" s="15" t="e">
        <f>VLOOKUP(A1423,'[1]Master clients'!F1421:P4968,11,0)</f>
        <v>#N/A</v>
      </c>
      <c r="D1423" s="15" t="e">
        <f>VLOOKUP(A1423,'[1]Master clients'!F:M,8,0)</f>
        <v>#N/A</v>
      </c>
      <c r="E1423" s="12"/>
      <c r="F1423" s="6"/>
      <c r="G1423" s="6"/>
      <c r="H1423" s="6"/>
      <c r="I1423" s="43"/>
      <c r="J1423" s="43"/>
      <c r="K1423" s="6"/>
      <c r="L1423" s="6"/>
      <c r="M1423" s="6"/>
      <c r="N1423" s="6"/>
      <c r="O1423" s="6"/>
      <c r="P1423" s="6"/>
      <c r="Q1423" s="6"/>
      <c r="R1423" s="6"/>
      <c r="S1423" s="6"/>
      <c r="T1423" s="6"/>
      <c r="U1423" s="6"/>
      <c r="V1423" s="6"/>
      <c r="W1423" s="6"/>
      <c r="X1423" s="6"/>
      <c r="Y1423" s="6"/>
      <c r="Z1423" s="6"/>
      <c r="AA1423" s="6"/>
      <c r="AB1423" s="6"/>
      <c r="AC1423" s="6"/>
      <c r="AD1423" s="6"/>
      <c r="AE1423" s="6"/>
      <c r="AF1423" s="6"/>
      <c r="AG1423" s="6"/>
      <c r="AH1423" s="6"/>
      <c r="AI1423" s="6"/>
      <c r="AJ1423" s="6"/>
      <c r="AK1423" s="6"/>
      <c r="AL1423" s="6"/>
      <c r="AM1423" s="6"/>
      <c r="AN1423" s="6"/>
      <c r="AO1423" s="6"/>
      <c r="AP1423" s="6"/>
      <c r="AQ1423" s="6"/>
      <c r="AR1423" s="6"/>
      <c r="AS1423" s="6"/>
      <c r="AT1423" s="6"/>
      <c r="AU1423" s="6"/>
      <c r="AV1423" s="6"/>
      <c r="AW1423" s="6"/>
      <c r="AX1423" s="6"/>
      <c r="AY1423" s="6"/>
      <c r="AZ1423" s="6"/>
      <c r="BA1423" s="6"/>
      <c r="BB1423" s="6"/>
      <c r="BC1423" s="6"/>
      <c r="BD1423" s="6"/>
      <c r="BE1423" s="6"/>
      <c r="BF1423" s="6"/>
      <c r="BG1423" s="6"/>
      <c r="BH1423" s="6"/>
      <c r="BI1423" s="6"/>
      <c r="BJ1423" s="6"/>
      <c r="BK1423" s="6"/>
      <c r="BL1423" s="44"/>
      <c r="BM1423" s="44"/>
      <c r="BN1423" s="45"/>
      <c r="BO1423" s="45"/>
      <c r="BP1423" s="7"/>
      <c r="BQ1423" s="7" t="e">
        <f>VLOOKUP(A1423,[1]Sheet15!B:E,3,0)</f>
        <v>#N/A</v>
      </c>
    </row>
    <row r="1424" spans="1:69" ht="15.75" customHeight="1" x14ac:dyDescent="0.25">
      <c r="A1424" s="12"/>
      <c r="B1424" s="15" t="e">
        <f>VLOOKUP(A1424,'[1]Master clients'!F1422:W4969,17,0)</f>
        <v>#N/A</v>
      </c>
      <c r="C1424" s="15" t="e">
        <f>VLOOKUP(A1424,'[1]Master clients'!F1422:P4969,11,0)</f>
        <v>#N/A</v>
      </c>
      <c r="D1424" s="15" t="e">
        <f>VLOOKUP(A1424,'[1]Master clients'!F:M,8,0)</f>
        <v>#N/A</v>
      </c>
      <c r="E1424" s="12"/>
      <c r="F1424" s="6"/>
      <c r="G1424" s="6"/>
      <c r="H1424" s="6"/>
      <c r="I1424" s="43"/>
      <c r="J1424" s="43"/>
      <c r="K1424" s="6"/>
      <c r="L1424" s="6"/>
      <c r="M1424" s="6"/>
      <c r="N1424" s="6"/>
      <c r="O1424" s="6"/>
      <c r="P1424" s="6"/>
      <c r="Q1424" s="6"/>
      <c r="R1424" s="6"/>
      <c r="S1424" s="6"/>
      <c r="T1424" s="6"/>
      <c r="U1424" s="6"/>
      <c r="V1424" s="6"/>
      <c r="W1424" s="6"/>
      <c r="X1424" s="6"/>
      <c r="Y1424" s="6"/>
      <c r="Z1424" s="6"/>
      <c r="AA1424" s="6"/>
      <c r="AB1424" s="6"/>
      <c r="AC1424" s="6"/>
      <c r="AD1424" s="6"/>
      <c r="AE1424" s="6"/>
      <c r="AF1424" s="6"/>
      <c r="AG1424" s="6"/>
      <c r="AH1424" s="6"/>
      <c r="AI1424" s="6"/>
      <c r="AJ1424" s="6"/>
      <c r="AK1424" s="6"/>
      <c r="AL1424" s="6"/>
      <c r="AM1424" s="6"/>
      <c r="AN1424" s="6"/>
      <c r="AO1424" s="6"/>
      <c r="AP1424" s="6"/>
      <c r="AQ1424" s="6"/>
      <c r="AR1424" s="6"/>
      <c r="AS1424" s="6"/>
      <c r="AT1424" s="6"/>
      <c r="AU1424" s="6"/>
      <c r="AV1424" s="6"/>
      <c r="AW1424" s="6"/>
      <c r="AX1424" s="6"/>
      <c r="AY1424" s="6"/>
      <c r="AZ1424" s="6"/>
      <c r="BA1424" s="6"/>
      <c r="BB1424" s="6"/>
      <c r="BC1424" s="6"/>
      <c r="BD1424" s="6"/>
      <c r="BE1424" s="6"/>
      <c r="BF1424" s="6"/>
      <c r="BG1424" s="6"/>
      <c r="BH1424" s="6"/>
      <c r="BI1424" s="6"/>
      <c r="BJ1424" s="6"/>
      <c r="BK1424" s="6"/>
      <c r="BL1424" s="44"/>
      <c r="BM1424" s="44"/>
      <c r="BN1424" s="45"/>
      <c r="BO1424" s="45"/>
      <c r="BP1424" s="7"/>
      <c r="BQ1424" s="7" t="e">
        <f>VLOOKUP(A1424,[1]Sheet15!B:E,3,0)</f>
        <v>#N/A</v>
      </c>
    </row>
    <row r="1425" spans="1:69" ht="15.75" customHeight="1" x14ac:dyDescent="0.25">
      <c r="A1425" s="12"/>
      <c r="B1425" s="15" t="e">
        <f>VLOOKUP(A1425,'[1]Master clients'!F1423:W4970,17,0)</f>
        <v>#N/A</v>
      </c>
      <c r="C1425" s="15" t="e">
        <f>VLOOKUP(A1425,'[1]Master clients'!F1423:P4970,11,0)</f>
        <v>#N/A</v>
      </c>
      <c r="D1425" s="15" t="e">
        <f>VLOOKUP(A1425,'[1]Master clients'!F:M,8,0)</f>
        <v>#N/A</v>
      </c>
      <c r="E1425" s="12"/>
      <c r="F1425" s="6"/>
      <c r="G1425" s="6"/>
      <c r="H1425" s="6"/>
      <c r="I1425" s="43"/>
      <c r="J1425" s="43"/>
      <c r="K1425" s="6"/>
      <c r="L1425" s="6"/>
      <c r="M1425" s="6"/>
      <c r="N1425" s="6"/>
      <c r="O1425" s="6"/>
      <c r="P1425" s="6"/>
      <c r="Q1425" s="6"/>
      <c r="R1425" s="6"/>
      <c r="S1425" s="6"/>
      <c r="T1425" s="6"/>
      <c r="U1425" s="6"/>
      <c r="V1425" s="6"/>
      <c r="W1425" s="6"/>
      <c r="X1425" s="6"/>
      <c r="Y1425" s="6"/>
      <c r="Z1425" s="6"/>
      <c r="AA1425" s="6"/>
      <c r="AB1425" s="6"/>
      <c r="AC1425" s="6"/>
      <c r="AD1425" s="6"/>
      <c r="AE1425" s="6"/>
      <c r="AF1425" s="6"/>
      <c r="AG1425" s="6"/>
      <c r="AH1425" s="6"/>
      <c r="AI1425" s="6"/>
      <c r="AJ1425" s="6"/>
      <c r="AK1425" s="6"/>
      <c r="AL1425" s="6"/>
      <c r="AM1425" s="6"/>
      <c r="AN1425" s="6"/>
      <c r="AO1425" s="6"/>
      <c r="AP1425" s="6"/>
      <c r="AQ1425" s="6"/>
      <c r="AR1425" s="6"/>
      <c r="AS1425" s="6"/>
      <c r="AT1425" s="6"/>
      <c r="AU1425" s="6"/>
      <c r="AV1425" s="6"/>
      <c r="AW1425" s="6"/>
      <c r="AX1425" s="6"/>
      <c r="AY1425" s="6"/>
      <c r="AZ1425" s="6"/>
      <c r="BA1425" s="6"/>
      <c r="BB1425" s="6"/>
      <c r="BC1425" s="6"/>
      <c r="BD1425" s="6"/>
      <c r="BE1425" s="6"/>
      <c r="BF1425" s="6"/>
      <c r="BG1425" s="6"/>
      <c r="BH1425" s="6"/>
      <c r="BI1425" s="6"/>
      <c r="BJ1425" s="6"/>
      <c r="BK1425" s="6"/>
      <c r="BL1425" s="44"/>
      <c r="BM1425" s="44"/>
      <c r="BN1425" s="45"/>
      <c r="BO1425" s="45"/>
      <c r="BP1425" s="7"/>
      <c r="BQ1425" s="7" t="e">
        <f>VLOOKUP(A1425,[1]Sheet15!B:E,3,0)</f>
        <v>#N/A</v>
      </c>
    </row>
    <row r="1426" spans="1:69" ht="15.75" customHeight="1" x14ac:dyDescent="0.25">
      <c r="A1426" s="12"/>
      <c r="B1426" s="15" t="e">
        <f>VLOOKUP(A1426,'[1]Master clients'!F1424:W4971,17,0)</f>
        <v>#N/A</v>
      </c>
      <c r="C1426" s="15" t="e">
        <f>VLOOKUP(A1426,'[1]Master clients'!F1424:P4971,11,0)</f>
        <v>#N/A</v>
      </c>
      <c r="D1426" s="15" t="e">
        <f>VLOOKUP(A1426,'[1]Master clients'!F:M,8,0)</f>
        <v>#N/A</v>
      </c>
      <c r="E1426" s="12"/>
      <c r="F1426" s="6"/>
      <c r="G1426" s="6"/>
      <c r="H1426" s="6"/>
      <c r="I1426" s="43"/>
      <c r="J1426" s="43"/>
      <c r="K1426" s="6"/>
      <c r="L1426" s="6"/>
      <c r="M1426" s="6"/>
      <c r="N1426" s="6"/>
      <c r="O1426" s="6"/>
      <c r="P1426" s="6"/>
      <c r="Q1426" s="6"/>
      <c r="R1426" s="6"/>
      <c r="S1426" s="6"/>
      <c r="T1426" s="6"/>
      <c r="U1426" s="6"/>
      <c r="V1426" s="6"/>
      <c r="W1426" s="6"/>
      <c r="X1426" s="6"/>
      <c r="Y1426" s="6"/>
      <c r="Z1426" s="6"/>
      <c r="AA1426" s="6"/>
      <c r="AB1426" s="6"/>
      <c r="AC1426" s="6"/>
      <c r="AD1426" s="6"/>
      <c r="AE1426" s="6"/>
      <c r="AF1426" s="6"/>
      <c r="AG1426" s="6"/>
      <c r="AH1426" s="6"/>
      <c r="AI1426" s="6"/>
      <c r="AJ1426" s="6"/>
      <c r="AK1426" s="6"/>
      <c r="AL1426" s="6"/>
      <c r="AM1426" s="6"/>
      <c r="AN1426" s="6"/>
      <c r="AO1426" s="6"/>
      <c r="AP1426" s="6"/>
      <c r="AQ1426" s="6"/>
      <c r="AR1426" s="6"/>
      <c r="AS1426" s="6"/>
      <c r="AT1426" s="6"/>
      <c r="AU1426" s="6"/>
      <c r="AV1426" s="6"/>
      <c r="AW1426" s="6"/>
      <c r="AX1426" s="6"/>
      <c r="AY1426" s="6"/>
      <c r="AZ1426" s="6"/>
      <c r="BA1426" s="6"/>
      <c r="BB1426" s="6"/>
      <c r="BC1426" s="6"/>
      <c r="BD1426" s="6"/>
      <c r="BE1426" s="6"/>
      <c r="BF1426" s="6"/>
      <c r="BG1426" s="6"/>
      <c r="BH1426" s="6"/>
      <c r="BI1426" s="6"/>
      <c r="BJ1426" s="6"/>
      <c r="BK1426" s="6"/>
      <c r="BL1426" s="44"/>
      <c r="BM1426" s="44"/>
      <c r="BN1426" s="45"/>
      <c r="BO1426" s="45"/>
      <c r="BP1426" s="7"/>
      <c r="BQ1426" s="7" t="e">
        <f>VLOOKUP(A1426,[1]Sheet15!B:E,3,0)</f>
        <v>#N/A</v>
      </c>
    </row>
    <row r="1427" spans="1:69" ht="15.75" customHeight="1" x14ac:dyDescent="0.25">
      <c r="A1427" s="12"/>
      <c r="B1427" s="15" t="e">
        <f>VLOOKUP(A1427,'[1]Master clients'!F1425:W4972,17,0)</f>
        <v>#N/A</v>
      </c>
      <c r="C1427" s="15" t="e">
        <f>VLOOKUP(A1427,'[1]Master clients'!F1425:P4972,11,0)</f>
        <v>#N/A</v>
      </c>
      <c r="D1427" s="15" t="e">
        <f>VLOOKUP(A1427,'[1]Master clients'!F:M,8,0)</f>
        <v>#N/A</v>
      </c>
      <c r="E1427" s="12"/>
      <c r="F1427" s="6"/>
      <c r="G1427" s="6"/>
      <c r="H1427" s="6"/>
      <c r="I1427" s="43"/>
      <c r="J1427" s="43"/>
      <c r="K1427" s="6"/>
      <c r="L1427" s="6"/>
      <c r="M1427" s="6"/>
      <c r="N1427" s="6"/>
      <c r="O1427" s="6"/>
      <c r="P1427" s="6"/>
      <c r="Q1427" s="6"/>
      <c r="R1427" s="6"/>
      <c r="S1427" s="6"/>
      <c r="T1427" s="6"/>
      <c r="U1427" s="6"/>
      <c r="V1427" s="6"/>
      <c r="W1427" s="6"/>
      <c r="X1427" s="6"/>
      <c r="Y1427" s="6"/>
      <c r="Z1427" s="6"/>
      <c r="AA1427" s="6"/>
      <c r="AB1427" s="6"/>
      <c r="AC1427" s="6"/>
      <c r="AD1427" s="6"/>
      <c r="AE1427" s="6"/>
      <c r="AF1427" s="6"/>
      <c r="AG1427" s="6"/>
      <c r="AH1427" s="6"/>
      <c r="AI1427" s="6"/>
      <c r="AJ1427" s="6"/>
      <c r="AK1427" s="6"/>
      <c r="AL1427" s="6"/>
      <c r="AM1427" s="6"/>
      <c r="AN1427" s="6"/>
      <c r="AO1427" s="6"/>
      <c r="AP1427" s="6"/>
      <c r="AQ1427" s="6"/>
      <c r="AR1427" s="6"/>
      <c r="AS1427" s="6"/>
      <c r="AT1427" s="6"/>
      <c r="AU1427" s="6"/>
      <c r="AV1427" s="6"/>
      <c r="AW1427" s="6"/>
      <c r="AX1427" s="6"/>
      <c r="AY1427" s="6"/>
      <c r="AZ1427" s="6"/>
      <c r="BA1427" s="6"/>
      <c r="BB1427" s="6"/>
      <c r="BC1427" s="6"/>
      <c r="BD1427" s="6"/>
      <c r="BE1427" s="6"/>
      <c r="BF1427" s="6"/>
      <c r="BG1427" s="6"/>
      <c r="BH1427" s="6"/>
      <c r="BI1427" s="6"/>
      <c r="BJ1427" s="6"/>
      <c r="BK1427" s="6"/>
      <c r="BL1427" s="44"/>
      <c r="BM1427" s="44"/>
      <c r="BN1427" s="45"/>
      <c r="BO1427" s="45"/>
      <c r="BP1427" s="7"/>
      <c r="BQ1427" s="7" t="e">
        <f>VLOOKUP(A1427,[1]Sheet15!B:E,3,0)</f>
        <v>#N/A</v>
      </c>
    </row>
    <row r="1428" spans="1:69" ht="15.75" customHeight="1" x14ac:dyDescent="0.25">
      <c r="A1428" s="12"/>
      <c r="B1428" s="15" t="e">
        <f>VLOOKUP(A1428,'[1]Master clients'!F1426:W4973,17,0)</f>
        <v>#N/A</v>
      </c>
      <c r="C1428" s="15" t="e">
        <f>VLOOKUP(A1428,'[1]Master clients'!F1426:P4973,11,0)</f>
        <v>#N/A</v>
      </c>
      <c r="D1428" s="15" t="e">
        <f>VLOOKUP(A1428,'[1]Master clients'!F:M,8,0)</f>
        <v>#N/A</v>
      </c>
      <c r="E1428" s="12"/>
      <c r="F1428" s="6"/>
      <c r="G1428" s="6"/>
      <c r="H1428" s="6"/>
      <c r="I1428" s="43"/>
      <c r="J1428" s="43"/>
      <c r="K1428" s="6"/>
      <c r="L1428" s="6"/>
      <c r="M1428" s="6"/>
      <c r="N1428" s="6"/>
      <c r="O1428" s="6"/>
      <c r="P1428" s="6"/>
      <c r="Q1428" s="6"/>
      <c r="R1428" s="6"/>
      <c r="S1428" s="6"/>
      <c r="T1428" s="6"/>
      <c r="U1428" s="6"/>
      <c r="V1428" s="6"/>
      <c r="W1428" s="6"/>
      <c r="X1428" s="6"/>
      <c r="Y1428" s="6"/>
      <c r="Z1428" s="6"/>
      <c r="AA1428" s="6"/>
      <c r="AB1428" s="6"/>
      <c r="AC1428" s="6"/>
      <c r="AD1428" s="6"/>
      <c r="AE1428" s="6"/>
      <c r="AF1428" s="6"/>
      <c r="AG1428" s="6"/>
      <c r="AH1428" s="6"/>
      <c r="AI1428" s="6"/>
      <c r="AJ1428" s="6"/>
      <c r="AK1428" s="6"/>
      <c r="AL1428" s="6"/>
      <c r="AM1428" s="6"/>
      <c r="AN1428" s="6"/>
      <c r="AO1428" s="6"/>
      <c r="AP1428" s="6"/>
      <c r="AQ1428" s="6"/>
      <c r="AR1428" s="6"/>
      <c r="AS1428" s="6"/>
      <c r="AT1428" s="6"/>
      <c r="AU1428" s="6"/>
      <c r="AV1428" s="6"/>
      <c r="AW1428" s="6"/>
      <c r="AX1428" s="6"/>
      <c r="AY1428" s="6"/>
      <c r="AZ1428" s="6"/>
      <c r="BA1428" s="6"/>
      <c r="BB1428" s="6"/>
      <c r="BC1428" s="6"/>
      <c r="BD1428" s="6"/>
      <c r="BE1428" s="6"/>
      <c r="BF1428" s="6"/>
      <c r="BG1428" s="6"/>
      <c r="BH1428" s="6"/>
      <c r="BI1428" s="6"/>
      <c r="BJ1428" s="6"/>
      <c r="BK1428" s="6"/>
      <c r="BL1428" s="44"/>
      <c r="BM1428" s="44"/>
      <c r="BN1428" s="45"/>
      <c r="BO1428" s="45"/>
      <c r="BP1428" s="7"/>
      <c r="BQ1428" s="7" t="e">
        <f>VLOOKUP(A1428,[1]Sheet15!B:E,3,0)</f>
        <v>#N/A</v>
      </c>
    </row>
    <row r="1429" spans="1:69" ht="15.75" customHeight="1" x14ac:dyDescent="0.25">
      <c r="A1429" s="12"/>
      <c r="B1429" s="15" t="e">
        <f>VLOOKUP(A1429,'[1]Master clients'!F1427:W4974,17,0)</f>
        <v>#N/A</v>
      </c>
      <c r="C1429" s="15" t="e">
        <f>VLOOKUP(A1429,'[1]Master clients'!F1427:P4974,11,0)</f>
        <v>#N/A</v>
      </c>
      <c r="D1429" s="15" t="e">
        <f>VLOOKUP(A1429,'[1]Master clients'!F:M,8,0)</f>
        <v>#N/A</v>
      </c>
      <c r="E1429" s="12"/>
      <c r="F1429" s="6"/>
      <c r="G1429" s="6"/>
      <c r="H1429" s="6"/>
      <c r="I1429" s="43"/>
      <c r="J1429" s="43"/>
      <c r="K1429" s="6"/>
      <c r="L1429" s="6"/>
      <c r="M1429" s="6"/>
      <c r="N1429" s="6"/>
      <c r="O1429" s="6"/>
      <c r="P1429" s="6"/>
      <c r="Q1429" s="6"/>
      <c r="R1429" s="6"/>
      <c r="S1429" s="6"/>
      <c r="T1429" s="6"/>
      <c r="U1429" s="6"/>
      <c r="V1429" s="6"/>
      <c r="W1429" s="6"/>
      <c r="X1429" s="6"/>
      <c r="Y1429" s="6"/>
      <c r="Z1429" s="6"/>
      <c r="AA1429" s="6"/>
      <c r="AB1429" s="6"/>
      <c r="AC1429" s="6"/>
      <c r="AD1429" s="6"/>
      <c r="AE1429" s="6"/>
      <c r="AF1429" s="6"/>
      <c r="AG1429" s="6"/>
      <c r="AH1429" s="6"/>
      <c r="AI1429" s="6"/>
      <c r="AJ1429" s="6"/>
      <c r="AK1429" s="6"/>
      <c r="AL1429" s="6"/>
      <c r="AM1429" s="6"/>
      <c r="AN1429" s="6"/>
      <c r="AO1429" s="6"/>
      <c r="AP1429" s="6"/>
      <c r="AQ1429" s="6"/>
      <c r="AR1429" s="6"/>
      <c r="AS1429" s="6"/>
      <c r="AT1429" s="6"/>
      <c r="AU1429" s="6"/>
      <c r="AV1429" s="6"/>
      <c r="AW1429" s="6"/>
      <c r="AX1429" s="6"/>
      <c r="AY1429" s="6"/>
      <c r="AZ1429" s="6"/>
      <c r="BA1429" s="6"/>
      <c r="BB1429" s="6"/>
      <c r="BC1429" s="6"/>
      <c r="BD1429" s="6"/>
      <c r="BE1429" s="6"/>
      <c r="BF1429" s="6"/>
      <c r="BG1429" s="6"/>
      <c r="BH1429" s="6"/>
      <c r="BI1429" s="6"/>
      <c r="BJ1429" s="6"/>
      <c r="BK1429" s="6"/>
      <c r="BL1429" s="44"/>
      <c r="BM1429" s="44"/>
      <c r="BN1429" s="45"/>
      <c r="BO1429" s="45"/>
      <c r="BP1429" s="7"/>
      <c r="BQ1429" s="7" t="e">
        <f>VLOOKUP(A1429,[1]Sheet15!B:E,3,0)</f>
        <v>#N/A</v>
      </c>
    </row>
    <row r="1430" spans="1:69" ht="15.75" customHeight="1" x14ac:dyDescent="0.25">
      <c r="A1430" s="12"/>
      <c r="B1430" s="15" t="e">
        <f>VLOOKUP(A1430,'[1]Master clients'!F1428:W4975,17,0)</f>
        <v>#N/A</v>
      </c>
      <c r="C1430" s="15" t="e">
        <f>VLOOKUP(A1430,'[1]Master clients'!F1428:P4975,11,0)</f>
        <v>#N/A</v>
      </c>
      <c r="D1430" s="15" t="e">
        <f>VLOOKUP(A1430,'[1]Master clients'!F:M,8,0)</f>
        <v>#N/A</v>
      </c>
      <c r="E1430" s="12"/>
      <c r="F1430" s="6"/>
      <c r="G1430" s="6"/>
      <c r="H1430" s="6"/>
      <c r="I1430" s="43"/>
      <c r="J1430" s="43"/>
      <c r="K1430" s="6"/>
      <c r="L1430" s="6"/>
      <c r="M1430" s="6"/>
      <c r="N1430" s="6"/>
      <c r="O1430" s="6"/>
      <c r="P1430" s="6"/>
      <c r="Q1430" s="6"/>
      <c r="R1430" s="6"/>
      <c r="S1430" s="6"/>
      <c r="T1430" s="6"/>
      <c r="U1430" s="6"/>
      <c r="V1430" s="6"/>
      <c r="W1430" s="6"/>
      <c r="X1430" s="6"/>
      <c r="Y1430" s="6"/>
      <c r="Z1430" s="6"/>
      <c r="AA1430" s="6"/>
      <c r="AB1430" s="6"/>
      <c r="AC1430" s="6"/>
      <c r="AD1430" s="6"/>
      <c r="AE1430" s="6"/>
      <c r="AF1430" s="6"/>
      <c r="AG1430" s="6"/>
      <c r="AH1430" s="6"/>
      <c r="AI1430" s="6"/>
      <c r="AJ1430" s="6"/>
      <c r="AK1430" s="6"/>
      <c r="AL1430" s="6"/>
      <c r="AM1430" s="6"/>
      <c r="AN1430" s="6"/>
      <c r="AO1430" s="6"/>
      <c r="AP1430" s="6"/>
      <c r="AQ1430" s="6"/>
      <c r="AR1430" s="6"/>
      <c r="AS1430" s="6"/>
      <c r="AT1430" s="6"/>
      <c r="AU1430" s="6"/>
      <c r="AV1430" s="6"/>
      <c r="AW1430" s="6"/>
      <c r="AX1430" s="6"/>
      <c r="AY1430" s="6"/>
      <c r="AZ1430" s="6"/>
      <c r="BA1430" s="6"/>
      <c r="BB1430" s="6"/>
      <c r="BC1430" s="6"/>
      <c r="BD1430" s="6"/>
      <c r="BE1430" s="6"/>
      <c r="BF1430" s="6"/>
      <c r="BG1430" s="6"/>
      <c r="BH1430" s="6"/>
      <c r="BI1430" s="6"/>
      <c r="BJ1430" s="6"/>
      <c r="BK1430" s="6"/>
      <c r="BL1430" s="44"/>
      <c r="BM1430" s="44"/>
      <c r="BN1430" s="45"/>
      <c r="BO1430" s="45"/>
      <c r="BP1430" s="7"/>
      <c r="BQ1430" s="7" t="e">
        <f>VLOOKUP(A1430,[1]Sheet15!B:E,3,0)</f>
        <v>#N/A</v>
      </c>
    </row>
    <row r="1431" spans="1:69" ht="15.75" customHeight="1" x14ac:dyDescent="0.25">
      <c r="A1431" s="12"/>
      <c r="B1431" s="15" t="e">
        <f>VLOOKUP(A1431,'[1]Master clients'!F1429:W4976,17,0)</f>
        <v>#N/A</v>
      </c>
      <c r="C1431" s="15" t="e">
        <f>VLOOKUP(A1431,'[1]Master clients'!F1429:P4976,11,0)</f>
        <v>#N/A</v>
      </c>
      <c r="D1431" s="15" t="e">
        <f>VLOOKUP(A1431,'[1]Master clients'!F:M,8,0)</f>
        <v>#N/A</v>
      </c>
      <c r="E1431" s="12"/>
      <c r="F1431" s="6"/>
      <c r="G1431" s="6"/>
      <c r="H1431" s="6"/>
      <c r="I1431" s="43"/>
      <c r="J1431" s="43"/>
      <c r="K1431" s="6"/>
      <c r="L1431" s="6"/>
      <c r="M1431" s="6"/>
      <c r="N1431" s="6"/>
      <c r="O1431" s="6"/>
      <c r="P1431" s="6"/>
      <c r="Q1431" s="6"/>
      <c r="R1431" s="6"/>
      <c r="S1431" s="6"/>
      <c r="T1431" s="6"/>
      <c r="U1431" s="6"/>
      <c r="V1431" s="6"/>
      <c r="W1431" s="6"/>
      <c r="X1431" s="6"/>
      <c r="Y1431" s="6"/>
      <c r="Z1431" s="6"/>
      <c r="AA1431" s="6"/>
      <c r="AB1431" s="6"/>
      <c r="AC1431" s="6"/>
      <c r="AD1431" s="6"/>
      <c r="AE1431" s="6"/>
      <c r="AF1431" s="6"/>
      <c r="AG1431" s="6"/>
      <c r="AH1431" s="6"/>
      <c r="AI1431" s="6"/>
      <c r="AJ1431" s="6"/>
      <c r="AK1431" s="6"/>
      <c r="AL1431" s="6"/>
      <c r="AM1431" s="6"/>
      <c r="AN1431" s="6"/>
      <c r="AO1431" s="6"/>
      <c r="AP1431" s="6"/>
      <c r="AQ1431" s="6"/>
      <c r="AR1431" s="6"/>
      <c r="AS1431" s="6"/>
      <c r="AT1431" s="6"/>
      <c r="AU1431" s="6"/>
      <c r="AV1431" s="6"/>
      <c r="AW1431" s="6"/>
      <c r="AX1431" s="6"/>
      <c r="AY1431" s="6"/>
      <c r="AZ1431" s="6"/>
      <c r="BA1431" s="6"/>
      <c r="BB1431" s="6"/>
      <c r="BC1431" s="6"/>
      <c r="BD1431" s="6"/>
      <c r="BE1431" s="6"/>
      <c r="BF1431" s="6"/>
      <c r="BG1431" s="6"/>
      <c r="BH1431" s="6"/>
      <c r="BI1431" s="6"/>
      <c r="BJ1431" s="6"/>
      <c r="BK1431" s="6"/>
      <c r="BL1431" s="44"/>
      <c r="BM1431" s="44"/>
      <c r="BN1431" s="45"/>
      <c r="BO1431" s="45"/>
      <c r="BP1431" s="7"/>
      <c r="BQ1431" s="7" t="e">
        <f>VLOOKUP(A1431,[1]Sheet15!B:E,3,0)</f>
        <v>#N/A</v>
      </c>
    </row>
    <row r="1432" spans="1:69" ht="15.75" customHeight="1" x14ac:dyDescent="0.25">
      <c r="A1432" s="12"/>
      <c r="B1432" s="15" t="e">
        <f>VLOOKUP(A1432,'[1]Master clients'!F1430:W4977,17,0)</f>
        <v>#N/A</v>
      </c>
      <c r="C1432" s="15" t="e">
        <f>VLOOKUP(A1432,'[1]Master clients'!F1430:P4977,11,0)</f>
        <v>#N/A</v>
      </c>
      <c r="D1432" s="15" t="e">
        <f>VLOOKUP(A1432,'[1]Master clients'!F:M,8,0)</f>
        <v>#N/A</v>
      </c>
      <c r="E1432" s="12"/>
      <c r="F1432" s="6"/>
      <c r="G1432" s="6"/>
      <c r="H1432" s="6"/>
      <c r="I1432" s="43"/>
      <c r="J1432" s="43"/>
      <c r="K1432" s="6"/>
      <c r="L1432" s="6"/>
      <c r="M1432" s="6"/>
      <c r="N1432" s="6"/>
      <c r="O1432" s="6"/>
      <c r="P1432" s="6"/>
      <c r="Q1432" s="6"/>
      <c r="R1432" s="6"/>
      <c r="S1432" s="6"/>
      <c r="T1432" s="6"/>
      <c r="U1432" s="6"/>
      <c r="V1432" s="6"/>
      <c r="W1432" s="6"/>
      <c r="X1432" s="6"/>
      <c r="Y1432" s="6"/>
      <c r="Z1432" s="6"/>
      <c r="AA1432" s="6"/>
      <c r="AB1432" s="6"/>
      <c r="AC1432" s="6"/>
      <c r="AD1432" s="6"/>
      <c r="AE1432" s="6"/>
      <c r="AF1432" s="6"/>
      <c r="AG1432" s="6"/>
      <c r="AH1432" s="6"/>
      <c r="AI1432" s="6"/>
      <c r="AJ1432" s="6"/>
      <c r="AK1432" s="6"/>
      <c r="AL1432" s="6"/>
      <c r="AM1432" s="6"/>
      <c r="AN1432" s="6"/>
      <c r="AO1432" s="6"/>
      <c r="AP1432" s="6"/>
      <c r="AQ1432" s="6"/>
      <c r="AR1432" s="6"/>
      <c r="AS1432" s="6"/>
      <c r="AT1432" s="6"/>
      <c r="AU1432" s="6"/>
      <c r="AV1432" s="6"/>
      <c r="AW1432" s="6"/>
      <c r="AX1432" s="6"/>
      <c r="AY1432" s="6"/>
      <c r="AZ1432" s="6"/>
      <c r="BA1432" s="6"/>
      <c r="BB1432" s="6"/>
      <c r="BC1432" s="6"/>
      <c r="BD1432" s="6"/>
      <c r="BE1432" s="6"/>
      <c r="BF1432" s="6"/>
      <c r="BG1432" s="6"/>
      <c r="BH1432" s="6"/>
      <c r="BI1432" s="6"/>
      <c r="BJ1432" s="6"/>
      <c r="BK1432" s="6"/>
      <c r="BL1432" s="44"/>
      <c r="BM1432" s="44"/>
      <c r="BN1432" s="45"/>
      <c r="BO1432" s="45"/>
      <c r="BP1432" s="7"/>
      <c r="BQ1432" s="7" t="e">
        <f>VLOOKUP(A1432,[1]Sheet15!B:E,3,0)</f>
        <v>#N/A</v>
      </c>
    </row>
    <row r="1433" spans="1:69" ht="15.75" customHeight="1" x14ac:dyDescent="0.25">
      <c r="A1433" s="12"/>
      <c r="B1433" s="15" t="e">
        <f>VLOOKUP(A1433,'[1]Master clients'!F1431:W4978,17,0)</f>
        <v>#N/A</v>
      </c>
      <c r="C1433" s="15" t="e">
        <f>VLOOKUP(A1433,'[1]Master clients'!F1431:P4978,11,0)</f>
        <v>#N/A</v>
      </c>
      <c r="D1433" s="15" t="e">
        <f>VLOOKUP(A1433,'[1]Master clients'!F:M,8,0)</f>
        <v>#N/A</v>
      </c>
      <c r="E1433" s="12"/>
      <c r="F1433" s="6"/>
      <c r="G1433" s="6"/>
      <c r="H1433" s="6"/>
      <c r="I1433" s="43"/>
      <c r="J1433" s="43"/>
      <c r="K1433" s="6"/>
      <c r="L1433" s="6"/>
      <c r="M1433" s="6"/>
      <c r="N1433" s="6"/>
      <c r="O1433" s="6"/>
      <c r="P1433" s="6"/>
      <c r="Q1433" s="6"/>
      <c r="R1433" s="6"/>
      <c r="S1433" s="6"/>
      <c r="T1433" s="6"/>
      <c r="U1433" s="6"/>
      <c r="V1433" s="6"/>
      <c r="W1433" s="6"/>
      <c r="X1433" s="6"/>
      <c r="Y1433" s="6"/>
      <c r="Z1433" s="6"/>
      <c r="AA1433" s="6"/>
      <c r="AB1433" s="6"/>
      <c r="AC1433" s="6"/>
      <c r="AD1433" s="6"/>
      <c r="AE1433" s="6"/>
      <c r="AF1433" s="6"/>
      <c r="AG1433" s="6"/>
      <c r="AH1433" s="6"/>
      <c r="AI1433" s="6"/>
      <c r="AJ1433" s="6"/>
      <c r="AK1433" s="6"/>
      <c r="AL1433" s="6"/>
      <c r="AM1433" s="6"/>
      <c r="AN1433" s="6"/>
      <c r="AO1433" s="6"/>
      <c r="AP1433" s="6"/>
      <c r="AQ1433" s="6"/>
      <c r="AR1433" s="6"/>
      <c r="AS1433" s="6"/>
      <c r="AT1433" s="6"/>
      <c r="AU1433" s="6"/>
      <c r="AV1433" s="6"/>
      <c r="AW1433" s="6"/>
      <c r="AX1433" s="6"/>
      <c r="AY1433" s="6"/>
      <c r="AZ1433" s="6"/>
      <c r="BA1433" s="6"/>
      <c r="BB1433" s="6"/>
      <c r="BC1433" s="6"/>
      <c r="BD1433" s="6"/>
      <c r="BE1433" s="6"/>
      <c r="BF1433" s="6"/>
      <c r="BG1433" s="6"/>
      <c r="BH1433" s="6"/>
      <c r="BI1433" s="6"/>
      <c r="BJ1433" s="6"/>
      <c r="BK1433" s="6"/>
      <c r="BL1433" s="44"/>
      <c r="BM1433" s="44"/>
      <c r="BN1433" s="45"/>
      <c r="BO1433" s="45"/>
      <c r="BP1433" s="7"/>
      <c r="BQ1433" s="7" t="e">
        <f>VLOOKUP(A1433,[1]Sheet15!B:E,3,0)</f>
        <v>#N/A</v>
      </c>
    </row>
    <row r="1434" spans="1:69" ht="15.75" customHeight="1" x14ac:dyDescent="0.25">
      <c r="A1434" s="12"/>
      <c r="B1434" s="15" t="e">
        <f>VLOOKUP(A1434,'[1]Master clients'!F1432:W4979,17,0)</f>
        <v>#N/A</v>
      </c>
      <c r="C1434" s="15" t="e">
        <f>VLOOKUP(A1434,'[1]Master clients'!F1432:P4979,11,0)</f>
        <v>#N/A</v>
      </c>
      <c r="D1434" s="15" t="e">
        <f>VLOOKUP(A1434,'[1]Master clients'!F:M,8,0)</f>
        <v>#N/A</v>
      </c>
      <c r="E1434" s="12"/>
      <c r="F1434" s="6"/>
      <c r="G1434" s="6"/>
      <c r="H1434" s="6"/>
      <c r="I1434" s="43"/>
      <c r="J1434" s="43"/>
      <c r="K1434" s="6"/>
      <c r="L1434" s="6"/>
      <c r="M1434" s="6"/>
      <c r="N1434" s="6"/>
      <c r="O1434" s="6"/>
      <c r="P1434" s="6"/>
      <c r="Q1434" s="6"/>
      <c r="R1434" s="6"/>
      <c r="S1434" s="6"/>
      <c r="T1434" s="6"/>
      <c r="U1434" s="6"/>
      <c r="V1434" s="6"/>
      <c r="W1434" s="6"/>
      <c r="X1434" s="6"/>
      <c r="Y1434" s="6"/>
      <c r="Z1434" s="6"/>
      <c r="AA1434" s="6"/>
      <c r="AB1434" s="6"/>
      <c r="AC1434" s="6"/>
      <c r="AD1434" s="6"/>
      <c r="AE1434" s="6"/>
      <c r="AF1434" s="6"/>
      <c r="AG1434" s="6"/>
      <c r="AH1434" s="6"/>
      <c r="AI1434" s="6"/>
      <c r="AJ1434" s="6"/>
      <c r="AK1434" s="6"/>
      <c r="AL1434" s="6"/>
      <c r="AM1434" s="6"/>
      <c r="AN1434" s="6"/>
      <c r="AO1434" s="6"/>
      <c r="AP1434" s="6"/>
      <c r="AQ1434" s="6"/>
      <c r="AR1434" s="6"/>
      <c r="AS1434" s="6"/>
      <c r="AT1434" s="6"/>
      <c r="AU1434" s="6"/>
      <c r="AV1434" s="6"/>
      <c r="AW1434" s="6"/>
      <c r="AX1434" s="6"/>
      <c r="AY1434" s="6"/>
      <c r="AZ1434" s="6"/>
      <c r="BA1434" s="6"/>
      <c r="BB1434" s="6"/>
      <c r="BC1434" s="6"/>
      <c r="BD1434" s="6"/>
      <c r="BE1434" s="6"/>
      <c r="BF1434" s="6"/>
      <c r="BG1434" s="6"/>
      <c r="BH1434" s="6"/>
      <c r="BI1434" s="6"/>
      <c r="BJ1434" s="6"/>
      <c r="BK1434" s="6"/>
      <c r="BL1434" s="44"/>
      <c r="BM1434" s="44"/>
      <c r="BN1434" s="45"/>
      <c r="BO1434" s="45"/>
      <c r="BP1434" s="7"/>
      <c r="BQ1434" s="7" t="e">
        <f>VLOOKUP(A1434,[1]Sheet15!B:E,3,0)</f>
        <v>#N/A</v>
      </c>
    </row>
    <row r="1435" spans="1:69" ht="15.75" customHeight="1" x14ac:dyDescent="0.25">
      <c r="A1435" s="12"/>
      <c r="B1435" s="15" t="e">
        <f>VLOOKUP(A1435,'[1]Master clients'!F1433:W4980,17,0)</f>
        <v>#N/A</v>
      </c>
      <c r="C1435" s="15" t="e">
        <f>VLOOKUP(A1435,'[1]Master clients'!F1433:P4980,11,0)</f>
        <v>#N/A</v>
      </c>
      <c r="D1435" s="15" t="e">
        <f>VLOOKUP(A1435,'[1]Master clients'!F:M,8,0)</f>
        <v>#N/A</v>
      </c>
      <c r="E1435" s="12"/>
      <c r="F1435" s="6"/>
      <c r="G1435" s="6"/>
      <c r="H1435" s="6"/>
      <c r="I1435" s="43"/>
      <c r="J1435" s="43"/>
      <c r="K1435" s="6"/>
      <c r="L1435" s="6"/>
      <c r="M1435" s="6"/>
      <c r="N1435" s="6"/>
      <c r="O1435" s="6"/>
      <c r="P1435" s="6"/>
      <c r="Q1435" s="6"/>
      <c r="R1435" s="6"/>
      <c r="S1435" s="6"/>
      <c r="T1435" s="6"/>
      <c r="U1435" s="6"/>
      <c r="V1435" s="6"/>
      <c r="W1435" s="6"/>
      <c r="X1435" s="6"/>
      <c r="Y1435" s="6"/>
      <c r="Z1435" s="6"/>
      <c r="AA1435" s="6"/>
      <c r="AB1435" s="6"/>
      <c r="AC1435" s="6"/>
      <c r="AD1435" s="6"/>
      <c r="AE1435" s="6"/>
      <c r="AF1435" s="6"/>
      <c r="AG1435" s="6"/>
      <c r="AH1435" s="6"/>
      <c r="AI1435" s="6"/>
      <c r="AJ1435" s="6"/>
      <c r="AK1435" s="6"/>
      <c r="AL1435" s="6"/>
      <c r="AM1435" s="6"/>
      <c r="AN1435" s="6"/>
      <c r="AO1435" s="6"/>
      <c r="AP1435" s="6"/>
      <c r="AQ1435" s="6"/>
      <c r="AR1435" s="6"/>
      <c r="AS1435" s="6"/>
      <c r="AT1435" s="6"/>
      <c r="AU1435" s="6"/>
      <c r="AV1435" s="6"/>
      <c r="AW1435" s="6"/>
      <c r="AX1435" s="6"/>
      <c r="AY1435" s="6"/>
      <c r="AZ1435" s="6"/>
      <c r="BA1435" s="6"/>
      <c r="BB1435" s="6"/>
      <c r="BC1435" s="6"/>
      <c r="BD1435" s="6"/>
      <c r="BE1435" s="6"/>
      <c r="BF1435" s="6"/>
      <c r="BG1435" s="6"/>
      <c r="BH1435" s="6"/>
      <c r="BI1435" s="6"/>
      <c r="BJ1435" s="6"/>
      <c r="BK1435" s="6"/>
      <c r="BL1435" s="44"/>
      <c r="BM1435" s="44"/>
      <c r="BN1435" s="45"/>
      <c r="BO1435" s="45"/>
      <c r="BP1435" s="7"/>
      <c r="BQ1435" s="7" t="e">
        <f>VLOOKUP(A1435,[1]Sheet15!B:E,3,0)</f>
        <v>#N/A</v>
      </c>
    </row>
    <row r="1436" spans="1:69" ht="15.75" customHeight="1" x14ac:dyDescent="0.25">
      <c r="A1436" s="12"/>
      <c r="B1436" s="15" t="e">
        <f>VLOOKUP(A1436,'[1]Master clients'!F1434:W4981,17,0)</f>
        <v>#N/A</v>
      </c>
      <c r="C1436" s="15" t="e">
        <f>VLOOKUP(A1436,'[1]Master clients'!F1434:P4981,11,0)</f>
        <v>#N/A</v>
      </c>
      <c r="D1436" s="15" t="e">
        <f>VLOOKUP(A1436,'[1]Master clients'!F:M,8,0)</f>
        <v>#N/A</v>
      </c>
      <c r="E1436" s="12"/>
      <c r="F1436" s="6"/>
      <c r="G1436" s="6"/>
      <c r="H1436" s="6"/>
      <c r="I1436" s="43"/>
      <c r="J1436" s="43"/>
      <c r="K1436" s="6"/>
      <c r="L1436" s="6"/>
      <c r="M1436" s="6"/>
      <c r="N1436" s="6"/>
      <c r="O1436" s="6"/>
      <c r="P1436" s="6"/>
      <c r="Q1436" s="6"/>
      <c r="R1436" s="6"/>
      <c r="S1436" s="6"/>
      <c r="T1436" s="6"/>
      <c r="U1436" s="6"/>
      <c r="V1436" s="6"/>
      <c r="W1436" s="6"/>
      <c r="X1436" s="6"/>
      <c r="Y1436" s="6"/>
      <c r="Z1436" s="6"/>
      <c r="AA1436" s="6"/>
      <c r="AB1436" s="6"/>
      <c r="AC1436" s="6"/>
      <c r="AD1436" s="6"/>
      <c r="AE1436" s="6"/>
      <c r="AF1436" s="6"/>
      <c r="AG1436" s="6"/>
      <c r="AH1436" s="6"/>
      <c r="AI1436" s="6"/>
      <c r="AJ1436" s="6"/>
      <c r="AK1436" s="6"/>
      <c r="AL1436" s="6"/>
      <c r="AM1436" s="6"/>
      <c r="AN1436" s="6"/>
      <c r="AO1436" s="6"/>
      <c r="AP1436" s="6"/>
      <c r="AQ1436" s="6"/>
      <c r="AR1436" s="6"/>
      <c r="AS1436" s="6"/>
      <c r="AT1436" s="6"/>
      <c r="AU1436" s="6"/>
      <c r="AV1436" s="6"/>
      <c r="AW1436" s="6"/>
      <c r="AX1436" s="6"/>
      <c r="AY1436" s="6"/>
      <c r="AZ1436" s="6"/>
      <c r="BA1436" s="6"/>
      <c r="BB1436" s="6"/>
      <c r="BC1436" s="6"/>
      <c r="BD1436" s="6"/>
      <c r="BE1436" s="6"/>
      <c r="BF1436" s="6"/>
      <c r="BG1436" s="6"/>
      <c r="BH1436" s="6"/>
      <c r="BI1436" s="6"/>
      <c r="BJ1436" s="6"/>
      <c r="BK1436" s="6"/>
      <c r="BL1436" s="44"/>
      <c r="BM1436" s="44"/>
      <c r="BN1436" s="45"/>
      <c r="BO1436" s="45"/>
      <c r="BP1436" s="7"/>
      <c r="BQ1436" s="7" t="e">
        <f>VLOOKUP(A1436,[1]Sheet15!B:E,3,0)</f>
        <v>#N/A</v>
      </c>
    </row>
    <row r="1437" spans="1:69" ht="15.75" customHeight="1" x14ac:dyDescent="0.25">
      <c r="A1437" s="12"/>
      <c r="B1437" s="15" t="e">
        <f>VLOOKUP(A1437,'[1]Master clients'!F1435:W4982,17,0)</f>
        <v>#N/A</v>
      </c>
      <c r="C1437" s="15" t="e">
        <f>VLOOKUP(A1437,'[1]Master clients'!F1435:P4982,11,0)</f>
        <v>#N/A</v>
      </c>
      <c r="D1437" s="15" t="e">
        <f>VLOOKUP(A1437,'[1]Master clients'!F:M,8,0)</f>
        <v>#N/A</v>
      </c>
      <c r="E1437" s="12"/>
      <c r="F1437" s="6"/>
      <c r="G1437" s="6"/>
      <c r="H1437" s="6"/>
      <c r="I1437" s="43"/>
      <c r="J1437" s="43"/>
      <c r="K1437" s="6"/>
      <c r="L1437" s="6"/>
      <c r="M1437" s="6"/>
      <c r="N1437" s="6"/>
      <c r="O1437" s="6"/>
      <c r="P1437" s="6"/>
      <c r="Q1437" s="6"/>
      <c r="R1437" s="6"/>
      <c r="S1437" s="6"/>
      <c r="T1437" s="6"/>
      <c r="U1437" s="6"/>
      <c r="V1437" s="6"/>
      <c r="W1437" s="6"/>
      <c r="X1437" s="6"/>
      <c r="Y1437" s="6"/>
      <c r="Z1437" s="6"/>
      <c r="AA1437" s="6"/>
      <c r="AB1437" s="6"/>
      <c r="AC1437" s="6"/>
      <c r="AD1437" s="6"/>
      <c r="AE1437" s="6"/>
      <c r="AF1437" s="6"/>
      <c r="AG1437" s="6"/>
      <c r="AH1437" s="6"/>
      <c r="AI1437" s="6"/>
      <c r="AJ1437" s="6"/>
      <c r="AK1437" s="6"/>
      <c r="AL1437" s="6"/>
      <c r="AM1437" s="6"/>
      <c r="AN1437" s="6"/>
      <c r="AO1437" s="6"/>
      <c r="AP1437" s="6"/>
      <c r="AQ1437" s="6"/>
      <c r="AR1437" s="6"/>
      <c r="AS1437" s="6"/>
      <c r="AT1437" s="6"/>
      <c r="AU1437" s="6"/>
      <c r="AV1437" s="6"/>
      <c r="AW1437" s="6"/>
      <c r="AX1437" s="6"/>
      <c r="AY1437" s="6"/>
      <c r="AZ1437" s="6"/>
      <c r="BA1437" s="6"/>
      <c r="BB1437" s="6"/>
      <c r="BC1437" s="6"/>
      <c r="BD1437" s="6"/>
      <c r="BE1437" s="6"/>
      <c r="BF1437" s="6"/>
      <c r="BG1437" s="6"/>
      <c r="BH1437" s="6"/>
      <c r="BI1437" s="6"/>
      <c r="BJ1437" s="6"/>
      <c r="BK1437" s="6"/>
      <c r="BL1437" s="44"/>
      <c r="BM1437" s="44"/>
      <c r="BN1437" s="45"/>
      <c r="BO1437" s="45"/>
      <c r="BP1437" s="7"/>
      <c r="BQ1437" s="7" t="e">
        <f>VLOOKUP(A1437,[1]Sheet15!B:E,3,0)</f>
        <v>#N/A</v>
      </c>
    </row>
    <row r="1438" spans="1:69" ht="15.75" customHeight="1" x14ac:dyDescent="0.25">
      <c r="A1438" s="12"/>
      <c r="B1438" s="15" t="e">
        <f>VLOOKUP(A1438,'[1]Master clients'!F1436:W4983,17,0)</f>
        <v>#N/A</v>
      </c>
      <c r="C1438" s="15" t="e">
        <f>VLOOKUP(A1438,'[1]Master clients'!F1436:P4983,11,0)</f>
        <v>#N/A</v>
      </c>
      <c r="D1438" s="15" t="e">
        <f>VLOOKUP(A1438,'[1]Master clients'!F:M,8,0)</f>
        <v>#N/A</v>
      </c>
      <c r="E1438" s="12"/>
      <c r="F1438" s="6"/>
      <c r="G1438" s="6"/>
      <c r="H1438" s="6"/>
      <c r="I1438" s="43"/>
      <c r="J1438" s="43"/>
      <c r="K1438" s="6"/>
      <c r="L1438" s="6"/>
      <c r="M1438" s="6"/>
      <c r="N1438" s="6"/>
      <c r="O1438" s="6"/>
      <c r="P1438" s="6"/>
      <c r="Q1438" s="6"/>
      <c r="R1438" s="6"/>
      <c r="S1438" s="6"/>
      <c r="T1438" s="6"/>
      <c r="U1438" s="6"/>
      <c r="V1438" s="6"/>
      <c r="W1438" s="6"/>
      <c r="X1438" s="6"/>
      <c r="Y1438" s="6"/>
      <c r="Z1438" s="6"/>
      <c r="AA1438" s="6"/>
      <c r="AB1438" s="6"/>
      <c r="AC1438" s="6"/>
      <c r="AD1438" s="6"/>
      <c r="AE1438" s="6"/>
      <c r="AF1438" s="6"/>
      <c r="AG1438" s="6"/>
      <c r="AH1438" s="6"/>
      <c r="AI1438" s="6"/>
      <c r="AJ1438" s="6"/>
      <c r="AK1438" s="6"/>
      <c r="AL1438" s="6"/>
      <c r="AM1438" s="6"/>
      <c r="AN1438" s="6"/>
      <c r="AO1438" s="6"/>
      <c r="AP1438" s="6"/>
      <c r="AQ1438" s="6"/>
      <c r="AR1438" s="6"/>
      <c r="AS1438" s="6"/>
      <c r="AT1438" s="6"/>
      <c r="AU1438" s="6"/>
      <c r="AV1438" s="6"/>
      <c r="AW1438" s="6"/>
      <c r="AX1438" s="6"/>
      <c r="AY1438" s="6"/>
      <c r="AZ1438" s="6"/>
      <c r="BA1438" s="6"/>
      <c r="BB1438" s="6"/>
      <c r="BC1438" s="6"/>
      <c r="BD1438" s="6"/>
      <c r="BE1438" s="6"/>
      <c r="BF1438" s="6"/>
      <c r="BG1438" s="6"/>
      <c r="BH1438" s="6"/>
      <c r="BI1438" s="6"/>
      <c r="BJ1438" s="6"/>
      <c r="BK1438" s="6"/>
      <c r="BL1438" s="44"/>
      <c r="BM1438" s="44"/>
      <c r="BN1438" s="45"/>
      <c r="BO1438" s="45"/>
      <c r="BP1438" s="7"/>
      <c r="BQ1438" s="7" t="e">
        <f>VLOOKUP(A1438,[1]Sheet15!B:E,3,0)</f>
        <v>#N/A</v>
      </c>
    </row>
    <row r="1439" spans="1:69" ht="15.75" customHeight="1" x14ac:dyDescent="0.25">
      <c r="A1439" s="12"/>
      <c r="B1439" s="15" t="e">
        <f>VLOOKUP(A1439,'[1]Master clients'!F1437:W4984,17,0)</f>
        <v>#N/A</v>
      </c>
      <c r="C1439" s="15" t="e">
        <f>VLOOKUP(A1439,'[1]Master clients'!F1437:P4984,11,0)</f>
        <v>#N/A</v>
      </c>
      <c r="D1439" s="15" t="e">
        <f>VLOOKUP(A1439,'[1]Master clients'!F:M,8,0)</f>
        <v>#N/A</v>
      </c>
      <c r="E1439" s="12"/>
      <c r="F1439" s="6"/>
      <c r="G1439" s="6"/>
      <c r="H1439" s="6"/>
      <c r="I1439" s="43"/>
      <c r="J1439" s="43"/>
      <c r="K1439" s="6"/>
      <c r="L1439" s="6"/>
      <c r="M1439" s="6"/>
      <c r="N1439" s="6"/>
      <c r="O1439" s="6"/>
      <c r="P1439" s="6"/>
      <c r="Q1439" s="6"/>
      <c r="R1439" s="6"/>
      <c r="S1439" s="6"/>
      <c r="T1439" s="6"/>
      <c r="U1439" s="6"/>
      <c r="V1439" s="6"/>
      <c r="W1439" s="6"/>
      <c r="X1439" s="6"/>
      <c r="Y1439" s="6"/>
      <c r="Z1439" s="6"/>
      <c r="AA1439" s="6"/>
      <c r="AB1439" s="6"/>
      <c r="AC1439" s="6"/>
      <c r="AD1439" s="6"/>
      <c r="AE1439" s="6"/>
      <c r="AF1439" s="6"/>
      <c r="AG1439" s="6"/>
      <c r="AH1439" s="6"/>
      <c r="AI1439" s="6"/>
      <c r="AJ1439" s="6"/>
      <c r="AK1439" s="6"/>
      <c r="AL1439" s="6"/>
      <c r="AM1439" s="6"/>
      <c r="AN1439" s="6"/>
      <c r="AO1439" s="6"/>
      <c r="AP1439" s="6"/>
      <c r="AQ1439" s="6"/>
      <c r="AR1439" s="6"/>
      <c r="AS1439" s="6"/>
      <c r="AT1439" s="6"/>
      <c r="AU1439" s="6"/>
      <c r="AV1439" s="6"/>
      <c r="AW1439" s="6"/>
      <c r="AX1439" s="6"/>
      <c r="AY1439" s="6"/>
      <c r="AZ1439" s="6"/>
      <c r="BA1439" s="6"/>
      <c r="BB1439" s="6"/>
      <c r="BC1439" s="6"/>
      <c r="BD1439" s="6"/>
      <c r="BE1439" s="6"/>
      <c r="BF1439" s="6"/>
      <c r="BG1439" s="6"/>
      <c r="BH1439" s="6"/>
      <c r="BI1439" s="6"/>
      <c r="BJ1439" s="6"/>
      <c r="BK1439" s="6"/>
      <c r="BL1439" s="44"/>
      <c r="BM1439" s="44"/>
      <c r="BN1439" s="45"/>
      <c r="BO1439" s="45"/>
      <c r="BP1439" s="7"/>
      <c r="BQ1439" s="7" t="e">
        <f>VLOOKUP(A1439,[1]Sheet15!B:E,3,0)</f>
        <v>#N/A</v>
      </c>
    </row>
    <row r="1440" spans="1:69" ht="15.75" customHeight="1" x14ac:dyDescent="0.25">
      <c r="A1440" s="12"/>
      <c r="B1440" s="15" t="e">
        <f>VLOOKUP(A1440,'[1]Master clients'!F1438:W4985,17,0)</f>
        <v>#N/A</v>
      </c>
      <c r="C1440" s="15" t="e">
        <f>VLOOKUP(A1440,'[1]Master clients'!F1438:P4985,11,0)</f>
        <v>#N/A</v>
      </c>
      <c r="D1440" s="15" t="e">
        <f>VLOOKUP(A1440,'[1]Master clients'!F:M,8,0)</f>
        <v>#N/A</v>
      </c>
      <c r="E1440" s="12"/>
      <c r="F1440" s="6"/>
      <c r="G1440" s="6"/>
      <c r="H1440" s="6"/>
      <c r="I1440" s="43"/>
      <c r="J1440" s="43"/>
      <c r="K1440" s="6"/>
      <c r="L1440" s="6"/>
      <c r="M1440" s="6"/>
      <c r="N1440" s="6"/>
      <c r="O1440" s="6"/>
      <c r="P1440" s="6"/>
      <c r="Q1440" s="6"/>
      <c r="R1440" s="6"/>
      <c r="S1440" s="6"/>
      <c r="T1440" s="6"/>
      <c r="U1440" s="6"/>
      <c r="V1440" s="6"/>
      <c r="W1440" s="6"/>
      <c r="X1440" s="6"/>
      <c r="Y1440" s="6"/>
      <c r="Z1440" s="6"/>
      <c r="AA1440" s="6"/>
      <c r="AB1440" s="6"/>
      <c r="AC1440" s="6"/>
      <c r="AD1440" s="6"/>
      <c r="AE1440" s="6"/>
      <c r="AF1440" s="6"/>
      <c r="AG1440" s="6"/>
      <c r="AH1440" s="6"/>
      <c r="AI1440" s="6"/>
      <c r="AJ1440" s="6"/>
      <c r="AK1440" s="6"/>
      <c r="AL1440" s="6"/>
      <c r="AM1440" s="6"/>
      <c r="AN1440" s="6"/>
      <c r="AO1440" s="6"/>
      <c r="AP1440" s="6"/>
      <c r="AQ1440" s="6"/>
      <c r="AR1440" s="6"/>
      <c r="AS1440" s="6"/>
      <c r="AT1440" s="6"/>
      <c r="AU1440" s="6"/>
      <c r="AV1440" s="6"/>
      <c r="AW1440" s="6"/>
      <c r="AX1440" s="6"/>
      <c r="AY1440" s="6"/>
      <c r="AZ1440" s="6"/>
      <c r="BA1440" s="6"/>
      <c r="BB1440" s="6"/>
      <c r="BC1440" s="6"/>
      <c r="BD1440" s="6"/>
      <c r="BE1440" s="6"/>
      <c r="BF1440" s="6"/>
      <c r="BG1440" s="6"/>
      <c r="BH1440" s="6"/>
      <c r="BI1440" s="6"/>
      <c r="BJ1440" s="6"/>
      <c r="BK1440" s="6"/>
      <c r="BL1440" s="44"/>
      <c r="BM1440" s="44"/>
      <c r="BN1440" s="45"/>
      <c r="BO1440" s="45"/>
      <c r="BP1440" s="7"/>
      <c r="BQ1440" s="7" t="e">
        <f>VLOOKUP(A1440,[1]Sheet15!B:E,3,0)</f>
        <v>#N/A</v>
      </c>
    </row>
    <row r="1441" spans="1:69" ht="15.75" customHeight="1" x14ac:dyDescent="0.25">
      <c r="A1441" s="12"/>
      <c r="B1441" s="15" t="e">
        <f>VLOOKUP(A1441,'[1]Master clients'!F1439:W4986,17,0)</f>
        <v>#N/A</v>
      </c>
      <c r="C1441" s="15" t="e">
        <f>VLOOKUP(A1441,'[1]Master clients'!F1439:P4986,11,0)</f>
        <v>#N/A</v>
      </c>
      <c r="D1441" s="15" t="e">
        <f>VLOOKUP(A1441,'[1]Master clients'!F:M,8,0)</f>
        <v>#N/A</v>
      </c>
      <c r="E1441" s="12"/>
      <c r="F1441" s="6"/>
      <c r="G1441" s="6"/>
      <c r="H1441" s="6"/>
      <c r="I1441" s="43"/>
      <c r="J1441" s="43"/>
      <c r="K1441" s="6"/>
      <c r="L1441" s="6"/>
      <c r="M1441" s="6"/>
      <c r="N1441" s="6"/>
      <c r="O1441" s="6"/>
      <c r="P1441" s="6"/>
      <c r="Q1441" s="6"/>
      <c r="R1441" s="6"/>
      <c r="S1441" s="6"/>
      <c r="T1441" s="6"/>
      <c r="U1441" s="6"/>
      <c r="V1441" s="6"/>
      <c r="W1441" s="6"/>
      <c r="X1441" s="6"/>
      <c r="Y1441" s="6"/>
      <c r="Z1441" s="6"/>
      <c r="AA1441" s="6"/>
      <c r="AB1441" s="6"/>
      <c r="AC1441" s="6"/>
      <c r="AD1441" s="6"/>
      <c r="AE1441" s="6"/>
      <c r="AF1441" s="6"/>
      <c r="AG1441" s="6"/>
      <c r="AH1441" s="6"/>
      <c r="AI1441" s="6"/>
      <c r="AJ1441" s="6"/>
      <c r="AK1441" s="6"/>
      <c r="AL1441" s="6"/>
      <c r="AM1441" s="6"/>
      <c r="AN1441" s="6"/>
      <c r="AO1441" s="6"/>
      <c r="AP1441" s="6"/>
      <c r="AQ1441" s="6"/>
      <c r="AR1441" s="6"/>
      <c r="AS1441" s="6"/>
      <c r="AT1441" s="6"/>
      <c r="AU1441" s="6"/>
      <c r="AV1441" s="6"/>
      <c r="AW1441" s="6"/>
      <c r="AX1441" s="6"/>
      <c r="AY1441" s="6"/>
      <c r="AZ1441" s="6"/>
      <c r="BA1441" s="6"/>
      <c r="BB1441" s="6"/>
      <c r="BC1441" s="6"/>
      <c r="BD1441" s="6"/>
      <c r="BE1441" s="6"/>
      <c r="BF1441" s="6"/>
      <c r="BG1441" s="6"/>
      <c r="BH1441" s="6"/>
      <c r="BI1441" s="6"/>
      <c r="BJ1441" s="6"/>
      <c r="BK1441" s="6"/>
      <c r="BL1441" s="44"/>
      <c r="BM1441" s="44"/>
      <c r="BN1441" s="45"/>
      <c r="BO1441" s="45"/>
      <c r="BP1441" s="7"/>
      <c r="BQ1441" s="7" t="e">
        <f>VLOOKUP(A1441,[1]Sheet15!B:E,3,0)</f>
        <v>#N/A</v>
      </c>
    </row>
    <row r="1442" spans="1:69" ht="15.75" customHeight="1" x14ac:dyDescent="0.25">
      <c r="A1442" s="12"/>
      <c r="B1442" s="15" t="e">
        <f>VLOOKUP(A1442,'[1]Master clients'!F1440:W4987,17,0)</f>
        <v>#N/A</v>
      </c>
      <c r="C1442" s="15" t="e">
        <f>VLOOKUP(A1442,'[1]Master clients'!F1440:P4987,11,0)</f>
        <v>#N/A</v>
      </c>
      <c r="D1442" s="15" t="e">
        <f>VLOOKUP(A1442,'[1]Master clients'!F:M,8,0)</f>
        <v>#N/A</v>
      </c>
      <c r="E1442" s="12"/>
      <c r="F1442" s="6"/>
      <c r="G1442" s="6"/>
      <c r="H1442" s="6"/>
      <c r="I1442" s="43"/>
      <c r="J1442" s="43"/>
      <c r="K1442" s="6"/>
      <c r="L1442" s="6"/>
      <c r="M1442" s="6"/>
      <c r="N1442" s="6"/>
      <c r="O1442" s="6"/>
      <c r="P1442" s="6"/>
      <c r="Q1442" s="6"/>
      <c r="R1442" s="6"/>
      <c r="S1442" s="6"/>
      <c r="T1442" s="6"/>
      <c r="U1442" s="6"/>
      <c r="V1442" s="6"/>
      <c r="W1442" s="6"/>
      <c r="X1442" s="6"/>
      <c r="Y1442" s="6"/>
      <c r="Z1442" s="6"/>
      <c r="AA1442" s="6"/>
      <c r="AB1442" s="6"/>
      <c r="AC1442" s="6"/>
      <c r="AD1442" s="6"/>
      <c r="AE1442" s="6"/>
      <c r="AF1442" s="6"/>
      <c r="AG1442" s="6"/>
      <c r="AH1442" s="6"/>
      <c r="AI1442" s="6"/>
      <c r="AJ1442" s="6"/>
      <c r="AK1442" s="6"/>
      <c r="AL1442" s="6"/>
      <c r="AM1442" s="6"/>
      <c r="AN1442" s="6"/>
      <c r="AO1442" s="6"/>
      <c r="AP1442" s="6"/>
      <c r="AQ1442" s="6"/>
      <c r="AR1442" s="6"/>
      <c r="AS1442" s="6"/>
      <c r="AT1442" s="6"/>
      <c r="AU1442" s="6"/>
      <c r="AV1442" s="6"/>
      <c r="AW1442" s="6"/>
      <c r="AX1442" s="6"/>
      <c r="AY1442" s="6"/>
      <c r="AZ1442" s="6"/>
      <c r="BA1442" s="6"/>
      <c r="BB1442" s="6"/>
      <c r="BC1442" s="6"/>
      <c r="BD1442" s="6"/>
      <c r="BE1442" s="6"/>
      <c r="BF1442" s="6"/>
      <c r="BG1442" s="6"/>
      <c r="BH1442" s="6"/>
      <c r="BI1442" s="6"/>
      <c r="BJ1442" s="6"/>
      <c r="BK1442" s="6"/>
      <c r="BL1442" s="44"/>
      <c r="BM1442" s="44"/>
      <c r="BN1442" s="45"/>
      <c r="BO1442" s="45"/>
      <c r="BP1442" s="7"/>
      <c r="BQ1442" s="7" t="e">
        <f>VLOOKUP(A1442,[1]Sheet15!B:E,3,0)</f>
        <v>#N/A</v>
      </c>
    </row>
    <row r="1443" spans="1:69" ht="15.75" customHeight="1" x14ac:dyDescent="0.25">
      <c r="A1443" s="12"/>
      <c r="B1443" s="15" t="e">
        <f>VLOOKUP(A1443,'[1]Master clients'!F1441:W4988,17,0)</f>
        <v>#N/A</v>
      </c>
      <c r="C1443" s="15" t="e">
        <f>VLOOKUP(A1443,'[1]Master clients'!F1441:P4988,11,0)</f>
        <v>#N/A</v>
      </c>
      <c r="D1443" s="15" t="e">
        <f>VLOOKUP(A1443,'[1]Master clients'!F:M,8,0)</f>
        <v>#N/A</v>
      </c>
      <c r="E1443" s="12"/>
      <c r="F1443" s="6"/>
      <c r="G1443" s="6"/>
      <c r="H1443" s="6"/>
      <c r="I1443" s="43"/>
      <c r="J1443" s="43"/>
      <c r="K1443" s="6"/>
      <c r="L1443" s="6"/>
      <c r="M1443" s="6"/>
      <c r="N1443" s="6"/>
      <c r="O1443" s="6"/>
      <c r="P1443" s="6"/>
      <c r="Q1443" s="6"/>
      <c r="R1443" s="6"/>
      <c r="S1443" s="6"/>
      <c r="T1443" s="6"/>
      <c r="U1443" s="6"/>
      <c r="V1443" s="6"/>
      <c r="W1443" s="6"/>
      <c r="X1443" s="6"/>
      <c r="Y1443" s="6"/>
      <c r="Z1443" s="6"/>
      <c r="AA1443" s="6"/>
      <c r="AB1443" s="6"/>
      <c r="AC1443" s="6"/>
      <c r="AD1443" s="6"/>
      <c r="AE1443" s="6"/>
      <c r="AF1443" s="6"/>
      <c r="AG1443" s="6"/>
      <c r="AH1443" s="6"/>
      <c r="AI1443" s="6"/>
      <c r="AJ1443" s="6"/>
      <c r="AK1443" s="6"/>
      <c r="AL1443" s="6"/>
      <c r="AM1443" s="6"/>
      <c r="AN1443" s="6"/>
      <c r="AO1443" s="6"/>
      <c r="AP1443" s="6"/>
      <c r="AQ1443" s="6"/>
      <c r="AR1443" s="6"/>
      <c r="AS1443" s="6"/>
      <c r="AT1443" s="6"/>
      <c r="AU1443" s="6"/>
      <c r="AV1443" s="6"/>
      <c r="AW1443" s="6"/>
      <c r="AX1443" s="6"/>
      <c r="AY1443" s="6"/>
      <c r="AZ1443" s="6"/>
      <c r="BA1443" s="6"/>
      <c r="BB1443" s="6"/>
      <c r="BC1443" s="6"/>
      <c r="BD1443" s="6"/>
      <c r="BE1443" s="6"/>
      <c r="BF1443" s="6"/>
      <c r="BG1443" s="6"/>
      <c r="BH1443" s="6"/>
      <c r="BI1443" s="6"/>
      <c r="BJ1443" s="6"/>
      <c r="BK1443" s="6"/>
      <c r="BL1443" s="44"/>
      <c r="BM1443" s="44"/>
      <c r="BN1443" s="45"/>
      <c r="BO1443" s="45"/>
      <c r="BP1443" s="7"/>
      <c r="BQ1443" s="7" t="e">
        <f>VLOOKUP(A1443,[1]Sheet15!B:E,3,0)</f>
        <v>#N/A</v>
      </c>
    </row>
    <row r="1444" spans="1:69" ht="15.75" customHeight="1" x14ac:dyDescent="0.25">
      <c r="A1444" s="12"/>
      <c r="B1444" s="15" t="e">
        <f>VLOOKUP(A1444,'[1]Master clients'!F1442:W4989,17,0)</f>
        <v>#N/A</v>
      </c>
      <c r="C1444" s="15" t="e">
        <f>VLOOKUP(A1444,'[1]Master clients'!F1442:P4989,11,0)</f>
        <v>#N/A</v>
      </c>
      <c r="D1444" s="15" t="e">
        <f>VLOOKUP(A1444,'[1]Master clients'!F:M,8,0)</f>
        <v>#N/A</v>
      </c>
      <c r="E1444" s="12"/>
      <c r="F1444" s="6"/>
      <c r="G1444" s="6"/>
      <c r="H1444" s="6"/>
      <c r="I1444" s="43"/>
      <c r="J1444" s="43"/>
      <c r="K1444" s="6"/>
      <c r="L1444" s="6"/>
      <c r="M1444" s="6"/>
      <c r="N1444" s="6"/>
      <c r="O1444" s="6"/>
      <c r="P1444" s="6"/>
      <c r="Q1444" s="6"/>
      <c r="R1444" s="6"/>
      <c r="S1444" s="6"/>
      <c r="T1444" s="6"/>
      <c r="U1444" s="6"/>
      <c r="V1444" s="6"/>
      <c r="W1444" s="6"/>
      <c r="X1444" s="6"/>
      <c r="Y1444" s="6"/>
      <c r="Z1444" s="6"/>
      <c r="AA1444" s="6"/>
      <c r="AB1444" s="6"/>
      <c r="AC1444" s="6"/>
      <c r="AD1444" s="6"/>
      <c r="AE1444" s="6"/>
      <c r="AF1444" s="6"/>
      <c r="AG1444" s="6"/>
      <c r="AH1444" s="6"/>
      <c r="AI1444" s="6"/>
      <c r="AJ1444" s="6"/>
      <c r="AK1444" s="6"/>
      <c r="AL1444" s="6"/>
      <c r="AM1444" s="6"/>
      <c r="AN1444" s="6"/>
      <c r="AO1444" s="6"/>
      <c r="AP1444" s="6"/>
      <c r="AQ1444" s="6"/>
      <c r="AR1444" s="6"/>
      <c r="AS1444" s="6"/>
      <c r="AT1444" s="6"/>
      <c r="AU1444" s="6"/>
      <c r="AV1444" s="6"/>
      <c r="AW1444" s="6"/>
      <c r="AX1444" s="6"/>
      <c r="AY1444" s="6"/>
      <c r="AZ1444" s="6"/>
      <c r="BA1444" s="6"/>
      <c r="BB1444" s="6"/>
      <c r="BC1444" s="6"/>
      <c r="BD1444" s="6"/>
      <c r="BE1444" s="6"/>
      <c r="BF1444" s="6"/>
      <c r="BG1444" s="6"/>
      <c r="BH1444" s="6"/>
      <c r="BI1444" s="6"/>
      <c r="BJ1444" s="6"/>
      <c r="BK1444" s="6"/>
      <c r="BL1444" s="44"/>
      <c r="BM1444" s="44"/>
      <c r="BN1444" s="45"/>
      <c r="BO1444" s="45"/>
      <c r="BP1444" s="7"/>
      <c r="BQ1444" s="7" t="e">
        <f>VLOOKUP(A1444,[1]Sheet15!B:E,3,0)</f>
        <v>#N/A</v>
      </c>
    </row>
    <row r="1445" spans="1:69" ht="15.75" customHeight="1" x14ac:dyDescent="0.25">
      <c r="A1445" s="12"/>
      <c r="B1445" s="15" t="e">
        <f>VLOOKUP(A1445,'[1]Master clients'!F1443:W4990,17,0)</f>
        <v>#N/A</v>
      </c>
      <c r="C1445" s="15" t="e">
        <f>VLOOKUP(A1445,'[1]Master clients'!F1443:P4990,11,0)</f>
        <v>#N/A</v>
      </c>
      <c r="D1445" s="15" t="e">
        <f>VLOOKUP(A1445,'[1]Master clients'!F:M,8,0)</f>
        <v>#N/A</v>
      </c>
      <c r="E1445" s="12"/>
      <c r="F1445" s="6"/>
      <c r="G1445" s="6"/>
      <c r="H1445" s="6"/>
      <c r="I1445" s="43"/>
      <c r="J1445" s="43"/>
      <c r="K1445" s="6"/>
      <c r="L1445" s="6"/>
      <c r="M1445" s="6"/>
      <c r="N1445" s="6"/>
      <c r="O1445" s="6"/>
      <c r="P1445" s="6"/>
      <c r="Q1445" s="6"/>
      <c r="R1445" s="6"/>
      <c r="S1445" s="6"/>
      <c r="T1445" s="6"/>
      <c r="U1445" s="6"/>
      <c r="V1445" s="6"/>
      <c r="W1445" s="6"/>
      <c r="X1445" s="6"/>
      <c r="Y1445" s="6"/>
      <c r="Z1445" s="6"/>
      <c r="AA1445" s="6"/>
      <c r="AB1445" s="6"/>
      <c r="AC1445" s="6"/>
      <c r="AD1445" s="6"/>
      <c r="AE1445" s="6"/>
      <c r="AF1445" s="6"/>
      <c r="AG1445" s="6"/>
      <c r="AH1445" s="6"/>
      <c r="AI1445" s="6"/>
      <c r="AJ1445" s="6"/>
      <c r="AK1445" s="6"/>
      <c r="AL1445" s="6"/>
      <c r="AM1445" s="6"/>
      <c r="AN1445" s="6"/>
      <c r="AO1445" s="6"/>
      <c r="AP1445" s="6"/>
      <c r="AQ1445" s="6"/>
      <c r="AR1445" s="6"/>
      <c r="AS1445" s="6"/>
      <c r="AT1445" s="6"/>
      <c r="AU1445" s="6"/>
      <c r="AV1445" s="6"/>
      <c r="AW1445" s="6"/>
      <c r="AX1445" s="6"/>
      <c r="AY1445" s="6"/>
      <c r="AZ1445" s="6"/>
      <c r="BA1445" s="6"/>
      <c r="BB1445" s="6"/>
      <c r="BC1445" s="6"/>
      <c r="BD1445" s="6"/>
      <c r="BE1445" s="6"/>
      <c r="BF1445" s="6"/>
      <c r="BG1445" s="6"/>
      <c r="BH1445" s="6"/>
      <c r="BI1445" s="6"/>
      <c r="BJ1445" s="6"/>
      <c r="BK1445" s="6"/>
      <c r="BL1445" s="44"/>
      <c r="BM1445" s="44"/>
      <c r="BN1445" s="45"/>
      <c r="BO1445" s="45"/>
      <c r="BP1445" s="7"/>
      <c r="BQ1445" s="7" t="e">
        <f>VLOOKUP(A1445,[1]Sheet15!B:E,3,0)</f>
        <v>#N/A</v>
      </c>
    </row>
    <row r="1446" spans="1:69" ht="15.75" customHeight="1" x14ac:dyDescent="0.25">
      <c r="A1446" s="12"/>
      <c r="B1446" s="15" t="e">
        <f>VLOOKUP(A1446,'[1]Master clients'!F1444:W4991,17,0)</f>
        <v>#N/A</v>
      </c>
      <c r="C1446" s="15" t="e">
        <f>VLOOKUP(A1446,'[1]Master clients'!F1444:P4991,11,0)</f>
        <v>#N/A</v>
      </c>
      <c r="D1446" s="15" t="e">
        <f>VLOOKUP(A1446,'[1]Master clients'!F:M,8,0)</f>
        <v>#N/A</v>
      </c>
      <c r="E1446" s="12"/>
      <c r="F1446" s="6"/>
      <c r="G1446" s="6"/>
      <c r="H1446" s="6"/>
      <c r="I1446" s="43"/>
      <c r="J1446" s="43"/>
      <c r="K1446" s="6"/>
      <c r="L1446" s="6"/>
      <c r="M1446" s="6"/>
      <c r="N1446" s="6"/>
      <c r="O1446" s="6"/>
      <c r="P1446" s="6"/>
      <c r="Q1446" s="6"/>
      <c r="R1446" s="6"/>
      <c r="S1446" s="6"/>
      <c r="T1446" s="6"/>
      <c r="U1446" s="6"/>
      <c r="V1446" s="6"/>
      <c r="W1446" s="6"/>
      <c r="X1446" s="6"/>
      <c r="Y1446" s="6"/>
      <c r="Z1446" s="6"/>
      <c r="AA1446" s="6"/>
      <c r="AB1446" s="6"/>
      <c r="AC1446" s="6"/>
      <c r="AD1446" s="6"/>
      <c r="AE1446" s="6"/>
      <c r="AF1446" s="6"/>
      <c r="AG1446" s="6"/>
      <c r="AH1446" s="6"/>
      <c r="AI1446" s="6"/>
      <c r="AJ1446" s="6"/>
      <c r="AK1446" s="6"/>
      <c r="AL1446" s="6"/>
      <c r="AM1446" s="6"/>
      <c r="AN1446" s="6"/>
      <c r="AO1446" s="6"/>
      <c r="AP1446" s="6"/>
      <c r="AQ1446" s="6"/>
      <c r="AR1446" s="6"/>
      <c r="AS1446" s="6"/>
      <c r="AT1446" s="6"/>
      <c r="AU1446" s="6"/>
      <c r="AV1446" s="6"/>
      <c r="AW1446" s="6"/>
      <c r="AX1446" s="6"/>
      <c r="AY1446" s="6"/>
      <c r="AZ1446" s="6"/>
      <c r="BA1446" s="6"/>
      <c r="BB1446" s="6"/>
      <c r="BC1446" s="6"/>
      <c r="BD1446" s="6"/>
      <c r="BE1446" s="6"/>
      <c r="BF1446" s="6"/>
      <c r="BG1446" s="6"/>
      <c r="BH1446" s="6"/>
      <c r="BI1446" s="6"/>
      <c r="BJ1446" s="6"/>
      <c r="BK1446" s="6"/>
      <c r="BL1446" s="44"/>
      <c r="BM1446" s="44"/>
      <c r="BN1446" s="45"/>
      <c r="BO1446" s="45"/>
      <c r="BP1446" s="7"/>
      <c r="BQ1446" s="7" t="e">
        <f>VLOOKUP(A1446,[1]Sheet15!B:E,3,0)</f>
        <v>#N/A</v>
      </c>
    </row>
    <row r="1447" spans="1:69" ht="15.75" customHeight="1" x14ac:dyDescent="0.25">
      <c r="A1447" s="12"/>
      <c r="B1447" s="15" t="e">
        <f>VLOOKUP(A1447,'[1]Master clients'!F1445:W4992,17,0)</f>
        <v>#N/A</v>
      </c>
      <c r="C1447" s="15" t="e">
        <f>VLOOKUP(A1447,'[1]Master clients'!F1445:P4992,11,0)</f>
        <v>#N/A</v>
      </c>
      <c r="D1447" s="15" t="e">
        <f>VLOOKUP(A1447,'[1]Master clients'!F:M,8,0)</f>
        <v>#N/A</v>
      </c>
      <c r="E1447" s="12"/>
      <c r="F1447" s="6"/>
      <c r="G1447" s="6"/>
      <c r="H1447" s="6"/>
      <c r="I1447" s="43"/>
      <c r="J1447" s="43"/>
      <c r="K1447" s="6"/>
      <c r="L1447" s="6"/>
      <c r="M1447" s="6"/>
      <c r="N1447" s="6"/>
      <c r="O1447" s="6"/>
      <c r="P1447" s="6"/>
      <c r="Q1447" s="6"/>
      <c r="R1447" s="6"/>
      <c r="S1447" s="6"/>
      <c r="T1447" s="6"/>
      <c r="U1447" s="6"/>
      <c r="V1447" s="6"/>
      <c r="W1447" s="6"/>
      <c r="X1447" s="6"/>
      <c r="Y1447" s="6"/>
      <c r="Z1447" s="6"/>
      <c r="AA1447" s="6"/>
      <c r="AB1447" s="6"/>
      <c r="AC1447" s="6"/>
      <c r="AD1447" s="6"/>
      <c r="AE1447" s="6"/>
      <c r="AF1447" s="6"/>
      <c r="AG1447" s="6"/>
      <c r="AH1447" s="6"/>
      <c r="AI1447" s="6"/>
      <c r="AJ1447" s="6"/>
      <c r="AK1447" s="6"/>
      <c r="AL1447" s="6"/>
      <c r="AM1447" s="6"/>
      <c r="AN1447" s="6"/>
      <c r="AO1447" s="6"/>
      <c r="AP1447" s="6"/>
      <c r="AQ1447" s="6"/>
      <c r="AR1447" s="6"/>
      <c r="AS1447" s="6"/>
      <c r="AT1447" s="6"/>
      <c r="AU1447" s="6"/>
      <c r="AV1447" s="6"/>
      <c r="AW1447" s="6"/>
      <c r="AX1447" s="6"/>
      <c r="AY1447" s="6"/>
      <c r="AZ1447" s="6"/>
      <c r="BA1447" s="6"/>
      <c r="BB1447" s="6"/>
      <c r="BC1447" s="6"/>
      <c r="BD1447" s="6"/>
      <c r="BE1447" s="6"/>
      <c r="BF1447" s="6"/>
      <c r="BG1447" s="6"/>
      <c r="BH1447" s="6"/>
      <c r="BI1447" s="6"/>
      <c r="BJ1447" s="6"/>
      <c r="BK1447" s="6"/>
      <c r="BL1447" s="44"/>
      <c r="BM1447" s="44"/>
      <c r="BN1447" s="45"/>
      <c r="BO1447" s="45"/>
      <c r="BP1447" s="7"/>
      <c r="BQ1447" s="7" t="e">
        <f>VLOOKUP(A1447,[1]Sheet15!B:E,3,0)</f>
        <v>#N/A</v>
      </c>
    </row>
    <row r="1448" spans="1:69" ht="15.75" customHeight="1" x14ac:dyDescent="0.25">
      <c r="A1448" s="12"/>
      <c r="B1448" s="15" t="e">
        <f>VLOOKUP(A1448,'[1]Master clients'!F1446:W4993,17,0)</f>
        <v>#N/A</v>
      </c>
      <c r="C1448" s="15" t="e">
        <f>VLOOKUP(A1448,'[1]Master clients'!F1446:P4993,11,0)</f>
        <v>#N/A</v>
      </c>
      <c r="D1448" s="15" t="e">
        <f>VLOOKUP(A1448,'[1]Master clients'!F:M,8,0)</f>
        <v>#N/A</v>
      </c>
      <c r="E1448" s="12"/>
      <c r="F1448" s="6"/>
      <c r="G1448" s="6"/>
      <c r="H1448" s="6"/>
      <c r="I1448" s="43"/>
      <c r="J1448" s="43"/>
      <c r="K1448" s="6"/>
      <c r="L1448" s="6"/>
      <c r="M1448" s="6"/>
      <c r="N1448" s="6"/>
      <c r="O1448" s="6"/>
      <c r="P1448" s="6"/>
      <c r="Q1448" s="6"/>
      <c r="R1448" s="6"/>
      <c r="S1448" s="6"/>
      <c r="T1448" s="6"/>
      <c r="U1448" s="6"/>
      <c r="V1448" s="6"/>
      <c r="W1448" s="6"/>
      <c r="X1448" s="6"/>
      <c r="Y1448" s="6"/>
      <c r="Z1448" s="6"/>
      <c r="AA1448" s="6"/>
      <c r="AB1448" s="6"/>
      <c r="AC1448" s="6"/>
      <c r="AD1448" s="6"/>
      <c r="AE1448" s="6"/>
      <c r="AF1448" s="6"/>
      <c r="AG1448" s="6"/>
      <c r="AH1448" s="6"/>
      <c r="AI1448" s="6"/>
      <c r="AJ1448" s="6"/>
      <c r="AK1448" s="6"/>
      <c r="AL1448" s="6"/>
      <c r="AM1448" s="6"/>
      <c r="AN1448" s="6"/>
      <c r="AO1448" s="6"/>
      <c r="AP1448" s="6"/>
      <c r="AQ1448" s="6"/>
      <c r="AR1448" s="6"/>
      <c r="AS1448" s="6"/>
      <c r="AT1448" s="6"/>
      <c r="AU1448" s="6"/>
      <c r="AV1448" s="6"/>
      <c r="AW1448" s="6"/>
      <c r="AX1448" s="6"/>
      <c r="AY1448" s="6"/>
      <c r="AZ1448" s="6"/>
      <c r="BA1448" s="6"/>
      <c r="BB1448" s="6"/>
      <c r="BC1448" s="6"/>
      <c r="BD1448" s="6"/>
      <c r="BE1448" s="6"/>
      <c r="BF1448" s="6"/>
      <c r="BG1448" s="6"/>
      <c r="BH1448" s="6"/>
      <c r="BI1448" s="6"/>
      <c r="BJ1448" s="6"/>
      <c r="BK1448" s="6"/>
      <c r="BL1448" s="44"/>
      <c r="BM1448" s="44"/>
      <c r="BN1448" s="45"/>
      <c r="BO1448" s="45"/>
      <c r="BP1448" s="7"/>
      <c r="BQ1448" s="7" t="e">
        <f>VLOOKUP(A1448,[1]Sheet15!B:E,3,0)</f>
        <v>#N/A</v>
      </c>
    </row>
    <row r="1449" spans="1:69" ht="15.75" customHeight="1" x14ac:dyDescent="0.25">
      <c r="A1449" s="12"/>
      <c r="B1449" s="15" t="e">
        <f>VLOOKUP(A1449,'[1]Master clients'!F1447:W4994,17,0)</f>
        <v>#N/A</v>
      </c>
      <c r="C1449" s="15" t="e">
        <f>VLOOKUP(A1449,'[1]Master clients'!F1447:P4994,11,0)</f>
        <v>#N/A</v>
      </c>
      <c r="D1449" s="15" t="e">
        <f>VLOOKUP(A1449,'[1]Master clients'!F:M,8,0)</f>
        <v>#N/A</v>
      </c>
      <c r="E1449" s="12"/>
      <c r="F1449" s="6"/>
      <c r="G1449" s="6"/>
      <c r="H1449" s="6"/>
      <c r="I1449" s="43"/>
      <c r="J1449" s="43"/>
      <c r="K1449" s="6"/>
      <c r="L1449" s="6"/>
      <c r="M1449" s="6"/>
      <c r="N1449" s="6"/>
      <c r="O1449" s="6"/>
      <c r="P1449" s="6"/>
      <c r="Q1449" s="6"/>
      <c r="R1449" s="6"/>
      <c r="S1449" s="6"/>
      <c r="T1449" s="6"/>
      <c r="U1449" s="6"/>
      <c r="V1449" s="6"/>
      <c r="W1449" s="6"/>
      <c r="X1449" s="6"/>
      <c r="Y1449" s="6"/>
      <c r="Z1449" s="6"/>
      <c r="AA1449" s="6"/>
      <c r="AB1449" s="6"/>
      <c r="AC1449" s="6"/>
      <c r="AD1449" s="6"/>
      <c r="AE1449" s="6"/>
      <c r="AF1449" s="6"/>
      <c r="AG1449" s="6"/>
      <c r="AH1449" s="6"/>
      <c r="AI1449" s="6"/>
      <c r="AJ1449" s="6"/>
      <c r="AK1449" s="6"/>
      <c r="AL1449" s="6"/>
      <c r="AM1449" s="6"/>
      <c r="AN1449" s="6"/>
      <c r="AO1449" s="6"/>
      <c r="AP1449" s="6"/>
      <c r="AQ1449" s="6"/>
      <c r="AR1449" s="6"/>
      <c r="AS1449" s="6"/>
      <c r="AT1449" s="6"/>
      <c r="AU1449" s="6"/>
      <c r="AV1449" s="6"/>
      <c r="AW1449" s="6"/>
      <c r="AX1449" s="6"/>
      <c r="AY1449" s="6"/>
      <c r="AZ1449" s="6"/>
      <c r="BA1449" s="6"/>
      <c r="BB1449" s="6"/>
      <c r="BC1449" s="6"/>
      <c r="BD1449" s="6"/>
      <c r="BE1449" s="6"/>
      <c r="BF1449" s="6"/>
      <c r="BG1449" s="6"/>
      <c r="BH1449" s="6"/>
      <c r="BI1449" s="6"/>
      <c r="BJ1449" s="6"/>
      <c r="BK1449" s="6"/>
      <c r="BL1449" s="44"/>
      <c r="BM1449" s="44"/>
      <c r="BN1449" s="45"/>
      <c r="BO1449" s="45"/>
      <c r="BP1449" s="7"/>
      <c r="BQ1449" s="7" t="e">
        <f>VLOOKUP(A1449,[1]Sheet15!B:E,3,0)</f>
        <v>#N/A</v>
      </c>
    </row>
    <row r="1450" spans="1:69" ht="15.75" customHeight="1" x14ac:dyDescent="0.25">
      <c r="A1450" s="12"/>
      <c r="B1450" s="15" t="e">
        <f>VLOOKUP(A1450,'[1]Master clients'!F1448:W4995,17,0)</f>
        <v>#N/A</v>
      </c>
      <c r="C1450" s="15" t="e">
        <f>VLOOKUP(A1450,'[1]Master clients'!F1448:P4995,11,0)</f>
        <v>#N/A</v>
      </c>
      <c r="D1450" s="15" t="e">
        <f>VLOOKUP(A1450,'[1]Master clients'!F:M,8,0)</f>
        <v>#N/A</v>
      </c>
      <c r="E1450" s="12"/>
      <c r="F1450" s="6"/>
      <c r="G1450" s="6"/>
      <c r="H1450" s="6"/>
      <c r="I1450" s="43"/>
      <c r="J1450" s="43"/>
      <c r="K1450" s="6"/>
      <c r="L1450" s="6"/>
      <c r="M1450" s="6"/>
      <c r="N1450" s="6"/>
      <c r="O1450" s="6"/>
      <c r="P1450" s="6"/>
      <c r="Q1450" s="6"/>
      <c r="R1450" s="6"/>
      <c r="S1450" s="6"/>
      <c r="T1450" s="6"/>
      <c r="U1450" s="6"/>
      <c r="V1450" s="6"/>
      <c r="W1450" s="6"/>
      <c r="X1450" s="6"/>
      <c r="Y1450" s="6"/>
      <c r="Z1450" s="6"/>
      <c r="AA1450" s="6"/>
      <c r="AB1450" s="6"/>
      <c r="AC1450" s="6"/>
      <c r="AD1450" s="6"/>
      <c r="AE1450" s="6"/>
      <c r="AF1450" s="6"/>
      <c r="AG1450" s="6"/>
      <c r="AH1450" s="6"/>
      <c r="AI1450" s="6"/>
      <c r="AJ1450" s="6"/>
      <c r="AK1450" s="6"/>
      <c r="AL1450" s="6"/>
      <c r="AM1450" s="6"/>
      <c r="AN1450" s="6"/>
      <c r="AO1450" s="6"/>
      <c r="AP1450" s="6"/>
      <c r="AQ1450" s="6"/>
      <c r="AR1450" s="6"/>
      <c r="AS1450" s="6"/>
      <c r="AT1450" s="6"/>
      <c r="AU1450" s="6"/>
      <c r="AV1450" s="6"/>
      <c r="AW1450" s="6"/>
      <c r="AX1450" s="6"/>
      <c r="AY1450" s="6"/>
      <c r="AZ1450" s="6"/>
      <c r="BA1450" s="6"/>
      <c r="BB1450" s="6"/>
      <c r="BC1450" s="6"/>
      <c r="BD1450" s="6"/>
      <c r="BE1450" s="6"/>
      <c r="BF1450" s="6"/>
      <c r="BG1450" s="6"/>
      <c r="BH1450" s="6"/>
      <c r="BI1450" s="6"/>
      <c r="BJ1450" s="6"/>
      <c r="BK1450" s="6"/>
      <c r="BL1450" s="44"/>
      <c r="BM1450" s="44"/>
      <c r="BN1450" s="45"/>
      <c r="BO1450" s="45"/>
      <c r="BP1450" s="7"/>
      <c r="BQ1450" s="7" t="e">
        <f>VLOOKUP(A1450,[1]Sheet15!B:E,3,0)</f>
        <v>#N/A</v>
      </c>
    </row>
    <row r="1451" spans="1:69" ht="15.75" customHeight="1" x14ac:dyDescent="0.25">
      <c r="A1451" s="12"/>
      <c r="B1451" s="15" t="e">
        <f>VLOOKUP(A1451,'[1]Master clients'!F1449:W4996,17,0)</f>
        <v>#N/A</v>
      </c>
      <c r="C1451" s="15" t="e">
        <f>VLOOKUP(A1451,'[1]Master clients'!F1449:P4996,11,0)</f>
        <v>#N/A</v>
      </c>
      <c r="D1451" s="15" t="e">
        <f>VLOOKUP(A1451,'[1]Master clients'!F:M,8,0)</f>
        <v>#N/A</v>
      </c>
      <c r="E1451" s="12"/>
      <c r="F1451" s="6"/>
      <c r="G1451" s="6"/>
      <c r="H1451" s="6"/>
      <c r="I1451" s="43"/>
      <c r="J1451" s="43"/>
      <c r="K1451" s="6"/>
      <c r="L1451" s="6"/>
      <c r="M1451" s="6"/>
      <c r="N1451" s="6"/>
      <c r="O1451" s="6"/>
      <c r="P1451" s="6"/>
      <c r="Q1451" s="6"/>
      <c r="R1451" s="6"/>
      <c r="S1451" s="6"/>
      <c r="T1451" s="6"/>
      <c r="U1451" s="6"/>
      <c r="V1451" s="6"/>
      <c r="W1451" s="6"/>
      <c r="X1451" s="6"/>
      <c r="Y1451" s="6"/>
      <c r="Z1451" s="6"/>
      <c r="AA1451" s="6"/>
      <c r="AB1451" s="6"/>
      <c r="AC1451" s="6"/>
      <c r="AD1451" s="6"/>
      <c r="AE1451" s="6"/>
      <c r="AF1451" s="6"/>
      <c r="AG1451" s="6"/>
      <c r="AH1451" s="6"/>
      <c r="AI1451" s="6"/>
      <c r="AJ1451" s="6"/>
      <c r="AK1451" s="6"/>
      <c r="AL1451" s="6"/>
      <c r="AM1451" s="6"/>
      <c r="AN1451" s="6"/>
      <c r="AO1451" s="6"/>
      <c r="AP1451" s="6"/>
      <c r="AQ1451" s="6"/>
      <c r="AR1451" s="6"/>
      <c r="AS1451" s="6"/>
      <c r="AT1451" s="6"/>
      <c r="AU1451" s="6"/>
      <c r="AV1451" s="6"/>
      <c r="AW1451" s="6"/>
      <c r="AX1451" s="6"/>
      <c r="AY1451" s="6"/>
      <c r="AZ1451" s="6"/>
      <c r="BA1451" s="6"/>
      <c r="BB1451" s="6"/>
      <c r="BC1451" s="6"/>
      <c r="BD1451" s="6"/>
      <c r="BE1451" s="6"/>
      <c r="BF1451" s="6"/>
      <c r="BG1451" s="6"/>
      <c r="BH1451" s="6"/>
      <c r="BI1451" s="6"/>
      <c r="BJ1451" s="6"/>
      <c r="BK1451" s="6"/>
      <c r="BL1451" s="44"/>
      <c r="BM1451" s="44"/>
      <c r="BN1451" s="45"/>
      <c r="BO1451" s="45"/>
      <c r="BP1451" s="7"/>
      <c r="BQ1451" s="7" t="e">
        <f>VLOOKUP(A1451,[1]Sheet15!B:E,3,0)</f>
        <v>#N/A</v>
      </c>
    </row>
    <row r="1452" spans="1:69" ht="15.75" customHeight="1" x14ac:dyDescent="0.25">
      <c r="A1452" s="12"/>
      <c r="B1452" s="15" t="e">
        <f>VLOOKUP(A1452,'[1]Master clients'!F1450:W4997,17,0)</f>
        <v>#N/A</v>
      </c>
      <c r="C1452" s="15" t="e">
        <f>VLOOKUP(A1452,'[1]Master clients'!F1450:P4997,11,0)</f>
        <v>#N/A</v>
      </c>
      <c r="D1452" s="15" t="e">
        <f>VLOOKUP(A1452,'[1]Master clients'!F:M,8,0)</f>
        <v>#N/A</v>
      </c>
      <c r="E1452" s="12"/>
      <c r="F1452" s="6"/>
      <c r="G1452" s="6"/>
      <c r="H1452" s="6"/>
      <c r="I1452" s="43"/>
      <c r="J1452" s="43"/>
      <c r="K1452" s="6"/>
      <c r="L1452" s="6"/>
      <c r="M1452" s="6"/>
      <c r="N1452" s="6"/>
      <c r="O1452" s="6"/>
      <c r="P1452" s="6"/>
      <c r="Q1452" s="6"/>
      <c r="R1452" s="6"/>
      <c r="S1452" s="6"/>
      <c r="T1452" s="6"/>
      <c r="U1452" s="6"/>
      <c r="V1452" s="6"/>
      <c r="W1452" s="6"/>
      <c r="X1452" s="6"/>
      <c r="Y1452" s="6"/>
      <c r="Z1452" s="6"/>
      <c r="AA1452" s="6"/>
      <c r="AB1452" s="6"/>
      <c r="AC1452" s="6"/>
      <c r="AD1452" s="6"/>
      <c r="AE1452" s="6"/>
      <c r="AF1452" s="6"/>
      <c r="AG1452" s="6"/>
      <c r="AH1452" s="6"/>
      <c r="AI1452" s="6"/>
      <c r="AJ1452" s="6"/>
      <c r="AK1452" s="6"/>
      <c r="AL1452" s="6"/>
      <c r="AM1452" s="6"/>
      <c r="AN1452" s="6"/>
      <c r="AO1452" s="6"/>
      <c r="AP1452" s="6"/>
      <c r="AQ1452" s="6"/>
      <c r="AR1452" s="6"/>
      <c r="AS1452" s="6"/>
      <c r="AT1452" s="6"/>
      <c r="AU1452" s="6"/>
      <c r="AV1452" s="6"/>
      <c r="AW1452" s="6"/>
      <c r="AX1452" s="6"/>
      <c r="AY1452" s="6"/>
      <c r="AZ1452" s="6"/>
      <c r="BA1452" s="6"/>
      <c r="BB1452" s="6"/>
      <c r="BC1452" s="6"/>
      <c r="BD1452" s="6"/>
      <c r="BE1452" s="6"/>
      <c r="BF1452" s="6"/>
      <c r="BG1452" s="6"/>
      <c r="BH1452" s="6"/>
      <c r="BI1452" s="6"/>
      <c r="BJ1452" s="6"/>
      <c r="BK1452" s="6"/>
      <c r="BL1452" s="44"/>
      <c r="BM1452" s="44"/>
      <c r="BN1452" s="45"/>
      <c r="BO1452" s="45"/>
      <c r="BP1452" s="7"/>
      <c r="BQ1452" s="7" t="e">
        <f>VLOOKUP(A1452,[1]Sheet15!B:E,3,0)</f>
        <v>#N/A</v>
      </c>
    </row>
    <row r="1453" spans="1:69" ht="15.75" customHeight="1" x14ac:dyDescent="0.25">
      <c r="A1453" s="12"/>
      <c r="B1453" s="15" t="e">
        <f>VLOOKUP(A1453,'[1]Master clients'!F1451:W4998,17,0)</f>
        <v>#N/A</v>
      </c>
      <c r="C1453" s="15" t="e">
        <f>VLOOKUP(A1453,'[1]Master clients'!F1451:P4998,11,0)</f>
        <v>#N/A</v>
      </c>
      <c r="D1453" s="15" t="e">
        <f>VLOOKUP(A1453,'[1]Master clients'!F:M,8,0)</f>
        <v>#N/A</v>
      </c>
      <c r="E1453" s="12"/>
      <c r="F1453" s="6"/>
      <c r="G1453" s="6"/>
      <c r="H1453" s="6"/>
      <c r="I1453" s="43"/>
      <c r="J1453" s="43"/>
      <c r="K1453" s="6"/>
      <c r="L1453" s="6"/>
      <c r="M1453" s="6"/>
      <c r="N1453" s="6"/>
      <c r="O1453" s="6"/>
      <c r="P1453" s="6"/>
      <c r="Q1453" s="6"/>
      <c r="R1453" s="6"/>
      <c r="S1453" s="6"/>
      <c r="T1453" s="6"/>
      <c r="U1453" s="6"/>
      <c r="V1453" s="6"/>
      <c r="W1453" s="6"/>
      <c r="X1453" s="6"/>
      <c r="Y1453" s="6"/>
      <c r="Z1453" s="6"/>
      <c r="AA1453" s="6"/>
      <c r="AB1453" s="6"/>
      <c r="AC1453" s="6"/>
      <c r="AD1453" s="6"/>
      <c r="AE1453" s="6"/>
      <c r="AF1453" s="6"/>
      <c r="AG1453" s="6"/>
      <c r="AH1453" s="6"/>
      <c r="AI1453" s="6"/>
      <c r="AJ1453" s="6"/>
      <c r="AK1453" s="6"/>
      <c r="AL1453" s="6"/>
      <c r="AM1453" s="6"/>
      <c r="AN1453" s="6"/>
      <c r="AO1453" s="6"/>
      <c r="AP1453" s="6"/>
      <c r="AQ1453" s="6"/>
      <c r="AR1453" s="6"/>
      <c r="AS1453" s="6"/>
      <c r="AT1453" s="6"/>
      <c r="AU1453" s="6"/>
      <c r="AV1453" s="6"/>
      <c r="AW1453" s="6"/>
      <c r="AX1453" s="6"/>
      <c r="AY1453" s="6"/>
      <c r="AZ1453" s="6"/>
      <c r="BA1453" s="6"/>
      <c r="BB1453" s="6"/>
      <c r="BC1453" s="6"/>
      <c r="BD1453" s="6"/>
      <c r="BE1453" s="6"/>
      <c r="BF1453" s="6"/>
      <c r="BG1453" s="6"/>
      <c r="BH1453" s="6"/>
      <c r="BI1453" s="6"/>
      <c r="BJ1453" s="6"/>
      <c r="BK1453" s="6"/>
      <c r="BL1453" s="44"/>
      <c r="BM1453" s="44"/>
      <c r="BN1453" s="45"/>
      <c r="BO1453" s="45"/>
      <c r="BP1453" s="7"/>
      <c r="BQ1453" s="7" t="e">
        <f>VLOOKUP(A1453,[1]Sheet15!B:E,3,0)</f>
        <v>#N/A</v>
      </c>
    </row>
    <row r="1454" spans="1:69" ht="15.75" customHeight="1" x14ac:dyDescent="0.25">
      <c r="A1454" s="12"/>
      <c r="B1454" s="15" t="e">
        <f>VLOOKUP(A1454,'[1]Master clients'!F1452:W4999,17,0)</f>
        <v>#N/A</v>
      </c>
      <c r="C1454" s="15" t="e">
        <f>VLOOKUP(A1454,'[1]Master clients'!F1452:P4999,11,0)</f>
        <v>#N/A</v>
      </c>
      <c r="D1454" s="15" t="e">
        <f>VLOOKUP(A1454,'[1]Master clients'!F:M,8,0)</f>
        <v>#N/A</v>
      </c>
      <c r="E1454" s="12"/>
      <c r="F1454" s="6"/>
      <c r="G1454" s="6"/>
      <c r="H1454" s="6"/>
      <c r="I1454" s="43"/>
      <c r="J1454" s="43"/>
      <c r="K1454" s="6"/>
      <c r="L1454" s="6"/>
      <c r="M1454" s="6"/>
      <c r="N1454" s="6"/>
      <c r="O1454" s="6"/>
      <c r="P1454" s="6"/>
      <c r="Q1454" s="6"/>
      <c r="R1454" s="6"/>
      <c r="S1454" s="6"/>
      <c r="T1454" s="6"/>
      <c r="U1454" s="6"/>
      <c r="V1454" s="6"/>
      <c r="W1454" s="6"/>
      <c r="X1454" s="6"/>
      <c r="Y1454" s="6"/>
      <c r="Z1454" s="6"/>
      <c r="AA1454" s="6"/>
      <c r="AB1454" s="6"/>
      <c r="AC1454" s="6"/>
      <c r="AD1454" s="6"/>
      <c r="AE1454" s="6"/>
      <c r="AF1454" s="6"/>
      <c r="AG1454" s="6"/>
      <c r="AH1454" s="6"/>
      <c r="AI1454" s="6"/>
      <c r="AJ1454" s="6"/>
      <c r="AK1454" s="6"/>
      <c r="AL1454" s="6"/>
      <c r="AM1454" s="6"/>
      <c r="AN1454" s="6"/>
      <c r="AO1454" s="6"/>
      <c r="AP1454" s="6"/>
      <c r="AQ1454" s="6"/>
      <c r="AR1454" s="6"/>
      <c r="AS1454" s="6"/>
      <c r="AT1454" s="6"/>
      <c r="AU1454" s="6"/>
      <c r="AV1454" s="6"/>
      <c r="AW1454" s="6"/>
      <c r="AX1454" s="6"/>
      <c r="AY1454" s="6"/>
      <c r="AZ1454" s="6"/>
      <c r="BA1454" s="6"/>
      <c r="BB1454" s="6"/>
      <c r="BC1454" s="6"/>
      <c r="BD1454" s="6"/>
      <c r="BE1454" s="6"/>
      <c r="BF1454" s="6"/>
      <c r="BG1454" s="6"/>
      <c r="BH1454" s="6"/>
      <c r="BI1454" s="6"/>
      <c r="BJ1454" s="6"/>
      <c r="BK1454" s="6"/>
      <c r="BL1454" s="44"/>
      <c r="BM1454" s="44"/>
      <c r="BN1454" s="45"/>
      <c r="BO1454" s="45"/>
      <c r="BP1454" s="7"/>
      <c r="BQ1454" s="45"/>
    </row>
    <row r="1455" spans="1:69" ht="15.75" customHeight="1" x14ac:dyDescent="0.25">
      <c r="A1455" s="12"/>
      <c r="B1455" s="15" t="e">
        <f>VLOOKUP(A1455,'[1]Master clients'!F1453:W5000,17,0)</f>
        <v>#N/A</v>
      </c>
      <c r="C1455" s="15" t="e">
        <f>VLOOKUP(A1455,'[1]Master clients'!F1453:P5000,11,0)</f>
        <v>#N/A</v>
      </c>
      <c r="D1455" s="15" t="e">
        <f>VLOOKUP(A1455,'[1]Master clients'!F:M,8,0)</f>
        <v>#N/A</v>
      </c>
      <c r="E1455" s="12"/>
      <c r="F1455" s="6"/>
      <c r="G1455" s="6"/>
      <c r="H1455" s="6"/>
      <c r="I1455" s="43"/>
      <c r="J1455" s="43"/>
      <c r="K1455" s="6"/>
      <c r="L1455" s="6"/>
      <c r="M1455" s="6"/>
      <c r="N1455" s="6"/>
      <c r="O1455" s="6"/>
      <c r="P1455" s="6"/>
      <c r="Q1455" s="6"/>
      <c r="R1455" s="6"/>
      <c r="S1455" s="6"/>
      <c r="T1455" s="6"/>
      <c r="U1455" s="6"/>
      <c r="V1455" s="6"/>
      <c r="W1455" s="6"/>
      <c r="X1455" s="6"/>
      <c r="Y1455" s="6"/>
      <c r="Z1455" s="6"/>
      <c r="AA1455" s="6"/>
      <c r="AB1455" s="6"/>
      <c r="AC1455" s="6"/>
      <c r="AD1455" s="6"/>
      <c r="AE1455" s="6"/>
      <c r="AF1455" s="6"/>
      <c r="AG1455" s="6"/>
      <c r="AH1455" s="6"/>
      <c r="AI1455" s="6"/>
      <c r="AJ1455" s="6"/>
      <c r="AK1455" s="6"/>
      <c r="AL1455" s="6"/>
      <c r="AM1455" s="6"/>
      <c r="AN1455" s="6"/>
      <c r="AO1455" s="6"/>
      <c r="AP1455" s="6"/>
      <c r="AQ1455" s="6"/>
      <c r="AR1455" s="6"/>
      <c r="AS1455" s="6"/>
      <c r="AT1455" s="6"/>
      <c r="AU1455" s="6"/>
      <c r="AV1455" s="6"/>
      <c r="AW1455" s="6"/>
      <c r="AX1455" s="6"/>
      <c r="AY1455" s="6"/>
      <c r="AZ1455" s="6"/>
      <c r="BA1455" s="6"/>
      <c r="BB1455" s="6"/>
      <c r="BC1455" s="6"/>
      <c r="BD1455" s="6"/>
      <c r="BE1455" s="6"/>
      <c r="BF1455" s="6"/>
      <c r="BG1455" s="6"/>
      <c r="BH1455" s="6"/>
      <c r="BI1455" s="6"/>
      <c r="BJ1455" s="6"/>
      <c r="BK1455" s="6"/>
      <c r="BL1455" s="44"/>
      <c r="BM1455" s="44"/>
      <c r="BN1455" s="45"/>
      <c r="BO1455" s="45"/>
      <c r="BP1455" s="7"/>
      <c r="BQ1455" s="45"/>
    </row>
    <row r="1456" spans="1:69" ht="15.75" customHeight="1" x14ac:dyDescent="0.25">
      <c r="A1456" s="12"/>
      <c r="B1456" s="15" t="e">
        <f>VLOOKUP(A1456,'[1]Master clients'!F1454:W5001,17,0)</f>
        <v>#N/A</v>
      </c>
      <c r="C1456" s="15" t="e">
        <f>VLOOKUP(A1456,'[1]Master clients'!F1454:P5001,11,0)</f>
        <v>#N/A</v>
      </c>
      <c r="D1456" s="15" t="e">
        <f>VLOOKUP(A1456,'[1]Master clients'!F:M,8,0)</f>
        <v>#N/A</v>
      </c>
      <c r="E1456" s="12"/>
      <c r="F1456" s="6"/>
      <c r="G1456" s="6"/>
      <c r="H1456" s="6"/>
      <c r="I1456" s="43"/>
      <c r="J1456" s="43"/>
      <c r="K1456" s="6"/>
      <c r="L1456" s="6"/>
      <c r="M1456" s="6"/>
      <c r="N1456" s="6"/>
      <c r="O1456" s="6"/>
      <c r="P1456" s="6"/>
      <c r="Q1456" s="6"/>
      <c r="R1456" s="6"/>
      <c r="S1456" s="6"/>
      <c r="T1456" s="6"/>
      <c r="U1456" s="6"/>
      <c r="V1456" s="6"/>
      <c r="W1456" s="6"/>
      <c r="X1456" s="6"/>
      <c r="Y1456" s="6"/>
      <c r="Z1456" s="6"/>
      <c r="AA1456" s="6"/>
      <c r="AB1456" s="6"/>
      <c r="AC1456" s="6"/>
      <c r="AD1456" s="6"/>
      <c r="AE1456" s="6"/>
      <c r="AF1456" s="6"/>
      <c r="AG1456" s="6"/>
      <c r="AH1456" s="6"/>
      <c r="AI1456" s="6"/>
      <c r="AJ1456" s="6"/>
      <c r="AK1456" s="6"/>
      <c r="AL1456" s="6"/>
      <c r="AM1456" s="6"/>
      <c r="AN1456" s="6"/>
      <c r="AO1456" s="6"/>
      <c r="AP1456" s="6"/>
      <c r="AQ1456" s="6"/>
      <c r="AR1456" s="6"/>
      <c r="AS1456" s="6"/>
      <c r="AT1456" s="6"/>
      <c r="AU1456" s="6"/>
      <c r="AV1456" s="6"/>
      <c r="AW1456" s="6"/>
      <c r="AX1456" s="6"/>
      <c r="AY1456" s="6"/>
      <c r="AZ1456" s="6"/>
      <c r="BA1456" s="6"/>
      <c r="BB1456" s="6"/>
      <c r="BC1456" s="6"/>
      <c r="BD1456" s="6"/>
      <c r="BE1456" s="6"/>
      <c r="BF1456" s="6"/>
      <c r="BG1456" s="6"/>
      <c r="BH1456" s="6"/>
      <c r="BI1456" s="6"/>
      <c r="BJ1456" s="6"/>
      <c r="BK1456" s="6"/>
      <c r="BL1456" s="44"/>
      <c r="BM1456" s="44"/>
      <c r="BN1456" s="45"/>
      <c r="BO1456" s="45"/>
      <c r="BP1456" s="7"/>
      <c r="BQ1456" s="45"/>
    </row>
    <row r="1457" spans="1:69" ht="15.75" customHeight="1" x14ac:dyDescent="0.25">
      <c r="A1457" s="12"/>
      <c r="B1457" s="15" t="e">
        <f>VLOOKUP(A1457,'[1]Master clients'!F1455:W5002,17,0)</f>
        <v>#N/A</v>
      </c>
      <c r="C1457" s="15" t="e">
        <f>VLOOKUP(A1457,'[1]Master clients'!F1455:P5002,11,0)</f>
        <v>#N/A</v>
      </c>
      <c r="D1457" s="15" t="e">
        <f>VLOOKUP(A1457,'[1]Master clients'!F:M,8,0)</f>
        <v>#N/A</v>
      </c>
      <c r="E1457" s="12"/>
      <c r="F1457" s="6"/>
      <c r="G1457" s="6"/>
      <c r="H1457" s="6"/>
      <c r="I1457" s="43"/>
      <c r="J1457" s="43"/>
      <c r="K1457" s="6"/>
      <c r="L1457" s="6"/>
      <c r="M1457" s="6"/>
      <c r="N1457" s="6"/>
      <c r="O1457" s="6"/>
      <c r="P1457" s="6"/>
      <c r="Q1457" s="6"/>
      <c r="R1457" s="6"/>
      <c r="S1457" s="6"/>
      <c r="T1457" s="6"/>
      <c r="U1457" s="6"/>
      <c r="V1457" s="6"/>
      <c r="W1457" s="6"/>
      <c r="X1457" s="6"/>
      <c r="Y1457" s="6"/>
      <c r="Z1457" s="6"/>
      <c r="AA1457" s="6"/>
      <c r="AB1457" s="6"/>
      <c r="AC1457" s="6"/>
      <c r="AD1457" s="6"/>
      <c r="AE1457" s="6"/>
      <c r="AF1457" s="6"/>
      <c r="AG1457" s="6"/>
      <c r="AH1457" s="6"/>
      <c r="AI1457" s="6"/>
      <c r="AJ1457" s="6"/>
      <c r="AK1457" s="6"/>
      <c r="AL1457" s="6"/>
      <c r="AM1457" s="6"/>
      <c r="AN1457" s="6"/>
      <c r="AO1457" s="6"/>
      <c r="AP1457" s="6"/>
      <c r="AQ1457" s="6"/>
      <c r="AR1457" s="6"/>
      <c r="AS1457" s="6"/>
      <c r="AT1457" s="6"/>
      <c r="AU1457" s="6"/>
      <c r="AV1457" s="6"/>
      <c r="AW1457" s="6"/>
      <c r="AX1457" s="6"/>
      <c r="AY1457" s="6"/>
      <c r="AZ1457" s="6"/>
      <c r="BA1457" s="6"/>
      <c r="BB1457" s="6"/>
      <c r="BC1457" s="6"/>
      <c r="BD1457" s="6"/>
      <c r="BE1457" s="6"/>
      <c r="BF1457" s="6"/>
      <c r="BG1457" s="6"/>
      <c r="BH1457" s="6"/>
      <c r="BI1457" s="6"/>
      <c r="BJ1457" s="6"/>
      <c r="BK1457" s="6"/>
      <c r="BL1457" s="44"/>
      <c r="BM1457" s="44"/>
      <c r="BN1457" s="45"/>
      <c r="BO1457" s="45"/>
      <c r="BP1457" s="7"/>
      <c r="BQ1457" s="45"/>
    </row>
    <row r="1458" spans="1:69" ht="15.75" customHeight="1" x14ac:dyDescent="0.25">
      <c r="A1458" s="12"/>
      <c r="B1458" s="15" t="e">
        <f>VLOOKUP(A1458,'[1]Master clients'!F1456:W5003,17,0)</f>
        <v>#N/A</v>
      </c>
      <c r="C1458" s="15" t="e">
        <f>VLOOKUP(A1458,'[1]Master clients'!F1456:P5003,11,0)</f>
        <v>#N/A</v>
      </c>
      <c r="D1458" s="15" t="e">
        <f>VLOOKUP(A1458,'[1]Master clients'!F:M,8,0)</f>
        <v>#N/A</v>
      </c>
      <c r="E1458" s="12"/>
      <c r="F1458" s="6"/>
      <c r="G1458" s="6"/>
      <c r="H1458" s="6"/>
      <c r="I1458" s="43"/>
      <c r="J1458" s="43"/>
      <c r="K1458" s="6"/>
      <c r="L1458" s="6"/>
      <c r="M1458" s="6"/>
      <c r="N1458" s="6"/>
      <c r="O1458" s="6"/>
      <c r="P1458" s="6"/>
      <c r="Q1458" s="6"/>
      <c r="R1458" s="6"/>
      <c r="S1458" s="6"/>
      <c r="T1458" s="6"/>
      <c r="U1458" s="6"/>
      <c r="V1458" s="6"/>
      <c r="W1458" s="6"/>
      <c r="X1458" s="6"/>
      <c r="Y1458" s="6"/>
      <c r="Z1458" s="6"/>
      <c r="AA1458" s="6"/>
      <c r="AB1458" s="6"/>
      <c r="AC1458" s="6"/>
      <c r="AD1458" s="6"/>
      <c r="AE1458" s="6"/>
      <c r="AF1458" s="6"/>
      <c r="AG1458" s="6"/>
      <c r="AH1458" s="6"/>
      <c r="AI1458" s="6"/>
      <c r="AJ1458" s="6"/>
      <c r="AK1458" s="6"/>
      <c r="AL1458" s="6"/>
      <c r="AM1458" s="6"/>
      <c r="AN1458" s="6"/>
      <c r="AO1458" s="6"/>
      <c r="AP1458" s="6"/>
      <c r="AQ1458" s="6"/>
      <c r="AR1458" s="6"/>
      <c r="AS1458" s="6"/>
      <c r="AT1458" s="6"/>
      <c r="AU1458" s="6"/>
      <c r="AV1458" s="6"/>
      <c r="AW1458" s="6"/>
      <c r="AX1458" s="6"/>
      <c r="AY1458" s="6"/>
      <c r="AZ1458" s="6"/>
      <c r="BA1458" s="6"/>
      <c r="BB1458" s="6"/>
      <c r="BC1458" s="6"/>
      <c r="BD1458" s="6"/>
      <c r="BE1458" s="6"/>
      <c r="BF1458" s="6"/>
      <c r="BG1458" s="6"/>
      <c r="BH1458" s="6"/>
      <c r="BI1458" s="6"/>
      <c r="BJ1458" s="6"/>
      <c r="BK1458" s="6"/>
      <c r="BL1458" s="44"/>
      <c r="BM1458" s="44"/>
      <c r="BN1458" s="45"/>
      <c r="BO1458" s="45"/>
      <c r="BP1458" s="7"/>
      <c r="BQ1458" s="45"/>
    </row>
    <row r="1459" spans="1:69" ht="15.75" customHeight="1" x14ac:dyDescent="0.25">
      <c r="A1459" s="12"/>
      <c r="B1459" s="15" t="e">
        <f>VLOOKUP(A1459,'[1]Master clients'!F1457:W5004,17,0)</f>
        <v>#N/A</v>
      </c>
      <c r="C1459" s="15" t="e">
        <f>VLOOKUP(A1459,'[1]Master clients'!F1457:P5004,11,0)</f>
        <v>#N/A</v>
      </c>
      <c r="D1459" s="15" t="e">
        <f>VLOOKUP(A1459,'[1]Master clients'!F:M,8,0)</f>
        <v>#N/A</v>
      </c>
      <c r="E1459" s="12"/>
      <c r="F1459" s="6"/>
      <c r="G1459" s="6"/>
      <c r="H1459" s="6"/>
      <c r="I1459" s="43"/>
      <c r="J1459" s="43"/>
      <c r="K1459" s="6"/>
      <c r="L1459" s="6"/>
      <c r="M1459" s="6"/>
      <c r="N1459" s="6"/>
      <c r="O1459" s="6"/>
      <c r="P1459" s="6"/>
      <c r="Q1459" s="6"/>
      <c r="R1459" s="6"/>
      <c r="S1459" s="6"/>
      <c r="T1459" s="6"/>
      <c r="U1459" s="6"/>
      <c r="V1459" s="6"/>
      <c r="W1459" s="6"/>
      <c r="X1459" s="6"/>
      <c r="Y1459" s="6"/>
      <c r="Z1459" s="6"/>
      <c r="AA1459" s="6"/>
      <c r="AB1459" s="6"/>
      <c r="AC1459" s="6"/>
      <c r="AD1459" s="6"/>
      <c r="AE1459" s="6"/>
      <c r="AF1459" s="6"/>
      <c r="AG1459" s="6"/>
      <c r="AH1459" s="6"/>
      <c r="AI1459" s="6"/>
      <c r="AJ1459" s="6"/>
      <c r="AK1459" s="6"/>
      <c r="AL1459" s="6"/>
      <c r="AM1459" s="6"/>
      <c r="AN1459" s="6"/>
      <c r="AO1459" s="6"/>
      <c r="AP1459" s="6"/>
      <c r="AQ1459" s="6"/>
      <c r="AR1459" s="6"/>
      <c r="AS1459" s="6"/>
      <c r="AT1459" s="6"/>
      <c r="AU1459" s="6"/>
      <c r="AV1459" s="6"/>
      <c r="AW1459" s="6"/>
      <c r="AX1459" s="6"/>
      <c r="AY1459" s="6"/>
      <c r="AZ1459" s="6"/>
      <c r="BA1459" s="6"/>
      <c r="BB1459" s="6"/>
      <c r="BC1459" s="6"/>
      <c r="BD1459" s="6"/>
      <c r="BE1459" s="6"/>
      <c r="BF1459" s="6"/>
      <c r="BG1459" s="6"/>
      <c r="BH1459" s="6"/>
      <c r="BI1459" s="6"/>
      <c r="BJ1459" s="6"/>
      <c r="BK1459" s="6"/>
      <c r="BL1459" s="44"/>
      <c r="BM1459" s="44"/>
      <c r="BN1459" s="45"/>
      <c r="BO1459" s="45"/>
      <c r="BP1459" s="7"/>
      <c r="BQ1459" s="45"/>
    </row>
    <row r="1460" spans="1:69" ht="15.75" customHeight="1" x14ac:dyDescent="0.25">
      <c r="A1460" s="12"/>
      <c r="B1460" s="15" t="e">
        <f>VLOOKUP(A1460,'[1]Master clients'!F1458:W5005,17,0)</f>
        <v>#N/A</v>
      </c>
      <c r="C1460" s="15" t="e">
        <f>VLOOKUP(A1460,'[1]Master clients'!F1458:P5005,11,0)</f>
        <v>#N/A</v>
      </c>
      <c r="D1460" s="15" t="e">
        <f>VLOOKUP(A1460,'[1]Master clients'!F:M,8,0)</f>
        <v>#N/A</v>
      </c>
      <c r="E1460" s="12"/>
      <c r="F1460" s="6"/>
      <c r="G1460" s="6"/>
      <c r="H1460" s="6"/>
      <c r="I1460" s="43"/>
      <c r="J1460" s="43"/>
      <c r="K1460" s="6"/>
      <c r="L1460" s="6"/>
      <c r="M1460" s="6"/>
      <c r="N1460" s="6"/>
      <c r="O1460" s="6"/>
      <c r="P1460" s="6"/>
      <c r="Q1460" s="6"/>
      <c r="R1460" s="6"/>
      <c r="S1460" s="6"/>
      <c r="T1460" s="6"/>
      <c r="U1460" s="6"/>
      <c r="V1460" s="6"/>
      <c r="W1460" s="6"/>
      <c r="X1460" s="6"/>
      <c r="Y1460" s="6"/>
      <c r="Z1460" s="6"/>
      <c r="AA1460" s="6"/>
      <c r="AB1460" s="6"/>
      <c r="AC1460" s="6"/>
      <c r="AD1460" s="6"/>
      <c r="AE1460" s="6"/>
      <c r="AF1460" s="6"/>
      <c r="AG1460" s="6"/>
      <c r="AH1460" s="6"/>
      <c r="AI1460" s="6"/>
      <c r="AJ1460" s="6"/>
      <c r="AK1460" s="6"/>
      <c r="AL1460" s="6"/>
      <c r="AM1460" s="6"/>
      <c r="AN1460" s="6"/>
      <c r="AO1460" s="6"/>
      <c r="AP1460" s="6"/>
      <c r="AQ1460" s="6"/>
      <c r="AR1460" s="6"/>
      <c r="AS1460" s="6"/>
      <c r="AT1460" s="6"/>
      <c r="AU1460" s="6"/>
      <c r="AV1460" s="6"/>
      <c r="AW1460" s="6"/>
      <c r="AX1460" s="6"/>
      <c r="AY1460" s="6"/>
      <c r="AZ1460" s="6"/>
      <c r="BA1460" s="6"/>
      <c r="BB1460" s="6"/>
      <c r="BC1460" s="6"/>
      <c r="BD1460" s="6"/>
      <c r="BE1460" s="6"/>
      <c r="BF1460" s="6"/>
      <c r="BG1460" s="6"/>
      <c r="BH1460" s="6"/>
      <c r="BI1460" s="6"/>
      <c r="BJ1460" s="6"/>
      <c r="BK1460" s="6"/>
      <c r="BL1460" s="44"/>
      <c r="BM1460" s="44"/>
      <c r="BN1460" s="45"/>
      <c r="BO1460" s="45"/>
      <c r="BP1460" s="7"/>
      <c r="BQ1460" s="45"/>
    </row>
    <row r="1461" spans="1:69" ht="15.75" customHeight="1" x14ac:dyDescent="0.25">
      <c r="A1461" s="12"/>
      <c r="B1461" s="15" t="e">
        <f>VLOOKUP(A1461,'[1]Master clients'!F1459:W5006,17,0)</f>
        <v>#N/A</v>
      </c>
      <c r="C1461" s="15" t="e">
        <f>VLOOKUP(A1461,'[1]Master clients'!F1459:P5006,11,0)</f>
        <v>#N/A</v>
      </c>
      <c r="D1461" s="15" t="e">
        <f>VLOOKUP(A1461,'[1]Master clients'!F:M,8,0)</f>
        <v>#N/A</v>
      </c>
      <c r="E1461" s="12"/>
      <c r="F1461" s="6"/>
      <c r="G1461" s="6"/>
      <c r="H1461" s="6"/>
      <c r="I1461" s="43"/>
      <c r="J1461" s="43"/>
      <c r="K1461" s="6"/>
      <c r="L1461" s="6"/>
      <c r="M1461" s="6"/>
      <c r="N1461" s="6"/>
      <c r="O1461" s="6"/>
      <c r="P1461" s="6"/>
      <c r="Q1461" s="6"/>
      <c r="R1461" s="6"/>
      <c r="S1461" s="6"/>
      <c r="T1461" s="6"/>
      <c r="U1461" s="6"/>
      <c r="V1461" s="6"/>
      <c r="W1461" s="6"/>
      <c r="X1461" s="6"/>
      <c r="Y1461" s="6"/>
      <c r="Z1461" s="6"/>
      <c r="AA1461" s="6"/>
      <c r="AB1461" s="6"/>
      <c r="AC1461" s="6"/>
      <c r="AD1461" s="6"/>
      <c r="AE1461" s="6"/>
      <c r="AF1461" s="6"/>
      <c r="AG1461" s="6"/>
      <c r="AH1461" s="6"/>
      <c r="AI1461" s="6"/>
      <c r="AJ1461" s="6"/>
      <c r="AK1461" s="6"/>
      <c r="AL1461" s="6"/>
      <c r="AM1461" s="6"/>
      <c r="AN1461" s="6"/>
      <c r="AO1461" s="6"/>
      <c r="AP1461" s="6"/>
      <c r="AQ1461" s="6"/>
      <c r="AR1461" s="6"/>
      <c r="AS1461" s="6"/>
      <c r="AT1461" s="6"/>
      <c r="AU1461" s="6"/>
      <c r="AV1461" s="6"/>
      <c r="AW1461" s="6"/>
      <c r="AX1461" s="6"/>
      <c r="AY1461" s="6"/>
      <c r="AZ1461" s="6"/>
      <c r="BA1461" s="6"/>
      <c r="BB1461" s="6"/>
      <c r="BC1461" s="6"/>
      <c r="BD1461" s="6"/>
      <c r="BE1461" s="6"/>
      <c r="BF1461" s="6"/>
      <c r="BG1461" s="6"/>
      <c r="BH1461" s="6"/>
      <c r="BI1461" s="6"/>
      <c r="BJ1461" s="6"/>
      <c r="BK1461" s="6"/>
      <c r="BL1461" s="44"/>
      <c r="BM1461" s="44"/>
      <c r="BN1461" s="45"/>
      <c r="BO1461" s="45"/>
      <c r="BP1461" s="7"/>
      <c r="BQ1461" s="45"/>
    </row>
    <row r="1462" spans="1:69" ht="15.75" customHeight="1" x14ac:dyDescent="0.25">
      <c r="A1462" s="12"/>
      <c r="B1462" s="15" t="e">
        <f>VLOOKUP(A1462,'[1]Master clients'!F1460:W5007,17,0)</f>
        <v>#N/A</v>
      </c>
      <c r="C1462" s="15" t="e">
        <f>VLOOKUP(A1462,'[1]Master clients'!F1460:P5007,11,0)</f>
        <v>#N/A</v>
      </c>
      <c r="D1462" s="15" t="e">
        <f>VLOOKUP(A1462,'[1]Master clients'!F:M,8,0)</f>
        <v>#N/A</v>
      </c>
      <c r="E1462" s="12"/>
      <c r="F1462" s="6"/>
      <c r="G1462" s="6"/>
      <c r="H1462" s="6"/>
      <c r="I1462" s="43"/>
      <c r="J1462" s="43"/>
      <c r="K1462" s="6"/>
      <c r="L1462" s="6"/>
      <c r="M1462" s="6"/>
      <c r="N1462" s="6"/>
      <c r="O1462" s="6"/>
      <c r="P1462" s="6"/>
      <c r="Q1462" s="6"/>
      <c r="R1462" s="6"/>
      <c r="S1462" s="6"/>
      <c r="T1462" s="6"/>
      <c r="U1462" s="6"/>
      <c r="V1462" s="6"/>
      <c r="W1462" s="6"/>
      <c r="X1462" s="6"/>
      <c r="Y1462" s="6"/>
      <c r="Z1462" s="6"/>
      <c r="AA1462" s="6"/>
      <c r="AB1462" s="6"/>
      <c r="AC1462" s="6"/>
      <c r="AD1462" s="6"/>
      <c r="AE1462" s="6"/>
      <c r="AF1462" s="6"/>
      <c r="AG1462" s="6"/>
      <c r="AH1462" s="6"/>
      <c r="AI1462" s="6"/>
      <c r="AJ1462" s="6"/>
      <c r="AK1462" s="6"/>
      <c r="AL1462" s="6"/>
      <c r="AM1462" s="6"/>
      <c r="AN1462" s="6"/>
      <c r="AO1462" s="6"/>
      <c r="AP1462" s="6"/>
      <c r="AQ1462" s="6"/>
      <c r="AR1462" s="6"/>
      <c r="AS1462" s="6"/>
      <c r="AT1462" s="6"/>
      <c r="AU1462" s="6"/>
      <c r="AV1462" s="6"/>
      <c r="AW1462" s="6"/>
      <c r="AX1462" s="6"/>
      <c r="AY1462" s="6"/>
      <c r="AZ1462" s="6"/>
      <c r="BA1462" s="6"/>
      <c r="BB1462" s="6"/>
      <c r="BC1462" s="6"/>
      <c r="BD1462" s="6"/>
      <c r="BE1462" s="6"/>
      <c r="BF1462" s="6"/>
      <c r="BG1462" s="6"/>
      <c r="BH1462" s="6"/>
      <c r="BI1462" s="6"/>
      <c r="BJ1462" s="6"/>
      <c r="BK1462" s="6"/>
      <c r="BL1462" s="44"/>
      <c r="BM1462" s="44"/>
      <c r="BN1462" s="45"/>
      <c r="BO1462" s="45"/>
      <c r="BP1462" s="7"/>
      <c r="BQ1462" s="45"/>
    </row>
    <row r="1463" spans="1:69" ht="15.75" customHeight="1" x14ac:dyDescent="0.25">
      <c r="A1463" s="12"/>
      <c r="B1463" s="15" t="e">
        <f>VLOOKUP(A1463,'[1]Master clients'!F1461:W5008,17,0)</f>
        <v>#N/A</v>
      </c>
      <c r="C1463" s="15" t="e">
        <f>VLOOKUP(A1463,'[1]Master clients'!F1461:P5008,11,0)</f>
        <v>#N/A</v>
      </c>
      <c r="D1463" s="15" t="e">
        <f>VLOOKUP(A1463,'[1]Master clients'!F:M,8,0)</f>
        <v>#N/A</v>
      </c>
      <c r="E1463" s="12"/>
      <c r="F1463" s="6"/>
      <c r="G1463" s="6"/>
      <c r="H1463" s="6"/>
      <c r="I1463" s="43"/>
      <c r="J1463" s="43"/>
      <c r="K1463" s="6"/>
      <c r="L1463" s="6"/>
      <c r="M1463" s="6"/>
      <c r="N1463" s="6"/>
      <c r="O1463" s="6"/>
      <c r="P1463" s="6"/>
      <c r="Q1463" s="6"/>
      <c r="R1463" s="6"/>
      <c r="S1463" s="6"/>
      <c r="T1463" s="6"/>
      <c r="U1463" s="6"/>
      <c r="V1463" s="6"/>
      <c r="W1463" s="6"/>
      <c r="X1463" s="6"/>
      <c r="Y1463" s="6"/>
      <c r="Z1463" s="6"/>
      <c r="AA1463" s="6"/>
      <c r="AB1463" s="6"/>
      <c r="AC1463" s="6"/>
      <c r="AD1463" s="6"/>
      <c r="AE1463" s="6"/>
      <c r="AF1463" s="6"/>
      <c r="AG1463" s="6"/>
      <c r="AH1463" s="6"/>
      <c r="AI1463" s="6"/>
      <c r="AJ1463" s="6"/>
      <c r="AK1463" s="6"/>
      <c r="AL1463" s="6"/>
      <c r="AM1463" s="6"/>
      <c r="AN1463" s="6"/>
      <c r="AO1463" s="6"/>
      <c r="AP1463" s="6"/>
      <c r="AQ1463" s="6"/>
      <c r="AR1463" s="6"/>
      <c r="AS1463" s="6"/>
      <c r="AT1463" s="6"/>
      <c r="AU1463" s="6"/>
      <c r="AV1463" s="6"/>
      <c r="AW1463" s="6"/>
      <c r="AX1463" s="6"/>
      <c r="AY1463" s="6"/>
      <c r="AZ1463" s="6"/>
      <c r="BA1463" s="6"/>
      <c r="BB1463" s="6"/>
      <c r="BC1463" s="6"/>
      <c r="BD1463" s="6"/>
      <c r="BE1463" s="6"/>
      <c r="BF1463" s="6"/>
      <c r="BG1463" s="6"/>
      <c r="BH1463" s="6"/>
      <c r="BI1463" s="6"/>
      <c r="BJ1463" s="6"/>
      <c r="BK1463" s="6"/>
      <c r="BL1463" s="44"/>
      <c r="BM1463" s="44"/>
      <c r="BN1463" s="45"/>
      <c r="BO1463" s="45"/>
      <c r="BP1463" s="7"/>
      <c r="BQ1463" s="45"/>
    </row>
    <row r="1464" spans="1:69" ht="15.75" customHeight="1" x14ac:dyDescent="0.25">
      <c r="A1464" s="12"/>
      <c r="B1464" s="15" t="e">
        <f>VLOOKUP(A1464,'[1]Master clients'!F1462:W5009,17,0)</f>
        <v>#N/A</v>
      </c>
      <c r="C1464" s="15" t="e">
        <f>VLOOKUP(A1464,'[1]Master clients'!F1462:P5009,11,0)</f>
        <v>#N/A</v>
      </c>
      <c r="D1464" s="15" t="e">
        <f>VLOOKUP(A1464,'[1]Master clients'!F:M,8,0)</f>
        <v>#N/A</v>
      </c>
      <c r="E1464" s="12"/>
      <c r="F1464" s="6"/>
      <c r="G1464" s="6"/>
      <c r="H1464" s="6"/>
      <c r="I1464" s="43"/>
      <c r="J1464" s="43"/>
      <c r="K1464" s="6"/>
      <c r="L1464" s="6"/>
      <c r="M1464" s="6"/>
      <c r="N1464" s="6"/>
      <c r="O1464" s="6"/>
      <c r="P1464" s="6"/>
      <c r="Q1464" s="6"/>
      <c r="R1464" s="6"/>
      <c r="S1464" s="6"/>
      <c r="T1464" s="6"/>
      <c r="U1464" s="6"/>
      <c r="V1464" s="6"/>
      <c r="W1464" s="6"/>
      <c r="X1464" s="6"/>
      <c r="Y1464" s="6"/>
      <c r="Z1464" s="6"/>
      <c r="AA1464" s="6"/>
      <c r="AB1464" s="6"/>
      <c r="AC1464" s="6"/>
      <c r="AD1464" s="6"/>
      <c r="AE1464" s="6"/>
      <c r="AF1464" s="6"/>
      <c r="AG1464" s="6"/>
      <c r="AH1464" s="6"/>
      <c r="AI1464" s="6"/>
      <c r="AJ1464" s="6"/>
      <c r="AK1464" s="6"/>
      <c r="AL1464" s="6"/>
      <c r="AM1464" s="6"/>
      <c r="AN1464" s="6"/>
      <c r="AO1464" s="6"/>
      <c r="AP1464" s="6"/>
      <c r="AQ1464" s="6"/>
      <c r="AR1464" s="6"/>
      <c r="AS1464" s="6"/>
      <c r="AT1464" s="6"/>
      <c r="AU1464" s="6"/>
      <c r="AV1464" s="6"/>
      <c r="AW1464" s="6"/>
      <c r="AX1464" s="6"/>
      <c r="AY1464" s="6"/>
      <c r="AZ1464" s="6"/>
      <c r="BA1464" s="6"/>
      <c r="BB1464" s="6"/>
      <c r="BC1464" s="6"/>
      <c r="BD1464" s="6"/>
      <c r="BE1464" s="6"/>
      <c r="BF1464" s="6"/>
      <c r="BG1464" s="6"/>
      <c r="BH1464" s="6"/>
      <c r="BI1464" s="6"/>
      <c r="BJ1464" s="6"/>
      <c r="BK1464" s="6"/>
      <c r="BL1464" s="44"/>
      <c r="BM1464" s="44"/>
      <c r="BN1464" s="45"/>
      <c r="BO1464" s="45"/>
      <c r="BP1464" s="7"/>
      <c r="BQ1464" s="45"/>
    </row>
  </sheetData>
  <mergeCells count="2">
    <mergeCell ref="A1:C1"/>
    <mergeCell ref="A2:C2"/>
  </mergeCells>
  <conditionalFormatting sqref="A4:BQ4">
    <cfRule type="containsText" dxfId="1" priority="1" operator="containsText" text="MMP">
      <formula>NOT(ISERROR(SEARCH(("MMP"),(A4))))</formula>
    </cfRule>
    <cfRule type="containsText" dxfId="0" priority="2" operator="containsText" text="PCP">
      <formula>NOT(ISERROR(SEARCH(("PCP"),(A4))))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Farhan</dc:creator>
  <cp:lastModifiedBy>Mohammed Farhan</cp:lastModifiedBy>
  <dcterms:created xsi:type="dcterms:W3CDTF">2026-05-31T08:08:29Z</dcterms:created>
  <dcterms:modified xsi:type="dcterms:W3CDTF">2026-05-31T08:08:54Z</dcterms:modified>
</cp:coreProperties>
</file>